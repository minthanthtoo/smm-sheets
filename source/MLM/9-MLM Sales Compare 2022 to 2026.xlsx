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8.2.2026 Sale Compare\"/>
    </mc:Choice>
  </mc:AlternateContent>
  <xr:revisionPtr revIDLastSave="0" documentId="13_ncr:1_{BDA492B3-A993-4688-B7BB-78F97B372E97}" xr6:coauthVersionLast="47" xr6:coauthVersionMax="47" xr10:uidLastSave="{00000000-0000-0000-0000-000000000000}"/>
  <bookViews>
    <workbookView xWindow="14025" yWindow="75" windowWidth="14430" windowHeight="15060" xr2:uid="{B16C67A7-CAA9-485F-B62F-BD5EA7F79B97}"/>
  </bookViews>
  <sheets>
    <sheet name="Compare for MLM" sheetId="4" r:id="rId1"/>
    <sheet name="2024" sheetId="7" r:id="rId2"/>
    <sheet name="2025" sheetId="11" r:id="rId3"/>
    <sheet name="2026" sheetId="12" r:id="rId4"/>
    <sheet name="2023" sheetId="5" r:id="rId5"/>
    <sheet name="2022" sheetId="1" r:id="rId6"/>
    <sheet name="ကောင်းကြည်" sheetId="8" r:id="rId7"/>
    <sheet name="Selling Prices" sheetId="9" r:id="rId8"/>
  </sheets>
  <definedNames>
    <definedName name="aa">#REF!</definedName>
    <definedName name="aaa">#REF!</definedName>
    <definedName name="aaaaaaa">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um_Pmt_Per_Year">#REF!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4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>DATE(YEAR(Loan_Start),MONTH(Loan_Start)+Payment_Number,DAY(Loan_Start))</definedName>
    <definedName name="Princ">#REF!</definedName>
    <definedName name="_xlnm.Print_Area" localSheetId="5">'2022'!#REF!</definedName>
    <definedName name="_xlnm.Print_Area" localSheetId="4">'2023'!#REF!</definedName>
    <definedName name="_xlnm.Print_Area" localSheetId="1">'2024'!#REF!</definedName>
    <definedName name="Print_Area_Reset">OFFSET(Full_Print,0,0,Last_Row)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tdk">#REF!</definedName>
    <definedName name="Total_Interest">#REF!</definedName>
    <definedName name="Total_Pay">#REF!</definedName>
    <definedName name="Total_Payment" localSheetId="4">Scheduled_Payment+Extra_Payment</definedName>
    <definedName name="Total_Payment" localSheetId="1">Scheduled_Payment+Extra_Payment</definedName>
    <definedName name="Total_Payment" localSheetId="3">Scheduled_Payment+Extra_Payment</definedName>
    <definedName name="Total_Payment">Scheduled_Payment+Extra_Payment</definedName>
    <definedName name="Values_Entered">IF(Loan_Amount*Interest_Rate*Loan_Years*Loan_Start&gt;0,1,0)</definedName>
    <definedName name="vkhfkg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4" l="1"/>
  <c r="N16" i="4"/>
  <c r="M17" i="4"/>
  <c r="N17" i="4"/>
  <c r="L5" i="4"/>
  <c r="K5" i="4"/>
  <c r="N5" i="4" l="1"/>
  <c r="N6" i="4"/>
  <c r="N7" i="4"/>
  <c r="N8" i="4"/>
  <c r="N9" i="4"/>
  <c r="N10" i="4"/>
  <c r="N11" i="4"/>
  <c r="N12" i="4"/>
  <c r="N13" i="4"/>
  <c r="N14" i="4"/>
  <c r="N15" i="4"/>
  <c r="M5" i="4"/>
  <c r="M6" i="4"/>
  <c r="M7" i="4"/>
  <c r="M8" i="4"/>
  <c r="M9" i="4"/>
  <c r="M10" i="4"/>
  <c r="M11" i="4"/>
  <c r="M12" i="4"/>
  <c r="M13" i="4"/>
  <c r="M14" i="4"/>
  <c r="M15" i="4"/>
  <c r="EF120" i="12" l="1"/>
  <c r="EG120" i="12" s="1"/>
  <c r="EF121" i="12"/>
  <c r="EG121" i="12" s="1"/>
  <c r="EF122" i="12"/>
  <c r="EG122" i="12" s="1"/>
  <c r="EE120" i="12"/>
  <c r="EE121" i="12"/>
  <c r="EE122" i="12"/>
  <c r="EE123" i="12"/>
  <c r="EE124" i="12"/>
  <c r="EE127" i="12"/>
  <c r="EE128" i="12"/>
  <c r="EE129" i="12"/>
  <c r="EC120" i="12"/>
  <c r="EC121" i="12"/>
  <c r="EC122" i="12"/>
  <c r="EC123" i="12"/>
  <c r="EC124" i="12"/>
  <c r="EC127" i="12"/>
  <c r="EC128" i="12"/>
  <c r="EC129" i="12"/>
  <c r="EA120" i="12"/>
  <c r="EA121" i="12"/>
  <c r="EA122" i="12"/>
  <c r="DY120" i="12"/>
  <c r="DY121" i="12"/>
  <c r="DY122" i="12"/>
  <c r="DW120" i="12"/>
  <c r="DW121" i="12"/>
  <c r="DW122" i="12"/>
  <c r="DW123" i="12"/>
  <c r="DW124" i="12"/>
  <c r="DW127" i="12"/>
  <c r="DW128" i="12"/>
  <c r="DW129" i="12"/>
  <c r="DU120" i="12"/>
  <c r="DU121" i="12"/>
  <c r="DU122" i="12"/>
  <c r="DU123" i="12"/>
  <c r="DU124" i="12"/>
  <c r="DU127" i="12"/>
  <c r="DU128" i="12"/>
  <c r="DU129" i="12"/>
  <c r="DS120" i="12"/>
  <c r="DS121" i="12"/>
  <c r="DS122" i="12"/>
  <c r="DS123" i="12"/>
  <c r="DS124" i="12"/>
  <c r="DS127" i="12"/>
  <c r="DS128" i="12"/>
  <c r="DS129" i="12"/>
  <c r="DQ120" i="12"/>
  <c r="DQ121" i="12"/>
  <c r="DQ122" i="12"/>
  <c r="DQ123" i="12"/>
  <c r="DQ124" i="12"/>
  <c r="DQ127" i="12"/>
  <c r="DQ128" i="12"/>
  <c r="DQ129" i="12"/>
  <c r="DO120" i="12"/>
  <c r="DO121" i="12"/>
  <c r="DO122" i="12"/>
  <c r="DO123" i="12"/>
  <c r="DO124" i="12"/>
  <c r="DO127" i="12"/>
  <c r="DO128" i="12"/>
  <c r="DO129" i="12"/>
  <c r="DM120" i="12"/>
  <c r="DM121" i="12"/>
  <c r="DM122" i="12"/>
  <c r="DM123" i="12"/>
  <c r="DM124" i="12"/>
  <c r="DM127" i="12"/>
  <c r="DM128" i="12"/>
  <c r="DM129" i="12"/>
  <c r="DK120" i="12"/>
  <c r="DK121" i="12"/>
  <c r="DK122" i="12"/>
  <c r="DK123" i="12"/>
  <c r="DK124" i="12"/>
  <c r="DK127" i="12"/>
  <c r="DK128" i="12"/>
  <c r="DK129" i="12"/>
  <c r="DI120" i="12"/>
  <c r="DI121" i="12"/>
  <c r="DI122" i="12"/>
  <c r="DI123" i="12"/>
  <c r="DI124" i="12"/>
  <c r="DI127" i="12"/>
  <c r="DI128" i="12"/>
  <c r="DI129" i="12"/>
  <c r="DF120" i="12"/>
  <c r="DG120" i="12" s="1"/>
  <c r="DF121" i="12"/>
  <c r="DG121" i="12" s="1"/>
  <c r="DF122" i="12"/>
  <c r="DG122" i="12" s="1"/>
  <c r="DE120" i="12"/>
  <c r="DE121" i="12"/>
  <c r="DE122" i="12"/>
  <c r="DE123" i="12"/>
  <c r="DE124" i="12"/>
  <c r="DE127" i="12"/>
  <c r="DE128" i="12"/>
  <c r="DE129" i="12"/>
  <c r="DC120" i="12"/>
  <c r="DC121" i="12"/>
  <c r="DC122" i="12"/>
  <c r="DC123" i="12"/>
  <c r="DC124" i="12"/>
  <c r="DC127" i="12"/>
  <c r="DC128" i="12"/>
  <c r="DC129" i="12"/>
  <c r="DA120" i="12"/>
  <c r="DA121" i="12"/>
  <c r="DA122" i="12"/>
  <c r="CY120" i="12"/>
  <c r="CY121" i="12"/>
  <c r="CY122" i="12"/>
  <c r="CW120" i="12"/>
  <c r="CW121" i="12"/>
  <c r="CW122" i="12"/>
  <c r="CW123" i="12"/>
  <c r="CW124" i="12"/>
  <c r="CW127" i="12"/>
  <c r="CW128" i="12"/>
  <c r="CW129" i="12"/>
  <c r="CU120" i="12"/>
  <c r="CU121" i="12"/>
  <c r="CU122" i="12"/>
  <c r="CU123" i="12"/>
  <c r="CU124" i="12"/>
  <c r="CU127" i="12"/>
  <c r="CU128" i="12"/>
  <c r="CU129" i="12"/>
  <c r="CS120" i="12"/>
  <c r="CS121" i="12"/>
  <c r="CS122" i="12"/>
  <c r="CS123" i="12"/>
  <c r="CS124" i="12"/>
  <c r="CS127" i="12"/>
  <c r="CS128" i="12"/>
  <c r="CS129" i="12"/>
  <c r="CQ120" i="12"/>
  <c r="CQ121" i="12"/>
  <c r="CQ122" i="12"/>
  <c r="CQ123" i="12"/>
  <c r="CQ124" i="12"/>
  <c r="CQ127" i="12"/>
  <c r="CQ128" i="12"/>
  <c r="CQ129" i="12"/>
  <c r="CO120" i="12"/>
  <c r="CO121" i="12"/>
  <c r="CO122" i="12"/>
  <c r="CO123" i="12"/>
  <c r="CO124" i="12"/>
  <c r="CO127" i="12"/>
  <c r="CO128" i="12"/>
  <c r="CO129" i="12"/>
  <c r="CM120" i="12"/>
  <c r="CM121" i="12"/>
  <c r="CM122" i="12"/>
  <c r="CM123" i="12"/>
  <c r="CM124" i="12"/>
  <c r="CM127" i="12"/>
  <c r="CM128" i="12"/>
  <c r="CM129" i="12"/>
  <c r="CK120" i="12"/>
  <c r="CK121" i="12"/>
  <c r="CK122" i="12"/>
  <c r="CK123" i="12"/>
  <c r="CK124" i="12"/>
  <c r="CK127" i="12"/>
  <c r="CK128" i="12"/>
  <c r="CK129" i="12"/>
  <c r="CI120" i="12"/>
  <c r="CI121" i="12"/>
  <c r="CI122" i="12"/>
  <c r="CI123" i="12"/>
  <c r="CI124" i="12"/>
  <c r="CI127" i="12"/>
  <c r="CI128" i="12"/>
  <c r="CI129" i="12"/>
  <c r="CG122" i="12"/>
  <c r="CF120" i="12"/>
  <c r="CG120" i="12" s="1"/>
  <c r="CF121" i="12"/>
  <c r="CG121" i="12" s="1"/>
  <c r="CF122" i="12"/>
  <c r="CF123" i="12"/>
  <c r="CG123" i="12" s="1"/>
  <c r="CF124" i="12"/>
  <c r="CG124" i="12" s="1"/>
  <c r="CF127" i="12"/>
  <c r="CG127" i="12" s="1"/>
  <c r="CF128" i="12"/>
  <c r="CG128" i="12" s="1"/>
  <c r="CF129" i="12"/>
  <c r="CG129" i="12" s="1"/>
  <c r="CE120" i="12"/>
  <c r="CE121" i="12"/>
  <c r="CE122" i="12"/>
  <c r="CE123" i="12"/>
  <c r="CE124" i="12"/>
  <c r="CE127" i="12"/>
  <c r="CE128" i="12"/>
  <c r="CE129" i="12"/>
  <c r="CC120" i="12"/>
  <c r="CC121" i="12"/>
  <c r="CC122" i="12"/>
  <c r="CC123" i="12"/>
  <c r="CC124" i="12"/>
  <c r="CC127" i="12"/>
  <c r="CC128" i="12"/>
  <c r="CC129" i="12"/>
  <c r="CA120" i="12"/>
  <c r="CA121" i="12"/>
  <c r="CA122" i="12"/>
  <c r="CA123" i="12"/>
  <c r="CA124" i="12"/>
  <c r="CA127" i="12"/>
  <c r="CA128" i="12"/>
  <c r="CA129" i="12"/>
  <c r="BY120" i="12"/>
  <c r="BY121" i="12"/>
  <c r="BY122" i="12"/>
  <c r="BY123" i="12"/>
  <c r="BY124" i="12"/>
  <c r="BY127" i="12"/>
  <c r="BY128" i="12"/>
  <c r="BY129" i="12"/>
  <c r="BW120" i="12"/>
  <c r="BW121" i="12"/>
  <c r="BW122" i="12"/>
  <c r="BW123" i="12"/>
  <c r="BW124" i="12"/>
  <c r="BW127" i="12"/>
  <c r="BW128" i="12"/>
  <c r="BW129" i="12"/>
  <c r="BU120" i="12"/>
  <c r="BU121" i="12"/>
  <c r="BU122" i="12"/>
  <c r="BU123" i="12"/>
  <c r="BU124" i="12"/>
  <c r="BU127" i="12"/>
  <c r="BU128" i="12"/>
  <c r="BU129" i="12"/>
  <c r="BS120" i="12"/>
  <c r="BS121" i="12"/>
  <c r="BS122" i="12"/>
  <c r="BS123" i="12"/>
  <c r="BS124" i="12"/>
  <c r="BS127" i="12"/>
  <c r="BS128" i="12"/>
  <c r="BS129" i="12"/>
  <c r="BQ120" i="12"/>
  <c r="BQ121" i="12"/>
  <c r="BQ122" i="12"/>
  <c r="BQ123" i="12"/>
  <c r="BQ124" i="12"/>
  <c r="BQ127" i="12"/>
  <c r="BQ128" i="12"/>
  <c r="BQ129" i="12"/>
  <c r="BO120" i="12"/>
  <c r="BO121" i="12"/>
  <c r="BO122" i="12"/>
  <c r="BO123" i="12"/>
  <c r="BO124" i="12"/>
  <c r="BO127" i="12"/>
  <c r="BO128" i="12"/>
  <c r="BO129" i="12"/>
  <c r="BM120" i="12"/>
  <c r="BM121" i="12"/>
  <c r="BM122" i="12"/>
  <c r="BM123" i="12"/>
  <c r="BM124" i="12"/>
  <c r="BM127" i="12"/>
  <c r="BM128" i="12"/>
  <c r="BM129" i="12"/>
  <c r="BK120" i="12"/>
  <c r="BK121" i="12"/>
  <c r="BK122" i="12"/>
  <c r="BK123" i="12"/>
  <c r="BK124" i="12"/>
  <c r="BK127" i="12"/>
  <c r="BK128" i="12"/>
  <c r="BK129" i="12"/>
  <c r="BI121" i="12"/>
  <c r="BI122" i="12"/>
  <c r="BI123" i="12"/>
  <c r="BI124" i="12"/>
  <c r="BI127" i="12"/>
  <c r="BI128" i="12"/>
  <c r="BI129" i="12"/>
  <c r="BF120" i="12"/>
  <c r="BG120" i="12" s="1"/>
  <c r="BF121" i="12"/>
  <c r="BG121" i="12" s="1"/>
  <c r="BF122" i="12"/>
  <c r="BG122" i="12" s="1"/>
  <c r="BF123" i="12"/>
  <c r="BG123" i="12" s="1"/>
  <c r="BF124" i="12"/>
  <c r="BG124" i="12" s="1"/>
  <c r="BF127" i="12"/>
  <c r="BG127" i="12" s="1"/>
  <c r="BF128" i="12"/>
  <c r="BG128" i="12" s="1"/>
  <c r="BF129" i="12"/>
  <c r="BG129" i="12" s="1"/>
  <c r="BE120" i="12"/>
  <c r="BE121" i="12"/>
  <c r="BE122" i="12"/>
  <c r="BE123" i="12"/>
  <c r="BE124" i="12"/>
  <c r="BE127" i="12"/>
  <c r="BE128" i="12"/>
  <c r="BE129" i="12"/>
  <c r="BC120" i="12"/>
  <c r="BC121" i="12"/>
  <c r="BC122" i="12"/>
  <c r="BC123" i="12"/>
  <c r="BC124" i="12"/>
  <c r="BC127" i="12"/>
  <c r="BC128" i="12"/>
  <c r="BC129" i="12"/>
  <c r="BA120" i="12"/>
  <c r="BA121" i="12"/>
  <c r="BA122" i="12"/>
  <c r="BA123" i="12"/>
  <c r="BA124" i="12"/>
  <c r="BA127" i="12"/>
  <c r="BA128" i="12"/>
  <c r="BA129" i="12"/>
  <c r="AY120" i="12"/>
  <c r="AY121" i="12"/>
  <c r="AY122" i="12"/>
  <c r="AY123" i="12"/>
  <c r="AY124" i="12"/>
  <c r="AY127" i="12"/>
  <c r="AY128" i="12"/>
  <c r="AY129" i="12"/>
  <c r="AW120" i="12"/>
  <c r="AW121" i="12"/>
  <c r="AW122" i="12"/>
  <c r="AW123" i="12"/>
  <c r="AW124" i="12"/>
  <c r="AW127" i="12"/>
  <c r="AW128" i="12"/>
  <c r="AW129" i="12"/>
  <c r="AU120" i="12"/>
  <c r="AU121" i="12"/>
  <c r="AU122" i="12"/>
  <c r="AU123" i="12"/>
  <c r="AU124" i="12"/>
  <c r="AU127" i="12"/>
  <c r="AU128" i="12"/>
  <c r="AU129" i="12"/>
  <c r="AS120" i="12"/>
  <c r="AS121" i="12"/>
  <c r="AS122" i="12"/>
  <c r="AS123" i="12"/>
  <c r="AS124" i="12"/>
  <c r="AS127" i="12"/>
  <c r="AS128" i="12"/>
  <c r="AS129" i="12"/>
  <c r="AQ120" i="12"/>
  <c r="AQ121" i="12"/>
  <c r="AQ122" i="12"/>
  <c r="AQ123" i="12"/>
  <c r="AQ124" i="12"/>
  <c r="AQ127" i="12"/>
  <c r="AQ128" i="12"/>
  <c r="AQ129" i="12"/>
  <c r="AO120" i="12"/>
  <c r="AO121" i="12"/>
  <c r="AO122" i="12"/>
  <c r="AO123" i="12"/>
  <c r="AO124" i="12"/>
  <c r="AO127" i="12"/>
  <c r="AO128" i="12"/>
  <c r="AO129" i="12"/>
  <c r="AM120" i="12"/>
  <c r="AM121" i="12"/>
  <c r="AM122" i="12"/>
  <c r="AM123" i="12"/>
  <c r="AM124" i="12"/>
  <c r="AM127" i="12"/>
  <c r="AM128" i="12"/>
  <c r="AM129" i="12"/>
  <c r="AK120" i="12"/>
  <c r="AK121" i="12"/>
  <c r="AK122" i="12"/>
  <c r="AK123" i="12"/>
  <c r="AK124" i="12"/>
  <c r="AK127" i="12"/>
  <c r="AK128" i="12"/>
  <c r="AK129" i="12"/>
  <c r="AI120" i="12"/>
  <c r="AI121" i="12"/>
  <c r="AI122" i="12"/>
  <c r="AI123" i="12"/>
  <c r="AI124" i="12"/>
  <c r="AI127" i="12"/>
  <c r="AI128" i="12"/>
  <c r="AI129" i="12"/>
  <c r="AF120" i="12"/>
  <c r="AG120" i="12" s="1"/>
  <c r="AF121" i="12"/>
  <c r="AG121" i="12" s="1"/>
  <c r="AF122" i="12"/>
  <c r="AG122" i="12" s="1"/>
  <c r="AF123" i="12"/>
  <c r="AG123" i="12" s="1"/>
  <c r="AF124" i="12"/>
  <c r="AG124" i="12" s="1"/>
  <c r="AF127" i="12"/>
  <c r="AG127" i="12" s="1"/>
  <c r="AF128" i="12"/>
  <c r="AG128" i="12" s="1"/>
  <c r="AF129" i="12"/>
  <c r="AG129" i="12" s="1"/>
  <c r="AE120" i="12"/>
  <c r="AE121" i="12"/>
  <c r="AE122" i="12"/>
  <c r="AE123" i="12"/>
  <c r="AE124" i="12"/>
  <c r="AE127" i="12"/>
  <c r="AE128" i="12"/>
  <c r="AE129" i="12"/>
  <c r="AC120" i="12"/>
  <c r="AC121" i="12"/>
  <c r="AC122" i="12"/>
  <c r="AC123" i="12"/>
  <c r="AC124" i="12"/>
  <c r="AC127" i="12"/>
  <c r="AC128" i="12"/>
  <c r="AC129" i="12"/>
  <c r="AA120" i="12"/>
  <c r="AA121" i="12"/>
  <c r="AA122" i="12"/>
  <c r="AA123" i="12"/>
  <c r="AA124" i="12"/>
  <c r="AA127" i="12"/>
  <c r="AA128" i="12"/>
  <c r="AA129" i="12"/>
  <c r="Y120" i="12"/>
  <c r="Y121" i="12"/>
  <c r="Y122" i="12"/>
  <c r="Y123" i="12"/>
  <c r="Y124" i="12"/>
  <c r="Y127" i="12"/>
  <c r="Y128" i="12"/>
  <c r="Y129" i="12"/>
  <c r="W120" i="12"/>
  <c r="W121" i="12"/>
  <c r="W122" i="12"/>
  <c r="W123" i="12"/>
  <c r="W124" i="12"/>
  <c r="W127" i="12"/>
  <c r="W128" i="12"/>
  <c r="W129" i="12"/>
  <c r="U120" i="12"/>
  <c r="U121" i="12"/>
  <c r="U122" i="12"/>
  <c r="U123" i="12"/>
  <c r="U124" i="12"/>
  <c r="U127" i="12"/>
  <c r="U128" i="12"/>
  <c r="U129" i="12"/>
  <c r="S120" i="12"/>
  <c r="S121" i="12"/>
  <c r="S122" i="12"/>
  <c r="S123" i="12"/>
  <c r="S124" i="12"/>
  <c r="S127" i="12"/>
  <c r="S128" i="12"/>
  <c r="S129" i="12"/>
  <c r="Q120" i="12"/>
  <c r="Q121" i="12"/>
  <c r="Q122" i="12"/>
  <c r="Q123" i="12"/>
  <c r="Q124" i="12"/>
  <c r="Q127" i="12"/>
  <c r="Q128" i="12"/>
  <c r="Q129" i="12"/>
  <c r="O120" i="12"/>
  <c r="O121" i="12"/>
  <c r="O122" i="12"/>
  <c r="O123" i="12"/>
  <c r="O124" i="12"/>
  <c r="O127" i="12"/>
  <c r="O128" i="12"/>
  <c r="O129" i="12"/>
  <c r="K121" i="12"/>
  <c r="K122" i="12"/>
  <c r="K123" i="12"/>
  <c r="K124" i="12"/>
  <c r="K127" i="12"/>
  <c r="K128" i="12"/>
  <c r="K129" i="12"/>
  <c r="I121" i="12"/>
  <c r="I122" i="12"/>
  <c r="I123" i="12"/>
  <c r="I124" i="12"/>
  <c r="I127" i="12"/>
  <c r="I128" i="12"/>
  <c r="I129" i="12"/>
  <c r="M120" i="12"/>
  <c r="M121" i="12"/>
  <c r="M122" i="12"/>
  <c r="M123" i="12"/>
  <c r="M124" i="12"/>
  <c r="M127" i="12"/>
  <c r="M128" i="12"/>
  <c r="M129" i="12"/>
  <c r="M130" i="12"/>
  <c r="K120" i="12"/>
  <c r="I120" i="12"/>
  <c r="DI4" i="12"/>
  <c r="DK4" i="12"/>
  <c r="DI5" i="12"/>
  <c r="DK5" i="12"/>
  <c r="DI6" i="12"/>
  <c r="DK6" i="12"/>
  <c r="DI7" i="12"/>
  <c r="DK7" i="12"/>
  <c r="DI8" i="12"/>
  <c r="DK8" i="12"/>
  <c r="DI9" i="12"/>
  <c r="DK9" i="12"/>
  <c r="DI10" i="12"/>
  <c r="DK10" i="12"/>
  <c r="DI11" i="12"/>
  <c r="DK11" i="12"/>
  <c r="DI12" i="12"/>
  <c r="DK12" i="12"/>
  <c r="DI13" i="12"/>
  <c r="DK13" i="12"/>
  <c r="DI14" i="12"/>
  <c r="DK14" i="12"/>
  <c r="DI15" i="12"/>
  <c r="DK15" i="12"/>
  <c r="DI16" i="12"/>
  <c r="DK16" i="12"/>
  <c r="DI17" i="12"/>
  <c r="DK17" i="12"/>
  <c r="DI18" i="12"/>
  <c r="DK18" i="12"/>
  <c r="ED169" i="12"/>
  <c r="EB169" i="12"/>
  <c r="DZ169" i="12"/>
  <c r="DX169" i="12"/>
  <c r="DV169" i="12"/>
  <c r="DT169" i="12"/>
  <c r="DR169" i="12"/>
  <c r="DP169" i="12"/>
  <c r="DN169" i="12"/>
  <c r="DL169" i="12"/>
  <c r="DJ169" i="12"/>
  <c r="DH169" i="12"/>
  <c r="EF168" i="12"/>
  <c r="EG168" i="12" s="1"/>
  <c r="EE168" i="12"/>
  <c r="EC168" i="12"/>
  <c r="EA168" i="12"/>
  <c r="DY168" i="12"/>
  <c r="DW168" i="12"/>
  <c r="DU168" i="12"/>
  <c r="DS168" i="12"/>
  <c r="DQ168" i="12"/>
  <c r="DO168" i="12"/>
  <c r="DM168" i="12"/>
  <c r="DK168" i="12"/>
  <c r="DI168" i="12"/>
  <c r="EF167" i="12"/>
  <c r="EG167" i="12" s="1"/>
  <c r="EE167" i="12"/>
  <c r="EC167" i="12"/>
  <c r="EA167" i="12"/>
  <c r="DY167" i="12"/>
  <c r="DW167" i="12"/>
  <c r="DU167" i="12"/>
  <c r="DS167" i="12"/>
  <c r="DQ167" i="12"/>
  <c r="DO167" i="12"/>
  <c r="DM167" i="12"/>
  <c r="DK167" i="12"/>
  <c r="DI167" i="12"/>
  <c r="EF166" i="12"/>
  <c r="EG166" i="12" s="1"/>
  <c r="EE166" i="12"/>
  <c r="EC166" i="12"/>
  <c r="EA166" i="12"/>
  <c r="DY166" i="12"/>
  <c r="DW166" i="12"/>
  <c r="DU166" i="12"/>
  <c r="DS166" i="12"/>
  <c r="DQ166" i="12"/>
  <c r="DO166" i="12"/>
  <c r="DM166" i="12"/>
  <c r="DK166" i="12"/>
  <c r="DI166" i="12"/>
  <c r="EF165" i="12"/>
  <c r="EG165" i="12" s="1"/>
  <c r="EE165" i="12"/>
  <c r="EC165" i="12"/>
  <c r="EA165" i="12"/>
  <c r="DY165" i="12"/>
  <c r="DW165" i="12"/>
  <c r="DU165" i="12"/>
  <c r="DS165" i="12"/>
  <c r="DQ165" i="12"/>
  <c r="DO165" i="12"/>
  <c r="DM165" i="12"/>
  <c r="DK165" i="12"/>
  <c r="DI165" i="12"/>
  <c r="EF164" i="12"/>
  <c r="EG164" i="12" s="1"/>
  <c r="EE164" i="12"/>
  <c r="EC164" i="12"/>
  <c r="EA164" i="12"/>
  <c r="DY164" i="12"/>
  <c r="DW164" i="12"/>
  <c r="DU164" i="12"/>
  <c r="DS164" i="12"/>
  <c r="DQ164" i="12"/>
  <c r="DO164" i="12"/>
  <c r="DM164" i="12"/>
  <c r="DK164" i="12"/>
  <c r="DI164" i="12"/>
  <c r="EF163" i="12"/>
  <c r="EG163" i="12" s="1"/>
  <c r="EE163" i="12"/>
  <c r="EC163" i="12"/>
  <c r="EA163" i="12"/>
  <c r="DY163" i="12"/>
  <c r="DW163" i="12"/>
  <c r="DU163" i="12"/>
  <c r="DS163" i="12"/>
  <c r="DQ163" i="12"/>
  <c r="DO163" i="12"/>
  <c r="DM163" i="12"/>
  <c r="DK163" i="12"/>
  <c r="DI163" i="12"/>
  <c r="EF162" i="12"/>
  <c r="EG162" i="12" s="1"/>
  <c r="EE162" i="12"/>
  <c r="EC162" i="12"/>
  <c r="EA162" i="12"/>
  <c r="DY162" i="12"/>
  <c r="DW162" i="12"/>
  <c r="DU162" i="12"/>
  <c r="DS162" i="12"/>
  <c r="DQ162" i="12"/>
  <c r="DO162" i="12"/>
  <c r="DM162" i="12"/>
  <c r="DK162" i="12"/>
  <c r="DI162" i="12"/>
  <c r="EF161" i="12"/>
  <c r="EG161" i="12" s="1"/>
  <c r="EE161" i="12"/>
  <c r="EC161" i="12"/>
  <c r="EA161" i="12"/>
  <c r="DY161" i="12"/>
  <c r="DW161" i="12"/>
  <c r="DU161" i="12"/>
  <c r="DS161" i="12"/>
  <c r="DQ161" i="12"/>
  <c r="DO161" i="12"/>
  <c r="DM161" i="12"/>
  <c r="DK161" i="12"/>
  <c r="DI161" i="12"/>
  <c r="EF160" i="12"/>
  <c r="EG160" i="12" s="1"/>
  <c r="EE160" i="12"/>
  <c r="EC160" i="12"/>
  <c r="EA160" i="12"/>
  <c r="DY160" i="12"/>
  <c r="DW160" i="12"/>
  <c r="DU160" i="12"/>
  <c r="DS160" i="12"/>
  <c r="DQ160" i="12"/>
  <c r="DO160" i="12"/>
  <c r="DM160" i="12"/>
  <c r="DK160" i="12"/>
  <c r="DI160" i="12"/>
  <c r="EF159" i="12"/>
  <c r="EG159" i="12" s="1"/>
  <c r="EE159" i="12"/>
  <c r="EC159" i="12"/>
  <c r="EA159" i="12"/>
  <c r="DY159" i="12"/>
  <c r="DW159" i="12"/>
  <c r="DU159" i="12"/>
  <c r="DS159" i="12"/>
  <c r="DQ159" i="12"/>
  <c r="DO159" i="12"/>
  <c r="DM159" i="12"/>
  <c r="DK159" i="12"/>
  <c r="DI159" i="12"/>
  <c r="EF156" i="12"/>
  <c r="EG156" i="12" s="1"/>
  <c r="EE156" i="12"/>
  <c r="EC156" i="12"/>
  <c r="EA156" i="12"/>
  <c r="DY156" i="12"/>
  <c r="DW156" i="12"/>
  <c r="DU156" i="12"/>
  <c r="DS156" i="12"/>
  <c r="DQ156" i="12"/>
  <c r="DO156" i="12"/>
  <c r="DM156" i="12"/>
  <c r="DK156" i="12"/>
  <c r="DI156" i="12"/>
  <c r="EF155" i="12"/>
  <c r="EG155" i="12" s="1"/>
  <c r="EE155" i="12"/>
  <c r="EC155" i="12"/>
  <c r="EA155" i="12"/>
  <c r="DY155" i="12"/>
  <c r="DW155" i="12"/>
  <c r="DU155" i="12"/>
  <c r="DS155" i="12"/>
  <c r="DQ155" i="12"/>
  <c r="DO155" i="12"/>
  <c r="DM155" i="12"/>
  <c r="DK155" i="12"/>
  <c r="DI155" i="12"/>
  <c r="EF154" i="12"/>
  <c r="EG154" i="12" s="1"/>
  <c r="EE154" i="12"/>
  <c r="EC154" i="12"/>
  <c r="EA154" i="12"/>
  <c r="DY154" i="12"/>
  <c r="DW154" i="12"/>
  <c r="DU154" i="12"/>
  <c r="DS154" i="12"/>
  <c r="DQ154" i="12"/>
  <c r="DO154" i="12"/>
  <c r="DM154" i="12"/>
  <c r="DK154" i="12"/>
  <c r="DI154" i="12"/>
  <c r="EF153" i="12"/>
  <c r="EG153" i="12" s="1"/>
  <c r="EE153" i="12"/>
  <c r="EC153" i="12"/>
  <c r="EA153" i="12"/>
  <c r="DY153" i="12"/>
  <c r="DW153" i="12"/>
  <c r="DU153" i="12"/>
  <c r="DS153" i="12"/>
  <c r="DQ153" i="12"/>
  <c r="DO153" i="12"/>
  <c r="DM153" i="12"/>
  <c r="DK153" i="12"/>
  <c r="DI153" i="12"/>
  <c r="EF152" i="12"/>
  <c r="EG152" i="12" s="1"/>
  <c r="EE152" i="12"/>
  <c r="EC152" i="12"/>
  <c r="EA152" i="12"/>
  <c r="DY152" i="12"/>
  <c r="DW152" i="12"/>
  <c r="DU152" i="12"/>
  <c r="DS152" i="12"/>
  <c r="DQ152" i="12"/>
  <c r="DO152" i="12"/>
  <c r="DM152" i="12"/>
  <c r="DK152" i="12"/>
  <c r="DI152" i="12"/>
  <c r="EF151" i="12"/>
  <c r="EG151" i="12" s="1"/>
  <c r="EE151" i="12"/>
  <c r="EC151" i="12"/>
  <c r="EA151" i="12"/>
  <c r="DY151" i="12"/>
  <c r="DW151" i="12"/>
  <c r="DU151" i="12"/>
  <c r="DS151" i="12"/>
  <c r="DQ151" i="12"/>
  <c r="DO151" i="12"/>
  <c r="DM151" i="12"/>
  <c r="DK151" i="12"/>
  <c r="DI151" i="12"/>
  <c r="EF150" i="12"/>
  <c r="EG150" i="12" s="1"/>
  <c r="EE150" i="12"/>
  <c r="EC150" i="12"/>
  <c r="EA150" i="12"/>
  <c r="DY150" i="12"/>
  <c r="DW150" i="12"/>
  <c r="DU150" i="12"/>
  <c r="DS150" i="12"/>
  <c r="DQ150" i="12"/>
  <c r="DO150" i="12"/>
  <c r="DM150" i="12"/>
  <c r="DK150" i="12"/>
  <c r="DI150" i="12"/>
  <c r="EE149" i="12"/>
  <c r="EC149" i="12"/>
  <c r="EA149" i="12"/>
  <c r="DY149" i="12"/>
  <c r="DW149" i="12"/>
  <c r="DU149" i="12"/>
  <c r="DS149" i="12"/>
  <c r="DQ149" i="12"/>
  <c r="DO149" i="12"/>
  <c r="DM149" i="12"/>
  <c r="DK149" i="12"/>
  <c r="DI149" i="12"/>
  <c r="ED148" i="12"/>
  <c r="EB148" i="12"/>
  <c r="DZ148" i="12"/>
  <c r="DX148" i="12"/>
  <c r="DV148" i="12"/>
  <c r="DT148" i="12"/>
  <c r="DR148" i="12"/>
  <c r="DP148" i="12"/>
  <c r="DN148" i="12"/>
  <c r="DL148" i="12"/>
  <c r="DJ148" i="12"/>
  <c r="DH148" i="12"/>
  <c r="K4" i="4" s="1"/>
  <c r="EF147" i="12"/>
  <c r="EG147" i="12" s="1"/>
  <c r="EE147" i="12"/>
  <c r="EC147" i="12"/>
  <c r="EA147" i="12"/>
  <c r="DY147" i="12"/>
  <c r="DW147" i="12"/>
  <c r="DU147" i="12"/>
  <c r="DS147" i="12"/>
  <c r="DQ147" i="12"/>
  <c r="DO147" i="12"/>
  <c r="DM147" i="12"/>
  <c r="DK147" i="12"/>
  <c r="DI147" i="12"/>
  <c r="EF146" i="12"/>
  <c r="EG146" i="12" s="1"/>
  <c r="EE146" i="12"/>
  <c r="EC146" i="12"/>
  <c r="EA146" i="12"/>
  <c r="DY146" i="12"/>
  <c r="DW146" i="12"/>
  <c r="DU146" i="12"/>
  <c r="DS146" i="12"/>
  <c r="DQ146" i="12"/>
  <c r="DO146" i="12"/>
  <c r="DM146" i="12"/>
  <c r="DK146" i="12"/>
  <c r="DI146" i="12"/>
  <c r="EF145" i="12"/>
  <c r="EG145" i="12" s="1"/>
  <c r="EE145" i="12"/>
  <c r="EC145" i="12"/>
  <c r="EA145" i="12"/>
  <c r="DY145" i="12"/>
  <c r="DW145" i="12"/>
  <c r="DU145" i="12"/>
  <c r="DS145" i="12"/>
  <c r="DQ145" i="12"/>
  <c r="DO145" i="12"/>
  <c r="DM145" i="12"/>
  <c r="DK145" i="12"/>
  <c r="DI145" i="12"/>
  <c r="EF144" i="12"/>
  <c r="EG144" i="12" s="1"/>
  <c r="EE144" i="12"/>
  <c r="EC144" i="12"/>
  <c r="EA144" i="12"/>
  <c r="DY144" i="12"/>
  <c r="DW144" i="12"/>
  <c r="DU144" i="12"/>
  <c r="DS144" i="12"/>
  <c r="DQ144" i="12"/>
  <c r="DO144" i="12"/>
  <c r="DM144" i="12"/>
  <c r="DK144" i="12"/>
  <c r="DI144" i="12"/>
  <c r="EF143" i="12"/>
  <c r="EG143" i="12" s="1"/>
  <c r="EE143" i="12"/>
  <c r="EC143" i="12"/>
  <c r="EA143" i="12"/>
  <c r="DY143" i="12"/>
  <c r="DW143" i="12"/>
  <c r="DU143" i="12"/>
  <c r="DS143" i="12"/>
  <c r="DQ143" i="12"/>
  <c r="DO143" i="12"/>
  <c r="DM143" i="12"/>
  <c r="DK143" i="12"/>
  <c r="DI143" i="12"/>
  <c r="EF140" i="12"/>
  <c r="EG140" i="12" s="1"/>
  <c r="EE140" i="12"/>
  <c r="EC140" i="12"/>
  <c r="EA140" i="12"/>
  <c r="DY140" i="12"/>
  <c r="DW140" i="12"/>
  <c r="DU140" i="12"/>
  <c r="DS140" i="12"/>
  <c r="DQ140" i="12"/>
  <c r="DO140" i="12"/>
  <c r="DM140" i="12"/>
  <c r="DK140" i="12"/>
  <c r="DI140" i="12"/>
  <c r="EF139" i="12"/>
  <c r="EG139" i="12" s="1"/>
  <c r="EE139" i="12"/>
  <c r="EC139" i="12"/>
  <c r="EA139" i="12"/>
  <c r="DY139" i="12"/>
  <c r="DW139" i="12"/>
  <c r="DU139" i="12"/>
  <c r="DS139" i="12"/>
  <c r="DQ139" i="12"/>
  <c r="DO139" i="12"/>
  <c r="DM139" i="12"/>
  <c r="DK139" i="12"/>
  <c r="DI139" i="12"/>
  <c r="EF138" i="12"/>
  <c r="EG138" i="12" s="1"/>
  <c r="EE138" i="12"/>
  <c r="EC138" i="12"/>
  <c r="EA138" i="12"/>
  <c r="DY138" i="12"/>
  <c r="DW138" i="12"/>
  <c r="DU138" i="12"/>
  <c r="DS138" i="12"/>
  <c r="DQ138" i="12"/>
  <c r="DO138" i="12"/>
  <c r="DM138" i="12"/>
  <c r="DK138" i="12"/>
  <c r="DI138" i="12"/>
  <c r="EF137" i="12"/>
  <c r="EG137" i="12" s="1"/>
  <c r="EE137" i="12"/>
  <c r="EC137" i="12"/>
  <c r="EA137" i="12"/>
  <c r="DY137" i="12"/>
  <c r="DW137" i="12"/>
  <c r="DU137" i="12"/>
  <c r="DS137" i="12"/>
  <c r="DQ137" i="12"/>
  <c r="DO137" i="12"/>
  <c r="DM137" i="12"/>
  <c r="DK137" i="12"/>
  <c r="DI137" i="12"/>
  <c r="EF136" i="12"/>
  <c r="EG136" i="12" s="1"/>
  <c r="EE136" i="12"/>
  <c r="EC136" i="12"/>
  <c r="EA136" i="12"/>
  <c r="DY136" i="12"/>
  <c r="DW136" i="12"/>
  <c r="DU136" i="12"/>
  <c r="DS136" i="12"/>
  <c r="DQ136" i="12"/>
  <c r="DO136" i="12"/>
  <c r="DM136" i="12"/>
  <c r="DK136" i="12"/>
  <c r="DI136" i="12"/>
  <c r="EF135" i="12"/>
  <c r="EG135" i="12" s="1"/>
  <c r="EE135" i="12"/>
  <c r="EC135" i="12"/>
  <c r="EA135" i="12"/>
  <c r="DY135" i="12"/>
  <c r="DW135" i="12"/>
  <c r="DU135" i="12"/>
  <c r="DS135" i="12"/>
  <c r="DQ135" i="12"/>
  <c r="DO135" i="12"/>
  <c r="DM135" i="12"/>
  <c r="DK135" i="12"/>
  <c r="DI135" i="12"/>
  <c r="EF134" i="12"/>
  <c r="EG134" i="12" s="1"/>
  <c r="EE134" i="12"/>
  <c r="EC134" i="12"/>
  <c r="EA134" i="12"/>
  <c r="DY134" i="12"/>
  <c r="DW134" i="12"/>
  <c r="DU134" i="12"/>
  <c r="DS134" i="12"/>
  <c r="DQ134" i="12"/>
  <c r="DO134" i="12"/>
  <c r="DM134" i="12"/>
  <c r="DK134" i="12"/>
  <c r="DI134" i="12"/>
  <c r="EF133" i="12"/>
  <c r="EG133" i="12" s="1"/>
  <c r="EE133" i="12"/>
  <c r="EC133" i="12"/>
  <c r="EA133" i="12"/>
  <c r="DY133" i="12"/>
  <c r="DW133" i="12"/>
  <c r="DU133" i="12"/>
  <c r="DS133" i="12"/>
  <c r="DQ133" i="12"/>
  <c r="DO133" i="12"/>
  <c r="DM133" i="12"/>
  <c r="DK133" i="12"/>
  <c r="DI133" i="12"/>
  <c r="EF132" i="12"/>
  <c r="EG132" i="12" s="1"/>
  <c r="EE132" i="12"/>
  <c r="EC132" i="12"/>
  <c r="EA132" i="12"/>
  <c r="DY132" i="12"/>
  <c r="DW132" i="12"/>
  <c r="DU132" i="12"/>
  <c r="DS132" i="12"/>
  <c r="DQ132" i="12"/>
  <c r="DO132" i="12"/>
  <c r="DM132" i="12"/>
  <c r="DK132" i="12"/>
  <c r="DI132" i="12"/>
  <c r="EF131" i="12"/>
  <c r="EG131" i="12" s="1"/>
  <c r="EE131" i="12"/>
  <c r="EC131" i="12"/>
  <c r="EA131" i="12"/>
  <c r="DY131" i="12"/>
  <c r="DW131" i="12"/>
  <c r="DU131" i="12"/>
  <c r="DS131" i="12"/>
  <c r="DQ131" i="12"/>
  <c r="DO131" i="12"/>
  <c r="DM131" i="12"/>
  <c r="DK131" i="12"/>
  <c r="DI131" i="12"/>
  <c r="EF130" i="12"/>
  <c r="EG130" i="12" s="1"/>
  <c r="EE130" i="12"/>
  <c r="EC130" i="12"/>
  <c r="EA130" i="12"/>
  <c r="DY130" i="12"/>
  <c r="DW130" i="12"/>
  <c r="DU130" i="12"/>
  <c r="DS130" i="12"/>
  <c r="DQ130" i="12"/>
  <c r="DO130" i="12"/>
  <c r="DM130" i="12"/>
  <c r="DK130" i="12"/>
  <c r="DI130" i="12"/>
  <c r="EF129" i="12"/>
  <c r="EG129" i="12" s="1"/>
  <c r="EA129" i="12"/>
  <c r="DY129" i="12"/>
  <c r="EF128" i="12"/>
  <c r="EG128" i="12" s="1"/>
  <c r="EA128" i="12"/>
  <c r="DY128" i="12"/>
  <c r="EF127" i="12"/>
  <c r="EG127" i="12" s="1"/>
  <c r="EA127" i="12"/>
  <c r="DY127" i="12"/>
  <c r="EF124" i="12"/>
  <c r="EG124" i="12" s="1"/>
  <c r="EA124" i="12"/>
  <c r="DY124" i="12"/>
  <c r="EF123" i="12"/>
  <c r="EG123" i="12" s="1"/>
  <c r="EA123" i="12"/>
  <c r="DY123" i="12"/>
  <c r="EF119" i="12"/>
  <c r="EG119" i="12" s="1"/>
  <c r="EE119" i="12"/>
  <c r="EC119" i="12"/>
  <c r="EA119" i="12"/>
  <c r="DY119" i="12"/>
  <c r="DW119" i="12"/>
  <c r="DU119" i="12"/>
  <c r="DS119" i="12"/>
  <c r="DQ119" i="12"/>
  <c r="DO119" i="12"/>
  <c r="DM119" i="12"/>
  <c r="DK119" i="12"/>
  <c r="DI119" i="12"/>
  <c r="EF118" i="12"/>
  <c r="EG118" i="12" s="1"/>
  <c r="EE118" i="12"/>
  <c r="EC118" i="12"/>
  <c r="EA118" i="12"/>
  <c r="DY118" i="12"/>
  <c r="DW118" i="12"/>
  <c r="DU118" i="12"/>
  <c r="DS118" i="12"/>
  <c r="DQ118" i="12"/>
  <c r="DO118" i="12"/>
  <c r="DM118" i="12"/>
  <c r="DK118" i="12"/>
  <c r="DI118" i="12"/>
  <c r="EF117" i="12"/>
  <c r="EG117" i="12" s="1"/>
  <c r="EE117" i="12"/>
  <c r="EC117" i="12"/>
  <c r="EA117" i="12"/>
  <c r="DY117" i="12"/>
  <c r="DW117" i="12"/>
  <c r="DU117" i="12"/>
  <c r="DS117" i="12"/>
  <c r="DQ117" i="12"/>
  <c r="DO117" i="12"/>
  <c r="DM117" i="12"/>
  <c r="DK117" i="12"/>
  <c r="DI117" i="12"/>
  <c r="EF116" i="12"/>
  <c r="EG116" i="12" s="1"/>
  <c r="EE116" i="12"/>
  <c r="EC116" i="12"/>
  <c r="EA116" i="12"/>
  <c r="DY116" i="12"/>
  <c r="DW116" i="12"/>
  <c r="DU116" i="12"/>
  <c r="DS116" i="12"/>
  <c r="DQ116" i="12"/>
  <c r="DO116" i="12"/>
  <c r="DM116" i="12"/>
  <c r="DK116" i="12"/>
  <c r="DI116" i="12"/>
  <c r="EF115" i="12"/>
  <c r="EG115" i="12" s="1"/>
  <c r="EE115" i="12"/>
  <c r="EC115" i="12"/>
  <c r="EA115" i="12"/>
  <c r="DY115" i="12"/>
  <c r="DW115" i="12"/>
  <c r="DU115" i="12"/>
  <c r="DS115" i="12"/>
  <c r="DQ115" i="12"/>
  <c r="DO115" i="12"/>
  <c r="DM115" i="12"/>
  <c r="DK115" i="12"/>
  <c r="DI115" i="12"/>
  <c r="EF114" i="12"/>
  <c r="EG114" i="12" s="1"/>
  <c r="EE114" i="12"/>
  <c r="EC114" i="12"/>
  <c r="EA114" i="12"/>
  <c r="DY114" i="12"/>
  <c r="DW114" i="12"/>
  <c r="DU114" i="12"/>
  <c r="DS114" i="12"/>
  <c r="DQ114" i="12"/>
  <c r="DO114" i="12"/>
  <c r="DM114" i="12"/>
  <c r="DK114" i="12"/>
  <c r="DI114" i="12"/>
  <c r="EF113" i="12"/>
  <c r="EG113" i="12" s="1"/>
  <c r="EE113" i="12"/>
  <c r="EC113" i="12"/>
  <c r="EA113" i="12"/>
  <c r="DY113" i="12"/>
  <c r="DW113" i="12"/>
  <c r="DU113" i="12"/>
  <c r="DS113" i="12"/>
  <c r="DQ113" i="12"/>
  <c r="DO113" i="12"/>
  <c r="DM113" i="12"/>
  <c r="DK113" i="12"/>
  <c r="DI113" i="12"/>
  <c r="EF112" i="12"/>
  <c r="EG112" i="12" s="1"/>
  <c r="EE112" i="12"/>
  <c r="EC112" i="12"/>
  <c r="EA112" i="12"/>
  <c r="DY112" i="12"/>
  <c r="DW112" i="12"/>
  <c r="DU112" i="12"/>
  <c r="DS112" i="12"/>
  <c r="DQ112" i="12"/>
  <c r="DO112" i="12"/>
  <c r="DM112" i="12"/>
  <c r="DK112" i="12"/>
  <c r="DI112" i="12"/>
  <c r="EF111" i="12"/>
  <c r="EG111" i="12" s="1"/>
  <c r="EE111" i="12"/>
  <c r="EC111" i="12"/>
  <c r="EA111" i="12"/>
  <c r="DY111" i="12"/>
  <c r="DW111" i="12"/>
  <c r="DU111" i="12"/>
  <c r="DS111" i="12"/>
  <c r="DQ111" i="12"/>
  <c r="DO111" i="12"/>
  <c r="DM111" i="12"/>
  <c r="DK111" i="12"/>
  <c r="DI111" i="12"/>
  <c r="EF110" i="12"/>
  <c r="EG110" i="12" s="1"/>
  <c r="EE110" i="12"/>
  <c r="EC110" i="12"/>
  <c r="EA110" i="12"/>
  <c r="DY110" i="12"/>
  <c r="DW110" i="12"/>
  <c r="DU110" i="12"/>
  <c r="DS110" i="12"/>
  <c r="DQ110" i="12"/>
  <c r="DO110" i="12"/>
  <c r="DM110" i="12"/>
  <c r="DK110" i="12"/>
  <c r="DI110" i="12"/>
  <c r="EF109" i="12"/>
  <c r="EG109" i="12" s="1"/>
  <c r="EE109" i="12"/>
  <c r="EC109" i="12"/>
  <c r="EA109" i="12"/>
  <c r="DY109" i="12"/>
  <c r="DW109" i="12"/>
  <c r="DU109" i="12"/>
  <c r="DS109" i="12"/>
  <c r="DQ109" i="12"/>
  <c r="DO109" i="12"/>
  <c r="DM109" i="12"/>
  <c r="DK109" i="12"/>
  <c r="DI109" i="12"/>
  <c r="EF108" i="12"/>
  <c r="EG108" i="12" s="1"/>
  <c r="EE108" i="12"/>
  <c r="EC108" i="12"/>
  <c r="EA108" i="12"/>
  <c r="DY108" i="12"/>
  <c r="DW108" i="12"/>
  <c r="DU108" i="12"/>
  <c r="DS108" i="12"/>
  <c r="DQ108" i="12"/>
  <c r="DO108" i="12"/>
  <c r="DM108" i="12"/>
  <c r="DK108" i="12"/>
  <c r="DI108" i="12"/>
  <c r="EF107" i="12"/>
  <c r="EG107" i="12" s="1"/>
  <c r="EE107" i="12"/>
  <c r="EC107" i="12"/>
  <c r="EA107" i="12"/>
  <c r="DY107" i="12"/>
  <c r="DW107" i="12"/>
  <c r="DU107" i="12"/>
  <c r="DS107" i="12"/>
  <c r="DQ107" i="12"/>
  <c r="DO107" i="12"/>
  <c r="DM107" i="12"/>
  <c r="DK107" i="12"/>
  <c r="DI107" i="12"/>
  <c r="EF106" i="12"/>
  <c r="EG106" i="12" s="1"/>
  <c r="EE106" i="12"/>
  <c r="EC106" i="12"/>
  <c r="EA106" i="12"/>
  <c r="DY106" i="12"/>
  <c r="DW106" i="12"/>
  <c r="DU106" i="12"/>
  <c r="DS106" i="12"/>
  <c r="DQ106" i="12"/>
  <c r="DO106" i="12"/>
  <c r="DM106" i="12"/>
  <c r="DK106" i="12"/>
  <c r="DI106" i="12"/>
  <c r="EF105" i="12"/>
  <c r="EG105" i="12" s="1"/>
  <c r="EE105" i="12"/>
  <c r="EC105" i="12"/>
  <c r="EA105" i="12"/>
  <c r="DY105" i="12"/>
  <c r="DW105" i="12"/>
  <c r="DU105" i="12"/>
  <c r="DS105" i="12"/>
  <c r="DQ105" i="12"/>
  <c r="DO105" i="12"/>
  <c r="DM105" i="12"/>
  <c r="DK105" i="12"/>
  <c r="DI105" i="12"/>
  <c r="EF104" i="12"/>
  <c r="EG104" i="12" s="1"/>
  <c r="EE104" i="12"/>
  <c r="EC104" i="12"/>
  <c r="EA104" i="12"/>
  <c r="DY104" i="12"/>
  <c r="DW104" i="12"/>
  <c r="DU104" i="12"/>
  <c r="DS104" i="12"/>
  <c r="DQ104" i="12"/>
  <c r="DO104" i="12"/>
  <c r="DM104" i="12"/>
  <c r="DK104" i="12"/>
  <c r="DI104" i="12"/>
  <c r="EF103" i="12"/>
  <c r="EG103" i="12" s="1"/>
  <c r="EE103" i="12"/>
  <c r="EC103" i="12"/>
  <c r="EA103" i="12"/>
  <c r="DY103" i="12"/>
  <c r="DW103" i="12"/>
  <c r="DU103" i="12"/>
  <c r="DS103" i="12"/>
  <c r="DQ103" i="12"/>
  <c r="DO103" i="12"/>
  <c r="DM103" i="12"/>
  <c r="DK103" i="12"/>
  <c r="DI103" i="12"/>
  <c r="EF102" i="12"/>
  <c r="EG102" i="12" s="1"/>
  <c r="EE102" i="12"/>
  <c r="EC102" i="12"/>
  <c r="EA102" i="12"/>
  <c r="DY102" i="12"/>
  <c r="DW102" i="12"/>
  <c r="DU102" i="12"/>
  <c r="DS102" i="12"/>
  <c r="DQ102" i="12"/>
  <c r="DO102" i="12"/>
  <c r="DM102" i="12"/>
  <c r="DK102" i="12"/>
  <c r="DI102" i="12"/>
  <c r="EF101" i="12"/>
  <c r="EG101" i="12" s="1"/>
  <c r="EE101" i="12"/>
  <c r="EC101" i="12"/>
  <c r="EA101" i="12"/>
  <c r="DY101" i="12"/>
  <c r="DW101" i="12"/>
  <c r="DU101" i="12"/>
  <c r="DS101" i="12"/>
  <c r="DQ101" i="12"/>
  <c r="DO101" i="12"/>
  <c r="DM101" i="12"/>
  <c r="DK101" i="12"/>
  <c r="DI101" i="12"/>
  <c r="EF100" i="12"/>
  <c r="EG100" i="12" s="1"/>
  <c r="EE100" i="12"/>
  <c r="EC100" i="12"/>
  <c r="EA100" i="12"/>
  <c r="DY100" i="12"/>
  <c r="DW100" i="12"/>
  <c r="DU100" i="12"/>
  <c r="DS100" i="12"/>
  <c r="DQ100" i="12"/>
  <c r="DO100" i="12"/>
  <c r="DM100" i="12"/>
  <c r="DK100" i="12"/>
  <c r="DI100" i="12"/>
  <c r="EF99" i="12"/>
  <c r="EG99" i="12" s="1"/>
  <c r="EE99" i="12"/>
  <c r="EC99" i="12"/>
  <c r="EA99" i="12"/>
  <c r="DY99" i="12"/>
  <c r="DW99" i="12"/>
  <c r="DU99" i="12"/>
  <c r="DS99" i="12"/>
  <c r="DQ99" i="12"/>
  <c r="DO99" i="12"/>
  <c r="DM99" i="12"/>
  <c r="DK99" i="12"/>
  <c r="DI99" i="12"/>
  <c r="EF98" i="12"/>
  <c r="EG98" i="12" s="1"/>
  <c r="EE98" i="12"/>
  <c r="EC98" i="12"/>
  <c r="EA98" i="12"/>
  <c r="DY98" i="12"/>
  <c r="DW98" i="12"/>
  <c r="DU98" i="12"/>
  <c r="DS98" i="12"/>
  <c r="DQ98" i="12"/>
  <c r="DO98" i="12"/>
  <c r="DM98" i="12"/>
  <c r="DK98" i="12"/>
  <c r="DI98" i="12"/>
  <c r="EF97" i="12"/>
  <c r="EG97" i="12" s="1"/>
  <c r="EE97" i="12"/>
  <c r="EC97" i="12"/>
  <c r="EA97" i="12"/>
  <c r="DY97" i="12"/>
  <c r="DW97" i="12"/>
  <c r="DU97" i="12"/>
  <c r="DS97" i="12"/>
  <c r="DQ97" i="12"/>
  <c r="DO97" i="12"/>
  <c r="DM97" i="12"/>
  <c r="DK97" i="12"/>
  <c r="DI97" i="12"/>
  <c r="EF96" i="12"/>
  <c r="EG96" i="12" s="1"/>
  <c r="EE96" i="12"/>
  <c r="EC96" i="12"/>
  <c r="EA96" i="12"/>
  <c r="DY96" i="12"/>
  <c r="DW96" i="12"/>
  <c r="DU96" i="12"/>
  <c r="DS96" i="12"/>
  <c r="DQ96" i="12"/>
  <c r="DO96" i="12"/>
  <c r="DM96" i="12"/>
  <c r="DK96" i="12"/>
  <c r="DI96" i="12"/>
  <c r="EF95" i="12"/>
  <c r="EG95" i="12" s="1"/>
  <c r="EE95" i="12"/>
  <c r="EC95" i="12"/>
  <c r="EA95" i="12"/>
  <c r="DY95" i="12"/>
  <c r="DW95" i="12"/>
  <c r="DU95" i="12"/>
  <c r="DS95" i="12"/>
  <c r="DQ95" i="12"/>
  <c r="DO95" i="12"/>
  <c r="DM95" i="12"/>
  <c r="DK95" i="12"/>
  <c r="DI95" i="12"/>
  <c r="EF94" i="12"/>
  <c r="EG94" i="12" s="1"/>
  <c r="EE94" i="12"/>
  <c r="EC94" i="12"/>
  <c r="EA94" i="12"/>
  <c r="DY94" i="12"/>
  <c r="DW94" i="12"/>
  <c r="DU94" i="12"/>
  <c r="DS94" i="12"/>
  <c r="DQ94" i="12"/>
  <c r="DO94" i="12"/>
  <c r="DM94" i="12"/>
  <c r="DK94" i="12"/>
  <c r="DI94" i="12"/>
  <c r="EF93" i="12"/>
  <c r="EG93" i="12" s="1"/>
  <c r="EE93" i="12"/>
  <c r="EC93" i="12"/>
  <c r="EA93" i="12"/>
  <c r="DY93" i="12"/>
  <c r="DW93" i="12"/>
  <c r="DU93" i="12"/>
  <c r="DS93" i="12"/>
  <c r="DQ93" i="12"/>
  <c r="DO93" i="12"/>
  <c r="DM93" i="12"/>
  <c r="DK93" i="12"/>
  <c r="DI93" i="12"/>
  <c r="EF92" i="12"/>
  <c r="EG92" i="12" s="1"/>
  <c r="EE92" i="12"/>
  <c r="EC92" i="12"/>
  <c r="EA92" i="12"/>
  <c r="DY92" i="12"/>
  <c r="DW92" i="12"/>
  <c r="DU92" i="12"/>
  <c r="DS92" i="12"/>
  <c r="DQ92" i="12"/>
  <c r="DO92" i="12"/>
  <c r="DM92" i="12"/>
  <c r="DK92" i="12"/>
  <c r="DI92" i="12"/>
  <c r="EF91" i="12"/>
  <c r="EG91" i="12" s="1"/>
  <c r="EE91" i="12"/>
  <c r="EC91" i="12"/>
  <c r="EA91" i="12"/>
  <c r="DY91" i="12"/>
  <c r="DW91" i="12"/>
  <c r="DU91" i="12"/>
  <c r="DS91" i="12"/>
  <c r="DQ91" i="12"/>
  <c r="DO91" i="12"/>
  <c r="DM91" i="12"/>
  <c r="DK91" i="12"/>
  <c r="DI91" i="12"/>
  <c r="EF90" i="12"/>
  <c r="EG90" i="12" s="1"/>
  <c r="EE90" i="12"/>
  <c r="EC90" i="12"/>
  <c r="EA90" i="12"/>
  <c r="DY90" i="12"/>
  <c r="DW90" i="12"/>
  <c r="DU90" i="12"/>
  <c r="DS90" i="12"/>
  <c r="DQ90" i="12"/>
  <c r="DO90" i="12"/>
  <c r="DM90" i="12"/>
  <c r="DK90" i="12"/>
  <c r="DI90" i="12"/>
  <c r="EF89" i="12"/>
  <c r="EG89" i="12" s="1"/>
  <c r="EE89" i="12"/>
  <c r="EC89" i="12"/>
  <c r="EA89" i="12"/>
  <c r="DY89" i="12"/>
  <c r="DW89" i="12"/>
  <c r="DU89" i="12"/>
  <c r="DS89" i="12"/>
  <c r="DQ89" i="12"/>
  <c r="DO89" i="12"/>
  <c r="DM89" i="12"/>
  <c r="DK89" i="12"/>
  <c r="DI89" i="12"/>
  <c r="EF88" i="12"/>
  <c r="EG88" i="12" s="1"/>
  <c r="EE88" i="12"/>
  <c r="EC88" i="12"/>
  <c r="EA88" i="12"/>
  <c r="DY88" i="12"/>
  <c r="DW88" i="12"/>
  <c r="DU88" i="12"/>
  <c r="DS88" i="12"/>
  <c r="DQ88" i="12"/>
  <c r="DO88" i="12"/>
  <c r="DM88" i="12"/>
  <c r="DK88" i="12"/>
  <c r="DI88" i="12"/>
  <c r="EF87" i="12"/>
  <c r="EG87" i="12" s="1"/>
  <c r="EE87" i="12"/>
  <c r="EC87" i="12"/>
  <c r="EA87" i="12"/>
  <c r="DY87" i="12"/>
  <c r="DW87" i="12"/>
  <c r="DU87" i="12"/>
  <c r="DS87" i="12"/>
  <c r="DQ87" i="12"/>
  <c r="DO87" i="12"/>
  <c r="DM87" i="12"/>
  <c r="DK87" i="12"/>
  <c r="DI87" i="12"/>
  <c r="EF86" i="12"/>
  <c r="EG86" i="12" s="1"/>
  <c r="EE86" i="12"/>
  <c r="EC86" i="12"/>
  <c r="EA86" i="12"/>
  <c r="DY86" i="12"/>
  <c r="DW86" i="12"/>
  <c r="DU86" i="12"/>
  <c r="DS86" i="12"/>
  <c r="DQ86" i="12"/>
  <c r="DO86" i="12"/>
  <c r="DM86" i="12"/>
  <c r="DK86" i="12"/>
  <c r="DI86" i="12"/>
  <c r="EF85" i="12"/>
  <c r="EG85" i="12" s="1"/>
  <c r="EE85" i="12"/>
  <c r="EC85" i="12"/>
  <c r="EA85" i="12"/>
  <c r="DY85" i="12"/>
  <c r="DW85" i="12"/>
  <c r="DU85" i="12"/>
  <c r="DS85" i="12"/>
  <c r="DQ85" i="12"/>
  <c r="DO85" i="12"/>
  <c r="DM85" i="12"/>
  <c r="DK85" i="12"/>
  <c r="DI85" i="12"/>
  <c r="EF84" i="12"/>
  <c r="EG84" i="12" s="1"/>
  <c r="EE84" i="12"/>
  <c r="EC84" i="12"/>
  <c r="EA84" i="12"/>
  <c r="DY84" i="12"/>
  <c r="DW84" i="12"/>
  <c r="DU84" i="12"/>
  <c r="DS84" i="12"/>
  <c r="DQ84" i="12"/>
  <c r="DO84" i="12"/>
  <c r="DM84" i="12"/>
  <c r="DK84" i="12"/>
  <c r="DI84" i="12"/>
  <c r="EF83" i="12"/>
  <c r="EG83" i="12" s="1"/>
  <c r="EE83" i="12"/>
  <c r="EC83" i="12"/>
  <c r="EA83" i="12"/>
  <c r="DY83" i="12"/>
  <c r="DW83" i="12"/>
  <c r="DU83" i="12"/>
  <c r="DS83" i="12"/>
  <c r="DQ83" i="12"/>
  <c r="DO83" i="12"/>
  <c r="DM83" i="12"/>
  <c r="DK83" i="12"/>
  <c r="DI83" i="12"/>
  <c r="EF82" i="12"/>
  <c r="EG82" i="12" s="1"/>
  <c r="EE82" i="12"/>
  <c r="EC82" i="12"/>
  <c r="EA82" i="12"/>
  <c r="DY82" i="12"/>
  <c r="DW82" i="12"/>
  <c r="DU82" i="12"/>
  <c r="DS82" i="12"/>
  <c r="DQ82" i="12"/>
  <c r="DO82" i="12"/>
  <c r="DM82" i="12"/>
  <c r="DK82" i="12"/>
  <c r="DI82" i="12"/>
  <c r="EF81" i="12"/>
  <c r="EG81" i="12" s="1"/>
  <c r="EE81" i="12"/>
  <c r="EC81" i="12"/>
  <c r="EA81" i="12"/>
  <c r="DY81" i="12"/>
  <c r="DW81" i="12"/>
  <c r="DU81" i="12"/>
  <c r="DS81" i="12"/>
  <c r="DQ81" i="12"/>
  <c r="DO81" i="12"/>
  <c r="DM81" i="12"/>
  <c r="DK81" i="12"/>
  <c r="DI81" i="12"/>
  <c r="EF80" i="12"/>
  <c r="EG80" i="12" s="1"/>
  <c r="EE80" i="12"/>
  <c r="EC80" i="12"/>
  <c r="EA80" i="12"/>
  <c r="DY80" i="12"/>
  <c r="DW80" i="12"/>
  <c r="DU80" i="12"/>
  <c r="DS80" i="12"/>
  <c r="DQ80" i="12"/>
  <c r="DO80" i="12"/>
  <c r="DM80" i="12"/>
  <c r="DK80" i="12"/>
  <c r="DI80" i="12"/>
  <c r="EF79" i="12"/>
  <c r="EG79" i="12" s="1"/>
  <c r="EE79" i="12"/>
  <c r="EC79" i="12"/>
  <c r="EA79" i="12"/>
  <c r="DY79" i="12"/>
  <c r="DW79" i="12"/>
  <c r="DU79" i="12"/>
  <c r="DS79" i="12"/>
  <c r="DQ79" i="12"/>
  <c r="DO79" i="12"/>
  <c r="DM79" i="12"/>
  <c r="DK79" i="12"/>
  <c r="DI79" i="12"/>
  <c r="EF78" i="12"/>
  <c r="EG78" i="12" s="1"/>
  <c r="EE78" i="12"/>
  <c r="EC78" i="12"/>
  <c r="EA78" i="12"/>
  <c r="DY78" i="12"/>
  <c r="DW78" i="12"/>
  <c r="DU78" i="12"/>
  <c r="DS78" i="12"/>
  <c r="DQ78" i="12"/>
  <c r="DO78" i="12"/>
  <c r="DM78" i="12"/>
  <c r="DK78" i="12"/>
  <c r="DI78" i="12"/>
  <c r="EF77" i="12"/>
  <c r="EG77" i="12" s="1"/>
  <c r="EE77" i="12"/>
  <c r="EC77" i="12"/>
  <c r="EA77" i="12"/>
  <c r="DY77" i="12"/>
  <c r="DW77" i="12"/>
  <c r="DU77" i="12"/>
  <c r="DS77" i="12"/>
  <c r="DQ77" i="12"/>
  <c r="DO77" i="12"/>
  <c r="DM77" i="12"/>
  <c r="DK77" i="12"/>
  <c r="DI77" i="12"/>
  <c r="EF76" i="12"/>
  <c r="EG76" i="12" s="1"/>
  <c r="EE76" i="12"/>
  <c r="EC76" i="12"/>
  <c r="EA76" i="12"/>
  <c r="DY76" i="12"/>
  <c r="DW76" i="12"/>
  <c r="DU76" i="12"/>
  <c r="DS76" i="12"/>
  <c r="DQ76" i="12"/>
  <c r="DO76" i="12"/>
  <c r="DM76" i="12"/>
  <c r="DK76" i="12"/>
  <c r="DI76" i="12"/>
  <c r="EF75" i="12"/>
  <c r="EG75" i="12" s="1"/>
  <c r="EE75" i="12"/>
  <c r="EC75" i="12"/>
  <c r="EA75" i="12"/>
  <c r="DY75" i="12"/>
  <c r="DW75" i="12"/>
  <c r="DU75" i="12"/>
  <c r="DS75" i="12"/>
  <c r="DQ75" i="12"/>
  <c r="DO75" i="12"/>
  <c r="DM75" i="12"/>
  <c r="DK75" i="12"/>
  <c r="DI75" i="12"/>
  <c r="EF74" i="12"/>
  <c r="EG74" i="12" s="1"/>
  <c r="EE74" i="12"/>
  <c r="EC74" i="12"/>
  <c r="EA74" i="12"/>
  <c r="DY74" i="12"/>
  <c r="DW74" i="12"/>
  <c r="DU74" i="12"/>
  <c r="DS74" i="12"/>
  <c r="DQ74" i="12"/>
  <c r="DO74" i="12"/>
  <c r="DM74" i="12"/>
  <c r="DK74" i="12"/>
  <c r="DI74" i="12"/>
  <c r="EF73" i="12"/>
  <c r="EG73" i="12" s="1"/>
  <c r="EE73" i="12"/>
  <c r="EC73" i="12"/>
  <c r="EA73" i="12"/>
  <c r="DY73" i="12"/>
  <c r="DW73" i="12"/>
  <c r="DU73" i="12"/>
  <c r="DS73" i="12"/>
  <c r="DQ73" i="12"/>
  <c r="DO73" i="12"/>
  <c r="DM73" i="12"/>
  <c r="DK73" i="12"/>
  <c r="DI73" i="12"/>
  <c r="EF72" i="12"/>
  <c r="EG72" i="12" s="1"/>
  <c r="EE72" i="12"/>
  <c r="EC72" i="12"/>
  <c r="EA72" i="12"/>
  <c r="DY72" i="12"/>
  <c r="DW72" i="12"/>
  <c r="DU72" i="12"/>
  <c r="DS72" i="12"/>
  <c r="DQ72" i="12"/>
  <c r="DO72" i="12"/>
  <c r="DM72" i="12"/>
  <c r="DK72" i="12"/>
  <c r="DI72" i="12"/>
  <c r="EF71" i="12"/>
  <c r="EG71" i="12" s="1"/>
  <c r="EE71" i="12"/>
  <c r="EC71" i="12"/>
  <c r="EA71" i="12"/>
  <c r="DY71" i="12"/>
  <c r="DW71" i="12"/>
  <c r="DU71" i="12"/>
  <c r="DS71" i="12"/>
  <c r="DQ71" i="12"/>
  <c r="DO71" i="12"/>
  <c r="DM71" i="12"/>
  <c r="DK71" i="12"/>
  <c r="DI71" i="12"/>
  <c r="EF70" i="12"/>
  <c r="EG70" i="12" s="1"/>
  <c r="EE70" i="12"/>
  <c r="EC70" i="12"/>
  <c r="EA70" i="12"/>
  <c r="DY70" i="12"/>
  <c r="DW70" i="12"/>
  <c r="DU70" i="12"/>
  <c r="DS70" i="12"/>
  <c r="DQ70" i="12"/>
  <c r="DO70" i="12"/>
  <c r="DM70" i="12"/>
  <c r="DK70" i="12"/>
  <c r="DI70" i="12"/>
  <c r="EF69" i="12"/>
  <c r="EG69" i="12" s="1"/>
  <c r="EE69" i="12"/>
  <c r="EC69" i="12"/>
  <c r="EA69" i="12"/>
  <c r="DY69" i="12"/>
  <c r="DW69" i="12"/>
  <c r="DU69" i="12"/>
  <c r="DS69" i="12"/>
  <c r="DQ69" i="12"/>
  <c r="DO69" i="12"/>
  <c r="DM69" i="12"/>
  <c r="DK69" i="12"/>
  <c r="DI69" i="12"/>
  <c r="EF68" i="12"/>
  <c r="EG68" i="12" s="1"/>
  <c r="EE68" i="12"/>
  <c r="EC68" i="12"/>
  <c r="EA68" i="12"/>
  <c r="DY68" i="12"/>
  <c r="DW68" i="12"/>
  <c r="DU68" i="12"/>
  <c r="DS68" i="12"/>
  <c r="DQ68" i="12"/>
  <c r="DO68" i="12"/>
  <c r="DM68" i="12"/>
  <c r="DK68" i="12"/>
  <c r="DI68" i="12"/>
  <c r="EF67" i="12"/>
  <c r="EG67" i="12" s="1"/>
  <c r="EE67" i="12"/>
  <c r="EC67" i="12"/>
  <c r="EA67" i="12"/>
  <c r="DY67" i="12"/>
  <c r="DW67" i="12"/>
  <c r="DU67" i="12"/>
  <c r="DS67" i="12"/>
  <c r="DQ67" i="12"/>
  <c r="DO67" i="12"/>
  <c r="DM67" i="12"/>
  <c r="DK67" i="12"/>
  <c r="DI67" i="12"/>
  <c r="EF66" i="12"/>
  <c r="EG66" i="12" s="1"/>
  <c r="EE66" i="12"/>
  <c r="EC66" i="12"/>
  <c r="EA66" i="12"/>
  <c r="DY66" i="12"/>
  <c r="DW66" i="12"/>
  <c r="DU66" i="12"/>
  <c r="DS66" i="12"/>
  <c r="DQ66" i="12"/>
  <c r="DO66" i="12"/>
  <c r="DM66" i="12"/>
  <c r="DK66" i="12"/>
  <c r="DI66" i="12"/>
  <c r="EF65" i="12"/>
  <c r="EG65" i="12" s="1"/>
  <c r="EE65" i="12"/>
  <c r="EC65" i="12"/>
  <c r="EA65" i="12"/>
  <c r="DY65" i="12"/>
  <c r="DW65" i="12"/>
  <c r="DU65" i="12"/>
  <c r="DS65" i="12"/>
  <c r="DQ65" i="12"/>
  <c r="DO65" i="12"/>
  <c r="DM65" i="12"/>
  <c r="DK65" i="12"/>
  <c r="DI65" i="12"/>
  <c r="EF64" i="12"/>
  <c r="EG64" i="12" s="1"/>
  <c r="EE64" i="12"/>
  <c r="EC64" i="12"/>
  <c r="EA64" i="12"/>
  <c r="DY64" i="12"/>
  <c r="DW64" i="12"/>
  <c r="DU64" i="12"/>
  <c r="DS64" i="12"/>
  <c r="DQ64" i="12"/>
  <c r="DO64" i="12"/>
  <c r="DM64" i="12"/>
  <c r="DK64" i="12"/>
  <c r="DI64" i="12"/>
  <c r="EF63" i="12"/>
  <c r="EG63" i="12" s="1"/>
  <c r="EE63" i="12"/>
  <c r="EC63" i="12"/>
  <c r="EA63" i="12"/>
  <c r="DY63" i="12"/>
  <c r="DW63" i="12"/>
  <c r="DU63" i="12"/>
  <c r="DS63" i="12"/>
  <c r="DQ63" i="12"/>
  <c r="DO63" i="12"/>
  <c r="DM63" i="12"/>
  <c r="DK63" i="12"/>
  <c r="DI63" i="12"/>
  <c r="EF62" i="12"/>
  <c r="EG62" i="12" s="1"/>
  <c r="EE62" i="12"/>
  <c r="EC62" i="12"/>
  <c r="EA62" i="12"/>
  <c r="DY62" i="12"/>
  <c r="DW62" i="12"/>
  <c r="DU62" i="12"/>
  <c r="DS62" i="12"/>
  <c r="DQ62" i="12"/>
  <c r="DO62" i="12"/>
  <c r="DM62" i="12"/>
  <c r="DK62" i="12"/>
  <c r="DI62" i="12"/>
  <c r="EF61" i="12"/>
  <c r="EG61" i="12" s="1"/>
  <c r="EE61" i="12"/>
  <c r="EC61" i="12"/>
  <c r="EA61" i="12"/>
  <c r="DY61" i="12"/>
  <c r="DW61" i="12"/>
  <c r="DU61" i="12"/>
  <c r="DS61" i="12"/>
  <c r="DQ61" i="12"/>
  <c r="DO61" i="12"/>
  <c r="DM61" i="12"/>
  <c r="DK61" i="12"/>
  <c r="DI61" i="12"/>
  <c r="EF60" i="12"/>
  <c r="EG60" i="12" s="1"/>
  <c r="EE60" i="12"/>
  <c r="EC60" i="12"/>
  <c r="EA60" i="12"/>
  <c r="DY60" i="12"/>
  <c r="DW60" i="12"/>
  <c r="DU60" i="12"/>
  <c r="DS60" i="12"/>
  <c r="DQ60" i="12"/>
  <c r="DO60" i="12"/>
  <c r="DM60" i="12"/>
  <c r="DK60" i="12"/>
  <c r="DI60" i="12"/>
  <c r="EF59" i="12"/>
  <c r="EG59" i="12" s="1"/>
  <c r="EE59" i="12"/>
  <c r="EC59" i="12"/>
  <c r="EA59" i="12"/>
  <c r="DY59" i="12"/>
  <c r="DW59" i="12"/>
  <c r="DU59" i="12"/>
  <c r="DS59" i="12"/>
  <c r="DQ59" i="12"/>
  <c r="DO59" i="12"/>
  <c r="DM59" i="12"/>
  <c r="DK59" i="12"/>
  <c r="DI59" i="12"/>
  <c r="EF58" i="12"/>
  <c r="EG58" i="12" s="1"/>
  <c r="EE58" i="12"/>
  <c r="EC58" i="12"/>
  <c r="EA58" i="12"/>
  <c r="DY58" i="12"/>
  <c r="DW58" i="12"/>
  <c r="DU58" i="12"/>
  <c r="DS58" i="12"/>
  <c r="DQ58" i="12"/>
  <c r="DO58" i="12"/>
  <c r="DM58" i="12"/>
  <c r="DK58" i="12"/>
  <c r="DI58" i="12"/>
  <c r="EF57" i="12"/>
  <c r="EG57" i="12" s="1"/>
  <c r="EE57" i="12"/>
  <c r="EC57" i="12"/>
  <c r="EA57" i="12"/>
  <c r="DY57" i="12"/>
  <c r="DW57" i="12"/>
  <c r="DU57" i="12"/>
  <c r="DS57" i="12"/>
  <c r="DQ57" i="12"/>
  <c r="DO57" i="12"/>
  <c r="DM57" i="12"/>
  <c r="DK57" i="12"/>
  <c r="DI57" i="12"/>
  <c r="EF56" i="12"/>
  <c r="EG56" i="12" s="1"/>
  <c r="EE56" i="12"/>
  <c r="EC56" i="12"/>
  <c r="EA56" i="12"/>
  <c r="DY56" i="12"/>
  <c r="DW56" i="12"/>
  <c r="DU56" i="12"/>
  <c r="DS56" i="12"/>
  <c r="DQ56" i="12"/>
  <c r="DO56" i="12"/>
  <c r="DM56" i="12"/>
  <c r="DK56" i="12"/>
  <c r="DI56" i="12"/>
  <c r="EF55" i="12"/>
  <c r="EG55" i="12" s="1"/>
  <c r="EE55" i="12"/>
  <c r="EC55" i="12"/>
  <c r="EA55" i="12"/>
  <c r="DY55" i="12"/>
  <c r="DW55" i="12"/>
  <c r="DU55" i="12"/>
  <c r="DS55" i="12"/>
  <c r="DQ55" i="12"/>
  <c r="DO55" i="12"/>
  <c r="DM55" i="12"/>
  <c r="DK55" i="12"/>
  <c r="DI55" i="12"/>
  <c r="EF54" i="12"/>
  <c r="EG54" i="12" s="1"/>
  <c r="EE54" i="12"/>
  <c r="EC54" i="12"/>
  <c r="EA54" i="12"/>
  <c r="DY54" i="12"/>
  <c r="DW54" i="12"/>
  <c r="DU54" i="12"/>
  <c r="DS54" i="12"/>
  <c r="DQ54" i="12"/>
  <c r="DO54" i="12"/>
  <c r="DM54" i="12"/>
  <c r="DK54" i="12"/>
  <c r="DI54" i="12"/>
  <c r="EF53" i="12"/>
  <c r="EG53" i="12" s="1"/>
  <c r="EE53" i="12"/>
  <c r="EC53" i="12"/>
  <c r="EA53" i="12"/>
  <c r="DY53" i="12"/>
  <c r="DW53" i="12"/>
  <c r="DU53" i="12"/>
  <c r="DS53" i="12"/>
  <c r="DQ53" i="12"/>
  <c r="DO53" i="12"/>
  <c r="DM53" i="12"/>
  <c r="DK53" i="12"/>
  <c r="DI53" i="12"/>
  <c r="EF52" i="12"/>
  <c r="EG52" i="12" s="1"/>
  <c r="EE52" i="12"/>
  <c r="EC52" i="12"/>
  <c r="EA52" i="12"/>
  <c r="DY52" i="12"/>
  <c r="DW52" i="12"/>
  <c r="DU52" i="12"/>
  <c r="DS52" i="12"/>
  <c r="DQ52" i="12"/>
  <c r="DO52" i="12"/>
  <c r="DM52" i="12"/>
  <c r="DK52" i="12"/>
  <c r="DI52" i="12"/>
  <c r="EF51" i="12"/>
  <c r="EG51" i="12" s="1"/>
  <c r="EE51" i="12"/>
  <c r="EC51" i="12"/>
  <c r="EA51" i="12"/>
  <c r="DY51" i="12"/>
  <c r="DW51" i="12"/>
  <c r="DU51" i="12"/>
  <c r="DS51" i="12"/>
  <c r="DQ51" i="12"/>
  <c r="DO51" i="12"/>
  <c r="DM51" i="12"/>
  <c r="DK51" i="12"/>
  <c r="DI51" i="12"/>
  <c r="EF50" i="12"/>
  <c r="EG50" i="12" s="1"/>
  <c r="EE50" i="12"/>
  <c r="EC50" i="12"/>
  <c r="EA50" i="12"/>
  <c r="DY50" i="12"/>
  <c r="DW50" i="12"/>
  <c r="DU50" i="12"/>
  <c r="DS50" i="12"/>
  <c r="DQ50" i="12"/>
  <c r="DO50" i="12"/>
  <c r="DM50" i="12"/>
  <c r="DK50" i="12"/>
  <c r="DI50" i="12"/>
  <c r="EF49" i="12"/>
  <c r="EG49" i="12" s="1"/>
  <c r="EE49" i="12"/>
  <c r="EC49" i="12"/>
  <c r="EA49" i="12"/>
  <c r="DY49" i="12"/>
  <c r="DW49" i="12"/>
  <c r="DU49" i="12"/>
  <c r="DS49" i="12"/>
  <c r="DQ49" i="12"/>
  <c r="DO49" i="12"/>
  <c r="DM49" i="12"/>
  <c r="DK49" i="12"/>
  <c r="DI49" i="12"/>
  <c r="EF48" i="12"/>
  <c r="EG48" i="12" s="1"/>
  <c r="EE48" i="12"/>
  <c r="EC48" i="12"/>
  <c r="EA48" i="12"/>
  <c r="DY48" i="12"/>
  <c r="DW48" i="12"/>
  <c r="DU48" i="12"/>
  <c r="DS48" i="12"/>
  <c r="DQ48" i="12"/>
  <c r="DO48" i="12"/>
  <c r="DM48" i="12"/>
  <c r="DK48" i="12"/>
  <c r="DI48" i="12"/>
  <c r="EF47" i="12"/>
  <c r="EG47" i="12" s="1"/>
  <c r="EE47" i="12"/>
  <c r="EC47" i="12"/>
  <c r="EA47" i="12"/>
  <c r="DY47" i="12"/>
  <c r="DW47" i="12"/>
  <c r="DU47" i="12"/>
  <c r="DS47" i="12"/>
  <c r="DQ47" i="12"/>
  <c r="DO47" i="12"/>
  <c r="DM47" i="12"/>
  <c r="DK47" i="12"/>
  <c r="DI47" i="12"/>
  <c r="EF46" i="12"/>
  <c r="EG46" i="12" s="1"/>
  <c r="EE46" i="12"/>
  <c r="EC46" i="12"/>
  <c r="EA46" i="12"/>
  <c r="DY46" i="12"/>
  <c r="DW46" i="12"/>
  <c r="DU46" i="12"/>
  <c r="DS46" i="12"/>
  <c r="DQ46" i="12"/>
  <c r="DO46" i="12"/>
  <c r="DM46" i="12"/>
  <c r="DK46" i="12"/>
  <c r="DI46" i="12"/>
  <c r="EF45" i="12"/>
  <c r="EG45" i="12" s="1"/>
  <c r="EE45" i="12"/>
  <c r="EC45" i="12"/>
  <c r="EA45" i="12"/>
  <c r="DY45" i="12"/>
  <c r="DW45" i="12"/>
  <c r="DU45" i="12"/>
  <c r="DS45" i="12"/>
  <c r="DQ45" i="12"/>
  <c r="DO45" i="12"/>
  <c r="DM45" i="12"/>
  <c r="DK45" i="12"/>
  <c r="DI45" i="12"/>
  <c r="EF44" i="12"/>
  <c r="EG44" i="12" s="1"/>
  <c r="EE44" i="12"/>
  <c r="EC44" i="12"/>
  <c r="EA44" i="12"/>
  <c r="DY44" i="12"/>
  <c r="DW44" i="12"/>
  <c r="DU44" i="12"/>
  <c r="DS44" i="12"/>
  <c r="DQ44" i="12"/>
  <c r="DO44" i="12"/>
  <c r="DM44" i="12"/>
  <c r="DK44" i="12"/>
  <c r="DI44" i="12"/>
  <c r="EF43" i="12"/>
  <c r="EG43" i="12" s="1"/>
  <c r="EE43" i="12"/>
  <c r="EC43" i="12"/>
  <c r="EA43" i="12"/>
  <c r="DY43" i="12"/>
  <c r="DW43" i="12"/>
  <c r="DU43" i="12"/>
  <c r="DS43" i="12"/>
  <c r="DQ43" i="12"/>
  <c r="DO43" i="12"/>
  <c r="DM43" i="12"/>
  <c r="DK43" i="12"/>
  <c r="DI43" i="12"/>
  <c r="EF42" i="12"/>
  <c r="EG42" i="12" s="1"/>
  <c r="EE42" i="12"/>
  <c r="EC42" i="12"/>
  <c r="EA42" i="12"/>
  <c r="DY42" i="12"/>
  <c r="DW42" i="12"/>
  <c r="DU42" i="12"/>
  <c r="DS42" i="12"/>
  <c r="DQ42" i="12"/>
  <c r="DO42" i="12"/>
  <c r="DM42" i="12"/>
  <c r="DK42" i="12"/>
  <c r="DI42" i="12"/>
  <c r="EF41" i="12"/>
  <c r="EG41" i="12" s="1"/>
  <c r="EE41" i="12"/>
  <c r="EC41" i="12"/>
  <c r="EA41" i="12"/>
  <c r="DY41" i="12"/>
  <c r="DW41" i="12"/>
  <c r="DU41" i="12"/>
  <c r="DS41" i="12"/>
  <c r="DQ41" i="12"/>
  <c r="DO41" i="12"/>
  <c r="DM41" i="12"/>
  <c r="DK41" i="12"/>
  <c r="DI41" i="12"/>
  <c r="EF40" i="12"/>
  <c r="EG40" i="12" s="1"/>
  <c r="EE40" i="12"/>
  <c r="EC40" i="12"/>
  <c r="EA40" i="12"/>
  <c r="DY40" i="12"/>
  <c r="DW40" i="12"/>
  <c r="DU40" i="12"/>
  <c r="DS40" i="12"/>
  <c r="DQ40" i="12"/>
  <c r="DO40" i="12"/>
  <c r="DM40" i="12"/>
  <c r="DK40" i="12"/>
  <c r="DI40" i="12"/>
  <c r="EF39" i="12"/>
  <c r="EG39" i="12" s="1"/>
  <c r="EE39" i="12"/>
  <c r="EC39" i="12"/>
  <c r="EA39" i="12"/>
  <c r="DY39" i="12"/>
  <c r="DW39" i="12"/>
  <c r="DU39" i="12"/>
  <c r="DS39" i="12"/>
  <c r="DQ39" i="12"/>
  <c r="DO39" i="12"/>
  <c r="DM39" i="12"/>
  <c r="DK39" i="12"/>
  <c r="DI39" i="12"/>
  <c r="EF38" i="12"/>
  <c r="EG38" i="12" s="1"/>
  <c r="EE38" i="12"/>
  <c r="EC38" i="12"/>
  <c r="EA38" i="12"/>
  <c r="DY38" i="12"/>
  <c r="DW38" i="12"/>
  <c r="DU38" i="12"/>
  <c r="DS38" i="12"/>
  <c r="DQ38" i="12"/>
  <c r="DO38" i="12"/>
  <c r="DM38" i="12"/>
  <c r="DK38" i="12"/>
  <c r="DI38" i="12"/>
  <c r="EF37" i="12"/>
  <c r="EG37" i="12" s="1"/>
  <c r="EE37" i="12"/>
  <c r="EC37" i="12"/>
  <c r="EA37" i="12"/>
  <c r="DY37" i="12"/>
  <c r="DW37" i="12"/>
  <c r="DU37" i="12"/>
  <c r="DS37" i="12"/>
  <c r="DQ37" i="12"/>
  <c r="DO37" i="12"/>
  <c r="DM37" i="12"/>
  <c r="DK37" i="12"/>
  <c r="DI37" i="12"/>
  <c r="EF36" i="12"/>
  <c r="EG36" i="12" s="1"/>
  <c r="EE36" i="12"/>
  <c r="EC36" i="12"/>
  <c r="EA36" i="12"/>
  <c r="DY36" i="12"/>
  <c r="DW36" i="12"/>
  <c r="DU36" i="12"/>
  <c r="DS36" i="12"/>
  <c r="DQ36" i="12"/>
  <c r="DO36" i="12"/>
  <c r="DM36" i="12"/>
  <c r="DK36" i="12"/>
  <c r="DI36" i="12"/>
  <c r="EF35" i="12"/>
  <c r="EG35" i="12" s="1"/>
  <c r="EE35" i="12"/>
  <c r="EC35" i="12"/>
  <c r="EA35" i="12"/>
  <c r="DY35" i="12"/>
  <c r="DW35" i="12"/>
  <c r="DU35" i="12"/>
  <c r="DS35" i="12"/>
  <c r="DQ35" i="12"/>
  <c r="DO35" i="12"/>
  <c r="DM35" i="12"/>
  <c r="DK35" i="12"/>
  <c r="DI35" i="12"/>
  <c r="EF34" i="12"/>
  <c r="EG34" i="12" s="1"/>
  <c r="EE34" i="12"/>
  <c r="EC34" i="12"/>
  <c r="EA34" i="12"/>
  <c r="DY34" i="12"/>
  <c r="DW34" i="12"/>
  <c r="DU34" i="12"/>
  <c r="DS34" i="12"/>
  <c r="DQ34" i="12"/>
  <c r="DO34" i="12"/>
  <c r="DM34" i="12"/>
  <c r="DK34" i="12"/>
  <c r="DI34" i="12"/>
  <c r="EF33" i="12"/>
  <c r="EG33" i="12" s="1"/>
  <c r="EE33" i="12"/>
  <c r="EC33" i="12"/>
  <c r="EA33" i="12"/>
  <c r="DY33" i="12"/>
  <c r="DW33" i="12"/>
  <c r="DU33" i="12"/>
  <c r="DS33" i="12"/>
  <c r="DQ33" i="12"/>
  <c r="DO33" i="12"/>
  <c r="DM33" i="12"/>
  <c r="DK33" i="12"/>
  <c r="DI33" i="12"/>
  <c r="EF32" i="12"/>
  <c r="EG32" i="12" s="1"/>
  <c r="EE32" i="12"/>
  <c r="EC32" i="12"/>
  <c r="EA32" i="12"/>
  <c r="DY32" i="12"/>
  <c r="DW32" i="12"/>
  <c r="DU32" i="12"/>
  <c r="DS32" i="12"/>
  <c r="DQ32" i="12"/>
  <c r="DO32" i="12"/>
  <c r="DM32" i="12"/>
  <c r="DK32" i="12"/>
  <c r="DI32" i="12"/>
  <c r="EF31" i="12"/>
  <c r="EG31" i="12" s="1"/>
  <c r="EE31" i="12"/>
  <c r="EC31" i="12"/>
  <c r="EA31" i="12"/>
  <c r="DY31" i="12"/>
  <c r="DW31" i="12"/>
  <c r="DU31" i="12"/>
  <c r="DS31" i="12"/>
  <c r="DQ31" i="12"/>
  <c r="DO31" i="12"/>
  <c r="DM31" i="12"/>
  <c r="DK31" i="12"/>
  <c r="DI31" i="12"/>
  <c r="EF30" i="12"/>
  <c r="EG30" i="12" s="1"/>
  <c r="EE30" i="12"/>
  <c r="EC30" i="12"/>
  <c r="EA30" i="12"/>
  <c r="DY30" i="12"/>
  <c r="DW30" i="12"/>
  <c r="DU30" i="12"/>
  <c r="DS30" i="12"/>
  <c r="DQ30" i="12"/>
  <c r="DO30" i="12"/>
  <c r="DM30" i="12"/>
  <c r="DK30" i="12"/>
  <c r="DI30" i="12"/>
  <c r="EF29" i="12"/>
  <c r="EG29" i="12" s="1"/>
  <c r="EE29" i="12"/>
  <c r="EC29" i="12"/>
  <c r="EA29" i="12"/>
  <c r="DY29" i="12"/>
  <c r="DW29" i="12"/>
  <c r="DU29" i="12"/>
  <c r="DS29" i="12"/>
  <c r="DQ29" i="12"/>
  <c r="DO29" i="12"/>
  <c r="DM29" i="12"/>
  <c r="DK29" i="12"/>
  <c r="DI29" i="12"/>
  <c r="EF28" i="12"/>
  <c r="EG28" i="12" s="1"/>
  <c r="EE28" i="12"/>
  <c r="EC28" i="12"/>
  <c r="EA28" i="12"/>
  <c r="DY28" i="12"/>
  <c r="DW28" i="12"/>
  <c r="DU28" i="12"/>
  <c r="DS28" i="12"/>
  <c r="DQ28" i="12"/>
  <c r="DO28" i="12"/>
  <c r="DM28" i="12"/>
  <c r="DK28" i="12"/>
  <c r="DI28" i="12"/>
  <c r="EF27" i="12"/>
  <c r="EG27" i="12" s="1"/>
  <c r="EE27" i="12"/>
  <c r="EC27" i="12"/>
  <c r="EA27" i="12"/>
  <c r="DY27" i="12"/>
  <c r="DW27" i="12"/>
  <c r="DU27" i="12"/>
  <c r="DS27" i="12"/>
  <c r="DQ27" i="12"/>
  <c r="DO27" i="12"/>
  <c r="DM27" i="12"/>
  <c r="DK27" i="12"/>
  <c r="DI27" i="12"/>
  <c r="EF26" i="12"/>
  <c r="EG26" i="12" s="1"/>
  <c r="EE26" i="12"/>
  <c r="EC26" i="12"/>
  <c r="EA26" i="12"/>
  <c r="DY26" i="12"/>
  <c r="DW26" i="12"/>
  <c r="DU26" i="12"/>
  <c r="DS26" i="12"/>
  <c r="DQ26" i="12"/>
  <c r="DO26" i="12"/>
  <c r="DM26" i="12"/>
  <c r="DK26" i="12"/>
  <c r="DI26" i="12"/>
  <c r="EF25" i="12"/>
  <c r="EG25" i="12" s="1"/>
  <c r="EE25" i="12"/>
  <c r="EC25" i="12"/>
  <c r="EA25" i="12"/>
  <c r="DY25" i="12"/>
  <c r="DW25" i="12"/>
  <c r="DU25" i="12"/>
  <c r="DS25" i="12"/>
  <c r="DQ25" i="12"/>
  <c r="DO25" i="12"/>
  <c r="DM25" i="12"/>
  <c r="DK25" i="12"/>
  <c r="DI25" i="12"/>
  <c r="EF24" i="12"/>
  <c r="EE24" i="12"/>
  <c r="EC24" i="12"/>
  <c r="EA24" i="12"/>
  <c r="DY24" i="12"/>
  <c r="DW24" i="12"/>
  <c r="DU24" i="12"/>
  <c r="DS24" i="12"/>
  <c r="DQ24" i="12"/>
  <c r="DO24" i="12"/>
  <c r="DM24" i="12"/>
  <c r="DK24" i="12"/>
  <c r="DI24" i="12"/>
  <c r="EF23" i="12"/>
  <c r="EE23" i="12"/>
  <c r="EC23" i="12"/>
  <c r="EA23" i="12"/>
  <c r="DY23" i="12"/>
  <c r="DW23" i="12"/>
  <c r="DU23" i="12"/>
  <c r="DS23" i="12"/>
  <c r="DQ23" i="12"/>
  <c r="DO23" i="12"/>
  <c r="DM23" i="12"/>
  <c r="DK23" i="12"/>
  <c r="DI23" i="12"/>
  <c r="EF22" i="12"/>
  <c r="EE22" i="12"/>
  <c r="EC22" i="12"/>
  <c r="EA22" i="12"/>
  <c r="DY22" i="12"/>
  <c r="DW22" i="12"/>
  <c r="DU22" i="12"/>
  <c r="DS22" i="12"/>
  <c r="DQ22" i="12"/>
  <c r="DO22" i="12"/>
  <c r="DM22" i="12"/>
  <c r="DK22" i="12"/>
  <c r="DI22" i="12"/>
  <c r="EF21" i="12"/>
  <c r="EE21" i="12"/>
  <c r="EC21" i="12"/>
  <c r="EA21" i="12"/>
  <c r="DY21" i="12"/>
  <c r="DW21" i="12"/>
  <c r="DU21" i="12"/>
  <c r="DS21" i="12"/>
  <c r="DQ21" i="12"/>
  <c r="DO21" i="12"/>
  <c r="DM21" i="12"/>
  <c r="DK21" i="12"/>
  <c r="DI21" i="12"/>
  <c r="EF20" i="12"/>
  <c r="EE20" i="12"/>
  <c r="EC20" i="12"/>
  <c r="EA20" i="12"/>
  <c r="DY20" i="12"/>
  <c r="DW20" i="12"/>
  <c r="DU20" i="12"/>
  <c r="DS20" i="12"/>
  <c r="DQ20" i="12"/>
  <c r="DO20" i="12"/>
  <c r="DM20" i="12"/>
  <c r="DK20" i="12"/>
  <c r="DI20" i="12"/>
  <c r="EF19" i="12"/>
  <c r="EE19" i="12"/>
  <c r="EC19" i="12"/>
  <c r="EA19" i="12"/>
  <c r="DY19" i="12"/>
  <c r="DW19" i="12"/>
  <c r="DU19" i="12"/>
  <c r="DS19" i="12"/>
  <c r="DQ19" i="12"/>
  <c r="DO19" i="12"/>
  <c r="DM19" i="12"/>
  <c r="DK19" i="12"/>
  <c r="DI19" i="12"/>
  <c r="EF18" i="12"/>
  <c r="EE18" i="12"/>
  <c r="EC18" i="12"/>
  <c r="EA18" i="12"/>
  <c r="DY18" i="12"/>
  <c r="DW18" i="12"/>
  <c r="DU18" i="12"/>
  <c r="DS18" i="12"/>
  <c r="DQ18" i="12"/>
  <c r="DO18" i="12"/>
  <c r="DM18" i="12"/>
  <c r="EF17" i="12"/>
  <c r="EE17" i="12"/>
  <c r="EC17" i="12"/>
  <c r="EA17" i="12"/>
  <c r="DY17" i="12"/>
  <c r="DW17" i="12"/>
  <c r="DU17" i="12"/>
  <c r="DS17" i="12"/>
  <c r="DQ17" i="12"/>
  <c r="DO17" i="12"/>
  <c r="DM17" i="12"/>
  <c r="EF16" i="12"/>
  <c r="EE16" i="12"/>
  <c r="EC16" i="12"/>
  <c r="EA16" i="12"/>
  <c r="DY16" i="12"/>
  <c r="DW16" i="12"/>
  <c r="DU16" i="12"/>
  <c r="DS16" i="12"/>
  <c r="DQ16" i="12"/>
  <c r="DO16" i="12"/>
  <c r="DM16" i="12"/>
  <c r="EF15" i="12"/>
  <c r="EG15" i="12" s="1"/>
  <c r="EE15" i="12"/>
  <c r="EC15" i="12"/>
  <c r="EA15" i="12"/>
  <c r="DY15" i="12"/>
  <c r="DW15" i="12"/>
  <c r="DU15" i="12"/>
  <c r="DS15" i="12"/>
  <c r="DQ15" i="12"/>
  <c r="DO15" i="12"/>
  <c r="DM15" i="12"/>
  <c r="EF14" i="12"/>
  <c r="EG14" i="12" s="1"/>
  <c r="EE14" i="12"/>
  <c r="EC14" i="12"/>
  <c r="EA14" i="12"/>
  <c r="DY14" i="12"/>
  <c r="DW14" i="12"/>
  <c r="DU14" i="12"/>
  <c r="DS14" i="12"/>
  <c r="DQ14" i="12"/>
  <c r="DO14" i="12"/>
  <c r="DM14" i="12"/>
  <c r="EF13" i="12"/>
  <c r="EG13" i="12" s="1"/>
  <c r="EE13" i="12"/>
  <c r="EC13" i="12"/>
  <c r="EA13" i="12"/>
  <c r="DY13" i="12"/>
  <c r="DW13" i="12"/>
  <c r="DU13" i="12"/>
  <c r="DS13" i="12"/>
  <c r="DQ13" i="12"/>
  <c r="DO13" i="12"/>
  <c r="DM13" i="12"/>
  <c r="EF12" i="12"/>
  <c r="EG12" i="12" s="1"/>
  <c r="EE12" i="12"/>
  <c r="EC12" i="12"/>
  <c r="EA12" i="12"/>
  <c r="DY12" i="12"/>
  <c r="DW12" i="12"/>
  <c r="DU12" i="12"/>
  <c r="DS12" i="12"/>
  <c r="DQ12" i="12"/>
  <c r="DO12" i="12"/>
  <c r="DM12" i="12"/>
  <c r="EF11" i="12"/>
  <c r="EG11" i="12" s="1"/>
  <c r="EE11" i="12"/>
  <c r="EC11" i="12"/>
  <c r="EA11" i="12"/>
  <c r="DY11" i="12"/>
  <c r="DW11" i="12"/>
  <c r="DU11" i="12"/>
  <c r="DS11" i="12"/>
  <c r="DQ11" i="12"/>
  <c r="DO11" i="12"/>
  <c r="DM11" i="12"/>
  <c r="EF10" i="12"/>
  <c r="EG10" i="12" s="1"/>
  <c r="EE10" i="12"/>
  <c r="EC10" i="12"/>
  <c r="EA10" i="12"/>
  <c r="DY10" i="12"/>
  <c r="DW10" i="12"/>
  <c r="DU10" i="12"/>
  <c r="DS10" i="12"/>
  <c r="DQ10" i="12"/>
  <c r="DO10" i="12"/>
  <c r="DM10" i="12"/>
  <c r="EF9" i="12"/>
  <c r="EG9" i="12" s="1"/>
  <c r="EE9" i="12"/>
  <c r="EC9" i="12"/>
  <c r="EA9" i="12"/>
  <c r="DY9" i="12"/>
  <c r="DW9" i="12"/>
  <c r="DU9" i="12"/>
  <c r="DS9" i="12"/>
  <c r="DQ9" i="12"/>
  <c r="DO9" i="12"/>
  <c r="DM9" i="12"/>
  <c r="EF8" i="12"/>
  <c r="EG8" i="12" s="1"/>
  <c r="EE8" i="12"/>
  <c r="EC8" i="12"/>
  <c r="EA8" i="12"/>
  <c r="DY8" i="12"/>
  <c r="DW8" i="12"/>
  <c r="DU8" i="12"/>
  <c r="DS8" i="12"/>
  <c r="DQ8" i="12"/>
  <c r="DO8" i="12"/>
  <c r="DM8" i="12"/>
  <c r="EF7" i="12"/>
  <c r="EG7" i="12" s="1"/>
  <c r="EE7" i="12"/>
  <c r="EC7" i="12"/>
  <c r="EA7" i="12"/>
  <c r="DY7" i="12"/>
  <c r="DW7" i="12"/>
  <c r="DU7" i="12"/>
  <c r="DS7" i="12"/>
  <c r="DQ7" i="12"/>
  <c r="DO7" i="12"/>
  <c r="DM7" i="12"/>
  <c r="EF6" i="12"/>
  <c r="EG6" i="12" s="1"/>
  <c r="EE6" i="12"/>
  <c r="EC6" i="12"/>
  <c r="EA6" i="12"/>
  <c r="DY6" i="12"/>
  <c r="DW6" i="12"/>
  <c r="DU6" i="12"/>
  <c r="DS6" i="12"/>
  <c r="DQ6" i="12"/>
  <c r="DO6" i="12"/>
  <c r="DM6" i="12"/>
  <c r="EF5" i="12"/>
  <c r="EG5" i="12" s="1"/>
  <c r="EE5" i="12"/>
  <c r="EC5" i="12"/>
  <c r="EA5" i="12"/>
  <c r="DY5" i="12"/>
  <c r="DW5" i="12"/>
  <c r="DU5" i="12"/>
  <c r="DS5" i="12"/>
  <c r="DQ5" i="12"/>
  <c r="DO5" i="12"/>
  <c r="DM5" i="12"/>
  <c r="EF4" i="12"/>
  <c r="EE4" i="12"/>
  <c r="EC4" i="12"/>
  <c r="EA4" i="12"/>
  <c r="DY4" i="12"/>
  <c r="DW4" i="12"/>
  <c r="DU4" i="12"/>
  <c r="DS4" i="12"/>
  <c r="DQ4" i="12"/>
  <c r="DO4" i="12"/>
  <c r="DM4" i="12"/>
  <c r="EG18" i="12" l="1"/>
  <c r="L26" i="4" s="1"/>
  <c r="N26" i="4" s="1"/>
  <c r="K26" i="4"/>
  <c r="M26" i="4" s="1"/>
  <c r="EG19" i="12"/>
  <c r="L27" i="4" s="1"/>
  <c r="N27" i="4" s="1"/>
  <c r="K27" i="4"/>
  <c r="M27" i="4" s="1"/>
  <c r="EG23" i="12"/>
  <c r="L31" i="4" s="1"/>
  <c r="N31" i="4" s="1"/>
  <c r="K31" i="4"/>
  <c r="M31" i="4" s="1"/>
  <c r="EG20" i="12"/>
  <c r="L28" i="4" s="1"/>
  <c r="N28" i="4" s="1"/>
  <c r="K28" i="4"/>
  <c r="M28" i="4" s="1"/>
  <c r="EG22" i="12"/>
  <c r="L30" i="4" s="1"/>
  <c r="N30" i="4" s="1"/>
  <c r="K30" i="4"/>
  <c r="M30" i="4" s="1"/>
  <c r="EG24" i="12"/>
  <c r="L32" i="4" s="1"/>
  <c r="N32" i="4" s="1"/>
  <c r="K32" i="4"/>
  <c r="M32" i="4" s="1"/>
  <c r="EG17" i="12"/>
  <c r="L25" i="4" s="1"/>
  <c r="N25" i="4" s="1"/>
  <c r="K25" i="4"/>
  <c r="M25" i="4" s="1"/>
  <c r="EG16" i="12"/>
  <c r="L24" i="4" s="1"/>
  <c r="K24" i="4"/>
  <c r="EG21" i="12"/>
  <c r="L29" i="4" s="1"/>
  <c r="N29" i="4" s="1"/>
  <c r="K29" i="4"/>
  <c r="M29" i="4" s="1"/>
  <c r="M4" i="4"/>
  <c r="K18" i="4"/>
  <c r="DN170" i="12"/>
  <c r="ED170" i="12"/>
  <c r="DH170" i="12"/>
  <c r="EE169" i="12"/>
  <c r="EC169" i="12"/>
  <c r="DY148" i="12"/>
  <c r="DT170" i="12"/>
  <c r="DU169" i="12"/>
  <c r="DV170" i="12"/>
  <c r="DM148" i="12"/>
  <c r="DZ170" i="12"/>
  <c r="EB170" i="12"/>
  <c r="EE148" i="12"/>
  <c r="EC148" i="12"/>
  <c r="EA169" i="12"/>
  <c r="EA148" i="12"/>
  <c r="DX170" i="12"/>
  <c r="DY169" i="12"/>
  <c r="DW169" i="12"/>
  <c r="DW148" i="12"/>
  <c r="DU148" i="12"/>
  <c r="DR170" i="12"/>
  <c r="DS169" i="12"/>
  <c r="DS148" i="12"/>
  <c r="DP170" i="12"/>
  <c r="DQ169" i="12"/>
  <c r="DQ148" i="12"/>
  <c r="DO169" i="12"/>
  <c r="DO148" i="12"/>
  <c r="DL170" i="12"/>
  <c r="DM169" i="12"/>
  <c r="DK169" i="12"/>
  <c r="DJ170" i="12"/>
  <c r="DK148" i="12"/>
  <c r="DI169" i="12"/>
  <c r="DI148" i="12"/>
  <c r="EF148" i="12"/>
  <c r="EG4" i="12"/>
  <c r="EG169" i="12"/>
  <c r="EF169" i="12"/>
  <c r="EG148" i="12" l="1"/>
  <c r="DS170" i="12"/>
  <c r="EA170" i="12"/>
  <c r="DI170" i="12"/>
  <c r="L4" i="4"/>
  <c r="M24" i="4"/>
  <c r="K34" i="4"/>
  <c r="N24" i="4"/>
  <c r="L34" i="4"/>
  <c r="DO170" i="12"/>
  <c r="DK170" i="12"/>
  <c r="DM170" i="12"/>
  <c r="DU170" i="12"/>
  <c r="DY170" i="12"/>
  <c r="EE170" i="12"/>
  <c r="DW170" i="12"/>
  <c r="EC170" i="12"/>
  <c r="DQ170" i="12"/>
  <c r="EF170" i="12"/>
  <c r="EG170" i="12"/>
  <c r="L18" i="4" l="1"/>
  <c r="N4" i="4"/>
  <c r="DD169" i="12"/>
  <c r="DB169" i="12"/>
  <c r="CZ169" i="12"/>
  <c r="CX169" i="12"/>
  <c r="CV169" i="12"/>
  <c r="CT169" i="12"/>
  <c r="CR169" i="12"/>
  <c r="CP169" i="12"/>
  <c r="CN169" i="12"/>
  <c r="CL169" i="12"/>
  <c r="CJ169" i="12"/>
  <c r="CH169" i="12"/>
  <c r="CD169" i="12"/>
  <c r="CB169" i="12"/>
  <c r="BZ169" i="12"/>
  <c r="BX169" i="12"/>
  <c r="BV169" i="12"/>
  <c r="BT169" i="12"/>
  <c r="BR169" i="12"/>
  <c r="BP169" i="12"/>
  <c r="BN169" i="12"/>
  <c r="BL169" i="12"/>
  <c r="BJ169" i="12"/>
  <c r="BH169" i="12"/>
  <c r="BD169" i="12"/>
  <c r="BB169" i="12"/>
  <c r="AZ169" i="12"/>
  <c r="AX169" i="12"/>
  <c r="AV169" i="12"/>
  <c r="AT169" i="12"/>
  <c r="AR169" i="12"/>
  <c r="AP169" i="12"/>
  <c r="AN169" i="12"/>
  <c r="AL169" i="12"/>
  <c r="AJ169" i="12"/>
  <c r="AH169" i="12"/>
  <c r="AD169" i="12"/>
  <c r="AB169" i="12"/>
  <c r="Z169" i="12"/>
  <c r="X169" i="12"/>
  <c r="V169" i="12"/>
  <c r="T169" i="12"/>
  <c r="R169" i="12"/>
  <c r="P169" i="12"/>
  <c r="N169" i="12"/>
  <c r="L169" i="12"/>
  <c r="J169" i="12"/>
  <c r="H169" i="12"/>
  <c r="DF168" i="12"/>
  <c r="DG168" i="12" s="1"/>
  <c r="DE168" i="12"/>
  <c r="DC168" i="12"/>
  <c r="DA168" i="12"/>
  <c r="CY168" i="12"/>
  <c r="CW168" i="12"/>
  <c r="CU168" i="12"/>
  <c r="CS168" i="12"/>
  <c r="CQ168" i="12"/>
  <c r="CO168" i="12"/>
  <c r="CM168" i="12"/>
  <c r="CK168" i="12"/>
  <c r="CI168" i="12"/>
  <c r="CG168" i="12"/>
  <c r="CE168" i="12"/>
  <c r="CC168" i="12"/>
  <c r="CA168" i="12"/>
  <c r="BY168" i="12"/>
  <c r="BW168" i="12"/>
  <c r="BU168" i="12"/>
  <c r="BS168" i="12"/>
  <c r="BQ168" i="12"/>
  <c r="BO168" i="12"/>
  <c r="BM168" i="12"/>
  <c r="BK168" i="12"/>
  <c r="BI168" i="12"/>
  <c r="BF168" i="12"/>
  <c r="BG168" i="12" s="1"/>
  <c r="BE168" i="12"/>
  <c r="BC168" i="12"/>
  <c r="BA168" i="12"/>
  <c r="AY168" i="12"/>
  <c r="AW168" i="12"/>
  <c r="AU168" i="12"/>
  <c r="AS168" i="12"/>
  <c r="AQ168" i="12"/>
  <c r="AO168" i="12"/>
  <c r="AM168" i="12"/>
  <c r="AK168" i="12"/>
  <c r="AI168" i="12"/>
  <c r="AF168" i="12"/>
  <c r="AG168" i="12" s="1"/>
  <c r="AE168" i="12"/>
  <c r="AC168" i="12"/>
  <c r="AA168" i="12"/>
  <c r="Y168" i="12"/>
  <c r="W168" i="12"/>
  <c r="U168" i="12"/>
  <c r="S168" i="12"/>
  <c r="Q168" i="12"/>
  <c r="O168" i="12"/>
  <c r="M168" i="12"/>
  <c r="K168" i="12"/>
  <c r="I168" i="12"/>
  <c r="DF167" i="12"/>
  <c r="DG167" i="12" s="1"/>
  <c r="DE167" i="12"/>
  <c r="DC167" i="12"/>
  <c r="DA167" i="12"/>
  <c r="CY167" i="12"/>
  <c r="CW167" i="12"/>
  <c r="CU167" i="12"/>
  <c r="CS167" i="12"/>
  <c r="CQ167" i="12"/>
  <c r="CO167" i="12"/>
  <c r="CM167" i="12"/>
  <c r="CK167" i="12"/>
  <c r="CI167" i="12"/>
  <c r="CF167" i="12"/>
  <c r="CG167" i="12" s="1"/>
  <c r="CE167" i="12"/>
  <c r="CC167" i="12"/>
  <c r="CA167" i="12"/>
  <c r="BY167" i="12"/>
  <c r="BW167" i="12"/>
  <c r="BU167" i="12"/>
  <c r="BS167" i="12"/>
  <c r="BQ167" i="12"/>
  <c r="BO167" i="12"/>
  <c r="BM167" i="12"/>
  <c r="BK167" i="12"/>
  <c r="BI167" i="12"/>
  <c r="BF167" i="12"/>
  <c r="BG167" i="12" s="1"/>
  <c r="BE167" i="12"/>
  <c r="BC167" i="12"/>
  <c r="BA167" i="12"/>
  <c r="AY167" i="12"/>
  <c r="AW167" i="12"/>
  <c r="AU167" i="12"/>
  <c r="AS167" i="12"/>
  <c r="AQ167" i="12"/>
  <c r="AO167" i="12"/>
  <c r="AM167" i="12"/>
  <c r="AK167" i="12"/>
  <c r="AI167" i="12"/>
  <c r="AF167" i="12"/>
  <c r="AG167" i="12" s="1"/>
  <c r="AE167" i="12"/>
  <c r="AC167" i="12"/>
  <c r="AA167" i="12"/>
  <c r="Y167" i="12"/>
  <c r="W167" i="12"/>
  <c r="U167" i="12"/>
  <c r="S167" i="12"/>
  <c r="Q167" i="12"/>
  <c r="O167" i="12"/>
  <c r="M167" i="12"/>
  <c r="K167" i="12"/>
  <c r="I167" i="12"/>
  <c r="DF166" i="12"/>
  <c r="DG166" i="12" s="1"/>
  <c r="DE166" i="12"/>
  <c r="DC166" i="12"/>
  <c r="DA166" i="12"/>
  <c r="CY166" i="12"/>
  <c r="CW166" i="12"/>
  <c r="CU166" i="12"/>
  <c r="CS166" i="12"/>
  <c r="CQ166" i="12"/>
  <c r="CO166" i="12"/>
  <c r="CM166" i="12"/>
  <c r="CK166" i="12"/>
  <c r="CI166" i="12"/>
  <c r="CF166" i="12"/>
  <c r="CG166" i="12" s="1"/>
  <c r="CE166" i="12"/>
  <c r="CC166" i="12"/>
  <c r="CA166" i="12"/>
  <c r="BY166" i="12"/>
  <c r="BW166" i="12"/>
  <c r="BU166" i="12"/>
  <c r="BS166" i="12"/>
  <c r="BQ166" i="12"/>
  <c r="BO166" i="12"/>
  <c r="BM166" i="12"/>
  <c r="BK166" i="12"/>
  <c r="BI166" i="12"/>
  <c r="BF166" i="12"/>
  <c r="BG166" i="12" s="1"/>
  <c r="BE166" i="12"/>
  <c r="BC166" i="12"/>
  <c r="BA166" i="12"/>
  <c r="AY166" i="12"/>
  <c r="AW166" i="12"/>
  <c r="AU166" i="12"/>
  <c r="AS166" i="12"/>
  <c r="AQ166" i="12"/>
  <c r="AO166" i="12"/>
  <c r="AM166" i="12"/>
  <c r="AK166" i="12"/>
  <c r="AI166" i="12"/>
  <c r="AF166" i="12"/>
  <c r="AG166" i="12" s="1"/>
  <c r="AE166" i="12"/>
  <c r="AC166" i="12"/>
  <c r="AA166" i="12"/>
  <c r="Y166" i="12"/>
  <c r="W166" i="12"/>
  <c r="U166" i="12"/>
  <c r="S166" i="12"/>
  <c r="Q166" i="12"/>
  <c r="O166" i="12"/>
  <c r="M166" i="12"/>
  <c r="K166" i="12"/>
  <c r="I166" i="12"/>
  <c r="DF165" i="12"/>
  <c r="DG165" i="12" s="1"/>
  <c r="DE165" i="12"/>
  <c r="DC165" i="12"/>
  <c r="DA165" i="12"/>
  <c r="CY165" i="12"/>
  <c r="CW165" i="12"/>
  <c r="CU165" i="12"/>
  <c r="CS165" i="12"/>
  <c r="CQ165" i="12"/>
  <c r="CO165" i="12"/>
  <c r="CM165" i="12"/>
  <c r="CK165" i="12"/>
  <c r="CI165" i="12"/>
  <c r="CF165" i="12"/>
  <c r="CG165" i="12" s="1"/>
  <c r="CE165" i="12"/>
  <c r="CC165" i="12"/>
  <c r="CA165" i="12"/>
  <c r="BY165" i="12"/>
  <c r="BW165" i="12"/>
  <c r="BU165" i="12"/>
  <c r="BS165" i="12"/>
  <c r="BQ165" i="12"/>
  <c r="BO165" i="12"/>
  <c r="BM165" i="12"/>
  <c r="BK165" i="12"/>
  <c r="BI165" i="12"/>
  <c r="BF165" i="12"/>
  <c r="BG165" i="12" s="1"/>
  <c r="BE165" i="12"/>
  <c r="BC165" i="12"/>
  <c r="BA165" i="12"/>
  <c r="AY165" i="12"/>
  <c r="AW165" i="12"/>
  <c r="AU165" i="12"/>
  <c r="AS165" i="12"/>
  <c r="AQ165" i="12"/>
  <c r="AO165" i="12"/>
  <c r="AM165" i="12"/>
  <c r="AK165" i="12"/>
  <c r="AI165" i="12"/>
  <c r="AF165" i="12"/>
  <c r="AG165" i="12" s="1"/>
  <c r="AE165" i="12"/>
  <c r="AC165" i="12"/>
  <c r="AA165" i="12"/>
  <c r="Y165" i="12"/>
  <c r="W165" i="12"/>
  <c r="U165" i="12"/>
  <c r="S165" i="12"/>
  <c r="Q165" i="12"/>
  <c r="O165" i="12"/>
  <c r="M165" i="12"/>
  <c r="K165" i="12"/>
  <c r="I165" i="12"/>
  <c r="DF164" i="12"/>
  <c r="DG164" i="12" s="1"/>
  <c r="DE164" i="12"/>
  <c r="DC164" i="12"/>
  <c r="DA164" i="12"/>
  <c r="CY164" i="12"/>
  <c r="CW164" i="12"/>
  <c r="CU164" i="12"/>
  <c r="CS164" i="12"/>
  <c r="CQ164" i="12"/>
  <c r="CO164" i="12"/>
  <c r="CM164" i="12"/>
  <c r="CK164" i="12"/>
  <c r="CI164" i="12"/>
  <c r="CF164" i="12"/>
  <c r="CG164" i="12" s="1"/>
  <c r="CE164" i="12"/>
  <c r="CC164" i="12"/>
  <c r="CA164" i="12"/>
  <c r="BY164" i="12"/>
  <c r="BW164" i="12"/>
  <c r="BU164" i="12"/>
  <c r="BS164" i="12"/>
  <c r="BQ164" i="12"/>
  <c r="BO164" i="12"/>
  <c r="BM164" i="12"/>
  <c r="BK164" i="12"/>
  <c r="BI164" i="12"/>
  <c r="BF164" i="12"/>
  <c r="BG164" i="12" s="1"/>
  <c r="BE164" i="12"/>
  <c r="BC164" i="12"/>
  <c r="BA164" i="12"/>
  <c r="AY164" i="12"/>
  <c r="AW164" i="12"/>
  <c r="AU164" i="12"/>
  <c r="AS164" i="12"/>
  <c r="AQ164" i="12"/>
  <c r="AO164" i="12"/>
  <c r="AM164" i="12"/>
  <c r="AK164" i="12"/>
  <c r="AI164" i="12"/>
  <c r="AF164" i="12"/>
  <c r="AG164" i="12" s="1"/>
  <c r="AE164" i="12"/>
  <c r="AC164" i="12"/>
  <c r="AA164" i="12"/>
  <c r="Y164" i="12"/>
  <c r="W164" i="12"/>
  <c r="U164" i="12"/>
  <c r="S164" i="12"/>
  <c r="Q164" i="12"/>
  <c r="O164" i="12"/>
  <c r="M164" i="12"/>
  <c r="K164" i="12"/>
  <c r="I164" i="12"/>
  <c r="DF163" i="12"/>
  <c r="DG163" i="12" s="1"/>
  <c r="DE163" i="12"/>
  <c r="DC163" i="12"/>
  <c r="DA163" i="12"/>
  <c r="CY163" i="12"/>
  <c r="CW163" i="12"/>
  <c r="CU163" i="12"/>
  <c r="CS163" i="12"/>
  <c r="CQ163" i="12"/>
  <c r="CO163" i="12"/>
  <c r="CM163" i="12"/>
  <c r="CK163" i="12"/>
  <c r="CI163" i="12"/>
  <c r="CF163" i="12"/>
  <c r="CG163" i="12" s="1"/>
  <c r="CE163" i="12"/>
  <c r="CC163" i="12"/>
  <c r="CA163" i="12"/>
  <c r="BY163" i="12"/>
  <c r="BW163" i="12"/>
  <c r="BU163" i="12"/>
  <c r="BS163" i="12"/>
  <c r="BQ163" i="12"/>
  <c r="BO163" i="12"/>
  <c r="BM163" i="12"/>
  <c r="BK163" i="12"/>
  <c r="BI163" i="12"/>
  <c r="BF163" i="12"/>
  <c r="BG163" i="12" s="1"/>
  <c r="BE163" i="12"/>
  <c r="BC163" i="12"/>
  <c r="BA163" i="12"/>
  <c r="AY163" i="12"/>
  <c r="AW163" i="12"/>
  <c r="AU163" i="12"/>
  <c r="AS163" i="12"/>
  <c r="AQ163" i="12"/>
  <c r="AO163" i="12"/>
  <c r="AM163" i="12"/>
  <c r="AK163" i="12"/>
  <c r="AI163" i="12"/>
  <c r="AF163" i="12"/>
  <c r="AG163" i="12" s="1"/>
  <c r="AE163" i="12"/>
  <c r="AC163" i="12"/>
  <c r="AA163" i="12"/>
  <c r="Y163" i="12"/>
  <c r="W163" i="12"/>
  <c r="U163" i="12"/>
  <c r="S163" i="12"/>
  <c r="Q163" i="12"/>
  <c r="O163" i="12"/>
  <c r="M163" i="12"/>
  <c r="K163" i="12"/>
  <c r="I163" i="12"/>
  <c r="DF162" i="12"/>
  <c r="DE162" i="12"/>
  <c r="DC162" i="12"/>
  <c r="DA162" i="12"/>
  <c r="CY162" i="12"/>
  <c r="CW162" i="12"/>
  <c r="CU162" i="12"/>
  <c r="CS162" i="12"/>
  <c r="CQ162" i="12"/>
  <c r="CO162" i="12"/>
  <c r="CM162" i="12"/>
  <c r="CK162" i="12"/>
  <c r="CI162" i="12"/>
  <c r="CF162" i="12"/>
  <c r="CG162" i="12" s="1"/>
  <c r="CE162" i="12"/>
  <c r="CC162" i="12"/>
  <c r="CA162" i="12"/>
  <c r="BY162" i="12"/>
  <c r="BW162" i="12"/>
  <c r="BU162" i="12"/>
  <c r="BS162" i="12"/>
  <c r="BQ162" i="12"/>
  <c r="BO162" i="12"/>
  <c r="BM162" i="12"/>
  <c r="BK162" i="12"/>
  <c r="BI162" i="12"/>
  <c r="BF162" i="12"/>
  <c r="BG162" i="12" s="1"/>
  <c r="BE162" i="12"/>
  <c r="BC162" i="12"/>
  <c r="BA162" i="12"/>
  <c r="AY162" i="12"/>
  <c r="AW162" i="12"/>
  <c r="AU162" i="12"/>
  <c r="AS162" i="12"/>
  <c r="AQ162" i="12"/>
  <c r="AO162" i="12"/>
  <c r="AM162" i="12"/>
  <c r="AK162" i="12"/>
  <c r="AI162" i="12"/>
  <c r="AF162" i="12"/>
  <c r="AG162" i="12" s="1"/>
  <c r="AE162" i="12"/>
  <c r="AC162" i="12"/>
  <c r="AA162" i="12"/>
  <c r="Y162" i="12"/>
  <c r="W162" i="12"/>
  <c r="U162" i="12"/>
  <c r="S162" i="12"/>
  <c r="Q162" i="12"/>
  <c r="O162" i="12"/>
  <c r="M162" i="12"/>
  <c r="K162" i="12"/>
  <c r="I162" i="12"/>
  <c r="DF161" i="12"/>
  <c r="DG161" i="12" s="1"/>
  <c r="DE161" i="12"/>
  <c r="DC161" i="12"/>
  <c r="DA161" i="12"/>
  <c r="CY161" i="12"/>
  <c r="CW161" i="12"/>
  <c r="CU161" i="12"/>
  <c r="CS161" i="12"/>
  <c r="CQ161" i="12"/>
  <c r="CO161" i="12"/>
  <c r="CM161" i="12"/>
  <c r="CK161" i="12"/>
  <c r="CI161" i="12"/>
  <c r="CF161" i="12"/>
  <c r="CG161" i="12" s="1"/>
  <c r="CE161" i="12"/>
  <c r="CC161" i="12"/>
  <c r="CA161" i="12"/>
  <c r="BY161" i="12"/>
  <c r="BW161" i="12"/>
  <c r="BU161" i="12"/>
  <c r="BS161" i="12"/>
  <c r="BQ161" i="12"/>
  <c r="BO161" i="12"/>
  <c r="BM161" i="12"/>
  <c r="BK161" i="12"/>
  <c r="BI161" i="12"/>
  <c r="BF161" i="12"/>
  <c r="BG161" i="12" s="1"/>
  <c r="BE161" i="12"/>
  <c r="BC161" i="12"/>
  <c r="BA161" i="12"/>
  <c r="AY161" i="12"/>
  <c r="AW161" i="12"/>
  <c r="AU161" i="12"/>
  <c r="AS161" i="12"/>
  <c r="AQ161" i="12"/>
  <c r="AO161" i="12"/>
  <c r="AM161" i="12"/>
  <c r="AK161" i="12"/>
  <c r="AI161" i="12"/>
  <c r="AF161" i="12"/>
  <c r="AG161" i="12" s="1"/>
  <c r="AE161" i="12"/>
  <c r="AC161" i="12"/>
  <c r="AA161" i="12"/>
  <c r="Y161" i="12"/>
  <c r="W161" i="12"/>
  <c r="U161" i="12"/>
  <c r="S161" i="12"/>
  <c r="Q161" i="12"/>
  <c r="O161" i="12"/>
  <c r="M161" i="12"/>
  <c r="K161" i="12"/>
  <c r="I161" i="12"/>
  <c r="DF160" i="12"/>
  <c r="DG160" i="12" s="1"/>
  <c r="DE160" i="12"/>
  <c r="DC160" i="12"/>
  <c r="DA160" i="12"/>
  <c r="CY160" i="12"/>
  <c r="CW160" i="12"/>
  <c r="CU160" i="12"/>
  <c r="CS160" i="12"/>
  <c r="CQ160" i="12"/>
  <c r="CO160" i="12"/>
  <c r="CM160" i="12"/>
  <c r="CK160" i="12"/>
  <c r="CI160" i="12"/>
  <c r="CF160" i="12"/>
  <c r="CG160" i="12" s="1"/>
  <c r="CE160" i="12"/>
  <c r="CC160" i="12"/>
  <c r="CA160" i="12"/>
  <c r="BY160" i="12"/>
  <c r="BW160" i="12"/>
  <c r="BU160" i="12"/>
  <c r="BS160" i="12"/>
  <c r="BQ160" i="12"/>
  <c r="BO160" i="12"/>
  <c r="BM160" i="12"/>
  <c r="BK160" i="12"/>
  <c r="BI160" i="12"/>
  <c r="BF160" i="12"/>
  <c r="BG160" i="12" s="1"/>
  <c r="BE160" i="12"/>
  <c r="BC160" i="12"/>
  <c r="BA160" i="12"/>
  <c r="AY160" i="12"/>
  <c r="AW160" i="12"/>
  <c r="AU160" i="12"/>
  <c r="AS160" i="12"/>
  <c r="AQ160" i="12"/>
  <c r="AO160" i="12"/>
  <c r="AM160" i="12"/>
  <c r="AK160" i="12"/>
  <c r="AI160" i="12"/>
  <c r="AF160" i="12"/>
  <c r="AG160" i="12" s="1"/>
  <c r="AE160" i="12"/>
  <c r="AC160" i="12"/>
  <c r="AA160" i="12"/>
  <c r="Y160" i="12"/>
  <c r="W160" i="12"/>
  <c r="U160" i="12"/>
  <c r="S160" i="12"/>
  <c r="Q160" i="12"/>
  <c r="O160" i="12"/>
  <c r="M160" i="12"/>
  <c r="K160" i="12"/>
  <c r="I160" i="12"/>
  <c r="DF159" i="12"/>
  <c r="DG159" i="12" s="1"/>
  <c r="DE159" i="12"/>
  <c r="DC159" i="12"/>
  <c r="DA159" i="12"/>
  <c r="CY159" i="12"/>
  <c r="CW159" i="12"/>
  <c r="CU159" i="12"/>
  <c r="CS159" i="12"/>
  <c r="CQ159" i="12"/>
  <c r="CO159" i="12"/>
  <c r="CM159" i="12"/>
  <c r="CK159" i="12"/>
  <c r="CI159" i="12"/>
  <c r="CF159" i="12"/>
  <c r="CG159" i="12" s="1"/>
  <c r="CE159" i="12"/>
  <c r="CC159" i="12"/>
  <c r="CA159" i="12"/>
  <c r="BY159" i="12"/>
  <c r="BW159" i="12"/>
  <c r="BU159" i="12"/>
  <c r="BS159" i="12"/>
  <c r="BQ159" i="12"/>
  <c r="BO159" i="12"/>
  <c r="BM159" i="12"/>
  <c r="BK159" i="12"/>
  <c r="BI159" i="12"/>
  <c r="BF159" i="12"/>
  <c r="BG159" i="12" s="1"/>
  <c r="BE159" i="12"/>
  <c r="BC159" i="12"/>
  <c r="BA159" i="12"/>
  <c r="AY159" i="12"/>
  <c r="AW159" i="12"/>
  <c r="AU159" i="12"/>
  <c r="AS159" i="12"/>
  <c r="AQ159" i="12"/>
  <c r="AO159" i="12"/>
  <c r="AM159" i="12"/>
  <c r="AK159" i="12"/>
  <c r="AI159" i="12"/>
  <c r="AF159" i="12"/>
  <c r="AG159" i="12" s="1"/>
  <c r="AE159" i="12"/>
  <c r="AC159" i="12"/>
  <c r="AA159" i="12"/>
  <c r="Y159" i="12"/>
  <c r="W159" i="12"/>
  <c r="U159" i="12"/>
  <c r="S159" i="12"/>
  <c r="Q159" i="12"/>
  <c r="O159" i="12"/>
  <c r="M159" i="12"/>
  <c r="K159" i="12"/>
  <c r="I159" i="12"/>
  <c r="DF156" i="12"/>
  <c r="DE156" i="12"/>
  <c r="DC156" i="12"/>
  <c r="DA156" i="12"/>
  <c r="CY156" i="12"/>
  <c r="CW156" i="12"/>
  <c r="CU156" i="12"/>
  <c r="CS156" i="12"/>
  <c r="CQ156" i="12"/>
  <c r="CO156" i="12"/>
  <c r="CM156" i="12"/>
  <c r="CK156" i="12"/>
  <c r="CI156" i="12"/>
  <c r="CF156" i="12"/>
  <c r="CG156" i="12" s="1"/>
  <c r="CE156" i="12"/>
  <c r="CC156" i="12"/>
  <c r="CA156" i="12"/>
  <c r="BY156" i="12"/>
  <c r="BW156" i="12"/>
  <c r="BU156" i="12"/>
  <c r="BS156" i="12"/>
  <c r="BQ156" i="12"/>
  <c r="BO156" i="12"/>
  <c r="BM156" i="12"/>
  <c r="BK156" i="12"/>
  <c r="BI156" i="12"/>
  <c r="BF156" i="12"/>
  <c r="BG156" i="12" s="1"/>
  <c r="BE156" i="12"/>
  <c r="BC156" i="12"/>
  <c r="BA156" i="12"/>
  <c r="AY156" i="12"/>
  <c r="AW156" i="12"/>
  <c r="AU156" i="12"/>
  <c r="AS156" i="12"/>
  <c r="AQ156" i="12"/>
  <c r="AO156" i="12"/>
  <c r="AM156" i="12"/>
  <c r="AK156" i="12"/>
  <c r="AI156" i="12"/>
  <c r="AF156" i="12"/>
  <c r="AG156" i="12" s="1"/>
  <c r="AE156" i="12"/>
  <c r="AC156" i="12"/>
  <c r="AA156" i="12"/>
  <c r="Y156" i="12"/>
  <c r="W156" i="12"/>
  <c r="U156" i="12"/>
  <c r="S156" i="12"/>
  <c r="Q156" i="12"/>
  <c r="O156" i="12"/>
  <c r="M156" i="12"/>
  <c r="K156" i="12"/>
  <c r="I156" i="12"/>
  <c r="DF155" i="12"/>
  <c r="DG155" i="12" s="1"/>
  <c r="DE155" i="12"/>
  <c r="DC155" i="12"/>
  <c r="DA155" i="12"/>
  <c r="CY155" i="12"/>
  <c r="CW155" i="12"/>
  <c r="CU155" i="12"/>
  <c r="CS155" i="12"/>
  <c r="CQ155" i="12"/>
  <c r="CO155" i="12"/>
  <c r="CM155" i="12"/>
  <c r="CK155" i="12"/>
  <c r="CI155" i="12"/>
  <c r="CF155" i="12"/>
  <c r="CG155" i="12" s="1"/>
  <c r="CE155" i="12"/>
  <c r="CC155" i="12"/>
  <c r="CA155" i="12"/>
  <c r="BY155" i="12"/>
  <c r="BW155" i="12"/>
  <c r="BU155" i="12"/>
  <c r="BS155" i="12"/>
  <c r="BQ155" i="12"/>
  <c r="BO155" i="12"/>
  <c r="BM155" i="12"/>
  <c r="BK155" i="12"/>
  <c r="BI155" i="12"/>
  <c r="BF155" i="12"/>
  <c r="BG155" i="12" s="1"/>
  <c r="BE155" i="12"/>
  <c r="BC155" i="12"/>
  <c r="BA155" i="12"/>
  <c r="AY155" i="12"/>
  <c r="AW155" i="12"/>
  <c r="AU155" i="12"/>
  <c r="AS155" i="12"/>
  <c r="AQ155" i="12"/>
  <c r="AO155" i="12"/>
  <c r="AM155" i="12"/>
  <c r="AK155" i="12"/>
  <c r="AI155" i="12"/>
  <c r="AF155" i="12"/>
  <c r="AG155" i="12" s="1"/>
  <c r="AE155" i="12"/>
  <c r="AC155" i="12"/>
  <c r="AA155" i="12"/>
  <c r="Y155" i="12"/>
  <c r="W155" i="12"/>
  <c r="U155" i="12"/>
  <c r="S155" i="12"/>
  <c r="Q155" i="12"/>
  <c r="O155" i="12"/>
  <c r="M155" i="12"/>
  <c r="K155" i="12"/>
  <c r="I155" i="12"/>
  <c r="DF154" i="12"/>
  <c r="DG154" i="12" s="1"/>
  <c r="DE154" i="12"/>
  <c r="DC154" i="12"/>
  <c r="DA154" i="12"/>
  <c r="CY154" i="12"/>
  <c r="CW154" i="12"/>
  <c r="CU154" i="12"/>
  <c r="CS154" i="12"/>
  <c r="CQ154" i="12"/>
  <c r="CO154" i="12"/>
  <c r="CM154" i="12"/>
  <c r="CK154" i="12"/>
  <c r="CI154" i="12"/>
  <c r="CF154" i="12"/>
  <c r="CG154" i="12" s="1"/>
  <c r="CE154" i="12"/>
  <c r="CC154" i="12"/>
  <c r="CA154" i="12"/>
  <c r="BY154" i="12"/>
  <c r="BW154" i="12"/>
  <c r="BU154" i="12"/>
  <c r="BS154" i="12"/>
  <c r="BQ154" i="12"/>
  <c r="BO154" i="12"/>
  <c r="BM154" i="12"/>
  <c r="BK154" i="12"/>
  <c r="BI154" i="12"/>
  <c r="BF154" i="12"/>
  <c r="BG154" i="12" s="1"/>
  <c r="BE154" i="12"/>
  <c r="BC154" i="12"/>
  <c r="BA154" i="12"/>
  <c r="AY154" i="12"/>
  <c r="AW154" i="12"/>
  <c r="AU154" i="12"/>
  <c r="AS154" i="12"/>
  <c r="AQ154" i="12"/>
  <c r="AO154" i="12"/>
  <c r="AM154" i="12"/>
  <c r="AK154" i="12"/>
  <c r="AI154" i="12"/>
  <c r="AF154" i="12"/>
  <c r="AG154" i="12" s="1"/>
  <c r="AE154" i="12"/>
  <c r="AC154" i="12"/>
  <c r="AA154" i="12"/>
  <c r="Y154" i="12"/>
  <c r="W154" i="12"/>
  <c r="U154" i="12"/>
  <c r="S154" i="12"/>
  <c r="Q154" i="12"/>
  <c r="O154" i="12"/>
  <c r="M154" i="12"/>
  <c r="K154" i="12"/>
  <c r="I154" i="12"/>
  <c r="DF153" i="12"/>
  <c r="DE153" i="12"/>
  <c r="DC153" i="12"/>
  <c r="DA153" i="12"/>
  <c r="CY153" i="12"/>
  <c r="CW153" i="12"/>
  <c r="CU153" i="12"/>
  <c r="CS153" i="12"/>
  <c r="CQ153" i="12"/>
  <c r="CO153" i="12"/>
  <c r="CM153" i="12"/>
  <c r="CK153" i="12"/>
  <c r="CI153" i="12"/>
  <c r="CF153" i="12"/>
  <c r="CG153" i="12" s="1"/>
  <c r="CE153" i="12"/>
  <c r="CC153" i="12"/>
  <c r="CA153" i="12"/>
  <c r="BY153" i="12"/>
  <c r="BW153" i="12"/>
  <c r="BU153" i="12"/>
  <c r="BS153" i="12"/>
  <c r="BQ153" i="12"/>
  <c r="BO153" i="12"/>
  <c r="BM153" i="12"/>
  <c r="BK153" i="12"/>
  <c r="BI153" i="12"/>
  <c r="BF153" i="12"/>
  <c r="BG153" i="12" s="1"/>
  <c r="BE153" i="12"/>
  <c r="BC153" i="12"/>
  <c r="BA153" i="12"/>
  <c r="AY153" i="12"/>
  <c r="AW153" i="12"/>
  <c r="AU153" i="12"/>
  <c r="AS153" i="12"/>
  <c r="AQ153" i="12"/>
  <c r="AO153" i="12"/>
  <c r="AM153" i="12"/>
  <c r="AK153" i="12"/>
  <c r="AI153" i="12"/>
  <c r="AF153" i="12"/>
  <c r="AG153" i="12" s="1"/>
  <c r="AE153" i="12"/>
  <c r="AC153" i="12"/>
  <c r="AA153" i="12"/>
  <c r="Y153" i="12"/>
  <c r="W153" i="12"/>
  <c r="U153" i="12"/>
  <c r="S153" i="12"/>
  <c r="Q153" i="12"/>
  <c r="O153" i="12"/>
  <c r="M153" i="12"/>
  <c r="K153" i="12"/>
  <c r="I153" i="12"/>
  <c r="DF152" i="12"/>
  <c r="DE152" i="12"/>
  <c r="DC152" i="12"/>
  <c r="DA152" i="12"/>
  <c r="CY152" i="12"/>
  <c r="CW152" i="12"/>
  <c r="CU152" i="12"/>
  <c r="CS152" i="12"/>
  <c r="CQ152" i="12"/>
  <c r="CO152" i="12"/>
  <c r="CM152" i="12"/>
  <c r="CK152" i="12"/>
  <c r="CI152" i="12"/>
  <c r="CF152" i="12"/>
  <c r="CG152" i="12" s="1"/>
  <c r="CE152" i="12"/>
  <c r="CC152" i="12"/>
  <c r="CA152" i="12"/>
  <c r="BY152" i="12"/>
  <c r="BW152" i="12"/>
  <c r="BU152" i="12"/>
  <c r="BS152" i="12"/>
  <c r="BQ152" i="12"/>
  <c r="BO152" i="12"/>
  <c r="BM152" i="12"/>
  <c r="BK152" i="12"/>
  <c r="BI152" i="12"/>
  <c r="BF152" i="12"/>
  <c r="BG152" i="12" s="1"/>
  <c r="BE152" i="12"/>
  <c r="BC152" i="12"/>
  <c r="BA152" i="12"/>
  <c r="AY152" i="12"/>
  <c r="AW152" i="12"/>
  <c r="AU152" i="12"/>
  <c r="AS152" i="12"/>
  <c r="AQ152" i="12"/>
  <c r="AO152" i="12"/>
  <c r="AM152" i="12"/>
  <c r="AK152" i="12"/>
  <c r="AI152" i="12"/>
  <c r="AF152" i="12"/>
  <c r="AG152" i="12" s="1"/>
  <c r="AE152" i="12"/>
  <c r="AC152" i="12"/>
  <c r="AA152" i="12"/>
  <c r="Y152" i="12"/>
  <c r="W152" i="12"/>
  <c r="U152" i="12"/>
  <c r="S152" i="12"/>
  <c r="Q152" i="12"/>
  <c r="O152" i="12"/>
  <c r="M152" i="12"/>
  <c r="K152" i="12"/>
  <c r="I152" i="12"/>
  <c r="DF151" i="12"/>
  <c r="DE151" i="12"/>
  <c r="DC151" i="12"/>
  <c r="DA151" i="12"/>
  <c r="CY151" i="12"/>
  <c r="CW151" i="12"/>
  <c r="CU151" i="12"/>
  <c r="CS151" i="12"/>
  <c r="CQ151" i="12"/>
  <c r="CO151" i="12"/>
  <c r="CM151" i="12"/>
  <c r="CK151" i="12"/>
  <c r="CI151" i="12"/>
  <c r="CF151" i="12"/>
  <c r="CG151" i="12" s="1"/>
  <c r="CE151" i="12"/>
  <c r="CC151" i="12"/>
  <c r="CA151" i="12"/>
  <c r="BY151" i="12"/>
  <c r="BW151" i="12"/>
  <c r="BU151" i="12"/>
  <c r="BS151" i="12"/>
  <c r="BQ151" i="12"/>
  <c r="BO151" i="12"/>
  <c r="BM151" i="12"/>
  <c r="BK151" i="12"/>
  <c r="BI151" i="12"/>
  <c r="BF151" i="12"/>
  <c r="BG151" i="12" s="1"/>
  <c r="BE151" i="12"/>
  <c r="BC151" i="12"/>
  <c r="BA151" i="12"/>
  <c r="AY151" i="12"/>
  <c r="AW151" i="12"/>
  <c r="AU151" i="12"/>
  <c r="AS151" i="12"/>
  <c r="AQ151" i="12"/>
  <c r="AO151" i="12"/>
  <c r="AM151" i="12"/>
  <c r="AK151" i="12"/>
  <c r="AI151" i="12"/>
  <c r="AF151" i="12"/>
  <c r="AG151" i="12" s="1"/>
  <c r="AE151" i="12"/>
  <c r="AC151" i="12"/>
  <c r="AA151" i="12"/>
  <c r="Y151" i="12"/>
  <c r="W151" i="12"/>
  <c r="U151" i="12"/>
  <c r="S151" i="12"/>
  <c r="Q151" i="12"/>
  <c r="O151" i="12"/>
  <c r="M151" i="12"/>
  <c r="K151" i="12"/>
  <c r="I151" i="12"/>
  <c r="DF150" i="12"/>
  <c r="DG150" i="12" s="1"/>
  <c r="DE150" i="12"/>
  <c r="DC150" i="12"/>
  <c r="DA150" i="12"/>
  <c r="CY150" i="12"/>
  <c r="CW150" i="12"/>
  <c r="CU150" i="12"/>
  <c r="CS150" i="12"/>
  <c r="CQ150" i="12"/>
  <c r="CO150" i="12"/>
  <c r="CM150" i="12"/>
  <c r="CK150" i="12"/>
  <c r="CI150" i="12"/>
  <c r="CF150" i="12"/>
  <c r="CE150" i="12"/>
  <c r="CC150" i="12"/>
  <c r="CA150" i="12"/>
  <c r="BY150" i="12"/>
  <c r="BW150" i="12"/>
  <c r="BU150" i="12"/>
  <c r="BS150" i="12"/>
  <c r="BQ150" i="12"/>
  <c r="BO150" i="12"/>
  <c r="BM150" i="12"/>
  <c r="BK150" i="12"/>
  <c r="BI150" i="12"/>
  <c r="BF150" i="12"/>
  <c r="BE150" i="12"/>
  <c r="BC150" i="12"/>
  <c r="BA150" i="12"/>
  <c r="AY150" i="12"/>
  <c r="AW150" i="12"/>
  <c r="AU150" i="12"/>
  <c r="AS150" i="12"/>
  <c r="AQ150" i="12"/>
  <c r="AO150" i="12"/>
  <c r="AM150" i="12"/>
  <c r="AK150" i="12"/>
  <c r="AI150" i="12"/>
  <c r="AF150" i="12"/>
  <c r="AE150" i="12"/>
  <c r="AC150" i="12"/>
  <c r="AA150" i="12"/>
  <c r="Y150" i="12"/>
  <c r="W150" i="12"/>
  <c r="U150" i="12"/>
  <c r="S150" i="12"/>
  <c r="Q150" i="12"/>
  <c r="O150" i="12"/>
  <c r="M150" i="12"/>
  <c r="K150" i="12"/>
  <c r="I150" i="12"/>
  <c r="DE149" i="12"/>
  <c r="DC149" i="12"/>
  <c r="DA149" i="12"/>
  <c r="CY149" i="12"/>
  <c r="CW149" i="12"/>
  <c r="CU149" i="12"/>
  <c r="CS149" i="12"/>
  <c r="CQ149" i="12"/>
  <c r="CO149" i="12"/>
  <c r="CM149" i="12"/>
  <c r="CK149" i="12"/>
  <c r="CI149" i="12"/>
  <c r="CG149" i="12"/>
  <c r="CE149" i="12"/>
  <c r="CC149" i="12"/>
  <c r="CA149" i="12"/>
  <c r="BY149" i="12"/>
  <c r="BW149" i="12"/>
  <c r="BU149" i="12"/>
  <c r="BS149" i="12"/>
  <c r="BQ149" i="12"/>
  <c r="BO149" i="12"/>
  <c r="BM149" i="12"/>
  <c r="BK149" i="12"/>
  <c r="BI149" i="12"/>
  <c r="BG149" i="12"/>
  <c r="BE149" i="12"/>
  <c r="BC149" i="12"/>
  <c r="BA149" i="12"/>
  <c r="AY149" i="12"/>
  <c r="AW149" i="12"/>
  <c r="AU149" i="12"/>
  <c r="AS149" i="12"/>
  <c r="AQ149" i="12"/>
  <c r="AO149" i="12"/>
  <c r="AM149" i="12"/>
  <c r="AK149" i="12"/>
  <c r="AI149" i="12"/>
  <c r="AG149" i="12"/>
  <c r="AE149" i="12"/>
  <c r="AC149" i="12"/>
  <c r="AA149" i="12"/>
  <c r="Y149" i="12"/>
  <c r="W149" i="12"/>
  <c r="U149" i="12"/>
  <c r="S149" i="12"/>
  <c r="Q149" i="12"/>
  <c r="O149" i="12"/>
  <c r="M149" i="12"/>
  <c r="K149" i="12"/>
  <c r="I149" i="12"/>
  <c r="DD148" i="12"/>
  <c r="DD170" i="12" s="1"/>
  <c r="DB148" i="12"/>
  <c r="DB170" i="12" s="1"/>
  <c r="CZ148" i="12"/>
  <c r="CX148" i="12"/>
  <c r="CV148" i="12"/>
  <c r="CV170" i="12" s="1"/>
  <c r="CT148" i="12"/>
  <c r="CR148" i="12"/>
  <c r="CP148" i="12"/>
  <c r="CN148" i="12"/>
  <c r="CL148" i="12"/>
  <c r="CJ148" i="12"/>
  <c r="CJ170" i="12" s="1"/>
  <c r="CH148" i="12"/>
  <c r="CD148" i="12"/>
  <c r="CD170" i="12" s="1"/>
  <c r="CB148" i="12"/>
  <c r="CB170" i="12" s="1"/>
  <c r="BZ148" i="12"/>
  <c r="BX148" i="12"/>
  <c r="BV148" i="12"/>
  <c r="BT148" i="12"/>
  <c r="BR148" i="12"/>
  <c r="BP148" i="12"/>
  <c r="BN148" i="12"/>
  <c r="BL148" i="12"/>
  <c r="BJ148" i="12"/>
  <c r="BH148" i="12"/>
  <c r="BH170" i="12" s="1"/>
  <c r="BD148" i="12"/>
  <c r="BD170" i="12" s="1"/>
  <c r="BB148" i="12"/>
  <c r="BB170" i="12" s="1"/>
  <c r="AZ148" i="12"/>
  <c r="AX148" i="12"/>
  <c r="AV148" i="12"/>
  <c r="AV170" i="12" s="1"/>
  <c r="AT148" i="12"/>
  <c r="AR148" i="12"/>
  <c r="AP148" i="12"/>
  <c r="AN148" i="12"/>
  <c r="AL148" i="12"/>
  <c r="AJ148" i="12"/>
  <c r="AH148" i="12"/>
  <c r="AH170" i="12" s="1"/>
  <c r="AD148" i="12"/>
  <c r="AD170" i="12" s="1"/>
  <c r="AB148" i="12"/>
  <c r="AB170" i="12" s="1"/>
  <c r="Z148" i="12"/>
  <c r="X148" i="12"/>
  <c r="V148" i="12"/>
  <c r="V170" i="12" s="1"/>
  <c r="T148" i="12"/>
  <c r="R148" i="12"/>
  <c r="P148" i="12"/>
  <c r="L148" i="12"/>
  <c r="J148" i="12"/>
  <c r="H148" i="12"/>
  <c r="H170" i="12" s="1"/>
  <c r="DF147" i="12"/>
  <c r="DG147" i="12" s="1"/>
  <c r="DE147" i="12"/>
  <c r="DC147" i="12"/>
  <c r="DA147" i="12"/>
  <c r="CY147" i="12"/>
  <c r="CW147" i="12"/>
  <c r="CU147" i="12"/>
  <c r="CS147" i="12"/>
  <c r="CQ147" i="12"/>
  <c r="CO147" i="12"/>
  <c r="CM147" i="12"/>
  <c r="CK147" i="12"/>
  <c r="CI147" i="12"/>
  <c r="CG147" i="12"/>
  <c r="CE147" i="12"/>
  <c r="CC147" i="12"/>
  <c r="CA147" i="12"/>
  <c r="BY147" i="12"/>
  <c r="BW147" i="12"/>
  <c r="BU147" i="12"/>
  <c r="BS147" i="12"/>
  <c r="BQ147" i="12"/>
  <c r="BO147" i="12"/>
  <c r="BM147" i="12"/>
  <c r="BK147" i="12"/>
  <c r="BI147" i="12"/>
  <c r="BG147" i="12"/>
  <c r="BE147" i="12"/>
  <c r="BC147" i="12"/>
  <c r="BA147" i="12"/>
  <c r="AY147" i="12"/>
  <c r="AW147" i="12"/>
  <c r="AU147" i="12"/>
  <c r="AS147" i="12"/>
  <c r="AQ147" i="12"/>
  <c r="AO147" i="12"/>
  <c r="AM147" i="12"/>
  <c r="AK147" i="12"/>
  <c r="AI147" i="12"/>
  <c r="AG147" i="12"/>
  <c r="AE147" i="12"/>
  <c r="AC147" i="12"/>
  <c r="AA147" i="12"/>
  <c r="Y147" i="12"/>
  <c r="W147" i="12"/>
  <c r="U147" i="12"/>
  <c r="S147" i="12"/>
  <c r="Q147" i="12"/>
  <c r="O147" i="12"/>
  <c r="M147" i="12"/>
  <c r="K147" i="12"/>
  <c r="I147" i="12"/>
  <c r="DF146" i="12"/>
  <c r="DG146" i="12" s="1"/>
  <c r="DE146" i="12"/>
  <c r="DC146" i="12"/>
  <c r="DA146" i="12"/>
  <c r="CY146" i="12"/>
  <c r="CW146" i="12"/>
  <c r="CU146" i="12"/>
  <c r="CS146" i="12"/>
  <c r="CQ146" i="12"/>
  <c r="CO146" i="12"/>
  <c r="CM146" i="12"/>
  <c r="CK146" i="12"/>
  <c r="CI146" i="12"/>
  <c r="CF146" i="12"/>
  <c r="CG146" i="12" s="1"/>
  <c r="CE146" i="12"/>
  <c r="CC146" i="12"/>
  <c r="CA146" i="12"/>
  <c r="BY146" i="12"/>
  <c r="BW146" i="12"/>
  <c r="BU146" i="12"/>
  <c r="BS146" i="12"/>
  <c r="BQ146" i="12"/>
  <c r="BO146" i="12"/>
  <c r="BM146" i="12"/>
  <c r="BK146" i="12"/>
  <c r="BI146" i="12"/>
  <c r="BF146" i="12"/>
  <c r="BG146" i="12" s="1"/>
  <c r="BE146" i="12"/>
  <c r="BC146" i="12"/>
  <c r="BA146" i="12"/>
  <c r="AY146" i="12"/>
  <c r="AW146" i="12"/>
  <c r="AU146" i="12"/>
  <c r="AS146" i="12"/>
  <c r="AQ146" i="12"/>
  <c r="AO146" i="12"/>
  <c r="AM146" i="12"/>
  <c r="AK146" i="12"/>
  <c r="AI146" i="12"/>
  <c r="AF146" i="12"/>
  <c r="AG146" i="12" s="1"/>
  <c r="AE146" i="12"/>
  <c r="AC146" i="12"/>
  <c r="AA146" i="12"/>
  <c r="Y146" i="12"/>
  <c r="W146" i="12"/>
  <c r="U146" i="12"/>
  <c r="S146" i="12"/>
  <c r="Q146" i="12"/>
  <c r="O146" i="12"/>
  <c r="M146" i="12"/>
  <c r="K146" i="12"/>
  <c r="I146" i="12"/>
  <c r="DF145" i="12"/>
  <c r="DG145" i="12" s="1"/>
  <c r="DE145" i="12"/>
  <c r="DC145" i="12"/>
  <c r="DA145" i="12"/>
  <c r="CY145" i="12"/>
  <c r="CW145" i="12"/>
  <c r="CU145" i="12"/>
  <c r="CS145" i="12"/>
  <c r="CQ145" i="12"/>
  <c r="CO145" i="12"/>
  <c r="CM145" i="12"/>
  <c r="CK145" i="12"/>
  <c r="CI145" i="12"/>
  <c r="CF145" i="12"/>
  <c r="CG145" i="12" s="1"/>
  <c r="CE145" i="12"/>
  <c r="CC145" i="12"/>
  <c r="CA145" i="12"/>
  <c r="BY145" i="12"/>
  <c r="BW145" i="12"/>
  <c r="BU145" i="12"/>
  <c r="BS145" i="12"/>
  <c r="BQ145" i="12"/>
  <c r="BO145" i="12"/>
  <c r="BM145" i="12"/>
  <c r="BK145" i="12"/>
  <c r="BI145" i="12"/>
  <c r="BF145" i="12"/>
  <c r="BG145" i="12" s="1"/>
  <c r="BE145" i="12"/>
  <c r="BC145" i="12"/>
  <c r="BA145" i="12"/>
  <c r="AY145" i="12"/>
  <c r="AW145" i="12"/>
  <c r="AU145" i="12"/>
  <c r="AS145" i="12"/>
  <c r="AQ145" i="12"/>
  <c r="AO145" i="12"/>
  <c r="AM145" i="12"/>
  <c r="AK145" i="12"/>
  <c r="AI145" i="12"/>
  <c r="AF145" i="12"/>
  <c r="AG145" i="12" s="1"/>
  <c r="AE145" i="12"/>
  <c r="AC145" i="12"/>
  <c r="AA145" i="12"/>
  <c r="Y145" i="12"/>
  <c r="W145" i="12"/>
  <c r="U145" i="12"/>
  <c r="S145" i="12"/>
  <c r="Q145" i="12"/>
  <c r="O145" i="12"/>
  <c r="M145" i="12"/>
  <c r="K145" i="12"/>
  <c r="I145" i="12"/>
  <c r="DF144" i="12"/>
  <c r="DG144" i="12" s="1"/>
  <c r="DE144" i="12"/>
  <c r="DC144" i="12"/>
  <c r="DA144" i="12"/>
  <c r="CY144" i="12"/>
  <c r="CW144" i="12"/>
  <c r="CU144" i="12"/>
  <c r="CS144" i="12"/>
  <c r="CQ144" i="12"/>
  <c r="CO144" i="12"/>
  <c r="CM144" i="12"/>
  <c r="CK144" i="12"/>
  <c r="CI144" i="12"/>
  <c r="CF144" i="12"/>
  <c r="CG144" i="12" s="1"/>
  <c r="CE144" i="12"/>
  <c r="CC144" i="12"/>
  <c r="CA144" i="12"/>
  <c r="BY144" i="12"/>
  <c r="BW144" i="12"/>
  <c r="BU144" i="12"/>
  <c r="BS144" i="12"/>
  <c r="BQ144" i="12"/>
  <c r="BO144" i="12"/>
  <c r="BM144" i="12"/>
  <c r="BK144" i="12"/>
  <c r="BI144" i="12"/>
  <c r="BF144" i="12"/>
  <c r="BG144" i="12" s="1"/>
  <c r="BE144" i="12"/>
  <c r="BC144" i="12"/>
  <c r="BA144" i="12"/>
  <c r="AY144" i="12"/>
  <c r="AW144" i="12"/>
  <c r="AU144" i="12"/>
  <c r="AS144" i="12"/>
  <c r="AQ144" i="12"/>
  <c r="AO144" i="12"/>
  <c r="AM144" i="12"/>
  <c r="AK144" i="12"/>
  <c r="AI144" i="12"/>
  <c r="AF144" i="12"/>
  <c r="AG144" i="12" s="1"/>
  <c r="AE144" i="12"/>
  <c r="AC144" i="12"/>
  <c r="AA144" i="12"/>
  <c r="Y144" i="12"/>
  <c r="W144" i="12"/>
  <c r="U144" i="12"/>
  <c r="S144" i="12"/>
  <c r="Q144" i="12"/>
  <c r="O144" i="12"/>
  <c r="M144" i="12"/>
  <c r="K144" i="12"/>
  <c r="I144" i="12"/>
  <c r="DF143" i="12"/>
  <c r="DG143" i="12" s="1"/>
  <c r="DE143" i="12"/>
  <c r="DC143" i="12"/>
  <c r="DA143" i="12"/>
  <c r="CY143" i="12"/>
  <c r="CW143" i="12"/>
  <c r="CU143" i="12"/>
  <c r="CS143" i="12"/>
  <c r="CQ143" i="12"/>
  <c r="CO143" i="12"/>
  <c r="CM143" i="12"/>
  <c r="CK143" i="12"/>
  <c r="CI143" i="12"/>
  <c r="CF143" i="12"/>
  <c r="CG143" i="12" s="1"/>
  <c r="CE143" i="12"/>
  <c r="CC143" i="12"/>
  <c r="CA143" i="12"/>
  <c r="BY143" i="12"/>
  <c r="BW143" i="12"/>
  <c r="BU143" i="12"/>
  <c r="BS143" i="12"/>
  <c r="BQ143" i="12"/>
  <c r="BO143" i="12"/>
  <c r="BM143" i="12"/>
  <c r="BK143" i="12"/>
  <c r="BI143" i="12"/>
  <c r="BF143" i="12"/>
  <c r="BG143" i="12" s="1"/>
  <c r="BE143" i="12"/>
  <c r="BC143" i="12"/>
  <c r="BA143" i="12"/>
  <c r="AY143" i="12"/>
  <c r="AW143" i="12"/>
  <c r="AU143" i="12"/>
  <c r="AS143" i="12"/>
  <c r="AQ143" i="12"/>
  <c r="AO143" i="12"/>
  <c r="AM143" i="12"/>
  <c r="AK143" i="12"/>
  <c r="AI143" i="12"/>
  <c r="AF143" i="12"/>
  <c r="AG143" i="12" s="1"/>
  <c r="AE143" i="12"/>
  <c r="AC143" i="12"/>
  <c r="AA143" i="12"/>
  <c r="Y143" i="12"/>
  <c r="W143" i="12"/>
  <c r="U143" i="12"/>
  <c r="S143" i="12"/>
  <c r="Q143" i="12"/>
  <c r="O143" i="12"/>
  <c r="M143" i="12"/>
  <c r="K143" i="12"/>
  <c r="I143" i="12"/>
  <c r="DF140" i="12"/>
  <c r="DG140" i="12" s="1"/>
  <c r="DE140" i="12"/>
  <c r="DC140" i="12"/>
  <c r="DA140" i="12"/>
  <c r="CY140" i="12"/>
  <c r="CW140" i="12"/>
  <c r="CU140" i="12"/>
  <c r="CS140" i="12"/>
  <c r="CQ140" i="12"/>
  <c r="CO140" i="12"/>
  <c r="CM140" i="12"/>
  <c r="CK140" i="12"/>
  <c r="CI140" i="12"/>
  <c r="CF140" i="12"/>
  <c r="CG140" i="12" s="1"/>
  <c r="CE140" i="12"/>
  <c r="CC140" i="12"/>
  <c r="CA140" i="12"/>
  <c r="BY140" i="12"/>
  <c r="BW140" i="12"/>
  <c r="BU140" i="12"/>
  <c r="BS140" i="12"/>
  <c r="BQ140" i="12"/>
  <c r="BO140" i="12"/>
  <c r="BM140" i="12"/>
  <c r="BK140" i="12"/>
  <c r="BI140" i="12"/>
  <c r="BF140" i="12"/>
  <c r="BG140" i="12" s="1"/>
  <c r="BE140" i="12"/>
  <c r="BC140" i="12"/>
  <c r="BA140" i="12"/>
  <c r="AY140" i="12"/>
  <c r="AW140" i="12"/>
  <c r="AU140" i="12"/>
  <c r="AS140" i="12"/>
  <c r="AQ140" i="12"/>
  <c r="AO140" i="12"/>
  <c r="AM140" i="12"/>
  <c r="AK140" i="12"/>
  <c r="AI140" i="12"/>
  <c r="AF140" i="12"/>
  <c r="AG140" i="12" s="1"/>
  <c r="AE140" i="12"/>
  <c r="AC140" i="12"/>
  <c r="AA140" i="12"/>
  <c r="Y140" i="12"/>
  <c r="W140" i="12"/>
  <c r="U140" i="12"/>
  <c r="S140" i="12"/>
  <c r="Q140" i="12"/>
  <c r="O140" i="12"/>
  <c r="M140" i="12"/>
  <c r="K140" i="12"/>
  <c r="I140" i="12"/>
  <c r="DF139" i="12"/>
  <c r="DE139" i="12"/>
  <c r="DC139" i="12"/>
  <c r="DA139" i="12"/>
  <c r="CY139" i="12"/>
  <c r="CW139" i="12"/>
  <c r="CU139" i="12"/>
  <c r="CS139" i="12"/>
  <c r="CQ139" i="12"/>
  <c r="CO139" i="12"/>
  <c r="CM139" i="12"/>
  <c r="CK139" i="12"/>
  <c r="CI139" i="12"/>
  <c r="CF139" i="12"/>
  <c r="CG139" i="12" s="1"/>
  <c r="CE139" i="12"/>
  <c r="CC139" i="12"/>
  <c r="CA139" i="12"/>
  <c r="BY139" i="12"/>
  <c r="BW139" i="12"/>
  <c r="BU139" i="12"/>
  <c r="BS139" i="12"/>
  <c r="BQ139" i="12"/>
  <c r="BO139" i="12"/>
  <c r="BM139" i="12"/>
  <c r="BK139" i="12"/>
  <c r="BI139" i="12"/>
  <c r="BF139" i="12"/>
  <c r="BG139" i="12" s="1"/>
  <c r="BE139" i="12"/>
  <c r="BC139" i="12"/>
  <c r="BA139" i="12"/>
  <c r="AY139" i="12"/>
  <c r="AW139" i="12"/>
  <c r="AU139" i="12"/>
  <c r="AS139" i="12"/>
  <c r="AQ139" i="12"/>
  <c r="AO139" i="12"/>
  <c r="AM139" i="12"/>
  <c r="AK139" i="12"/>
  <c r="AI139" i="12"/>
  <c r="AF139" i="12"/>
  <c r="AG139" i="12" s="1"/>
  <c r="AE139" i="12"/>
  <c r="AC139" i="12"/>
  <c r="AA139" i="12"/>
  <c r="Y139" i="12"/>
  <c r="W139" i="12"/>
  <c r="U139" i="12"/>
  <c r="S139" i="12"/>
  <c r="Q139" i="12"/>
  <c r="O139" i="12"/>
  <c r="M139" i="12"/>
  <c r="K139" i="12"/>
  <c r="I139" i="12"/>
  <c r="DF138" i="12"/>
  <c r="DG138" i="12" s="1"/>
  <c r="DE138" i="12"/>
  <c r="DC138" i="12"/>
  <c r="DA138" i="12"/>
  <c r="CY138" i="12"/>
  <c r="CW138" i="12"/>
  <c r="CU138" i="12"/>
  <c r="CS138" i="12"/>
  <c r="CQ138" i="12"/>
  <c r="CO138" i="12"/>
  <c r="CM138" i="12"/>
  <c r="CK138" i="12"/>
  <c r="CI138" i="12"/>
  <c r="CF138" i="12"/>
  <c r="CG138" i="12" s="1"/>
  <c r="CE138" i="12"/>
  <c r="CC138" i="12"/>
  <c r="CA138" i="12"/>
  <c r="BY138" i="12"/>
  <c r="BW138" i="12"/>
  <c r="BU138" i="12"/>
  <c r="BS138" i="12"/>
  <c r="BQ138" i="12"/>
  <c r="BO138" i="12"/>
  <c r="BM138" i="12"/>
  <c r="BK138" i="12"/>
  <c r="BI138" i="12"/>
  <c r="BF138" i="12"/>
  <c r="BG138" i="12" s="1"/>
  <c r="BE138" i="12"/>
  <c r="BC138" i="12"/>
  <c r="BA138" i="12"/>
  <c r="AY138" i="12"/>
  <c r="AW138" i="12"/>
  <c r="AU138" i="12"/>
  <c r="AS138" i="12"/>
  <c r="AQ138" i="12"/>
  <c r="AO138" i="12"/>
  <c r="AM138" i="12"/>
  <c r="AK138" i="12"/>
  <c r="AI138" i="12"/>
  <c r="AF138" i="12"/>
  <c r="AG138" i="12" s="1"/>
  <c r="AE138" i="12"/>
  <c r="AC138" i="12"/>
  <c r="AA138" i="12"/>
  <c r="Y138" i="12"/>
  <c r="W138" i="12"/>
  <c r="U138" i="12"/>
  <c r="S138" i="12"/>
  <c r="Q138" i="12"/>
  <c r="O138" i="12"/>
  <c r="M138" i="12"/>
  <c r="K138" i="12"/>
  <c r="I138" i="12"/>
  <c r="DF137" i="12"/>
  <c r="DG137" i="12" s="1"/>
  <c r="DE137" i="12"/>
  <c r="DC137" i="12"/>
  <c r="DA137" i="12"/>
  <c r="CY137" i="12"/>
  <c r="CW137" i="12"/>
  <c r="CU137" i="12"/>
  <c r="CS137" i="12"/>
  <c r="CQ137" i="12"/>
  <c r="CO137" i="12"/>
  <c r="CM137" i="12"/>
  <c r="CK137" i="12"/>
  <c r="CI137" i="12"/>
  <c r="CF137" i="12"/>
  <c r="CG137" i="12" s="1"/>
  <c r="CE137" i="12"/>
  <c r="CC137" i="12"/>
  <c r="CA137" i="12"/>
  <c r="BY137" i="12"/>
  <c r="BW137" i="12"/>
  <c r="BU137" i="12"/>
  <c r="BS137" i="12"/>
  <c r="BQ137" i="12"/>
  <c r="BO137" i="12"/>
  <c r="BM137" i="12"/>
  <c r="BK137" i="12"/>
  <c r="BI137" i="12"/>
  <c r="BF137" i="12"/>
  <c r="BG137" i="12" s="1"/>
  <c r="BE137" i="12"/>
  <c r="BC137" i="12"/>
  <c r="BA137" i="12"/>
  <c r="AY137" i="12"/>
  <c r="AW137" i="12"/>
  <c r="AU137" i="12"/>
  <c r="AS137" i="12"/>
  <c r="AQ137" i="12"/>
  <c r="AO137" i="12"/>
  <c r="AM137" i="12"/>
  <c r="AK137" i="12"/>
  <c r="AI137" i="12"/>
  <c r="AF137" i="12"/>
  <c r="AG137" i="12" s="1"/>
  <c r="AE137" i="12"/>
  <c r="AC137" i="12"/>
  <c r="AA137" i="12"/>
  <c r="Y137" i="12"/>
  <c r="W137" i="12"/>
  <c r="U137" i="12"/>
  <c r="S137" i="12"/>
  <c r="Q137" i="12"/>
  <c r="O137" i="12"/>
  <c r="M137" i="12"/>
  <c r="K137" i="12"/>
  <c r="I137" i="12"/>
  <c r="DF136" i="12"/>
  <c r="DG136" i="12" s="1"/>
  <c r="DE136" i="12"/>
  <c r="DC136" i="12"/>
  <c r="DA136" i="12"/>
  <c r="CY136" i="12"/>
  <c r="CW136" i="12"/>
  <c r="CU136" i="12"/>
  <c r="CS136" i="12"/>
  <c r="CQ136" i="12"/>
  <c r="CO136" i="12"/>
  <c r="CM136" i="12"/>
  <c r="CK136" i="12"/>
  <c r="CI136" i="12"/>
  <c r="CF136" i="12"/>
  <c r="CG136" i="12" s="1"/>
  <c r="CE136" i="12"/>
  <c r="CC136" i="12"/>
  <c r="CA136" i="12"/>
  <c r="BY136" i="12"/>
  <c r="BW136" i="12"/>
  <c r="BU136" i="12"/>
  <c r="BS136" i="12"/>
  <c r="BQ136" i="12"/>
  <c r="BO136" i="12"/>
  <c r="BM136" i="12"/>
  <c r="BK136" i="12"/>
  <c r="BI136" i="12"/>
  <c r="BF136" i="12"/>
  <c r="BG136" i="12" s="1"/>
  <c r="BE136" i="12"/>
  <c r="BC136" i="12"/>
  <c r="BA136" i="12"/>
  <c r="AY136" i="12"/>
  <c r="AW136" i="12"/>
  <c r="AU136" i="12"/>
  <c r="AS136" i="12"/>
  <c r="AQ136" i="12"/>
  <c r="AO136" i="12"/>
  <c r="AM136" i="12"/>
  <c r="AK136" i="12"/>
  <c r="AI136" i="12"/>
  <c r="AF136" i="12"/>
  <c r="AG136" i="12" s="1"/>
  <c r="AE136" i="12"/>
  <c r="AC136" i="12"/>
  <c r="AA136" i="12"/>
  <c r="Y136" i="12"/>
  <c r="W136" i="12"/>
  <c r="U136" i="12"/>
  <c r="S136" i="12"/>
  <c r="Q136" i="12"/>
  <c r="O136" i="12"/>
  <c r="M136" i="12"/>
  <c r="K136" i="12"/>
  <c r="I136" i="12"/>
  <c r="DF135" i="12"/>
  <c r="DE135" i="12"/>
  <c r="DC135" i="12"/>
  <c r="DA135" i="12"/>
  <c r="CY135" i="12"/>
  <c r="CW135" i="12"/>
  <c r="CU135" i="12"/>
  <c r="CS135" i="12"/>
  <c r="CQ135" i="12"/>
  <c r="CO135" i="12"/>
  <c r="CM135" i="12"/>
  <c r="CK135" i="12"/>
  <c r="CI135" i="12"/>
  <c r="CF135" i="12"/>
  <c r="CG135" i="12" s="1"/>
  <c r="CE135" i="12"/>
  <c r="CC135" i="12"/>
  <c r="CA135" i="12"/>
  <c r="BY135" i="12"/>
  <c r="BW135" i="12"/>
  <c r="BU135" i="12"/>
  <c r="BS135" i="12"/>
  <c r="BQ135" i="12"/>
  <c r="BO135" i="12"/>
  <c r="BM135" i="12"/>
  <c r="BK135" i="12"/>
  <c r="BI135" i="12"/>
  <c r="BF135" i="12"/>
  <c r="BG135" i="12" s="1"/>
  <c r="BE135" i="12"/>
  <c r="BC135" i="12"/>
  <c r="BA135" i="12"/>
  <c r="AY135" i="12"/>
  <c r="AW135" i="12"/>
  <c r="AU135" i="12"/>
  <c r="AS135" i="12"/>
  <c r="AQ135" i="12"/>
  <c r="AO135" i="12"/>
  <c r="AM135" i="12"/>
  <c r="AK135" i="12"/>
  <c r="AI135" i="12"/>
  <c r="AF135" i="12"/>
  <c r="AG135" i="12" s="1"/>
  <c r="AE135" i="12"/>
  <c r="AC135" i="12"/>
  <c r="AA135" i="12"/>
  <c r="Y135" i="12"/>
  <c r="W135" i="12"/>
  <c r="U135" i="12"/>
  <c r="S135" i="12"/>
  <c r="Q135" i="12"/>
  <c r="O135" i="12"/>
  <c r="M135" i="12"/>
  <c r="K135" i="12"/>
  <c r="I135" i="12"/>
  <c r="DF134" i="12"/>
  <c r="DG134" i="12" s="1"/>
  <c r="DE134" i="12"/>
  <c r="DC134" i="12"/>
  <c r="DA134" i="12"/>
  <c r="CY134" i="12"/>
  <c r="CW134" i="12"/>
  <c r="CU134" i="12"/>
  <c r="CS134" i="12"/>
  <c r="CQ134" i="12"/>
  <c r="CO134" i="12"/>
  <c r="CM134" i="12"/>
  <c r="CK134" i="12"/>
  <c r="CI134" i="12"/>
  <c r="CF134" i="12"/>
  <c r="CG134" i="12" s="1"/>
  <c r="CE134" i="12"/>
  <c r="CC134" i="12"/>
  <c r="CA134" i="12"/>
  <c r="BY134" i="12"/>
  <c r="BW134" i="12"/>
  <c r="BU134" i="12"/>
  <c r="BS134" i="12"/>
  <c r="BQ134" i="12"/>
  <c r="BO134" i="12"/>
  <c r="BM134" i="12"/>
  <c r="BK134" i="12"/>
  <c r="BI134" i="12"/>
  <c r="BF134" i="12"/>
  <c r="BG134" i="12" s="1"/>
  <c r="BE134" i="12"/>
  <c r="BC134" i="12"/>
  <c r="BA134" i="12"/>
  <c r="AY134" i="12"/>
  <c r="AW134" i="12"/>
  <c r="AU134" i="12"/>
  <c r="AS134" i="12"/>
  <c r="AQ134" i="12"/>
  <c r="AO134" i="12"/>
  <c r="AM134" i="12"/>
  <c r="AK134" i="12"/>
  <c r="AI134" i="12"/>
  <c r="AF134" i="12"/>
  <c r="AG134" i="12" s="1"/>
  <c r="AE134" i="12"/>
  <c r="AC134" i="12"/>
  <c r="AA134" i="12"/>
  <c r="Y134" i="12"/>
  <c r="W134" i="12"/>
  <c r="U134" i="12"/>
  <c r="S134" i="12"/>
  <c r="Q134" i="12"/>
  <c r="O134" i="12"/>
  <c r="M134" i="12"/>
  <c r="K134" i="12"/>
  <c r="I134" i="12"/>
  <c r="DF133" i="12"/>
  <c r="DG133" i="12" s="1"/>
  <c r="DE133" i="12"/>
  <c r="DC133" i="12"/>
  <c r="DA133" i="12"/>
  <c r="CY133" i="12"/>
  <c r="CW133" i="12"/>
  <c r="CU133" i="12"/>
  <c r="CS133" i="12"/>
  <c r="CQ133" i="12"/>
  <c r="CO133" i="12"/>
  <c r="CM133" i="12"/>
  <c r="CK133" i="12"/>
  <c r="CI133" i="12"/>
  <c r="CF133" i="12"/>
  <c r="CG133" i="12" s="1"/>
  <c r="CE133" i="12"/>
  <c r="CC133" i="12"/>
  <c r="CA133" i="12"/>
  <c r="BY133" i="12"/>
  <c r="BW133" i="12"/>
  <c r="BU133" i="12"/>
  <c r="BS133" i="12"/>
  <c r="BQ133" i="12"/>
  <c r="BO133" i="12"/>
  <c r="BM133" i="12"/>
  <c r="BK133" i="12"/>
  <c r="BI133" i="12"/>
  <c r="BF133" i="12"/>
  <c r="BG133" i="12" s="1"/>
  <c r="BE133" i="12"/>
  <c r="BC133" i="12"/>
  <c r="BA133" i="12"/>
  <c r="AY133" i="12"/>
  <c r="AW133" i="12"/>
  <c r="AU133" i="12"/>
  <c r="AS133" i="12"/>
  <c r="AQ133" i="12"/>
  <c r="AO133" i="12"/>
  <c r="AM133" i="12"/>
  <c r="AK133" i="12"/>
  <c r="AI133" i="12"/>
  <c r="AF133" i="12"/>
  <c r="AG133" i="12" s="1"/>
  <c r="AE133" i="12"/>
  <c r="AC133" i="12"/>
  <c r="AA133" i="12"/>
  <c r="Y133" i="12"/>
  <c r="W133" i="12"/>
  <c r="U133" i="12"/>
  <c r="S133" i="12"/>
  <c r="Q133" i="12"/>
  <c r="O133" i="12"/>
  <c r="M133" i="12"/>
  <c r="K133" i="12"/>
  <c r="I133" i="12"/>
  <c r="DF132" i="12"/>
  <c r="DE132" i="12"/>
  <c r="DC132" i="12"/>
  <c r="DA132" i="12"/>
  <c r="CY132" i="12"/>
  <c r="CW132" i="12"/>
  <c r="CU132" i="12"/>
  <c r="CS132" i="12"/>
  <c r="CQ132" i="12"/>
  <c r="CO132" i="12"/>
  <c r="CM132" i="12"/>
  <c r="CK132" i="12"/>
  <c r="CI132" i="12"/>
  <c r="CF132" i="12"/>
  <c r="CG132" i="12" s="1"/>
  <c r="CE132" i="12"/>
  <c r="CC132" i="12"/>
  <c r="CA132" i="12"/>
  <c r="BY132" i="12"/>
  <c r="BW132" i="12"/>
  <c r="BU132" i="12"/>
  <c r="BS132" i="12"/>
  <c r="BQ132" i="12"/>
  <c r="BO132" i="12"/>
  <c r="BM132" i="12"/>
  <c r="BK132" i="12"/>
  <c r="BI132" i="12"/>
  <c r="BF132" i="12"/>
  <c r="BG132" i="12" s="1"/>
  <c r="BE132" i="12"/>
  <c r="BC132" i="12"/>
  <c r="BA132" i="12"/>
  <c r="AY132" i="12"/>
  <c r="AW132" i="12"/>
  <c r="AU132" i="12"/>
  <c r="AS132" i="12"/>
  <c r="AQ132" i="12"/>
  <c r="AO132" i="12"/>
  <c r="AM132" i="12"/>
  <c r="AK132" i="12"/>
  <c r="AI132" i="12"/>
  <c r="AF132" i="12"/>
  <c r="AG132" i="12" s="1"/>
  <c r="AE132" i="12"/>
  <c r="AC132" i="12"/>
  <c r="AA132" i="12"/>
  <c r="Y132" i="12"/>
  <c r="W132" i="12"/>
  <c r="U132" i="12"/>
  <c r="S132" i="12"/>
  <c r="Q132" i="12"/>
  <c r="O132" i="12"/>
  <c r="M132" i="12"/>
  <c r="K132" i="12"/>
  <c r="I132" i="12"/>
  <c r="DF131" i="12"/>
  <c r="DG131" i="12" s="1"/>
  <c r="DE131" i="12"/>
  <c r="DC131" i="12"/>
  <c r="DA131" i="12"/>
  <c r="CY131" i="12"/>
  <c r="CW131" i="12"/>
  <c r="CU131" i="12"/>
  <c r="CS131" i="12"/>
  <c r="CQ131" i="12"/>
  <c r="CO131" i="12"/>
  <c r="CM131" i="12"/>
  <c r="CK131" i="12"/>
  <c r="CI131" i="12"/>
  <c r="CF131" i="12"/>
  <c r="CG131" i="12" s="1"/>
  <c r="CE131" i="12"/>
  <c r="CC131" i="12"/>
  <c r="CA131" i="12"/>
  <c r="BY131" i="12"/>
  <c r="BW131" i="12"/>
  <c r="BU131" i="12"/>
  <c r="BS131" i="12"/>
  <c r="BQ131" i="12"/>
  <c r="BO131" i="12"/>
  <c r="BM131" i="12"/>
  <c r="BK131" i="12"/>
  <c r="BI131" i="12"/>
  <c r="BF131" i="12"/>
  <c r="BG131" i="12" s="1"/>
  <c r="BE131" i="12"/>
  <c r="BC131" i="12"/>
  <c r="BA131" i="12"/>
  <c r="AY131" i="12"/>
  <c r="AW131" i="12"/>
  <c r="AU131" i="12"/>
  <c r="AS131" i="12"/>
  <c r="AQ131" i="12"/>
  <c r="AO131" i="12"/>
  <c r="AM131" i="12"/>
  <c r="AK131" i="12"/>
  <c r="AI131" i="12"/>
  <c r="AF131" i="12"/>
  <c r="AG131" i="12" s="1"/>
  <c r="AE131" i="12"/>
  <c r="AC131" i="12"/>
  <c r="AA131" i="12"/>
  <c r="Y131" i="12"/>
  <c r="W131" i="12"/>
  <c r="U131" i="12"/>
  <c r="S131" i="12"/>
  <c r="Q131" i="12"/>
  <c r="O131" i="12"/>
  <c r="M131" i="12"/>
  <c r="K131" i="12"/>
  <c r="I131" i="12"/>
  <c r="DF130" i="12"/>
  <c r="DG130" i="12" s="1"/>
  <c r="DE130" i="12"/>
  <c r="DC130" i="12"/>
  <c r="DA130" i="12"/>
  <c r="CY130" i="12"/>
  <c r="CW130" i="12"/>
  <c r="CU130" i="12"/>
  <c r="CS130" i="12"/>
  <c r="CQ130" i="12"/>
  <c r="CO130" i="12"/>
  <c r="CM130" i="12"/>
  <c r="CK130" i="12"/>
  <c r="CI130" i="12"/>
  <c r="CF130" i="12"/>
  <c r="CG130" i="12" s="1"/>
  <c r="CE130" i="12"/>
  <c r="CC130" i="12"/>
  <c r="CA130" i="12"/>
  <c r="BY130" i="12"/>
  <c r="BW130" i="12"/>
  <c r="BU130" i="12"/>
  <c r="BS130" i="12"/>
  <c r="BQ130" i="12"/>
  <c r="BO130" i="12"/>
  <c r="BM130" i="12"/>
  <c r="BK130" i="12"/>
  <c r="BI130" i="12"/>
  <c r="BF130" i="12"/>
  <c r="BG130" i="12" s="1"/>
  <c r="BE130" i="12"/>
  <c r="BC130" i="12"/>
  <c r="BA130" i="12"/>
  <c r="AY130" i="12"/>
  <c r="AW130" i="12"/>
  <c r="AU130" i="12"/>
  <c r="AS130" i="12"/>
  <c r="AQ130" i="12"/>
  <c r="AO130" i="12"/>
  <c r="AM130" i="12"/>
  <c r="AK130" i="12"/>
  <c r="AI130" i="12"/>
  <c r="AF130" i="12"/>
  <c r="AG130" i="12" s="1"/>
  <c r="AE130" i="12"/>
  <c r="AC130" i="12"/>
  <c r="AA130" i="12"/>
  <c r="Y130" i="12"/>
  <c r="W130" i="12"/>
  <c r="U130" i="12"/>
  <c r="S130" i="12"/>
  <c r="Q130" i="12"/>
  <c r="O130" i="12"/>
  <c r="K130" i="12"/>
  <c r="I130" i="12"/>
  <c r="DF129" i="12"/>
  <c r="DG129" i="12" s="1"/>
  <c r="DA129" i="12"/>
  <c r="CY129" i="12"/>
  <c r="DF128" i="12"/>
  <c r="DG128" i="12" s="1"/>
  <c r="DA128" i="12"/>
  <c r="CY128" i="12"/>
  <c r="DF127" i="12"/>
  <c r="DG127" i="12" s="1"/>
  <c r="DA127" i="12"/>
  <c r="CY127" i="12"/>
  <c r="DF124" i="12"/>
  <c r="DG124" i="12" s="1"/>
  <c r="DA124" i="12"/>
  <c r="CY124" i="12"/>
  <c r="DF123" i="12"/>
  <c r="DG123" i="12" s="1"/>
  <c r="DA123" i="12"/>
  <c r="CY123" i="12"/>
  <c r="DF119" i="12"/>
  <c r="DG119" i="12" s="1"/>
  <c r="DE119" i="12"/>
  <c r="DC119" i="12"/>
  <c r="DA119" i="12"/>
  <c r="CY119" i="12"/>
  <c r="CW119" i="12"/>
  <c r="CU119" i="12"/>
  <c r="CS119" i="12"/>
  <c r="CQ119" i="12"/>
  <c r="CO119" i="12"/>
  <c r="CM119" i="12"/>
  <c r="CK119" i="12"/>
  <c r="CI119" i="12"/>
  <c r="CF119" i="12"/>
  <c r="CG119" i="12" s="1"/>
  <c r="CE119" i="12"/>
  <c r="CC119" i="12"/>
  <c r="CA119" i="12"/>
  <c r="BY119" i="12"/>
  <c r="BW119" i="12"/>
  <c r="BU119" i="12"/>
  <c r="BS119" i="12"/>
  <c r="BQ119" i="12"/>
  <c r="BO119" i="12"/>
  <c r="BM119" i="12"/>
  <c r="BK119" i="12"/>
  <c r="BI120" i="12"/>
  <c r="BF119" i="12"/>
  <c r="BG119" i="12" s="1"/>
  <c r="BE119" i="12"/>
  <c r="BC119" i="12"/>
  <c r="BA119" i="12"/>
  <c r="AY119" i="12"/>
  <c r="AW119" i="12"/>
  <c r="AU119" i="12"/>
  <c r="AS119" i="12"/>
  <c r="AQ119" i="12"/>
  <c r="AO119" i="12"/>
  <c r="AM119" i="12"/>
  <c r="AK119" i="12"/>
  <c r="AI119" i="12"/>
  <c r="AF119" i="12"/>
  <c r="AG119" i="12" s="1"/>
  <c r="AE119" i="12"/>
  <c r="AC119" i="12"/>
  <c r="AA119" i="12"/>
  <c r="Y119" i="12"/>
  <c r="W119" i="12"/>
  <c r="U119" i="12"/>
  <c r="S119" i="12"/>
  <c r="Q119" i="12"/>
  <c r="O119" i="12"/>
  <c r="M119" i="12"/>
  <c r="K119" i="12"/>
  <c r="I119" i="12"/>
  <c r="DF118" i="12"/>
  <c r="DG118" i="12" s="1"/>
  <c r="DE118" i="12"/>
  <c r="DC118" i="12"/>
  <c r="DA118" i="12"/>
  <c r="CY118" i="12"/>
  <c r="CW118" i="12"/>
  <c r="CU118" i="12"/>
  <c r="CS118" i="12"/>
  <c r="CQ118" i="12"/>
  <c r="CO118" i="12"/>
  <c r="CM118" i="12"/>
  <c r="CK118" i="12"/>
  <c r="CI118" i="12"/>
  <c r="CF118" i="12"/>
  <c r="CG118" i="12" s="1"/>
  <c r="CE118" i="12"/>
  <c r="CC118" i="12"/>
  <c r="CA118" i="12"/>
  <c r="BY118" i="12"/>
  <c r="BW118" i="12"/>
  <c r="BU118" i="12"/>
  <c r="BS118" i="12"/>
  <c r="BQ118" i="12"/>
  <c r="BO118" i="12"/>
  <c r="BM118" i="12"/>
  <c r="BK118" i="12"/>
  <c r="BI118" i="12"/>
  <c r="BF118" i="12"/>
  <c r="BG118" i="12" s="1"/>
  <c r="BE118" i="12"/>
  <c r="BC118" i="12"/>
  <c r="BA118" i="12"/>
  <c r="AY118" i="12"/>
  <c r="AW118" i="12"/>
  <c r="AU118" i="12"/>
  <c r="AS118" i="12"/>
  <c r="AQ118" i="12"/>
  <c r="AO118" i="12"/>
  <c r="AM118" i="12"/>
  <c r="AK118" i="12"/>
  <c r="AI118" i="12"/>
  <c r="AF118" i="12"/>
  <c r="AG118" i="12" s="1"/>
  <c r="AE118" i="12"/>
  <c r="AC118" i="12"/>
  <c r="AA118" i="12"/>
  <c r="Y118" i="12"/>
  <c r="W118" i="12"/>
  <c r="U118" i="12"/>
  <c r="S118" i="12"/>
  <c r="Q118" i="12"/>
  <c r="O118" i="12"/>
  <c r="M118" i="12"/>
  <c r="K118" i="12"/>
  <c r="I118" i="12"/>
  <c r="DF117" i="12"/>
  <c r="DG117" i="12" s="1"/>
  <c r="DE117" i="12"/>
  <c r="DC117" i="12"/>
  <c r="DA117" i="12"/>
  <c r="CY117" i="12"/>
  <c r="CW117" i="12"/>
  <c r="CU117" i="12"/>
  <c r="CS117" i="12"/>
  <c r="CQ117" i="12"/>
  <c r="CO117" i="12"/>
  <c r="CM117" i="12"/>
  <c r="CK117" i="12"/>
  <c r="CI117" i="12"/>
  <c r="CF117" i="12"/>
  <c r="CG117" i="12" s="1"/>
  <c r="CE117" i="12"/>
  <c r="CC117" i="12"/>
  <c r="CA117" i="12"/>
  <c r="BY117" i="12"/>
  <c r="BW117" i="12"/>
  <c r="BU117" i="12"/>
  <c r="BS117" i="12"/>
  <c r="BQ117" i="12"/>
  <c r="BO117" i="12"/>
  <c r="BM117" i="12"/>
  <c r="BK117" i="12"/>
  <c r="BI117" i="12"/>
  <c r="BF117" i="12"/>
  <c r="BG117" i="12" s="1"/>
  <c r="BE117" i="12"/>
  <c r="BC117" i="12"/>
  <c r="BA117" i="12"/>
  <c r="AY117" i="12"/>
  <c r="AW117" i="12"/>
  <c r="AU117" i="12"/>
  <c r="AS117" i="12"/>
  <c r="AQ117" i="12"/>
  <c r="AO117" i="12"/>
  <c r="AM117" i="12"/>
  <c r="AK117" i="12"/>
  <c r="AI117" i="12"/>
  <c r="AF117" i="12"/>
  <c r="AG117" i="12" s="1"/>
  <c r="AE117" i="12"/>
  <c r="AC117" i="12"/>
  <c r="AA117" i="12"/>
  <c r="Y117" i="12"/>
  <c r="W117" i="12"/>
  <c r="U117" i="12"/>
  <c r="S117" i="12"/>
  <c r="Q117" i="12"/>
  <c r="O117" i="12"/>
  <c r="M117" i="12"/>
  <c r="K117" i="12"/>
  <c r="I117" i="12"/>
  <c r="DF116" i="12"/>
  <c r="DG116" i="12" s="1"/>
  <c r="DE116" i="12"/>
  <c r="DC116" i="12"/>
  <c r="DA116" i="12"/>
  <c r="CY116" i="12"/>
  <c r="CW116" i="12"/>
  <c r="CU116" i="12"/>
  <c r="CS116" i="12"/>
  <c r="CQ116" i="12"/>
  <c r="CO116" i="12"/>
  <c r="CM116" i="12"/>
  <c r="CK116" i="12"/>
  <c r="CI116" i="12"/>
  <c r="CF116" i="12"/>
  <c r="CG116" i="12" s="1"/>
  <c r="CE116" i="12"/>
  <c r="CC116" i="12"/>
  <c r="CA116" i="12"/>
  <c r="BY116" i="12"/>
  <c r="BW116" i="12"/>
  <c r="BU116" i="12"/>
  <c r="BS116" i="12"/>
  <c r="BQ116" i="12"/>
  <c r="BO116" i="12"/>
  <c r="BM116" i="12"/>
  <c r="BK116" i="12"/>
  <c r="BI116" i="12"/>
  <c r="BF116" i="12"/>
  <c r="BG116" i="12" s="1"/>
  <c r="BE116" i="12"/>
  <c r="BC116" i="12"/>
  <c r="BA116" i="12"/>
  <c r="AY116" i="12"/>
  <c r="AW116" i="12"/>
  <c r="AU116" i="12"/>
  <c r="AS116" i="12"/>
  <c r="AQ116" i="12"/>
  <c r="AO116" i="12"/>
  <c r="AM116" i="12"/>
  <c r="AK116" i="12"/>
  <c r="AI116" i="12"/>
  <c r="AF116" i="12"/>
  <c r="AG116" i="12" s="1"/>
  <c r="AE116" i="12"/>
  <c r="AC116" i="12"/>
  <c r="AA116" i="12"/>
  <c r="Y116" i="12"/>
  <c r="W116" i="12"/>
  <c r="U116" i="12"/>
  <c r="S116" i="12"/>
  <c r="Q116" i="12"/>
  <c r="O116" i="12"/>
  <c r="M116" i="12"/>
  <c r="K116" i="12"/>
  <c r="I116" i="12"/>
  <c r="DF115" i="12"/>
  <c r="DG115" i="12" s="1"/>
  <c r="DE115" i="12"/>
  <c r="DC115" i="12"/>
  <c r="DA115" i="12"/>
  <c r="CY115" i="12"/>
  <c r="CW115" i="12"/>
  <c r="CU115" i="12"/>
  <c r="CS115" i="12"/>
  <c r="CQ115" i="12"/>
  <c r="CO115" i="12"/>
  <c r="CM115" i="12"/>
  <c r="CK115" i="12"/>
  <c r="CI115" i="12"/>
  <c r="CF115" i="12"/>
  <c r="CG115" i="12" s="1"/>
  <c r="CE115" i="12"/>
  <c r="CC115" i="12"/>
  <c r="CA115" i="12"/>
  <c r="BY115" i="12"/>
  <c r="BW115" i="12"/>
  <c r="BU115" i="12"/>
  <c r="BS115" i="12"/>
  <c r="BQ115" i="12"/>
  <c r="BO115" i="12"/>
  <c r="BM115" i="12"/>
  <c r="BK115" i="12"/>
  <c r="BI115" i="12"/>
  <c r="BF115" i="12"/>
  <c r="BG115" i="12" s="1"/>
  <c r="BE115" i="12"/>
  <c r="BC115" i="12"/>
  <c r="BA115" i="12"/>
  <c r="AY115" i="12"/>
  <c r="AW115" i="12"/>
  <c r="AU115" i="12"/>
  <c r="AS115" i="12"/>
  <c r="AQ115" i="12"/>
  <c r="AO115" i="12"/>
  <c r="AM115" i="12"/>
  <c r="AK115" i="12"/>
  <c r="AI115" i="12"/>
  <c r="AF115" i="12"/>
  <c r="AG115" i="12" s="1"/>
  <c r="AE115" i="12"/>
  <c r="AC115" i="12"/>
  <c r="AA115" i="12"/>
  <c r="Y115" i="12"/>
  <c r="W115" i="12"/>
  <c r="U115" i="12"/>
  <c r="S115" i="12"/>
  <c r="Q115" i="12"/>
  <c r="O115" i="12"/>
  <c r="M115" i="12"/>
  <c r="K115" i="12"/>
  <c r="I115" i="12"/>
  <c r="DF114" i="12"/>
  <c r="DG114" i="12" s="1"/>
  <c r="DE114" i="12"/>
  <c r="DC114" i="12"/>
  <c r="DA114" i="12"/>
  <c r="CY114" i="12"/>
  <c r="CW114" i="12"/>
  <c r="CU114" i="12"/>
  <c r="CS114" i="12"/>
  <c r="CQ114" i="12"/>
  <c r="CO114" i="12"/>
  <c r="CM114" i="12"/>
  <c r="CK114" i="12"/>
  <c r="CI114" i="12"/>
  <c r="CF114" i="12"/>
  <c r="CG114" i="12" s="1"/>
  <c r="CE114" i="12"/>
  <c r="CC114" i="12"/>
  <c r="CA114" i="12"/>
  <c r="BY114" i="12"/>
  <c r="BW114" i="12"/>
  <c r="BU114" i="12"/>
  <c r="BS114" i="12"/>
  <c r="BQ114" i="12"/>
  <c r="BO114" i="12"/>
  <c r="BM114" i="12"/>
  <c r="BK114" i="12"/>
  <c r="BI114" i="12"/>
  <c r="BF114" i="12"/>
  <c r="BG114" i="12" s="1"/>
  <c r="BE114" i="12"/>
  <c r="BC114" i="12"/>
  <c r="BA114" i="12"/>
  <c r="AY114" i="12"/>
  <c r="AW114" i="12"/>
  <c r="AU114" i="12"/>
  <c r="AS114" i="12"/>
  <c r="AQ114" i="12"/>
  <c r="AO114" i="12"/>
  <c r="AM114" i="12"/>
  <c r="AK114" i="12"/>
  <c r="AI114" i="12"/>
  <c r="AF114" i="12"/>
  <c r="AG114" i="12" s="1"/>
  <c r="AE114" i="12"/>
  <c r="AC114" i="12"/>
  <c r="AA114" i="12"/>
  <c r="Y114" i="12"/>
  <c r="W114" i="12"/>
  <c r="U114" i="12"/>
  <c r="S114" i="12"/>
  <c r="Q114" i="12"/>
  <c r="O114" i="12"/>
  <c r="M114" i="12"/>
  <c r="K114" i="12"/>
  <c r="I114" i="12"/>
  <c r="DF113" i="12"/>
  <c r="DG113" i="12" s="1"/>
  <c r="DE113" i="12"/>
  <c r="DC113" i="12"/>
  <c r="DA113" i="12"/>
  <c r="CY113" i="12"/>
  <c r="CW113" i="12"/>
  <c r="CU113" i="12"/>
  <c r="CS113" i="12"/>
  <c r="CQ113" i="12"/>
  <c r="CO113" i="12"/>
  <c r="CM113" i="12"/>
  <c r="CK113" i="12"/>
  <c r="CI113" i="12"/>
  <c r="CF113" i="12"/>
  <c r="CG113" i="12" s="1"/>
  <c r="CE113" i="12"/>
  <c r="CC113" i="12"/>
  <c r="CA113" i="12"/>
  <c r="BY113" i="12"/>
  <c r="BW113" i="12"/>
  <c r="BU113" i="12"/>
  <c r="BS113" i="12"/>
  <c r="BQ113" i="12"/>
  <c r="BO113" i="12"/>
  <c r="BM113" i="12"/>
  <c r="BK113" i="12"/>
  <c r="BI113" i="12"/>
  <c r="BF113" i="12"/>
  <c r="BG113" i="12" s="1"/>
  <c r="BE113" i="12"/>
  <c r="BC113" i="12"/>
  <c r="BA113" i="12"/>
  <c r="AY113" i="12"/>
  <c r="AW113" i="12"/>
  <c r="AU113" i="12"/>
  <c r="AS113" i="12"/>
  <c r="AQ113" i="12"/>
  <c r="AO113" i="12"/>
  <c r="AM113" i="12"/>
  <c r="AK113" i="12"/>
  <c r="AI113" i="12"/>
  <c r="AF113" i="12"/>
  <c r="AG113" i="12" s="1"/>
  <c r="AE113" i="12"/>
  <c r="AC113" i="12"/>
  <c r="AA113" i="12"/>
  <c r="Y113" i="12"/>
  <c r="W113" i="12"/>
  <c r="U113" i="12"/>
  <c r="S113" i="12"/>
  <c r="Q113" i="12"/>
  <c r="O113" i="12"/>
  <c r="M113" i="12"/>
  <c r="K113" i="12"/>
  <c r="I113" i="12"/>
  <c r="DF112" i="12"/>
  <c r="DG112" i="12" s="1"/>
  <c r="DE112" i="12"/>
  <c r="DC112" i="12"/>
  <c r="DA112" i="12"/>
  <c r="CY112" i="12"/>
  <c r="CW112" i="12"/>
  <c r="CU112" i="12"/>
  <c r="CS112" i="12"/>
  <c r="CQ112" i="12"/>
  <c r="CO112" i="12"/>
  <c r="CM112" i="12"/>
  <c r="CK112" i="12"/>
  <c r="CI112" i="12"/>
  <c r="CF112" i="12"/>
  <c r="CG112" i="12" s="1"/>
  <c r="CE112" i="12"/>
  <c r="CC112" i="12"/>
  <c r="CA112" i="12"/>
  <c r="BY112" i="12"/>
  <c r="BW112" i="12"/>
  <c r="BU112" i="12"/>
  <c r="BS112" i="12"/>
  <c r="BQ112" i="12"/>
  <c r="BO112" i="12"/>
  <c r="BM112" i="12"/>
  <c r="BK112" i="12"/>
  <c r="BI112" i="12"/>
  <c r="BF112" i="12"/>
  <c r="BG112" i="12" s="1"/>
  <c r="BE112" i="12"/>
  <c r="BC112" i="12"/>
  <c r="BA112" i="12"/>
  <c r="AY112" i="12"/>
  <c r="AW112" i="12"/>
  <c r="AU112" i="12"/>
  <c r="AS112" i="12"/>
  <c r="AQ112" i="12"/>
  <c r="AO112" i="12"/>
  <c r="AM112" i="12"/>
  <c r="AK112" i="12"/>
  <c r="AI112" i="12"/>
  <c r="AF112" i="12"/>
  <c r="AG112" i="12" s="1"/>
  <c r="AE112" i="12"/>
  <c r="AC112" i="12"/>
  <c r="AA112" i="12"/>
  <c r="Y112" i="12"/>
  <c r="W112" i="12"/>
  <c r="U112" i="12"/>
  <c r="S112" i="12"/>
  <c r="Q112" i="12"/>
  <c r="O112" i="12"/>
  <c r="M112" i="12"/>
  <c r="K112" i="12"/>
  <c r="I112" i="12"/>
  <c r="DF111" i="12"/>
  <c r="DG111" i="12" s="1"/>
  <c r="DE111" i="12"/>
  <c r="DC111" i="12"/>
  <c r="DA111" i="12"/>
  <c r="CY111" i="12"/>
  <c r="CW111" i="12"/>
  <c r="CU111" i="12"/>
  <c r="CS111" i="12"/>
  <c r="CQ111" i="12"/>
  <c r="CO111" i="12"/>
  <c r="CM111" i="12"/>
  <c r="CK111" i="12"/>
  <c r="CI111" i="12"/>
  <c r="CF111" i="12"/>
  <c r="CG111" i="12" s="1"/>
  <c r="CE111" i="12"/>
  <c r="CC111" i="12"/>
  <c r="CA111" i="12"/>
  <c r="BY111" i="12"/>
  <c r="BW111" i="12"/>
  <c r="BU111" i="12"/>
  <c r="BS111" i="12"/>
  <c r="BQ111" i="12"/>
  <c r="BO111" i="12"/>
  <c r="BM111" i="12"/>
  <c r="BK111" i="12"/>
  <c r="BI111" i="12"/>
  <c r="BF111" i="12"/>
  <c r="BG111" i="12" s="1"/>
  <c r="BE111" i="12"/>
  <c r="BC111" i="12"/>
  <c r="BA111" i="12"/>
  <c r="AY111" i="12"/>
  <c r="AW111" i="12"/>
  <c r="AU111" i="12"/>
  <c r="AS111" i="12"/>
  <c r="AQ111" i="12"/>
  <c r="AO111" i="12"/>
  <c r="AM111" i="12"/>
  <c r="AK111" i="12"/>
  <c r="AI111" i="12"/>
  <c r="AF111" i="12"/>
  <c r="AG111" i="12" s="1"/>
  <c r="AE111" i="12"/>
  <c r="AC111" i="12"/>
  <c r="AA111" i="12"/>
  <c r="Y111" i="12"/>
  <c r="W111" i="12"/>
  <c r="U111" i="12"/>
  <c r="S111" i="12"/>
  <c r="Q111" i="12"/>
  <c r="O111" i="12"/>
  <c r="M111" i="12"/>
  <c r="K111" i="12"/>
  <c r="I111" i="12"/>
  <c r="DF110" i="12"/>
  <c r="DG110" i="12" s="1"/>
  <c r="DE110" i="12"/>
  <c r="DC110" i="12"/>
  <c r="DA110" i="12"/>
  <c r="CY110" i="12"/>
  <c r="CW110" i="12"/>
  <c r="CU110" i="12"/>
  <c r="CS110" i="12"/>
  <c r="CQ110" i="12"/>
  <c r="CO110" i="12"/>
  <c r="CM110" i="12"/>
  <c r="CK110" i="12"/>
  <c r="CI110" i="12"/>
  <c r="CF110" i="12"/>
  <c r="CG110" i="12" s="1"/>
  <c r="CE110" i="12"/>
  <c r="CC110" i="12"/>
  <c r="CA110" i="12"/>
  <c r="BY110" i="12"/>
  <c r="BW110" i="12"/>
  <c r="BU110" i="12"/>
  <c r="BS110" i="12"/>
  <c r="BQ110" i="12"/>
  <c r="BO110" i="12"/>
  <c r="BM110" i="12"/>
  <c r="BK110" i="12"/>
  <c r="BI110" i="12"/>
  <c r="BF110" i="12"/>
  <c r="BG110" i="12" s="1"/>
  <c r="BE110" i="12"/>
  <c r="BC110" i="12"/>
  <c r="BA110" i="12"/>
  <c r="AY110" i="12"/>
  <c r="AW110" i="12"/>
  <c r="AU110" i="12"/>
  <c r="AS110" i="12"/>
  <c r="AQ110" i="12"/>
  <c r="AO110" i="12"/>
  <c r="AM110" i="12"/>
  <c r="AK110" i="12"/>
  <c r="AI110" i="12"/>
  <c r="AF110" i="12"/>
  <c r="AG110" i="12" s="1"/>
  <c r="AE110" i="12"/>
  <c r="AC110" i="12"/>
  <c r="AA110" i="12"/>
  <c r="Y110" i="12"/>
  <c r="W110" i="12"/>
  <c r="U110" i="12"/>
  <c r="S110" i="12"/>
  <c r="Q110" i="12"/>
  <c r="O110" i="12"/>
  <c r="M110" i="12"/>
  <c r="K110" i="12"/>
  <c r="I110" i="12"/>
  <c r="DF109" i="12"/>
  <c r="DG109" i="12" s="1"/>
  <c r="DE109" i="12"/>
  <c r="DC109" i="12"/>
  <c r="DA109" i="12"/>
  <c r="CY109" i="12"/>
  <c r="CW109" i="12"/>
  <c r="CU109" i="12"/>
  <c r="CS109" i="12"/>
  <c r="CQ109" i="12"/>
  <c r="CO109" i="12"/>
  <c r="CM109" i="12"/>
  <c r="CK109" i="12"/>
  <c r="CI109" i="12"/>
  <c r="CF109" i="12"/>
  <c r="CG109" i="12" s="1"/>
  <c r="CE109" i="12"/>
  <c r="CC109" i="12"/>
  <c r="CA109" i="12"/>
  <c r="BY109" i="12"/>
  <c r="BW109" i="12"/>
  <c r="BU109" i="12"/>
  <c r="BS109" i="12"/>
  <c r="BQ109" i="12"/>
  <c r="BO109" i="12"/>
  <c r="BM109" i="12"/>
  <c r="BK109" i="12"/>
  <c r="BI109" i="12"/>
  <c r="BF109" i="12"/>
  <c r="BG109" i="12" s="1"/>
  <c r="BE109" i="12"/>
  <c r="BC109" i="12"/>
  <c r="BA109" i="12"/>
  <c r="AY109" i="12"/>
  <c r="AW109" i="12"/>
  <c r="AU109" i="12"/>
  <c r="AS109" i="12"/>
  <c r="AQ109" i="12"/>
  <c r="AO109" i="12"/>
  <c r="AM109" i="12"/>
  <c r="AK109" i="12"/>
  <c r="AI109" i="12"/>
  <c r="AF109" i="12"/>
  <c r="AG109" i="12" s="1"/>
  <c r="AE109" i="12"/>
  <c r="AC109" i="12"/>
  <c r="AA109" i="12"/>
  <c r="Y109" i="12"/>
  <c r="W109" i="12"/>
  <c r="U109" i="12"/>
  <c r="S109" i="12"/>
  <c r="Q109" i="12"/>
  <c r="O109" i="12"/>
  <c r="M109" i="12"/>
  <c r="K109" i="12"/>
  <c r="I109" i="12"/>
  <c r="DF108" i="12"/>
  <c r="DG108" i="12" s="1"/>
  <c r="DE108" i="12"/>
  <c r="DC108" i="12"/>
  <c r="DA108" i="12"/>
  <c r="CY108" i="12"/>
  <c r="CW108" i="12"/>
  <c r="CU108" i="12"/>
  <c r="CS108" i="12"/>
  <c r="CQ108" i="12"/>
  <c r="CO108" i="12"/>
  <c r="CM108" i="12"/>
  <c r="CK108" i="12"/>
  <c r="CI108" i="12"/>
  <c r="CF108" i="12"/>
  <c r="CG108" i="12" s="1"/>
  <c r="CE108" i="12"/>
  <c r="CC108" i="12"/>
  <c r="CA108" i="12"/>
  <c r="BY108" i="12"/>
  <c r="BW108" i="12"/>
  <c r="BU108" i="12"/>
  <c r="BS108" i="12"/>
  <c r="BQ108" i="12"/>
  <c r="BO108" i="12"/>
  <c r="BM108" i="12"/>
  <c r="BK108" i="12"/>
  <c r="BI108" i="12"/>
  <c r="BF108" i="12"/>
  <c r="BG108" i="12" s="1"/>
  <c r="BE108" i="12"/>
  <c r="BC108" i="12"/>
  <c r="BA108" i="12"/>
  <c r="AY108" i="12"/>
  <c r="AW108" i="12"/>
  <c r="AU108" i="12"/>
  <c r="AS108" i="12"/>
  <c r="AQ108" i="12"/>
  <c r="AO108" i="12"/>
  <c r="AM108" i="12"/>
  <c r="AK108" i="12"/>
  <c r="AI108" i="12"/>
  <c r="AF108" i="12"/>
  <c r="AG108" i="12" s="1"/>
  <c r="AE108" i="12"/>
  <c r="AC108" i="12"/>
  <c r="AA108" i="12"/>
  <c r="Y108" i="12"/>
  <c r="W108" i="12"/>
  <c r="U108" i="12"/>
  <c r="S108" i="12"/>
  <c r="Q108" i="12"/>
  <c r="O108" i="12"/>
  <c r="M108" i="12"/>
  <c r="K108" i="12"/>
  <c r="I108" i="12"/>
  <c r="DF107" i="12"/>
  <c r="DG107" i="12" s="1"/>
  <c r="DE107" i="12"/>
  <c r="DC107" i="12"/>
  <c r="DA107" i="12"/>
  <c r="CY107" i="12"/>
  <c r="CW107" i="12"/>
  <c r="CU107" i="12"/>
  <c r="CS107" i="12"/>
  <c r="CQ107" i="12"/>
  <c r="CO107" i="12"/>
  <c r="CM107" i="12"/>
  <c r="CK107" i="12"/>
  <c r="CI107" i="12"/>
  <c r="CF107" i="12"/>
  <c r="CG107" i="12" s="1"/>
  <c r="CE107" i="12"/>
  <c r="CC107" i="12"/>
  <c r="CA107" i="12"/>
  <c r="BY107" i="12"/>
  <c r="BW107" i="12"/>
  <c r="BU107" i="12"/>
  <c r="BS107" i="12"/>
  <c r="BQ107" i="12"/>
  <c r="BO107" i="12"/>
  <c r="BM107" i="12"/>
  <c r="BK107" i="12"/>
  <c r="BI107" i="12"/>
  <c r="BF107" i="12"/>
  <c r="BG107" i="12" s="1"/>
  <c r="BE107" i="12"/>
  <c r="BC107" i="12"/>
  <c r="BA107" i="12"/>
  <c r="AY107" i="12"/>
  <c r="AW107" i="12"/>
  <c r="AU107" i="12"/>
  <c r="AS107" i="12"/>
  <c r="AQ107" i="12"/>
  <c r="AO107" i="12"/>
  <c r="AM107" i="12"/>
  <c r="AK107" i="12"/>
  <c r="AI107" i="12"/>
  <c r="AF107" i="12"/>
  <c r="AG107" i="12" s="1"/>
  <c r="AE107" i="12"/>
  <c r="AC107" i="12"/>
  <c r="AA107" i="12"/>
  <c r="Y107" i="12"/>
  <c r="W107" i="12"/>
  <c r="U107" i="12"/>
  <c r="S107" i="12"/>
  <c r="Q107" i="12"/>
  <c r="O107" i="12"/>
  <c r="M107" i="12"/>
  <c r="K107" i="12"/>
  <c r="I107" i="12"/>
  <c r="DF106" i="12"/>
  <c r="DG106" i="12" s="1"/>
  <c r="DE106" i="12"/>
  <c r="DC106" i="12"/>
  <c r="DA106" i="12"/>
  <c r="CY106" i="12"/>
  <c r="CW106" i="12"/>
  <c r="CU106" i="12"/>
  <c r="CS106" i="12"/>
  <c r="CQ106" i="12"/>
  <c r="CO106" i="12"/>
  <c r="CM106" i="12"/>
  <c r="CK106" i="12"/>
  <c r="CI106" i="12"/>
  <c r="CF106" i="12"/>
  <c r="CG106" i="12" s="1"/>
  <c r="CE106" i="12"/>
  <c r="CC106" i="12"/>
  <c r="CA106" i="12"/>
  <c r="BY106" i="12"/>
  <c r="BW106" i="12"/>
  <c r="BU106" i="12"/>
  <c r="BS106" i="12"/>
  <c r="BQ106" i="12"/>
  <c r="BO106" i="12"/>
  <c r="BM106" i="12"/>
  <c r="BK106" i="12"/>
  <c r="BI106" i="12"/>
  <c r="BF106" i="12"/>
  <c r="BG106" i="12" s="1"/>
  <c r="BE106" i="12"/>
  <c r="BC106" i="12"/>
  <c r="BA106" i="12"/>
  <c r="AY106" i="12"/>
  <c r="AW106" i="12"/>
  <c r="AU106" i="12"/>
  <c r="AS106" i="12"/>
  <c r="AQ106" i="12"/>
  <c r="AO106" i="12"/>
  <c r="AM106" i="12"/>
  <c r="AK106" i="12"/>
  <c r="AI106" i="12"/>
  <c r="AF106" i="12"/>
  <c r="AG106" i="12" s="1"/>
  <c r="AE106" i="12"/>
  <c r="AC106" i="12"/>
  <c r="AA106" i="12"/>
  <c r="Y106" i="12"/>
  <c r="W106" i="12"/>
  <c r="U106" i="12"/>
  <c r="S106" i="12"/>
  <c r="Q106" i="12"/>
  <c r="O106" i="12"/>
  <c r="M106" i="12"/>
  <c r="K106" i="12"/>
  <c r="I106" i="12"/>
  <c r="DF105" i="12"/>
  <c r="DG105" i="12" s="1"/>
  <c r="DE105" i="12"/>
  <c r="DC105" i="12"/>
  <c r="DA105" i="12"/>
  <c r="CY105" i="12"/>
  <c r="CW105" i="12"/>
  <c r="CU105" i="12"/>
  <c r="CS105" i="12"/>
  <c r="CQ105" i="12"/>
  <c r="CO105" i="12"/>
  <c r="CM105" i="12"/>
  <c r="CK105" i="12"/>
  <c r="CI105" i="12"/>
  <c r="CF105" i="12"/>
  <c r="CG105" i="12" s="1"/>
  <c r="CE105" i="12"/>
  <c r="CC105" i="12"/>
  <c r="CA105" i="12"/>
  <c r="BY105" i="12"/>
  <c r="BW105" i="12"/>
  <c r="BU105" i="12"/>
  <c r="BS105" i="12"/>
  <c r="BQ105" i="12"/>
  <c r="BO105" i="12"/>
  <c r="BM105" i="12"/>
  <c r="BK105" i="12"/>
  <c r="BI105" i="12"/>
  <c r="BF105" i="12"/>
  <c r="BG105" i="12" s="1"/>
  <c r="BE105" i="12"/>
  <c r="BC105" i="12"/>
  <c r="BA105" i="12"/>
  <c r="AY105" i="12"/>
  <c r="AW105" i="12"/>
  <c r="AU105" i="12"/>
  <c r="AS105" i="12"/>
  <c r="AQ105" i="12"/>
  <c r="AO105" i="12"/>
  <c r="AM105" i="12"/>
  <c r="AK105" i="12"/>
  <c r="AI105" i="12"/>
  <c r="AF105" i="12"/>
  <c r="AG105" i="12" s="1"/>
  <c r="AE105" i="12"/>
  <c r="AC105" i="12"/>
  <c r="AA105" i="12"/>
  <c r="Y105" i="12"/>
  <c r="W105" i="12"/>
  <c r="U105" i="12"/>
  <c r="S105" i="12"/>
  <c r="Q105" i="12"/>
  <c r="O105" i="12"/>
  <c r="M105" i="12"/>
  <c r="K105" i="12"/>
  <c r="I105" i="12"/>
  <c r="DF104" i="12"/>
  <c r="DG104" i="12" s="1"/>
  <c r="DE104" i="12"/>
  <c r="DC104" i="12"/>
  <c r="DA104" i="12"/>
  <c r="CY104" i="12"/>
  <c r="CW104" i="12"/>
  <c r="CU104" i="12"/>
  <c r="CS104" i="12"/>
  <c r="CQ104" i="12"/>
  <c r="CO104" i="12"/>
  <c r="CM104" i="12"/>
  <c r="CK104" i="12"/>
  <c r="CI104" i="12"/>
  <c r="CF104" i="12"/>
  <c r="CG104" i="12" s="1"/>
  <c r="CE104" i="12"/>
  <c r="CC104" i="12"/>
  <c r="CA104" i="12"/>
  <c r="BY104" i="12"/>
  <c r="BW104" i="12"/>
  <c r="BU104" i="12"/>
  <c r="BS104" i="12"/>
  <c r="BQ104" i="12"/>
  <c r="BO104" i="12"/>
  <c r="BM104" i="12"/>
  <c r="BK104" i="12"/>
  <c r="BI104" i="12"/>
  <c r="BF104" i="12"/>
  <c r="BG104" i="12" s="1"/>
  <c r="BE104" i="12"/>
  <c r="BC104" i="12"/>
  <c r="BA104" i="12"/>
  <c r="AY104" i="12"/>
  <c r="AW104" i="12"/>
  <c r="AU104" i="12"/>
  <c r="AS104" i="12"/>
  <c r="AQ104" i="12"/>
  <c r="AO104" i="12"/>
  <c r="AM104" i="12"/>
  <c r="AK104" i="12"/>
  <c r="AI104" i="12"/>
  <c r="AF104" i="12"/>
  <c r="AG104" i="12" s="1"/>
  <c r="AE104" i="12"/>
  <c r="AC104" i="12"/>
  <c r="AA104" i="12"/>
  <c r="Y104" i="12"/>
  <c r="W104" i="12"/>
  <c r="U104" i="12"/>
  <c r="S104" i="12"/>
  <c r="Q104" i="12"/>
  <c r="O104" i="12"/>
  <c r="M104" i="12"/>
  <c r="K104" i="12"/>
  <c r="I104" i="12"/>
  <c r="DF103" i="12"/>
  <c r="DG103" i="12" s="1"/>
  <c r="DE103" i="12"/>
  <c r="DC103" i="12"/>
  <c r="DA103" i="12"/>
  <c r="CY103" i="12"/>
  <c r="CW103" i="12"/>
  <c r="CU103" i="12"/>
  <c r="CS103" i="12"/>
  <c r="CQ103" i="12"/>
  <c r="CO103" i="12"/>
  <c r="CM103" i="12"/>
  <c r="CK103" i="12"/>
  <c r="CI103" i="12"/>
  <c r="CF103" i="12"/>
  <c r="CG103" i="12" s="1"/>
  <c r="CE103" i="12"/>
  <c r="CC103" i="12"/>
  <c r="CA103" i="12"/>
  <c r="BY103" i="12"/>
  <c r="BW103" i="12"/>
  <c r="BU103" i="12"/>
  <c r="BS103" i="12"/>
  <c r="BQ103" i="12"/>
  <c r="BO103" i="12"/>
  <c r="BM103" i="12"/>
  <c r="BK103" i="12"/>
  <c r="BI103" i="12"/>
  <c r="BF103" i="12"/>
  <c r="BG103" i="12" s="1"/>
  <c r="BE103" i="12"/>
  <c r="BC103" i="12"/>
  <c r="BA103" i="12"/>
  <c r="AY103" i="12"/>
  <c r="AW103" i="12"/>
  <c r="AU103" i="12"/>
  <c r="AS103" i="12"/>
  <c r="AQ103" i="12"/>
  <c r="AO103" i="12"/>
  <c r="AM103" i="12"/>
  <c r="AK103" i="12"/>
  <c r="AI103" i="12"/>
  <c r="AF103" i="12"/>
  <c r="AG103" i="12" s="1"/>
  <c r="AE103" i="12"/>
  <c r="AC103" i="12"/>
  <c r="AA103" i="12"/>
  <c r="Y103" i="12"/>
  <c r="W103" i="12"/>
  <c r="U103" i="12"/>
  <c r="S103" i="12"/>
  <c r="Q103" i="12"/>
  <c r="O103" i="12"/>
  <c r="M103" i="12"/>
  <c r="K103" i="12"/>
  <c r="I103" i="12"/>
  <c r="DF102" i="12"/>
  <c r="DG102" i="12" s="1"/>
  <c r="DE102" i="12"/>
  <c r="DC102" i="12"/>
  <c r="DA102" i="12"/>
  <c r="CY102" i="12"/>
  <c r="CW102" i="12"/>
  <c r="CU102" i="12"/>
  <c r="CS102" i="12"/>
  <c r="CQ102" i="12"/>
  <c r="CO102" i="12"/>
  <c r="CM102" i="12"/>
  <c r="CK102" i="12"/>
  <c r="CI102" i="12"/>
  <c r="CF102" i="12"/>
  <c r="CG102" i="12" s="1"/>
  <c r="CE102" i="12"/>
  <c r="CC102" i="12"/>
  <c r="CA102" i="12"/>
  <c r="BY102" i="12"/>
  <c r="BW102" i="12"/>
  <c r="BU102" i="12"/>
  <c r="BS102" i="12"/>
  <c r="BQ102" i="12"/>
  <c r="BO102" i="12"/>
  <c r="BM102" i="12"/>
  <c r="BK102" i="12"/>
  <c r="BI102" i="12"/>
  <c r="BF102" i="12"/>
  <c r="BG102" i="12" s="1"/>
  <c r="BE102" i="12"/>
  <c r="BC102" i="12"/>
  <c r="BA102" i="12"/>
  <c r="AY102" i="12"/>
  <c r="AW102" i="12"/>
  <c r="AU102" i="12"/>
  <c r="AS102" i="12"/>
  <c r="AQ102" i="12"/>
  <c r="AO102" i="12"/>
  <c r="AM102" i="12"/>
  <c r="AK102" i="12"/>
  <c r="AI102" i="12"/>
  <c r="AF102" i="12"/>
  <c r="AG102" i="12" s="1"/>
  <c r="AE102" i="12"/>
  <c r="AC102" i="12"/>
  <c r="AA102" i="12"/>
  <c r="Y102" i="12"/>
  <c r="W102" i="12"/>
  <c r="U102" i="12"/>
  <c r="S102" i="12"/>
  <c r="Q102" i="12"/>
  <c r="O102" i="12"/>
  <c r="M102" i="12"/>
  <c r="K102" i="12"/>
  <c r="I102" i="12"/>
  <c r="DF101" i="12"/>
  <c r="DG101" i="12" s="1"/>
  <c r="DE101" i="12"/>
  <c r="DC101" i="12"/>
  <c r="DA101" i="12"/>
  <c r="CY101" i="12"/>
  <c r="CW101" i="12"/>
  <c r="CU101" i="12"/>
  <c r="CS101" i="12"/>
  <c r="CQ101" i="12"/>
  <c r="CO101" i="12"/>
  <c r="CM101" i="12"/>
  <c r="CK101" i="12"/>
  <c r="CI101" i="12"/>
  <c r="CF101" i="12"/>
  <c r="CG101" i="12" s="1"/>
  <c r="CE101" i="12"/>
  <c r="CC101" i="12"/>
  <c r="CA101" i="12"/>
  <c r="BY101" i="12"/>
  <c r="BW101" i="12"/>
  <c r="BU101" i="12"/>
  <c r="BS101" i="12"/>
  <c r="BQ101" i="12"/>
  <c r="BO101" i="12"/>
  <c r="BM101" i="12"/>
  <c r="BK101" i="12"/>
  <c r="BI101" i="12"/>
  <c r="BF101" i="12"/>
  <c r="BG101" i="12" s="1"/>
  <c r="BE101" i="12"/>
  <c r="BC101" i="12"/>
  <c r="BA101" i="12"/>
  <c r="AY101" i="12"/>
  <c r="AW101" i="12"/>
  <c r="AU101" i="12"/>
  <c r="AS101" i="12"/>
  <c r="AQ101" i="12"/>
  <c r="AO101" i="12"/>
  <c r="AM101" i="12"/>
  <c r="AK101" i="12"/>
  <c r="AI101" i="12"/>
  <c r="AF101" i="12"/>
  <c r="AG101" i="12" s="1"/>
  <c r="AE101" i="12"/>
  <c r="AC101" i="12"/>
  <c r="AA101" i="12"/>
  <c r="Y101" i="12"/>
  <c r="W101" i="12"/>
  <c r="U101" i="12"/>
  <c r="S101" i="12"/>
  <c r="Q101" i="12"/>
  <c r="O101" i="12"/>
  <c r="M101" i="12"/>
  <c r="K101" i="12"/>
  <c r="I101" i="12"/>
  <c r="DF100" i="12"/>
  <c r="DG100" i="12" s="1"/>
  <c r="DE100" i="12"/>
  <c r="DC100" i="12"/>
  <c r="DA100" i="12"/>
  <c r="CY100" i="12"/>
  <c r="CW100" i="12"/>
  <c r="CU100" i="12"/>
  <c r="CS100" i="12"/>
  <c r="CQ100" i="12"/>
  <c r="CO100" i="12"/>
  <c r="CM100" i="12"/>
  <c r="CK100" i="12"/>
  <c r="CI100" i="12"/>
  <c r="CF100" i="12"/>
  <c r="CG100" i="12" s="1"/>
  <c r="CE100" i="12"/>
  <c r="CC100" i="12"/>
  <c r="CA100" i="12"/>
  <c r="BY100" i="12"/>
  <c r="BW100" i="12"/>
  <c r="BU100" i="12"/>
  <c r="BS100" i="12"/>
  <c r="BQ100" i="12"/>
  <c r="BO100" i="12"/>
  <c r="BM100" i="12"/>
  <c r="BK100" i="12"/>
  <c r="BI100" i="12"/>
  <c r="BF100" i="12"/>
  <c r="BG100" i="12" s="1"/>
  <c r="BE100" i="12"/>
  <c r="BC100" i="12"/>
  <c r="BA100" i="12"/>
  <c r="AY100" i="12"/>
  <c r="AW100" i="12"/>
  <c r="AU100" i="12"/>
  <c r="AS100" i="12"/>
  <c r="AQ100" i="12"/>
  <c r="AO100" i="12"/>
  <c r="AM100" i="12"/>
  <c r="AK100" i="12"/>
  <c r="AI100" i="12"/>
  <c r="AF100" i="12"/>
  <c r="AG100" i="12" s="1"/>
  <c r="AE100" i="12"/>
  <c r="AC100" i="12"/>
  <c r="AA100" i="12"/>
  <c r="Y100" i="12"/>
  <c r="W100" i="12"/>
  <c r="U100" i="12"/>
  <c r="S100" i="12"/>
  <c r="Q100" i="12"/>
  <c r="O100" i="12"/>
  <c r="M100" i="12"/>
  <c r="K100" i="12"/>
  <c r="I100" i="12"/>
  <c r="DF99" i="12"/>
  <c r="DG99" i="12" s="1"/>
  <c r="DE99" i="12"/>
  <c r="DC99" i="12"/>
  <c r="DA99" i="12"/>
  <c r="CY99" i="12"/>
  <c r="CW99" i="12"/>
  <c r="CU99" i="12"/>
  <c r="CS99" i="12"/>
  <c r="CQ99" i="12"/>
  <c r="CO99" i="12"/>
  <c r="CM99" i="12"/>
  <c r="CK99" i="12"/>
  <c r="CI99" i="12"/>
  <c r="CF99" i="12"/>
  <c r="CG99" i="12" s="1"/>
  <c r="CE99" i="12"/>
  <c r="CC99" i="12"/>
  <c r="CA99" i="12"/>
  <c r="BY99" i="12"/>
  <c r="BW99" i="12"/>
  <c r="BU99" i="12"/>
  <c r="BS99" i="12"/>
  <c r="BQ99" i="12"/>
  <c r="BO99" i="12"/>
  <c r="BM99" i="12"/>
  <c r="BK99" i="12"/>
  <c r="BI99" i="12"/>
  <c r="BF99" i="12"/>
  <c r="BG99" i="12" s="1"/>
  <c r="BE99" i="12"/>
  <c r="BC99" i="12"/>
  <c r="BA99" i="12"/>
  <c r="AY99" i="12"/>
  <c r="AW99" i="12"/>
  <c r="AU99" i="12"/>
  <c r="AS99" i="12"/>
  <c r="AQ99" i="12"/>
  <c r="AO99" i="12"/>
  <c r="AM99" i="12"/>
  <c r="AK99" i="12"/>
  <c r="AI99" i="12"/>
  <c r="AF99" i="12"/>
  <c r="AG99" i="12" s="1"/>
  <c r="AE99" i="12"/>
  <c r="AC99" i="12"/>
  <c r="AA99" i="12"/>
  <c r="Y99" i="12"/>
  <c r="W99" i="12"/>
  <c r="U99" i="12"/>
  <c r="S99" i="12"/>
  <c r="Q99" i="12"/>
  <c r="O99" i="12"/>
  <c r="M99" i="12"/>
  <c r="K99" i="12"/>
  <c r="I99" i="12"/>
  <c r="DF98" i="12"/>
  <c r="DG98" i="12" s="1"/>
  <c r="DE98" i="12"/>
  <c r="DC98" i="12"/>
  <c r="DA98" i="12"/>
  <c r="CY98" i="12"/>
  <c r="CW98" i="12"/>
  <c r="CU98" i="12"/>
  <c r="CS98" i="12"/>
  <c r="CQ98" i="12"/>
  <c r="CO98" i="12"/>
  <c r="CM98" i="12"/>
  <c r="CK98" i="12"/>
  <c r="CI98" i="12"/>
  <c r="CF98" i="12"/>
  <c r="CG98" i="12" s="1"/>
  <c r="CE98" i="12"/>
  <c r="CC98" i="12"/>
  <c r="CA98" i="12"/>
  <c r="BY98" i="12"/>
  <c r="BW98" i="12"/>
  <c r="BU98" i="12"/>
  <c r="BS98" i="12"/>
  <c r="BQ98" i="12"/>
  <c r="BO98" i="12"/>
  <c r="BM98" i="12"/>
  <c r="BK98" i="12"/>
  <c r="BI98" i="12"/>
  <c r="BF98" i="12"/>
  <c r="BG98" i="12" s="1"/>
  <c r="BE98" i="12"/>
  <c r="BC98" i="12"/>
  <c r="BA98" i="12"/>
  <c r="AY98" i="12"/>
  <c r="AW98" i="12"/>
  <c r="AU98" i="12"/>
  <c r="AS98" i="12"/>
  <c r="AQ98" i="12"/>
  <c r="AO98" i="12"/>
  <c r="AM98" i="12"/>
  <c r="AK98" i="12"/>
  <c r="AI98" i="12"/>
  <c r="AF98" i="12"/>
  <c r="AG98" i="12" s="1"/>
  <c r="AE98" i="12"/>
  <c r="AC98" i="12"/>
  <c r="AA98" i="12"/>
  <c r="Y98" i="12"/>
  <c r="W98" i="12"/>
  <c r="U98" i="12"/>
  <c r="S98" i="12"/>
  <c r="Q98" i="12"/>
  <c r="O98" i="12"/>
  <c r="M98" i="12"/>
  <c r="K98" i="12"/>
  <c r="I98" i="12"/>
  <c r="DF97" i="12"/>
  <c r="DG97" i="12" s="1"/>
  <c r="DE97" i="12"/>
  <c r="DC97" i="12"/>
  <c r="DA97" i="12"/>
  <c r="CY97" i="12"/>
  <c r="CW97" i="12"/>
  <c r="CU97" i="12"/>
  <c r="CS97" i="12"/>
  <c r="CQ97" i="12"/>
  <c r="CO97" i="12"/>
  <c r="CM97" i="12"/>
  <c r="CK97" i="12"/>
  <c r="CI97" i="12"/>
  <c r="CF97" i="12"/>
  <c r="CG97" i="12" s="1"/>
  <c r="CE97" i="12"/>
  <c r="CC97" i="12"/>
  <c r="CA97" i="12"/>
  <c r="BY97" i="12"/>
  <c r="BW97" i="12"/>
  <c r="BU97" i="12"/>
  <c r="BS97" i="12"/>
  <c r="BQ97" i="12"/>
  <c r="BO97" i="12"/>
  <c r="BM97" i="12"/>
  <c r="BK97" i="12"/>
  <c r="BI97" i="12"/>
  <c r="BF97" i="12"/>
  <c r="BG97" i="12" s="1"/>
  <c r="BE97" i="12"/>
  <c r="BC97" i="12"/>
  <c r="BA97" i="12"/>
  <c r="AY97" i="12"/>
  <c r="AW97" i="12"/>
  <c r="AU97" i="12"/>
  <c r="AS97" i="12"/>
  <c r="AQ97" i="12"/>
  <c r="AO97" i="12"/>
  <c r="AM97" i="12"/>
  <c r="AK97" i="12"/>
  <c r="AI97" i="12"/>
  <c r="AF97" i="12"/>
  <c r="AG97" i="12" s="1"/>
  <c r="AE97" i="12"/>
  <c r="AC97" i="12"/>
  <c r="AA97" i="12"/>
  <c r="Y97" i="12"/>
  <c r="W97" i="12"/>
  <c r="U97" i="12"/>
  <c r="S97" i="12"/>
  <c r="Q97" i="12"/>
  <c r="O97" i="12"/>
  <c r="M97" i="12"/>
  <c r="K97" i="12"/>
  <c r="I97" i="12"/>
  <c r="DF96" i="12"/>
  <c r="DG96" i="12" s="1"/>
  <c r="DE96" i="12"/>
  <c r="DC96" i="12"/>
  <c r="DA96" i="12"/>
  <c r="CY96" i="12"/>
  <c r="CW96" i="12"/>
  <c r="CU96" i="12"/>
  <c r="CS96" i="12"/>
  <c r="CQ96" i="12"/>
  <c r="CO96" i="12"/>
  <c r="CM96" i="12"/>
  <c r="CK96" i="12"/>
  <c r="CI96" i="12"/>
  <c r="CF96" i="12"/>
  <c r="CG96" i="12" s="1"/>
  <c r="CE96" i="12"/>
  <c r="CC96" i="12"/>
  <c r="CA96" i="12"/>
  <c r="BY96" i="12"/>
  <c r="BW96" i="12"/>
  <c r="BU96" i="12"/>
  <c r="BS96" i="12"/>
  <c r="BQ96" i="12"/>
  <c r="BO96" i="12"/>
  <c r="BM96" i="12"/>
  <c r="BK96" i="12"/>
  <c r="BI96" i="12"/>
  <c r="BF96" i="12"/>
  <c r="BG96" i="12" s="1"/>
  <c r="BE96" i="12"/>
  <c r="BC96" i="12"/>
  <c r="BA96" i="12"/>
  <c r="AY96" i="12"/>
  <c r="AW96" i="12"/>
  <c r="AU96" i="12"/>
  <c r="AS96" i="12"/>
  <c r="AQ96" i="12"/>
  <c r="AO96" i="12"/>
  <c r="AM96" i="12"/>
  <c r="AK96" i="12"/>
  <c r="AI96" i="12"/>
  <c r="AF96" i="12"/>
  <c r="AG96" i="12" s="1"/>
  <c r="AE96" i="12"/>
  <c r="AC96" i="12"/>
  <c r="AA96" i="12"/>
  <c r="Y96" i="12"/>
  <c r="W96" i="12"/>
  <c r="U96" i="12"/>
  <c r="S96" i="12"/>
  <c r="Q96" i="12"/>
  <c r="O96" i="12"/>
  <c r="M96" i="12"/>
  <c r="K96" i="12"/>
  <c r="I96" i="12"/>
  <c r="DF95" i="12"/>
  <c r="DE95" i="12"/>
  <c r="DC95" i="12"/>
  <c r="DA95" i="12"/>
  <c r="CY95" i="12"/>
  <c r="CW95" i="12"/>
  <c r="CU95" i="12"/>
  <c r="CS95" i="12"/>
  <c r="CQ95" i="12"/>
  <c r="CO95" i="12"/>
  <c r="CM95" i="12"/>
  <c r="CK95" i="12"/>
  <c r="CI95" i="12"/>
  <c r="CF95" i="12"/>
  <c r="CG95" i="12" s="1"/>
  <c r="CE95" i="12"/>
  <c r="CC95" i="12"/>
  <c r="CA95" i="12"/>
  <c r="BY95" i="12"/>
  <c r="BW95" i="12"/>
  <c r="BU95" i="12"/>
  <c r="BS95" i="12"/>
  <c r="BQ95" i="12"/>
  <c r="BO95" i="12"/>
  <c r="BM95" i="12"/>
  <c r="BK95" i="12"/>
  <c r="BI95" i="12"/>
  <c r="BF95" i="12"/>
  <c r="BG95" i="12" s="1"/>
  <c r="BE95" i="12"/>
  <c r="BC95" i="12"/>
  <c r="BA95" i="12"/>
  <c r="AY95" i="12"/>
  <c r="AW95" i="12"/>
  <c r="AU95" i="12"/>
  <c r="AS95" i="12"/>
  <c r="AQ95" i="12"/>
  <c r="AO95" i="12"/>
  <c r="AM95" i="12"/>
  <c r="AK95" i="12"/>
  <c r="AI95" i="12"/>
  <c r="AF95" i="12"/>
  <c r="AG95" i="12" s="1"/>
  <c r="AE95" i="12"/>
  <c r="AC95" i="12"/>
  <c r="AA95" i="12"/>
  <c r="Y95" i="12"/>
  <c r="W95" i="12"/>
  <c r="U95" i="12"/>
  <c r="S95" i="12"/>
  <c r="Q95" i="12"/>
  <c r="O95" i="12"/>
  <c r="M95" i="12"/>
  <c r="K95" i="12"/>
  <c r="I95" i="12"/>
  <c r="DF94" i="12"/>
  <c r="DG94" i="12" s="1"/>
  <c r="DE94" i="12"/>
  <c r="DC94" i="12"/>
  <c r="DA94" i="12"/>
  <c r="CY94" i="12"/>
  <c r="CW94" i="12"/>
  <c r="CU94" i="12"/>
  <c r="CS94" i="12"/>
  <c r="CQ94" i="12"/>
  <c r="CO94" i="12"/>
  <c r="CM94" i="12"/>
  <c r="CK94" i="12"/>
  <c r="CI94" i="12"/>
  <c r="CF94" i="12"/>
  <c r="CG94" i="12" s="1"/>
  <c r="CE94" i="12"/>
  <c r="CC94" i="12"/>
  <c r="CA94" i="12"/>
  <c r="BY94" i="12"/>
  <c r="BW94" i="12"/>
  <c r="BU94" i="12"/>
  <c r="BS94" i="12"/>
  <c r="BQ94" i="12"/>
  <c r="BO94" i="12"/>
  <c r="BM94" i="12"/>
  <c r="BK94" i="12"/>
  <c r="BI94" i="12"/>
  <c r="BF94" i="12"/>
  <c r="BG94" i="12" s="1"/>
  <c r="BE94" i="12"/>
  <c r="BC94" i="12"/>
  <c r="BA94" i="12"/>
  <c r="AY94" i="12"/>
  <c r="AW94" i="12"/>
  <c r="AU94" i="12"/>
  <c r="AS94" i="12"/>
  <c r="AQ94" i="12"/>
  <c r="AO94" i="12"/>
  <c r="AM94" i="12"/>
  <c r="AK94" i="12"/>
  <c r="AI94" i="12"/>
  <c r="AF94" i="12"/>
  <c r="AG94" i="12" s="1"/>
  <c r="AE94" i="12"/>
  <c r="AC94" i="12"/>
  <c r="AA94" i="12"/>
  <c r="Y94" i="12"/>
  <c r="W94" i="12"/>
  <c r="U94" i="12"/>
  <c r="S94" i="12"/>
  <c r="Q94" i="12"/>
  <c r="O94" i="12"/>
  <c r="M94" i="12"/>
  <c r="K94" i="12"/>
  <c r="I94" i="12"/>
  <c r="DF93" i="12"/>
  <c r="DG93" i="12" s="1"/>
  <c r="DE93" i="12"/>
  <c r="DC93" i="12"/>
  <c r="DA93" i="12"/>
  <c r="CY93" i="12"/>
  <c r="CW93" i="12"/>
  <c r="CU93" i="12"/>
  <c r="CS93" i="12"/>
  <c r="CQ93" i="12"/>
  <c r="CO93" i="12"/>
  <c r="CM93" i="12"/>
  <c r="CK93" i="12"/>
  <c r="CI93" i="12"/>
  <c r="CF93" i="12"/>
  <c r="CG93" i="12" s="1"/>
  <c r="CE93" i="12"/>
  <c r="CC93" i="12"/>
  <c r="CA93" i="12"/>
  <c r="BY93" i="12"/>
  <c r="BW93" i="12"/>
  <c r="BU93" i="12"/>
  <c r="BS93" i="12"/>
  <c r="BQ93" i="12"/>
  <c r="BO93" i="12"/>
  <c r="BM93" i="12"/>
  <c r="BK93" i="12"/>
  <c r="BI93" i="12"/>
  <c r="BF93" i="12"/>
  <c r="BG93" i="12" s="1"/>
  <c r="BE93" i="12"/>
  <c r="BC93" i="12"/>
  <c r="BA93" i="12"/>
  <c r="AY93" i="12"/>
  <c r="AW93" i="12"/>
  <c r="AU93" i="12"/>
  <c r="AS93" i="12"/>
  <c r="AQ93" i="12"/>
  <c r="AO93" i="12"/>
  <c r="AM93" i="12"/>
  <c r="AK93" i="12"/>
  <c r="AI93" i="12"/>
  <c r="AF93" i="12"/>
  <c r="AG93" i="12" s="1"/>
  <c r="AE93" i="12"/>
  <c r="AC93" i="12"/>
  <c r="AA93" i="12"/>
  <c r="Y93" i="12"/>
  <c r="W93" i="12"/>
  <c r="U93" i="12"/>
  <c r="S93" i="12"/>
  <c r="Q93" i="12"/>
  <c r="O93" i="12"/>
  <c r="M93" i="12"/>
  <c r="K93" i="12"/>
  <c r="I93" i="12"/>
  <c r="DF92" i="12"/>
  <c r="DG92" i="12" s="1"/>
  <c r="DE92" i="12"/>
  <c r="DC92" i="12"/>
  <c r="DA92" i="12"/>
  <c r="CY92" i="12"/>
  <c r="CW92" i="12"/>
  <c r="CU92" i="12"/>
  <c r="CS92" i="12"/>
  <c r="CQ92" i="12"/>
  <c r="CO92" i="12"/>
  <c r="CM92" i="12"/>
  <c r="CK92" i="12"/>
  <c r="CI92" i="12"/>
  <c r="CF92" i="12"/>
  <c r="CG92" i="12" s="1"/>
  <c r="CE92" i="12"/>
  <c r="CC92" i="12"/>
  <c r="CA92" i="12"/>
  <c r="BY92" i="12"/>
  <c r="BW92" i="12"/>
  <c r="BU92" i="12"/>
  <c r="BS92" i="12"/>
  <c r="BQ92" i="12"/>
  <c r="BO92" i="12"/>
  <c r="BM92" i="12"/>
  <c r="BK92" i="12"/>
  <c r="BI92" i="12"/>
  <c r="BF92" i="12"/>
  <c r="BG92" i="12" s="1"/>
  <c r="BE92" i="12"/>
  <c r="BC92" i="12"/>
  <c r="BA92" i="12"/>
  <c r="AY92" i="12"/>
  <c r="AW92" i="12"/>
  <c r="AU92" i="12"/>
  <c r="AS92" i="12"/>
  <c r="AQ92" i="12"/>
  <c r="AO92" i="12"/>
  <c r="AM92" i="12"/>
  <c r="AK92" i="12"/>
  <c r="AI92" i="12"/>
  <c r="AF92" i="12"/>
  <c r="AG92" i="12" s="1"/>
  <c r="AE92" i="12"/>
  <c r="AC92" i="12"/>
  <c r="AA92" i="12"/>
  <c r="Y92" i="12"/>
  <c r="W92" i="12"/>
  <c r="U92" i="12"/>
  <c r="S92" i="12"/>
  <c r="Q92" i="12"/>
  <c r="O92" i="12"/>
  <c r="M92" i="12"/>
  <c r="K92" i="12"/>
  <c r="I92" i="12"/>
  <c r="DF91" i="12"/>
  <c r="DG91" i="12" s="1"/>
  <c r="DE91" i="12"/>
  <c r="DC91" i="12"/>
  <c r="DA91" i="12"/>
  <c r="CY91" i="12"/>
  <c r="CW91" i="12"/>
  <c r="CU91" i="12"/>
  <c r="CS91" i="12"/>
  <c r="CQ91" i="12"/>
  <c r="CO91" i="12"/>
  <c r="CM91" i="12"/>
  <c r="CK91" i="12"/>
  <c r="CI91" i="12"/>
  <c r="CF91" i="12"/>
  <c r="CG91" i="12" s="1"/>
  <c r="CE91" i="12"/>
  <c r="CC91" i="12"/>
  <c r="CA91" i="12"/>
  <c r="BY91" i="12"/>
  <c r="BW91" i="12"/>
  <c r="BU91" i="12"/>
  <c r="BS91" i="12"/>
  <c r="BQ91" i="12"/>
  <c r="BO91" i="12"/>
  <c r="BM91" i="12"/>
  <c r="BK91" i="12"/>
  <c r="BI91" i="12"/>
  <c r="BF91" i="12"/>
  <c r="BG91" i="12" s="1"/>
  <c r="BE91" i="12"/>
  <c r="BC91" i="12"/>
  <c r="BA91" i="12"/>
  <c r="AY91" i="12"/>
  <c r="AW91" i="12"/>
  <c r="AU91" i="12"/>
  <c r="AS91" i="12"/>
  <c r="AQ91" i="12"/>
  <c r="AO91" i="12"/>
  <c r="AM91" i="12"/>
  <c r="AK91" i="12"/>
  <c r="AI91" i="12"/>
  <c r="AF91" i="12"/>
  <c r="AG91" i="12" s="1"/>
  <c r="AE91" i="12"/>
  <c r="AC91" i="12"/>
  <c r="AA91" i="12"/>
  <c r="Y91" i="12"/>
  <c r="W91" i="12"/>
  <c r="U91" i="12"/>
  <c r="S91" i="12"/>
  <c r="Q91" i="12"/>
  <c r="O91" i="12"/>
  <c r="M91" i="12"/>
  <c r="K91" i="12"/>
  <c r="I91" i="12"/>
  <c r="DF90" i="12"/>
  <c r="DG90" i="12" s="1"/>
  <c r="DE90" i="12"/>
  <c r="DC90" i="12"/>
  <c r="DA90" i="12"/>
  <c r="CY90" i="12"/>
  <c r="CW90" i="12"/>
  <c r="CU90" i="12"/>
  <c r="CS90" i="12"/>
  <c r="CQ90" i="12"/>
  <c r="CO90" i="12"/>
  <c r="CM90" i="12"/>
  <c r="CK90" i="12"/>
  <c r="CI90" i="12"/>
  <c r="CF90" i="12"/>
  <c r="CG90" i="12" s="1"/>
  <c r="CE90" i="12"/>
  <c r="CC90" i="12"/>
  <c r="CA90" i="12"/>
  <c r="BY90" i="12"/>
  <c r="BW90" i="12"/>
  <c r="BU90" i="12"/>
  <c r="BS90" i="12"/>
  <c r="BQ90" i="12"/>
  <c r="BO90" i="12"/>
  <c r="BM90" i="12"/>
  <c r="BK90" i="12"/>
  <c r="BI90" i="12"/>
  <c r="BF90" i="12"/>
  <c r="BG90" i="12" s="1"/>
  <c r="BE90" i="12"/>
  <c r="BC90" i="12"/>
  <c r="BA90" i="12"/>
  <c r="AY90" i="12"/>
  <c r="AW90" i="12"/>
  <c r="AU90" i="12"/>
  <c r="AS90" i="12"/>
  <c r="AQ90" i="12"/>
  <c r="AO90" i="12"/>
  <c r="AM90" i="12"/>
  <c r="AK90" i="12"/>
  <c r="AI90" i="12"/>
  <c r="AF90" i="12"/>
  <c r="AG90" i="12" s="1"/>
  <c r="AE90" i="12"/>
  <c r="AC90" i="12"/>
  <c r="AA90" i="12"/>
  <c r="Y90" i="12"/>
  <c r="W90" i="12"/>
  <c r="U90" i="12"/>
  <c r="S90" i="12"/>
  <c r="Q90" i="12"/>
  <c r="O90" i="12"/>
  <c r="M90" i="12"/>
  <c r="K90" i="12"/>
  <c r="I90" i="12"/>
  <c r="DF89" i="12"/>
  <c r="DE89" i="12"/>
  <c r="DC89" i="12"/>
  <c r="DA89" i="12"/>
  <c r="CY89" i="12"/>
  <c r="CW89" i="12"/>
  <c r="CU89" i="12"/>
  <c r="CS89" i="12"/>
  <c r="CQ89" i="12"/>
  <c r="CO89" i="12"/>
  <c r="CM89" i="12"/>
  <c r="CK89" i="12"/>
  <c r="CI89" i="12"/>
  <c r="CF89" i="12"/>
  <c r="CG89" i="12" s="1"/>
  <c r="CE89" i="12"/>
  <c r="CC89" i="12"/>
  <c r="CA89" i="12"/>
  <c r="BY89" i="12"/>
  <c r="BW89" i="12"/>
  <c r="BU89" i="12"/>
  <c r="BS89" i="12"/>
  <c r="BQ89" i="12"/>
  <c r="BO89" i="12"/>
  <c r="BM89" i="12"/>
  <c r="BK89" i="12"/>
  <c r="BI89" i="12"/>
  <c r="BF89" i="12"/>
  <c r="BG89" i="12" s="1"/>
  <c r="BE89" i="12"/>
  <c r="BC89" i="12"/>
  <c r="BA89" i="12"/>
  <c r="AY89" i="12"/>
  <c r="AW89" i="12"/>
  <c r="AU89" i="12"/>
  <c r="AS89" i="12"/>
  <c r="AQ89" i="12"/>
  <c r="AO89" i="12"/>
  <c r="AM89" i="12"/>
  <c r="AK89" i="12"/>
  <c r="AI89" i="12"/>
  <c r="AF89" i="12"/>
  <c r="AG89" i="12" s="1"/>
  <c r="AE89" i="12"/>
  <c r="AC89" i="12"/>
  <c r="AA89" i="12"/>
  <c r="Y89" i="12"/>
  <c r="W89" i="12"/>
  <c r="U89" i="12"/>
  <c r="S89" i="12"/>
  <c r="Q89" i="12"/>
  <c r="O89" i="12"/>
  <c r="M89" i="12"/>
  <c r="K89" i="12"/>
  <c r="I89" i="12"/>
  <c r="DF88" i="12"/>
  <c r="DE88" i="12"/>
  <c r="DC88" i="12"/>
  <c r="DA88" i="12"/>
  <c r="CY88" i="12"/>
  <c r="CW88" i="12"/>
  <c r="CU88" i="12"/>
  <c r="CS88" i="12"/>
  <c r="CQ88" i="12"/>
  <c r="CO88" i="12"/>
  <c r="CM88" i="12"/>
  <c r="CK88" i="12"/>
  <c r="CI88" i="12"/>
  <c r="CF88" i="12"/>
  <c r="CG88" i="12" s="1"/>
  <c r="CE88" i="12"/>
  <c r="CC88" i="12"/>
  <c r="CA88" i="12"/>
  <c r="BY88" i="12"/>
  <c r="BW88" i="12"/>
  <c r="BU88" i="12"/>
  <c r="BS88" i="12"/>
  <c r="BQ88" i="12"/>
  <c r="BO88" i="12"/>
  <c r="BM88" i="12"/>
  <c r="BK88" i="12"/>
  <c r="BI88" i="12"/>
  <c r="BF88" i="12"/>
  <c r="BG88" i="12" s="1"/>
  <c r="BE88" i="12"/>
  <c r="BC88" i="12"/>
  <c r="BA88" i="12"/>
  <c r="AY88" i="12"/>
  <c r="AW88" i="12"/>
  <c r="AU88" i="12"/>
  <c r="AS88" i="12"/>
  <c r="AQ88" i="12"/>
  <c r="AO88" i="12"/>
  <c r="AM88" i="12"/>
  <c r="AK88" i="12"/>
  <c r="AI88" i="12"/>
  <c r="AF88" i="12"/>
  <c r="AG88" i="12" s="1"/>
  <c r="AE88" i="12"/>
  <c r="AC88" i="12"/>
  <c r="AA88" i="12"/>
  <c r="Y88" i="12"/>
  <c r="W88" i="12"/>
  <c r="U88" i="12"/>
  <c r="S88" i="12"/>
  <c r="Q88" i="12"/>
  <c r="O88" i="12"/>
  <c r="M88" i="12"/>
  <c r="K88" i="12"/>
  <c r="I88" i="12"/>
  <c r="DF87" i="12"/>
  <c r="DG87" i="12" s="1"/>
  <c r="DE87" i="12"/>
  <c r="DC87" i="12"/>
  <c r="DA87" i="12"/>
  <c r="CY87" i="12"/>
  <c r="CW87" i="12"/>
  <c r="CU87" i="12"/>
  <c r="CS87" i="12"/>
  <c r="CQ87" i="12"/>
  <c r="CO87" i="12"/>
  <c r="CM87" i="12"/>
  <c r="CK87" i="12"/>
  <c r="CI87" i="12"/>
  <c r="CF87" i="12"/>
  <c r="CG87" i="12" s="1"/>
  <c r="CE87" i="12"/>
  <c r="CC87" i="12"/>
  <c r="CA87" i="12"/>
  <c r="BY87" i="12"/>
  <c r="BW87" i="12"/>
  <c r="BU87" i="12"/>
  <c r="BS87" i="12"/>
  <c r="BQ87" i="12"/>
  <c r="BO87" i="12"/>
  <c r="BM87" i="12"/>
  <c r="BK87" i="12"/>
  <c r="BI87" i="12"/>
  <c r="BF87" i="12"/>
  <c r="BG87" i="12" s="1"/>
  <c r="BE87" i="12"/>
  <c r="BC87" i="12"/>
  <c r="BA87" i="12"/>
  <c r="AY87" i="12"/>
  <c r="AW87" i="12"/>
  <c r="AU87" i="12"/>
  <c r="AS87" i="12"/>
  <c r="AQ87" i="12"/>
  <c r="AO87" i="12"/>
  <c r="AM87" i="12"/>
  <c r="AK87" i="12"/>
  <c r="AI87" i="12"/>
  <c r="AF87" i="12"/>
  <c r="AG87" i="12" s="1"/>
  <c r="AE87" i="12"/>
  <c r="AC87" i="12"/>
  <c r="AA87" i="12"/>
  <c r="Y87" i="12"/>
  <c r="W87" i="12"/>
  <c r="U87" i="12"/>
  <c r="S87" i="12"/>
  <c r="Q87" i="12"/>
  <c r="O87" i="12"/>
  <c r="M87" i="12"/>
  <c r="K87" i="12"/>
  <c r="I87" i="12"/>
  <c r="DF86" i="12"/>
  <c r="DG86" i="12" s="1"/>
  <c r="DE86" i="12"/>
  <c r="DC86" i="12"/>
  <c r="DA86" i="12"/>
  <c r="CY86" i="12"/>
  <c r="CW86" i="12"/>
  <c r="CU86" i="12"/>
  <c r="CS86" i="12"/>
  <c r="CQ86" i="12"/>
  <c r="CO86" i="12"/>
  <c r="CM86" i="12"/>
  <c r="CK86" i="12"/>
  <c r="CI86" i="12"/>
  <c r="CF86" i="12"/>
  <c r="CG86" i="12" s="1"/>
  <c r="CE86" i="12"/>
  <c r="CC86" i="12"/>
  <c r="CA86" i="12"/>
  <c r="BY86" i="12"/>
  <c r="BW86" i="12"/>
  <c r="BU86" i="12"/>
  <c r="BS86" i="12"/>
  <c r="BQ86" i="12"/>
  <c r="BO86" i="12"/>
  <c r="BM86" i="12"/>
  <c r="BK86" i="12"/>
  <c r="BI86" i="12"/>
  <c r="BF86" i="12"/>
  <c r="BG86" i="12" s="1"/>
  <c r="BE86" i="12"/>
  <c r="BC86" i="12"/>
  <c r="BA86" i="12"/>
  <c r="AY86" i="12"/>
  <c r="AW86" i="12"/>
  <c r="AU86" i="12"/>
  <c r="AS86" i="12"/>
  <c r="AQ86" i="12"/>
  <c r="AO86" i="12"/>
  <c r="AM86" i="12"/>
  <c r="AK86" i="12"/>
  <c r="AI86" i="12"/>
  <c r="AF86" i="12"/>
  <c r="AG86" i="12" s="1"/>
  <c r="AE86" i="12"/>
  <c r="AC86" i="12"/>
  <c r="AA86" i="12"/>
  <c r="Y86" i="12"/>
  <c r="W86" i="12"/>
  <c r="U86" i="12"/>
  <c r="S86" i="12"/>
  <c r="Q86" i="12"/>
  <c r="O86" i="12"/>
  <c r="M86" i="12"/>
  <c r="K86" i="12"/>
  <c r="I86" i="12"/>
  <c r="DF85" i="12"/>
  <c r="DG85" i="12" s="1"/>
  <c r="DE85" i="12"/>
  <c r="DC85" i="12"/>
  <c r="DA85" i="12"/>
  <c r="CY85" i="12"/>
  <c r="CW85" i="12"/>
  <c r="CU85" i="12"/>
  <c r="CS85" i="12"/>
  <c r="CQ85" i="12"/>
  <c r="CO85" i="12"/>
  <c r="CM85" i="12"/>
  <c r="CK85" i="12"/>
  <c r="CI85" i="12"/>
  <c r="CF85" i="12"/>
  <c r="CG85" i="12" s="1"/>
  <c r="CE85" i="12"/>
  <c r="CC85" i="12"/>
  <c r="CA85" i="12"/>
  <c r="BY85" i="12"/>
  <c r="BW85" i="12"/>
  <c r="BU85" i="12"/>
  <c r="BS85" i="12"/>
  <c r="BQ85" i="12"/>
  <c r="BO85" i="12"/>
  <c r="BM85" i="12"/>
  <c r="BK85" i="12"/>
  <c r="BI85" i="12"/>
  <c r="BF85" i="12"/>
  <c r="BG85" i="12" s="1"/>
  <c r="BE85" i="12"/>
  <c r="BC85" i="12"/>
  <c r="BA85" i="12"/>
  <c r="AY85" i="12"/>
  <c r="AW85" i="12"/>
  <c r="AU85" i="12"/>
  <c r="AS85" i="12"/>
  <c r="AQ85" i="12"/>
  <c r="AO85" i="12"/>
  <c r="AM85" i="12"/>
  <c r="AK85" i="12"/>
  <c r="AI85" i="12"/>
  <c r="AF85" i="12"/>
  <c r="AG85" i="12" s="1"/>
  <c r="AE85" i="12"/>
  <c r="AC85" i="12"/>
  <c r="AA85" i="12"/>
  <c r="Y85" i="12"/>
  <c r="W85" i="12"/>
  <c r="U85" i="12"/>
  <c r="S85" i="12"/>
  <c r="Q85" i="12"/>
  <c r="O85" i="12"/>
  <c r="M85" i="12"/>
  <c r="K85" i="12"/>
  <c r="I85" i="12"/>
  <c r="DF84" i="12"/>
  <c r="DG84" i="12" s="1"/>
  <c r="DE84" i="12"/>
  <c r="DC84" i="12"/>
  <c r="DA84" i="12"/>
  <c r="CY84" i="12"/>
  <c r="CW84" i="12"/>
  <c r="CU84" i="12"/>
  <c r="CS84" i="12"/>
  <c r="CQ84" i="12"/>
  <c r="CO84" i="12"/>
  <c r="CM84" i="12"/>
  <c r="CK84" i="12"/>
  <c r="CI84" i="12"/>
  <c r="CF84" i="12"/>
  <c r="CG84" i="12" s="1"/>
  <c r="CE84" i="12"/>
  <c r="CC84" i="12"/>
  <c r="CA84" i="12"/>
  <c r="BY84" i="12"/>
  <c r="BW84" i="12"/>
  <c r="BU84" i="12"/>
  <c r="BS84" i="12"/>
  <c r="BQ84" i="12"/>
  <c r="BO84" i="12"/>
  <c r="BM84" i="12"/>
  <c r="BK84" i="12"/>
  <c r="BI84" i="12"/>
  <c r="BF84" i="12"/>
  <c r="BG84" i="12" s="1"/>
  <c r="BE84" i="12"/>
  <c r="BC84" i="12"/>
  <c r="BA84" i="12"/>
  <c r="AY84" i="12"/>
  <c r="AW84" i="12"/>
  <c r="AU84" i="12"/>
  <c r="AS84" i="12"/>
  <c r="AQ84" i="12"/>
  <c r="AO84" i="12"/>
  <c r="AM84" i="12"/>
  <c r="AK84" i="12"/>
  <c r="AI84" i="12"/>
  <c r="AF84" i="12"/>
  <c r="AG84" i="12" s="1"/>
  <c r="AE84" i="12"/>
  <c r="AC84" i="12"/>
  <c r="AA84" i="12"/>
  <c r="Y84" i="12"/>
  <c r="W84" i="12"/>
  <c r="U84" i="12"/>
  <c r="S84" i="12"/>
  <c r="Q84" i="12"/>
  <c r="O84" i="12"/>
  <c r="M84" i="12"/>
  <c r="K84" i="12"/>
  <c r="I84" i="12"/>
  <c r="DF83" i="12"/>
  <c r="DG83" i="12" s="1"/>
  <c r="DE83" i="12"/>
  <c r="DC83" i="12"/>
  <c r="DA83" i="12"/>
  <c r="CY83" i="12"/>
  <c r="CW83" i="12"/>
  <c r="CU83" i="12"/>
  <c r="CS83" i="12"/>
  <c r="CQ83" i="12"/>
  <c r="CO83" i="12"/>
  <c r="CM83" i="12"/>
  <c r="CK83" i="12"/>
  <c r="CI83" i="12"/>
  <c r="CF83" i="12"/>
  <c r="CG83" i="12" s="1"/>
  <c r="CE83" i="12"/>
  <c r="CC83" i="12"/>
  <c r="CA83" i="12"/>
  <c r="BY83" i="12"/>
  <c r="BW83" i="12"/>
  <c r="BU83" i="12"/>
  <c r="BS83" i="12"/>
  <c r="BQ83" i="12"/>
  <c r="BO83" i="12"/>
  <c r="BM83" i="12"/>
  <c r="BK83" i="12"/>
  <c r="BI83" i="12"/>
  <c r="BF83" i="12"/>
  <c r="BG83" i="12" s="1"/>
  <c r="BE83" i="12"/>
  <c r="BC83" i="12"/>
  <c r="BA83" i="12"/>
  <c r="AY83" i="12"/>
  <c r="AW83" i="12"/>
  <c r="AU83" i="12"/>
  <c r="AS83" i="12"/>
  <c r="AQ83" i="12"/>
  <c r="AO83" i="12"/>
  <c r="AM83" i="12"/>
  <c r="AK83" i="12"/>
  <c r="AI83" i="12"/>
  <c r="AF83" i="12"/>
  <c r="AG83" i="12" s="1"/>
  <c r="AE83" i="12"/>
  <c r="AC83" i="12"/>
  <c r="AA83" i="12"/>
  <c r="Y83" i="12"/>
  <c r="W83" i="12"/>
  <c r="U83" i="12"/>
  <c r="S83" i="12"/>
  <c r="Q83" i="12"/>
  <c r="O83" i="12"/>
  <c r="M83" i="12"/>
  <c r="K83" i="12"/>
  <c r="I83" i="12"/>
  <c r="DF82" i="12"/>
  <c r="DG82" i="12" s="1"/>
  <c r="DE82" i="12"/>
  <c r="DC82" i="12"/>
  <c r="DA82" i="12"/>
  <c r="CY82" i="12"/>
  <c r="CW82" i="12"/>
  <c r="CU82" i="12"/>
  <c r="CS82" i="12"/>
  <c r="CQ82" i="12"/>
  <c r="CO82" i="12"/>
  <c r="CM82" i="12"/>
  <c r="CK82" i="12"/>
  <c r="CI82" i="12"/>
  <c r="CF82" i="12"/>
  <c r="CG82" i="12" s="1"/>
  <c r="CE82" i="12"/>
  <c r="CC82" i="12"/>
  <c r="CA82" i="12"/>
  <c r="BY82" i="12"/>
  <c r="BW82" i="12"/>
  <c r="BU82" i="12"/>
  <c r="BS82" i="12"/>
  <c r="BQ82" i="12"/>
  <c r="BO82" i="12"/>
  <c r="BM82" i="12"/>
  <c r="BK82" i="12"/>
  <c r="BI82" i="12"/>
  <c r="BF82" i="12"/>
  <c r="BG82" i="12" s="1"/>
  <c r="BE82" i="12"/>
  <c r="BC82" i="12"/>
  <c r="BA82" i="12"/>
  <c r="AY82" i="12"/>
  <c r="AW82" i="12"/>
  <c r="AU82" i="12"/>
  <c r="AS82" i="12"/>
  <c r="AQ82" i="12"/>
  <c r="AO82" i="12"/>
  <c r="AM82" i="12"/>
  <c r="AK82" i="12"/>
  <c r="AI82" i="12"/>
  <c r="AF82" i="12"/>
  <c r="AG82" i="12" s="1"/>
  <c r="AE82" i="12"/>
  <c r="AC82" i="12"/>
  <c r="AA82" i="12"/>
  <c r="Y82" i="12"/>
  <c r="W82" i="12"/>
  <c r="U82" i="12"/>
  <c r="S82" i="12"/>
  <c r="Q82" i="12"/>
  <c r="O82" i="12"/>
  <c r="M82" i="12"/>
  <c r="K82" i="12"/>
  <c r="I82" i="12"/>
  <c r="DF81" i="12"/>
  <c r="DE81" i="12"/>
  <c r="DC81" i="12"/>
  <c r="DA81" i="12"/>
  <c r="CY81" i="12"/>
  <c r="CW81" i="12"/>
  <c r="CU81" i="12"/>
  <c r="CS81" i="12"/>
  <c r="CQ81" i="12"/>
  <c r="CO81" i="12"/>
  <c r="CM81" i="12"/>
  <c r="CK81" i="12"/>
  <c r="CI81" i="12"/>
  <c r="CF81" i="12"/>
  <c r="CG81" i="12" s="1"/>
  <c r="CE81" i="12"/>
  <c r="CC81" i="12"/>
  <c r="CA81" i="12"/>
  <c r="BY81" i="12"/>
  <c r="BW81" i="12"/>
  <c r="BU81" i="12"/>
  <c r="BS81" i="12"/>
  <c r="BQ81" i="12"/>
  <c r="BO81" i="12"/>
  <c r="BM81" i="12"/>
  <c r="BK81" i="12"/>
  <c r="BI81" i="12"/>
  <c r="BF81" i="12"/>
  <c r="BG81" i="12" s="1"/>
  <c r="BE81" i="12"/>
  <c r="BC81" i="12"/>
  <c r="BA81" i="12"/>
  <c r="AY81" i="12"/>
  <c r="AW81" i="12"/>
  <c r="AU81" i="12"/>
  <c r="AS81" i="12"/>
  <c r="AQ81" i="12"/>
  <c r="AO81" i="12"/>
  <c r="AM81" i="12"/>
  <c r="AK81" i="12"/>
  <c r="AI81" i="12"/>
  <c r="AF81" i="12"/>
  <c r="AG81" i="12" s="1"/>
  <c r="AE81" i="12"/>
  <c r="AC81" i="12"/>
  <c r="AA81" i="12"/>
  <c r="Y81" i="12"/>
  <c r="W81" i="12"/>
  <c r="U81" i="12"/>
  <c r="S81" i="12"/>
  <c r="Q81" i="12"/>
  <c r="O81" i="12"/>
  <c r="M81" i="12"/>
  <c r="K81" i="12"/>
  <c r="I81" i="12"/>
  <c r="DF80" i="12"/>
  <c r="DG80" i="12" s="1"/>
  <c r="DE80" i="12"/>
  <c r="DC80" i="12"/>
  <c r="DA80" i="12"/>
  <c r="CY80" i="12"/>
  <c r="CW80" i="12"/>
  <c r="CU80" i="12"/>
  <c r="CS80" i="12"/>
  <c r="CQ80" i="12"/>
  <c r="CO80" i="12"/>
  <c r="CM80" i="12"/>
  <c r="CK80" i="12"/>
  <c r="CI80" i="12"/>
  <c r="CF80" i="12"/>
  <c r="CG80" i="12" s="1"/>
  <c r="CE80" i="12"/>
  <c r="CC80" i="12"/>
  <c r="CA80" i="12"/>
  <c r="BY80" i="12"/>
  <c r="BW80" i="12"/>
  <c r="BU80" i="12"/>
  <c r="BS80" i="12"/>
  <c r="BQ80" i="12"/>
  <c r="BO80" i="12"/>
  <c r="BM80" i="12"/>
  <c r="BK80" i="12"/>
  <c r="BI80" i="12"/>
  <c r="BF80" i="12"/>
  <c r="BG80" i="12" s="1"/>
  <c r="BE80" i="12"/>
  <c r="BC80" i="12"/>
  <c r="BA80" i="12"/>
  <c r="AY80" i="12"/>
  <c r="AW80" i="12"/>
  <c r="AU80" i="12"/>
  <c r="AS80" i="12"/>
  <c r="AQ80" i="12"/>
  <c r="AO80" i="12"/>
  <c r="AM80" i="12"/>
  <c r="AK80" i="12"/>
  <c r="AI80" i="12"/>
  <c r="AF80" i="12"/>
  <c r="AG80" i="12" s="1"/>
  <c r="AE80" i="12"/>
  <c r="AC80" i="12"/>
  <c r="AA80" i="12"/>
  <c r="Y80" i="12"/>
  <c r="W80" i="12"/>
  <c r="U80" i="12"/>
  <c r="S80" i="12"/>
  <c r="Q80" i="12"/>
  <c r="O80" i="12"/>
  <c r="M80" i="12"/>
  <c r="K80" i="12"/>
  <c r="I80" i="12"/>
  <c r="DF79" i="12"/>
  <c r="DG79" i="12" s="1"/>
  <c r="DE79" i="12"/>
  <c r="DC79" i="12"/>
  <c r="DA79" i="12"/>
  <c r="CY79" i="12"/>
  <c r="CW79" i="12"/>
  <c r="CU79" i="12"/>
  <c r="CS79" i="12"/>
  <c r="CQ79" i="12"/>
  <c r="CO79" i="12"/>
  <c r="CM79" i="12"/>
  <c r="CK79" i="12"/>
  <c r="CI79" i="12"/>
  <c r="CF79" i="12"/>
  <c r="CG79" i="12" s="1"/>
  <c r="CE79" i="12"/>
  <c r="CC79" i="12"/>
  <c r="CA79" i="12"/>
  <c r="BY79" i="12"/>
  <c r="BW79" i="12"/>
  <c r="BU79" i="12"/>
  <c r="BS79" i="12"/>
  <c r="BQ79" i="12"/>
  <c r="BO79" i="12"/>
  <c r="BM79" i="12"/>
  <c r="BK79" i="12"/>
  <c r="BI79" i="12"/>
  <c r="BF79" i="12"/>
  <c r="BG79" i="12" s="1"/>
  <c r="BE79" i="12"/>
  <c r="BC79" i="12"/>
  <c r="BA79" i="12"/>
  <c r="AY79" i="12"/>
  <c r="AW79" i="12"/>
  <c r="AU79" i="12"/>
  <c r="AS79" i="12"/>
  <c r="AQ79" i="12"/>
  <c r="AO79" i="12"/>
  <c r="AM79" i="12"/>
  <c r="AK79" i="12"/>
  <c r="AI79" i="12"/>
  <c r="AF79" i="12"/>
  <c r="AG79" i="12" s="1"/>
  <c r="AE79" i="12"/>
  <c r="AC79" i="12"/>
  <c r="AA79" i="12"/>
  <c r="Y79" i="12"/>
  <c r="W79" i="12"/>
  <c r="U79" i="12"/>
  <c r="S79" i="12"/>
  <c r="Q79" i="12"/>
  <c r="O79" i="12"/>
  <c r="M79" i="12"/>
  <c r="K79" i="12"/>
  <c r="I79" i="12"/>
  <c r="DF78" i="12"/>
  <c r="DG78" i="12" s="1"/>
  <c r="DE78" i="12"/>
  <c r="DC78" i="12"/>
  <c r="DA78" i="12"/>
  <c r="CY78" i="12"/>
  <c r="CW78" i="12"/>
  <c r="CU78" i="12"/>
  <c r="CS78" i="12"/>
  <c r="CQ78" i="12"/>
  <c r="CO78" i="12"/>
  <c r="CM78" i="12"/>
  <c r="CK78" i="12"/>
  <c r="CI78" i="12"/>
  <c r="CF78" i="12"/>
  <c r="CG78" i="12" s="1"/>
  <c r="CE78" i="12"/>
  <c r="CC78" i="12"/>
  <c r="CA78" i="12"/>
  <c r="BY78" i="12"/>
  <c r="BW78" i="12"/>
  <c r="BU78" i="12"/>
  <c r="BS78" i="12"/>
  <c r="BQ78" i="12"/>
  <c r="BO78" i="12"/>
  <c r="BM78" i="12"/>
  <c r="BK78" i="12"/>
  <c r="BI78" i="12"/>
  <c r="BF78" i="12"/>
  <c r="BG78" i="12" s="1"/>
  <c r="BE78" i="12"/>
  <c r="BC78" i="12"/>
  <c r="BA78" i="12"/>
  <c r="AY78" i="12"/>
  <c r="AW78" i="12"/>
  <c r="AU78" i="12"/>
  <c r="AS78" i="12"/>
  <c r="AQ78" i="12"/>
  <c r="AO78" i="12"/>
  <c r="AM78" i="12"/>
  <c r="AK78" i="12"/>
  <c r="AI78" i="12"/>
  <c r="AF78" i="12"/>
  <c r="AG78" i="12" s="1"/>
  <c r="AE78" i="12"/>
  <c r="AC78" i="12"/>
  <c r="AA78" i="12"/>
  <c r="Y78" i="12"/>
  <c r="W78" i="12"/>
  <c r="U78" i="12"/>
  <c r="S78" i="12"/>
  <c r="Q78" i="12"/>
  <c r="O78" i="12"/>
  <c r="M78" i="12"/>
  <c r="K78" i="12"/>
  <c r="I78" i="12"/>
  <c r="DF77" i="12"/>
  <c r="DG77" i="12" s="1"/>
  <c r="DE77" i="12"/>
  <c r="DC77" i="12"/>
  <c r="DA77" i="12"/>
  <c r="CY77" i="12"/>
  <c r="CW77" i="12"/>
  <c r="CU77" i="12"/>
  <c r="CS77" i="12"/>
  <c r="CQ77" i="12"/>
  <c r="CO77" i="12"/>
  <c r="CM77" i="12"/>
  <c r="CK77" i="12"/>
  <c r="CI77" i="12"/>
  <c r="CF77" i="12"/>
  <c r="CG77" i="12" s="1"/>
  <c r="CE77" i="12"/>
  <c r="CC77" i="12"/>
  <c r="CA77" i="12"/>
  <c r="BY77" i="12"/>
  <c r="BW77" i="12"/>
  <c r="BU77" i="12"/>
  <c r="BS77" i="12"/>
  <c r="BQ77" i="12"/>
  <c r="BO77" i="12"/>
  <c r="BM77" i="12"/>
  <c r="BK77" i="12"/>
  <c r="BI77" i="12"/>
  <c r="BF77" i="12"/>
  <c r="BG77" i="12" s="1"/>
  <c r="BE77" i="12"/>
  <c r="BC77" i="12"/>
  <c r="BA77" i="12"/>
  <c r="AY77" i="12"/>
  <c r="AW77" i="12"/>
  <c r="AU77" i="12"/>
  <c r="AS77" i="12"/>
  <c r="AQ77" i="12"/>
  <c r="AO77" i="12"/>
  <c r="AM77" i="12"/>
  <c r="AK77" i="12"/>
  <c r="AI77" i="12"/>
  <c r="AF77" i="12"/>
  <c r="AG77" i="12" s="1"/>
  <c r="AE77" i="12"/>
  <c r="AC77" i="12"/>
  <c r="AA77" i="12"/>
  <c r="Y77" i="12"/>
  <c r="W77" i="12"/>
  <c r="U77" i="12"/>
  <c r="S77" i="12"/>
  <c r="Q77" i="12"/>
  <c r="O77" i="12"/>
  <c r="M77" i="12"/>
  <c r="K77" i="12"/>
  <c r="I77" i="12"/>
  <c r="DF76" i="12"/>
  <c r="DG76" i="12" s="1"/>
  <c r="DE76" i="12"/>
  <c r="DC76" i="12"/>
  <c r="DA76" i="12"/>
  <c r="CY76" i="12"/>
  <c r="CW76" i="12"/>
  <c r="CU76" i="12"/>
  <c r="CS76" i="12"/>
  <c r="CQ76" i="12"/>
  <c r="CO76" i="12"/>
  <c r="CM76" i="12"/>
  <c r="CK76" i="12"/>
  <c r="CI76" i="12"/>
  <c r="CF76" i="12"/>
  <c r="CG76" i="12" s="1"/>
  <c r="CE76" i="12"/>
  <c r="CC76" i="12"/>
  <c r="CA76" i="12"/>
  <c r="BY76" i="12"/>
  <c r="BW76" i="12"/>
  <c r="BU76" i="12"/>
  <c r="BS76" i="12"/>
  <c r="BQ76" i="12"/>
  <c r="BO76" i="12"/>
  <c r="BM76" i="12"/>
  <c r="BK76" i="12"/>
  <c r="BI76" i="12"/>
  <c r="BF76" i="12"/>
  <c r="BG76" i="12" s="1"/>
  <c r="BE76" i="12"/>
  <c r="BC76" i="12"/>
  <c r="BA76" i="12"/>
  <c r="AY76" i="12"/>
  <c r="AW76" i="12"/>
  <c r="AU76" i="12"/>
  <c r="AS76" i="12"/>
  <c r="AQ76" i="12"/>
  <c r="AO76" i="12"/>
  <c r="AM76" i="12"/>
  <c r="AK76" i="12"/>
  <c r="AI76" i="12"/>
  <c r="AF76" i="12"/>
  <c r="AG76" i="12" s="1"/>
  <c r="AE76" i="12"/>
  <c r="AC76" i="12"/>
  <c r="AA76" i="12"/>
  <c r="Y76" i="12"/>
  <c r="W76" i="12"/>
  <c r="U76" i="12"/>
  <c r="S76" i="12"/>
  <c r="Q76" i="12"/>
  <c r="O76" i="12"/>
  <c r="M76" i="12"/>
  <c r="K76" i="12"/>
  <c r="I76" i="12"/>
  <c r="DF75" i="12"/>
  <c r="DG75" i="12" s="1"/>
  <c r="DE75" i="12"/>
  <c r="DC75" i="12"/>
  <c r="DA75" i="12"/>
  <c r="CY75" i="12"/>
  <c r="CW75" i="12"/>
  <c r="CU75" i="12"/>
  <c r="CS75" i="12"/>
  <c r="CQ75" i="12"/>
  <c r="CO75" i="12"/>
  <c r="CM75" i="12"/>
  <c r="CK75" i="12"/>
  <c r="CI75" i="12"/>
  <c r="CF75" i="12"/>
  <c r="CG75" i="12" s="1"/>
  <c r="CE75" i="12"/>
  <c r="CC75" i="12"/>
  <c r="CA75" i="12"/>
  <c r="BY75" i="12"/>
  <c r="BW75" i="12"/>
  <c r="BU75" i="12"/>
  <c r="BS75" i="12"/>
  <c r="BQ75" i="12"/>
  <c r="BO75" i="12"/>
  <c r="BM75" i="12"/>
  <c r="BK75" i="12"/>
  <c r="BI75" i="12"/>
  <c r="BF75" i="12"/>
  <c r="BG75" i="12" s="1"/>
  <c r="BE75" i="12"/>
  <c r="BC75" i="12"/>
  <c r="BA75" i="12"/>
  <c r="AY75" i="12"/>
  <c r="AW75" i="12"/>
  <c r="AU75" i="12"/>
  <c r="AS75" i="12"/>
  <c r="AQ75" i="12"/>
  <c r="AO75" i="12"/>
  <c r="AM75" i="12"/>
  <c r="AK75" i="12"/>
  <c r="AI75" i="12"/>
  <c r="AF75" i="12"/>
  <c r="AG75" i="12" s="1"/>
  <c r="AE75" i="12"/>
  <c r="AC75" i="12"/>
  <c r="AA75" i="12"/>
  <c r="Y75" i="12"/>
  <c r="W75" i="12"/>
  <c r="U75" i="12"/>
  <c r="S75" i="12"/>
  <c r="Q75" i="12"/>
  <c r="O75" i="12"/>
  <c r="M75" i="12"/>
  <c r="K75" i="12"/>
  <c r="I75" i="12"/>
  <c r="DF74" i="12"/>
  <c r="DG74" i="12" s="1"/>
  <c r="DE74" i="12"/>
  <c r="DC74" i="12"/>
  <c r="DA74" i="12"/>
  <c r="CY74" i="12"/>
  <c r="CW74" i="12"/>
  <c r="CU74" i="12"/>
  <c r="CS74" i="12"/>
  <c r="CQ74" i="12"/>
  <c r="CO74" i="12"/>
  <c r="CM74" i="12"/>
  <c r="CK74" i="12"/>
  <c r="CI74" i="12"/>
  <c r="CF74" i="12"/>
  <c r="CG74" i="12" s="1"/>
  <c r="CE74" i="12"/>
  <c r="CC74" i="12"/>
  <c r="CA74" i="12"/>
  <c r="BY74" i="12"/>
  <c r="BW74" i="12"/>
  <c r="BU74" i="12"/>
  <c r="BS74" i="12"/>
  <c r="BQ74" i="12"/>
  <c r="BO74" i="12"/>
  <c r="BM74" i="12"/>
  <c r="BK74" i="12"/>
  <c r="BI74" i="12"/>
  <c r="BF74" i="12"/>
  <c r="BG74" i="12" s="1"/>
  <c r="BE74" i="12"/>
  <c r="BC74" i="12"/>
  <c r="BA74" i="12"/>
  <c r="AY74" i="12"/>
  <c r="AW74" i="12"/>
  <c r="AU74" i="12"/>
  <c r="AS74" i="12"/>
  <c r="AQ74" i="12"/>
  <c r="AO74" i="12"/>
  <c r="AM74" i="12"/>
  <c r="AK74" i="12"/>
  <c r="AI74" i="12"/>
  <c r="AF74" i="12"/>
  <c r="AG74" i="12" s="1"/>
  <c r="AE74" i="12"/>
  <c r="AC74" i="12"/>
  <c r="AA74" i="12"/>
  <c r="Y74" i="12"/>
  <c r="W74" i="12"/>
  <c r="U74" i="12"/>
  <c r="S74" i="12"/>
  <c r="Q74" i="12"/>
  <c r="O74" i="12"/>
  <c r="M74" i="12"/>
  <c r="K74" i="12"/>
  <c r="I74" i="12"/>
  <c r="DF73" i="12"/>
  <c r="DG73" i="12" s="1"/>
  <c r="DE73" i="12"/>
  <c r="DC73" i="12"/>
  <c r="DA73" i="12"/>
  <c r="CY73" i="12"/>
  <c r="CW73" i="12"/>
  <c r="CU73" i="12"/>
  <c r="CS73" i="12"/>
  <c r="CQ73" i="12"/>
  <c r="CO73" i="12"/>
  <c r="CM73" i="12"/>
  <c r="CK73" i="12"/>
  <c r="CI73" i="12"/>
  <c r="CF73" i="12"/>
  <c r="CG73" i="12" s="1"/>
  <c r="CE73" i="12"/>
  <c r="CC73" i="12"/>
  <c r="CA73" i="12"/>
  <c r="BY73" i="12"/>
  <c r="BW73" i="12"/>
  <c r="BU73" i="12"/>
  <c r="BS73" i="12"/>
  <c r="BQ73" i="12"/>
  <c r="BO73" i="12"/>
  <c r="BM73" i="12"/>
  <c r="BK73" i="12"/>
  <c r="BI73" i="12"/>
  <c r="BF73" i="12"/>
  <c r="BG73" i="12" s="1"/>
  <c r="BE73" i="12"/>
  <c r="BC73" i="12"/>
  <c r="BA73" i="12"/>
  <c r="AY73" i="12"/>
  <c r="AW73" i="12"/>
  <c r="AU73" i="12"/>
  <c r="AS73" i="12"/>
  <c r="AQ73" i="12"/>
  <c r="AO73" i="12"/>
  <c r="AM73" i="12"/>
  <c r="AK73" i="12"/>
  <c r="AI73" i="12"/>
  <c r="AF73" i="12"/>
  <c r="AG73" i="12" s="1"/>
  <c r="AE73" i="12"/>
  <c r="AC73" i="12"/>
  <c r="AA73" i="12"/>
  <c r="Y73" i="12"/>
  <c r="W73" i="12"/>
  <c r="U73" i="12"/>
  <c r="S73" i="12"/>
  <c r="Q73" i="12"/>
  <c r="O73" i="12"/>
  <c r="M73" i="12"/>
  <c r="K73" i="12"/>
  <c r="I73" i="12"/>
  <c r="DF72" i="12"/>
  <c r="DG72" i="12" s="1"/>
  <c r="DE72" i="12"/>
  <c r="DC72" i="12"/>
  <c r="DA72" i="12"/>
  <c r="CY72" i="12"/>
  <c r="CW72" i="12"/>
  <c r="CU72" i="12"/>
  <c r="CS72" i="12"/>
  <c r="CQ72" i="12"/>
  <c r="CO72" i="12"/>
  <c r="CM72" i="12"/>
  <c r="CK72" i="12"/>
  <c r="CI72" i="12"/>
  <c r="CF72" i="12"/>
  <c r="CG72" i="12" s="1"/>
  <c r="CE72" i="12"/>
  <c r="CC72" i="12"/>
  <c r="CA72" i="12"/>
  <c r="BY72" i="12"/>
  <c r="BW72" i="12"/>
  <c r="BU72" i="12"/>
  <c r="BS72" i="12"/>
  <c r="BQ72" i="12"/>
  <c r="BO72" i="12"/>
  <c r="BM72" i="12"/>
  <c r="BK72" i="12"/>
  <c r="BI72" i="12"/>
  <c r="BF72" i="12"/>
  <c r="BG72" i="12" s="1"/>
  <c r="BE72" i="12"/>
  <c r="BC72" i="12"/>
  <c r="BA72" i="12"/>
  <c r="AY72" i="12"/>
  <c r="AW72" i="12"/>
  <c r="AU72" i="12"/>
  <c r="AS72" i="12"/>
  <c r="AQ72" i="12"/>
  <c r="AO72" i="12"/>
  <c r="AM72" i="12"/>
  <c r="AK72" i="12"/>
  <c r="AI72" i="12"/>
  <c r="AF72" i="12"/>
  <c r="AG72" i="12" s="1"/>
  <c r="AE72" i="12"/>
  <c r="AC72" i="12"/>
  <c r="AA72" i="12"/>
  <c r="Y72" i="12"/>
  <c r="W72" i="12"/>
  <c r="U72" i="12"/>
  <c r="S72" i="12"/>
  <c r="Q72" i="12"/>
  <c r="O72" i="12"/>
  <c r="M72" i="12"/>
  <c r="K72" i="12"/>
  <c r="I72" i="12"/>
  <c r="DF71" i="12"/>
  <c r="DE71" i="12"/>
  <c r="DC71" i="12"/>
  <c r="DA71" i="12"/>
  <c r="CY71" i="12"/>
  <c r="CW71" i="12"/>
  <c r="CU71" i="12"/>
  <c r="CS71" i="12"/>
  <c r="CQ71" i="12"/>
  <c r="CO71" i="12"/>
  <c r="CM71" i="12"/>
  <c r="CK71" i="12"/>
  <c r="CI71" i="12"/>
  <c r="CF71" i="12"/>
  <c r="CG71" i="12" s="1"/>
  <c r="CE71" i="12"/>
  <c r="CC71" i="12"/>
  <c r="CA71" i="12"/>
  <c r="BY71" i="12"/>
  <c r="BW71" i="12"/>
  <c r="BU71" i="12"/>
  <c r="BS71" i="12"/>
  <c r="BQ71" i="12"/>
  <c r="BO71" i="12"/>
  <c r="BM71" i="12"/>
  <c r="BK71" i="12"/>
  <c r="BI71" i="12"/>
  <c r="BF71" i="12"/>
  <c r="BG71" i="12" s="1"/>
  <c r="BE71" i="12"/>
  <c r="BC71" i="12"/>
  <c r="BA71" i="12"/>
  <c r="AY71" i="12"/>
  <c r="AW71" i="12"/>
  <c r="AU71" i="12"/>
  <c r="AS71" i="12"/>
  <c r="AQ71" i="12"/>
  <c r="AO71" i="12"/>
  <c r="AM71" i="12"/>
  <c r="AK71" i="12"/>
  <c r="AI71" i="12"/>
  <c r="AF71" i="12"/>
  <c r="AG71" i="12" s="1"/>
  <c r="AE71" i="12"/>
  <c r="AC71" i="12"/>
  <c r="AA71" i="12"/>
  <c r="Y71" i="12"/>
  <c r="W71" i="12"/>
  <c r="U71" i="12"/>
  <c r="S71" i="12"/>
  <c r="Q71" i="12"/>
  <c r="O71" i="12"/>
  <c r="M71" i="12"/>
  <c r="K71" i="12"/>
  <c r="I71" i="12"/>
  <c r="DF70" i="12"/>
  <c r="DE70" i="12"/>
  <c r="DC70" i="12"/>
  <c r="DA70" i="12"/>
  <c r="CY70" i="12"/>
  <c r="CW70" i="12"/>
  <c r="CU70" i="12"/>
  <c r="CS70" i="12"/>
  <c r="CQ70" i="12"/>
  <c r="CO70" i="12"/>
  <c r="CM70" i="12"/>
  <c r="CK70" i="12"/>
  <c r="CI70" i="12"/>
  <c r="CF70" i="12"/>
  <c r="CG70" i="12" s="1"/>
  <c r="CE70" i="12"/>
  <c r="CC70" i="12"/>
  <c r="CA70" i="12"/>
  <c r="BY70" i="12"/>
  <c r="BW70" i="12"/>
  <c r="BU70" i="12"/>
  <c r="BS70" i="12"/>
  <c r="BQ70" i="12"/>
  <c r="BO70" i="12"/>
  <c r="BM70" i="12"/>
  <c r="BK70" i="12"/>
  <c r="BI70" i="12"/>
  <c r="BF70" i="12"/>
  <c r="BG70" i="12" s="1"/>
  <c r="BE70" i="12"/>
  <c r="BC70" i="12"/>
  <c r="BA70" i="12"/>
  <c r="AY70" i="12"/>
  <c r="AW70" i="12"/>
  <c r="AU70" i="12"/>
  <c r="AS70" i="12"/>
  <c r="AQ70" i="12"/>
  <c r="AO70" i="12"/>
  <c r="AM70" i="12"/>
  <c r="AK70" i="12"/>
  <c r="AI70" i="12"/>
  <c r="AF70" i="12"/>
  <c r="AG70" i="12" s="1"/>
  <c r="AE70" i="12"/>
  <c r="AC70" i="12"/>
  <c r="AA70" i="12"/>
  <c r="Y70" i="12"/>
  <c r="W70" i="12"/>
  <c r="U70" i="12"/>
  <c r="S70" i="12"/>
  <c r="Q70" i="12"/>
  <c r="O70" i="12"/>
  <c r="M70" i="12"/>
  <c r="K70" i="12"/>
  <c r="I70" i="12"/>
  <c r="DF69" i="12"/>
  <c r="DG69" i="12" s="1"/>
  <c r="DE69" i="12"/>
  <c r="DC69" i="12"/>
  <c r="DA69" i="12"/>
  <c r="CY69" i="12"/>
  <c r="CW69" i="12"/>
  <c r="CU69" i="12"/>
  <c r="CS69" i="12"/>
  <c r="CQ69" i="12"/>
  <c r="CO69" i="12"/>
  <c r="CM69" i="12"/>
  <c r="CK69" i="12"/>
  <c r="CI69" i="12"/>
  <c r="CF69" i="12"/>
  <c r="CG69" i="12" s="1"/>
  <c r="CE69" i="12"/>
  <c r="CC69" i="12"/>
  <c r="CA69" i="12"/>
  <c r="BY69" i="12"/>
  <c r="BW69" i="12"/>
  <c r="BU69" i="12"/>
  <c r="BS69" i="12"/>
  <c r="BQ69" i="12"/>
  <c r="BO69" i="12"/>
  <c r="BM69" i="12"/>
  <c r="BK69" i="12"/>
  <c r="BI69" i="12"/>
  <c r="BF69" i="12"/>
  <c r="BG69" i="12" s="1"/>
  <c r="BE69" i="12"/>
  <c r="BC69" i="12"/>
  <c r="BA69" i="12"/>
  <c r="AY69" i="12"/>
  <c r="AW69" i="12"/>
  <c r="AU69" i="12"/>
  <c r="AS69" i="12"/>
  <c r="AQ69" i="12"/>
  <c r="AO69" i="12"/>
  <c r="AM69" i="12"/>
  <c r="AK69" i="12"/>
  <c r="AI69" i="12"/>
  <c r="AF69" i="12"/>
  <c r="AG69" i="12" s="1"/>
  <c r="AE69" i="12"/>
  <c r="AC69" i="12"/>
  <c r="AA69" i="12"/>
  <c r="Y69" i="12"/>
  <c r="W69" i="12"/>
  <c r="U69" i="12"/>
  <c r="S69" i="12"/>
  <c r="Q69" i="12"/>
  <c r="O69" i="12"/>
  <c r="M69" i="12"/>
  <c r="K69" i="12"/>
  <c r="I69" i="12"/>
  <c r="DF68" i="12"/>
  <c r="DG68" i="12" s="1"/>
  <c r="DE68" i="12"/>
  <c r="DC68" i="12"/>
  <c r="DA68" i="12"/>
  <c r="CY68" i="12"/>
  <c r="CW68" i="12"/>
  <c r="CU68" i="12"/>
  <c r="CS68" i="12"/>
  <c r="CQ68" i="12"/>
  <c r="CO68" i="12"/>
  <c r="CM68" i="12"/>
  <c r="CK68" i="12"/>
  <c r="CI68" i="12"/>
  <c r="CF68" i="12"/>
  <c r="CG68" i="12" s="1"/>
  <c r="CE68" i="12"/>
  <c r="CC68" i="12"/>
  <c r="CA68" i="12"/>
  <c r="BY68" i="12"/>
  <c r="BW68" i="12"/>
  <c r="BU68" i="12"/>
  <c r="BS68" i="12"/>
  <c r="BQ68" i="12"/>
  <c r="BO68" i="12"/>
  <c r="BM68" i="12"/>
  <c r="BK68" i="12"/>
  <c r="BI68" i="12"/>
  <c r="BF68" i="12"/>
  <c r="BG68" i="12" s="1"/>
  <c r="BE68" i="12"/>
  <c r="BC68" i="12"/>
  <c r="BA68" i="12"/>
  <c r="AY68" i="12"/>
  <c r="AW68" i="12"/>
  <c r="AU68" i="12"/>
  <c r="AS68" i="12"/>
  <c r="AQ68" i="12"/>
  <c r="AO68" i="12"/>
  <c r="AM68" i="12"/>
  <c r="AK68" i="12"/>
  <c r="AI68" i="12"/>
  <c r="AF68" i="12"/>
  <c r="AG68" i="12" s="1"/>
  <c r="AE68" i="12"/>
  <c r="AC68" i="12"/>
  <c r="AA68" i="12"/>
  <c r="Y68" i="12"/>
  <c r="W68" i="12"/>
  <c r="U68" i="12"/>
  <c r="S68" i="12"/>
  <c r="Q68" i="12"/>
  <c r="O68" i="12"/>
  <c r="M68" i="12"/>
  <c r="K68" i="12"/>
  <c r="I68" i="12"/>
  <c r="DF67" i="12"/>
  <c r="DE67" i="12"/>
  <c r="DC67" i="12"/>
  <c r="DA67" i="12"/>
  <c r="CY67" i="12"/>
  <c r="CW67" i="12"/>
  <c r="CU67" i="12"/>
  <c r="CS67" i="12"/>
  <c r="CQ67" i="12"/>
  <c r="CO67" i="12"/>
  <c r="CM67" i="12"/>
  <c r="CK67" i="12"/>
  <c r="CI67" i="12"/>
  <c r="CF67" i="12"/>
  <c r="CG67" i="12" s="1"/>
  <c r="CE67" i="12"/>
  <c r="CC67" i="12"/>
  <c r="CA67" i="12"/>
  <c r="BY67" i="12"/>
  <c r="BW67" i="12"/>
  <c r="BU67" i="12"/>
  <c r="BS67" i="12"/>
  <c r="BQ67" i="12"/>
  <c r="BO67" i="12"/>
  <c r="BM67" i="12"/>
  <c r="BK67" i="12"/>
  <c r="BI67" i="12"/>
  <c r="BF67" i="12"/>
  <c r="BG67" i="12" s="1"/>
  <c r="BE67" i="12"/>
  <c r="BC67" i="12"/>
  <c r="BA67" i="12"/>
  <c r="AY67" i="12"/>
  <c r="AW67" i="12"/>
  <c r="AU67" i="12"/>
  <c r="AS67" i="12"/>
  <c r="AQ67" i="12"/>
  <c r="AO67" i="12"/>
  <c r="AM67" i="12"/>
  <c r="AK67" i="12"/>
  <c r="AI67" i="12"/>
  <c r="AF67" i="12"/>
  <c r="AG67" i="12" s="1"/>
  <c r="AE67" i="12"/>
  <c r="AC67" i="12"/>
  <c r="AA67" i="12"/>
  <c r="Y67" i="12"/>
  <c r="W67" i="12"/>
  <c r="U67" i="12"/>
  <c r="S67" i="12"/>
  <c r="Q67" i="12"/>
  <c r="O67" i="12"/>
  <c r="M67" i="12"/>
  <c r="K67" i="12"/>
  <c r="I67" i="12"/>
  <c r="DF66" i="12"/>
  <c r="DG66" i="12" s="1"/>
  <c r="DE66" i="12"/>
  <c r="DC66" i="12"/>
  <c r="DA66" i="12"/>
  <c r="CY66" i="12"/>
  <c r="CW66" i="12"/>
  <c r="CU66" i="12"/>
  <c r="CS66" i="12"/>
  <c r="CQ66" i="12"/>
  <c r="CO66" i="12"/>
  <c r="CM66" i="12"/>
  <c r="CK66" i="12"/>
  <c r="CI66" i="12"/>
  <c r="CF66" i="12"/>
  <c r="CG66" i="12" s="1"/>
  <c r="CE66" i="12"/>
  <c r="CC66" i="12"/>
  <c r="CA66" i="12"/>
  <c r="BY66" i="12"/>
  <c r="BW66" i="12"/>
  <c r="BU66" i="12"/>
  <c r="BS66" i="12"/>
  <c r="BQ66" i="12"/>
  <c r="BO66" i="12"/>
  <c r="BM66" i="12"/>
  <c r="BK66" i="12"/>
  <c r="BI66" i="12"/>
  <c r="BF66" i="12"/>
  <c r="BG66" i="12" s="1"/>
  <c r="BE66" i="12"/>
  <c r="BC66" i="12"/>
  <c r="BA66" i="12"/>
  <c r="AY66" i="12"/>
  <c r="AW66" i="12"/>
  <c r="AU66" i="12"/>
  <c r="AS66" i="12"/>
  <c r="AQ66" i="12"/>
  <c r="AO66" i="12"/>
  <c r="AM66" i="12"/>
  <c r="AK66" i="12"/>
  <c r="AI66" i="12"/>
  <c r="AF66" i="12"/>
  <c r="AG66" i="12" s="1"/>
  <c r="AE66" i="12"/>
  <c r="AC66" i="12"/>
  <c r="AA66" i="12"/>
  <c r="Y66" i="12"/>
  <c r="W66" i="12"/>
  <c r="U66" i="12"/>
  <c r="S66" i="12"/>
  <c r="Q66" i="12"/>
  <c r="O66" i="12"/>
  <c r="M66" i="12"/>
  <c r="K66" i="12"/>
  <c r="I66" i="12"/>
  <c r="DF65" i="12"/>
  <c r="DG65" i="12" s="1"/>
  <c r="DE65" i="12"/>
  <c r="DC65" i="12"/>
  <c r="DA65" i="12"/>
  <c r="CY65" i="12"/>
  <c r="CW65" i="12"/>
  <c r="CU65" i="12"/>
  <c r="CS65" i="12"/>
  <c r="CQ65" i="12"/>
  <c r="CO65" i="12"/>
  <c r="CM65" i="12"/>
  <c r="CK65" i="12"/>
  <c r="CI65" i="12"/>
  <c r="CF65" i="12"/>
  <c r="CG65" i="12" s="1"/>
  <c r="CE65" i="12"/>
  <c r="CC65" i="12"/>
  <c r="CA65" i="12"/>
  <c r="BY65" i="12"/>
  <c r="BW65" i="12"/>
  <c r="BU65" i="12"/>
  <c r="BS65" i="12"/>
  <c r="BQ65" i="12"/>
  <c r="BO65" i="12"/>
  <c r="BM65" i="12"/>
  <c r="BK65" i="12"/>
  <c r="BI65" i="12"/>
  <c r="BF65" i="12"/>
  <c r="BG65" i="12" s="1"/>
  <c r="BE65" i="12"/>
  <c r="BC65" i="12"/>
  <c r="BA65" i="12"/>
  <c r="AY65" i="12"/>
  <c r="AW65" i="12"/>
  <c r="AU65" i="12"/>
  <c r="AS65" i="12"/>
  <c r="AQ65" i="12"/>
  <c r="AO65" i="12"/>
  <c r="AM65" i="12"/>
  <c r="AK65" i="12"/>
  <c r="AI65" i="12"/>
  <c r="AF65" i="12"/>
  <c r="AG65" i="12" s="1"/>
  <c r="AE65" i="12"/>
  <c r="AC65" i="12"/>
  <c r="AA65" i="12"/>
  <c r="Y65" i="12"/>
  <c r="W65" i="12"/>
  <c r="U65" i="12"/>
  <c r="S65" i="12"/>
  <c r="Q65" i="12"/>
  <c r="O65" i="12"/>
  <c r="M65" i="12"/>
  <c r="K65" i="12"/>
  <c r="I65" i="12"/>
  <c r="DF64" i="12"/>
  <c r="DG64" i="12" s="1"/>
  <c r="DE64" i="12"/>
  <c r="DC64" i="12"/>
  <c r="DA64" i="12"/>
  <c r="CY64" i="12"/>
  <c r="CW64" i="12"/>
  <c r="CU64" i="12"/>
  <c r="CS64" i="12"/>
  <c r="CQ64" i="12"/>
  <c r="CO64" i="12"/>
  <c r="CM64" i="12"/>
  <c r="CK64" i="12"/>
  <c r="CI64" i="12"/>
  <c r="CF64" i="12"/>
  <c r="CG64" i="12" s="1"/>
  <c r="CE64" i="12"/>
  <c r="CC64" i="12"/>
  <c r="CA64" i="12"/>
  <c r="BY64" i="12"/>
  <c r="BW64" i="12"/>
  <c r="BU64" i="12"/>
  <c r="BS64" i="12"/>
  <c r="BQ64" i="12"/>
  <c r="BO64" i="12"/>
  <c r="BM64" i="12"/>
  <c r="BK64" i="12"/>
  <c r="BI64" i="12"/>
  <c r="BF64" i="12"/>
  <c r="BG64" i="12" s="1"/>
  <c r="BE64" i="12"/>
  <c r="BC64" i="12"/>
  <c r="BA64" i="12"/>
  <c r="AY64" i="12"/>
  <c r="AW64" i="12"/>
  <c r="AU64" i="12"/>
  <c r="AS64" i="12"/>
  <c r="AQ64" i="12"/>
  <c r="AO64" i="12"/>
  <c r="AM64" i="12"/>
  <c r="AK64" i="12"/>
  <c r="AI64" i="12"/>
  <c r="AF64" i="12"/>
  <c r="AG64" i="12" s="1"/>
  <c r="AE64" i="12"/>
  <c r="AC64" i="12"/>
  <c r="AA64" i="12"/>
  <c r="Y64" i="12"/>
  <c r="W64" i="12"/>
  <c r="U64" i="12"/>
  <c r="S64" i="12"/>
  <c r="Q64" i="12"/>
  <c r="O64" i="12"/>
  <c r="M64" i="12"/>
  <c r="K64" i="12"/>
  <c r="I64" i="12"/>
  <c r="DF63" i="12"/>
  <c r="DG63" i="12" s="1"/>
  <c r="DE63" i="12"/>
  <c r="DC63" i="12"/>
  <c r="DA63" i="12"/>
  <c r="CY63" i="12"/>
  <c r="CW63" i="12"/>
  <c r="CU63" i="12"/>
  <c r="CS63" i="12"/>
  <c r="CQ63" i="12"/>
  <c r="CO63" i="12"/>
  <c r="CM63" i="12"/>
  <c r="CK63" i="12"/>
  <c r="CI63" i="12"/>
  <c r="CF63" i="12"/>
  <c r="CG63" i="12" s="1"/>
  <c r="CE63" i="12"/>
  <c r="CC63" i="12"/>
  <c r="CA63" i="12"/>
  <c r="BY63" i="12"/>
  <c r="BW63" i="12"/>
  <c r="BU63" i="12"/>
  <c r="BS63" i="12"/>
  <c r="BQ63" i="12"/>
  <c r="BO63" i="12"/>
  <c r="BM63" i="12"/>
  <c r="BK63" i="12"/>
  <c r="BI63" i="12"/>
  <c r="BF63" i="12"/>
  <c r="BG63" i="12" s="1"/>
  <c r="BE63" i="12"/>
  <c r="BC63" i="12"/>
  <c r="BA63" i="12"/>
  <c r="AY63" i="12"/>
  <c r="AW63" i="12"/>
  <c r="AU63" i="12"/>
  <c r="AS63" i="12"/>
  <c r="AQ63" i="12"/>
  <c r="AO63" i="12"/>
  <c r="AM63" i="12"/>
  <c r="AK63" i="12"/>
  <c r="AI63" i="12"/>
  <c r="AF63" i="12"/>
  <c r="AG63" i="12" s="1"/>
  <c r="AE63" i="12"/>
  <c r="AC63" i="12"/>
  <c r="AA63" i="12"/>
  <c r="Y63" i="12"/>
  <c r="W63" i="12"/>
  <c r="U63" i="12"/>
  <c r="S63" i="12"/>
  <c r="Q63" i="12"/>
  <c r="O63" i="12"/>
  <c r="M63" i="12"/>
  <c r="K63" i="12"/>
  <c r="I63" i="12"/>
  <c r="DF62" i="12"/>
  <c r="DE62" i="12"/>
  <c r="DC62" i="12"/>
  <c r="DA62" i="12"/>
  <c r="CY62" i="12"/>
  <c r="CW62" i="12"/>
  <c r="CU62" i="12"/>
  <c r="CS62" i="12"/>
  <c r="CQ62" i="12"/>
  <c r="CO62" i="12"/>
  <c r="CM62" i="12"/>
  <c r="CK62" i="12"/>
  <c r="CI62" i="12"/>
  <c r="CF62" i="12"/>
  <c r="CG62" i="12" s="1"/>
  <c r="CE62" i="12"/>
  <c r="CC62" i="12"/>
  <c r="CA62" i="12"/>
  <c r="BY62" i="12"/>
  <c r="BW62" i="12"/>
  <c r="BU62" i="12"/>
  <c r="BS62" i="12"/>
  <c r="BQ62" i="12"/>
  <c r="BO62" i="12"/>
  <c r="BM62" i="12"/>
  <c r="BK62" i="12"/>
  <c r="BI62" i="12"/>
  <c r="BF62" i="12"/>
  <c r="BG62" i="12" s="1"/>
  <c r="BE62" i="12"/>
  <c r="BC62" i="12"/>
  <c r="BA62" i="12"/>
  <c r="AY62" i="12"/>
  <c r="AW62" i="12"/>
  <c r="AU62" i="12"/>
  <c r="AS62" i="12"/>
  <c r="AQ62" i="12"/>
  <c r="AO62" i="12"/>
  <c r="AM62" i="12"/>
  <c r="AK62" i="12"/>
  <c r="AI62" i="12"/>
  <c r="AF62" i="12"/>
  <c r="AG62" i="12" s="1"/>
  <c r="AE62" i="12"/>
  <c r="AC62" i="12"/>
  <c r="AA62" i="12"/>
  <c r="Y62" i="12"/>
  <c r="W62" i="12"/>
  <c r="U62" i="12"/>
  <c r="S62" i="12"/>
  <c r="Q62" i="12"/>
  <c r="O62" i="12"/>
  <c r="M62" i="12"/>
  <c r="K62" i="12"/>
  <c r="I62" i="12"/>
  <c r="DF61" i="12"/>
  <c r="DG61" i="12" s="1"/>
  <c r="DE61" i="12"/>
  <c r="DC61" i="12"/>
  <c r="DA61" i="12"/>
  <c r="CY61" i="12"/>
  <c r="CW61" i="12"/>
  <c r="CU61" i="12"/>
  <c r="CS61" i="12"/>
  <c r="CQ61" i="12"/>
  <c r="CO61" i="12"/>
  <c r="CM61" i="12"/>
  <c r="CK61" i="12"/>
  <c r="CI61" i="12"/>
  <c r="CF61" i="12"/>
  <c r="CG61" i="12" s="1"/>
  <c r="CE61" i="12"/>
  <c r="CC61" i="12"/>
  <c r="CA61" i="12"/>
  <c r="BY61" i="12"/>
  <c r="BW61" i="12"/>
  <c r="BU61" i="12"/>
  <c r="BS61" i="12"/>
  <c r="BQ61" i="12"/>
  <c r="BO61" i="12"/>
  <c r="BM61" i="12"/>
  <c r="BK61" i="12"/>
  <c r="BI61" i="12"/>
  <c r="BF61" i="12"/>
  <c r="BG61" i="12" s="1"/>
  <c r="BE61" i="12"/>
  <c r="BC61" i="12"/>
  <c r="BA61" i="12"/>
  <c r="AY61" i="12"/>
  <c r="AW61" i="12"/>
  <c r="AU61" i="12"/>
  <c r="AS61" i="12"/>
  <c r="AQ61" i="12"/>
  <c r="AO61" i="12"/>
  <c r="AM61" i="12"/>
  <c r="AK61" i="12"/>
  <c r="AI61" i="12"/>
  <c r="AF61" i="12"/>
  <c r="AG61" i="12" s="1"/>
  <c r="AE61" i="12"/>
  <c r="AC61" i="12"/>
  <c r="AA61" i="12"/>
  <c r="Y61" i="12"/>
  <c r="W61" i="12"/>
  <c r="U61" i="12"/>
  <c r="S61" i="12"/>
  <c r="Q61" i="12"/>
  <c r="O61" i="12"/>
  <c r="M61" i="12"/>
  <c r="K61" i="12"/>
  <c r="I61" i="12"/>
  <c r="DF60" i="12"/>
  <c r="DE60" i="12"/>
  <c r="DC60" i="12"/>
  <c r="DA60" i="12"/>
  <c r="CY60" i="12"/>
  <c r="CW60" i="12"/>
  <c r="CU60" i="12"/>
  <c r="CS60" i="12"/>
  <c r="CQ60" i="12"/>
  <c r="CO60" i="12"/>
  <c r="CM60" i="12"/>
  <c r="CK60" i="12"/>
  <c r="CI60" i="12"/>
  <c r="CF60" i="12"/>
  <c r="CG60" i="12" s="1"/>
  <c r="CE60" i="12"/>
  <c r="CC60" i="12"/>
  <c r="CA60" i="12"/>
  <c r="BY60" i="12"/>
  <c r="BW60" i="12"/>
  <c r="BU60" i="12"/>
  <c r="BS60" i="12"/>
  <c r="BQ60" i="12"/>
  <c r="BO60" i="12"/>
  <c r="BM60" i="12"/>
  <c r="BK60" i="12"/>
  <c r="BI60" i="12"/>
  <c r="BF60" i="12"/>
  <c r="BG60" i="12" s="1"/>
  <c r="BE60" i="12"/>
  <c r="BC60" i="12"/>
  <c r="BA60" i="12"/>
  <c r="AY60" i="12"/>
  <c r="AW60" i="12"/>
  <c r="AU60" i="12"/>
  <c r="AS60" i="12"/>
  <c r="AQ60" i="12"/>
  <c r="AO60" i="12"/>
  <c r="AM60" i="12"/>
  <c r="AK60" i="12"/>
  <c r="AI60" i="12"/>
  <c r="AF60" i="12"/>
  <c r="AG60" i="12" s="1"/>
  <c r="AE60" i="12"/>
  <c r="AC60" i="12"/>
  <c r="AA60" i="12"/>
  <c r="Y60" i="12"/>
  <c r="W60" i="12"/>
  <c r="U60" i="12"/>
  <c r="S60" i="12"/>
  <c r="Q60" i="12"/>
  <c r="O60" i="12"/>
  <c r="M60" i="12"/>
  <c r="K60" i="12"/>
  <c r="I60" i="12"/>
  <c r="DF59" i="12"/>
  <c r="DG59" i="12" s="1"/>
  <c r="DE59" i="12"/>
  <c r="DC59" i="12"/>
  <c r="DA59" i="12"/>
  <c r="CY59" i="12"/>
  <c r="CW59" i="12"/>
  <c r="CU59" i="12"/>
  <c r="CS59" i="12"/>
  <c r="CQ59" i="12"/>
  <c r="CO59" i="12"/>
  <c r="CM59" i="12"/>
  <c r="CK59" i="12"/>
  <c r="CI59" i="12"/>
  <c r="CF59" i="12"/>
  <c r="CG59" i="12" s="1"/>
  <c r="CE59" i="12"/>
  <c r="CC59" i="12"/>
  <c r="CA59" i="12"/>
  <c r="BY59" i="12"/>
  <c r="BW59" i="12"/>
  <c r="BU59" i="12"/>
  <c r="BS59" i="12"/>
  <c r="BQ59" i="12"/>
  <c r="BO59" i="12"/>
  <c r="BM59" i="12"/>
  <c r="BK59" i="12"/>
  <c r="BI59" i="12"/>
  <c r="BF59" i="12"/>
  <c r="BG59" i="12" s="1"/>
  <c r="BE59" i="12"/>
  <c r="BC59" i="12"/>
  <c r="BA59" i="12"/>
  <c r="AY59" i="12"/>
  <c r="AW59" i="12"/>
  <c r="AU59" i="12"/>
  <c r="AS59" i="12"/>
  <c r="AQ59" i="12"/>
  <c r="AO59" i="12"/>
  <c r="AM59" i="12"/>
  <c r="AK59" i="12"/>
  <c r="AI59" i="12"/>
  <c r="AF59" i="12"/>
  <c r="AG59" i="12" s="1"/>
  <c r="AE59" i="12"/>
  <c r="AC59" i="12"/>
  <c r="AA59" i="12"/>
  <c r="Y59" i="12"/>
  <c r="W59" i="12"/>
  <c r="U59" i="12"/>
  <c r="S59" i="12"/>
  <c r="Q59" i="12"/>
  <c r="O59" i="12"/>
  <c r="M59" i="12"/>
  <c r="K59" i="12"/>
  <c r="I59" i="12"/>
  <c r="DF58" i="12"/>
  <c r="DG58" i="12" s="1"/>
  <c r="DE58" i="12"/>
  <c r="DC58" i="12"/>
  <c r="DA58" i="12"/>
  <c r="CY58" i="12"/>
  <c r="CW58" i="12"/>
  <c r="CU58" i="12"/>
  <c r="CS58" i="12"/>
  <c r="CQ58" i="12"/>
  <c r="CO58" i="12"/>
  <c r="CM58" i="12"/>
  <c r="CK58" i="12"/>
  <c r="CI58" i="12"/>
  <c r="CF58" i="12"/>
  <c r="CG58" i="12" s="1"/>
  <c r="CE58" i="12"/>
  <c r="CC58" i="12"/>
  <c r="CA58" i="12"/>
  <c r="BY58" i="12"/>
  <c r="BW58" i="12"/>
  <c r="BU58" i="12"/>
  <c r="BS58" i="12"/>
  <c r="BQ58" i="12"/>
  <c r="BO58" i="12"/>
  <c r="BM58" i="12"/>
  <c r="BK58" i="12"/>
  <c r="BI58" i="12"/>
  <c r="BF58" i="12"/>
  <c r="BG58" i="12" s="1"/>
  <c r="BE58" i="12"/>
  <c r="BC58" i="12"/>
  <c r="BA58" i="12"/>
  <c r="AY58" i="12"/>
  <c r="AW58" i="12"/>
  <c r="AU58" i="12"/>
  <c r="AS58" i="12"/>
  <c r="AQ58" i="12"/>
  <c r="AO58" i="12"/>
  <c r="AM58" i="12"/>
  <c r="AK58" i="12"/>
  <c r="AI58" i="12"/>
  <c r="AF58" i="12"/>
  <c r="AG58" i="12" s="1"/>
  <c r="AE58" i="12"/>
  <c r="AC58" i="12"/>
  <c r="AA58" i="12"/>
  <c r="Y58" i="12"/>
  <c r="W58" i="12"/>
  <c r="U58" i="12"/>
  <c r="S58" i="12"/>
  <c r="Q58" i="12"/>
  <c r="O58" i="12"/>
  <c r="M58" i="12"/>
  <c r="K58" i="12"/>
  <c r="I58" i="12"/>
  <c r="DF57" i="12"/>
  <c r="DG57" i="12" s="1"/>
  <c r="DE57" i="12"/>
  <c r="DC57" i="12"/>
  <c r="DA57" i="12"/>
  <c r="CY57" i="12"/>
  <c r="CW57" i="12"/>
  <c r="CU57" i="12"/>
  <c r="CS57" i="12"/>
  <c r="CQ57" i="12"/>
  <c r="CO57" i="12"/>
  <c r="CM57" i="12"/>
  <c r="CK57" i="12"/>
  <c r="CI57" i="12"/>
  <c r="CF57" i="12"/>
  <c r="CG57" i="12" s="1"/>
  <c r="CE57" i="12"/>
  <c r="CC57" i="12"/>
  <c r="CA57" i="12"/>
  <c r="BY57" i="12"/>
  <c r="BW57" i="12"/>
  <c r="BU57" i="12"/>
  <c r="BS57" i="12"/>
  <c r="BQ57" i="12"/>
  <c r="BO57" i="12"/>
  <c r="BM57" i="12"/>
  <c r="BK57" i="12"/>
  <c r="BI57" i="12"/>
  <c r="BF57" i="12"/>
  <c r="BG57" i="12" s="1"/>
  <c r="BE57" i="12"/>
  <c r="BC57" i="12"/>
  <c r="BA57" i="12"/>
  <c r="AY57" i="12"/>
  <c r="AW57" i="12"/>
  <c r="AU57" i="12"/>
  <c r="AS57" i="12"/>
  <c r="AQ57" i="12"/>
  <c r="AO57" i="12"/>
  <c r="AM57" i="12"/>
  <c r="AK57" i="12"/>
  <c r="AI57" i="12"/>
  <c r="AF57" i="12"/>
  <c r="AG57" i="12" s="1"/>
  <c r="AE57" i="12"/>
  <c r="AC57" i="12"/>
  <c r="AA57" i="12"/>
  <c r="Y57" i="12"/>
  <c r="W57" i="12"/>
  <c r="U57" i="12"/>
  <c r="S57" i="12"/>
  <c r="Q57" i="12"/>
  <c r="O57" i="12"/>
  <c r="M57" i="12"/>
  <c r="K57" i="12"/>
  <c r="I57" i="12"/>
  <c r="DF56" i="12"/>
  <c r="DG56" i="12" s="1"/>
  <c r="DE56" i="12"/>
  <c r="DC56" i="12"/>
  <c r="DA56" i="12"/>
  <c r="CY56" i="12"/>
  <c r="CW56" i="12"/>
  <c r="CU56" i="12"/>
  <c r="CS56" i="12"/>
  <c r="CQ56" i="12"/>
  <c r="CO56" i="12"/>
  <c r="CM56" i="12"/>
  <c r="CK56" i="12"/>
  <c r="CI56" i="12"/>
  <c r="CF56" i="12"/>
  <c r="CG56" i="12" s="1"/>
  <c r="CE56" i="12"/>
  <c r="CC56" i="12"/>
  <c r="CA56" i="12"/>
  <c r="BY56" i="12"/>
  <c r="BW56" i="12"/>
  <c r="BU56" i="12"/>
  <c r="BS56" i="12"/>
  <c r="BQ56" i="12"/>
  <c r="BO56" i="12"/>
  <c r="BM56" i="12"/>
  <c r="BK56" i="12"/>
  <c r="BI56" i="12"/>
  <c r="BF56" i="12"/>
  <c r="BG56" i="12" s="1"/>
  <c r="BE56" i="12"/>
  <c r="BC56" i="12"/>
  <c r="BA56" i="12"/>
  <c r="AY56" i="12"/>
  <c r="AW56" i="12"/>
  <c r="AU56" i="12"/>
  <c r="AS56" i="12"/>
  <c r="AQ56" i="12"/>
  <c r="AO56" i="12"/>
  <c r="AM56" i="12"/>
  <c r="AK56" i="12"/>
  <c r="AI56" i="12"/>
  <c r="AF56" i="12"/>
  <c r="AG56" i="12" s="1"/>
  <c r="AE56" i="12"/>
  <c r="AC56" i="12"/>
  <c r="AA56" i="12"/>
  <c r="Y56" i="12"/>
  <c r="W56" i="12"/>
  <c r="U56" i="12"/>
  <c r="S56" i="12"/>
  <c r="Q56" i="12"/>
  <c r="O56" i="12"/>
  <c r="M56" i="12"/>
  <c r="K56" i="12"/>
  <c r="I56" i="12"/>
  <c r="DF55" i="12"/>
  <c r="DG55" i="12" s="1"/>
  <c r="DE55" i="12"/>
  <c r="DC55" i="12"/>
  <c r="DA55" i="12"/>
  <c r="CY55" i="12"/>
  <c r="CW55" i="12"/>
  <c r="CU55" i="12"/>
  <c r="CS55" i="12"/>
  <c r="CQ55" i="12"/>
  <c r="CO55" i="12"/>
  <c r="CM55" i="12"/>
  <c r="CK55" i="12"/>
  <c r="CI55" i="12"/>
  <c r="CF55" i="12"/>
  <c r="CG55" i="12" s="1"/>
  <c r="CE55" i="12"/>
  <c r="CC55" i="12"/>
  <c r="CA55" i="12"/>
  <c r="BY55" i="12"/>
  <c r="BW55" i="12"/>
  <c r="BU55" i="12"/>
  <c r="BS55" i="12"/>
  <c r="BQ55" i="12"/>
  <c r="BO55" i="12"/>
  <c r="BM55" i="12"/>
  <c r="BK55" i="12"/>
  <c r="BI55" i="12"/>
  <c r="BF55" i="12"/>
  <c r="BG55" i="12" s="1"/>
  <c r="BE55" i="12"/>
  <c r="BC55" i="12"/>
  <c r="BA55" i="12"/>
  <c r="AY55" i="12"/>
  <c r="AW55" i="12"/>
  <c r="AU55" i="12"/>
  <c r="AS55" i="12"/>
  <c r="AQ55" i="12"/>
  <c r="AO55" i="12"/>
  <c r="AM55" i="12"/>
  <c r="AK55" i="12"/>
  <c r="AI55" i="12"/>
  <c r="AF55" i="12"/>
  <c r="AG55" i="12" s="1"/>
  <c r="AE55" i="12"/>
  <c r="AC55" i="12"/>
  <c r="AA55" i="12"/>
  <c r="Y55" i="12"/>
  <c r="W55" i="12"/>
  <c r="U55" i="12"/>
  <c r="S55" i="12"/>
  <c r="Q55" i="12"/>
  <c r="O55" i="12"/>
  <c r="M55" i="12"/>
  <c r="K55" i="12"/>
  <c r="I55" i="12"/>
  <c r="DF54" i="12"/>
  <c r="DG54" i="12" s="1"/>
  <c r="DE54" i="12"/>
  <c r="DC54" i="12"/>
  <c r="DA54" i="12"/>
  <c r="CY54" i="12"/>
  <c r="CW54" i="12"/>
  <c r="CU54" i="12"/>
  <c r="CS54" i="12"/>
  <c r="CQ54" i="12"/>
  <c r="CO54" i="12"/>
  <c r="CM54" i="12"/>
  <c r="CK54" i="12"/>
  <c r="CI54" i="12"/>
  <c r="CF54" i="12"/>
  <c r="CG54" i="12" s="1"/>
  <c r="CE54" i="12"/>
  <c r="CC54" i="12"/>
  <c r="CA54" i="12"/>
  <c r="BY54" i="12"/>
  <c r="BW54" i="12"/>
  <c r="BU54" i="12"/>
  <c r="BS54" i="12"/>
  <c r="BQ54" i="12"/>
  <c r="BO54" i="12"/>
  <c r="BM54" i="12"/>
  <c r="BK54" i="12"/>
  <c r="BI54" i="12"/>
  <c r="BF54" i="12"/>
  <c r="BG54" i="12" s="1"/>
  <c r="BE54" i="12"/>
  <c r="BC54" i="12"/>
  <c r="BA54" i="12"/>
  <c r="AY54" i="12"/>
  <c r="AW54" i="12"/>
  <c r="AU54" i="12"/>
  <c r="AS54" i="12"/>
  <c r="AQ54" i="12"/>
  <c r="AO54" i="12"/>
  <c r="AM54" i="12"/>
  <c r="AK54" i="12"/>
  <c r="AI54" i="12"/>
  <c r="AF54" i="12"/>
  <c r="AG54" i="12" s="1"/>
  <c r="AE54" i="12"/>
  <c r="AC54" i="12"/>
  <c r="AA54" i="12"/>
  <c r="Y54" i="12"/>
  <c r="W54" i="12"/>
  <c r="U54" i="12"/>
  <c r="S54" i="12"/>
  <c r="Q54" i="12"/>
  <c r="O54" i="12"/>
  <c r="M54" i="12"/>
  <c r="K54" i="12"/>
  <c r="I54" i="12"/>
  <c r="DF53" i="12"/>
  <c r="DG53" i="12" s="1"/>
  <c r="DE53" i="12"/>
  <c r="DC53" i="12"/>
  <c r="DA53" i="12"/>
  <c r="CY53" i="12"/>
  <c r="CW53" i="12"/>
  <c r="CU53" i="12"/>
  <c r="CS53" i="12"/>
  <c r="CQ53" i="12"/>
  <c r="CO53" i="12"/>
  <c r="CM53" i="12"/>
  <c r="CK53" i="12"/>
  <c r="CI53" i="12"/>
  <c r="CF53" i="12"/>
  <c r="CG53" i="12" s="1"/>
  <c r="CE53" i="12"/>
  <c r="CC53" i="12"/>
  <c r="CA53" i="12"/>
  <c r="BY53" i="12"/>
  <c r="BW53" i="12"/>
  <c r="BU53" i="12"/>
  <c r="BS53" i="12"/>
  <c r="BQ53" i="12"/>
  <c r="BO53" i="12"/>
  <c r="BM53" i="12"/>
  <c r="BK53" i="12"/>
  <c r="BI53" i="12"/>
  <c r="BF53" i="12"/>
  <c r="BG53" i="12" s="1"/>
  <c r="BE53" i="12"/>
  <c r="BC53" i="12"/>
  <c r="BA53" i="12"/>
  <c r="AY53" i="12"/>
  <c r="AW53" i="12"/>
  <c r="AU53" i="12"/>
  <c r="AS53" i="12"/>
  <c r="AQ53" i="12"/>
  <c r="AO53" i="12"/>
  <c r="AM53" i="12"/>
  <c r="AK53" i="12"/>
  <c r="AI53" i="12"/>
  <c r="AF53" i="12"/>
  <c r="AG53" i="12" s="1"/>
  <c r="AE53" i="12"/>
  <c r="AC53" i="12"/>
  <c r="AA53" i="12"/>
  <c r="Y53" i="12"/>
  <c r="W53" i="12"/>
  <c r="U53" i="12"/>
  <c r="S53" i="12"/>
  <c r="Q53" i="12"/>
  <c r="O53" i="12"/>
  <c r="M53" i="12"/>
  <c r="K53" i="12"/>
  <c r="I53" i="12"/>
  <c r="DF52" i="12"/>
  <c r="DE52" i="12"/>
  <c r="DC52" i="12"/>
  <c r="DA52" i="12"/>
  <c r="CY52" i="12"/>
  <c r="CW52" i="12"/>
  <c r="CU52" i="12"/>
  <c r="CS52" i="12"/>
  <c r="CQ52" i="12"/>
  <c r="CO52" i="12"/>
  <c r="CM52" i="12"/>
  <c r="CK52" i="12"/>
  <c r="CI52" i="12"/>
  <c r="CF52" i="12"/>
  <c r="CG52" i="12" s="1"/>
  <c r="CE52" i="12"/>
  <c r="CC52" i="12"/>
  <c r="CA52" i="12"/>
  <c r="BY52" i="12"/>
  <c r="BW52" i="12"/>
  <c r="BU52" i="12"/>
  <c r="BS52" i="12"/>
  <c r="BQ52" i="12"/>
  <c r="BO52" i="12"/>
  <c r="BM52" i="12"/>
  <c r="BK52" i="12"/>
  <c r="BI52" i="12"/>
  <c r="BF52" i="12"/>
  <c r="BG52" i="12" s="1"/>
  <c r="BE52" i="12"/>
  <c r="BC52" i="12"/>
  <c r="BA52" i="12"/>
  <c r="AY52" i="12"/>
  <c r="AW52" i="12"/>
  <c r="AU52" i="12"/>
  <c r="AS52" i="12"/>
  <c r="AQ52" i="12"/>
  <c r="AO52" i="12"/>
  <c r="AM52" i="12"/>
  <c r="AK52" i="12"/>
  <c r="AI52" i="12"/>
  <c r="AF52" i="12"/>
  <c r="AG52" i="12" s="1"/>
  <c r="AE52" i="12"/>
  <c r="AC52" i="12"/>
  <c r="AA52" i="12"/>
  <c r="Y52" i="12"/>
  <c r="W52" i="12"/>
  <c r="U52" i="12"/>
  <c r="S52" i="12"/>
  <c r="Q52" i="12"/>
  <c r="O52" i="12"/>
  <c r="M52" i="12"/>
  <c r="K52" i="12"/>
  <c r="I52" i="12"/>
  <c r="DF51" i="12"/>
  <c r="DG51" i="12" s="1"/>
  <c r="DE51" i="12"/>
  <c r="DC51" i="12"/>
  <c r="DA51" i="12"/>
  <c r="CY51" i="12"/>
  <c r="CW51" i="12"/>
  <c r="CU51" i="12"/>
  <c r="CS51" i="12"/>
  <c r="CQ51" i="12"/>
  <c r="CO51" i="12"/>
  <c r="CM51" i="12"/>
  <c r="CK51" i="12"/>
  <c r="CI51" i="12"/>
  <c r="CF51" i="12"/>
  <c r="CG51" i="12" s="1"/>
  <c r="CE51" i="12"/>
  <c r="CC51" i="12"/>
  <c r="CA51" i="12"/>
  <c r="BY51" i="12"/>
  <c r="BW51" i="12"/>
  <c r="BU51" i="12"/>
  <c r="BS51" i="12"/>
  <c r="BQ51" i="12"/>
  <c r="BO51" i="12"/>
  <c r="BM51" i="12"/>
  <c r="BK51" i="12"/>
  <c r="BI51" i="12"/>
  <c r="BF51" i="12"/>
  <c r="BG51" i="12" s="1"/>
  <c r="BE51" i="12"/>
  <c r="BC51" i="12"/>
  <c r="BA51" i="12"/>
  <c r="AY51" i="12"/>
  <c r="AW51" i="12"/>
  <c r="AU51" i="12"/>
  <c r="AS51" i="12"/>
  <c r="AQ51" i="12"/>
  <c r="AO51" i="12"/>
  <c r="AM51" i="12"/>
  <c r="AK51" i="12"/>
  <c r="AI51" i="12"/>
  <c r="AF51" i="12"/>
  <c r="AG51" i="12" s="1"/>
  <c r="AE51" i="12"/>
  <c r="AC51" i="12"/>
  <c r="AA51" i="12"/>
  <c r="Y51" i="12"/>
  <c r="W51" i="12"/>
  <c r="U51" i="12"/>
  <c r="S51" i="12"/>
  <c r="Q51" i="12"/>
  <c r="O51" i="12"/>
  <c r="M51" i="12"/>
  <c r="K51" i="12"/>
  <c r="I51" i="12"/>
  <c r="DF50" i="12"/>
  <c r="DG50" i="12" s="1"/>
  <c r="DE50" i="12"/>
  <c r="DC50" i="12"/>
  <c r="DA50" i="12"/>
  <c r="CY50" i="12"/>
  <c r="CW50" i="12"/>
  <c r="CU50" i="12"/>
  <c r="CS50" i="12"/>
  <c r="CQ50" i="12"/>
  <c r="CO50" i="12"/>
  <c r="CM50" i="12"/>
  <c r="CK50" i="12"/>
  <c r="CI50" i="12"/>
  <c r="CF50" i="12"/>
  <c r="CG50" i="12" s="1"/>
  <c r="CE50" i="12"/>
  <c r="CC50" i="12"/>
  <c r="CA50" i="12"/>
  <c r="BY50" i="12"/>
  <c r="BW50" i="12"/>
  <c r="BU50" i="12"/>
  <c r="BS50" i="12"/>
  <c r="BQ50" i="12"/>
  <c r="BO50" i="12"/>
  <c r="BM50" i="12"/>
  <c r="BK50" i="12"/>
  <c r="BI50" i="12"/>
  <c r="BF50" i="12"/>
  <c r="BG50" i="12" s="1"/>
  <c r="BE50" i="12"/>
  <c r="BC50" i="12"/>
  <c r="BA50" i="12"/>
  <c r="AY50" i="12"/>
  <c r="AW50" i="12"/>
  <c r="AU50" i="12"/>
  <c r="AS50" i="12"/>
  <c r="AQ50" i="12"/>
  <c r="AO50" i="12"/>
  <c r="AM50" i="12"/>
  <c r="AK50" i="12"/>
  <c r="AI50" i="12"/>
  <c r="AF50" i="12"/>
  <c r="AG50" i="12" s="1"/>
  <c r="AE50" i="12"/>
  <c r="AC50" i="12"/>
  <c r="AA50" i="12"/>
  <c r="Y50" i="12"/>
  <c r="W50" i="12"/>
  <c r="U50" i="12"/>
  <c r="S50" i="12"/>
  <c r="Q50" i="12"/>
  <c r="O50" i="12"/>
  <c r="M50" i="12"/>
  <c r="K50" i="12"/>
  <c r="I50" i="12"/>
  <c r="DF49" i="12"/>
  <c r="DE49" i="12"/>
  <c r="DC49" i="12"/>
  <c r="DA49" i="12"/>
  <c r="CY49" i="12"/>
  <c r="CW49" i="12"/>
  <c r="CU49" i="12"/>
  <c r="CS49" i="12"/>
  <c r="CQ49" i="12"/>
  <c r="CO49" i="12"/>
  <c r="CM49" i="12"/>
  <c r="CK49" i="12"/>
  <c r="CI49" i="12"/>
  <c r="CF49" i="12"/>
  <c r="CG49" i="12" s="1"/>
  <c r="CE49" i="12"/>
  <c r="CC49" i="12"/>
  <c r="CA49" i="12"/>
  <c r="BY49" i="12"/>
  <c r="BW49" i="12"/>
  <c r="BU49" i="12"/>
  <c r="BS49" i="12"/>
  <c r="BQ49" i="12"/>
  <c r="BO49" i="12"/>
  <c r="BM49" i="12"/>
  <c r="BK49" i="12"/>
  <c r="BI49" i="12"/>
  <c r="BF49" i="12"/>
  <c r="BG49" i="12" s="1"/>
  <c r="BE49" i="12"/>
  <c r="BC49" i="12"/>
  <c r="BA49" i="12"/>
  <c r="AY49" i="12"/>
  <c r="AW49" i="12"/>
  <c r="AU49" i="12"/>
  <c r="AS49" i="12"/>
  <c r="AQ49" i="12"/>
  <c r="AO49" i="12"/>
  <c r="AM49" i="12"/>
  <c r="AK49" i="12"/>
  <c r="AI49" i="12"/>
  <c r="AF49" i="12"/>
  <c r="AG49" i="12" s="1"/>
  <c r="AE49" i="12"/>
  <c r="AC49" i="12"/>
  <c r="AA49" i="12"/>
  <c r="Y49" i="12"/>
  <c r="W49" i="12"/>
  <c r="U49" i="12"/>
  <c r="S49" i="12"/>
  <c r="Q49" i="12"/>
  <c r="O49" i="12"/>
  <c r="M49" i="12"/>
  <c r="K49" i="12"/>
  <c r="I49" i="12"/>
  <c r="DF48" i="12"/>
  <c r="DG48" i="12" s="1"/>
  <c r="DE48" i="12"/>
  <c r="DC48" i="12"/>
  <c r="DA48" i="12"/>
  <c r="CY48" i="12"/>
  <c r="CW48" i="12"/>
  <c r="CU48" i="12"/>
  <c r="CS48" i="12"/>
  <c r="CQ48" i="12"/>
  <c r="CO48" i="12"/>
  <c r="CM48" i="12"/>
  <c r="CK48" i="12"/>
  <c r="CI48" i="12"/>
  <c r="CF48" i="12"/>
  <c r="CG48" i="12" s="1"/>
  <c r="CE48" i="12"/>
  <c r="CC48" i="12"/>
  <c r="CA48" i="12"/>
  <c r="BY48" i="12"/>
  <c r="BW48" i="12"/>
  <c r="BU48" i="12"/>
  <c r="BS48" i="12"/>
  <c r="BQ48" i="12"/>
  <c r="BO48" i="12"/>
  <c r="BM48" i="12"/>
  <c r="BK48" i="12"/>
  <c r="BI48" i="12"/>
  <c r="BF48" i="12"/>
  <c r="BG48" i="12" s="1"/>
  <c r="BE48" i="12"/>
  <c r="BC48" i="12"/>
  <c r="BA48" i="12"/>
  <c r="AY48" i="12"/>
  <c r="AW48" i="12"/>
  <c r="AU48" i="12"/>
  <c r="AS48" i="12"/>
  <c r="AQ48" i="12"/>
  <c r="AO48" i="12"/>
  <c r="AM48" i="12"/>
  <c r="AK48" i="12"/>
  <c r="AI48" i="12"/>
  <c r="AF48" i="12"/>
  <c r="AG48" i="12" s="1"/>
  <c r="AE48" i="12"/>
  <c r="AC48" i="12"/>
  <c r="AA48" i="12"/>
  <c r="Y48" i="12"/>
  <c r="W48" i="12"/>
  <c r="U48" i="12"/>
  <c r="S48" i="12"/>
  <c r="Q48" i="12"/>
  <c r="O48" i="12"/>
  <c r="M48" i="12"/>
  <c r="K48" i="12"/>
  <c r="I48" i="12"/>
  <c r="DF47" i="12"/>
  <c r="DG47" i="12" s="1"/>
  <c r="DE47" i="12"/>
  <c r="DC47" i="12"/>
  <c r="DA47" i="12"/>
  <c r="CY47" i="12"/>
  <c r="CW47" i="12"/>
  <c r="CU47" i="12"/>
  <c r="CS47" i="12"/>
  <c r="CQ47" i="12"/>
  <c r="CO47" i="12"/>
  <c r="CM47" i="12"/>
  <c r="CK47" i="12"/>
  <c r="CI47" i="12"/>
  <c r="CF47" i="12"/>
  <c r="CG47" i="12" s="1"/>
  <c r="CE47" i="12"/>
  <c r="CC47" i="12"/>
  <c r="CA47" i="12"/>
  <c r="BY47" i="12"/>
  <c r="BW47" i="12"/>
  <c r="BU47" i="12"/>
  <c r="BS47" i="12"/>
  <c r="BQ47" i="12"/>
  <c r="BO47" i="12"/>
  <c r="BM47" i="12"/>
  <c r="BK47" i="12"/>
  <c r="BI47" i="12"/>
  <c r="BF47" i="12"/>
  <c r="BG47" i="12" s="1"/>
  <c r="BE47" i="12"/>
  <c r="BC47" i="12"/>
  <c r="BA47" i="12"/>
  <c r="AY47" i="12"/>
  <c r="AW47" i="12"/>
  <c r="AU47" i="12"/>
  <c r="AS47" i="12"/>
  <c r="AQ47" i="12"/>
  <c r="AO47" i="12"/>
  <c r="AM47" i="12"/>
  <c r="AK47" i="12"/>
  <c r="AI47" i="12"/>
  <c r="AF47" i="12"/>
  <c r="AG47" i="12" s="1"/>
  <c r="AE47" i="12"/>
  <c r="AC47" i="12"/>
  <c r="AA47" i="12"/>
  <c r="Y47" i="12"/>
  <c r="W47" i="12"/>
  <c r="U47" i="12"/>
  <c r="S47" i="12"/>
  <c r="Q47" i="12"/>
  <c r="O47" i="12"/>
  <c r="M47" i="12"/>
  <c r="K47" i="12"/>
  <c r="I47" i="12"/>
  <c r="DF46" i="12"/>
  <c r="DG46" i="12" s="1"/>
  <c r="DE46" i="12"/>
  <c r="DC46" i="12"/>
  <c r="DA46" i="12"/>
  <c r="CY46" i="12"/>
  <c r="CW46" i="12"/>
  <c r="CU46" i="12"/>
  <c r="CS46" i="12"/>
  <c r="CQ46" i="12"/>
  <c r="CO46" i="12"/>
  <c r="CM46" i="12"/>
  <c r="CK46" i="12"/>
  <c r="CI46" i="12"/>
  <c r="CF46" i="12"/>
  <c r="CG46" i="12" s="1"/>
  <c r="CE46" i="12"/>
  <c r="CC46" i="12"/>
  <c r="CA46" i="12"/>
  <c r="BY46" i="12"/>
  <c r="BW46" i="12"/>
  <c r="BU46" i="12"/>
  <c r="BS46" i="12"/>
  <c r="BQ46" i="12"/>
  <c r="BO46" i="12"/>
  <c r="BM46" i="12"/>
  <c r="BK46" i="12"/>
  <c r="BI46" i="12"/>
  <c r="BF46" i="12"/>
  <c r="BG46" i="12" s="1"/>
  <c r="BE46" i="12"/>
  <c r="BC46" i="12"/>
  <c r="BA46" i="12"/>
  <c r="AY46" i="12"/>
  <c r="AW46" i="12"/>
  <c r="AU46" i="12"/>
  <c r="AS46" i="12"/>
  <c r="AQ46" i="12"/>
  <c r="AO46" i="12"/>
  <c r="AM46" i="12"/>
  <c r="AK46" i="12"/>
  <c r="AI46" i="12"/>
  <c r="AF46" i="12"/>
  <c r="AG46" i="12" s="1"/>
  <c r="AE46" i="12"/>
  <c r="AC46" i="12"/>
  <c r="AA46" i="12"/>
  <c r="Y46" i="12"/>
  <c r="W46" i="12"/>
  <c r="U46" i="12"/>
  <c r="S46" i="12"/>
  <c r="Q46" i="12"/>
  <c r="O46" i="12"/>
  <c r="M46" i="12"/>
  <c r="K46" i="12"/>
  <c r="I46" i="12"/>
  <c r="DF45" i="12"/>
  <c r="DG45" i="12" s="1"/>
  <c r="DE45" i="12"/>
  <c r="DC45" i="12"/>
  <c r="DA45" i="12"/>
  <c r="CY45" i="12"/>
  <c r="CW45" i="12"/>
  <c r="CU45" i="12"/>
  <c r="CS45" i="12"/>
  <c r="CQ45" i="12"/>
  <c r="CO45" i="12"/>
  <c r="CM45" i="12"/>
  <c r="CK45" i="12"/>
  <c r="CI45" i="12"/>
  <c r="CF45" i="12"/>
  <c r="CG45" i="12" s="1"/>
  <c r="CE45" i="12"/>
  <c r="CC45" i="12"/>
  <c r="CA45" i="12"/>
  <c r="BY45" i="12"/>
  <c r="BW45" i="12"/>
  <c r="BU45" i="12"/>
  <c r="BS45" i="12"/>
  <c r="BQ45" i="12"/>
  <c r="BO45" i="12"/>
  <c r="BM45" i="12"/>
  <c r="BK45" i="12"/>
  <c r="BI45" i="12"/>
  <c r="BF45" i="12"/>
  <c r="BG45" i="12" s="1"/>
  <c r="BE45" i="12"/>
  <c r="BC45" i="12"/>
  <c r="BA45" i="12"/>
  <c r="AY45" i="12"/>
  <c r="AW45" i="12"/>
  <c r="AU45" i="12"/>
  <c r="AS45" i="12"/>
  <c r="AQ45" i="12"/>
  <c r="AO45" i="12"/>
  <c r="AM45" i="12"/>
  <c r="AK45" i="12"/>
  <c r="AI45" i="12"/>
  <c r="AF45" i="12"/>
  <c r="AG45" i="12" s="1"/>
  <c r="AE45" i="12"/>
  <c r="AC45" i="12"/>
  <c r="AA45" i="12"/>
  <c r="Y45" i="12"/>
  <c r="W45" i="12"/>
  <c r="U45" i="12"/>
  <c r="S45" i="12"/>
  <c r="Q45" i="12"/>
  <c r="O45" i="12"/>
  <c r="M45" i="12"/>
  <c r="K45" i="12"/>
  <c r="I45" i="12"/>
  <c r="DF44" i="12"/>
  <c r="DG44" i="12" s="1"/>
  <c r="DE44" i="12"/>
  <c r="DC44" i="12"/>
  <c r="DA44" i="12"/>
  <c r="CY44" i="12"/>
  <c r="CW44" i="12"/>
  <c r="CU44" i="12"/>
  <c r="CS44" i="12"/>
  <c r="CQ44" i="12"/>
  <c r="CO44" i="12"/>
  <c r="CM44" i="12"/>
  <c r="CK44" i="12"/>
  <c r="CI44" i="12"/>
  <c r="CF44" i="12"/>
  <c r="CG44" i="12" s="1"/>
  <c r="CE44" i="12"/>
  <c r="CC44" i="12"/>
  <c r="CA44" i="12"/>
  <c r="BY44" i="12"/>
  <c r="BW44" i="12"/>
  <c r="BU44" i="12"/>
  <c r="BS44" i="12"/>
  <c r="BQ44" i="12"/>
  <c r="BO44" i="12"/>
  <c r="BM44" i="12"/>
  <c r="BK44" i="12"/>
  <c r="BI44" i="12"/>
  <c r="BF44" i="12"/>
  <c r="BG44" i="12" s="1"/>
  <c r="BE44" i="12"/>
  <c r="BC44" i="12"/>
  <c r="BA44" i="12"/>
  <c r="AY44" i="12"/>
  <c r="AW44" i="12"/>
  <c r="AU44" i="12"/>
  <c r="AS44" i="12"/>
  <c r="AQ44" i="12"/>
  <c r="AO44" i="12"/>
  <c r="AM44" i="12"/>
  <c r="AK44" i="12"/>
  <c r="AI44" i="12"/>
  <c r="AF44" i="12"/>
  <c r="AG44" i="12" s="1"/>
  <c r="AE44" i="12"/>
  <c r="AC44" i="12"/>
  <c r="AA44" i="12"/>
  <c r="Y44" i="12"/>
  <c r="W44" i="12"/>
  <c r="U44" i="12"/>
  <c r="S44" i="12"/>
  <c r="Q44" i="12"/>
  <c r="O44" i="12"/>
  <c r="M44" i="12"/>
  <c r="K44" i="12"/>
  <c r="I44" i="12"/>
  <c r="DF43" i="12"/>
  <c r="DG43" i="12" s="1"/>
  <c r="DE43" i="12"/>
  <c r="DC43" i="12"/>
  <c r="DA43" i="12"/>
  <c r="CY43" i="12"/>
  <c r="CW43" i="12"/>
  <c r="CU43" i="12"/>
  <c r="CS43" i="12"/>
  <c r="CQ43" i="12"/>
  <c r="CO43" i="12"/>
  <c r="CM43" i="12"/>
  <c r="CK43" i="12"/>
  <c r="CI43" i="12"/>
  <c r="CF43" i="12"/>
  <c r="CG43" i="12" s="1"/>
  <c r="CE43" i="12"/>
  <c r="CC43" i="12"/>
  <c r="CA43" i="12"/>
  <c r="BY43" i="12"/>
  <c r="BW43" i="12"/>
  <c r="BU43" i="12"/>
  <c r="BS43" i="12"/>
  <c r="BQ43" i="12"/>
  <c r="BO43" i="12"/>
  <c r="BM43" i="12"/>
  <c r="BK43" i="12"/>
  <c r="BI43" i="12"/>
  <c r="BF43" i="12"/>
  <c r="BG43" i="12" s="1"/>
  <c r="BE43" i="12"/>
  <c r="BC43" i="12"/>
  <c r="BA43" i="12"/>
  <c r="AY43" i="12"/>
  <c r="AW43" i="12"/>
  <c r="AU43" i="12"/>
  <c r="AS43" i="12"/>
  <c r="AQ43" i="12"/>
  <c r="AO43" i="12"/>
  <c r="AM43" i="12"/>
  <c r="AK43" i="12"/>
  <c r="AI43" i="12"/>
  <c r="AF43" i="12"/>
  <c r="AG43" i="12" s="1"/>
  <c r="AE43" i="12"/>
  <c r="AC43" i="12"/>
  <c r="AA43" i="12"/>
  <c r="Y43" i="12"/>
  <c r="W43" i="12"/>
  <c r="U43" i="12"/>
  <c r="S43" i="12"/>
  <c r="Q43" i="12"/>
  <c r="O43" i="12"/>
  <c r="M43" i="12"/>
  <c r="K43" i="12"/>
  <c r="I43" i="12"/>
  <c r="DF42" i="12"/>
  <c r="DG42" i="12" s="1"/>
  <c r="DE42" i="12"/>
  <c r="DC42" i="12"/>
  <c r="DA42" i="12"/>
  <c r="CY42" i="12"/>
  <c r="CW42" i="12"/>
  <c r="CU42" i="12"/>
  <c r="CS42" i="12"/>
  <c r="CQ42" i="12"/>
  <c r="CO42" i="12"/>
  <c r="CM42" i="12"/>
  <c r="CK42" i="12"/>
  <c r="CI42" i="12"/>
  <c r="CF42" i="12"/>
  <c r="CG42" i="12" s="1"/>
  <c r="CE42" i="12"/>
  <c r="CC42" i="12"/>
  <c r="CA42" i="12"/>
  <c r="BY42" i="12"/>
  <c r="BW42" i="12"/>
  <c r="BU42" i="12"/>
  <c r="BS42" i="12"/>
  <c r="BQ42" i="12"/>
  <c r="BO42" i="12"/>
  <c r="BM42" i="12"/>
  <c r="BK42" i="12"/>
  <c r="BI42" i="12"/>
  <c r="BF42" i="12"/>
  <c r="BG42" i="12" s="1"/>
  <c r="BE42" i="12"/>
  <c r="BC42" i="12"/>
  <c r="BA42" i="12"/>
  <c r="AY42" i="12"/>
  <c r="AW42" i="12"/>
  <c r="AU42" i="12"/>
  <c r="AS42" i="12"/>
  <c r="AQ42" i="12"/>
  <c r="AO42" i="12"/>
  <c r="AM42" i="12"/>
  <c r="AK42" i="12"/>
  <c r="AI42" i="12"/>
  <c r="AF42" i="12"/>
  <c r="AG42" i="12" s="1"/>
  <c r="AE42" i="12"/>
  <c r="AC42" i="12"/>
  <c r="AA42" i="12"/>
  <c r="Y42" i="12"/>
  <c r="W42" i="12"/>
  <c r="U42" i="12"/>
  <c r="S42" i="12"/>
  <c r="Q42" i="12"/>
  <c r="O42" i="12"/>
  <c r="M42" i="12"/>
  <c r="K42" i="12"/>
  <c r="I42" i="12"/>
  <c r="DF41" i="12"/>
  <c r="DG41" i="12" s="1"/>
  <c r="DE41" i="12"/>
  <c r="DC41" i="12"/>
  <c r="DA41" i="12"/>
  <c r="CY41" i="12"/>
  <c r="CW41" i="12"/>
  <c r="CU41" i="12"/>
  <c r="CS41" i="12"/>
  <c r="CQ41" i="12"/>
  <c r="CO41" i="12"/>
  <c r="CM41" i="12"/>
  <c r="CK41" i="12"/>
  <c r="CI41" i="12"/>
  <c r="CF41" i="12"/>
  <c r="CG41" i="12" s="1"/>
  <c r="CE41" i="12"/>
  <c r="CC41" i="12"/>
  <c r="CA41" i="12"/>
  <c r="BY41" i="12"/>
  <c r="BW41" i="12"/>
  <c r="BU41" i="12"/>
  <c r="BS41" i="12"/>
  <c r="BQ41" i="12"/>
  <c r="BO41" i="12"/>
  <c r="BM41" i="12"/>
  <c r="BK41" i="12"/>
  <c r="BI41" i="12"/>
  <c r="BF41" i="12"/>
  <c r="BG41" i="12" s="1"/>
  <c r="BE41" i="12"/>
  <c r="BC41" i="12"/>
  <c r="BA41" i="12"/>
  <c r="AY41" i="12"/>
  <c r="AW41" i="12"/>
  <c r="AU41" i="12"/>
  <c r="AS41" i="12"/>
  <c r="AQ41" i="12"/>
  <c r="AO41" i="12"/>
  <c r="AM41" i="12"/>
  <c r="AK41" i="12"/>
  <c r="AI41" i="12"/>
  <c r="AF41" i="12"/>
  <c r="AG41" i="12" s="1"/>
  <c r="AE41" i="12"/>
  <c r="AC41" i="12"/>
  <c r="AA41" i="12"/>
  <c r="Y41" i="12"/>
  <c r="W41" i="12"/>
  <c r="U41" i="12"/>
  <c r="S41" i="12"/>
  <c r="Q41" i="12"/>
  <c r="O41" i="12"/>
  <c r="M41" i="12"/>
  <c r="K41" i="12"/>
  <c r="I41" i="12"/>
  <c r="DF40" i="12"/>
  <c r="DG40" i="12" s="1"/>
  <c r="DE40" i="12"/>
  <c r="DC40" i="12"/>
  <c r="DA40" i="12"/>
  <c r="CY40" i="12"/>
  <c r="CW40" i="12"/>
  <c r="CU40" i="12"/>
  <c r="CS40" i="12"/>
  <c r="CQ40" i="12"/>
  <c r="CO40" i="12"/>
  <c r="CM40" i="12"/>
  <c r="CK40" i="12"/>
  <c r="CI40" i="12"/>
  <c r="CF40" i="12"/>
  <c r="CG40" i="12" s="1"/>
  <c r="CE40" i="12"/>
  <c r="CC40" i="12"/>
  <c r="CA40" i="12"/>
  <c r="BY40" i="12"/>
  <c r="BW40" i="12"/>
  <c r="BU40" i="12"/>
  <c r="BS40" i="12"/>
  <c r="BQ40" i="12"/>
  <c r="BO40" i="12"/>
  <c r="BM40" i="12"/>
  <c r="BK40" i="12"/>
  <c r="BI40" i="12"/>
  <c r="BF40" i="12"/>
  <c r="BG40" i="12" s="1"/>
  <c r="BE40" i="12"/>
  <c r="BC40" i="12"/>
  <c r="BA40" i="12"/>
  <c r="AY40" i="12"/>
  <c r="AW40" i="12"/>
  <c r="AU40" i="12"/>
  <c r="AS40" i="12"/>
  <c r="AQ40" i="12"/>
  <c r="AO40" i="12"/>
  <c r="AM40" i="12"/>
  <c r="AK40" i="12"/>
  <c r="AI40" i="12"/>
  <c r="AF40" i="12"/>
  <c r="AG40" i="12" s="1"/>
  <c r="AE40" i="12"/>
  <c r="AC40" i="12"/>
  <c r="AA40" i="12"/>
  <c r="Y40" i="12"/>
  <c r="W40" i="12"/>
  <c r="U40" i="12"/>
  <c r="S40" i="12"/>
  <c r="Q40" i="12"/>
  <c r="O40" i="12"/>
  <c r="M40" i="12"/>
  <c r="K40" i="12"/>
  <c r="I40" i="12"/>
  <c r="DF39" i="12"/>
  <c r="DG39" i="12" s="1"/>
  <c r="DE39" i="12"/>
  <c r="DC39" i="12"/>
  <c r="DA39" i="12"/>
  <c r="CY39" i="12"/>
  <c r="CW39" i="12"/>
  <c r="CU39" i="12"/>
  <c r="CS39" i="12"/>
  <c r="CQ39" i="12"/>
  <c r="CO39" i="12"/>
  <c r="CM39" i="12"/>
  <c r="CK39" i="12"/>
  <c r="CI39" i="12"/>
  <c r="CF39" i="12"/>
  <c r="CG39" i="12" s="1"/>
  <c r="CE39" i="12"/>
  <c r="CC39" i="12"/>
  <c r="CA39" i="12"/>
  <c r="BY39" i="12"/>
  <c r="BW39" i="12"/>
  <c r="BU39" i="12"/>
  <c r="BS39" i="12"/>
  <c r="BQ39" i="12"/>
  <c r="BO39" i="12"/>
  <c r="BM39" i="12"/>
  <c r="BK39" i="12"/>
  <c r="BI39" i="12"/>
  <c r="BF39" i="12"/>
  <c r="BG39" i="12" s="1"/>
  <c r="BE39" i="12"/>
  <c r="BC39" i="12"/>
  <c r="BA39" i="12"/>
  <c r="AY39" i="12"/>
  <c r="AW39" i="12"/>
  <c r="AU39" i="12"/>
  <c r="AS39" i="12"/>
  <c r="AQ39" i="12"/>
  <c r="AO39" i="12"/>
  <c r="AM39" i="12"/>
  <c r="AK39" i="12"/>
  <c r="AI39" i="12"/>
  <c r="AF39" i="12"/>
  <c r="AG39" i="12" s="1"/>
  <c r="AE39" i="12"/>
  <c r="AC39" i="12"/>
  <c r="AA39" i="12"/>
  <c r="Y39" i="12"/>
  <c r="W39" i="12"/>
  <c r="U39" i="12"/>
  <c r="S39" i="12"/>
  <c r="Q39" i="12"/>
  <c r="O39" i="12"/>
  <c r="M39" i="12"/>
  <c r="K39" i="12"/>
  <c r="I39" i="12"/>
  <c r="DF38" i="12"/>
  <c r="DG38" i="12" s="1"/>
  <c r="DE38" i="12"/>
  <c r="DC38" i="12"/>
  <c r="DA38" i="12"/>
  <c r="CY38" i="12"/>
  <c r="CW38" i="12"/>
  <c r="CU38" i="12"/>
  <c r="CS38" i="12"/>
  <c r="CQ38" i="12"/>
  <c r="CO38" i="12"/>
  <c r="CM38" i="12"/>
  <c r="CK38" i="12"/>
  <c r="CI38" i="12"/>
  <c r="CF38" i="12"/>
  <c r="CG38" i="12" s="1"/>
  <c r="CE38" i="12"/>
  <c r="CC38" i="12"/>
  <c r="CA38" i="12"/>
  <c r="BY38" i="12"/>
  <c r="BW38" i="12"/>
  <c r="BU38" i="12"/>
  <c r="BS38" i="12"/>
  <c r="BQ38" i="12"/>
  <c r="BO38" i="12"/>
  <c r="BM38" i="12"/>
  <c r="BK38" i="12"/>
  <c r="BI38" i="12"/>
  <c r="BF38" i="12"/>
  <c r="BG38" i="12" s="1"/>
  <c r="BE38" i="12"/>
  <c r="BC38" i="12"/>
  <c r="BA38" i="12"/>
  <c r="AY38" i="12"/>
  <c r="AW38" i="12"/>
  <c r="AU38" i="12"/>
  <c r="AS38" i="12"/>
  <c r="AQ38" i="12"/>
  <c r="AO38" i="12"/>
  <c r="AM38" i="12"/>
  <c r="AK38" i="12"/>
  <c r="AI38" i="12"/>
  <c r="AF38" i="12"/>
  <c r="AG38" i="12" s="1"/>
  <c r="AE38" i="12"/>
  <c r="AC38" i="12"/>
  <c r="AA38" i="12"/>
  <c r="Y38" i="12"/>
  <c r="W38" i="12"/>
  <c r="U38" i="12"/>
  <c r="S38" i="12"/>
  <c r="Q38" i="12"/>
  <c r="O38" i="12"/>
  <c r="M38" i="12"/>
  <c r="K38" i="12"/>
  <c r="I38" i="12"/>
  <c r="DF37" i="12"/>
  <c r="DG37" i="12" s="1"/>
  <c r="DE37" i="12"/>
  <c r="DC37" i="12"/>
  <c r="DA37" i="12"/>
  <c r="CY37" i="12"/>
  <c r="CW37" i="12"/>
  <c r="CU37" i="12"/>
  <c r="CS37" i="12"/>
  <c r="CQ37" i="12"/>
  <c r="CO37" i="12"/>
  <c r="CM37" i="12"/>
  <c r="CK37" i="12"/>
  <c r="CI37" i="12"/>
  <c r="CF37" i="12"/>
  <c r="CG37" i="12" s="1"/>
  <c r="CE37" i="12"/>
  <c r="CC37" i="12"/>
  <c r="CA37" i="12"/>
  <c r="BY37" i="12"/>
  <c r="BW37" i="12"/>
  <c r="BU37" i="12"/>
  <c r="BS37" i="12"/>
  <c r="BQ37" i="12"/>
  <c r="BO37" i="12"/>
  <c r="BM37" i="12"/>
  <c r="BK37" i="12"/>
  <c r="BI37" i="12"/>
  <c r="BF37" i="12"/>
  <c r="BG37" i="12" s="1"/>
  <c r="BE37" i="12"/>
  <c r="BC37" i="12"/>
  <c r="BA37" i="12"/>
  <c r="AY37" i="12"/>
  <c r="AW37" i="12"/>
  <c r="AU37" i="12"/>
  <c r="AS37" i="12"/>
  <c r="AQ37" i="12"/>
  <c r="AO37" i="12"/>
  <c r="AM37" i="12"/>
  <c r="AK37" i="12"/>
  <c r="AI37" i="12"/>
  <c r="AF37" i="12"/>
  <c r="AG37" i="12" s="1"/>
  <c r="AE37" i="12"/>
  <c r="AC37" i="12"/>
  <c r="AA37" i="12"/>
  <c r="Y37" i="12"/>
  <c r="W37" i="12"/>
  <c r="U37" i="12"/>
  <c r="S37" i="12"/>
  <c r="Q37" i="12"/>
  <c r="O37" i="12"/>
  <c r="M37" i="12"/>
  <c r="K37" i="12"/>
  <c r="I37" i="12"/>
  <c r="DF36" i="12"/>
  <c r="DG36" i="12" s="1"/>
  <c r="DE36" i="12"/>
  <c r="DC36" i="12"/>
  <c r="DA36" i="12"/>
  <c r="CY36" i="12"/>
  <c r="CW36" i="12"/>
  <c r="CU36" i="12"/>
  <c r="CS36" i="12"/>
  <c r="CQ36" i="12"/>
  <c r="CO36" i="12"/>
  <c r="CM36" i="12"/>
  <c r="CK36" i="12"/>
  <c r="CI36" i="12"/>
  <c r="CF36" i="12"/>
  <c r="CG36" i="12" s="1"/>
  <c r="CE36" i="12"/>
  <c r="CC36" i="12"/>
  <c r="CA36" i="12"/>
  <c r="BY36" i="12"/>
  <c r="BW36" i="12"/>
  <c r="BU36" i="12"/>
  <c r="BS36" i="12"/>
  <c r="BQ36" i="12"/>
  <c r="BO36" i="12"/>
  <c r="BM36" i="12"/>
  <c r="BK36" i="12"/>
  <c r="BI36" i="12"/>
  <c r="BF36" i="12"/>
  <c r="BG36" i="12" s="1"/>
  <c r="BE36" i="12"/>
  <c r="BC36" i="12"/>
  <c r="BA36" i="12"/>
  <c r="AY36" i="12"/>
  <c r="AW36" i="12"/>
  <c r="AU36" i="12"/>
  <c r="AS36" i="12"/>
  <c r="AQ36" i="12"/>
  <c r="AO36" i="12"/>
  <c r="AM36" i="12"/>
  <c r="AK36" i="12"/>
  <c r="AI36" i="12"/>
  <c r="AF36" i="12"/>
  <c r="AG36" i="12" s="1"/>
  <c r="AE36" i="12"/>
  <c r="AC36" i="12"/>
  <c r="AA36" i="12"/>
  <c r="Y36" i="12"/>
  <c r="W36" i="12"/>
  <c r="U36" i="12"/>
  <c r="S36" i="12"/>
  <c r="Q36" i="12"/>
  <c r="O36" i="12"/>
  <c r="M36" i="12"/>
  <c r="K36" i="12"/>
  <c r="I36" i="12"/>
  <c r="DF35" i="12"/>
  <c r="DG35" i="12" s="1"/>
  <c r="DE35" i="12"/>
  <c r="DC35" i="12"/>
  <c r="DA35" i="12"/>
  <c r="CY35" i="12"/>
  <c r="CW35" i="12"/>
  <c r="CU35" i="12"/>
  <c r="CS35" i="12"/>
  <c r="CQ35" i="12"/>
  <c r="CO35" i="12"/>
  <c r="CM35" i="12"/>
  <c r="CK35" i="12"/>
  <c r="CI35" i="12"/>
  <c r="CF35" i="12"/>
  <c r="CG35" i="12" s="1"/>
  <c r="CE35" i="12"/>
  <c r="CC35" i="12"/>
  <c r="CA35" i="12"/>
  <c r="BY35" i="12"/>
  <c r="BW35" i="12"/>
  <c r="BU35" i="12"/>
  <c r="BS35" i="12"/>
  <c r="BQ35" i="12"/>
  <c r="BO35" i="12"/>
  <c r="BM35" i="12"/>
  <c r="BK35" i="12"/>
  <c r="BI35" i="12"/>
  <c r="BF35" i="12"/>
  <c r="BG35" i="12" s="1"/>
  <c r="BE35" i="12"/>
  <c r="BC35" i="12"/>
  <c r="BA35" i="12"/>
  <c r="AY35" i="12"/>
  <c r="AW35" i="12"/>
  <c r="AU35" i="12"/>
  <c r="AS35" i="12"/>
  <c r="AQ35" i="12"/>
  <c r="AO35" i="12"/>
  <c r="AM35" i="12"/>
  <c r="AK35" i="12"/>
  <c r="AI35" i="12"/>
  <c r="AF35" i="12"/>
  <c r="AG35" i="12" s="1"/>
  <c r="AE35" i="12"/>
  <c r="AC35" i="12"/>
  <c r="AA35" i="12"/>
  <c r="Y35" i="12"/>
  <c r="W35" i="12"/>
  <c r="U35" i="12"/>
  <c r="S35" i="12"/>
  <c r="Q35" i="12"/>
  <c r="O35" i="12"/>
  <c r="M35" i="12"/>
  <c r="K35" i="12"/>
  <c r="I35" i="12"/>
  <c r="DF34" i="12"/>
  <c r="DG34" i="12" s="1"/>
  <c r="DE34" i="12"/>
  <c r="DC34" i="12"/>
  <c r="DA34" i="12"/>
  <c r="CY34" i="12"/>
  <c r="CW34" i="12"/>
  <c r="CU34" i="12"/>
  <c r="CS34" i="12"/>
  <c r="CQ34" i="12"/>
  <c r="CO34" i="12"/>
  <c r="CM34" i="12"/>
  <c r="CK34" i="12"/>
  <c r="CI34" i="12"/>
  <c r="CF34" i="12"/>
  <c r="CG34" i="12" s="1"/>
  <c r="CE34" i="12"/>
  <c r="CC34" i="12"/>
  <c r="CA34" i="12"/>
  <c r="BY34" i="12"/>
  <c r="BW34" i="12"/>
  <c r="BU34" i="12"/>
  <c r="BS34" i="12"/>
  <c r="BQ34" i="12"/>
  <c r="BO34" i="12"/>
  <c r="BM34" i="12"/>
  <c r="BK34" i="12"/>
  <c r="BI34" i="12"/>
  <c r="BF34" i="12"/>
  <c r="BG34" i="12" s="1"/>
  <c r="BE34" i="12"/>
  <c r="BC34" i="12"/>
  <c r="BA34" i="12"/>
  <c r="AY34" i="12"/>
  <c r="AW34" i="12"/>
  <c r="AU34" i="12"/>
  <c r="AS34" i="12"/>
  <c r="AQ34" i="12"/>
  <c r="AO34" i="12"/>
  <c r="AM34" i="12"/>
  <c r="AK34" i="12"/>
  <c r="AI34" i="12"/>
  <c r="AF34" i="12"/>
  <c r="AG34" i="12" s="1"/>
  <c r="AE34" i="12"/>
  <c r="AC34" i="12"/>
  <c r="AA34" i="12"/>
  <c r="Y34" i="12"/>
  <c r="W34" i="12"/>
  <c r="U34" i="12"/>
  <c r="S34" i="12"/>
  <c r="Q34" i="12"/>
  <c r="O34" i="12"/>
  <c r="M34" i="12"/>
  <c r="K34" i="12"/>
  <c r="I34" i="12"/>
  <c r="DF33" i="12"/>
  <c r="DG33" i="12" s="1"/>
  <c r="DE33" i="12"/>
  <c r="DC33" i="12"/>
  <c r="DA33" i="12"/>
  <c r="CY33" i="12"/>
  <c r="CW33" i="12"/>
  <c r="CU33" i="12"/>
  <c r="CS33" i="12"/>
  <c r="CQ33" i="12"/>
  <c r="CO33" i="12"/>
  <c r="CM33" i="12"/>
  <c r="CK33" i="12"/>
  <c r="CI33" i="12"/>
  <c r="CF33" i="12"/>
  <c r="CG33" i="12" s="1"/>
  <c r="CE33" i="12"/>
  <c r="CC33" i="12"/>
  <c r="CA33" i="12"/>
  <c r="BY33" i="12"/>
  <c r="BW33" i="12"/>
  <c r="BU33" i="12"/>
  <c r="BS33" i="12"/>
  <c r="BQ33" i="12"/>
  <c r="BO33" i="12"/>
  <c r="BM33" i="12"/>
  <c r="BK33" i="12"/>
  <c r="BI33" i="12"/>
  <c r="BF33" i="12"/>
  <c r="BG33" i="12" s="1"/>
  <c r="BE33" i="12"/>
  <c r="BC33" i="12"/>
  <c r="BA33" i="12"/>
  <c r="AY33" i="12"/>
  <c r="AW33" i="12"/>
  <c r="AU33" i="12"/>
  <c r="AS33" i="12"/>
  <c r="AQ33" i="12"/>
  <c r="AO33" i="12"/>
  <c r="AM33" i="12"/>
  <c r="AK33" i="12"/>
  <c r="AI33" i="12"/>
  <c r="AF33" i="12"/>
  <c r="AG33" i="12" s="1"/>
  <c r="AE33" i="12"/>
  <c r="AC33" i="12"/>
  <c r="AA33" i="12"/>
  <c r="Y33" i="12"/>
  <c r="W33" i="12"/>
  <c r="U33" i="12"/>
  <c r="S33" i="12"/>
  <c r="Q33" i="12"/>
  <c r="O33" i="12"/>
  <c r="M33" i="12"/>
  <c r="K33" i="12"/>
  <c r="I33" i="12"/>
  <c r="DF32" i="12"/>
  <c r="DG32" i="12" s="1"/>
  <c r="DE32" i="12"/>
  <c r="DC32" i="12"/>
  <c r="DA32" i="12"/>
  <c r="CY32" i="12"/>
  <c r="CW32" i="12"/>
  <c r="CU32" i="12"/>
  <c r="CS32" i="12"/>
  <c r="CQ32" i="12"/>
  <c r="CO32" i="12"/>
  <c r="CM32" i="12"/>
  <c r="CK32" i="12"/>
  <c r="CI32" i="12"/>
  <c r="CF32" i="12"/>
  <c r="CG32" i="12" s="1"/>
  <c r="CE32" i="12"/>
  <c r="CC32" i="12"/>
  <c r="CA32" i="12"/>
  <c r="BY32" i="12"/>
  <c r="BW32" i="12"/>
  <c r="BU32" i="12"/>
  <c r="BS32" i="12"/>
  <c r="BQ32" i="12"/>
  <c r="BO32" i="12"/>
  <c r="BM32" i="12"/>
  <c r="BK32" i="12"/>
  <c r="BI32" i="12"/>
  <c r="BF32" i="12"/>
  <c r="BG32" i="12" s="1"/>
  <c r="BE32" i="12"/>
  <c r="BC32" i="12"/>
  <c r="BA32" i="12"/>
  <c r="AY32" i="12"/>
  <c r="AW32" i="12"/>
  <c r="AU32" i="12"/>
  <c r="AS32" i="12"/>
  <c r="AQ32" i="12"/>
  <c r="AO32" i="12"/>
  <c r="AM32" i="12"/>
  <c r="AK32" i="12"/>
  <c r="AI32" i="12"/>
  <c r="AF32" i="12"/>
  <c r="AG32" i="12" s="1"/>
  <c r="AE32" i="12"/>
  <c r="AC32" i="12"/>
  <c r="AA32" i="12"/>
  <c r="Y32" i="12"/>
  <c r="W32" i="12"/>
  <c r="U32" i="12"/>
  <c r="S32" i="12"/>
  <c r="Q32" i="12"/>
  <c r="O32" i="12"/>
  <c r="M32" i="12"/>
  <c r="K32" i="12"/>
  <c r="I32" i="12"/>
  <c r="DF31" i="12"/>
  <c r="DG31" i="12" s="1"/>
  <c r="DE31" i="12"/>
  <c r="DC31" i="12"/>
  <c r="DA31" i="12"/>
  <c r="CY31" i="12"/>
  <c r="CW31" i="12"/>
  <c r="CU31" i="12"/>
  <c r="CS31" i="12"/>
  <c r="CQ31" i="12"/>
  <c r="CO31" i="12"/>
  <c r="CM31" i="12"/>
  <c r="CK31" i="12"/>
  <c r="CI31" i="12"/>
  <c r="CF31" i="12"/>
  <c r="CG31" i="12" s="1"/>
  <c r="CE31" i="12"/>
  <c r="CC31" i="12"/>
  <c r="CA31" i="12"/>
  <c r="BY31" i="12"/>
  <c r="BW31" i="12"/>
  <c r="BU31" i="12"/>
  <c r="BS31" i="12"/>
  <c r="BQ31" i="12"/>
  <c r="BO31" i="12"/>
  <c r="BM31" i="12"/>
  <c r="BK31" i="12"/>
  <c r="BI31" i="12"/>
  <c r="BF31" i="12"/>
  <c r="BG31" i="12" s="1"/>
  <c r="BE31" i="12"/>
  <c r="BC31" i="12"/>
  <c r="BA31" i="12"/>
  <c r="AY31" i="12"/>
  <c r="AW31" i="12"/>
  <c r="AU31" i="12"/>
  <c r="AS31" i="12"/>
  <c r="AQ31" i="12"/>
  <c r="AO31" i="12"/>
  <c r="AM31" i="12"/>
  <c r="AK31" i="12"/>
  <c r="AI31" i="12"/>
  <c r="AF31" i="12"/>
  <c r="AG31" i="12" s="1"/>
  <c r="AE31" i="12"/>
  <c r="AC31" i="12"/>
  <c r="AA31" i="12"/>
  <c r="Y31" i="12"/>
  <c r="W31" i="12"/>
  <c r="U31" i="12"/>
  <c r="S31" i="12"/>
  <c r="Q31" i="12"/>
  <c r="O31" i="12"/>
  <c r="M31" i="12"/>
  <c r="K31" i="12"/>
  <c r="I31" i="12"/>
  <c r="DF30" i="12"/>
  <c r="DG30" i="12" s="1"/>
  <c r="DE30" i="12"/>
  <c r="DC30" i="12"/>
  <c r="DA30" i="12"/>
  <c r="CY30" i="12"/>
  <c r="CW30" i="12"/>
  <c r="CU30" i="12"/>
  <c r="CS30" i="12"/>
  <c r="CQ30" i="12"/>
  <c r="CO30" i="12"/>
  <c r="CM30" i="12"/>
  <c r="CK30" i="12"/>
  <c r="CI30" i="12"/>
  <c r="CF30" i="12"/>
  <c r="CG30" i="12" s="1"/>
  <c r="CE30" i="12"/>
  <c r="CC30" i="12"/>
  <c r="CA30" i="12"/>
  <c r="BY30" i="12"/>
  <c r="BW30" i="12"/>
  <c r="BU30" i="12"/>
  <c r="BS30" i="12"/>
  <c r="BQ30" i="12"/>
  <c r="BO30" i="12"/>
  <c r="BM30" i="12"/>
  <c r="BK30" i="12"/>
  <c r="BI30" i="12"/>
  <c r="BF30" i="12"/>
  <c r="BG30" i="12" s="1"/>
  <c r="BE30" i="12"/>
  <c r="BC30" i="12"/>
  <c r="BA30" i="12"/>
  <c r="AY30" i="12"/>
  <c r="AW30" i="12"/>
  <c r="AU30" i="12"/>
  <c r="AS30" i="12"/>
  <c r="AQ30" i="12"/>
  <c r="AO30" i="12"/>
  <c r="AM30" i="12"/>
  <c r="AK30" i="12"/>
  <c r="AI30" i="12"/>
  <c r="AF30" i="12"/>
  <c r="AG30" i="12" s="1"/>
  <c r="AE30" i="12"/>
  <c r="AC30" i="12"/>
  <c r="AA30" i="12"/>
  <c r="Y30" i="12"/>
  <c r="W30" i="12"/>
  <c r="U30" i="12"/>
  <c r="S30" i="12"/>
  <c r="Q30" i="12"/>
  <c r="O30" i="12"/>
  <c r="M30" i="12"/>
  <c r="K30" i="12"/>
  <c r="I30" i="12"/>
  <c r="DF29" i="12"/>
  <c r="DG29" i="12" s="1"/>
  <c r="DE29" i="12"/>
  <c r="DC29" i="12"/>
  <c r="DA29" i="12"/>
  <c r="CY29" i="12"/>
  <c r="CW29" i="12"/>
  <c r="CU29" i="12"/>
  <c r="CS29" i="12"/>
  <c r="CQ29" i="12"/>
  <c r="CO29" i="12"/>
  <c r="CM29" i="12"/>
  <c r="CK29" i="12"/>
  <c r="CI29" i="12"/>
  <c r="CF29" i="12"/>
  <c r="CG29" i="12" s="1"/>
  <c r="CE29" i="12"/>
  <c r="CC29" i="12"/>
  <c r="CA29" i="12"/>
  <c r="BY29" i="12"/>
  <c r="BW29" i="12"/>
  <c r="BU29" i="12"/>
  <c r="BS29" i="12"/>
  <c r="BQ29" i="12"/>
  <c r="BO29" i="12"/>
  <c r="BM29" i="12"/>
  <c r="BK29" i="12"/>
  <c r="BI29" i="12"/>
  <c r="BF29" i="12"/>
  <c r="BG29" i="12" s="1"/>
  <c r="BE29" i="12"/>
  <c r="BC29" i="12"/>
  <c r="BA29" i="12"/>
  <c r="AY29" i="12"/>
  <c r="AW29" i="12"/>
  <c r="AU29" i="12"/>
  <c r="AS29" i="12"/>
  <c r="AQ29" i="12"/>
  <c r="AO29" i="12"/>
  <c r="AM29" i="12"/>
  <c r="AK29" i="12"/>
  <c r="AI29" i="12"/>
  <c r="AF29" i="12"/>
  <c r="AG29" i="12" s="1"/>
  <c r="AE29" i="12"/>
  <c r="AC29" i="12"/>
  <c r="AA29" i="12"/>
  <c r="Y29" i="12"/>
  <c r="W29" i="12"/>
  <c r="U29" i="12"/>
  <c r="S29" i="12"/>
  <c r="Q29" i="12"/>
  <c r="O29" i="12"/>
  <c r="M29" i="12"/>
  <c r="K29" i="12"/>
  <c r="I29" i="12"/>
  <c r="DF28" i="12"/>
  <c r="DE28" i="12"/>
  <c r="DC28" i="12"/>
  <c r="DA28" i="12"/>
  <c r="CY28" i="12"/>
  <c r="CW28" i="12"/>
  <c r="CU28" i="12"/>
  <c r="CS28" i="12"/>
  <c r="CQ28" i="12"/>
  <c r="CO28" i="12"/>
  <c r="CM28" i="12"/>
  <c r="CK28" i="12"/>
  <c r="CI28" i="12"/>
  <c r="CF28" i="12"/>
  <c r="CG28" i="12" s="1"/>
  <c r="CE28" i="12"/>
  <c r="CC28" i="12"/>
  <c r="CA28" i="12"/>
  <c r="BY28" i="12"/>
  <c r="BW28" i="12"/>
  <c r="BU28" i="12"/>
  <c r="BS28" i="12"/>
  <c r="BQ28" i="12"/>
  <c r="BO28" i="12"/>
  <c r="BM28" i="12"/>
  <c r="BK28" i="12"/>
  <c r="BI28" i="12"/>
  <c r="BF28" i="12"/>
  <c r="BG28" i="12" s="1"/>
  <c r="BE28" i="12"/>
  <c r="BC28" i="12"/>
  <c r="BA28" i="12"/>
  <c r="AY28" i="12"/>
  <c r="AW28" i="12"/>
  <c r="AU28" i="12"/>
  <c r="AS28" i="12"/>
  <c r="AQ28" i="12"/>
  <c r="AO28" i="12"/>
  <c r="AM28" i="12"/>
  <c r="AK28" i="12"/>
  <c r="AI28" i="12"/>
  <c r="AF28" i="12"/>
  <c r="AG28" i="12" s="1"/>
  <c r="AE28" i="12"/>
  <c r="AC28" i="12"/>
  <c r="AA28" i="12"/>
  <c r="Y28" i="12"/>
  <c r="W28" i="12"/>
  <c r="U28" i="12"/>
  <c r="S28" i="12"/>
  <c r="Q28" i="12"/>
  <c r="O28" i="12"/>
  <c r="M28" i="12"/>
  <c r="K28" i="12"/>
  <c r="I28" i="12"/>
  <c r="DF27" i="12"/>
  <c r="DG27" i="12" s="1"/>
  <c r="DE27" i="12"/>
  <c r="DC27" i="12"/>
  <c r="DA27" i="12"/>
  <c r="CY27" i="12"/>
  <c r="CW27" i="12"/>
  <c r="CU27" i="12"/>
  <c r="CS27" i="12"/>
  <c r="CQ27" i="12"/>
  <c r="CO27" i="12"/>
  <c r="CM27" i="12"/>
  <c r="CK27" i="12"/>
  <c r="CI27" i="12"/>
  <c r="CF27" i="12"/>
  <c r="CG27" i="12" s="1"/>
  <c r="CE27" i="12"/>
  <c r="CC27" i="12"/>
  <c r="CA27" i="12"/>
  <c r="BY27" i="12"/>
  <c r="BW27" i="12"/>
  <c r="BU27" i="12"/>
  <c r="BS27" i="12"/>
  <c r="BQ27" i="12"/>
  <c r="BO27" i="12"/>
  <c r="BM27" i="12"/>
  <c r="BK27" i="12"/>
  <c r="BI27" i="12"/>
  <c r="BF27" i="12"/>
  <c r="BG27" i="12" s="1"/>
  <c r="BE27" i="12"/>
  <c r="BC27" i="12"/>
  <c r="BA27" i="12"/>
  <c r="AY27" i="12"/>
  <c r="AW27" i="12"/>
  <c r="AU27" i="12"/>
  <c r="AS27" i="12"/>
  <c r="AQ27" i="12"/>
  <c r="AO27" i="12"/>
  <c r="AM27" i="12"/>
  <c r="AK27" i="12"/>
  <c r="AI27" i="12"/>
  <c r="AF27" i="12"/>
  <c r="AG27" i="12" s="1"/>
  <c r="AE27" i="12"/>
  <c r="AC27" i="12"/>
  <c r="AA27" i="12"/>
  <c r="Y27" i="12"/>
  <c r="W27" i="12"/>
  <c r="U27" i="12"/>
  <c r="S27" i="12"/>
  <c r="Q27" i="12"/>
  <c r="O27" i="12"/>
  <c r="M27" i="12"/>
  <c r="K27" i="12"/>
  <c r="I27" i="12"/>
  <c r="DF26" i="12"/>
  <c r="DG26" i="12" s="1"/>
  <c r="DE26" i="12"/>
  <c r="DC26" i="12"/>
  <c r="DA26" i="12"/>
  <c r="CY26" i="12"/>
  <c r="CW26" i="12"/>
  <c r="CU26" i="12"/>
  <c r="CS26" i="12"/>
  <c r="CQ26" i="12"/>
  <c r="CO26" i="12"/>
  <c r="CM26" i="12"/>
  <c r="CK26" i="12"/>
  <c r="CI26" i="12"/>
  <c r="CF26" i="12"/>
  <c r="CG26" i="12" s="1"/>
  <c r="CE26" i="12"/>
  <c r="CC26" i="12"/>
  <c r="CA26" i="12"/>
  <c r="BY26" i="12"/>
  <c r="BW26" i="12"/>
  <c r="BU26" i="12"/>
  <c r="BS26" i="12"/>
  <c r="BQ26" i="12"/>
  <c r="BO26" i="12"/>
  <c r="BM26" i="12"/>
  <c r="BK26" i="12"/>
  <c r="BI26" i="12"/>
  <c r="BF26" i="12"/>
  <c r="BG26" i="12" s="1"/>
  <c r="BE26" i="12"/>
  <c r="BC26" i="12"/>
  <c r="BA26" i="12"/>
  <c r="AY26" i="12"/>
  <c r="AW26" i="12"/>
  <c r="AU26" i="12"/>
  <c r="AS26" i="12"/>
  <c r="AQ26" i="12"/>
  <c r="AO26" i="12"/>
  <c r="AM26" i="12"/>
  <c r="AK26" i="12"/>
  <c r="AI26" i="12"/>
  <c r="AF26" i="12"/>
  <c r="AG26" i="12" s="1"/>
  <c r="AE26" i="12"/>
  <c r="AC26" i="12"/>
  <c r="AA26" i="12"/>
  <c r="Y26" i="12"/>
  <c r="W26" i="12"/>
  <c r="U26" i="12"/>
  <c r="S26" i="12"/>
  <c r="Q26" i="12"/>
  <c r="O26" i="12"/>
  <c r="M26" i="12"/>
  <c r="K26" i="12"/>
  <c r="I26" i="12"/>
  <c r="DF25" i="12"/>
  <c r="DG25" i="12" s="1"/>
  <c r="DE25" i="12"/>
  <c r="DC25" i="12"/>
  <c r="DA25" i="12"/>
  <c r="CY25" i="12"/>
  <c r="CW25" i="12"/>
  <c r="CU25" i="12"/>
  <c r="CS25" i="12"/>
  <c r="CQ25" i="12"/>
  <c r="CO25" i="12"/>
  <c r="CM25" i="12"/>
  <c r="CK25" i="12"/>
  <c r="CI25" i="12"/>
  <c r="CF25" i="12"/>
  <c r="CG25" i="12" s="1"/>
  <c r="CE25" i="12"/>
  <c r="CC25" i="12"/>
  <c r="CA25" i="12"/>
  <c r="BY25" i="12"/>
  <c r="BW25" i="12"/>
  <c r="BU25" i="12"/>
  <c r="BS25" i="12"/>
  <c r="BQ25" i="12"/>
  <c r="BO25" i="12"/>
  <c r="BM25" i="12"/>
  <c r="BK25" i="12"/>
  <c r="BI25" i="12"/>
  <c r="BF25" i="12"/>
  <c r="BG25" i="12" s="1"/>
  <c r="BE25" i="12"/>
  <c r="BC25" i="12"/>
  <c r="BA25" i="12"/>
  <c r="AY25" i="12"/>
  <c r="AW25" i="12"/>
  <c r="AU25" i="12"/>
  <c r="AS25" i="12"/>
  <c r="AQ25" i="12"/>
  <c r="AO25" i="12"/>
  <c r="AM25" i="12"/>
  <c r="AK25" i="12"/>
  <c r="AI25" i="12"/>
  <c r="AF25" i="12"/>
  <c r="AG25" i="12" s="1"/>
  <c r="AE25" i="12"/>
  <c r="AC25" i="12"/>
  <c r="AA25" i="12"/>
  <c r="Y25" i="12"/>
  <c r="W25" i="12"/>
  <c r="U25" i="12"/>
  <c r="S25" i="12"/>
  <c r="Q25" i="12"/>
  <c r="O25" i="12"/>
  <c r="M25" i="12"/>
  <c r="K25" i="12"/>
  <c r="I25" i="12"/>
  <c r="DF24" i="12"/>
  <c r="DG24" i="12" s="1"/>
  <c r="DE24" i="12"/>
  <c r="DC24" i="12"/>
  <c r="DA24" i="12"/>
  <c r="CY24" i="12"/>
  <c r="CW24" i="12"/>
  <c r="CU24" i="12"/>
  <c r="CS24" i="12"/>
  <c r="CQ24" i="12"/>
  <c r="CO24" i="12"/>
  <c r="CM24" i="12"/>
  <c r="CK24" i="12"/>
  <c r="CI24" i="12"/>
  <c r="CF24" i="12"/>
  <c r="CG24" i="12" s="1"/>
  <c r="CE24" i="12"/>
  <c r="CC24" i="12"/>
  <c r="CA24" i="12"/>
  <c r="BY24" i="12"/>
  <c r="BW24" i="12"/>
  <c r="BU24" i="12"/>
  <c r="BS24" i="12"/>
  <c r="BQ24" i="12"/>
  <c r="BO24" i="12"/>
  <c r="BM24" i="12"/>
  <c r="BK24" i="12"/>
  <c r="BI24" i="12"/>
  <c r="BF24" i="12"/>
  <c r="BG24" i="12" s="1"/>
  <c r="BE24" i="12"/>
  <c r="BC24" i="12"/>
  <c r="BA24" i="12"/>
  <c r="AY24" i="12"/>
  <c r="AW24" i="12"/>
  <c r="AU24" i="12"/>
  <c r="AS24" i="12"/>
  <c r="AQ24" i="12"/>
  <c r="AO24" i="12"/>
  <c r="AM24" i="12"/>
  <c r="AK24" i="12"/>
  <c r="AI24" i="12"/>
  <c r="AF24" i="12"/>
  <c r="AG24" i="12" s="1"/>
  <c r="AE24" i="12"/>
  <c r="AC24" i="12"/>
  <c r="AA24" i="12"/>
  <c r="Y24" i="12"/>
  <c r="W24" i="12"/>
  <c r="U24" i="12"/>
  <c r="S24" i="12"/>
  <c r="Q24" i="12"/>
  <c r="O24" i="12"/>
  <c r="M24" i="12"/>
  <c r="K24" i="12"/>
  <c r="I24" i="12"/>
  <c r="DF23" i="12"/>
  <c r="DG23" i="12" s="1"/>
  <c r="DE23" i="12"/>
  <c r="DC23" i="12"/>
  <c r="DA23" i="12"/>
  <c r="CY23" i="12"/>
  <c r="CW23" i="12"/>
  <c r="CU23" i="12"/>
  <c r="CS23" i="12"/>
  <c r="CQ23" i="12"/>
  <c r="CO23" i="12"/>
  <c r="CM23" i="12"/>
  <c r="CK23" i="12"/>
  <c r="CI23" i="12"/>
  <c r="CF23" i="12"/>
  <c r="CG23" i="12" s="1"/>
  <c r="CE23" i="12"/>
  <c r="CC23" i="12"/>
  <c r="CA23" i="12"/>
  <c r="BY23" i="12"/>
  <c r="BW23" i="12"/>
  <c r="BU23" i="12"/>
  <c r="BS23" i="12"/>
  <c r="BQ23" i="12"/>
  <c r="BO23" i="12"/>
  <c r="BM23" i="12"/>
  <c r="BK23" i="12"/>
  <c r="BI23" i="12"/>
  <c r="BF23" i="12"/>
  <c r="BG23" i="12" s="1"/>
  <c r="BE23" i="12"/>
  <c r="BC23" i="12"/>
  <c r="BA23" i="12"/>
  <c r="AY23" i="12"/>
  <c r="AW23" i="12"/>
  <c r="AU23" i="12"/>
  <c r="AS23" i="12"/>
  <c r="AQ23" i="12"/>
  <c r="AO23" i="12"/>
  <c r="AM23" i="12"/>
  <c r="AK23" i="12"/>
  <c r="AI23" i="12"/>
  <c r="AF23" i="12"/>
  <c r="AG23" i="12" s="1"/>
  <c r="AE23" i="12"/>
  <c r="AC23" i="12"/>
  <c r="AA23" i="12"/>
  <c r="Y23" i="12"/>
  <c r="W23" i="12"/>
  <c r="U23" i="12"/>
  <c r="S23" i="12"/>
  <c r="Q23" i="12"/>
  <c r="O23" i="12"/>
  <c r="M23" i="12"/>
  <c r="K23" i="12"/>
  <c r="I23" i="12"/>
  <c r="DF22" i="12"/>
  <c r="DG22" i="12" s="1"/>
  <c r="DE22" i="12"/>
  <c r="DC22" i="12"/>
  <c r="DA22" i="12"/>
  <c r="CY22" i="12"/>
  <c r="CW22" i="12"/>
  <c r="CU22" i="12"/>
  <c r="CS22" i="12"/>
  <c r="CQ22" i="12"/>
  <c r="CO22" i="12"/>
  <c r="CM22" i="12"/>
  <c r="CK22" i="12"/>
  <c r="CI22" i="12"/>
  <c r="CF22" i="12"/>
  <c r="CG22" i="12" s="1"/>
  <c r="CE22" i="12"/>
  <c r="CC22" i="12"/>
  <c r="CA22" i="12"/>
  <c r="BY22" i="12"/>
  <c r="BW22" i="12"/>
  <c r="BU22" i="12"/>
  <c r="BS22" i="12"/>
  <c r="BQ22" i="12"/>
  <c r="BO22" i="12"/>
  <c r="BM22" i="12"/>
  <c r="BK22" i="12"/>
  <c r="BI22" i="12"/>
  <c r="BF22" i="12"/>
  <c r="BG22" i="12" s="1"/>
  <c r="BE22" i="12"/>
  <c r="BC22" i="12"/>
  <c r="BA22" i="12"/>
  <c r="AY22" i="12"/>
  <c r="AW22" i="12"/>
  <c r="AU22" i="12"/>
  <c r="AS22" i="12"/>
  <c r="AQ22" i="12"/>
  <c r="AO22" i="12"/>
  <c r="AM22" i="12"/>
  <c r="AK22" i="12"/>
  <c r="AI22" i="12"/>
  <c r="AF22" i="12"/>
  <c r="AG22" i="12" s="1"/>
  <c r="AE22" i="12"/>
  <c r="AC22" i="12"/>
  <c r="AA22" i="12"/>
  <c r="Y22" i="12"/>
  <c r="W22" i="12"/>
  <c r="U22" i="12"/>
  <c r="S22" i="12"/>
  <c r="Q22" i="12"/>
  <c r="O22" i="12"/>
  <c r="M22" i="12"/>
  <c r="K22" i="12"/>
  <c r="I22" i="12"/>
  <c r="DF21" i="12"/>
  <c r="DE21" i="12"/>
  <c r="DC21" i="12"/>
  <c r="DA21" i="12"/>
  <c r="CY21" i="12"/>
  <c r="CW21" i="12"/>
  <c r="CU21" i="12"/>
  <c r="CS21" i="12"/>
  <c r="CQ21" i="12"/>
  <c r="CO21" i="12"/>
  <c r="CM21" i="12"/>
  <c r="CK21" i="12"/>
  <c r="CI21" i="12"/>
  <c r="CF21" i="12"/>
  <c r="CG21" i="12" s="1"/>
  <c r="CE21" i="12"/>
  <c r="CC21" i="12"/>
  <c r="CA21" i="12"/>
  <c r="BY21" i="12"/>
  <c r="BW21" i="12"/>
  <c r="BU21" i="12"/>
  <c r="BS21" i="12"/>
  <c r="BQ21" i="12"/>
  <c r="BO21" i="12"/>
  <c r="BM21" i="12"/>
  <c r="BK21" i="12"/>
  <c r="BI21" i="12"/>
  <c r="BF21" i="12"/>
  <c r="BG21" i="12" s="1"/>
  <c r="BE21" i="12"/>
  <c r="BC21" i="12"/>
  <c r="BA21" i="12"/>
  <c r="AY21" i="12"/>
  <c r="AW21" i="12"/>
  <c r="AU21" i="12"/>
  <c r="AS21" i="12"/>
  <c r="AQ21" i="12"/>
  <c r="AO21" i="12"/>
  <c r="AM21" i="12"/>
  <c r="AK21" i="12"/>
  <c r="AI21" i="12"/>
  <c r="AF21" i="12"/>
  <c r="AG21" i="12" s="1"/>
  <c r="AE21" i="12"/>
  <c r="AC21" i="12"/>
  <c r="AA21" i="12"/>
  <c r="Y21" i="12"/>
  <c r="W21" i="12"/>
  <c r="U21" i="12"/>
  <c r="S21" i="12"/>
  <c r="Q21" i="12"/>
  <c r="O21" i="12"/>
  <c r="M21" i="12"/>
  <c r="K21" i="12"/>
  <c r="I21" i="12"/>
  <c r="DF20" i="12"/>
  <c r="DG20" i="12" s="1"/>
  <c r="DE20" i="12"/>
  <c r="DC20" i="12"/>
  <c r="DA20" i="12"/>
  <c r="CY20" i="12"/>
  <c r="CW20" i="12"/>
  <c r="CU20" i="12"/>
  <c r="CS20" i="12"/>
  <c r="CQ20" i="12"/>
  <c r="CO20" i="12"/>
  <c r="CM20" i="12"/>
  <c r="CK20" i="12"/>
  <c r="CI20" i="12"/>
  <c r="CF20" i="12"/>
  <c r="CG20" i="12" s="1"/>
  <c r="CE20" i="12"/>
  <c r="CC20" i="12"/>
  <c r="CA20" i="12"/>
  <c r="BY20" i="12"/>
  <c r="BW20" i="12"/>
  <c r="BU20" i="12"/>
  <c r="BS20" i="12"/>
  <c r="BQ20" i="12"/>
  <c r="BO20" i="12"/>
  <c r="BM20" i="12"/>
  <c r="BK20" i="12"/>
  <c r="BI20" i="12"/>
  <c r="BF20" i="12"/>
  <c r="BG20" i="12" s="1"/>
  <c r="BE20" i="12"/>
  <c r="BC20" i="12"/>
  <c r="BA20" i="12"/>
  <c r="AY20" i="12"/>
  <c r="AW20" i="12"/>
  <c r="AU20" i="12"/>
  <c r="AS20" i="12"/>
  <c r="AQ20" i="12"/>
  <c r="AO20" i="12"/>
  <c r="AM20" i="12"/>
  <c r="AK20" i="12"/>
  <c r="AI20" i="12"/>
  <c r="AF20" i="12"/>
  <c r="AG20" i="12" s="1"/>
  <c r="AE20" i="12"/>
  <c r="AC20" i="12"/>
  <c r="AA20" i="12"/>
  <c r="Y20" i="12"/>
  <c r="W20" i="12"/>
  <c r="U20" i="12"/>
  <c r="S20" i="12"/>
  <c r="Q20" i="12"/>
  <c r="O20" i="12"/>
  <c r="M20" i="12"/>
  <c r="K20" i="12"/>
  <c r="I20" i="12"/>
  <c r="DF19" i="12"/>
  <c r="DG19" i="12" s="1"/>
  <c r="DE19" i="12"/>
  <c r="DC19" i="12"/>
  <c r="DA19" i="12"/>
  <c r="CY19" i="12"/>
  <c r="CW19" i="12"/>
  <c r="CU19" i="12"/>
  <c r="CS19" i="12"/>
  <c r="CQ19" i="12"/>
  <c r="CO19" i="12"/>
  <c r="CM19" i="12"/>
  <c r="CK19" i="12"/>
  <c r="CI19" i="12"/>
  <c r="CF19" i="12"/>
  <c r="CG19" i="12" s="1"/>
  <c r="CE19" i="12"/>
  <c r="CC19" i="12"/>
  <c r="CA19" i="12"/>
  <c r="BY19" i="12"/>
  <c r="BW19" i="12"/>
  <c r="BU19" i="12"/>
  <c r="BS19" i="12"/>
  <c r="BQ19" i="12"/>
  <c r="BO19" i="12"/>
  <c r="BM19" i="12"/>
  <c r="BK19" i="12"/>
  <c r="BI19" i="12"/>
  <c r="BF19" i="12"/>
  <c r="BG19" i="12" s="1"/>
  <c r="BE19" i="12"/>
  <c r="BC19" i="12"/>
  <c r="BA19" i="12"/>
  <c r="AY19" i="12"/>
  <c r="AW19" i="12"/>
  <c r="AU19" i="12"/>
  <c r="AS19" i="12"/>
  <c r="AQ19" i="12"/>
  <c r="AO19" i="12"/>
  <c r="AM19" i="12"/>
  <c r="AK19" i="12"/>
  <c r="AI19" i="12"/>
  <c r="AF19" i="12"/>
  <c r="AG19" i="12" s="1"/>
  <c r="AE19" i="12"/>
  <c r="AC19" i="12"/>
  <c r="AA19" i="12"/>
  <c r="Y19" i="12"/>
  <c r="W19" i="12"/>
  <c r="U19" i="12"/>
  <c r="S19" i="12"/>
  <c r="Q19" i="12"/>
  <c r="O19" i="12"/>
  <c r="M19" i="12"/>
  <c r="K19" i="12"/>
  <c r="I19" i="12"/>
  <c r="DF18" i="12"/>
  <c r="DG18" i="12" s="1"/>
  <c r="DE18" i="12"/>
  <c r="DC18" i="12"/>
  <c r="DA18" i="12"/>
  <c r="CY18" i="12"/>
  <c r="CW18" i="12"/>
  <c r="CU18" i="12"/>
  <c r="CS18" i="12"/>
  <c r="CQ18" i="12"/>
  <c r="CO18" i="12"/>
  <c r="CM18" i="12"/>
  <c r="CK18" i="12"/>
  <c r="CI18" i="12"/>
  <c r="CF18" i="12"/>
  <c r="CG18" i="12" s="1"/>
  <c r="CE18" i="12"/>
  <c r="CC18" i="12"/>
  <c r="CA18" i="12"/>
  <c r="BY18" i="12"/>
  <c r="BW18" i="12"/>
  <c r="BU18" i="12"/>
  <c r="BS18" i="12"/>
  <c r="BQ18" i="12"/>
  <c r="BO18" i="12"/>
  <c r="BM18" i="12"/>
  <c r="BK18" i="12"/>
  <c r="BI18" i="12"/>
  <c r="BF18" i="12"/>
  <c r="BG18" i="12" s="1"/>
  <c r="BE18" i="12"/>
  <c r="BC18" i="12"/>
  <c r="BA18" i="12"/>
  <c r="AY18" i="12"/>
  <c r="AW18" i="12"/>
  <c r="AU18" i="12"/>
  <c r="AS18" i="12"/>
  <c r="AQ18" i="12"/>
  <c r="AO18" i="12"/>
  <c r="AM18" i="12"/>
  <c r="AK18" i="12"/>
  <c r="AI18" i="12"/>
  <c r="AF18" i="12"/>
  <c r="AG18" i="12" s="1"/>
  <c r="AE18" i="12"/>
  <c r="AC18" i="12"/>
  <c r="AA18" i="12"/>
  <c r="Y18" i="12"/>
  <c r="W18" i="12"/>
  <c r="U18" i="12"/>
  <c r="S18" i="12"/>
  <c r="Q18" i="12"/>
  <c r="O18" i="12"/>
  <c r="M18" i="12"/>
  <c r="K18" i="12"/>
  <c r="I18" i="12"/>
  <c r="DF17" i="12"/>
  <c r="DE17" i="12"/>
  <c r="DC17" i="12"/>
  <c r="DA17" i="12"/>
  <c r="CY17" i="12"/>
  <c r="CW17" i="12"/>
  <c r="CU17" i="12"/>
  <c r="CS17" i="12"/>
  <c r="CQ17" i="12"/>
  <c r="CO17" i="12"/>
  <c r="CM17" i="12"/>
  <c r="CK17" i="12"/>
  <c r="CI17" i="12"/>
  <c r="CF17" i="12"/>
  <c r="CG17" i="12" s="1"/>
  <c r="CE17" i="12"/>
  <c r="CC17" i="12"/>
  <c r="CA17" i="12"/>
  <c r="BY17" i="12"/>
  <c r="BW17" i="12"/>
  <c r="BU17" i="12"/>
  <c r="BS17" i="12"/>
  <c r="BQ17" i="12"/>
  <c r="BO17" i="12"/>
  <c r="BM17" i="12"/>
  <c r="BK17" i="12"/>
  <c r="BI17" i="12"/>
  <c r="BF17" i="12"/>
  <c r="BG17" i="12" s="1"/>
  <c r="BE17" i="12"/>
  <c r="BC17" i="12"/>
  <c r="BA17" i="12"/>
  <c r="AY17" i="12"/>
  <c r="AW17" i="12"/>
  <c r="AU17" i="12"/>
  <c r="AS17" i="12"/>
  <c r="AQ17" i="12"/>
  <c r="AO17" i="12"/>
  <c r="AM17" i="12"/>
  <c r="AK17" i="12"/>
  <c r="AI17" i="12"/>
  <c r="AF17" i="12"/>
  <c r="AG17" i="12" s="1"/>
  <c r="AE17" i="12"/>
  <c r="AC17" i="12"/>
  <c r="AA17" i="12"/>
  <c r="Y17" i="12"/>
  <c r="W17" i="12"/>
  <c r="U17" i="12"/>
  <c r="S17" i="12"/>
  <c r="Q17" i="12"/>
  <c r="O17" i="12"/>
  <c r="M17" i="12"/>
  <c r="K17" i="12"/>
  <c r="I17" i="12"/>
  <c r="DF16" i="12"/>
  <c r="DG16" i="12" s="1"/>
  <c r="DE16" i="12"/>
  <c r="DC16" i="12"/>
  <c r="DA16" i="12"/>
  <c r="CY16" i="12"/>
  <c r="CW16" i="12"/>
  <c r="CU16" i="12"/>
  <c r="CS16" i="12"/>
  <c r="CQ16" i="12"/>
  <c r="CO16" i="12"/>
  <c r="CM16" i="12"/>
  <c r="CK16" i="12"/>
  <c r="CI16" i="12"/>
  <c r="CF16" i="12"/>
  <c r="CG16" i="12" s="1"/>
  <c r="CE16" i="12"/>
  <c r="CC16" i="12"/>
  <c r="CA16" i="12"/>
  <c r="BY16" i="12"/>
  <c r="BW16" i="12"/>
  <c r="BU16" i="12"/>
  <c r="BS16" i="12"/>
  <c r="BQ16" i="12"/>
  <c r="BO16" i="12"/>
  <c r="BM16" i="12"/>
  <c r="BK16" i="12"/>
  <c r="BI16" i="12"/>
  <c r="BF16" i="12"/>
  <c r="BG16" i="12" s="1"/>
  <c r="BE16" i="12"/>
  <c r="BC16" i="12"/>
  <c r="BA16" i="12"/>
  <c r="AY16" i="12"/>
  <c r="AW16" i="12"/>
  <c r="AU16" i="12"/>
  <c r="AS16" i="12"/>
  <c r="AQ16" i="12"/>
  <c r="AO16" i="12"/>
  <c r="AM16" i="12"/>
  <c r="AK16" i="12"/>
  <c r="AI16" i="12"/>
  <c r="AF16" i="12"/>
  <c r="AG16" i="12" s="1"/>
  <c r="AE16" i="12"/>
  <c r="AC16" i="12"/>
  <c r="AA16" i="12"/>
  <c r="Y16" i="12"/>
  <c r="W16" i="12"/>
  <c r="U16" i="12"/>
  <c r="S16" i="12"/>
  <c r="Q16" i="12"/>
  <c r="O16" i="12"/>
  <c r="M16" i="12"/>
  <c r="K16" i="12"/>
  <c r="I16" i="12"/>
  <c r="DF15" i="12"/>
  <c r="DG15" i="12" s="1"/>
  <c r="DE15" i="12"/>
  <c r="DC15" i="12"/>
  <c r="DA15" i="12"/>
  <c r="CY15" i="12"/>
  <c r="CW15" i="12"/>
  <c r="CU15" i="12"/>
  <c r="CS15" i="12"/>
  <c r="CQ15" i="12"/>
  <c r="CO15" i="12"/>
  <c r="CM15" i="12"/>
  <c r="CK15" i="12"/>
  <c r="CI15" i="12"/>
  <c r="CF15" i="12"/>
  <c r="CG15" i="12" s="1"/>
  <c r="CE15" i="12"/>
  <c r="CC15" i="12"/>
  <c r="CA15" i="12"/>
  <c r="BY15" i="12"/>
  <c r="BW15" i="12"/>
  <c r="BU15" i="12"/>
  <c r="BS15" i="12"/>
  <c r="BQ15" i="12"/>
  <c r="BO15" i="12"/>
  <c r="BM15" i="12"/>
  <c r="BK15" i="12"/>
  <c r="BI15" i="12"/>
  <c r="BF15" i="12"/>
  <c r="BG15" i="12" s="1"/>
  <c r="BE15" i="12"/>
  <c r="BC15" i="12"/>
  <c r="BA15" i="12"/>
  <c r="AY15" i="12"/>
  <c r="AW15" i="12"/>
  <c r="AU15" i="12"/>
  <c r="AS15" i="12"/>
  <c r="AQ15" i="12"/>
  <c r="AO15" i="12"/>
  <c r="AM15" i="12"/>
  <c r="AK15" i="12"/>
  <c r="AI15" i="12"/>
  <c r="AF15" i="12"/>
  <c r="AG15" i="12" s="1"/>
  <c r="AE15" i="12"/>
  <c r="AC15" i="12"/>
  <c r="AA15" i="12"/>
  <c r="Y15" i="12"/>
  <c r="W15" i="12"/>
  <c r="U15" i="12"/>
  <c r="S15" i="12"/>
  <c r="Q15" i="12"/>
  <c r="O15" i="12"/>
  <c r="M15" i="12"/>
  <c r="K15" i="12"/>
  <c r="I15" i="12"/>
  <c r="DF14" i="12"/>
  <c r="DG14" i="12" s="1"/>
  <c r="DE14" i="12"/>
  <c r="DC14" i="12"/>
  <c r="DA14" i="12"/>
  <c r="CY14" i="12"/>
  <c r="CW14" i="12"/>
  <c r="CU14" i="12"/>
  <c r="CS14" i="12"/>
  <c r="CQ14" i="12"/>
  <c r="CO14" i="12"/>
  <c r="CM14" i="12"/>
  <c r="CK14" i="12"/>
  <c r="CI14" i="12"/>
  <c r="CF14" i="12"/>
  <c r="CG14" i="12" s="1"/>
  <c r="CE14" i="12"/>
  <c r="CC14" i="12"/>
  <c r="CA14" i="12"/>
  <c r="BY14" i="12"/>
  <c r="BW14" i="12"/>
  <c r="BU14" i="12"/>
  <c r="BS14" i="12"/>
  <c r="BQ14" i="12"/>
  <c r="BO14" i="12"/>
  <c r="BM14" i="12"/>
  <c r="BK14" i="12"/>
  <c r="BI14" i="12"/>
  <c r="BF14" i="12"/>
  <c r="BG14" i="12" s="1"/>
  <c r="BE14" i="12"/>
  <c r="BC14" i="12"/>
  <c r="BA14" i="12"/>
  <c r="AY14" i="12"/>
  <c r="AW14" i="12"/>
  <c r="AU14" i="12"/>
  <c r="AS14" i="12"/>
  <c r="AQ14" i="12"/>
  <c r="AO14" i="12"/>
  <c r="AM14" i="12"/>
  <c r="AK14" i="12"/>
  <c r="AI14" i="12"/>
  <c r="AF14" i="12"/>
  <c r="AG14" i="12" s="1"/>
  <c r="AE14" i="12"/>
  <c r="AC14" i="12"/>
  <c r="AA14" i="12"/>
  <c r="Y14" i="12"/>
  <c r="W14" i="12"/>
  <c r="U14" i="12"/>
  <c r="S14" i="12"/>
  <c r="Q14" i="12"/>
  <c r="O14" i="12"/>
  <c r="M14" i="12"/>
  <c r="K14" i="12"/>
  <c r="I14" i="12"/>
  <c r="DF13" i="12"/>
  <c r="DG13" i="12" s="1"/>
  <c r="DE13" i="12"/>
  <c r="DC13" i="12"/>
  <c r="DA13" i="12"/>
  <c r="CY13" i="12"/>
  <c r="CW13" i="12"/>
  <c r="CU13" i="12"/>
  <c r="CS13" i="12"/>
  <c r="CQ13" i="12"/>
  <c r="CO13" i="12"/>
  <c r="CM13" i="12"/>
  <c r="CK13" i="12"/>
  <c r="CI13" i="12"/>
  <c r="CF13" i="12"/>
  <c r="CG13" i="12" s="1"/>
  <c r="CE13" i="12"/>
  <c r="CC13" i="12"/>
  <c r="CA13" i="12"/>
  <c r="BY13" i="12"/>
  <c r="BW13" i="12"/>
  <c r="BU13" i="12"/>
  <c r="BS13" i="12"/>
  <c r="BQ13" i="12"/>
  <c r="BO13" i="12"/>
  <c r="BM13" i="12"/>
  <c r="BK13" i="12"/>
  <c r="BI13" i="12"/>
  <c r="BF13" i="12"/>
  <c r="BG13" i="12" s="1"/>
  <c r="BE13" i="12"/>
  <c r="BC13" i="12"/>
  <c r="BA13" i="12"/>
  <c r="AY13" i="12"/>
  <c r="AW13" i="12"/>
  <c r="AU13" i="12"/>
  <c r="AS13" i="12"/>
  <c r="AQ13" i="12"/>
  <c r="AO13" i="12"/>
  <c r="AM13" i="12"/>
  <c r="AK13" i="12"/>
  <c r="AI13" i="12"/>
  <c r="AF13" i="12"/>
  <c r="AG13" i="12" s="1"/>
  <c r="AE13" i="12"/>
  <c r="AC13" i="12"/>
  <c r="AA13" i="12"/>
  <c r="Y13" i="12"/>
  <c r="W13" i="12"/>
  <c r="U13" i="12"/>
  <c r="S13" i="12"/>
  <c r="Q13" i="12"/>
  <c r="O13" i="12"/>
  <c r="M13" i="12"/>
  <c r="K13" i="12"/>
  <c r="I13" i="12"/>
  <c r="DF12" i="12"/>
  <c r="DG12" i="12" s="1"/>
  <c r="DE12" i="12"/>
  <c r="DC12" i="12"/>
  <c r="DA12" i="12"/>
  <c r="CY12" i="12"/>
  <c r="CW12" i="12"/>
  <c r="CU12" i="12"/>
  <c r="CS12" i="12"/>
  <c r="CQ12" i="12"/>
  <c r="CO12" i="12"/>
  <c r="CM12" i="12"/>
  <c r="CK12" i="12"/>
  <c r="CI12" i="12"/>
  <c r="CF12" i="12"/>
  <c r="CG12" i="12" s="1"/>
  <c r="CE12" i="12"/>
  <c r="CC12" i="12"/>
  <c r="CA12" i="12"/>
  <c r="BY12" i="12"/>
  <c r="BW12" i="12"/>
  <c r="BU12" i="12"/>
  <c r="BS12" i="12"/>
  <c r="BQ12" i="12"/>
  <c r="BO12" i="12"/>
  <c r="BM12" i="12"/>
  <c r="BK12" i="12"/>
  <c r="BI12" i="12"/>
  <c r="BF12" i="12"/>
  <c r="BG12" i="12" s="1"/>
  <c r="BE12" i="12"/>
  <c r="BC12" i="12"/>
  <c r="BA12" i="12"/>
  <c r="AY12" i="12"/>
  <c r="AW12" i="12"/>
  <c r="AU12" i="12"/>
  <c r="AS12" i="12"/>
  <c r="AQ12" i="12"/>
  <c r="AO12" i="12"/>
  <c r="AM12" i="12"/>
  <c r="AK12" i="12"/>
  <c r="AI12" i="12"/>
  <c r="AF12" i="12"/>
  <c r="AG12" i="12" s="1"/>
  <c r="AE12" i="12"/>
  <c r="AC12" i="12"/>
  <c r="AA12" i="12"/>
  <c r="Y12" i="12"/>
  <c r="W12" i="12"/>
  <c r="U12" i="12"/>
  <c r="S12" i="12"/>
  <c r="Q12" i="12"/>
  <c r="O12" i="12"/>
  <c r="M12" i="12"/>
  <c r="K12" i="12"/>
  <c r="I12" i="12"/>
  <c r="DF11" i="12"/>
  <c r="DG11" i="12" s="1"/>
  <c r="DE11" i="12"/>
  <c r="DC11" i="12"/>
  <c r="DA11" i="12"/>
  <c r="CY11" i="12"/>
  <c r="CW11" i="12"/>
  <c r="CU11" i="12"/>
  <c r="CS11" i="12"/>
  <c r="CQ11" i="12"/>
  <c r="CO11" i="12"/>
  <c r="CM11" i="12"/>
  <c r="CK11" i="12"/>
  <c r="CI11" i="12"/>
  <c r="CF11" i="12"/>
  <c r="CG11" i="12" s="1"/>
  <c r="CE11" i="12"/>
  <c r="CC11" i="12"/>
  <c r="CA11" i="12"/>
  <c r="BY11" i="12"/>
  <c r="BW11" i="12"/>
  <c r="BU11" i="12"/>
  <c r="BS11" i="12"/>
  <c r="BQ11" i="12"/>
  <c r="BO11" i="12"/>
  <c r="BM11" i="12"/>
  <c r="BK11" i="12"/>
  <c r="BI11" i="12"/>
  <c r="BF11" i="12"/>
  <c r="BG11" i="12" s="1"/>
  <c r="BE11" i="12"/>
  <c r="BC11" i="12"/>
  <c r="BA11" i="12"/>
  <c r="AY11" i="12"/>
  <c r="AW11" i="12"/>
  <c r="AU11" i="12"/>
  <c r="AS11" i="12"/>
  <c r="AQ11" i="12"/>
  <c r="AO11" i="12"/>
  <c r="AM11" i="12"/>
  <c r="AK11" i="12"/>
  <c r="AI11" i="12"/>
  <c r="AF11" i="12"/>
  <c r="AG11" i="12" s="1"/>
  <c r="AE11" i="12"/>
  <c r="AC11" i="12"/>
  <c r="AA11" i="12"/>
  <c r="Y11" i="12"/>
  <c r="W11" i="12"/>
  <c r="U11" i="12"/>
  <c r="S11" i="12"/>
  <c r="Q11" i="12"/>
  <c r="O11" i="12"/>
  <c r="M11" i="12"/>
  <c r="K11" i="12"/>
  <c r="I11" i="12"/>
  <c r="DF10" i="12"/>
  <c r="DG10" i="12" s="1"/>
  <c r="DE10" i="12"/>
  <c r="DC10" i="12"/>
  <c r="DA10" i="12"/>
  <c r="CY10" i="12"/>
  <c r="CW10" i="12"/>
  <c r="CU10" i="12"/>
  <c r="CS10" i="12"/>
  <c r="CQ10" i="12"/>
  <c r="CO10" i="12"/>
  <c r="CM10" i="12"/>
  <c r="CK10" i="12"/>
  <c r="CI10" i="12"/>
  <c r="CF10" i="12"/>
  <c r="CG10" i="12" s="1"/>
  <c r="CE10" i="12"/>
  <c r="CC10" i="12"/>
  <c r="CA10" i="12"/>
  <c r="BY10" i="12"/>
  <c r="BW10" i="12"/>
  <c r="BU10" i="12"/>
  <c r="BS10" i="12"/>
  <c r="BQ10" i="12"/>
  <c r="BO10" i="12"/>
  <c r="BM10" i="12"/>
  <c r="BK10" i="12"/>
  <c r="BI10" i="12"/>
  <c r="BF10" i="12"/>
  <c r="BG10" i="12" s="1"/>
  <c r="BE10" i="12"/>
  <c r="BC10" i="12"/>
  <c r="BA10" i="12"/>
  <c r="AY10" i="12"/>
  <c r="AW10" i="12"/>
  <c r="AU10" i="12"/>
  <c r="AS10" i="12"/>
  <c r="AQ10" i="12"/>
  <c r="AO10" i="12"/>
  <c r="AM10" i="12"/>
  <c r="AK10" i="12"/>
  <c r="AI10" i="12"/>
  <c r="AF10" i="12"/>
  <c r="AG10" i="12" s="1"/>
  <c r="AE10" i="12"/>
  <c r="AC10" i="12"/>
  <c r="AA10" i="12"/>
  <c r="Y10" i="12"/>
  <c r="W10" i="12"/>
  <c r="U10" i="12"/>
  <c r="S10" i="12"/>
  <c r="Q10" i="12"/>
  <c r="O10" i="12"/>
  <c r="M10" i="12"/>
  <c r="K10" i="12"/>
  <c r="I10" i="12"/>
  <c r="DF9" i="12"/>
  <c r="DE9" i="12"/>
  <c r="DC9" i="12"/>
  <c r="DA9" i="12"/>
  <c r="CY9" i="12"/>
  <c r="CW9" i="12"/>
  <c r="CU9" i="12"/>
  <c r="CS9" i="12"/>
  <c r="CQ9" i="12"/>
  <c r="CO9" i="12"/>
  <c r="CM9" i="12"/>
  <c r="CK9" i="12"/>
  <c r="CI9" i="12"/>
  <c r="CF9" i="12"/>
  <c r="CG9" i="12" s="1"/>
  <c r="CE9" i="12"/>
  <c r="CC9" i="12"/>
  <c r="CA9" i="12"/>
  <c r="BY9" i="12"/>
  <c r="BW9" i="12"/>
  <c r="BU9" i="12"/>
  <c r="BS9" i="12"/>
  <c r="BQ9" i="12"/>
  <c r="BO9" i="12"/>
  <c r="BM9" i="12"/>
  <c r="BK9" i="12"/>
  <c r="BI9" i="12"/>
  <c r="BF9" i="12"/>
  <c r="BG9" i="12" s="1"/>
  <c r="BE9" i="12"/>
  <c r="BC9" i="12"/>
  <c r="BA9" i="12"/>
  <c r="AY9" i="12"/>
  <c r="AW9" i="12"/>
  <c r="AU9" i="12"/>
  <c r="AS9" i="12"/>
  <c r="AQ9" i="12"/>
  <c r="AO9" i="12"/>
  <c r="AM9" i="12"/>
  <c r="AK9" i="12"/>
  <c r="AI9" i="12"/>
  <c r="AF9" i="12"/>
  <c r="AG9" i="12" s="1"/>
  <c r="AE9" i="12"/>
  <c r="AC9" i="12"/>
  <c r="AA9" i="12"/>
  <c r="Y9" i="12"/>
  <c r="W9" i="12"/>
  <c r="U9" i="12"/>
  <c r="S9" i="12"/>
  <c r="Q9" i="12"/>
  <c r="O9" i="12"/>
  <c r="M9" i="12"/>
  <c r="K9" i="12"/>
  <c r="I9" i="12"/>
  <c r="DF8" i="12"/>
  <c r="DG8" i="12" s="1"/>
  <c r="DE8" i="12"/>
  <c r="DC8" i="12"/>
  <c r="DA8" i="12"/>
  <c r="CY8" i="12"/>
  <c r="CW8" i="12"/>
  <c r="CU8" i="12"/>
  <c r="CS8" i="12"/>
  <c r="CQ8" i="12"/>
  <c r="CO8" i="12"/>
  <c r="CM8" i="12"/>
  <c r="CK8" i="12"/>
  <c r="CI8" i="12"/>
  <c r="CF8" i="12"/>
  <c r="CG8" i="12" s="1"/>
  <c r="CE8" i="12"/>
  <c r="CC8" i="12"/>
  <c r="CA8" i="12"/>
  <c r="BY8" i="12"/>
  <c r="BW8" i="12"/>
  <c r="BU8" i="12"/>
  <c r="BS8" i="12"/>
  <c r="BQ8" i="12"/>
  <c r="BO8" i="12"/>
  <c r="BM8" i="12"/>
  <c r="BK8" i="12"/>
  <c r="BI8" i="12"/>
  <c r="BF8" i="12"/>
  <c r="BG8" i="12" s="1"/>
  <c r="BE8" i="12"/>
  <c r="BC8" i="12"/>
  <c r="BA8" i="12"/>
  <c r="AY8" i="12"/>
  <c r="AW8" i="12"/>
  <c r="AU8" i="12"/>
  <c r="AS8" i="12"/>
  <c r="AQ8" i="12"/>
  <c r="AO8" i="12"/>
  <c r="AM8" i="12"/>
  <c r="AK8" i="12"/>
  <c r="AI8" i="12"/>
  <c r="AF8" i="12"/>
  <c r="AG8" i="12" s="1"/>
  <c r="AE8" i="12"/>
  <c r="AC8" i="12"/>
  <c r="AA8" i="12"/>
  <c r="Y8" i="12"/>
  <c r="W8" i="12"/>
  <c r="U8" i="12"/>
  <c r="S8" i="12"/>
  <c r="Q8" i="12"/>
  <c r="O8" i="12"/>
  <c r="M8" i="12"/>
  <c r="K8" i="12"/>
  <c r="I8" i="12"/>
  <c r="DF7" i="12"/>
  <c r="DG7" i="12" s="1"/>
  <c r="DE7" i="12"/>
  <c r="DC7" i="12"/>
  <c r="DA7" i="12"/>
  <c r="CY7" i="12"/>
  <c r="CW7" i="12"/>
  <c r="CU7" i="12"/>
  <c r="CS7" i="12"/>
  <c r="CQ7" i="12"/>
  <c r="CO7" i="12"/>
  <c r="CM7" i="12"/>
  <c r="CK7" i="12"/>
  <c r="CI7" i="12"/>
  <c r="CF7" i="12"/>
  <c r="CG7" i="12" s="1"/>
  <c r="CE7" i="12"/>
  <c r="CC7" i="12"/>
  <c r="CA7" i="12"/>
  <c r="BY7" i="12"/>
  <c r="BW7" i="12"/>
  <c r="BU7" i="12"/>
  <c r="BS7" i="12"/>
  <c r="BQ7" i="12"/>
  <c r="BO7" i="12"/>
  <c r="BM7" i="12"/>
  <c r="BK7" i="12"/>
  <c r="BI7" i="12"/>
  <c r="BF7" i="12"/>
  <c r="BG7" i="12" s="1"/>
  <c r="BE7" i="12"/>
  <c r="BC7" i="12"/>
  <c r="BA7" i="12"/>
  <c r="AY7" i="12"/>
  <c r="AW7" i="12"/>
  <c r="AU7" i="12"/>
  <c r="AS7" i="12"/>
  <c r="AQ7" i="12"/>
  <c r="AO7" i="12"/>
  <c r="AM7" i="12"/>
  <c r="AK7" i="12"/>
  <c r="AI7" i="12"/>
  <c r="AF7" i="12"/>
  <c r="AG7" i="12" s="1"/>
  <c r="AE7" i="12"/>
  <c r="AC7" i="12"/>
  <c r="AA7" i="12"/>
  <c r="Y7" i="12"/>
  <c r="W7" i="12"/>
  <c r="U7" i="12"/>
  <c r="S7" i="12"/>
  <c r="Q7" i="12"/>
  <c r="O7" i="12"/>
  <c r="M7" i="12"/>
  <c r="K7" i="12"/>
  <c r="I7" i="12"/>
  <c r="DF6" i="12"/>
  <c r="DE6" i="12"/>
  <c r="DC6" i="12"/>
  <c r="DA6" i="12"/>
  <c r="CY6" i="12"/>
  <c r="CW6" i="12"/>
  <c r="CU6" i="12"/>
  <c r="CS6" i="12"/>
  <c r="CQ6" i="12"/>
  <c r="CO6" i="12"/>
  <c r="CM6" i="12"/>
  <c r="CK6" i="12"/>
  <c r="CI6" i="12"/>
  <c r="CF6" i="12"/>
  <c r="CG6" i="12" s="1"/>
  <c r="CE6" i="12"/>
  <c r="CC6" i="12"/>
  <c r="CA6" i="12"/>
  <c r="BY6" i="12"/>
  <c r="BW6" i="12"/>
  <c r="BU6" i="12"/>
  <c r="BS6" i="12"/>
  <c r="BQ6" i="12"/>
  <c r="BO6" i="12"/>
  <c r="BM6" i="12"/>
  <c r="BK6" i="12"/>
  <c r="BI6" i="12"/>
  <c r="BF6" i="12"/>
  <c r="BG6" i="12" s="1"/>
  <c r="BE6" i="12"/>
  <c r="BC6" i="12"/>
  <c r="BA6" i="12"/>
  <c r="AY6" i="12"/>
  <c r="AW6" i="12"/>
  <c r="AU6" i="12"/>
  <c r="AS6" i="12"/>
  <c r="AQ6" i="12"/>
  <c r="AO6" i="12"/>
  <c r="AM6" i="12"/>
  <c r="AK6" i="12"/>
  <c r="AI6" i="12"/>
  <c r="AF6" i="12"/>
  <c r="AG6" i="12" s="1"/>
  <c r="AE6" i="12"/>
  <c r="AC6" i="12"/>
  <c r="AA6" i="12"/>
  <c r="Y6" i="12"/>
  <c r="W6" i="12"/>
  <c r="U6" i="12"/>
  <c r="S6" i="12"/>
  <c r="Q6" i="12"/>
  <c r="O6" i="12"/>
  <c r="M6" i="12"/>
  <c r="K6" i="12"/>
  <c r="I6" i="12"/>
  <c r="DF5" i="12"/>
  <c r="DE5" i="12"/>
  <c r="DC5" i="12"/>
  <c r="DA5" i="12"/>
  <c r="CY5" i="12"/>
  <c r="CW5" i="12"/>
  <c r="CU5" i="12"/>
  <c r="CS5" i="12"/>
  <c r="CQ5" i="12"/>
  <c r="CO5" i="12"/>
  <c r="CM5" i="12"/>
  <c r="CK5" i="12"/>
  <c r="CI5" i="12"/>
  <c r="CF5" i="12"/>
  <c r="CG5" i="12" s="1"/>
  <c r="CE5" i="12"/>
  <c r="CC5" i="12"/>
  <c r="CA5" i="12"/>
  <c r="BY5" i="12"/>
  <c r="BW5" i="12"/>
  <c r="BU5" i="12"/>
  <c r="BS5" i="12"/>
  <c r="BQ5" i="12"/>
  <c r="BO5" i="12"/>
  <c r="BM5" i="12"/>
  <c r="BK5" i="12"/>
  <c r="BI5" i="12"/>
  <c r="BF5" i="12"/>
  <c r="BG5" i="12" s="1"/>
  <c r="BE5" i="12"/>
  <c r="BC5" i="12"/>
  <c r="BA5" i="12"/>
  <c r="AY5" i="12"/>
  <c r="AW5" i="12"/>
  <c r="AU5" i="12"/>
  <c r="AS5" i="12"/>
  <c r="AQ5" i="12"/>
  <c r="AO5" i="12"/>
  <c r="AM5" i="12"/>
  <c r="AK5" i="12"/>
  <c r="AI5" i="12"/>
  <c r="AF5" i="12"/>
  <c r="AG5" i="12" s="1"/>
  <c r="AE5" i="12"/>
  <c r="AC5" i="12"/>
  <c r="AA5" i="12"/>
  <c r="Y5" i="12"/>
  <c r="W5" i="12"/>
  <c r="U5" i="12"/>
  <c r="S5" i="12"/>
  <c r="Q5" i="12"/>
  <c r="O5" i="12"/>
  <c r="M5" i="12"/>
  <c r="K5" i="12"/>
  <c r="I5" i="12"/>
  <c r="DF4" i="12"/>
  <c r="DG4" i="12" s="1"/>
  <c r="DE4" i="12"/>
  <c r="DC4" i="12"/>
  <c r="DA4" i="12"/>
  <c r="CY4" i="12"/>
  <c r="CW4" i="12"/>
  <c r="CU4" i="12"/>
  <c r="CS4" i="12"/>
  <c r="CQ4" i="12"/>
  <c r="CO4" i="12"/>
  <c r="CM4" i="12"/>
  <c r="CK4" i="12"/>
  <c r="CI4" i="12"/>
  <c r="CF4" i="12"/>
  <c r="CG4" i="12" s="1"/>
  <c r="CE4" i="12"/>
  <c r="CC4" i="12"/>
  <c r="CA4" i="12"/>
  <c r="BY4" i="12"/>
  <c r="BW4" i="12"/>
  <c r="BU4" i="12"/>
  <c r="BS4" i="12"/>
  <c r="BQ4" i="12"/>
  <c r="BO4" i="12"/>
  <c r="BM4" i="12"/>
  <c r="BK4" i="12"/>
  <c r="BI4" i="12"/>
  <c r="BF4" i="12"/>
  <c r="BG4" i="12" s="1"/>
  <c r="BE4" i="12"/>
  <c r="BC4" i="12"/>
  <c r="BA4" i="12"/>
  <c r="AY4" i="12"/>
  <c r="AW4" i="12"/>
  <c r="AU4" i="12"/>
  <c r="AS4" i="12"/>
  <c r="AQ4" i="12"/>
  <c r="AO4" i="12"/>
  <c r="AM4" i="12"/>
  <c r="AK4" i="12"/>
  <c r="AI4" i="12"/>
  <c r="AE4" i="12"/>
  <c r="AC4" i="12"/>
  <c r="AA4" i="12"/>
  <c r="Y4" i="12"/>
  <c r="W4" i="12"/>
  <c r="U4" i="12"/>
  <c r="S4" i="12"/>
  <c r="Q4" i="12"/>
  <c r="N4" i="12"/>
  <c r="N148" i="12" s="1"/>
  <c r="M4" i="12"/>
  <c r="K4" i="12"/>
  <c r="I4" i="12"/>
  <c r="J15" i="4"/>
  <c r="I15" i="4"/>
  <c r="T170" i="12" l="1"/>
  <c r="CR170" i="12"/>
  <c r="X170" i="12"/>
  <c r="AX170" i="12"/>
  <c r="BX170" i="12"/>
  <c r="CX170" i="12"/>
  <c r="J170" i="12"/>
  <c r="AJ170" i="12"/>
  <c r="BJ170" i="12"/>
  <c r="Z170" i="12"/>
  <c r="AZ170" i="12"/>
  <c r="BZ170" i="12"/>
  <c r="CZ170" i="12"/>
  <c r="BP170" i="12"/>
  <c r="Q148" i="12"/>
  <c r="AO148" i="12"/>
  <c r="BM148" i="12"/>
  <c r="CK148" i="12"/>
  <c r="AT170" i="12"/>
  <c r="BT170" i="12"/>
  <c r="CT170" i="12"/>
  <c r="CN170" i="12"/>
  <c r="AP170" i="12"/>
  <c r="AR170" i="12"/>
  <c r="O169" i="12"/>
  <c r="CA169" i="12"/>
  <c r="CY169" i="12"/>
  <c r="CO169" i="12"/>
  <c r="D9" i="12"/>
  <c r="N170" i="12"/>
  <c r="D94" i="12"/>
  <c r="BQ169" i="12"/>
  <c r="D153" i="12"/>
  <c r="BW169" i="12"/>
  <c r="I169" i="12"/>
  <c r="BE169" i="12"/>
  <c r="CC169" i="12"/>
  <c r="DA169" i="12"/>
  <c r="AA169" i="12"/>
  <c r="AY169" i="12"/>
  <c r="AS169" i="12"/>
  <c r="K169" i="12"/>
  <c r="AI169" i="12"/>
  <c r="CE169" i="12"/>
  <c r="DC169" i="12"/>
  <c r="CI169" i="12"/>
  <c r="AL170" i="12"/>
  <c r="BL170" i="12"/>
  <c r="CL170" i="12"/>
  <c r="M169" i="12"/>
  <c r="AK169" i="12"/>
  <c r="BI169" i="12"/>
  <c r="CW169" i="12"/>
  <c r="U169" i="12"/>
  <c r="L170" i="12"/>
  <c r="AN170" i="12"/>
  <c r="BN170" i="12"/>
  <c r="D12" i="12"/>
  <c r="CP170" i="12"/>
  <c r="BF169" i="12"/>
  <c r="CU169" i="12"/>
  <c r="AC148" i="12"/>
  <c r="BA148" i="12"/>
  <c r="BY148" i="12"/>
  <c r="CW148" i="12"/>
  <c r="CW170" i="12" s="1"/>
  <c r="R170" i="12"/>
  <c r="BR170" i="12"/>
  <c r="BG150" i="12"/>
  <c r="BG169" i="12" s="1"/>
  <c r="AM169" i="12"/>
  <c r="CU148" i="12"/>
  <c r="BC148" i="12"/>
  <c r="CF169" i="12"/>
  <c r="W148" i="12"/>
  <c r="CQ148" i="12"/>
  <c r="AF4" i="12"/>
  <c r="AF148" i="12" s="1"/>
  <c r="AI148" i="12"/>
  <c r="D6" i="12"/>
  <c r="AU148" i="12"/>
  <c r="I148" i="12"/>
  <c r="K148" i="12"/>
  <c r="CE148" i="12"/>
  <c r="DC148" i="12"/>
  <c r="BS148" i="12"/>
  <c r="CG148" i="12"/>
  <c r="DG6" i="12"/>
  <c r="BK169" i="12"/>
  <c r="BG148" i="12"/>
  <c r="AE148" i="12"/>
  <c r="BW148" i="12"/>
  <c r="CS148" i="12"/>
  <c r="D13" i="12"/>
  <c r="D14" i="12"/>
  <c r="D18" i="12"/>
  <c r="D20" i="12"/>
  <c r="D41" i="12"/>
  <c r="D63" i="12"/>
  <c r="D78" i="12"/>
  <c r="D136" i="12"/>
  <c r="AE169" i="12"/>
  <c r="BC169" i="12"/>
  <c r="D163" i="12"/>
  <c r="DF169" i="12"/>
  <c r="BE148" i="12"/>
  <c r="DG9" i="12"/>
  <c r="D19" i="12"/>
  <c r="D27" i="12"/>
  <c r="D70" i="12"/>
  <c r="BV170" i="12"/>
  <c r="AC169" i="12"/>
  <c r="BA169" i="12"/>
  <c r="DG153" i="12"/>
  <c r="D45" i="12"/>
  <c r="CA148" i="12"/>
  <c r="D23" i="12"/>
  <c r="D28" i="12"/>
  <c r="D49" i="12"/>
  <c r="D51" i="12"/>
  <c r="D143" i="12"/>
  <c r="DE169" i="12"/>
  <c r="BY169" i="12"/>
  <c r="DG151" i="12"/>
  <c r="D160" i="12"/>
  <c r="D154" i="12"/>
  <c r="D150" i="12"/>
  <c r="O4" i="12"/>
  <c r="O148" i="12" s="1"/>
  <c r="AK148" i="12"/>
  <c r="DA148" i="12"/>
  <c r="DG5" i="12"/>
  <c r="D29" i="12"/>
  <c r="DG49" i="12"/>
  <c r="D58" i="12"/>
  <c r="D87" i="12"/>
  <c r="AF169" i="12"/>
  <c r="D22" i="12"/>
  <c r="D50" i="12"/>
  <c r="D67" i="12"/>
  <c r="D89" i="12"/>
  <c r="Q169" i="12"/>
  <c r="AO169" i="12"/>
  <c r="BM169" i="12"/>
  <c r="CK169" i="12"/>
  <c r="D24" i="12"/>
  <c r="BF148" i="12"/>
  <c r="DE148" i="12"/>
  <c r="D17" i="12"/>
  <c r="D31" i="12"/>
  <c r="DG67" i="12"/>
  <c r="D81" i="12"/>
  <c r="D86" i="12"/>
  <c r="DG89" i="12"/>
  <c r="D92" i="12"/>
  <c r="D132" i="12"/>
  <c r="D135" i="12"/>
  <c r="S169" i="12"/>
  <c r="AQ169" i="12"/>
  <c r="BO169" i="12"/>
  <c r="CM169" i="12"/>
  <c r="S148" i="12"/>
  <c r="BK148" i="12"/>
  <c r="U148" i="12"/>
  <c r="AQ148" i="12"/>
  <c r="CI148" i="12"/>
  <c r="DF148" i="12"/>
  <c r="D144" i="12"/>
  <c r="D84" i="12"/>
  <c r="D77" i="12"/>
  <c r="D66" i="12"/>
  <c r="D55" i="12"/>
  <c r="D44" i="12"/>
  <c r="D40" i="12"/>
  <c r="D36" i="12"/>
  <c r="D32" i="12"/>
  <c r="D93" i="12"/>
  <c r="D75" i="12"/>
  <c r="D64" i="12"/>
  <c r="D26" i="12"/>
  <c r="D137" i="12"/>
  <c r="D133" i="12"/>
  <c r="D130" i="12"/>
  <c r="D68" i="12"/>
  <c r="D57" i="12"/>
  <c r="D46" i="12"/>
  <c r="D42" i="12"/>
  <c r="D38" i="12"/>
  <c r="D34" i="12"/>
  <c r="D10" i="12"/>
  <c r="D21" i="12"/>
  <c r="D35" i="12"/>
  <c r="D56" i="12"/>
  <c r="D90" i="12"/>
  <c r="D95" i="12"/>
  <c r="D131" i="12"/>
  <c r="D134" i="12"/>
  <c r="D139" i="12"/>
  <c r="D162" i="12"/>
  <c r="M148" i="12"/>
  <c r="D7" i="12"/>
  <c r="AS148" i="12"/>
  <c r="AS170" i="12" s="1"/>
  <c r="D39" i="12"/>
  <c r="D71" i="12"/>
  <c r="W169" i="12"/>
  <c r="AU169" i="12"/>
  <c r="BS169" i="12"/>
  <c r="CQ169" i="12"/>
  <c r="D152" i="12"/>
  <c r="D156" i="12"/>
  <c r="D161" i="12"/>
  <c r="CY148" i="12"/>
  <c r="AM148" i="12"/>
  <c r="BO148" i="12"/>
  <c r="BQ148" i="12"/>
  <c r="D11" i="12"/>
  <c r="D43" i="12"/>
  <c r="D60" i="12"/>
  <c r="DG71" i="12"/>
  <c r="D74" i="12"/>
  <c r="CH170" i="12"/>
  <c r="Y169" i="12"/>
  <c r="AW169" i="12"/>
  <c r="BU169" i="12"/>
  <c r="CS169" i="12"/>
  <c r="D151" i="12"/>
  <c r="D155" i="12"/>
  <c r="CC148" i="12"/>
  <c r="BI148" i="12"/>
  <c r="Y148" i="12"/>
  <c r="CM148" i="12"/>
  <c r="AA148" i="12"/>
  <c r="CO148" i="12"/>
  <c r="D33" i="12"/>
  <c r="D47" i="12"/>
  <c r="D52" i="12"/>
  <c r="DG60" i="12"/>
  <c r="D72" i="12"/>
  <c r="P170" i="12"/>
  <c r="D159" i="12"/>
  <c r="CF148" i="12"/>
  <c r="AW148" i="12"/>
  <c r="D4" i="12"/>
  <c r="AY148" i="12"/>
  <c r="BU148" i="12"/>
  <c r="D8" i="12"/>
  <c r="D16" i="12"/>
  <c r="D37" i="12"/>
  <c r="D62" i="12"/>
  <c r="D80" i="12"/>
  <c r="D88" i="12"/>
  <c r="DG17" i="12"/>
  <c r="DG21" i="12"/>
  <c r="DG52" i="12"/>
  <c r="DG70" i="12"/>
  <c r="DG81" i="12"/>
  <c r="DG88" i="12"/>
  <c r="DG139" i="12"/>
  <c r="DG132" i="12"/>
  <c r="DG135" i="12"/>
  <c r="AG150" i="12"/>
  <c r="AG169" i="12" s="1"/>
  <c r="DG152" i="12"/>
  <c r="DG156" i="12"/>
  <c r="DG162" i="12"/>
  <c r="DG28" i="12"/>
  <c r="DG62" i="12"/>
  <c r="DG95" i="12"/>
  <c r="CG150" i="12"/>
  <c r="CG169" i="12" s="1"/>
  <c r="J14" i="4"/>
  <c r="I14" i="4"/>
  <c r="DC170" i="12" l="1"/>
  <c r="CM170" i="12"/>
  <c r="CE170" i="12"/>
  <c r="BQ170" i="12"/>
  <c r="CO170" i="12"/>
  <c r="BY170" i="12"/>
  <c r="U170" i="12"/>
  <c r="AY170" i="12"/>
  <c r="BI170" i="12"/>
  <c r="CK170" i="12"/>
  <c r="BE170" i="12"/>
  <c r="BM170" i="12"/>
  <c r="AO170" i="12"/>
  <c r="Q170" i="12"/>
  <c r="S170" i="12"/>
  <c r="AM170" i="12"/>
  <c r="BA170" i="12"/>
  <c r="O170" i="12"/>
  <c r="CU170" i="12"/>
  <c r="BS170" i="12"/>
  <c r="I170" i="12"/>
  <c r="CI170" i="12"/>
  <c r="AK170" i="12"/>
  <c r="CY170" i="12"/>
  <c r="AQ170" i="12"/>
  <c r="CA170" i="12"/>
  <c r="AG4" i="12"/>
  <c r="AG148" i="12" s="1"/>
  <c r="AG170" i="12" s="1"/>
  <c r="BO170" i="12"/>
  <c r="M170" i="12"/>
  <c r="BC170" i="12"/>
  <c r="BW170" i="12"/>
  <c r="AI170" i="12"/>
  <c r="BK170" i="12"/>
  <c r="DA170" i="12"/>
  <c r="DG148" i="12"/>
  <c r="CQ170" i="12"/>
  <c r="AF170" i="12"/>
  <c r="AC170" i="12"/>
  <c r="CG170" i="12"/>
  <c r="AA170" i="12"/>
  <c r="CF170" i="12"/>
  <c r="CF171" i="12" s="1"/>
  <c r="AU170" i="12"/>
  <c r="BF170" i="12"/>
  <c r="BF171" i="12" s="1"/>
  <c r="K170" i="12"/>
  <c r="CC170" i="12"/>
  <c r="W170" i="12"/>
  <c r="CS170" i="12"/>
  <c r="AW170" i="12"/>
  <c r="DG169" i="12"/>
  <c r="AE170" i="12"/>
  <c r="Y170" i="12"/>
  <c r="DE170" i="12"/>
  <c r="BU170" i="12"/>
  <c r="BG170" i="12"/>
  <c r="DF170" i="12"/>
  <c r="CY120" i="11"/>
  <c r="CY121" i="11"/>
  <c r="CY122" i="11"/>
  <c r="CY123" i="11"/>
  <c r="CY124" i="11"/>
  <c r="DG124" i="11"/>
  <c r="DF120" i="11"/>
  <c r="DG120" i="11" s="1"/>
  <c r="DF121" i="11"/>
  <c r="DG121" i="11" s="1"/>
  <c r="DF122" i="11"/>
  <c r="DG122" i="11" s="1"/>
  <c r="DF123" i="11"/>
  <c r="DG123" i="11" s="1"/>
  <c r="DF124" i="11"/>
  <c r="J13" i="4"/>
  <c r="I13" i="4"/>
  <c r="DA120" i="11"/>
  <c r="DA121" i="11"/>
  <c r="DA122" i="11"/>
  <c r="DA123" i="11"/>
  <c r="DA124" i="11"/>
  <c r="DG170" i="12" l="1"/>
  <c r="CF4" i="11"/>
  <c r="I162" i="11"/>
  <c r="I161" i="11"/>
  <c r="I160" i="11"/>
  <c r="I159" i="11"/>
  <c r="I158" i="11"/>
  <c r="I157" i="11"/>
  <c r="I156" i="11"/>
  <c r="I155" i="11"/>
  <c r="I154" i="11"/>
  <c r="I153" i="11"/>
  <c r="I150" i="11"/>
  <c r="I149" i="11"/>
  <c r="I148" i="11"/>
  <c r="I147" i="11"/>
  <c r="I146" i="11"/>
  <c r="I145" i="11"/>
  <c r="I144" i="11"/>
  <c r="I143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K162" i="11"/>
  <c r="K161" i="11"/>
  <c r="K160" i="11"/>
  <c r="K159" i="11"/>
  <c r="K158" i="11"/>
  <c r="K157" i="11"/>
  <c r="K156" i="11"/>
  <c r="K155" i="11"/>
  <c r="K154" i="11"/>
  <c r="K153" i="11"/>
  <c r="K150" i="11"/>
  <c r="K149" i="11"/>
  <c r="K148" i="11"/>
  <c r="K147" i="11"/>
  <c r="K146" i="11"/>
  <c r="K145" i="11"/>
  <c r="K144" i="11"/>
  <c r="K143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M162" i="11"/>
  <c r="M161" i="11"/>
  <c r="M160" i="11"/>
  <c r="M159" i="11"/>
  <c r="M158" i="11"/>
  <c r="M157" i="11"/>
  <c r="M156" i="11"/>
  <c r="M155" i="11"/>
  <c r="M154" i="11"/>
  <c r="M153" i="11"/>
  <c r="M150" i="11"/>
  <c r="M149" i="11"/>
  <c r="M148" i="11"/>
  <c r="M147" i="11"/>
  <c r="M146" i="11"/>
  <c r="M145" i="11"/>
  <c r="M144" i="11"/>
  <c r="M143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O162" i="11"/>
  <c r="O161" i="11"/>
  <c r="O160" i="11"/>
  <c r="O159" i="11"/>
  <c r="O158" i="11"/>
  <c r="O157" i="11"/>
  <c r="O156" i="11"/>
  <c r="O155" i="11"/>
  <c r="O154" i="11"/>
  <c r="O153" i="11"/>
  <c r="O150" i="11"/>
  <c r="O149" i="11"/>
  <c r="O148" i="11"/>
  <c r="O147" i="11"/>
  <c r="O146" i="11"/>
  <c r="O145" i="11"/>
  <c r="O144" i="11"/>
  <c r="O143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Q162" i="11"/>
  <c r="Q161" i="11"/>
  <c r="Q160" i="11"/>
  <c r="Q159" i="11"/>
  <c r="Q158" i="11"/>
  <c r="Q157" i="11"/>
  <c r="Q156" i="11"/>
  <c r="Q155" i="11"/>
  <c r="Q154" i="11"/>
  <c r="Q153" i="11"/>
  <c r="Q150" i="11"/>
  <c r="Q149" i="11"/>
  <c r="Q148" i="11"/>
  <c r="Q147" i="11"/>
  <c r="Q146" i="11"/>
  <c r="Q145" i="11"/>
  <c r="Q144" i="11"/>
  <c r="Q143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S162" i="11"/>
  <c r="S161" i="11"/>
  <c r="S160" i="11"/>
  <c r="S159" i="11"/>
  <c r="S158" i="11"/>
  <c r="S157" i="11"/>
  <c r="S156" i="11"/>
  <c r="S155" i="11"/>
  <c r="S154" i="11"/>
  <c r="S153" i="11"/>
  <c r="S150" i="11"/>
  <c r="S149" i="11"/>
  <c r="S148" i="11"/>
  <c r="S147" i="11"/>
  <c r="S146" i="11"/>
  <c r="S145" i="11"/>
  <c r="S144" i="11"/>
  <c r="S143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U162" i="11"/>
  <c r="U161" i="11"/>
  <c r="U160" i="11"/>
  <c r="U159" i="11"/>
  <c r="U158" i="11"/>
  <c r="U157" i="11"/>
  <c r="U156" i="11"/>
  <c r="U155" i="11"/>
  <c r="U154" i="11"/>
  <c r="U153" i="11"/>
  <c r="U150" i="11"/>
  <c r="U149" i="11"/>
  <c r="U148" i="11"/>
  <c r="U147" i="11"/>
  <c r="U146" i="11"/>
  <c r="U145" i="11"/>
  <c r="U144" i="11"/>
  <c r="U143" i="11"/>
  <c r="U141" i="11"/>
  <c r="U140" i="11"/>
  <c r="U139" i="11"/>
  <c r="U138" i="11"/>
  <c r="U137" i="11"/>
  <c r="U136" i="11"/>
  <c r="U135" i="11"/>
  <c r="U134" i="11"/>
  <c r="U133" i="11"/>
  <c r="U132" i="11"/>
  <c r="U131" i="11"/>
  <c r="U130" i="11"/>
  <c r="U129" i="11"/>
  <c r="U128" i="11"/>
  <c r="U127" i="11"/>
  <c r="U126" i="11"/>
  <c r="U125" i="11"/>
  <c r="U119" i="11"/>
  <c r="U118" i="11"/>
  <c r="U117" i="11"/>
  <c r="U116" i="11"/>
  <c r="U115" i="11"/>
  <c r="U114" i="11"/>
  <c r="U113" i="11"/>
  <c r="U112" i="11"/>
  <c r="U111" i="11"/>
  <c r="U110" i="11"/>
  <c r="U109" i="11"/>
  <c r="U108" i="11"/>
  <c r="U107" i="11"/>
  <c r="U106" i="11"/>
  <c r="U105" i="11"/>
  <c r="U104" i="11"/>
  <c r="U103" i="11"/>
  <c r="U102" i="11"/>
  <c r="U101" i="11"/>
  <c r="U100" i="11"/>
  <c r="U99" i="11"/>
  <c r="U98" i="11"/>
  <c r="U97" i="11"/>
  <c r="U96" i="11"/>
  <c r="U95" i="11"/>
  <c r="U94" i="11"/>
  <c r="U93" i="11"/>
  <c r="U92" i="11"/>
  <c r="U91" i="11"/>
  <c r="U90" i="11"/>
  <c r="U89" i="11"/>
  <c r="U88" i="11"/>
  <c r="U87" i="11"/>
  <c r="U86" i="11"/>
  <c r="U85" i="11"/>
  <c r="U84" i="11"/>
  <c r="U83" i="11"/>
  <c r="U82" i="11"/>
  <c r="U81" i="11"/>
  <c r="U80" i="11"/>
  <c r="U79" i="11"/>
  <c r="U78" i="11"/>
  <c r="U77" i="11"/>
  <c r="U76" i="11"/>
  <c r="U75" i="11"/>
  <c r="U74" i="11"/>
  <c r="U73" i="11"/>
  <c r="U72" i="11"/>
  <c r="U71" i="11"/>
  <c r="U70" i="11"/>
  <c r="U69" i="11"/>
  <c r="U68" i="11"/>
  <c r="U67" i="11"/>
  <c r="U66" i="11"/>
  <c r="U65" i="11"/>
  <c r="U64" i="11"/>
  <c r="U63" i="11"/>
  <c r="U62" i="11"/>
  <c r="U61" i="11"/>
  <c r="U60" i="11"/>
  <c r="U59" i="11"/>
  <c r="U58" i="11"/>
  <c r="U57" i="11"/>
  <c r="U56" i="11"/>
  <c r="U55" i="11"/>
  <c r="U54" i="11"/>
  <c r="U53" i="11"/>
  <c r="U52" i="11"/>
  <c r="U51" i="11"/>
  <c r="U50" i="11"/>
  <c r="U49" i="11"/>
  <c r="U48" i="11"/>
  <c r="U47" i="11"/>
  <c r="U46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U11" i="11"/>
  <c r="U10" i="11"/>
  <c r="U9" i="11"/>
  <c r="U8" i="11"/>
  <c r="U7" i="11"/>
  <c r="U6" i="11"/>
  <c r="U5" i="11"/>
  <c r="U4" i="11"/>
  <c r="W162" i="11"/>
  <c r="W161" i="11"/>
  <c r="W160" i="11"/>
  <c r="W159" i="11"/>
  <c r="W158" i="11"/>
  <c r="W157" i="11"/>
  <c r="W156" i="11"/>
  <c r="W155" i="11"/>
  <c r="W154" i="11"/>
  <c r="W153" i="11"/>
  <c r="W150" i="11"/>
  <c r="W149" i="11"/>
  <c r="W148" i="11"/>
  <c r="W147" i="11"/>
  <c r="W146" i="11"/>
  <c r="W145" i="11"/>
  <c r="W144" i="11"/>
  <c r="W143" i="11"/>
  <c r="W141" i="11"/>
  <c r="W140" i="11"/>
  <c r="W139" i="11"/>
  <c r="W138" i="11"/>
  <c r="W137" i="11"/>
  <c r="W136" i="11"/>
  <c r="W135" i="11"/>
  <c r="W134" i="11"/>
  <c r="W133" i="11"/>
  <c r="W132" i="11"/>
  <c r="W131" i="11"/>
  <c r="W130" i="11"/>
  <c r="W129" i="11"/>
  <c r="W128" i="11"/>
  <c r="W127" i="11"/>
  <c r="W126" i="11"/>
  <c r="W125" i="11"/>
  <c r="W119" i="11"/>
  <c r="W118" i="11"/>
  <c r="W117" i="11"/>
  <c r="W116" i="11"/>
  <c r="W115" i="11"/>
  <c r="W114" i="11"/>
  <c r="W113" i="11"/>
  <c r="W112" i="11"/>
  <c r="W111" i="11"/>
  <c r="W110" i="11"/>
  <c r="W109" i="11"/>
  <c r="W108" i="11"/>
  <c r="W107" i="11"/>
  <c r="W106" i="11"/>
  <c r="W105" i="11"/>
  <c r="W104" i="11"/>
  <c r="W103" i="11"/>
  <c r="W102" i="11"/>
  <c r="W101" i="11"/>
  <c r="W100" i="11"/>
  <c r="W99" i="11"/>
  <c r="W98" i="11"/>
  <c r="W97" i="11"/>
  <c r="W96" i="11"/>
  <c r="W95" i="11"/>
  <c r="W94" i="11"/>
  <c r="W93" i="11"/>
  <c r="W92" i="11"/>
  <c r="W91" i="11"/>
  <c r="W90" i="11"/>
  <c r="W89" i="11"/>
  <c r="W88" i="11"/>
  <c r="W87" i="11"/>
  <c r="W86" i="11"/>
  <c r="W85" i="11"/>
  <c r="W84" i="11"/>
  <c r="W83" i="11"/>
  <c r="W82" i="11"/>
  <c r="W81" i="11"/>
  <c r="W80" i="11"/>
  <c r="W79" i="11"/>
  <c r="W78" i="11"/>
  <c r="W77" i="11"/>
  <c r="W76" i="11"/>
  <c r="W75" i="11"/>
  <c r="W74" i="11"/>
  <c r="W73" i="11"/>
  <c r="W72" i="11"/>
  <c r="W71" i="11"/>
  <c r="W70" i="11"/>
  <c r="W69" i="11"/>
  <c r="W68" i="11"/>
  <c r="W67" i="11"/>
  <c r="W66" i="11"/>
  <c r="W65" i="11"/>
  <c r="W64" i="11"/>
  <c r="W63" i="11"/>
  <c r="W62" i="11"/>
  <c r="W61" i="11"/>
  <c r="W60" i="11"/>
  <c r="W59" i="11"/>
  <c r="W58" i="11"/>
  <c r="W57" i="11"/>
  <c r="W56" i="11"/>
  <c r="W55" i="11"/>
  <c r="W54" i="11"/>
  <c r="W53" i="11"/>
  <c r="W52" i="11"/>
  <c r="W51" i="11"/>
  <c r="W50" i="11"/>
  <c r="W49" i="11"/>
  <c r="W48" i="11"/>
  <c r="W47" i="11"/>
  <c r="W46" i="11"/>
  <c r="W45" i="11"/>
  <c r="W44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13" i="11"/>
  <c r="W12" i="11"/>
  <c r="W11" i="11"/>
  <c r="W10" i="11"/>
  <c r="W9" i="11"/>
  <c r="W8" i="11"/>
  <c r="W7" i="11"/>
  <c r="W6" i="11"/>
  <c r="W5" i="11"/>
  <c r="W4" i="11"/>
  <c r="Y162" i="11"/>
  <c r="Y161" i="11"/>
  <c r="Y160" i="11"/>
  <c r="Y159" i="11"/>
  <c r="Y158" i="11"/>
  <c r="Y157" i="11"/>
  <c r="Y156" i="11"/>
  <c r="Y155" i="11"/>
  <c r="Y154" i="11"/>
  <c r="Y153" i="11"/>
  <c r="Y150" i="11"/>
  <c r="Y149" i="11"/>
  <c r="Y148" i="11"/>
  <c r="Y147" i="11"/>
  <c r="Y146" i="11"/>
  <c r="Y145" i="11"/>
  <c r="Y144" i="11"/>
  <c r="Y143" i="11"/>
  <c r="Y141" i="11"/>
  <c r="Y140" i="11"/>
  <c r="Y139" i="11"/>
  <c r="Y138" i="11"/>
  <c r="Y137" i="11"/>
  <c r="Y136" i="11"/>
  <c r="Y135" i="11"/>
  <c r="Y134" i="11"/>
  <c r="Y133" i="11"/>
  <c r="Y132" i="11"/>
  <c r="Y131" i="11"/>
  <c r="Y130" i="11"/>
  <c r="Y129" i="11"/>
  <c r="Y128" i="11"/>
  <c r="Y127" i="11"/>
  <c r="Y126" i="11"/>
  <c r="Y125" i="11"/>
  <c r="Y119" i="11"/>
  <c r="Y118" i="11"/>
  <c r="Y117" i="11"/>
  <c r="Y116" i="11"/>
  <c r="Y115" i="11"/>
  <c r="Y114" i="11"/>
  <c r="Y113" i="11"/>
  <c r="Y112" i="11"/>
  <c r="Y111" i="11"/>
  <c r="Y110" i="11"/>
  <c r="Y109" i="11"/>
  <c r="Y108" i="11"/>
  <c r="Y107" i="11"/>
  <c r="Y106" i="11"/>
  <c r="Y105" i="11"/>
  <c r="Y104" i="11"/>
  <c r="Y103" i="11"/>
  <c r="Y102" i="11"/>
  <c r="Y101" i="11"/>
  <c r="Y100" i="11"/>
  <c r="Y99" i="11"/>
  <c r="Y98" i="11"/>
  <c r="Y97" i="11"/>
  <c r="Y96" i="11"/>
  <c r="Y95" i="11"/>
  <c r="Y94" i="11"/>
  <c r="Y93" i="11"/>
  <c r="Y92" i="11"/>
  <c r="Y91" i="11"/>
  <c r="Y90" i="11"/>
  <c r="Y89" i="11"/>
  <c r="Y88" i="11"/>
  <c r="Y87" i="11"/>
  <c r="Y86" i="11"/>
  <c r="Y85" i="11"/>
  <c r="Y84" i="11"/>
  <c r="Y83" i="11"/>
  <c r="Y82" i="11"/>
  <c r="Y81" i="11"/>
  <c r="Y80" i="11"/>
  <c r="Y79" i="11"/>
  <c r="Y78" i="11"/>
  <c r="Y77" i="11"/>
  <c r="Y76" i="11"/>
  <c r="Y75" i="11"/>
  <c r="Y74" i="11"/>
  <c r="Y73" i="11"/>
  <c r="Y72" i="11"/>
  <c r="Y71" i="11"/>
  <c r="Y70" i="11"/>
  <c r="Y69" i="11"/>
  <c r="Y68" i="11"/>
  <c r="Y67" i="11"/>
  <c r="Y66" i="11"/>
  <c r="Y65" i="11"/>
  <c r="Y64" i="11"/>
  <c r="Y63" i="11"/>
  <c r="Y62" i="11"/>
  <c r="Y61" i="11"/>
  <c r="Y60" i="11"/>
  <c r="Y59" i="11"/>
  <c r="Y58" i="11"/>
  <c r="Y57" i="11"/>
  <c r="Y56" i="11"/>
  <c r="Y55" i="11"/>
  <c r="Y54" i="11"/>
  <c r="Y53" i="11"/>
  <c r="Y52" i="11"/>
  <c r="Y51" i="11"/>
  <c r="Y50" i="11"/>
  <c r="Y49" i="11"/>
  <c r="Y48" i="11"/>
  <c r="Y47" i="11"/>
  <c r="Y46" i="11"/>
  <c r="Y45" i="11"/>
  <c r="Y44" i="11"/>
  <c r="Y43" i="11"/>
  <c r="Y42" i="11"/>
  <c r="Y41" i="11"/>
  <c r="Y40" i="11"/>
  <c r="Y39" i="11"/>
  <c r="Y38" i="11"/>
  <c r="Y37" i="11"/>
  <c r="Y36" i="11"/>
  <c r="Y35" i="11"/>
  <c r="Y34" i="11"/>
  <c r="Y33" i="11"/>
  <c r="Y32" i="11"/>
  <c r="Y31" i="11"/>
  <c r="Y30" i="11"/>
  <c r="Y29" i="11"/>
  <c r="Y28" i="11"/>
  <c r="Y27" i="11"/>
  <c r="Y26" i="11"/>
  <c r="Y25" i="11"/>
  <c r="Y24" i="11"/>
  <c r="Y23" i="11"/>
  <c r="Y22" i="11"/>
  <c r="Y21" i="11"/>
  <c r="Y20" i="11"/>
  <c r="Y19" i="11"/>
  <c r="Y18" i="11"/>
  <c r="Y17" i="11"/>
  <c r="Y16" i="11"/>
  <c r="Y15" i="11"/>
  <c r="Y14" i="11"/>
  <c r="Y13" i="11"/>
  <c r="Y12" i="11"/>
  <c r="Y11" i="11"/>
  <c r="Y10" i="11"/>
  <c r="Y9" i="11"/>
  <c r="Y8" i="11"/>
  <c r="Y7" i="11"/>
  <c r="Y6" i="11"/>
  <c r="Y5" i="11"/>
  <c r="Y4" i="11"/>
  <c r="AA162" i="11"/>
  <c r="AA161" i="11"/>
  <c r="AA160" i="11"/>
  <c r="AA159" i="11"/>
  <c r="AA158" i="11"/>
  <c r="AA157" i="11"/>
  <c r="AA156" i="11"/>
  <c r="AA155" i="11"/>
  <c r="AA154" i="11"/>
  <c r="AA153" i="11"/>
  <c r="AA150" i="11"/>
  <c r="AA149" i="11"/>
  <c r="AA148" i="11"/>
  <c r="AA147" i="11"/>
  <c r="AA146" i="11"/>
  <c r="AA145" i="11"/>
  <c r="AA144" i="11"/>
  <c r="AA143" i="11"/>
  <c r="AA141" i="11"/>
  <c r="AA140" i="11"/>
  <c r="AA139" i="11"/>
  <c r="AA138" i="11"/>
  <c r="AA137" i="11"/>
  <c r="AA136" i="11"/>
  <c r="AA135" i="11"/>
  <c r="AA134" i="11"/>
  <c r="AA133" i="11"/>
  <c r="AA132" i="11"/>
  <c r="AA131" i="11"/>
  <c r="AA130" i="11"/>
  <c r="AA129" i="11"/>
  <c r="AA128" i="11"/>
  <c r="AA127" i="11"/>
  <c r="AA126" i="11"/>
  <c r="AA125" i="11"/>
  <c r="AA119" i="11"/>
  <c r="AA118" i="11"/>
  <c r="AA117" i="11"/>
  <c r="AA116" i="11"/>
  <c r="AA115" i="11"/>
  <c r="AA114" i="11"/>
  <c r="AA113" i="11"/>
  <c r="AA112" i="11"/>
  <c r="AA111" i="11"/>
  <c r="AA110" i="11"/>
  <c r="AA109" i="11"/>
  <c r="AA108" i="11"/>
  <c r="AA107" i="11"/>
  <c r="AA106" i="11"/>
  <c r="AA105" i="11"/>
  <c r="AA104" i="11"/>
  <c r="AA103" i="11"/>
  <c r="AA102" i="11"/>
  <c r="AA101" i="11"/>
  <c r="AA100" i="11"/>
  <c r="AA99" i="11"/>
  <c r="AA98" i="11"/>
  <c r="AA97" i="11"/>
  <c r="AA96" i="11"/>
  <c r="AA95" i="11"/>
  <c r="AA94" i="11"/>
  <c r="AA93" i="11"/>
  <c r="AA92" i="11"/>
  <c r="AA91" i="11"/>
  <c r="AA90" i="11"/>
  <c r="AA89" i="11"/>
  <c r="AA88" i="11"/>
  <c r="AA87" i="11"/>
  <c r="AA86" i="11"/>
  <c r="AA85" i="11"/>
  <c r="AA84" i="11"/>
  <c r="AA83" i="11"/>
  <c r="AA82" i="11"/>
  <c r="AA81" i="11"/>
  <c r="AA80" i="11"/>
  <c r="AA79" i="11"/>
  <c r="AA78" i="11"/>
  <c r="AA77" i="11"/>
  <c r="AA76" i="11"/>
  <c r="AA75" i="11"/>
  <c r="AA74" i="11"/>
  <c r="AA73" i="11"/>
  <c r="AA72" i="11"/>
  <c r="AA71" i="11"/>
  <c r="AA70" i="11"/>
  <c r="AA69" i="11"/>
  <c r="AA68" i="11"/>
  <c r="AA67" i="11"/>
  <c r="AA66" i="11"/>
  <c r="AA65" i="1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C162" i="11"/>
  <c r="AC161" i="11"/>
  <c r="AC160" i="11"/>
  <c r="AC159" i="11"/>
  <c r="AC158" i="11"/>
  <c r="AC157" i="11"/>
  <c r="AC156" i="11"/>
  <c r="AC155" i="11"/>
  <c r="AC154" i="11"/>
  <c r="AC153" i="11"/>
  <c r="AC150" i="11"/>
  <c r="AC149" i="11"/>
  <c r="AC148" i="11"/>
  <c r="AC147" i="11"/>
  <c r="AC146" i="11"/>
  <c r="AC145" i="11"/>
  <c r="AC144" i="11"/>
  <c r="AC143" i="11"/>
  <c r="AC141" i="11"/>
  <c r="AC140" i="11"/>
  <c r="AC139" i="11"/>
  <c r="AC138" i="11"/>
  <c r="AC137" i="11"/>
  <c r="AC136" i="11"/>
  <c r="AC135" i="11"/>
  <c r="AC134" i="11"/>
  <c r="AC133" i="11"/>
  <c r="AC132" i="11"/>
  <c r="AC131" i="11"/>
  <c r="AC130" i="11"/>
  <c r="AC129" i="11"/>
  <c r="AC128" i="11"/>
  <c r="AC127" i="11"/>
  <c r="AC126" i="11"/>
  <c r="AC125" i="11"/>
  <c r="AC119" i="11"/>
  <c r="AC118" i="11"/>
  <c r="AC117" i="11"/>
  <c r="AC116" i="11"/>
  <c r="AC115" i="11"/>
  <c r="AC114" i="11"/>
  <c r="AC113" i="11"/>
  <c r="AC112" i="11"/>
  <c r="AC111" i="11"/>
  <c r="AC110" i="11"/>
  <c r="AC109" i="11"/>
  <c r="AC108" i="11"/>
  <c r="AC107" i="11"/>
  <c r="AC106" i="11"/>
  <c r="AC105" i="11"/>
  <c r="AC104" i="11"/>
  <c r="AC103" i="11"/>
  <c r="AC102" i="11"/>
  <c r="AC101" i="11"/>
  <c r="AC100" i="11"/>
  <c r="AC99" i="11"/>
  <c r="AC98" i="11"/>
  <c r="AC97" i="11"/>
  <c r="AC96" i="11"/>
  <c r="AC95" i="11"/>
  <c r="AC94" i="11"/>
  <c r="AC93" i="11"/>
  <c r="AC92" i="11"/>
  <c r="AC91" i="11"/>
  <c r="AC90" i="11"/>
  <c r="AC89" i="11"/>
  <c r="AC88" i="11"/>
  <c r="AC87" i="11"/>
  <c r="AC86" i="11"/>
  <c r="AC85" i="11"/>
  <c r="AC84" i="11"/>
  <c r="AC83" i="11"/>
  <c r="AC82" i="11"/>
  <c r="AC81" i="11"/>
  <c r="AC80" i="11"/>
  <c r="AC79" i="11"/>
  <c r="AC78" i="11"/>
  <c r="AC77" i="11"/>
  <c r="AC76" i="11"/>
  <c r="AC75" i="11"/>
  <c r="AC74" i="11"/>
  <c r="AC73" i="11"/>
  <c r="AC72" i="11"/>
  <c r="AC71" i="11"/>
  <c r="AC70" i="11"/>
  <c r="AC69" i="11"/>
  <c r="AC68" i="11"/>
  <c r="AC67" i="11"/>
  <c r="AC66" i="11"/>
  <c r="AC65" i="11"/>
  <c r="AC64" i="11"/>
  <c r="AC63" i="11"/>
  <c r="AC62" i="11"/>
  <c r="AC61" i="11"/>
  <c r="AC60" i="11"/>
  <c r="AC59" i="11"/>
  <c r="AC58" i="11"/>
  <c r="AC57" i="11"/>
  <c r="AC56" i="11"/>
  <c r="AC55" i="11"/>
  <c r="AC54" i="11"/>
  <c r="AC53" i="11"/>
  <c r="AC52" i="11"/>
  <c r="AC51" i="11"/>
  <c r="AC50" i="11"/>
  <c r="AC49" i="11"/>
  <c r="AC48" i="11"/>
  <c r="AC47" i="11"/>
  <c r="AC46" i="11"/>
  <c r="AC45" i="11"/>
  <c r="AC44" i="11"/>
  <c r="AC43" i="11"/>
  <c r="AC42" i="11"/>
  <c r="AC41" i="11"/>
  <c r="AC40" i="11"/>
  <c r="AC39" i="11"/>
  <c r="AC38" i="11"/>
  <c r="AC37" i="11"/>
  <c r="AC36" i="11"/>
  <c r="AC35" i="11"/>
  <c r="AC34" i="11"/>
  <c r="AC33" i="11"/>
  <c r="AC32" i="11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9" i="11"/>
  <c r="AC18" i="11"/>
  <c r="AC17" i="11"/>
  <c r="AC16" i="11"/>
  <c r="AC15" i="11"/>
  <c r="AC14" i="11"/>
  <c r="AC13" i="11"/>
  <c r="AC12" i="11"/>
  <c r="AC11" i="11"/>
  <c r="AC10" i="11"/>
  <c r="AC9" i="11"/>
  <c r="AC8" i="11"/>
  <c r="AC7" i="11"/>
  <c r="AC6" i="11"/>
  <c r="AC5" i="11"/>
  <c r="AC4" i="11"/>
  <c r="AE162" i="11"/>
  <c r="AE161" i="11"/>
  <c r="AE160" i="11"/>
  <c r="AE159" i="11"/>
  <c r="AE158" i="11"/>
  <c r="AE157" i="11"/>
  <c r="AE156" i="11"/>
  <c r="AE155" i="11"/>
  <c r="AE154" i="11"/>
  <c r="AE153" i="11"/>
  <c r="AE150" i="11"/>
  <c r="AE149" i="11"/>
  <c r="AE148" i="11"/>
  <c r="AE147" i="11"/>
  <c r="AE146" i="11"/>
  <c r="AE145" i="11"/>
  <c r="AE144" i="11"/>
  <c r="AE143" i="11"/>
  <c r="AE141" i="11"/>
  <c r="AE140" i="11"/>
  <c r="AE139" i="11"/>
  <c r="AE138" i="11"/>
  <c r="AE137" i="11"/>
  <c r="AE136" i="11"/>
  <c r="AE135" i="11"/>
  <c r="AE134" i="11"/>
  <c r="AE133" i="11"/>
  <c r="AE132" i="11"/>
  <c r="AE131" i="11"/>
  <c r="AE130" i="11"/>
  <c r="AE129" i="11"/>
  <c r="AE128" i="11"/>
  <c r="AE127" i="11"/>
  <c r="AE126" i="11"/>
  <c r="AE125" i="11"/>
  <c r="AE119" i="11"/>
  <c r="AE118" i="11"/>
  <c r="AE117" i="11"/>
  <c r="AE116" i="11"/>
  <c r="AE115" i="11"/>
  <c r="AE114" i="11"/>
  <c r="AE113" i="11"/>
  <c r="AE112" i="11"/>
  <c r="AE111" i="11"/>
  <c r="AE110" i="11"/>
  <c r="AE109" i="11"/>
  <c r="AE108" i="11"/>
  <c r="AE107" i="11"/>
  <c r="AE106" i="11"/>
  <c r="AE105" i="11"/>
  <c r="AE104" i="11"/>
  <c r="AE103" i="11"/>
  <c r="AE102" i="11"/>
  <c r="AE101" i="11"/>
  <c r="AE100" i="11"/>
  <c r="AE99" i="11"/>
  <c r="AE98" i="11"/>
  <c r="AE97" i="11"/>
  <c r="AE96" i="11"/>
  <c r="AE95" i="11"/>
  <c r="AE94" i="11"/>
  <c r="AE93" i="11"/>
  <c r="AE92" i="11"/>
  <c r="AE91" i="11"/>
  <c r="AE90" i="11"/>
  <c r="AE89" i="11"/>
  <c r="AE88" i="11"/>
  <c r="AE87" i="11"/>
  <c r="AE86" i="11"/>
  <c r="AE85" i="11"/>
  <c r="AE84" i="11"/>
  <c r="AE83" i="11"/>
  <c r="AE82" i="11"/>
  <c r="AE81" i="11"/>
  <c r="AE80" i="11"/>
  <c r="AE79" i="11"/>
  <c r="AE78" i="11"/>
  <c r="AE77" i="11"/>
  <c r="AE76" i="11"/>
  <c r="AE75" i="11"/>
  <c r="AE74" i="11"/>
  <c r="AE73" i="11"/>
  <c r="AE72" i="11"/>
  <c r="AE71" i="11"/>
  <c r="AE70" i="11"/>
  <c r="AE69" i="11"/>
  <c r="AE68" i="11"/>
  <c r="AE67" i="11"/>
  <c r="AE66" i="11"/>
  <c r="AE65" i="11"/>
  <c r="AE64" i="11"/>
  <c r="AE63" i="11"/>
  <c r="AE62" i="11"/>
  <c r="AE61" i="11"/>
  <c r="AE60" i="11"/>
  <c r="AE59" i="11"/>
  <c r="AE58" i="11"/>
  <c r="AE57" i="11"/>
  <c r="AE56" i="11"/>
  <c r="AE55" i="11"/>
  <c r="AE54" i="11"/>
  <c r="AE53" i="11"/>
  <c r="AE52" i="11"/>
  <c r="AE51" i="11"/>
  <c r="AE50" i="11"/>
  <c r="AE49" i="11"/>
  <c r="AE48" i="11"/>
  <c r="AE47" i="11"/>
  <c r="AE46" i="11"/>
  <c r="AE45" i="11"/>
  <c r="AE44" i="11"/>
  <c r="AE43" i="11"/>
  <c r="AE42" i="11"/>
  <c r="AE41" i="11"/>
  <c r="AE40" i="11"/>
  <c r="AE39" i="11"/>
  <c r="AE38" i="11"/>
  <c r="AE37" i="11"/>
  <c r="AE36" i="11"/>
  <c r="AE35" i="11"/>
  <c r="AE34" i="11"/>
  <c r="AE33" i="11"/>
  <c r="AE32" i="11"/>
  <c r="AE31" i="11"/>
  <c r="AE30" i="11"/>
  <c r="AE29" i="11"/>
  <c r="AE28" i="11"/>
  <c r="AE27" i="11"/>
  <c r="AE26" i="11"/>
  <c r="AE25" i="11"/>
  <c r="AE24" i="11"/>
  <c r="AE23" i="11"/>
  <c r="AE22" i="11"/>
  <c r="AE21" i="11"/>
  <c r="AE20" i="11"/>
  <c r="AE19" i="11"/>
  <c r="AE18" i="11"/>
  <c r="AE17" i="11"/>
  <c r="AE16" i="11"/>
  <c r="AE15" i="11"/>
  <c r="AE14" i="11"/>
  <c r="AE13" i="11"/>
  <c r="AE12" i="11"/>
  <c r="AE11" i="11"/>
  <c r="AE10" i="11"/>
  <c r="AE9" i="11"/>
  <c r="AE8" i="11"/>
  <c r="AE7" i="11"/>
  <c r="AE6" i="11"/>
  <c r="AE5" i="11"/>
  <c r="AE4" i="11"/>
  <c r="AG143" i="11"/>
  <c r="AG141" i="11"/>
  <c r="AI162" i="11"/>
  <c r="AI161" i="11"/>
  <c r="AI160" i="11"/>
  <c r="AI159" i="11"/>
  <c r="AI158" i="11"/>
  <c r="AI157" i="11"/>
  <c r="AI156" i="11"/>
  <c r="AI155" i="11"/>
  <c r="AI154" i="11"/>
  <c r="AI153" i="11"/>
  <c r="AI150" i="11"/>
  <c r="AI149" i="11"/>
  <c r="AI148" i="11"/>
  <c r="AI147" i="11"/>
  <c r="AI146" i="11"/>
  <c r="AI145" i="11"/>
  <c r="AI144" i="11"/>
  <c r="AI143" i="11"/>
  <c r="AI141" i="11"/>
  <c r="AI140" i="11"/>
  <c r="AI139" i="11"/>
  <c r="AI138" i="11"/>
  <c r="AI137" i="11"/>
  <c r="AI136" i="11"/>
  <c r="AI135" i="11"/>
  <c r="AI134" i="11"/>
  <c r="AI133" i="11"/>
  <c r="AI132" i="11"/>
  <c r="AI131" i="11"/>
  <c r="AI130" i="11"/>
  <c r="AI129" i="11"/>
  <c r="AI128" i="11"/>
  <c r="AI127" i="11"/>
  <c r="AI126" i="11"/>
  <c r="AI125" i="11"/>
  <c r="AI119" i="11"/>
  <c r="AI118" i="11"/>
  <c r="AI117" i="11"/>
  <c r="AI116" i="11"/>
  <c r="AI115" i="11"/>
  <c r="AI114" i="11"/>
  <c r="AI113" i="11"/>
  <c r="AI112" i="11"/>
  <c r="AI111" i="11"/>
  <c r="AI110" i="11"/>
  <c r="AI109" i="11"/>
  <c r="AI108" i="11"/>
  <c r="AI107" i="11"/>
  <c r="AI106" i="11"/>
  <c r="AI105" i="11"/>
  <c r="AI104" i="11"/>
  <c r="AI103" i="11"/>
  <c r="AI102" i="11"/>
  <c r="AI101" i="11"/>
  <c r="AI100" i="11"/>
  <c r="AI99" i="11"/>
  <c r="AI98" i="11"/>
  <c r="AI97" i="11"/>
  <c r="AI96" i="11"/>
  <c r="AI95" i="11"/>
  <c r="AI94" i="11"/>
  <c r="AI93" i="11"/>
  <c r="AI92" i="11"/>
  <c r="AI91" i="11"/>
  <c r="AI90" i="11"/>
  <c r="AI89" i="11"/>
  <c r="AI88" i="11"/>
  <c r="AI87" i="11"/>
  <c r="AI86" i="11"/>
  <c r="AI85" i="11"/>
  <c r="AI84" i="11"/>
  <c r="AI83" i="11"/>
  <c r="AI82" i="11"/>
  <c r="AI81" i="11"/>
  <c r="AI80" i="11"/>
  <c r="AI79" i="11"/>
  <c r="AI78" i="11"/>
  <c r="AI77" i="11"/>
  <c r="AI76" i="11"/>
  <c r="AI75" i="11"/>
  <c r="AI74" i="11"/>
  <c r="AI73" i="11"/>
  <c r="AI72" i="11"/>
  <c r="AI71" i="11"/>
  <c r="AI70" i="11"/>
  <c r="AI69" i="11"/>
  <c r="AI68" i="11"/>
  <c r="AI67" i="11"/>
  <c r="AI66" i="11"/>
  <c r="AI65" i="11"/>
  <c r="AI64" i="11"/>
  <c r="AI63" i="11"/>
  <c r="AI62" i="11"/>
  <c r="AI61" i="11"/>
  <c r="AI60" i="11"/>
  <c r="AI59" i="11"/>
  <c r="AI58" i="11"/>
  <c r="AI57" i="11"/>
  <c r="AI56" i="11"/>
  <c r="AI55" i="11"/>
  <c r="AI54" i="11"/>
  <c r="AI53" i="11"/>
  <c r="AI52" i="11"/>
  <c r="AI51" i="11"/>
  <c r="AI50" i="11"/>
  <c r="AI49" i="11"/>
  <c r="AI48" i="11"/>
  <c r="AI47" i="11"/>
  <c r="AI46" i="11"/>
  <c r="AI45" i="11"/>
  <c r="AI44" i="11"/>
  <c r="AI43" i="11"/>
  <c r="AI42" i="11"/>
  <c r="AI41" i="11"/>
  <c r="AI40" i="11"/>
  <c r="AI39" i="11"/>
  <c r="AI38" i="11"/>
  <c r="AI37" i="11"/>
  <c r="AI36" i="11"/>
  <c r="AI35" i="11"/>
  <c r="AI34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I5" i="11"/>
  <c r="AI4" i="11"/>
  <c r="AK162" i="11"/>
  <c r="AK161" i="11"/>
  <c r="AK160" i="11"/>
  <c r="AK159" i="11"/>
  <c r="AK158" i="11"/>
  <c r="AK157" i="11"/>
  <c r="AK156" i="11"/>
  <c r="AK155" i="11"/>
  <c r="AK154" i="11"/>
  <c r="AK153" i="11"/>
  <c r="AK150" i="11"/>
  <c r="AK149" i="11"/>
  <c r="AK148" i="11"/>
  <c r="AK147" i="11"/>
  <c r="AK146" i="11"/>
  <c r="AK145" i="11"/>
  <c r="AK144" i="11"/>
  <c r="AK143" i="11"/>
  <c r="AK141" i="11"/>
  <c r="AK140" i="11"/>
  <c r="AK139" i="11"/>
  <c r="AK138" i="11"/>
  <c r="AK137" i="11"/>
  <c r="AK136" i="11"/>
  <c r="AK135" i="11"/>
  <c r="AK134" i="11"/>
  <c r="AK133" i="11"/>
  <c r="AK132" i="11"/>
  <c r="AK131" i="11"/>
  <c r="AK130" i="11"/>
  <c r="AK129" i="11"/>
  <c r="AK128" i="11"/>
  <c r="AK127" i="11"/>
  <c r="AK126" i="11"/>
  <c r="AK125" i="11"/>
  <c r="AK119" i="11"/>
  <c r="AK118" i="11"/>
  <c r="AK117" i="11"/>
  <c r="AK116" i="11"/>
  <c r="AK115" i="11"/>
  <c r="AK114" i="11"/>
  <c r="AK113" i="11"/>
  <c r="AK112" i="11"/>
  <c r="AK111" i="11"/>
  <c r="AK110" i="11"/>
  <c r="AK109" i="11"/>
  <c r="AK108" i="11"/>
  <c r="AK107" i="11"/>
  <c r="AK106" i="11"/>
  <c r="AK105" i="11"/>
  <c r="AK104" i="11"/>
  <c r="AK103" i="11"/>
  <c r="AK102" i="11"/>
  <c r="AK101" i="11"/>
  <c r="AK100" i="11"/>
  <c r="AK99" i="11"/>
  <c r="AK98" i="11"/>
  <c r="AK97" i="11"/>
  <c r="AK96" i="11"/>
  <c r="AK95" i="11"/>
  <c r="AK94" i="11"/>
  <c r="AK93" i="11"/>
  <c r="AK92" i="11"/>
  <c r="AK91" i="11"/>
  <c r="AK90" i="11"/>
  <c r="AK89" i="11"/>
  <c r="AK88" i="11"/>
  <c r="AK87" i="11"/>
  <c r="AK86" i="11"/>
  <c r="AK85" i="11"/>
  <c r="AK84" i="11"/>
  <c r="AK83" i="11"/>
  <c r="AK82" i="11"/>
  <c r="AK81" i="11"/>
  <c r="AK80" i="11"/>
  <c r="AK79" i="11"/>
  <c r="AK78" i="11"/>
  <c r="AK77" i="11"/>
  <c r="AK76" i="11"/>
  <c r="AK75" i="11"/>
  <c r="AK74" i="11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M162" i="11"/>
  <c r="AM161" i="11"/>
  <c r="AM160" i="11"/>
  <c r="AM159" i="11"/>
  <c r="AM158" i="11"/>
  <c r="AM157" i="11"/>
  <c r="AM156" i="11"/>
  <c r="AM155" i="11"/>
  <c r="AM154" i="11"/>
  <c r="AM153" i="11"/>
  <c r="AM150" i="11"/>
  <c r="AM149" i="11"/>
  <c r="AM148" i="11"/>
  <c r="AM147" i="11"/>
  <c r="AM146" i="11"/>
  <c r="AM145" i="11"/>
  <c r="AM144" i="11"/>
  <c r="AM143" i="11"/>
  <c r="AM141" i="11"/>
  <c r="AM140" i="11"/>
  <c r="AM139" i="11"/>
  <c r="AM138" i="11"/>
  <c r="AM137" i="11"/>
  <c r="AM136" i="11"/>
  <c r="AM135" i="11"/>
  <c r="AM134" i="11"/>
  <c r="AM133" i="11"/>
  <c r="AM132" i="11"/>
  <c r="AM131" i="11"/>
  <c r="AM130" i="11"/>
  <c r="AM129" i="11"/>
  <c r="AM128" i="11"/>
  <c r="AM127" i="11"/>
  <c r="AM126" i="11"/>
  <c r="AM125" i="11"/>
  <c r="AM119" i="11"/>
  <c r="AM118" i="11"/>
  <c r="AM117" i="11"/>
  <c r="AM116" i="11"/>
  <c r="AM115" i="11"/>
  <c r="AM114" i="11"/>
  <c r="AM113" i="11"/>
  <c r="AM112" i="11"/>
  <c r="AM111" i="11"/>
  <c r="AM110" i="11"/>
  <c r="AM109" i="11"/>
  <c r="AM108" i="11"/>
  <c r="AM107" i="11"/>
  <c r="AM106" i="11"/>
  <c r="AM105" i="11"/>
  <c r="AM104" i="11"/>
  <c r="AM103" i="11"/>
  <c r="AM102" i="11"/>
  <c r="AM101" i="11"/>
  <c r="AM100" i="11"/>
  <c r="AM99" i="11"/>
  <c r="AM98" i="11"/>
  <c r="AM97" i="11"/>
  <c r="AM96" i="11"/>
  <c r="AM95" i="11"/>
  <c r="AM94" i="11"/>
  <c r="AM93" i="11"/>
  <c r="AM92" i="11"/>
  <c r="AM91" i="11"/>
  <c r="AM90" i="11"/>
  <c r="AM89" i="11"/>
  <c r="AM88" i="11"/>
  <c r="AM87" i="11"/>
  <c r="AM86" i="11"/>
  <c r="AM85" i="11"/>
  <c r="AM84" i="11"/>
  <c r="AM83" i="11"/>
  <c r="AM82" i="11"/>
  <c r="AM81" i="11"/>
  <c r="AM80" i="11"/>
  <c r="AM79" i="11"/>
  <c r="AM78" i="11"/>
  <c r="AM77" i="11"/>
  <c r="AM76" i="11"/>
  <c r="AM75" i="11"/>
  <c r="AM74" i="11"/>
  <c r="AM73" i="11"/>
  <c r="AM72" i="11"/>
  <c r="AM71" i="11"/>
  <c r="AM70" i="11"/>
  <c r="AM69" i="11"/>
  <c r="AM68" i="11"/>
  <c r="AM67" i="11"/>
  <c r="AM66" i="11"/>
  <c r="AM65" i="11"/>
  <c r="AM64" i="11"/>
  <c r="AM63" i="11"/>
  <c r="AM62" i="11"/>
  <c r="AM61" i="11"/>
  <c r="AM60" i="11"/>
  <c r="AM59" i="11"/>
  <c r="AM58" i="11"/>
  <c r="AM57" i="11"/>
  <c r="AM56" i="11"/>
  <c r="AM55" i="11"/>
  <c r="AM54" i="11"/>
  <c r="AM53" i="11"/>
  <c r="AM52" i="11"/>
  <c r="AM51" i="11"/>
  <c r="AM50" i="11"/>
  <c r="AM49" i="11"/>
  <c r="AM48" i="11"/>
  <c r="AM47" i="11"/>
  <c r="AM46" i="11"/>
  <c r="AM45" i="11"/>
  <c r="AM44" i="11"/>
  <c r="AM43" i="11"/>
  <c r="AM42" i="11"/>
  <c r="AM41" i="11"/>
  <c r="AM40" i="11"/>
  <c r="AM39" i="11"/>
  <c r="AM38" i="11"/>
  <c r="AM37" i="11"/>
  <c r="AM36" i="11"/>
  <c r="AM35" i="11"/>
  <c r="AM34" i="11"/>
  <c r="AM33" i="11"/>
  <c r="AM32" i="11"/>
  <c r="AM31" i="11"/>
  <c r="AM30" i="11"/>
  <c r="AM29" i="11"/>
  <c r="AM28" i="11"/>
  <c r="AM27" i="11"/>
  <c r="AM26" i="11"/>
  <c r="AM25" i="11"/>
  <c r="AM24" i="11"/>
  <c r="AM23" i="11"/>
  <c r="AM22" i="11"/>
  <c r="AM21" i="11"/>
  <c r="AM20" i="11"/>
  <c r="AM19" i="11"/>
  <c r="AM18" i="11"/>
  <c r="AM17" i="11"/>
  <c r="AM16" i="11"/>
  <c r="AM15" i="11"/>
  <c r="AM14" i="11"/>
  <c r="AM13" i="11"/>
  <c r="AM12" i="11"/>
  <c r="AM11" i="11"/>
  <c r="AM10" i="11"/>
  <c r="AM9" i="11"/>
  <c r="AM8" i="11"/>
  <c r="AM7" i="11"/>
  <c r="AM6" i="11"/>
  <c r="AM5" i="11"/>
  <c r="AM4" i="11"/>
  <c r="AO162" i="11"/>
  <c r="AO161" i="11"/>
  <c r="AO160" i="11"/>
  <c r="AO159" i="11"/>
  <c r="AO158" i="11"/>
  <c r="AO157" i="11"/>
  <c r="AO156" i="11"/>
  <c r="AO155" i="11"/>
  <c r="AO154" i="11"/>
  <c r="AO153" i="11"/>
  <c r="AO150" i="11"/>
  <c r="AO149" i="11"/>
  <c r="AO148" i="11"/>
  <c r="AO147" i="11"/>
  <c r="AO146" i="11"/>
  <c r="AO145" i="11"/>
  <c r="AO144" i="11"/>
  <c r="AO143" i="11"/>
  <c r="AO141" i="11"/>
  <c r="AO140" i="11"/>
  <c r="AO139" i="11"/>
  <c r="AO138" i="11"/>
  <c r="AO137" i="11"/>
  <c r="AO136" i="11"/>
  <c r="AO135" i="11"/>
  <c r="AO134" i="11"/>
  <c r="AO133" i="11"/>
  <c r="AO132" i="11"/>
  <c r="AO131" i="11"/>
  <c r="AO130" i="11"/>
  <c r="AO129" i="11"/>
  <c r="AO128" i="11"/>
  <c r="AO127" i="11"/>
  <c r="AO126" i="11"/>
  <c r="AO125" i="11"/>
  <c r="AO119" i="11"/>
  <c r="AO118" i="11"/>
  <c r="AO117" i="11"/>
  <c r="AO116" i="11"/>
  <c r="AO115" i="11"/>
  <c r="AO114" i="11"/>
  <c r="AO113" i="11"/>
  <c r="AO112" i="11"/>
  <c r="AO111" i="11"/>
  <c r="AO110" i="11"/>
  <c r="AO109" i="11"/>
  <c r="AO108" i="11"/>
  <c r="AO107" i="11"/>
  <c r="AO106" i="11"/>
  <c r="AO105" i="11"/>
  <c r="AO104" i="11"/>
  <c r="AO103" i="11"/>
  <c r="AO102" i="11"/>
  <c r="AO101" i="11"/>
  <c r="AO100" i="11"/>
  <c r="AO99" i="11"/>
  <c r="AO98" i="11"/>
  <c r="AO97" i="11"/>
  <c r="AO96" i="11"/>
  <c r="AO95" i="11"/>
  <c r="AO94" i="11"/>
  <c r="AO93" i="11"/>
  <c r="AO92" i="11"/>
  <c r="AO91" i="11"/>
  <c r="AO90" i="11"/>
  <c r="AO89" i="11"/>
  <c r="AO88" i="11"/>
  <c r="AO87" i="11"/>
  <c r="AO86" i="11"/>
  <c r="AO85" i="11"/>
  <c r="AO84" i="11"/>
  <c r="AO83" i="11"/>
  <c r="AO82" i="11"/>
  <c r="AO81" i="11"/>
  <c r="AO80" i="11"/>
  <c r="AO79" i="11"/>
  <c r="AO78" i="11"/>
  <c r="AO77" i="11"/>
  <c r="AO76" i="11"/>
  <c r="AO75" i="11"/>
  <c r="AO74" i="11"/>
  <c r="AO73" i="11"/>
  <c r="AO72" i="11"/>
  <c r="AO71" i="11"/>
  <c r="AO70" i="11"/>
  <c r="AO69" i="11"/>
  <c r="AO68" i="11"/>
  <c r="AO67" i="11"/>
  <c r="AO66" i="11"/>
  <c r="AO65" i="11"/>
  <c r="AO64" i="11"/>
  <c r="AO63" i="11"/>
  <c r="AO62" i="11"/>
  <c r="AO61" i="11"/>
  <c r="AO60" i="11"/>
  <c r="AO59" i="11"/>
  <c r="AO58" i="11"/>
  <c r="AO57" i="11"/>
  <c r="AO56" i="11"/>
  <c r="AO55" i="11"/>
  <c r="AO54" i="11"/>
  <c r="AO53" i="11"/>
  <c r="AO52" i="11"/>
  <c r="AO51" i="11"/>
  <c r="AO50" i="11"/>
  <c r="AO49" i="11"/>
  <c r="AO48" i="11"/>
  <c r="AO47" i="11"/>
  <c r="AO46" i="11"/>
  <c r="AO45" i="11"/>
  <c r="AO44" i="11"/>
  <c r="AO43" i="11"/>
  <c r="AO42" i="11"/>
  <c r="AO41" i="11"/>
  <c r="AO40" i="11"/>
  <c r="AO39" i="11"/>
  <c r="AO38" i="11"/>
  <c r="AO37" i="11"/>
  <c r="AO36" i="11"/>
  <c r="AO35" i="11"/>
  <c r="AO34" i="11"/>
  <c r="AO33" i="11"/>
  <c r="AO32" i="11"/>
  <c r="AO31" i="11"/>
  <c r="AO30" i="11"/>
  <c r="AO29" i="11"/>
  <c r="AO28" i="11"/>
  <c r="AO27" i="11"/>
  <c r="AO26" i="11"/>
  <c r="AO25" i="11"/>
  <c r="AO24" i="11"/>
  <c r="AO23" i="11"/>
  <c r="AO22" i="11"/>
  <c r="AO21" i="11"/>
  <c r="AO20" i="11"/>
  <c r="AO19" i="11"/>
  <c r="AO18" i="11"/>
  <c r="AO17" i="11"/>
  <c r="AO16" i="11"/>
  <c r="AO15" i="11"/>
  <c r="AO14" i="11"/>
  <c r="AO13" i="11"/>
  <c r="AO12" i="11"/>
  <c r="AO11" i="11"/>
  <c r="AO10" i="11"/>
  <c r="AO9" i="11"/>
  <c r="AO8" i="11"/>
  <c r="AO7" i="11"/>
  <c r="AO6" i="11"/>
  <c r="AO5" i="11"/>
  <c r="AO4" i="11"/>
  <c r="AQ162" i="11"/>
  <c r="AQ161" i="11"/>
  <c r="AQ160" i="11"/>
  <c r="AQ159" i="11"/>
  <c r="AQ158" i="11"/>
  <c r="AQ157" i="11"/>
  <c r="AQ156" i="11"/>
  <c r="AQ155" i="11"/>
  <c r="AQ154" i="11"/>
  <c r="AQ153" i="11"/>
  <c r="AQ150" i="11"/>
  <c r="AQ149" i="11"/>
  <c r="AQ148" i="11"/>
  <c r="AQ147" i="11"/>
  <c r="AQ146" i="11"/>
  <c r="AQ145" i="11"/>
  <c r="AQ144" i="11"/>
  <c r="AQ143" i="11"/>
  <c r="AQ141" i="11"/>
  <c r="AQ140" i="11"/>
  <c r="AQ139" i="11"/>
  <c r="AQ138" i="11"/>
  <c r="AQ137" i="11"/>
  <c r="AQ136" i="11"/>
  <c r="AQ135" i="11"/>
  <c r="AQ134" i="11"/>
  <c r="AQ133" i="11"/>
  <c r="AQ132" i="11"/>
  <c r="AQ131" i="11"/>
  <c r="AQ130" i="11"/>
  <c r="AQ129" i="11"/>
  <c r="AQ128" i="11"/>
  <c r="AQ127" i="11"/>
  <c r="AQ126" i="11"/>
  <c r="AQ125" i="11"/>
  <c r="AQ119" i="11"/>
  <c r="AQ118" i="11"/>
  <c r="AQ117" i="11"/>
  <c r="AQ116" i="11"/>
  <c r="AQ115" i="11"/>
  <c r="AQ114" i="11"/>
  <c r="AQ113" i="11"/>
  <c r="AQ112" i="11"/>
  <c r="AQ111" i="11"/>
  <c r="AQ110" i="11"/>
  <c r="AQ109" i="11"/>
  <c r="AQ108" i="11"/>
  <c r="AQ107" i="11"/>
  <c r="AQ106" i="11"/>
  <c r="AQ105" i="11"/>
  <c r="AQ104" i="11"/>
  <c r="AQ103" i="11"/>
  <c r="AQ102" i="11"/>
  <c r="AQ101" i="11"/>
  <c r="AQ100" i="11"/>
  <c r="AQ99" i="11"/>
  <c r="AQ98" i="11"/>
  <c r="AQ97" i="11"/>
  <c r="AQ96" i="11"/>
  <c r="AQ95" i="11"/>
  <c r="AQ94" i="11"/>
  <c r="AQ93" i="11"/>
  <c r="AQ92" i="11"/>
  <c r="AQ91" i="11"/>
  <c r="AQ90" i="11"/>
  <c r="AQ89" i="11"/>
  <c r="AQ88" i="11"/>
  <c r="AQ87" i="11"/>
  <c r="AQ86" i="11"/>
  <c r="AQ85" i="11"/>
  <c r="AQ84" i="11"/>
  <c r="AQ83" i="11"/>
  <c r="AQ82" i="11"/>
  <c r="AQ81" i="11"/>
  <c r="AQ80" i="11"/>
  <c r="AQ79" i="11"/>
  <c r="AQ78" i="11"/>
  <c r="AQ77" i="11"/>
  <c r="AQ76" i="11"/>
  <c r="AQ75" i="11"/>
  <c r="AQ74" i="11"/>
  <c r="AQ73" i="11"/>
  <c r="AQ72" i="11"/>
  <c r="AQ71" i="11"/>
  <c r="AQ70" i="11"/>
  <c r="AQ69" i="11"/>
  <c r="AQ68" i="11"/>
  <c r="AQ67" i="11"/>
  <c r="AQ66" i="11"/>
  <c r="AQ65" i="11"/>
  <c r="AQ64" i="11"/>
  <c r="AQ63" i="11"/>
  <c r="AQ62" i="11"/>
  <c r="AQ61" i="11"/>
  <c r="AQ60" i="11"/>
  <c r="AQ59" i="11"/>
  <c r="AQ58" i="11"/>
  <c r="AQ57" i="11"/>
  <c r="AQ56" i="11"/>
  <c r="AQ55" i="11"/>
  <c r="AQ54" i="11"/>
  <c r="AQ53" i="11"/>
  <c r="AQ52" i="11"/>
  <c r="AQ51" i="11"/>
  <c r="AQ50" i="11"/>
  <c r="AQ49" i="11"/>
  <c r="AQ48" i="11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4" i="11"/>
  <c r="AQ33" i="11"/>
  <c r="AQ32" i="11"/>
  <c r="AQ31" i="11"/>
  <c r="AQ30" i="11"/>
  <c r="AQ29" i="11"/>
  <c r="AQ28" i="11"/>
  <c r="AQ27" i="11"/>
  <c r="AQ26" i="11"/>
  <c r="AQ25" i="11"/>
  <c r="AQ24" i="11"/>
  <c r="AQ23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Q9" i="11"/>
  <c r="AQ8" i="11"/>
  <c r="AQ7" i="11"/>
  <c r="AQ6" i="11"/>
  <c r="AQ5" i="11"/>
  <c r="AQ4" i="11"/>
  <c r="AS162" i="11"/>
  <c r="AS161" i="11"/>
  <c r="AS160" i="11"/>
  <c r="AS159" i="11"/>
  <c r="AS158" i="11"/>
  <c r="AS157" i="11"/>
  <c r="AS156" i="11"/>
  <c r="AS155" i="11"/>
  <c r="AS154" i="11"/>
  <c r="AS153" i="11"/>
  <c r="AS150" i="11"/>
  <c r="AS149" i="11"/>
  <c r="AS148" i="11"/>
  <c r="AS147" i="11"/>
  <c r="AS146" i="11"/>
  <c r="AS145" i="11"/>
  <c r="AS144" i="11"/>
  <c r="AS143" i="11"/>
  <c r="AS141" i="11"/>
  <c r="AS140" i="11"/>
  <c r="AS139" i="11"/>
  <c r="AS138" i="11"/>
  <c r="AS137" i="11"/>
  <c r="AS136" i="11"/>
  <c r="AS135" i="11"/>
  <c r="AS134" i="11"/>
  <c r="AS133" i="11"/>
  <c r="AS132" i="11"/>
  <c r="AS131" i="11"/>
  <c r="AS130" i="11"/>
  <c r="AS129" i="11"/>
  <c r="AS128" i="11"/>
  <c r="AS127" i="11"/>
  <c r="AS126" i="11"/>
  <c r="AS125" i="11"/>
  <c r="AS119" i="11"/>
  <c r="AS118" i="11"/>
  <c r="AS117" i="11"/>
  <c r="AS116" i="11"/>
  <c r="AS115" i="11"/>
  <c r="AS114" i="11"/>
  <c r="AS113" i="11"/>
  <c r="AS112" i="11"/>
  <c r="AS111" i="11"/>
  <c r="AS110" i="11"/>
  <c r="AS109" i="11"/>
  <c r="AS108" i="11"/>
  <c r="AS107" i="11"/>
  <c r="AS106" i="11"/>
  <c r="AS105" i="11"/>
  <c r="AS104" i="11"/>
  <c r="AS103" i="11"/>
  <c r="AS102" i="11"/>
  <c r="AS101" i="11"/>
  <c r="AS100" i="11"/>
  <c r="AS99" i="11"/>
  <c r="AS98" i="11"/>
  <c r="AS97" i="11"/>
  <c r="AS96" i="11"/>
  <c r="AS95" i="11"/>
  <c r="AS94" i="11"/>
  <c r="AS93" i="11"/>
  <c r="AS92" i="11"/>
  <c r="AS91" i="11"/>
  <c r="AS90" i="11"/>
  <c r="AS89" i="11"/>
  <c r="AS88" i="11"/>
  <c r="AS87" i="11"/>
  <c r="AS86" i="11"/>
  <c r="AS85" i="11"/>
  <c r="AS84" i="11"/>
  <c r="AS83" i="11"/>
  <c r="AS82" i="11"/>
  <c r="AS81" i="11"/>
  <c r="AS80" i="11"/>
  <c r="AS79" i="11"/>
  <c r="AS78" i="11"/>
  <c r="AS77" i="11"/>
  <c r="AS76" i="11"/>
  <c r="AS75" i="11"/>
  <c r="AS74" i="11"/>
  <c r="AS73" i="11"/>
  <c r="AS72" i="11"/>
  <c r="AS71" i="11"/>
  <c r="AS70" i="11"/>
  <c r="AS69" i="11"/>
  <c r="AS68" i="11"/>
  <c r="AS67" i="11"/>
  <c r="AS66" i="11"/>
  <c r="AS65" i="11"/>
  <c r="AS64" i="11"/>
  <c r="AS63" i="11"/>
  <c r="AS62" i="11"/>
  <c r="AS61" i="11"/>
  <c r="AS60" i="11"/>
  <c r="AS59" i="11"/>
  <c r="AS58" i="11"/>
  <c r="AS57" i="11"/>
  <c r="AS56" i="11"/>
  <c r="AS55" i="11"/>
  <c r="AS54" i="11"/>
  <c r="AS53" i="11"/>
  <c r="AS52" i="11"/>
  <c r="AS51" i="11"/>
  <c r="AS50" i="11"/>
  <c r="AS49" i="11"/>
  <c r="AS48" i="11"/>
  <c r="AS47" i="11"/>
  <c r="AS46" i="11"/>
  <c r="AS45" i="11"/>
  <c r="AS44" i="11"/>
  <c r="AS43" i="11"/>
  <c r="AS42" i="11"/>
  <c r="AS41" i="11"/>
  <c r="AS40" i="11"/>
  <c r="AS39" i="11"/>
  <c r="AS38" i="11"/>
  <c r="AS37" i="11"/>
  <c r="AS36" i="11"/>
  <c r="AS35" i="11"/>
  <c r="AS34" i="11"/>
  <c r="AS33" i="11"/>
  <c r="AS32" i="11"/>
  <c r="AS31" i="11"/>
  <c r="AS30" i="11"/>
  <c r="AS29" i="11"/>
  <c r="AS28" i="11"/>
  <c r="AS27" i="11"/>
  <c r="AS26" i="11"/>
  <c r="AS25" i="11"/>
  <c r="AS24" i="11"/>
  <c r="AS23" i="11"/>
  <c r="AS22" i="11"/>
  <c r="AS21" i="11"/>
  <c r="AS20" i="11"/>
  <c r="AS19" i="11"/>
  <c r="AS18" i="11"/>
  <c r="AS17" i="11"/>
  <c r="AS16" i="11"/>
  <c r="AS15" i="11"/>
  <c r="AS14" i="11"/>
  <c r="AS13" i="11"/>
  <c r="AS12" i="11"/>
  <c r="AS11" i="11"/>
  <c r="AS10" i="11"/>
  <c r="AS9" i="11"/>
  <c r="AS8" i="11"/>
  <c r="AS7" i="11"/>
  <c r="AS6" i="11"/>
  <c r="AS5" i="11"/>
  <c r="AS4" i="11"/>
  <c r="AU162" i="11"/>
  <c r="AU161" i="11"/>
  <c r="AU160" i="11"/>
  <c r="AU159" i="11"/>
  <c r="AU158" i="11"/>
  <c r="AU157" i="11"/>
  <c r="AU156" i="11"/>
  <c r="AU155" i="11"/>
  <c r="AU154" i="11"/>
  <c r="AU153" i="11"/>
  <c r="AU150" i="11"/>
  <c r="AU149" i="11"/>
  <c r="AU148" i="11"/>
  <c r="AU147" i="11"/>
  <c r="AU146" i="11"/>
  <c r="AU145" i="11"/>
  <c r="AU144" i="11"/>
  <c r="AU143" i="11"/>
  <c r="AU141" i="11"/>
  <c r="AU140" i="11"/>
  <c r="AU139" i="11"/>
  <c r="AU138" i="11"/>
  <c r="AU137" i="11"/>
  <c r="AU136" i="11"/>
  <c r="AU135" i="11"/>
  <c r="AU134" i="11"/>
  <c r="AU133" i="11"/>
  <c r="AU132" i="11"/>
  <c r="AU131" i="11"/>
  <c r="AU130" i="11"/>
  <c r="AU129" i="11"/>
  <c r="AU128" i="11"/>
  <c r="AU127" i="11"/>
  <c r="AU126" i="11"/>
  <c r="AU125" i="11"/>
  <c r="AU119" i="11"/>
  <c r="AU118" i="11"/>
  <c r="AU117" i="11"/>
  <c r="AU116" i="11"/>
  <c r="AU115" i="11"/>
  <c r="AU114" i="11"/>
  <c r="AU113" i="11"/>
  <c r="AU112" i="11"/>
  <c r="AU111" i="11"/>
  <c r="AU110" i="11"/>
  <c r="AU109" i="11"/>
  <c r="AU108" i="11"/>
  <c r="AU107" i="11"/>
  <c r="AU106" i="11"/>
  <c r="AU105" i="11"/>
  <c r="AU104" i="11"/>
  <c r="AU103" i="11"/>
  <c r="AU102" i="11"/>
  <c r="AU101" i="11"/>
  <c r="AU100" i="11"/>
  <c r="AU99" i="11"/>
  <c r="AU98" i="11"/>
  <c r="AU97" i="11"/>
  <c r="AU96" i="11"/>
  <c r="AU95" i="11"/>
  <c r="AU94" i="11"/>
  <c r="AU93" i="11"/>
  <c r="AU92" i="11"/>
  <c r="AU91" i="11"/>
  <c r="AU90" i="11"/>
  <c r="AU89" i="11"/>
  <c r="AU88" i="11"/>
  <c r="AU87" i="11"/>
  <c r="AU86" i="11"/>
  <c r="AU85" i="11"/>
  <c r="AU84" i="11"/>
  <c r="AU83" i="11"/>
  <c r="AU82" i="11"/>
  <c r="AU81" i="11"/>
  <c r="AU80" i="11"/>
  <c r="AU79" i="11"/>
  <c r="AU78" i="11"/>
  <c r="AU77" i="11"/>
  <c r="AU76" i="11"/>
  <c r="AU75" i="11"/>
  <c r="AU74" i="11"/>
  <c r="AU73" i="11"/>
  <c r="AU72" i="11"/>
  <c r="AU71" i="11"/>
  <c r="AU70" i="11"/>
  <c r="AU69" i="11"/>
  <c r="AU68" i="11"/>
  <c r="AU67" i="11"/>
  <c r="AU66" i="11"/>
  <c r="AU65" i="11"/>
  <c r="AU64" i="11"/>
  <c r="AU63" i="11"/>
  <c r="AU62" i="11"/>
  <c r="AU61" i="11"/>
  <c r="AU60" i="11"/>
  <c r="AU59" i="11"/>
  <c r="AU58" i="11"/>
  <c r="AU57" i="11"/>
  <c r="AU56" i="11"/>
  <c r="AU55" i="11"/>
  <c r="AU54" i="11"/>
  <c r="AU53" i="11"/>
  <c r="AU52" i="11"/>
  <c r="AU51" i="11"/>
  <c r="AU50" i="11"/>
  <c r="AU49" i="11"/>
  <c r="AU48" i="11"/>
  <c r="AU47" i="11"/>
  <c r="AU46" i="11"/>
  <c r="AU45" i="11"/>
  <c r="AU44" i="11"/>
  <c r="AU43" i="11"/>
  <c r="AU42" i="11"/>
  <c r="AU41" i="11"/>
  <c r="AU40" i="11"/>
  <c r="AU39" i="11"/>
  <c r="AU38" i="11"/>
  <c r="AU37" i="11"/>
  <c r="AU36" i="11"/>
  <c r="AU35" i="11"/>
  <c r="AU34" i="11"/>
  <c r="AU33" i="11"/>
  <c r="AU32" i="11"/>
  <c r="AU31" i="11"/>
  <c r="AU30" i="11"/>
  <c r="AU29" i="11"/>
  <c r="AU28" i="11"/>
  <c r="AU27" i="11"/>
  <c r="AU26" i="11"/>
  <c r="AU25" i="11"/>
  <c r="AU24" i="11"/>
  <c r="AU23" i="11"/>
  <c r="AU22" i="11"/>
  <c r="AU21" i="11"/>
  <c r="AU20" i="11"/>
  <c r="AU19" i="11"/>
  <c r="AU18" i="11"/>
  <c r="AU17" i="11"/>
  <c r="AU16" i="11"/>
  <c r="AU15" i="11"/>
  <c r="AU14" i="11"/>
  <c r="AU13" i="11"/>
  <c r="AU12" i="11"/>
  <c r="AU11" i="11"/>
  <c r="AU10" i="11"/>
  <c r="AU9" i="11"/>
  <c r="AU8" i="11"/>
  <c r="AU7" i="11"/>
  <c r="AU6" i="11"/>
  <c r="AU5" i="11"/>
  <c r="AU4" i="11"/>
  <c r="AW162" i="11"/>
  <c r="AW161" i="11"/>
  <c r="AW160" i="11"/>
  <c r="AW159" i="11"/>
  <c r="AW158" i="11"/>
  <c r="AW157" i="11"/>
  <c r="AW156" i="11"/>
  <c r="AW155" i="11"/>
  <c r="AW154" i="11"/>
  <c r="AW153" i="11"/>
  <c r="AW150" i="11"/>
  <c r="AW149" i="11"/>
  <c r="AW148" i="11"/>
  <c r="AW147" i="11"/>
  <c r="AW146" i="11"/>
  <c r="AW145" i="11"/>
  <c r="AW144" i="11"/>
  <c r="AW143" i="11"/>
  <c r="AW141" i="11"/>
  <c r="AW140" i="11"/>
  <c r="AW139" i="11"/>
  <c r="AW138" i="11"/>
  <c r="AW137" i="11"/>
  <c r="AW136" i="11"/>
  <c r="AW135" i="11"/>
  <c r="AW134" i="11"/>
  <c r="AW133" i="11"/>
  <c r="AW132" i="11"/>
  <c r="AW131" i="11"/>
  <c r="AW130" i="11"/>
  <c r="AW129" i="11"/>
  <c r="AW128" i="11"/>
  <c r="AW127" i="11"/>
  <c r="AW126" i="11"/>
  <c r="AW125" i="11"/>
  <c r="AW119" i="11"/>
  <c r="AW118" i="11"/>
  <c r="AW117" i="11"/>
  <c r="AW116" i="11"/>
  <c r="AW115" i="11"/>
  <c r="AW114" i="11"/>
  <c r="AW113" i="11"/>
  <c r="AW112" i="11"/>
  <c r="AW111" i="11"/>
  <c r="AW110" i="11"/>
  <c r="AW109" i="11"/>
  <c r="AW108" i="11"/>
  <c r="AW107" i="11"/>
  <c r="AW106" i="11"/>
  <c r="AW105" i="11"/>
  <c r="AW104" i="11"/>
  <c r="AW103" i="11"/>
  <c r="AW102" i="11"/>
  <c r="AW101" i="11"/>
  <c r="AW100" i="11"/>
  <c r="AW99" i="11"/>
  <c r="AW98" i="11"/>
  <c r="AW97" i="11"/>
  <c r="AW96" i="11"/>
  <c r="AW95" i="11"/>
  <c r="AW94" i="11"/>
  <c r="AW93" i="11"/>
  <c r="AW92" i="11"/>
  <c r="AW91" i="11"/>
  <c r="AW90" i="11"/>
  <c r="AW89" i="11"/>
  <c r="AW88" i="11"/>
  <c r="AW87" i="11"/>
  <c r="AW86" i="11"/>
  <c r="AW85" i="11"/>
  <c r="AW84" i="11"/>
  <c r="AW83" i="11"/>
  <c r="AW82" i="11"/>
  <c r="AW81" i="11"/>
  <c r="AW80" i="11"/>
  <c r="AW79" i="11"/>
  <c r="AW78" i="11"/>
  <c r="AW77" i="11"/>
  <c r="AW76" i="11"/>
  <c r="AW75" i="11"/>
  <c r="AW74" i="11"/>
  <c r="AW73" i="11"/>
  <c r="AW72" i="11"/>
  <c r="AW71" i="11"/>
  <c r="AW70" i="11"/>
  <c r="AW69" i="11"/>
  <c r="AW68" i="11"/>
  <c r="AW67" i="11"/>
  <c r="AW66" i="11"/>
  <c r="AW65" i="11"/>
  <c r="AW64" i="11"/>
  <c r="AW63" i="11"/>
  <c r="AW62" i="11"/>
  <c r="AW61" i="11"/>
  <c r="AW60" i="11"/>
  <c r="AW59" i="11"/>
  <c r="AW58" i="11"/>
  <c r="AW57" i="11"/>
  <c r="AW56" i="11"/>
  <c r="AW55" i="11"/>
  <c r="AW54" i="11"/>
  <c r="AW53" i="11"/>
  <c r="AW52" i="11"/>
  <c r="AW51" i="11"/>
  <c r="AW50" i="11"/>
  <c r="AW49" i="11"/>
  <c r="AW48" i="11"/>
  <c r="AW47" i="11"/>
  <c r="AW46" i="11"/>
  <c r="AW45" i="11"/>
  <c r="AW44" i="11"/>
  <c r="AW43" i="11"/>
  <c r="AW42" i="11"/>
  <c r="AW41" i="11"/>
  <c r="AW40" i="11"/>
  <c r="AW39" i="11"/>
  <c r="AW38" i="11"/>
  <c r="AW37" i="11"/>
  <c r="AW36" i="11"/>
  <c r="AW35" i="11"/>
  <c r="AW34" i="11"/>
  <c r="AW33" i="11"/>
  <c r="AW32" i="11"/>
  <c r="AW31" i="11"/>
  <c r="AW30" i="11"/>
  <c r="AW29" i="11"/>
  <c r="AW28" i="11"/>
  <c r="AW27" i="11"/>
  <c r="AW26" i="11"/>
  <c r="AW25" i="11"/>
  <c r="AW24" i="11"/>
  <c r="AW23" i="11"/>
  <c r="AW22" i="11"/>
  <c r="AW21" i="11"/>
  <c r="AW20" i="11"/>
  <c r="AW19" i="11"/>
  <c r="AW18" i="11"/>
  <c r="AW17" i="11"/>
  <c r="AW16" i="11"/>
  <c r="AW15" i="11"/>
  <c r="AW14" i="11"/>
  <c r="AW13" i="11"/>
  <c r="AW12" i="11"/>
  <c r="AW11" i="11"/>
  <c r="AW10" i="11"/>
  <c r="AW9" i="11"/>
  <c r="AW8" i="11"/>
  <c r="AW7" i="11"/>
  <c r="AW6" i="11"/>
  <c r="AW5" i="11"/>
  <c r="AW4" i="11"/>
  <c r="AY162" i="11"/>
  <c r="AY161" i="11"/>
  <c r="AY160" i="11"/>
  <c r="AY159" i="11"/>
  <c r="AY158" i="11"/>
  <c r="AY157" i="11"/>
  <c r="AY156" i="11"/>
  <c r="AY155" i="11"/>
  <c r="AY154" i="11"/>
  <c r="AY153" i="11"/>
  <c r="AY150" i="11"/>
  <c r="AY149" i="11"/>
  <c r="AY148" i="11"/>
  <c r="AY147" i="11"/>
  <c r="AY146" i="11"/>
  <c r="AY145" i="11"/>
  <c r="AY144" i="11"/>
  <c r="AY143" i="11"/>
  <c r="AY141" i="11"/>
  <c r="AY140" i="11"/>
  <c r="AY139" i="11"/>
  <c r="AY138" i="11"/>
  <c r="AY137" i="11"/>
  <c r="AY136" i="11"/>
  <c r="AY135" i="11"/>
  <c r="AY134" i="11"/>
  <c r="AY133" i="11"/>
  <c r="AY132" i="11"/>
  <c r="AY131" i="11"/>
  <c r="AY130" i="11"/>
  <c r="AY129" i="11"/>
  <c r="AY128" i="11"/>
  <c r="AY127" i="11"/>
  <c r="AY126" i="11"/>
  <c r="AY125" i="11"/>
  <c r="AY119" i="11"/>
  <c r="AY118" i="11"/>
  <c r="AY117" i="11"/>
  <c r="AY116" i="11"/>
  <c r="AY115" i="11"/>
  <c r="AY114" i="11"/>
  <c r="AY113" i="11"/>
  <c r="AY112" i="11"/>
  <c r="AY111" i="11"/>
  <c r="AY110" i="11"/>
  <c r="AY109" i="11"/>
  <c r="AY108" i="11"/>
  <c r="AY107" i="11"/>
  <c r="AY106" i="11"/>
  <c r="AY105" i="11"/>
  <c r="AY104" i="11"/>
  <c r="AY103" i="11"/>
  <c r="AY102" i="11"/>
  <c r="AY101" i="11"/>
  <c r="AY100" i="11"/>
  <c r="AY99" i="11"/>
  <c r="AY98" i="11"/>
  <c r="AY97" i="11"/>
  <c r="AY96" i="11"/>
  <c r="AY95" i="11"/>
  <c r="AY94" i="11"/>
  <c r="AY93" i="11"/>
  <c r="AY92" i="11"/>
  <c r="AY91" i="11"/>
  <c r="AY90" i="11"/>
  <c r="AY89" i="11"/>
  <c r="AY88" i="11"/>
  <c r="AY87" i="11"/>
  <c r="AY86" i="11"/>
  <c r="AY85" i="11"/>
  <c r="AY84" i="11"/>
  <c r="AY83" i="11"/>
  <c r="AY82" i="11"/>
  <c r="AY81" i="11"/>
  <c r="AY80" i="11"/>
  <c r="AY79" i="11"/>
  <c r="AY78" i="11"/>
  <c r="AY77" i="11"/>
  <c r="AY76" i="11"/>
  <c r="AY75" i="11"/>
  <c r="AY74" i="11"/>
  <c r="AY73" i="11"/>
  <c r="AY72" i="11"/>
  <c r="AY71" i="11"/>
  <c r="AY70" i="11"/>
  <c r="AY69" i="11"/>
  <c r="AY68" i="11"/>
  <c r="AY67" i="11"/>
  <c r="AY66" i="11"/>
  <c r="AY65" i="11"/>
  <c r="AY64" i="11"/>
  <c r="AY63" i="11"/>
  <c r="AY62" i="11"/>
  <c r="AY61" i="11"/>
  <c r="AY60" i="11"/>
  <c r="AY59" i="11"/>
  <c r="AY58" i="11"/>
  <c r="AY57" i="11"/>
  <c r="AY56" i="11"/>
  <c r="AY55" i="11"/>
  <c r="AY54" i="11"/>
  <c r="AY53" i="11"/>
  <c r="AY52" i="11"/>
  <c r="AY51" i="11"/>
  <c r="AY50" i="11"/>
  <c r="AY49" i="11"/>
  <c r="AY48" i="11"/>
  <c r="AY47" i="11"/>
  <c r="AY46" i="11"/>
  <c r="AY45" i="11"/>
  <c r="AY44" i="11"/>
  <c r="AY43" i="11"/>
  <c r="AY42" i="11"/>
  <c r="AY41" i="11"/>
  <c r="AY40" i="11"/>
  <c r="AY39" i="11"/>
  <c r="AY38" i="11"/>
  <c r="AY37" i="11"/>
  <c r="AY36" i="11"/>
  <c r="AY35" i="11"/>
  <c r="AY34" i="11"/>
  <c r="AY33" i="11"/>
  <c r="AY32" i="11"/>
  <c r="AY31" i="11"/>
  <c r="AY30" i="11"/>
  <c r="AY29" i="11"/>
  <c r="AY28" i="11"/>
  <c r="AY27" i="11"/>
  <c r="AY26" i="11"/>
  <c r="AY25" i="11"/>
  <c r="AY24" i="11"/>
  <c r="AY23" i="11"/>
  <c r="AY22" i="11"/>
  <c r="AY21" i="11"/>
  <c r="AY20" i="11"/>
  <c r="AY19" i="11"/>
  <c r="AY18" i="11"/>
  <c r="AY17" i="11"/>
  <c r="AY16" i="11"/>
  <c r="AY15" i="11"/>
  <c r="AY14" i="11"/>
  <c r="AY13" i="11"/>
  <c r="AY12" i="11"/>
  <c r="AY11" i="11"/>
  <c r="AY10" i="11"/>
  <c r="AY9" i="11"/>
  <c r="AY8" i="11"/>
  <c r="AY7" i="11"/>
  <c r="AY6" i="11"/>
  <c r="AY5" i="11"/>
  <c r="AY4" i="11"/>
  <c r="BA162" i="11"/>
  <c r="BA161" i="11"/>
  <c r="BA160" i="11"/>
  <c r="BA159" i="11"/>
  <c r="BA158" i="11"/>
  <c r="BA157" i="11"/>
  <c r="BA156" i="11"/>
  <c r="BA155" i="11"/>
  <c r="BA154" i="11"/>
  <c r="BA153" i="11"/>
  <c r="BA150" i="11"/>
  <c r="BA149" i="11"/>
  <c r="BA148" i="11"/>
  <c r="BA147" i="11"/>
  <c r="BA146" i="11"/>
  <c r="BA145" i="11"/>
  <c r="BA144" i="11"/>
  <c r="BA143" i="11"/>
  <c r="BA141" i="11"/>
  <c r="BA140" i="11"/>
  <c r="BA139" i="11"/>
  <c r="BA138" i="11"/>
  <c r="BA137" i="11"/>
  <c r="BA136" i="11"/>
  <c r="BA135" i="11"/>
  <c r="BA134" i="11"/>
  <c r="BA133" i="11"/>
  <c r="BA132" i="11"/>
  <c r="BA131" i="11"/>
  <c r="BA130" i="11"/>
  <c r="BA129" i="11"/>
  <c r="BA128" i="11"/>
  <c r="BA127" i="11"/>
  <c r="BA126" i="11"/>
  <c r="BA125" i="11"/>
  <c r="BA119" i="11"/>
  <c r="BA118" i="11"/>
  <c r="BA117" i="11"/>
  <c r="BA116" i="11"/>
  <c r="BA115" i="11"/>
  <c r="BA114" i="11"/>
  <c r="BA113" i="11"/>
  <c r="BA112" i="11"/>
  <c r="BA111" i="11"/>
  <c r="BA110" i="11"/>
  <c r="BA109" i="11"/>
  <c r="BA108" i="11"/>
  <c r="BA107" i="11"/>
  <c r="BA106" i="11"/>
  <c r="BA105" i="11"/>
  <c r="BA104" i="11"/>
  <c r="BA103" i="11"/>
  <c r="BA102" i="11"/>
  <c r="BA101" i="11"/>
  <c r="BA100" i="11"/>
  <c r="BA99" i="11"/>
  <c r="BA98" i="11"/>
  <c r="BA97" i="11"/>
  <c r="BA96" i="11"/>
  <c r="BA95" i="11"/>
  <c r="BA94" i="11"/>
  <c r="BA93" i="11"/>
  <c r="BA92" i="11"/>
  <c r="BA91" i="11"/>
  <c r="BA90" i="11"/>
  <c r="BA89" i="11"/>
  <c r="BA88" i="11"/>
  <c r="BA87" i="11"/>
  <c r="BA86" i="11"/>
  <c r="BA85" i="11"/>
  <c r="BA84" i="11"/>
  <c r="BA83" i="11"/>
  <c r="BA82" i="11"/>
  <c r="BA81" i="11"/>
  <c r="BA80" i="11"/>
  <c r="BA79" i="11"/>
  <c r="BA78" i="11"/>
  <c r="BA77" i="11"/>
  <c r="BA76" i="11"/>
  <c r="BA75" i="11"/>
  <c r="BA74" i="11"/>
  <c r="BA73" i="11"/>
  <c r="BA72" i="11"/>
  <c r="BA71" i="11"/>
  <c r="BA70" i="11"/>
  <c r="BA69" i="11"/>
  <c r="BA68" i="11"/>
  <c r="BA67" i="11"/>
  <c r="BA66" i="11"/>
  <c r="BA65" i="11"/>
  <c r="BA64" i="11"/>
  <c r="BA63" i="11"/>
  <c r="BA62" i="11"/>
  <c r="BA61" i="11"/>
  <c r="BA60" i="11"/>
  <c r="BA59" i="11"/>
  <c r="BA58" i="11"/>
  <c r="BA57" i="11"/>
  <c r="BA56" i="11"/>
  <c r="BA55" i="11"/>
  <c r="BA54" i="11"/>
  <c r="BA53" i="11"/>
  <c r="BA52" i="11"/>
  <c r="BA51" i="11"/>
  <c r="BA50" i="11"/>
  <c r="BA49" i="11"/>
  <c r="BA48" i="11"/>
  <c r="BA47" i="11"/>
  <c r="BA46" i="11"/>
  <c r="BA45" i="11"/>
  <c r="BA44" i="11"/>
  <c r="BA43" i="11"/>
  <c r="BA42" i="11"/>
  <c r="BA41" i="11"/>
  <c r="BA40" i="11"/>
  <c r="BA39" i="11"/>
  <c r="BA38" i="11"/>
  <c r="BA37" i="11"/>
  <c r="BA36" i="11"/>
  <c r="BA35" i="11"/>
  <c r="BA34" i="11"/>
  <c r="BA33" i="11"/>
  <c r="BA32" i="11"/>
  <c r="BA31" i="11"/>
  <c r="BA30" i="11"/>
  <c r="BA29" i="11"/>
  <c r="BA28" i="11"/>
  <c r="BA27" i="11"/>
  <c r="BA26" i="11"/>
  <c r="BA25" i="11"/>
  <c r="BA24" i="11"/>
  <c r="BA23" i="11"/>
  <c r="BA22" i="11"/>
  <c r="BA21" i="11"/>
  <c r="BA20" i="11"/>
  <c r="BA19" i="11"/>
  <c r="BA18" i="11"/>
  <c r="BA17" i="11"/>
  <c r="BA16" i="11"/>
  <c r="BA15" i="11"/>
  <c r="BA14" i="11"/>
  <c r="BA13" i="11"/>
  <c r="BA12" i="11"/>
  <c r="BA11" i="11"/>
  <c r="BA10" i="11"/>
  <c r="BA9" i="11"/>
  <c r="BA8" i="11"/>
  <c r="BA7" i="11"/>
  <c r="BA6" i="11"/>
  <c r="BA5" i="11"/>
  <c r="BA4" i="11"/>
  <c r="BC162" i="11"/>
  <c r="BC161" i="11"/>
  <c r="BC160" i="11"/>
  <c r="BC159" i="11"/>
  <c r="BC158" i="11"/>
  <c r="BC157" i="11"/>
  <c r="BC156" i="11"/>
  <c r="BC155" i="11"/>
  <c r="BC154" i="11"/>
  <c r="BC153" i="11"/>
  <c r="BC150" i="11"/>
  <c r="BC149" i="11"/>
  <c r="BC148" i="11"/>
  <c r="BC147" i="11"/>
  <c r="BC146" i="11"/>
  <c r="BC145" i="11"/>
  <c r="BC144" i="11"/>
  <c r="BC143" i="11"/>
  <c r="BC141" i="11"/>
  <c r="BC140" i="11"/>
  <c r="BC139" i="11"/>
  <c r="BC138" i="11"/>
  <c r="BC137" i="11"/>
  <c r="BC136" i="11"/>
  <c r="BC135" i="11"/>
  <c r="BC134" i="11"/>
  <c r="BC133" i="11"/>
  <c r="BC132" i="11"/>
  <c r="BC131" i="11"/>
  <c r="BC130" i="11"/>
  <c r="BC129" i="11"/>
  <c r="BC128" i="11"/>
  <c r="BC127" i="11"/>
  <c r="BC126" i="11"/>
  <c r="BC125" i="11"/>
  <c r="BC119" i="11"/>
  <c r="BC118" i="11"/>
  <c r="BC117" i="11"/>
  <c r="BC116" i="11"/>
  <c r="BC115" i="11"/>
  <c r="BC114" i="11"/>
  <c r="BC113" i="11"/>
  <c r="BC112" i="11"/>
  <c r="BC111" i="11"/>
  <c r="BC110" i="11"/>
  <c r="BC109" i="11"/>
  <c r="BC108" i="11"/>
  <c r="BC107" i="11"/>
  <c r="BC106" i="11"/>
  <c r="BC105" i="11"/>
  <c r="BC104" i="11"/>
  <c r="BC103" i="11"/>
  <c r="BC102" i="11"/>
  <c r="BC101" i="11"/>
  <c r="BC100" i="11"/>
  <c r="BC99" i="11"/>
  <c r="BC98" i="11"/>
  <c r="BC97" i="11"/>
  <c r="BC96" i="11"/>
  <c r="BC95" i="11"/>
  <c r="BC94" i="11"/>
  <c r="BC93" i="11"/>
  <c r="BC92" i="11"/>
  <c r="BC91" i="11"/>
  <c r="BC90" i="11"/>
  <c r="BC89" i="11"/>
  <c r="BC88" i="11"/>
  <c r="BC87" i="11"/>
  <c r="BC86" i="11"/>
  <c r="BC85" i="11"/>
  <c r="BC84" i="11"/>
  <c r="BC83" i="11"/>
  <c r="BC82" i="11"/>
  <c r="BC81" i="11"/>
  <c r="BC80" i="11"/>
  <c r="BC79" i="11"/>
  <c r="BC78" i="11"/>
  <c r="BC77" i="11"/>
  <c r="BC76" i="11"/>
  <c r="BC75" i="11"/>
  <c r="BC74" i="11"/>
  <c r="BC73" i="11"/>
  <c r="BC72" i="11"/>
  <c r="BC71" i="11"/>
  <c r="BC70" i="11"/>
  <c r="BC69" i="11"/>
  <c r="BC68" i="11"/>
  <c r="BC67" i="11"/>
  <c r="BC66" i="11"/>
  <c r="BC65" i="11"/>
  <c r="BC64" i="11"/>
  <c r="BC63" i="11"/>
  <c r="BC62" i="11"/>
  <c r="BC61" i="11"/>
  <c r="BC60" i="11"/>
  <c r="BC59" i="11"/>
  <c r="BC58" i="11"/>
  <c r="BC57" i="11"/>
  <c r="BC56" i="11"/>
  <c r="BC55" i="11"/>
  <c r="BC54" i="11"/>
  <c r="BC53" i="11"/>
  <c r="BC52" i="11"/>
  <c r="BC51" i="11"/>
  <c r="BC50" i="11"/>
  <c r="BC49" i="11"/>
  <c r="BC48" i="11"/>
  <c r="BC47" i="11"/>
  <c r="BC46" i="11"/>
  <c r="BC45" i="11"/>
  <c r="BC44" i="11"/>
  <c r="BC43" i="11"/>
  <c r="BC42" i="11"/>
  <c r="BC41" i="11"/>
  <c r="BC40" i="11"/>
  <c r="BC39" i="11"/>
  <c r="BC38" i="11"/>
  <c r="BC37" i="11"/>
  <c r="BC36" i="11"/>
  <c r="BC35" i="11"/>
  <c r="BC34" i="11"/>
  <c r="BC33" i="11"/>
  <c r="BC32" i="11"/>
  <c r="BC31" i="11"/>
  <c r="BC30" i="11"/>
  <c r="BC29" i="11"/>
  <c r="BC28" i="11"/>
  <c r="BC27" i="11"/>
  <c r="BC26" i="11"/>
  <c r="BC25" i="11"/>
  <c r="BC24" i="11"/>
  <c r="BC23" i="11"/>
  <c r="BC22" i="11"/>
  <c r="BC21" i="11"/>
  <c r="BC20" i="11"/>
  <c r="BC19" i="11"/>
  <c r="BC18" i="11"/>
  <c r="BC17" i="11"/>
  <c r="BC16" i="11"/>
  <c r="BC15" i="11"/>
  <c r="BC14" i="11"/>
  <c r="BC13" i="11"/>
  <c r="BC12" i="11"/>
  <c r="BC11" i="11"/>
  <c r="BC10" i="11"/>
  <c r="BC9" i="11"/>
  <c r="BC8" i="11"/>
  <c r="BC7" i="11"/>
  <c r="BC6" i="11"/>
  <c r="BC5" i="11"/>
  <c r="BC4" i="11"/>
  <c r="BE162" i="11"/>
  <c r="BE161" i="11"/>
  <c r="BE160" i="11"/>
  <c r="BE159" i="11"/>
  <c r="BE158" i="11"/>
  <c r="BE157" i="11"/>
  <c r="BE156" i="11"/>
  <c r="BE155" i="11"/>
  <c r="BE154" i="11"/>
  <c r="BE153" i="11"/>
  <c r="BE150" i="11"/>
  <c r="BE149" i="11"/>
  <c r="BE148" i="11"/>
  <c r="BE147" i="11"/>
  <c r="BE146" i="11"/>
  <c r="BE145" i="11"/>
  <c r="BE144" i="11"/>
  <c r="BE143" i="11"/>
  <c r="BE141" i="11"/>
  <c r="BE140" i="11"/>
  <c r="BE139" i="11"/>
  <c r="BE138" i="11"/>
  <c r="BE137" i="11"/>
  <c r="BE136" i="11"/>
  <c r="BE135" i="11"/>
  <c r="BE134" i="11"/>
  <c r="BE133" i="11"/>
  <c r="BE132" i="11"/>
  <c r="BE131" i="11"/>
  <c r="BE130" i="11"/>
  <c r="BE129" i="11"/>
  <c r="BE128" i="11"/>
  <c r="BE127" i="11"/>
  <c r="BE126" i="11"/>
  <c r="BE125" i="11"/>
  <c r="BE119" i="11"/>
  <c r="BE118" i="11"/>
  <c r="BE117" i="11"/>
  <c r="BE116" i="11"/>
  <c r="BE115" i="11"/>
  <c r="BE114" i="11"/>
  <c r="BE113" i="11"/>
  <c r="BE112" i="11"/>
  <c r="BE111" i="11"/>
  <c r="BE110" i="11"/>
  <c r="BE109" i="11"/>
  <c r="BE108" i="11"/>
  <c r="BE107" i="11"/>
  <c r="BE106" i="11"/>
  <c r="BE105" i="11"/>
  <c r="BE104" i="11"/>
  <c r="BE103" i="11"/>
  <c r="BE102" i="11"/>
  <c r="BE101" i="11"/>
  <c r="BE100" i="11"/>
  <c r="BE99" i="11"/>
  <c r="BE98" i="11"/>
  <c r="BE97" i="11"/>
  <c r="BE96" i="11"/>
  <c r="BE95" i="11"/>
  <c r="BE94" i="11"/>
  <c r="BE93" i="11"/>
  <c r="BE92" i="11"/>
  <c r="BE91" i="11"/>
  <c r="BE90" i="11"/>
  <c r="BE89" i="11"/>
  <c r="BE88" i="11"/>
  <c r="BE87" i="11"/>
  <c r="BE86" i="11"/>
  <c r="BE85" i="11"/>
  <c r="BE84" i="11"/>
  <c r="BE83" i="11"/>
  <c r="BE82" i="11"/>
  <c r="BE81" i="11"/>
  <c r="BE80" i="11"/>
  <c r="BE79" i="11"/>
  <c r="BE78" i="11"/>
  <c r="BE77" i="11"/>
  <c r="BE76" i="11"/>
  <c r="BE75" i="11"/>
  <c r="BE74" i="11"/>
  <c r="BE73" i="11"/>
  <c r="BE72" i="11"/>
  <c r="BE71" i="11"/>
  <c r="BE70" i="11"/>
  <c r="BE69" i="11"/>
  <c r="BE68" i="11"/>
  <c r="BE67" i="11"/>
  <c r="BE66" i="11"/>
  <c r="BE65" i="11"/>
  <c r="BE64" i="11"/>
  <c r="BE63" i="11"/>
  <c r="BE62" i="11"/>
  <c r="BE61" i="11"/>
  <c r="BE60" i="11"/>
  <c r="BE59" i="11"/>
  <c r="BE58" i="11"/>
  <c r="BE57" i="11"/>
  <c r="BE56" i="11"/>
  <c r="BE55" i="11"/>
  <c r="BE54" i="11"/>
  <c r="BE53" i="11"/>
  <c r="BE52" i="11"/>
  <c r="BE51" i="11"/>
  <c r="BE50" i="11"/>
  <c r="BE49" i="11"/>
  <c r="BE48" i="11"/>
  <c r="BE47" i="11"/>
  <c r="BE46" i="11"/>
  <c r="BE45" i="11"/>
  <c r="BE44" i="11"/>
  <c r="BE43" i="11"/>
  <c r="BE42" i="11"/>
  <c r="BE41" i="11"/>
  <c r="BE40" i="11"/>
  <c r="BE39" i="11"/>
  <c r="BE38" i="11"/>
  <c r="BE37" i="11"/>
  <c r="BE36" i="11"/>
  <c r="BE35" i="11"/>
  <c r="BE34" i="11"/>
  <c r="BE33" i="11"/>
  <c r="BE32" i="11"/>
  <c r="BE31" i="11"/>
  <c r="BE30" i="11"/>
  <c r="BE29" i="11"/>
  <c r="BE28" i="11"/>
  <c r="BE27" i="11"/>
  <c r="BE26" i="11"/>
  <c r="BE25" i="11"/>
  <c r="BE24" i="11"/>
  <c r="BE23" i="11"/>
  <c r="BE22" i="11"/>
  <c r="BE21" i="11"/>
  <c r="BE20" i="11"/>
  <c r="BE19" i="11"/>
  <c r="BE18" i="11"/>
  <c r="BE17" i="11"/>
  <c r="BE16" i="11"/>
  <c r="BE15" i="11"/>
  <c r="BE14" i="11"/>
  <c r="BE13" i="11"/>
  <c r="BE12" i="11"/>
  <c r="BE11" i="11"/>
  <c r="BE10" i="11"/>
  <c r="BE9" i="11"/>
  <c r="BE8" i="11"/>
  <c r="BE7" i="11"/>
  <c r="BE6" i="11"/>
  <c r="BE5" i="11"/>
  <c r="BE4" i="11"/>
  <c r="BG143" i="11"/>
  <c r="BG141" i="11"/>
  <c r="BI162" i="11"/>
  <c r="BI161" i="11"/>
  <c r="BI160" i="11"/>
  <c r="BI159" i="11"/>
  <c r="BI158" i="11"/>
  <c r="BI157" i="11"/>
  <c r="BI156" i="11"/>
  <c r="BI155" i="11"/>
  <c r="BI154" i="11"/>
  <c r="BI153" i="11"/>
  <c r="BI150" i="11"/>
  <c r="BI149" i="11"/>
  <c r="BI148" i="11"/>
  <c r="BI147" i="11"/>
  <c r="BI146" i="11"/>
  <c r="BI145" i="11"/>
  <c r="BI144" i="11"/>
  <c r="BI143" i="11"/>
  <c r="BI141" i="11"/>
  <c r="BI140" i="11"/>
  <c r="BI139" i="11"/>
  <c r="BI138" i="11"/>
  <c r="BI137" i="11"/>
  <c r="BI136" i="11"/>
  <c r="BI135" i="11"/>
  <c r="BI134" i="11"/>
  <c r="BI133" i="11"/>
  <c r="BI132" i="11"/>
  <c r="BI131" i="11"/>
  <c r="BI130" i="11"/>
  <c r="BI129" i="11"/>
  <c r="BI128" i="11"/>
  <c r="BI127" i="11"/>
  <c r="BI126" i="11"/>
  <c r="BI125" i="11"/>
  <c r="BI119" i="11"/>
  <c r="BI118" i="11"/>
  <c r="BI117" i="11"/>
  <c r="BI116" i="11"/>
  <c r="BI115" i="11"/>
  <c r="BI114" i="11"/>
  <c r="BI113" i="11"/>
  <c r="BI112" i="11"/>
  <c r="BI111" i="11"/>
  <c r="BI110" i="11"/>
  <c r="BI109" i="11"/>
  <c r="BI108" i="11"/>
  <c r="BI107" i="11"/>
  <c r="BI106" i="11"/>
  <c r="BI105" i="11"/>
  <c r="BI104" i="11"/>
  <c r="BI103" i="11"/>
  <c r="BI102" i="11"/>
  <c r="BI101" i="11"/>
  <c r="BI100" i="11"/>
  <c r="BI99" i="11"/>
  <c r="BI98" i="11"/>
  <c r="BI97" i="11"/>
  <c r="BI96" i="11"/>
  <c r="BI95" i="11"/>
  <c r="BI94" i="11"/>
  <c r="BI93" i="11"/>
  <c r="BI92" i="11"/>
  <c r="BI91" i="11"/>
  <c r="BI90" i="11"/>
  <c r="BI89" i="11"/>
  <c r="BI88" i="11"/>
  <c r="BI87" i="11"/>
  <c r="BI86" i="11"/>
  <c r="BI85" i="11"/>
  <c r="BI84" i="11"/>
  <c r="BI83" i="11"/>
  <c r="BI82" i="11"/>
  <c r="BI81" i="11"/>
  <c r="BI80" i="11"/>
  <c r="BI79" i="11"/>
  <c r="BI78" i="11"/>
  <c r="BI77" i="11"/>
  <c r="BI76" i="11"/>
  <c r="BI75" i="11"/>
  <c r="BI74" i="11"/>
  <c r="BI73" i="11"/>
  <c r="BI72" i="11"/>
  <c r="BI71" i="11"/>
  <c r="BI70" i="11"/>
  <c r="BI69" i="11"/>
  <c r="BI68" i="11"/>
  <c r="BI67" i="11"/>
  <c r="BI66" i="11"/>
  <c r="BI65" i="11"/>
  <c r="BI64" i="11"/>
  <c r="BI63" i="11"/>
  <c r="BI62" i="11"/>
  <c r="BI61" i="11"/>
  <c r="BI60" i="11"/>
  <c r="BI59" i="11"/>
  <c r="BI58" i="11"/>
  <c r="BI57" i="11"/>
  <c r="BI56" i="11"/>
  <c r="BI55" i="11"/>
  <c r="BI54" i="11"/>
  <c r="BI53" i="11"/>
  <c r="BI52" i="11"/>
  <c r="BI51" i="11"/>
  <c r="BI50" i="11"/>
  <c r="BI49" i="11"/>
  <c r="BI48" i="11"/>
  <c r="BI47" i="11"/>
  <c r="BI46" i="11"/>
  <c r="BI45" i="11"/>
  <c r="BI44" i="11"/>
  <c r="BI43" i="11"/>
  <c r="BI42" i="11"/>
  <c r="BI41" i="11"/>
  <c r="BI40" i="11"/>
  <c r="BI39" i="11"/>
  <c r="BI38" i="11"/>
  <c r="BI37" i="11"/>
  <c r="BI36" i="11"/>
  <c r="BI35" i="11"/>
  <c r="BI34" i="11"/>
  <c r="BI33" i="11"/>
  <c r="BI32" i="11"/>
  <c r="BI31" i="11"/>
  <c r="BI30" i="11"/>
  <c r="BI29" i="11"/>
  <c r="BI28" i="11"/>
  <c r="BI27" i="11"/>
  <c r="BI26" i="11"/>
  <c r="BI25" i="11"/>
  <c r="BI24" i="11"/>
  <c r="BI23" i="11"/>
  <c r="BI22" i="11"/>
  <c r="BI21" i="11"/>
  <c r="BI20" i="11"/>
  <c r="BI19" i="11"/>
  <c r="BI18" i="11"/>
  <c r="BI17" i="11"/>
  <c r="BI16" i="11"/>
  <c r="BI15" i="11"/>
  <c r="BI14" i="11"/>
  <c r="BI13" i="11"/>
  <c r="BI12" i="11"/>
  <c r="BI11" i="11"/>
  <c r="BI10" i="11"/>
  <c r="BI9" i="11"/>
  <c r="BI8" i="11"/>
  <c r="BI7" i="11"/>
  <c r="BI6" i="11"/>
  <c r="BI5" i="11"/>
  <c r="BI4" i="11"/>
  <c r="BK162" i="11"/>
  <c r="BK161" i="11"/>
  <c r="BK160" i="11"/>
  <c r="BK159" i="11"/>
  <c r="BK158" i="11"/>
  <c r="BK157" i="11"/>
  <c r="BK156" i="11"/>
  <c r="BK155" i="11"/>
  <c r="BK154" i="11"/>
  <c r="BK153" i="11"/>
  <c r="BK150" i="11"/>
  <c r="BK149" i="11"/>
  <c r="BK148" i="11"/>
  <c r="BK147" i="11"/>
  <c r="BK146" i="11"/>
  <c r="BK145" i="11"/>
  <c r="BK144" i="11"/>
  <c r="BK143" i="11"/>
  <c r="BK141" i="11"/>
  <c r="BK140" i="11"/>
  <c r="BK139" i="11"/>
  <c r="BK138" i="11"/>
  <c r="BK137" i="11"/>
  <c r="BK136" i="11"/>
  <c r="BK135" i="11"/>
  <c r="BK134" i="11"/>
  <c r="BK133" i="11"/>
  <c r="BK132" i="11"/>
  <c r="BK131" i="11"/>
  <c r="BK130" i="11"/>
  <c r="BK129" i="11"/>
  <c r="BK128" i="11"/>
  <c r="BK127" i="11"/>
  <c r="BK126" i="11"/>
  <c r="BK125" i="11"/>
  <c r="BK119" i="11"/>
  <c r="BK118" i="11"/>
  <c r="BK117" i="11"/>
  <c r="BK116" i="11"/>
  <c r="BK115" i="11"/>
  <c r="BK114" i="11"/>
  <c r="BK113" i="11"/>
  <c r="BK112" i="11"/>
  <c r="BK111" i="11"/>
  <c r="BK110" i="11"/>
  <c r="BK109" i="11"/>
  <c r="BK108" i="11"/>
  <c r="BK107" i="11"/>
  <c r="BK106" i="11"/>
  <c r="BK105" i="11"/>
  <c r="BK104" i="11"/>
  <c r="BK103" i="11"/>
  <c r="BK102" i="11"/>
  <c r="BK101" i="11"/>
  <c r="BK100" i="11"/>
  <c r="BK99" i="11"/>
  <c r="BK98" i="11"/>
  <c r="BK97" i="11"/>
  <c r="BK96" i="11"/>
  <c r="BK95" i="11"/>
  <c r="BK94" i="11"/>
  <c r="BK93" i="11"/>
  <c r="BK92" i="11"/>
  <c r="BK91" i="11"/>
  <c r="BK90" i="11"/>
  <c r="BK89" i="11"/>
  <c r="BK88" i="11"/>
  <c r="BK87" i="11"/>
  <c r="BK86" i="11"/>
  <c r="BK85" i="11"/>
  <c r="BK84" i="11"/>
  <c r="BK83" i="11"/>
  <c r="BK82" i="11"/>
  <c r="BK81" i="11"/>
  <c r="BK80" i="11"/>
  <c r="BK79" i="11"/>
  <c r="BK78" i="11"/>
  <c r="BK77" i="11"/>
  <c r="BK76" i="11"/>
  <c r="BK75" i="11"/>
  <c r="BK74" i="11"/>
  <c r="BK73" i="11"/>
  <c r="BK72" i="11"/>
  <c r="BK71" i="11"/>
  <c r="BK70" i="11"/>
  <c r="BK69" i="11"/>
  <c r="BK68" i="11"/>
  <c r="BK67" i="11"/>
  <c r="BK66" i="11"/>
  <c r="BK65" i="11"/>
  <c r="BK64" i="11"/>
  <c r="BK63" i="11"/>
  <c r="BK62" i="11"/>
  <c r="BK61" i="11"/>
  <c r="BK60" i="11"/>
  <c r="BK59" i="11"/>
  <c r="BK58" i="11"/>
  <c r="BK57" i="11"/>
  <c r="BK56" i="11"/>
  <c r="BK55" i="11"/>
  <c r="BK54" i="11"/>
  <c r="BK53" i="11"/>
  <c r="BK52" i="11"/>
  <c r="BK51" i="11"/>
  <c r="BK50" i="11"/>
  <c r="BK49" i="11"/>
  <c r="BK48" i="11"/>
  <c r="BK47" i="11"/>
  <c r="BK46" i="11"/>
  <c r="BK45" i="11"/>
  <c r="BK44" i="11"/>
  <c r="BK43" i="11"/>
  <c r="BK42" i="11"/>
  <c r="BK41" i="11"/>
  <c r="BK40" i="11"/>
  <c r="BK39" i="11"/>
  <c r="BK38" i="11"/>
  <c r="BK37" i="11"/>
  <c r="BK36" i="11"/>
  <c r="BK35" i="11"/>
  <c r="BK34" i="11"/>
  <c r="BK33" i="11"/>
  <c r="BK32" i="11"/>
  <c r="BK31" i="11"/>
  <c r="BK30" i="11"/>
  <c r="BK29" i="11"/>
  <c r="BK28" i="11"/>
  <c r="BK27" i="11"/>
  <c r="BK26" i="11"/>
  <c r="BK25" i="11"/>
  <c r="BK24" i="11"/>
  <c r="BK23" i="11"/>
  <c r="BK22" i="11"/>
  <c r="BK21" i="11"/>
  <c r="BK20" i="11"/>
  <c r="BK19" i="11"/>
  <c r="BK18" i="11"/>
  <c r="BK17" i="11"/>
  <c r="BK16" i="11"/>
  <c r="BK15" i="11"/>
  <c r="BK14" i="11"/>
  <c r="BK13" i="11"/>
  <c r="BK12" i="11"/>
  <c r="BK11" i="11"/>
  <c r="BK10" i="11"/>
  <c r="BK9" i="11"/>
  <c r="BK8" i="11"/>
  <c r="BK7" i="11"/>
  <c r="BK6" i="11"/>
  <c r="BK5" i="11"/>
  <c r="BK4" i="11"/>
  <c r="BM162" i="11"/>
  <c r="BM161" i="11"/>
  <c r="BM160" i="11"/>
  <c r="BM159" i="11"/>
  <c r="BM158" i="11"/>
  <c r="BM157" i="11"/>
  <c r="BM156" i="11"/>
  <c r="BM155" i="11"/>
  <c r="BM154" i="11"/>
  <c r="BM153" i="11"/>
  <c r="BM150" i="11"/>
  <c r="BM149" i="11"/>
  <c r="BM148" i="11"/>
  <c r="BM147" i="11"/>
  <c r="BM146" i="11"/>
  <c r="BM145" i="11"/>
  <c r="BM144" i="11"/>
  <c r="BM143" i="11"/>
  <c r="BM141" i="11"/>
  <c r="BM140" i="11"/>
  <c r="BM139" i="11"/>
  <c r="BM138" i="11"/>
  <c r="BM137" i="11"/>
  <c r="BM136" i="11"/>
  <c r="BM135" i="11"/>
  <c r="BM134" i="11"/>
  <c r="BM133" i="11"/>
  <c r="BM132" i="11"/>
  <c r="BM131" i="11"/>
  <c r="BM130" i="11"/>
  <c r="BM129" i="11"/>
  <c r="BM128" i="11"/>
  <c r="BM127" i="11"/>
  <c r="BM126" i="11"/>
  <c r="BM125" i="11"/>
  <c r="BM119" i="11"/>
  <c r="BM118" i="11"/>
  <c r="BM117" i="11"/>
  <c r="BM116" i="11"/>
  <c r="BM115" i="11"/>
  <c r="BM114" i="11"/>
  <c r="BM113" i="11"/>
  <c r="BM112" i="11"/>
  <c r="BM111" i="11"/>
  <c r="BM110" i="11"/>
  <c r="BM109" i="11"/>
  <c r="BM108" i="11"/>
  <c r="BM107" i="11"/>
  <c r="BM106" i="11"/>
  <c r="BM105" i="11"/>
  <c r="BM104" i="11"/>
  <c r="BM103" i="11"/>
  <c r="BM102" i="11"/>
  <c r="BM101" i="11"/>
  <c r="BM100" i="11"/>
  <c r="BM99" i="11"/>
  <c r="BM98" i="11"/>
  <c r="BM97" i="11"/>
  <c r="BM96" i="11"/>
  <c r="BM95" i="11"/>
  <c r="BM94" i="11"/>
  <c r="BM93" i="11"/>
  <c r="BM92" i="11"/>
  <c r="BM91" i="11"/>
  <c r="BM90" i="11"/>
  <c r="BM89" i="11"/>
  <c r="BM88" i="11"/>
  <c r="BM87" i="11"/>
  <c r="BM86" i="11"/>
  <c r="BM85" i="11"/>
  <c r="BM84" i="11"/>
  <c r="BM83" i="11"/>
  <c r="BM82" i="11"/>
  <c r="BM81" i="11"/>
  <c r="BM80" i="11"/>
  <c r="BM79" i="11"/>
  <c r="BM78" i="11"/>
  <c r="BM77" i="11"/>
  <c r="BM76" i="11"/>
  <c r="BM75" i="11"/>
  <c r="BM74" i="11"/>
  <c r="BM73" i="11"/>
  <c r="BM72" i="11"/>
  <c r="BM71" i="11"/>
  <c r="BM70" i="11"/>
  <c r="BM69" i="11"/>
  <c r="BM68" i="11"/>
  <c r="BM67" i="11"/>
  <c r="BM66" i="11"/>
  <c r="BM65" i="11"/>
  <c r="BM64" i="11"/>
  <c r="BM63" i="11"/>
  <c r="BM62" i="11"/>
  <c r="BM61" i="11"/>
  <c r="BM60" i="11"/>
  <c r="BM59" i="11"/>
  <c r="BM58" i="11"/>
  <c r="BM57" i="11"/>
  <c r="BM56" i="11"/>
  <c r="BM55" i="11"/>
  <c r="BM54" i="11"/>
  <c r="BM53" i="11"/>
  <c r="BM52" i="11"/>
  <c r="BM51" i="11"/>
  <c r="BM50" i="11"/>
  <c r="BM49" i="11"/>
  <c r="BM48" i="11"/>
  <c r="BM47" i="11"/>
  <c r="BM46" i="11"/>
  <c r="BM45" i="11"/>
  <c r="BM44" i="11"/>
  <c r="BM43" i="11"/>
  <c r="BM42" i="11"/>
  <c r="BM41" i="11"/>
  <c r="BM40" i="11"/>
  <c r="BM39" i="11"/>
  <c r="BM38" i="11"/>
  <c r="BM37" i="11"/>
  <c r="BM36" i="11"/>
  <c r="BM35" i="11"/>
  <c r="BM34" i="11"/>
  <c r="BM33" i="11"/>
  <c r="BM32" i="11"/>
  <c r="BM31" i="11"/>
  <c r="BM30" i="11"/>
  <c r="BM29" i="11"/>
  <c r="BM28" i="11"/>
  <c r="BM27" i="11"/>
  <c r="BM26" i="11"/>
  <c r="BM25" i="11"/>
  <c r="BM24" i="11"/>
  <c r="BM23" i="11"/>
  <c r="BM22" i="11"/>
  <c r="BM21" i="11"/>
  <c r="BM20" i="11"/>
  <c r="BM19" i="11"/>
  <c r="BM18" i="11"/>
  <c r="BM17" i="11"/>
  <c r="BM16" i="11"/>
  <c r="BM15" i="11"/>
  <c r="BM14" i="11"/>
  <c r="BM13" i="11"/>
  <c r="BM11" i="11"/>
  <c r="BM10" i="11"/>
  <c r="BM9" i="11"/>
  <c r="BM8" i="11"/>
  <c r="BM7" i="11"/>
  <c r="BM6" i="11"/>
  <c r="BM5" i="11"/>
  <c r="BM4" i="11"/>
  <c r="BO162" i="11"/>
  <c r="BO161" i="11"/>
  <c r="BO160" i="11"/>
  <c r="BO159" i="11"/>
  <c r="BO158" i="11"/>
  <c r="BO157" i="11"/>
  <c r="BO156" i="11"/>
  <c r="BO155" i="11"/>
  <c r="BO154" i="11"/>
  <c r="BO153" i="11"/>
  <c r="BO150" i="11"/>
  <c r="BO149" i="11"/>
  <c r="BO148" i="11"/>
  <c r="BO147" i="11"/>
  <c r="BO146" i="11"/>
  <c r="BO145" i="11"/>
  <c r="BO144" i="11"/>
  <c r="BO143" i="11"/>
  <c r="BO141" i="11"/>
  <c r="BO140" i="11"/>
  <c r="BO139" i="11"/>
  <c r="BO138" i="11"/>
  <c r="BO137" i="11"/>
  <c r="BO136" i="11"/>
  <c r="BO135" i="11"/>
  <c r="BO134" i="11"/>
  <c r="BO133" i="11"/>
  <c r="BO132" i="11"/>
  <c r="BO131" i="11"/>
  <c r="BO130" i="11"/>
  <c r="BO129" i="11"/>
  <c r="BO128" i="11"/>
  <c r="BO127" i="11"/>
  <c r="BO126" i="11"/>
  <c r="BO125" i="11"/>
  <c r="BO119" i="11"/>
  <c r="BO118" i="11"/>
  <c r="BO117" i="11"/>
  <c r="BO116" i="11"/>
  <c r="BO115" i="11"/>
  <c r="BO114" i="11"/>
  <c r="BO113" i="11"/>
  <c r="BO112" i="11"/>
  <c r="BO111" i="11"/>
  <c r="BO110" i="11"/>
  <c r="BO109" i="11"/>
  <c r="BO108" i="11"/>
  <c r="BO107" i="11"/>
  <c r="BO106" i="11"/>
  <c r="BO105" i="11"/>
  <c r="BO104" i="11"/>
  <c r="BO103" i="11"/>
  <c r="BO102" i="11"/>
  <c r="BO101" i="11"/>
  <c r="BO100" i="11"/>
  <c r="BO99" i="11"/>
  <c r="BO98" i="11"/>
  <c r="BO97" i="11"/>
  <c r="BO96" i="11"/>
  <c r="BO95" i="11"/>
  <c r="BO94" i="11"/>
  <c r="BO93" i="11"/>
  <c r="BO92" i="11"/>
  <c r="BO91" i="11"/>
  <c r="BO90" i="11"/>
  <c r="BO89" i="11"/>
  <c r="BO88" i="11"/>
  <c r="BO87" i="11"/>
  <c r="BO86" i="11"/>
  <c r="BO85" i="11"/>
  <c r="BO84" i="11"/>
  <c r="BO83" i="11"/>
  <c r="BO82" i="11"/>
  <c r="BO81" i="11"/>
  <c r="BO80" i="11"/>
  <c r="BO79" i="11"/>
  <c r="BO78" i="11"/>
  <c r="BO77" i="11"/>
  <c r="BO76" i="11"/>
  <c r="BO75" i="11"/>
  <c r="BO74" i="11"/>
  <c r="BO73" i="11"/>
  <c r="BO72" i="11"/>
  <c r="BO71" i="11"/>
  <c r="BO70" i="11"/>
  <c r="BO69" i="11"/>
  <c r="BO68" i="11"/>
  <c r="BO67" i="11"/>
  <c r="BO66" i="11"/>
  <c r="BO65" i="11"/>
  <c r="BO64" i="11"/>
  <c r="BO63" i="11"/>
  <c r="BO62" i="11"/>
  <c r="BO61" i="11"/>
  <c r="BO60" i="11"/>
  <c r="BO59" i="11"/>
  <c r="BO58" i="11"/>
  <c r="BO57" i="11"/>
  <c r="BO56" i="11"/>
  <c r="BO55" i="11"/>
  <c r="BO54" i="11"/>
  <c r="BO53" i="11"/>
  <c r="BO52" i="11"/>
  <c r="BO51" i="11"/>
  <c r="BO50" i="11"/>
  <c r="BO49" i="11"/>
  <c r="BO48" i="11"/>
  <c r="BO47" i="11"/>
  <c r="BO46" i="11"/>
  <c r="BO45" i="11"/>
  <c r="BO44" i="11"/>
  <c r="BO43" i="11"/>
  <c r="BO42" i="11"/>
  <c r="BO41" i="11"/>
  <c r="BO40" i="11"/>
  <c r="BO39" i="11"/>
  <c r="BO38" i="11"/>
  <c r="BO37" i="11"/>
  <c r="BO36" i="11"/>
  <c r="BO35" i="11"/>
  <c r="BO34" i="11"/>
  <c r="BO33" i="11"/>
  <c r="BO32" i="11"/>
  <c r="BO31" i="11"/>
  <c r="BO30" i="11"/>
  <c r="BO29" i="11"/>
  <c r="BO28" i="11"/>
  <c r="BO27" i="11"/>
  <c r="BO26" i="11"/>
  <c r="BO25" i="11"/>
  <c r="BO24" i="11"/>
  <c r="BO23" i="11"/>
  <c r="BO22" i="11"/>
  <c r="BO21" i="11"/>
  <c r="BO20" i="11"/>
  <c r="BO19" i="11"/>
  <c r="BO18" i="11"/>
  <c r="BO17" i="11"/>
  <c r="BO16" i="11"/>
  <c r="BO15" i="11"/>
  <c r="BO14" i="11"/>
  <c r="BO13" i="11"/>
  <c r="BO12" i="11"/>
  <c r="BO11" i="11"/>
  <c r="BO10" i="11"/>
  <c r="BO9" i="11"/>
  <c r="BO8" i="11"/>
  <c r="BO7" i="11"/>
  <c r="BO6" i="11"/>
  <c r="BO5" i="11"/>
  <c r="BO4" i="11"/>
  <c r="BQ162" i="11"/>
  <c r="BQ161" i="11"/>
  <c r="BQ160" i="11"/>
  <c r="BQ159" i="11"/>
  <c r="BQ158" i="11"/>
  <c r="BQ157" i="11"/>
  <c r="BQ156" i="11"/>
  <c r="BQ155" i="11"/>
  <c r="BQ154" i="11"/>
  <c r="BQ153" i="11"/>
  <c r="BQ150" i="11"/>
  <c r="BQ149" i="11"/>
  <c r="BQ148" i="11"/>
  <c r="BQ147" i="11"/>
  <c r="BQ146" i="11"/>
  <c r="BQ145" i="11"/>
  <c r="BQ144" i="11"/>
  <c r="BQ143" i="11"/>
  <c r="BQ141" i="11"/>
  <c r="BQ140" i="11"/>
  <c r="BQ139" i="11"/>
  <c r="BQ138" i="11"/>
  <c r="BQ137" i="11"/>
  <c r="BQ136" i="11"/>
  <c r="BQ135" i="11"/>
  <c r="BQ134" i="11"/>
  <c r="BQ133" i="11"/>
  <c r="BQ132" i="11"/>
  <c r="BQ131" i="11"/>
  <c r="BQ130" i="11"/>
  <c r="BQ129" i="11"/>
  <c r="BQ128" i="11"/>
  <c r="BQ127" i="11"/>
  <c r="BQ126" i="11"/>
  <c r="BQ125" i="11"/>
  <c r="BQ119" i="11"/>
  <c r="BQ118" i="11"/>
  <c r="BQ117" i="11"/>
  <c r="BQ116" i="11"/>
  <c r="BQ115" i="11"/>
  <c r="BQ114" i="11"/>
  <c r="BQ113" i="11"/>
  <c r="BQ112" i="11"/>
  <c r="BQ111" i="11"/>
  <c r="BQ110" i="11"/>
  <c r="BQ109" i="11"/>
  <c r="BQ108" i="11"/>
  <c r="BQ107" i="11"/>
  <c r="BQ106" i="11"/>
  <c r="BQ105" i="11"/>
  <c r="BQ104" i="11"/>
  <c r="BQ103" i="11"/>
  <c r="BQ102" i="11"/>
  <c r="BQ101" i="11"/>
  <c r="BQ100" i="11"/>
  <c r="BQ99" i="11"/>
  <c r="BQ98" i="11"/>
  <c r="BQ97" i="11"/>
  <c r="BQ96" i="11"/>
  <c r="BQ95" i="11"/>
  <c r="BQ94" i="11"/>
  <c r="BQ93" i="11"/>
  <c r="BQ92" i="11"/>
  <c r="BQ91" i="11"/>
  <c r="BQ90" i="11"/>
  <c r="BQ89" i="11"/>
  <c r="BQ88" i="11"/>
  <c r="BQ87" i="11"/>
  <c r="BQ86" i="11"/>
  <c r="BQ85" i="11"/>
  <c r="BQ84" i="11"/>
  <c r="BQ83" i="11"/>
  <c r="BQ82" i="11"/>
  <c r="BQ81" i="11"/>
  <c r="BQ80" i="11"/>
  <c r="BQ79" i="11"/>
  <c r="BQ78" i="11"/>
  <c r="BQ77" i="11"/>
  <c r="BQ76" i="11"/>
  <c r="BQ75" i="11"/>
  <c r="BQ74" i="11"/>
  <c r="BQ73" i="11"/>
  <c r="BQ72" i="11"/>
  <c r="BQ71" i="11"/>
  <c r="BQ70" i="11"/>
  <c r="BQ69" i="11"/>
  <c r="BQ68" i="11"/>
  <c r="BQ67" i="11"/>
  <c r="BQ66" i="11"/>
  <c r="BQ65" i="11"/>
  <c r="BQ64" i="11"/>
  <c r="BQ63" i="11"/>
  <c r="BQ62" i="11"/>
  <c r="BQ61" i="11"/>
  <c r="BQ60" i="11"/>
  <c r="BQ59" i="11"/>
  <c r="BQ58" i="11"/>
  <c r="BQ57" i="11"/>
  <c r="BQ56" i="11"/>
  <c r="BQ55" i="11"/>
  <c r="BQ54" i="11"/>
  <c r="BQ53" i="11"/>
  <c r="BQ52" i="11"/>
  <c r="BQ51" i="11"/>
  <c r="BQ50" i="11"/>
  <c r="BQ49" i="11"/>
  <c r="BQ48" i="11"/>
  <c r="BQ47" i="11"/>
  <c r="BQ46" i="11"/>
  <c r="BQ45" i="11"/>
  <c r="BQ44" i="11"/>
  <c r="BQ43" i="11"/>
  <c r="BQ42" i="11"/>
  <c r="BQ41" i="11"/>
  <c r="BQ40" i="11"/>
  <c r="BQ39" i="11"/>
  <c r="BQ38" i="11"/>
  <c r="BQ37" i="11"/>
  <c r="BQ36" i="11"/>
  <c r="BQ35" i="11"/>
  <c r="BQ34" i="11"/>
  <c r="BQ33" i="11"/>
  <c r="BQ32" i="11"/>
  <c r="BQ31" i="11"/>
  <c r="BQ30" i="11"/>
  <c r="BQ29" i="11"/>
  <c r="BQ28" i="11"/>
  <c r="BQ27" i="11"/>
  <c r="BQ26" i="11"/>
  <c r="BQ25" i="11"/>
  <c r="BQ24" i="11"/>
  <c r="BQ23" i="11"/>
  <c r="BQ22" i="11"/>
  <c r="BQ21" i="11"/>
  <c r="BQ20" i="11"/>
  <c r="BQ19" i="11"/>
  <c r="BQ18" i="11"/>
  <c r="BQ17" i="11"/>
  <c r="BQ16" i="11"/>
  <c r="BQ15" i="11"/>
  <c r="BQ14" i="11"/>
  <c r="BQ13" i="11"/>
  <c r="BQ12" i="11"/>
  <c r="BQ11" i="11"/>
  <c r="BQ10" i="11"/>
  <c r="BQ9" i="11"/>
  <c r="BQ8" i="11"/>
  <c r="BQ7" i="11"/>
  <c r="BQ6" i="11"/>
  <c r="BQ5" i="11"/>
  <c r="BQ4" i="11"/>
  <c r="BS162" i="11"/>
  <c r="BS161" i="11"/>
  <c r="BS160" i="11"/>
  <c r="BS159" i="11"/>
  <c r="BS158" i="11"/>
  <c r="BS157" i="11"/>
  <c r="BS156" i="11"/>
  <c r="BS155" i="11"/>
  <c r="BS154" i="11"/>
  <c r="BS153" i="11"/>
  <c r="BS150" i="11"/>
  <c r="BS149" i="11"/>
  <c r="BS148" i="11"/>
  <c r="BS147" i="11"/>
  <c r="BS146" i="11"/>
  <c r="BS145" i="11"/>
  <c r="BS144" i="11"/>
  <c r="BS143" i="11"/>
  <c r="BS141" i="11"/>
  <c r="BS140" i="11"/>
  <c r="BS139" i="11"/>
  <c r="BS138" i="11"/>
  <c r="BS137" i="11"/>
  <c r="BS136" i="11"/>
  <c r="BS135" i="11"/>
  <c r="BS134" i="11"/>
  <c r="BS133" i="11"/>
  <c r="BS132" i="11"/>
  <c r="BS131" i="11"/>
  <c r="BS130" i="11"/>
  <c r="BS129" i="11"/>
  <c r="BS128" i="11"/>
  <c r="BS127" i="11"/>
  <c r="BS126" i="11"/>
  <c r="BS125" i="11"/>
  <c r="BS119" i="11"/>
  <c r="BS118" i="11"/>
  <c r="BS117" i="11"/>
  <c r="BS116" i="11"/>
  <c r="BS115" i="11"/>
  <c r="BS114" i="11"/>
  <c r="BS113" i="11"/>
  <c r="BS112" i="11"/>
  <c r="BS111" i="11"/>
  <c r="BS110" i="11"/>
  <c r="BS109" i="11"/>
  <c r="BS108" i="11"/>
  <c r="BS107" i="11"/>
  <c r="BS106" i="11"/>
  <c r="BS105" i="11"/>
  <c r="BS104" i="11"/>
  <c r="BS103" i="11"/>
  <c r="BS102" i="11"/>
  <c r="BS101" i="11"/>
  <c r="BS100" i="11"/>
  <c r="BS99" i="11"/>
  <c r="BS98" i="11"/>
  <c r="BS97" i="11"/>
  <c r="BS96" i="11"/>
  <c r="BS95" i="11"/>
  <c r="BS94" i="11"/>
  <c r="BS93" i="11"/>
  <c r="BS92" i="11"/>
  <c r="BS91" i="11"/>
  <c r="BS90" i="11"/>
  <c r="BS89" i="11"/>
  <c r="BS88" i="11"/>
  <c r="BS87" i="11"/>
  <c r="BS86" i="11"/>
  <c r="BS85" i="11"/>
  <c r="BS84" i="11"/>
  <c r="BS83" i="11"/>
  <c r="BS82" i="11"/>
  <c r="BS81" i="11"/>
  <c r="BS80" i="11"/>
  <c r="BS79" i="11"/>
  <c r="BS78" i="11"/>
  <c r="BS77" i="11"/>
  <c r="BS76" i="11"/>
  <c r="BS75" i="11"/>
  <c r="BS74" i="11"/>
  <c r="BS73" i="11"/>
  <c r="BS72" i="11"/>
  <c r="BS71" i="11"/>
  <c r="BS70" i="11"/>
  <c r="BS69" i="11"/>
  <c r="BS68" i="11"/>
  <c r="BS67" i="11"/>
  <c r="BS66" i="11"/>
  <c r="BS65" i="11"/>
  <c r="BS64" i="11"/>
  <c r="BS63" i="11"/>
  <c r="BS62" i="11"/>
  <c r="BS61" i="11"/>
  <c r="BS60" i="11"/>
  <c r="BS59" i="11"/>
  <c r="BS58" i="11"/>
  <c r="BS57" i="11"/>
  <c r="BS56" i="11"/>
  <c r="BS55" i="11"/>
  <c r="BS54" i="11"/>
  <c r="BS53" i="11"/>
  <c r="BS52" i="11"/>
  <c r="BS51" i="11"/>
  <c r="BS50" i="11"/>
  <c r="BS49" i="11"/>
  <c r="BS48" i="11"/>
  <c r="BS47" i="11"/>
  <c r="BS46" i="11"/>
  <c r="BS45" i="11"/>
  <c r="BS44" i="11"/>
  <c r="BS43" i="11"/>
  <c r="BS42" i="11"/>
  <c r="BS41" i="11"/>
  <c r="BS40" i="11"/>
  <c r="BS39" i="11"/>
  <c r="BS38" i="11"/>
  <c r="BS37" i="11"/>
  <c r="BS36" i="11"/>
  <c r="BS35" i="11"/>
  <c r="BS34" i="11"/>
  <c r="BS33" i="11"/>
  <c r="BS32" i="11"/>
  <c r="BS31" i="11"/>
  <c r="BS30" i="11"/>
  <c r="BS29" i="11"/>
  <c r="BS28" i="11"/>
  <c r="BS27" i="11"/>
  <c r="BS26" i="11"/>
  <c r="BS25" i="11"/>
  <c r="BS24" i="11"/>
  <c r="BS23" i="11"/>
  <c r="BS22" i="11"/>
  <c r="BS21" i="11"/>
  <c r="BS20" i="11"/>
  <c r="BS19" i="11"/>
  <c r="BS18" i="11"/>
  <c r="BS17" i="11"/>
  <c r="BS16" i="11"/>
  <c r="BS15" i="11"/>
  <c r="BS14" i="11"/>
  <c r="BS13" i="11"/>
  <c r="BS12" i="11"/>
  <c r="BS11" i="11"/>
  <c r="BS10" i="11"/>
  <c r="BS9" i="11"/>
  <c r="BS8" i="11"/>
  <c r="BS7" i="11"/>
  <c r="BS6" i="11"/>
  <c r="BS5" i="11"/>
  <c r="BS4" i="11"/>
  <c r="BU162" i="11"/>
  <c r="BU161" i="11"/>
  <c r="BU160" i="11"/>
  <c r="BU159" i="11"/>
  <c r="BU158" i="11"/>
  <c r="BU157" i="11"/>
  <c r="BU156" i="11"/>
  <c r="BU155" i="11"/>
  <c r="BU154" i="11"/>
  <c r="BU153" i="11"/>
  <c r="BU150" i="11"/>
  <c r="BU149" i="11"/>
  <c r="BU148" i="11"/>
  <c r="BU147" i="11"/>
  <c r="BU146" i="11"/>
  <c r="BU145" i="11"/>
  <c r="BU144" i="11"/>
  <c r="BU143" i="11"/>
  <c r="BU141" i="11"/>
  <c r="BU140" i="11"/>
  <c r="BU139" i="11"/>
  <c r="BU138" i="11"/>
  <c r="BU137" i="11"/>
  <c r="BU136" i="11"/>
  <c r="BU135" i="11"/>
  <c r="BU134" i="11"/>
  <c r="BU133" i="11"/>
  <c r="BU132" i="11"/>
  <c r="BU131" i="11"/>
  <c r="BU130" i="11"/>
  <c r="BU129" i="11"/>
  <c r="BU128" i="11"/>
  <c r="BU127" i="11"/>
  <c r="BU126" i="11"/>
  <c r="BU125" i="11"/>
  <c r="BU119" i="11"/>
  <c r="BU118" i="11"/>
  <c r="BU117" i="11"/>
  <c r="BU116" i="11"/>
  <c r="BU115" i="11"/>
  <c r="BU114" i="11"/>
  <c r="BU113" i="11"/>
  <c r="BU112" i="11"/>
  <c r="BU111" i="11"/>
  <c r="BU110" i="11"/>
  <c r="BU109" i="11"/>
  <c r="BU108" i="11"/>
  <c r="BU107" i="11"/>
  <c r="BU106" i="11"/>
  <c r="BU105" i="11"/>
  <c r="BU104" i="11"/>
  <c r="BU103" i="11"/>
  <c r="BU102" i="11"/>
  <c r="BU101" i="11"/>
  <c r="BU100" i="11"/>
  <c r="BU99" i="11"/>
  <c r="BU98" i="11"/>
  <c r="BU97" i="11"/>
  <c r="BU96" i="11"/>
  <c r="BU95" i="11"/>
  <c r="BU94" i="11"/>
  <c r="BU93" i="11"/>
  <c r="BU92" i="11"/>
  <c r="BU91" i="11"/>
  <c r="BU90" i="11"/>
  <c r="BU89" i="11"/>
  <c r="BU88" i="11"/>
  <c r="BU87" i="11"/>
  <c r="BU86" i="11"/>
  <c r="BU85" i="11"/>
  <c r="BU84" i="11"/>
  <c r="BU83" i="11"/>
  <c r="BU82" i="11"/>
  <c r="BU81" i="11"/>
  <c r="BU80" i="11"/>
  <c r="BU79" i="11"/>
  <c r="BU78" i="11"/>
  <c r="BU77" i="11"/>
  <c r="BU76" i="11"/>
  <c r="BU75" i="11"/>
  <c r="BU74" i="11"/>
  <c r="BU73" i="11"/>
  <c r="BU72" i="11"/>
  <c r="BU71" i="11"/>
  <c r="BU70" i="11"/>
  <c r="BU69" i="11"/>
  <c r="BU68" i="11"/>
  <c r="BU67" i="11"/>
  <c r="BU66" i="11"/>
  <c r="BU65" i="11"/>
  <c r="BU64" i="11"/>
  <c r="BU63" i="11"/>
  <c r="BU62" i="11"/>
  <c r="BU61" i="11"/>
  <c r="BU60" i="11"/>
  <c r="BU59" i="11"/>
  <c r="BU58" i="11"/>
  <c r="BU57" i="11"/>
  <c r="BU56" i="11"/>
  <c r="BU55" i="11"/>
  <c r="BU54" i="11"/>
  <c r="BU53" i="11"/>
  <c r="BU52" i="11"/>
  <c r="BU51" i="11"/>
  <c r="BU50" i="11"/>
  <c r="BU49" i="11"/>
  <c r="BU48" i="11"/>
  <c r="BU47" i="11"/>
  <c r="BU46" i="11"/>
  <c r="BU45" i="11"/>
  <c r="BU44" i="11"/>
  <c r="BU43" i="11"/>
  <c r="BU42" i="11"/>
  <c r="BU41" i="11"/>
  <c r="BU40" i="11"/>
  <c r="BU39" i="11"/>
  <c r="BU38" i="11"/>
  <c r="BU37" i="11"/>
  <c r="BU36" i="11"/>
  <c r="BU35" i="11"/>
  <c r="BU34" i="11"/>
  <c r="BU33" i="11"/>
  <c r="BU32" i="11"/>
  <c r="BU31" i="11"/>
  <c r="BU30" i="11"/>
  <c r="BU29" i="11"/>
  <c r="BU28" i="11"/>
  <c r="BU27" i="11"/>
  <c r="BU26" i="11"/>
  <c r="BU25" i="11"/>
  <c r="BU24" i="11"/>
  <c r="BU23" i="11"/>
  <c r="BU22" i="11"/>
  <c r="BU21" i="11"/>
  <c r="BU20" i="11"/>
  <c r="BU19" i="11"/>
  <c r="BU18" i="11"/>
  <c r="BU17" i="11"/>
  <c r="BU16" i="11"/>
  <c r="BU15" i="11"/>
  <c r="BU14" i="11"/>
  <c r="BU13" i="11"/>
  <c r="BU12" i="11"/>
  <c r="BU11" i="11"/>
  <c r="BU10" i="11"/>
  <c r="BU9" i="11"/>
  <c r="BU8" i="11"/>
  <c r="BU7" i="11"/>
  <c r="BU6" i="11"/>
  <c r="BU5" i="11"/>
  <c r="BU4" i="11"/>
  <c r="BW162" i="11"/>
  <c r="BW161" i="11"/>
  <c r="BW160" i="11"/>
  <c r="BW159" i="11"/>
  <c r="BW158" i="11"/>
  <c r="BW157" i="11"/>
  <c r="BW156" i="11"/>
  <c r="BW155" i="11"/>
  <c r="BW154" i="11"/>
  <c r="BW153" i="11"/>
  <c r="BW150" i="11"/>
  <c r="BW149" i="11"/>
  <c r="BW148" i="11"/>
  <c r="BW147" i="11"/>
  <c r="BW146" i="11"/>
  <c r="BW145" i="11"/>
  <c r="BW144" i="11"/>
  <c r="BW143" i="11"/>
  <c r="BW141" i="11"/>
  <c r="BW140" i="11"/>
  <c r="BW139" i="11"/>
  <c r="BW138" i="11"/>
  <c r="BW137" i="11"/>
  <c r="BW136" i="11"/>
  <c r="BW135" i="11"/>
  <c r="BW134" i="11"/>
  <c r="BW133" i="11"/>
  <c r="BW132" i="11"/>
  <c r="BW131" i="11"/>
  <c r="BW130" i="11"/>
  <c r="BW129" i="11"/>
  <c r="BW128" i="11"/>
  <c r="BW127" i="11"/>
  <c r="BW126" i="11"/>
  <c r="BW125" i="11"/>
  <c r="BW119" i="11"/>
  <c r="BW118" i="11"/>
  <c r="BW117" i="11"/>
  <c r="BW116" i="11"/>
  <c r="BW115" i="11"/>
  <c r="BW114" i="11"/>
  <c r="BW113" i="11"/>
  <c r="BW112" i="11"/>
  <c r="BW111" i="11"/>
  <c r="BW110" i="11"/>
  <c r="BW109" i="11"/>
  <c r="BW108" i="11"/>
  <c r="BW107" i="11"/>
  <c r="BW106" i="11"/>
  <c r="BW105" i="11"/>
  <c r="BW104" i="11"/>
  <c r="BW103" i="11"/>
  <c r="BW102" i="11"/>
  <c r="BW101" i="11"/>
  <c r="BW100" i="11"/>
  <c r="BW99" i="11"/>
  <c r="BW98" i="11"/>
  <c r="BW97" i="11"/>
  <c r="BW96" i="11"/>
  <c r="BW95" i="11"/>
  <c r="BW94" i="11"/>
  <c r="BW93" i="11"/>
  <c r="BW92" i="11"/>
  <c r="BW91" i="11"/>
  <c r="BW90" i="11"/>
  <c r="BW89" i="11"/>
  <c r="BW88" i="11"/>
  <c r="BW87" i="11"/>
  <c r="BW86" i="11"/>
  <c r="BW85" i="11"/>
  <c r="BW84" i="11"/>
  <c r="BW83" i="11"/>
  <c r="BW82" i="11"/>
  <c r="BW81" i="11"/>
  <c r="BW80" i="11"/>
  <c r="BW79" i="11"/>
  <c r="BW78" i="11"/>
  <c r="BW77" i="11"/>
  <c r="BW76" i="11"/>
  <c r="BW75" i="11"/>
  <c r="BW74" i="11"/>
  <c r="BW73" i="11"/>
  <c r="BW72" i="11"/>
  <c r="BW71" i="11"/>
  <c r="BW70" i="11"/>
  <c r="BW69" i="11"/>
  <c r="BW68" i="11"/>
  <c r="BW67" i="11"/>
  <c r="BW66" i="11"/>
  <c r="BW65" i="11"/>
  <c r="BW64" i="11"/>
  <c r="BW63" i="11"/>
  <c r="BW62" i="11"/>
  <c r="BW61" i="11"/>
  <c r="BW60" i="11"/>
  <c r="BW59" i="11"/>
  <c r="BW58" i="11"/>
  <c r="BW57" i="11"/>
  <c r="BW56" i="11"/>
  <c r="BW55" i="11"/>
  <c r="BW54" i="11"/>
  <c r="BW53" i="11"/>
  <c r="BW52" i="11"/>
  <c r="BW51" i="11"/>
  <c r="BW50" i="11"/>
  <c r="BW49" i="11"/>
  <c r="BW48" i="11"/>
  <c r="BW47" i="11"/>
  <c r="BW46" i="11"/>
  <c r="BW45" i="11"/>
  <c r="BW44" i="11"/>
  <c r="BW43" i="11"/>
  <c r="BW42" i="11"/>
  <c r="BW41" i="11"/>
  <c r="BW40" i="11"/>
  <c r="BW39" i="11"/>
  <c r="BW38" i="11"/>
  <c r="BW37" i="11"/>
  <c r="BW36" i="11"/>
  <c r="BW35" i="11"/>
  <c r="BW34" i="11"/>
  <c r="BW33" i="11"/>
  <c r="BW32" i="11"/>
  <c r="BW31" i="11"/>
  <c r="BW30" i="11"/>
  <c r="BW29" i="11"/>
  <c r="BW28" i="11"/>
  <c r="BW27" i="11"/>
  <c r="BW26" i="11"/>
  <c r="BW25" i="11"/>
  <c r="BW24" i="11"/>
  <c r="BW23" i="11"/>
  <c r="BW22" i="11"/>
  <c r="BW21" i="11"/>
  <c r="BW20" i="11"/>
  <c r="BW19" i="11"/>
  <c r="BW18" i="11"/>
  <c r="BW17" i="11"/>
  <c r="BW16" i="11"/>
  <c r="BW15" i="11"/>
  <c r="BW14" i="11"/>
  <c r="BW13" i="11"/>
  <c r="BW12" i="11"/>
  <c r="BW11" i="11"/>
  <c r="BW10" i="11"/>
  <c r="BW9" i="11"/>
  <c r="BW8" i="11"/>
  <c r="BW7" i="11"/>
  <c r="BW6" i="11"/>
  <c r="BW5" i="11"/>
  <c r="BW4" i="11"/>
  <c r="BY162" i="11"/>
  <c r="BY161" i="11"/>
  <c r="BY160" i="11"/>
  <c r="BY159" i="11"/>
  <c r="BY158" i="11"/>
  <c r="BY157" i="11"/>
  <c r="BY156" i="11"/>
  <c r="BY155" i="11"/>
  <c r="BY154" i="11"/>
  <c r="BY153" i="11"/>
  <c r="BY150" i="11"/>
  <c r="BY149" i="11"/>
  <c r="BY148" i="11"/>
  <c r="BY147" i="11"/>
  <c r="BY146" i="11"/>
  <c r="BY145" i="11"/>
  <c r="BY144" i="11"/>
  <c r="BY143" i="11"/>
  <c r="BY141" i="11"/>
  <c r="BY140" i="11"/>
  <c r="BY139" i="11"/>
  <c r="BY138" i="11"/>
  <c r="BY137" i="11"/>
  <c r="BY136" i="11"/>
  <c r="BY135" i="11"/>
  <c r="BY134" i="11"/>
  <c r="BY133" i="11"/>
  <c r="BY132" i="11"/>
  <c r="BY131" i="11"/>
  <c r="BY130" i="11"/>
  <c r="BY129" i="11"/>
  <c r="BY128" i="11"/>
  <c r="BY127" i="11"/>
  <c r="BY126" i="11"/>
  <c r="BY125" i="11"/>
  <c r="BY119" i="11"/>
  <c r="BY118" i="11"/>
  <c r="BY117" i="11"/>
  <c r="BY116" i="11"/>
  <c r="BY115" i="11"/>
  <c r="BY114" i="11"/>
  <c r="BY113" i="11"/>
  <c r="BY112" i="11"/>
  <c r="BY111" i="11"/>
  <c r="BY110" i="11"/>
  <c r="BY109" i="11"/>
  <c r="BY108" i="11"/>
  <c r="BY107" i="11"/>
  <c r="BY106" i="11"/>
  <c r="BY105" i="11"/>
  <c r="BY104" i="11"/>
  <c r="BY103" i="11"/>
  <c r="BY102" i="11"/>
  <c r="BY101" i="11"/>
  <c r="BY100" i="11"/>
  <c r="BY99" i="11"/>
  <c r="BY98" i="11"/>
  <c r="BY97" i="11"/>
  <c r="BY96" i="11"/>
  <c r="BY95" i="11"/>
  <c r="BY94" i="11"/>
  <c r="BY93" i="11"/>
  <c r="BY92" i="11"/>
  <c r="BY91" i="11"/>
  <c r="BY90" i="11"/>
  <c r="BY89" i="11"/>
  <c r="BY88" i="11"/>
  <c r="BY87" i="11"/>
  <c r="BY86" i="11"/>
  <c r="BY85" i="11"/>
  <c r="BY84" i="11"/>
  <c r="BY83" i="11"/>
  <c r="BY82" i="11"/>
  <c r="BY81" i="11"/>
  <c r="BY80" i="11"/>
  <c r="BY79" i="11"/>
  <c r="BY78" i="11"/>
  <c r="BY77" i="11"/>
  <c r="BY76" i="11"/>
  <c r="BY75" i="11"/>
  <c r="BY74" i="11"/>
  <c r="BY73" i="11"/>
  <c r="BY72" i="11"/>
  <c r="BY71" i="11"/>
  <c r="BY70" i="11"/>
  <c r="BY69" i="11"/>
  <c r="BY68" i="11"/>
  <c r="BY67" i="11"/>
  <c r="BY66" i="11"/>
  <c r="BY65" i="11"/>
  <c r="BY64" i="11"/>
  <c r="BY63" i="11"/>
  <c r="BY62" i="11"/>
  <c r="BY61" i="11"/>
  <c r="BY60" i="11"/>
  <c r="BY59" i="11"/>
  <c r="BY58" i="11"/>
  <c r="BY57" i="11"/>
  <c r="BY56" i="11"/>
  <c r="BY55" i="11"/>
  <c r="BY54" i="11"/>
  <c r="BY53" i="11"/>
  <c r="BY52" i="11"/>
  <c r="BY51" i="11"/>
  <c r="BY50" i="11"/>
  <c r="BY49" i="11"/>
  <c r="BY48" i="11"/>
  <c r="BY47" i="11"/>
  <c r="BY46" i="11"/>
  <c r="BY45" i="11"/>
  <c r="BY44" i="11"/>
  <c r="BY43" i="11"/>
  <c r="BY42" i="11"/>
  <c r="BY41" i="11"/>
  <c r="BY40" i="11"/>
  <c r="BY39" i="11"/>
  <c r="BY38" i="11"/>
  <c r="BY37" i="11"/>
  <c r="BY36" i="11"/>
  <c r="BY35" i="11"/>
  <c r="BY34" i="11"/>
  <c r="BY33" i="11"/>
  <c r="BY32" i="11"/>
  <c r="BY31" i="11"/>
  <c r="BY30" i="11"/>
  <c r="BY29" i="11"/>
  <c r="BY28" i="11"/>
  <c r="BY27" i="11"/>
  <c r="BY26" i="11"/>
  <c r="BY25" i="11"/>
  <c r="BY24" i="11"/>
  <c r="BY23" i="11"/>
  <c r="BY22" i="11"/>
  <c r="BY21" i="11"/>
  <c r="BY20" i="11"/>
  <c r="BY19" i="11"/>
  <c r="BY18" i="11"/>
  <c r="BY17" i="11"/>
  <c r="BY16" i="11"/>
  <c r="BY15" i="11"/>
  <c r="BY14" i="11"/>
  <c r="BY13" i="11"/>
  <c r="BY12" i="11"/>
  <c r="BY11" i="11"/>
  <c r="BY10" i="11"/>
  <c r="BY9" i="11"/>
  <c r="BY8" i="11"/>
  <c r="BY7" i="11"/>
  <c r="BY6" i="11"/>
  <c r="BY5" i="11"/>
  <c r="BY4" i="11"/>
  <c r="CA162" i="11"/>
  <c r="CA161" i="11"/>
  <c r="CA160" i="11"/>
  <c r="CA159" i="11"/>
  <c r="CA158" i="11"/>
  <c r="CA157" i="11"/>
  <c r="CA156" i="11"/>
  <c r="CA155" i="11"/>
  <c r="CA154" i="11"/>
  <c r="CA153" i="11"/>
  <c r="CA150" i="11"/>
  <c r="CA149" i="11"/>
  <c r="CA148" i="11"/>
  <c r="CA147" i="11"/>
  <c r="CA146" i="11"/>
  <c r="CA145" i="11"/>
  <c r="CA144" i="11"/>
  <c r="CA143" i="11"/>
  <c r="CA141" i="11"/>
  <c r="CA140" i="11"/>
  <c r="CA139" i="11"/>
  <c r="CA138" i="11"/>
  <c r="CA137" i="11"/>
  <c r="CA136" i="11"/>
  <c r="CA135" i="11"/>
  <c r="CA134" i="11"/>
  <c r="CA133" i="11"/>
  <c r="CA132" i="11"/>
  <c r="CA131" i="11"/>
  <c r="CA130" i="11"/>
  <c r="CA129" i="11"/>
  <c r="CA128" i="11"/>
  <c r="CA127" i="11"/>
  <c r="CA126" i="11"/>
  <c r="CA125" i="11"/>
  <c r="CA119" i="11"/>
  <c r="CA118" i="11"/>
  <c r="CA117" i="11"/>
  <c r="CA116" i="11"/>
  <c r="CA115" i="11"/>
  <c r="CA114" i="11"/>
  <c r="CA113" i="11"/>
  <c r="CA112" i="11"/>
  <c r="CA111" i="11"/>
  <c r="CA110" i="11"/>
  <c r="CA109" i="11"/>
  <c r="CA108" i="11"/>
  <c r="CA107" i="11"/>
  <c r="CA106" i="11"/>
  <c r="CA105" i="11"/>
  <c r="CA104" i="11"/>
  <c r="CA103" i="11"/>
  <c r="CA102" i="11"/>
  <c r="CA101" i="11"/>
  <c r="CA100" i="11"/>
  <c r="CA99" i="11"/>
  <c r="CA98" i="11"/>
  <c r="CA97" i="11"/>
  <c r="CA96" i="11"/>
  <c r="CA95" i="11"/>
  <c r="CA94" i="11"/>
  <c r="CA93" i="11"/>
  <c r="CA92" i="11"/>
  <c r="CA91" i="11"/>
  <c r="CA90" i="11"/>
  <c r="CA89" i="11"/>
  <c r="CA88" i="11"/>
  <c r="CA87" i="11"/>
  <c r="CA86" i="11"/>
  <c r="CA85" i="11"/>
  <c r="CA84" i="11"/>
  <c r="CA83" i="11"/>
  <c r="CA82" i="11"/>
  <c r="CA81" i="11"/>
  <c r="CA80" i="11"/>
  <c r="CA79" i="11"/>
  <c r="CA78" i="11"/>
  <c r="CA77" i="11"/>
  <c r="CA76" i="11"/>
  <c r="CA75" i="11"/>
  <c r="CA74" i="11"/>
  <c r="CA73" i="11"/>
  <c r="CA72" i="11"/>
  <c r="CA71" i="11"/>
  <c r="CA70" i="11"/>
  <c r="CA69" i="11"/>
  <c r="CA68" i="11"/>
  <c r="CA67" i="11"/>
  <c r="CA66" i="11"/>
  <c r="CA65" i="11"/>
  <c r="CA64" i="11"/>
  <c r="CA63" i="11"/>
  <c r="CA62" i="11"/>
  <c r="CA61" i="11"/>
  <c r="CA60" i="11"/>
  <c r="CA59" i="11"/>
  <c r="CA58" i="11"/>
  <c r="CA57" i="11"/>
  <c r="CA56" i="11"/>
  <c r="CA55" i="11"/>
  <c r="CA54" i="11"/>
  <c r="CA53" i="11"/>
  <c r="CA52" i="11"/>
  <c r="CA51" i="11"/>
  <c r="CA50" i="11"/>
  <c r="CA49" i="11"/>
  <c r="CA48" i="11"/>
  <c r="CA47" i="11"/>
  <c r="CA46" i="11"/>
  <c r="CA45" i="11"/>
  <c r="CA44" i="11"/>
  <c r="CA43" i="11"/>
  <c r="CA42" i="11"/>
  <c r="CA41" i="11"/>
  <c r="CA40" i="11"/>
  <c r="CA39" i="11"/>
  <c r="CA38" i="11"/>
  <c r="CA37" i="11"/>
  <c r="CA36" i="11"/>
  <c r="CA35" i="11"/>
  <c r="CA34" i="11"/>
  <c r="CA33" i="11"/>
  <c r="CA32" i="11"/>
  <c r="CA31" i="11"/>
  <c r="CA30" i="11"/>
  <c r="CA29" i="11"/>
  <c r="CA28" i="11"/>
  <c r="CA27" i="11"/>
  <c r="CA26" i="11"/>
  <c r="CA25" i="11"/>
  <c r="CA24" i="11"/>
  <c r="CA23" i="11"/>
  <c r="CA22" i="11"/>
  <c r="CA21" i="11"/>
  <c r="CA20" i="11"/>
  <c r="CA19" i="11"/>
  <c r="CA18" i="11"/>
  <c r="CA17" i="11"/>
  <c r="CA16" i="11"/>
  <c r="CA15" i="11"/>
  <c r="CA14" i="11"/>
  <c r="CA13" i="11"/>
  <c r="CA12" i="11"/>
  <c r="CA11" i="11"/>
  <c r="CA10" i="11"/>
  <c r="CA9" i="11"/>
  <c r="CA8" i="11"/>
  <c r="CA7" i="11"/>
  <c r="CA6" i="11"/>
  <c r="CA5" i="11"/>
  <c r="CA4" i="11"/>
  <c r="CC162" i="11"/>
  <c r="CC161" i="11"/>
  <c r="CC160" i="11"/>
  <c r="CC159" i="11"/>
  <c r="CC158" i="11"/>
  <c r="CC157" i="11"/>
  <c r="CC156" i="11"/>
  <c r="CC155" i="11"/>
  <c r="CC154" i="11"/>
  <c r="CC153" i="11"/>
  <c r="CC150" i="11"/>
  <c r="CC149" i="11"/>
  <c r="CC148" i="11"/>
  <c r="CC147" i="11"/>
  <c r="CC146" i="11"/>
  <c r="CC145" i="11"/>
  <c r="CC144" i="11"/>
  <c r="CC143" i="11"/>
  <c r="CC141" i="11"/>
  <c r="CC140" i="11"/>
  <c r="CC139" i="11"/>
  <c r="CC138" i="11"/>
  <c r="CC137" i="11"/>
  <c r="CC136" i="11"/>
  <c r="CC135" i="11"/>
  <c r="CC134" i="11"/>
  <c r="CC133" i="11"/>
  <c r="CC132" i="11"/>
  <c r="CC131" i="11"/>
  <c r="CC130" i="11"/>
  <c r="CC129" i="11"/>
  <c r="CC128" i="11"/>
  <c r="CC127" i="11"/>
  <c r="CC126" i="11"/>
  <c r="CC125" i="11"/>
  <c r="CC119" i="11"/>
  <c r="CC118" i="11"/>
  <c r="CC117" i="11"/>
  <c r="CC116" i="11"/>
  <c r="CC115" i="11"/>
  <c r="CC114" i="11"/>
  <c r="CC113" i="11"/>
  <c r="CC112" i="11"/>
  <c r="CC111" i="11"/>
  <c r="CC110" i="11"/>
  <c r="CC109" i="11"/>
  <c r="CC108" i="11"/>
  <c r="CC107" i="11"/>
  <c r="CC106" i="11"/>
  <c r="CC105" i="11"/>
  <c r="CC104" i="11"/>
  <c r="CC103" i="11"/>
  <c r="CC102" i="11"/>
  <c r="CC101" i="11"/>
  <c r="CC100" i="11"/>
  <c r="CC99" i="11"/>
  <c r="CC98" i="11"/>
  <c r="CC97" i="11"/>
  <c r="CC96" i="11"/>
  <c r="CC95" i="11"/>
  <c r="CC94" i="11"/>
  <c r="CC93" i="11"/>
  <c r="CC92" i="11"/>
  <c r="CC91" i="11"/>
  <c r="CC90" i="11"/>
  <c r="CC89" i="11"/>
  <c r="CC88" i="11"/>
  <c r="CC87" i="11"/>
  <c r="CC86" i="11"/>
  <c r="CC85" i="11"/>
  <c r="CC84" i="11"/>
  <c r="CC83" i="11"/>
  <c r="CC82" i="11"/>
  <c r="CC81" i="11"/>
  <c r="CC80" i="11"/>
  <c r="CC79" i="11"/>
  <c r="CC78" i="11"/>
  <c r="CC77" i="11"/>
  <c r="CC76" i="11"/>
  <c r="CC75" i="11"/>
  <c r="CC74" i="11"/>
  <c r="CC73" i="11"/>
  <c r="CC72" i="11"/>
  <c r="CC71" i="11"/>
  <c r="CC70" i="11"/>
  <c r="CC69" i="11"/>
  <c r="CC68" i="11"/>
  <c r="CC67" i="11"/>
  <c r="CC66" i="11"/>
  <c r="CC65" i="11"/>
  <c r="CC64" i="11"/>
  <c r="CC63" i="11"/>
  <c r="CC62" i="11"/>
  <c r="CC61" i="11"/>
  <c r="CC60" i="11"/>
  <c r="CC59" i="11"/>
  <c r="CC58" i="11"/>
  <c r="CC57" i="11"/>
  <c r="CC56" i="11"/>
  <c r="CC55" i="11"/>
  <c r="CC54" i="11"/>
  <c r="CC53" i="11"/>
  <c r="CC52" i="11"/>
  <c r="CC51" i="11"/>
  <c r="CC50" i="11"/>
  <c r="CC49" i="11"/>
  <c r="CC48" i="11"/>
  <c r="CC47" i="11"/>
  <c r="CC46" i="11"/>
  <c r="CC45" i="11"/>
  <c r="CC44" i="11"/>
  <c r="CC43" i="11"/>
  <c r="CC42" i="11"/>
  <c r="CC41" i="11"/>
  <c r="CC40" i="11"/>
  <c r="CC39" i="11"/>
  <c r="CC38" i="11"/>
  <c r="CC37" i="11"/>
  <c r="CC36" i="11"/>
  <c r="CC35" i="11"/>
  <c r="CC34" i="11"/>
  <c r="CC33" i="11"/>
  <c r="CC32" i="11"/>
  <c r="CC31" i="11"/>
  <c r="CC30" i="11"/>
  <c r="CC29" i="11"/>
  <c r="CC28" i="11"/>
  <c r="CC27" i="11"/>
  <c r="CC26" i="11"/>
  <c r="CC25" i="11"/>
  <c r="CC24" i="11"/>
  <c r="CC23" i="11"/>
  <c r="CC22" i="11"/>
  <c r="CC21" i="11"/>
  <c r="CC20" i="11"/>
  <c r="CC19" i="11"/>
  <c r="CC18" i="11"/>
  <c r="CC17" i="11"/>
  <c r="CC16" i="11"/>
  <c r="CC15" i="11"/>
  <c r="CC14" i="11"/>
  <c r="CC13" i="11"/>
  <c r="CC12" i="11"/>
  <c r="CC11" i="11"/>
  <c r="CC10" i="11"/>
  <c r="CC9" i="11"/>
  <c r="CC8" i="11"/>
  <c r="CC7" i="11"/>
  <c r="CC6" i="11"/>
  <c r="CC5" i="11"/>
  <c r="CC4" i="11"/>
  <c r="CE162" i="11"/>
  <c r="CE161" i="11"/>
  <c r="CE160" i="11"/>
  <c r="CE159" i="11"/>
  <c r="CE158" i="11"/>
  <c r="CE157" i="11"/>
  <c r="CE156" i="11"/>
  <c r="CE155" i="11"/>
  <c r="CE154" i="11"/>
  <c r="CE153" i="11"/>
  <c r="CE150" i="11"/>
  <c r="CE149" i="11"/>
  <c r="CE148" i="11"/>
  <c r="CE147" i="11"/>
  <c r="CE146" i="11"/>
  <c r="CE145" i="11"/>
  <c r="CE144" i="11"/>
  <c r="CE143" i="11"/>
  <c r="CE141" i="11"/>
  <c r="CE140" i="11"/>
  <c r="CE139" i="11"/>
  <c r="CE138" i="11"/>
  <c r="CE137" i="11"/>
  <c r="CE136" i="11"/>
  <c r="CE135" i="11"/>
  <c r="CE134" i="11"/>
  <c r="CE133" i="11"/>
  <c r="CE132" i="11"/>
  <c r="CE131" i="11"/>
  <c r="CE130" i="11"/>
  <c r="CE129" i="11"/>
  <c r="CE128" i="11"/>
  <c r="CE127" i="11"/>
  <c r="CE126" i="11"/>
  <c r="CE125" i="11"/>
  <c r="CE119" i="11"/>
  <c r="CE118" i="11"/>
  <c r="CE117" i="11"/>
  <c r="CE116" i="11"/>
  <c r="CE115" i="11"/>
  <c r="CE114" i="11"/>
  <c r="CE113" i="11"/>
  <c r="CE112" i="11"/>
  <c r="CE111" i="11"/>
  <c r="CE110" i="11"/>
  <c r="CE109" i="11"/>
  <c r="CE108" i="11"/>
  <c r="CE107" i="11"/>
  <c r="CE106" i="11"/>
  <c r="CE105" i="11"/>
  <c r="CE104" i="11"/>
  <c r="CE103" i="11"/>
  <c r="CE102" i="11"/>
  <c r="CE101" i="11"/>
  <c r="CE100" i="11"/>
  <c r="CE99" i="11"/>
  <c r="CE98" i="11"/>
  <c r="CE97" i="11"/>
  <c r="CE96" i="11"/>
  <c r="CE95" i="11"/>
  <c r="CE94" i="11"/>
  <c r="CE93" i="11"/>
  <c r="CE92" i="11"/>
  <c r="CE91" i="11"/>
  <c r="CE90" i="11"/>
  <c r="CE89" i="11"/>
  <c r="CE88" i="11"/>
  <c r="CE87" i="11"/>
  <c r="CE86" i="11"/>
  <c r="CE85" i="11"/>
  <c r="CE84" i="11"/>
  <c r="CE83" i="11"/>
  <c r="CE82" i="11"/>
  <c r="CE81" i="11"/>
  <c r="CE80" i="11"/>
  <c r="CE79" i="11"/>
  <c r="CE78" i="11"/>
  <c r="CE77" i="11"/>
  <c r="CE76" i="11"/>
  <c r="CE75" i="11"/>
  <c r="CE74" i="11"/>
  <c r="CE73" i="11"/>
  <c r="CE72" i="11"/>
  <c r="CE71" i="11"/>
  <c r="CE70" i="11"/>
  <c r="CE69" i="11"/>
  <c r="CE68" i="11"/>
  <c r="CE67" i="11"/>
  <c r="CE66" i="11"/>
  <c r="CE65" i="11"/>
  <c r="CE64" i="11"/>
  <c r="CE63" i="11"/>
  <c r="CE62" i="11"/>
  <c r="CE61" i="11"/>
  <c r="CE60" i="11"/>
  <c r="CE59" i="11"/>
  <c r="CE58" i="11"/>
  <c r="CE57" i="11"/>
  <c r="CE56" i="11"/>
  <c r="CE55" i="11"/>
  <c r="CE54" i="11"/>
  <c r="CE53" i="11"/>
  <c r="CE52" i="11"/>
  <c r="CE51" i="11"/>
  <c r="CE50" i="11"/>
  <c r="CE49" i="11"/>
  <c r="CE48" i="11"/>
  <c r="CE47" i="11"/>
  <c r="CE46" i="11"/>
  <c r="CE45" i="11"/>
  <c r="CE44" i="11"/>
  <c r="CE43" i="11"/>
  <c r="CE42" i="11"/>
  <c r="CE41" i="11"/>
  <c r="CE40" i="11"/>
  <c r="CE39" i="11"/>
  <c r="CE38" i="11"/>
  <c r="CE37" i="11"/>
  <c r="CE36" i="11"/>
  <c r="CE35" i="11"/>
  <c r="CE34" i="11"/>
  <c r="CE33" i="11"/>
  <c r="CE32" i="11"/>
  <c r="CE31" i="11"/>
  <c r="CE30" i="11"/>
  <c r="CE29" i="11"/>
  <c r="CE28" i="11"/>
  <c r="CE27" i="11"/>
  <c r="CE26" i="11"/>
  <c r="CE25" i="11"/>
  <c r="CE24" i="11"/>
  <c r="CE23" i="11"/>
  <c r="CE22" i="11"/>
  <c r="CE21" i="11"/>
  <c r="CE20" i="11"/>
  <c r="CE19" i="11"/>
  <c r="CE18" i="11"/>
  <c r="CE17" i="11"/>
  <c r="CE16" i="11"/>
  <c r="CE15" i="11"/>
  <c r="CE14" i="11"/>
  <c r="CE13" i="11"/>
  <c r="CE12" i="11"/>
  <c r="CE11" i="11"/>
  <c r="CE10" i="11"/>
  <c r="CE9" i="11"/>
  <c r="CE8" i="11"/>
  <c r="CE7" i="11"/>
  <c r="CE6" i="11"/>
  <c r="CE5" i="11"/>
  <c r="CE4" i="11"/>
  <c r="CG162" i="11"/>
  <c r="CG143" i="11"/>
  <c r="CG141" i="11"/>
  <c r="CG4" i="11"/>
  <c r="CI162" i="11"/>
  <c r="CI161" i="11"/>
  <c r="CI160" i="11"/>
  <c r="CI159" i="11"/>
  <c r="CI158" i="11"/>
  <c r="CI157" i="11"/>
  <c r="CI156" i="11"/>
  <c r="CI155" i="11"/>
  <c r="CI154" i="11"/>
  <c r="CI153" i="11"/>
  <c r="CI150" i="11"/>
  <c r="CI149" i="11"/>
  <c r="CI148" i="11"/>
  <c r="CI147" i="11"/>
  <c r="CI146" i="11"/>
  <c r="CI145" i="11"/>
  <c r="CI144" i="11"/>
  <c r="CI143" i="11"/>
  <c r="CI141" i="11"/>
  <c r="CI140" i="11"/>
  <c r="CI139" i="11"/>
  <c r="CI138" i="11"/>
  <c r="CI137" i="11"/>
  <c r="CI136" i="11"/>
  <c r="CI135" i="11"/>
  <c r="CI134" i="11"/>
  <c r="CI133" i="11"/>
  <c r="CI132" i="11"/>
  <c r="CI131" i="11"/>
  <c r="CI130" i="11"/>
  <c r="CI129" i="11"/>
  <c r="CI128" i="11"/>
  <c r="CI127" i="11"/>
  <c r="CI126" i="11"/>
  <c r="CI125" i="11"/>
  <c r="CI119" i="11"/>
  <c r="CI118" i="11"/>
  <c r="CI117" i="11"/>
  <c r="CI116" i="11"/>
  <c r="CI115" i="11"/>
  <c r="CI114" i="11"/>
  <c r="CI113" i="11"/>
  <c r="CI112" i="11"/>
  <c r="CI111" i="11"/>
  <c r="CI110" i="11"/>
  <c r="CI109" i="11"/>
  <c r="CI108" i="11"/>
  <c r="CI107" i="11"/>
  <c r="CI106" i="11"/>
  <c r="CI105" i="11"/>
  <c r="CI104" i="11"/>
  <c r="CI103" i="11"/>
  <c r="CI102" i="11"/>
  <c r="CI101" i="11"/>
  <c r="CI100" i="11"/>
  <c r="CI99" i="11"/>
  <c r="CI98" i="11"/>
  <c r="CI97" i="11"/>
  <c r="CI96" i="11"/>
  <c r="CI95" i="11"/>
  <c r="CI94" i="11"/>
  <c r="CI93" i="11"/>
  <c r="CI92" i="11"/>
  <c r="CI91" i="11"/>
  <c r="CI90" i="11"/>
  <c r="CI89" i="11"/>
  <c r="CI88" i="11"/>
  <c r="CI87" i="11"/>
  <c r="CI86" i="11"/>
  <c r="CI85" i="11"/>
  <c r="CI84" i="11"/>
  <c r="CI83" i="11"/>
  <c r="CI82" i="11"/>
  <c r="CI81" i="11"/>
  <c r="CI80" i="11"/>
  <c r="CI79" i="11"/>
  <c r="CI78" i="11"/>
  <c r="CI77" i="11"/>
  <c r="CI76" i="11"/>
  <c r="CI75" i="11"/>
  <c r="CI74" i="11"/>
  <c r="CI73" i="11"/>
  <c r="CI72" i="11"/>
  <c r="CI71" i="11"/>
  <c r="CI70" i="11"/>
  <c r="CI69" i="11"/>
  <c r="CI68" i="11"/>
  <c r="CI67" i="11"/>
  <c r="CI66" i="11"/>
  <c r="CI65" i="11"/>
  <c r="CI64" i="11"/>
  <c r="CI63" i="11"/>
  <c r="CI62" i="11"/>
  <c r="CI61" i="11"/>
  <c r="CI60" i="11"/>
  <c r="CI59" i="11"/>
  <c r="CI58" i="11"/>
  <c r="CI57" i="11"/>
  <c r="CI56" i="11"/>
  <c r="CI55" i="11"/>
  <c r="CI54" i="11"/>
  <c r="CI53" i="11"/>
  <c r="CI52" i="11"/>
  <c r="CI51" i="11"/>
  <c r="CI50" i="11"/>
  <c r="CI49" i="11"/>
  <c r="CI48" i="11"/>
  <c r="CI47" i="11"/>
  <c r="CI46" i="11"/>
  <c r="CI45" i="11"/>
  <c r="CI44" i="11"/>
  <c r="CI43" i="11"/>
  <c r="CI42" i="11"/>
  <c r="CI41" i="11"/>
  <c r="CI40" i="11"/>
  <c r="CI39" i="11"/>
  <c r="CI38" i="11"/>
  <c r="CI37" i="11"/>
  <c r="CI36" i="11"/>
  <c r="CI35" i="11"/>
  <c r="CI34" i="11"/>
  <c r="CI33" i="11"/>
  <c r="CI32" i="11"/>
  <c r="CI31" i="11"/>
  <c r="CI30" i="11"/>
  <c r="CI29" i="11"/>
  <c r="CI28" i="11"/>
  <c r="CI27" i="11"/>
  <c r="CI26" i="11"/>
  <c r="CI25" i="11"/>
  <c r="CI24" i="11"/>
  <c r="CI23" i="11"/>
  <c r="CI22" i="11"/>
  <c r="CI21" i="11"/>
  <c r="CI20" i="11"/>
  <c r="CI19" i="11"/>
  <c r="CI18" i="11"/>
  <c r="CI17" i="11"/>
  <c r="CI16" i="11"/>
  <c r="CI15" i="11"/>
  <c r="CI14" i="11"/>
  <c r="CI13" i="11"/>
  <c r="CI12" i="11"/>
  <c r="CI11" i="11"/>
  <c r="CI10" i="11"/>
  <c r="CI9" i="11"/>
  <c r="CI8" i="11"/>
  <c r="CI7" i="11"/>
  <c r="CI6" i="11"/>
  <c r="CI5" i="11"/>
  <c r="CI4" i="11"/>
  <c r="CK162" i="11"/>
  <c r="CK161" i="11"/>
  <c r="CK160" i="11"/>
  <c r="CK159" i="11"/>
  <c r="CK158" i="11"/>
  <c r="CK157" i="11"/>
  <c r="CK156" i="11"/>
  <c r="CK155" i="11"/>
  <c r="CK154" i="11"/>
  <c r="CK153" i="11"/>
  <c r="CK150" i="11"/>
  <c r="CK149" i="11"/>
  <c r="CK148" i="11"/>
  <c r="CK147" i="11"/>
  <c r="CK146" i="11"/>
  <c r="CK145" i="11"/>
  <c r="CK144" i="11"/>
  <c r="CK143" i="11"/>
  <c r="CK141" i="11"/>
  <c r="CK140" i="11"/>
  <c r="CK139" i="11"/>
  <c r="CK138" i="11"/>
  <c r="CK137" i="11"/>
  <c r="CK136" i="11"/>
  <c r="CK135" i="11"/>
  <c r="CK134" i="11"/>
  <c r="CK133" i="11"/>
  <c r="CK132" i="11"/>
  <c r="CK131" i="11"/>
  <c r="CK130" i="11"/>
  <c r="CK129" i="11"/>
  <c r="CK128" i="11"/>
  <c r="CK127" i="11"/>
  <c r="CK126" i="11"/>
  <c r="CK125" i="11"/>
  <c r="CK119" i="11"/>
  <c r="CK118" i="11"/>
  <c r="CK117" i="11"/>
  <c r="CK116" i="11"/>
  <c r="CK115" i="11"/>
  <c r="CK114" i="11"/>
  <c r="CK113" i="11"/>
  <c r="CK112" i="11"/>
  <c r="CK111" i="11"/>
  <c r="CK110" i="11"/>
  <c r="CK109" i="11"/>
  <c r="CK108" i="11"/>
  <c r="CK107" i="11"/>
  <c r="CK106" i="11"/>
  <c r="CK105" i="11"/>
  <c r="CK104" i="11"/>
  <c r="CK103" i="11"/>
  <c r="CK102" i="11"/>
  <c r="CK101" i="11"/>
  <c r="CK100" i="11"/>
  <c r="CK99" i="11"/>
  <c r="CK98" i="11"/>
  <c r="CK97" i="11"/>
  <c r="CK96" i="11"/>
  <c r="CK95" i="11"/>
  <c r="CK94" i="11"/>
  <c r="CK93" i="11"/>
  <c r="CK92" i="11"/>
  <c r="CK91" i="11"/>
  <c r="CK90" i="11"/>
  <c r="CK89" i="11"/>
  <c r="CK88" i="11"/>
  <c r="CK87" i="11"/>
  <c r="CK86" i="11"/>
  <c r="CK85" i="11"/>
  <c r="CK84" i="11"/>
  <c r="CK83" i="11"/>
  <c r="CK82" i="11"/>
  <c r="CK81" i="11"/>
  <c r="CK80" i="11"/>
  <c r="CK79" i="11"/>
  <c r="CK78" i="11"/>
  <c r="CK77" i="11"/>
  <c r="CK76" i="11"/>
  <c r="CK75" i="11"/>
  <c r="CK74" i="11"/>
  <c r="CK73" i="11"/>
  <c r="CK72" i="11"/>
  <c r="CK71" i="11"/>
  <c r="CK70" i="11"/>
  <c r="CK69" i="11"/>
  <c r="CK68" i="11"/>
  <c r="CK67" i="11"/>
  <c r="CK66" i="11"/>
  <c r="CK65" i="11"/>
  <c r="CK64" i="11"/>
  <c r="CK63" i="11"/>
  <c r="CK62" i="11"/>
  <c r="CK61" i="11"/>
  <c r="CK60" i="11"/>
  <c r="CK59" i="11"/>
  <c r="CK58" i="11"/>
  <c r="CK57" i="11"/>
  <c r="CK56" i="11"/>
  <c r="CK55" i="11"/>
  <c r="CK54" i="11"/>
  <c r="CK53" i="11"/>
  <c r="CK52" i="11"/>
  <c r="CK51" i="11"/>
  <c r="CK50" i="11"/>
  <c r="CK49" i="11"/>
  <c r="CK48" i="11"/>
  <c r="CK47" i="11"/>
  <c r="CK46" i="11"/>
  <c r="CK45" i="11"/>
  <c r="CK44" i="11"/>
  <c r="CK43" i="11"/>
  <c r="CK42" i="11"/>
  <c r="CK41" i="11"/>
  <c r="CK40" i="11"/>
  <c r="CK39" i="11"/>
  <c r="CK38" i="11"/>
  <c r="CK37" i="11"/>
  <c r="CK36" i="11"/>
  <c r="CK35" i="11"/>
  <c r="CK34" i="11"/>
  <c r="CK33" i="11"/>
  <c r="CK32" i="11"/>
  <c r="CK31" i="11"/>
  <c r="CK30" i="11"/>
  <c r="CK29" i="11"/>
  <c r="CK28" i="11"/>
  <c r="CK27" i="11"/>
  <c r="CK26" i="11"/>
  <c r="CK25" i="11"/>
  <c r="CK24" i="11"/>
  <c r="CK23" i="11"/>
  <c r="CK22" i="11"/>
  <c r="CK21" i="11"/>
  <c r="CK20" i="11"/>
  <c r="CK19" i="11"/>
  <c r="CK18" i="11"/>
  <c r="CK17" i="11"/>
  <c r="CK16" i="11"/>
  <c r="CK15" i="11"/>
  <c r="CK14" i="11"/>
  <c r="CK13" i="11"/>
  <c r="CK12" i="11"/>
  <c r="CK11" i="11"/>
  <c r="CK10" i="11"/>
  <c r="CK9" i="11"/>
  <c r="CK8" i="11"/>
  <c r="CK7" i="11"/>
  <c r="CK6" i="11"/>
  <c r="CK5" i="11"/>
  <c r="CK4" i="11"/>
  <c r="CM162" i="11"/>
  <c r="CM161" i="11"/>
  <c r="CM160" i="11"/>
  <c r="CM159" i="11"/>
  <c r="CM158" i="11"/>
  <c r="CM157" i="11"/>
  <c r="CM156" i="11"/>
  <c r="CM155" i="11"/>
  <c r="CM154" i="11"/>
  <c r="CM153" i="11"/>
  <c r="CM150" i="11"/>
  <c r="CM149" i="11"/>
  <c r="CM148" i="11"/>
  <c r="CM147" i="11"/>
  <c r="CM146" i="11"/>
  <c r="CM145" i="11"/>
  <c r="CM144" i="11"/>
  <c r="CM143" i="11"/>
  <c r="CM141" i="11"/>
  <c r="CM140" i="11"/>
  <c r="CM139" i="11"/>
  <c r="CM138" i="11"/>
  <c r="CM137" i="11"/>
  <c r="CM136" i="11"/>
  <c r="CM135" i="11"/>
  <c r="CM134" i="11"/>
  <c r="CM133" i="11"/>
  <c r="CM132" i="11"/>
  <c r="CM131" i="11"/>
  <c r="CM130" i="11"/>
  <c r="CM129" i="11"/>
  <c r="CM128" i="11"/>
  <c r="CM127" i="11"/>
  <c r="CM126" i="11"/>
  <c r="CM125" i="11"/>
  <c r="CM119" i="11"/>
  <c r="CM118" i="11"/>
  <c r="CM117" i="11"/>
  <c r="CM116" i="11"/>
  <c r="CM115" i="11"/>
  <c r="CM114" i="11"/>
  <c r="CM113" i="11"/>
  <c r="CM112" i="11"/>
  <c r="CM111" i="11"/>
  <c r="CM110" i="11"/>
  <c r="CM109" i="11"/>
  <c r="CM108" i="11"/>
  <c r="CM107" i="11"/>
  <c r="CM106" i="11"/>
  <c r="CM105" i="11"/>
  <c r="CM104" i="11"/>
  <c r="CM103" i="11"/>
  <c r="CM102" i="11"/>
  <c r="CM101" i="11"/>
  <c r="CM100" i="11"/>
  <c r="CM99" i="11"/>
  <c r="CM98" i="11"/>
  <c r="CM97" i="11"/>
  <c r="CM96" i="11"/>
  <c r="CM95" i="11"/>
  <c r="CM94" i="11"/>
  <c r="CM93" i="11"/>
  <c r="CM92" i="11"/>
  <c r="CM91" i="11"/>
  <c r="CM90" i="11"/>
  <c r="CM89" i="11"/>
  <c r="CM88" i="11"/>
  <c r="CM87" i="11"/>
  <c r="CM86" i="11"/>
  <c r="CM85" i="11"/>
  <c r="CM84" i="11"/>
  <c r="CM83" i="11"/>
  <c r="CM82" i="11"/>
  <c r="CM81" i="11"/>
  <c r="CM80" i="11"/>
  <c r="CM79" i="11"/>
  <c r="CM78" i="11"/>
  <c r="CM77" i="11"/>
  <c r="CM76" i="11"/>
  <c r="CM75" i="11"/>
  <c r="CM74" i="11"/>
  <c r="CM73" i="11"/>
  <c r="CM72" i="11"/>
  <c r="CM71" i="11"/>
  <c r="CM70" i="11"/>
  <c r="CM69" i="11"/>
  <c r="CM68" i="11"/>
  <c r="CM67" i="11"/>
  <c r="CM66" i="11"/>
  <c r="CM65" i="11"/>
  <c r="CM64" i="11"/>
  <c r="CM63" i="11"/>
  <c r="CM62" i="11"/>
  <c r="CM61" i="11"/>
  <c r="CM60" i="11"/>
  <c r="CM59" i="11"/>
  <c r="CM58" i="11"/>
  <c r="CM57" i="11"/>
  <c r="CM56" i="11"/>
  <c r="CM55" i="11"/>
  <c r="CM54" i="11"/>
  <c r="CM53" i="11"/>
  <c r="CM52" i="11"/>
  <c r="CM51" i="11"/>
  <c r="CM50" i="11"/>
  <c r="CM49" i="11"/>
  <c r="CM48" i="11"/>
  <c r="CM47" i="11"/>
  <c r="CM46" i="11"/>
  <c r="CM45" i="11"/>
  <c r="CM44" i="11"/>
  <c r="CM43" i="11"/>
  <c r="CM42" i="11"/>
  <c r="CM41" i="11"/>
  <c r="CM40" i="11"/>
  <c r="CM39" i="11"/>
  <c r="CM38" i="11"/>
  <c r="CM37" i="11"/>
  <c r="CM36" i="11"/>
  <c r="CM35" i="11"/>
  <c r="CM34" i="11"/>
  <c r="CM33" i="11"/>
  <c r="CM32" i="11"/>
  <c r="CM31" i="11"/>
  <c r="CM30" i="11"/>
  <c r="CM29" i="11"/>
  <c r="CM28" i="11"/>
  <c r="CM27" i="11"/>
  <c r="CM26" i="11"/>
  <c r="CM25" i="11"/>
  <c r="CM24" i="11"/>
  <c r="CM23" i="11"/>
  <c r="CM22" i="11"/>
  <c r="CM21" i="11"/>
  <c r="CM20" i="11"/>
  <c r="CM19" i="11"/>
  <c r="CM18" i="11"/>
  <c r="CM17" i="11"/>
  <c r="CM16" i="11"/>
  <c r="CM15" i="11"/>
  <c r="CM14" i="11"/>
  <c r="CM13" i="11"/>
  <c r="CM12" i="11"/>
  <c r="CM11" i="11"/>
  <c r="CM10" i="11"/>
  <c r="CM9" i="11"/>
  <c r="CM8" i="11"/>
  <c r="CM7" i="11"/>
  <c r="CM6" i="11"/>
  <c r="CM5" i="11"/>
  <c r="CM4" i="11"/>
  <c r="CO162" i="11"/>
  <c r="CO161" i="11"/>
  <c r="CO160" i="11"/>
  <c r="CO159" i="11"/>
  <c r="CO158" i="11"/>
  <c r="CO157" i="11"/>
  <c r="CO156" i="11"/>
  <c r="CO155" i="11"/>
  <c r="CO154" i="11"/>
  <c r="CO153" i="11"/>
  <c r="CO150" i="11"/>
  <c r="CO149" i="11"/>
  <c r="CO148" i="11"/>
  <c r="CO147" i="11"/>
  <c r="CO146" i="11"/>
  <c r="CO145" i="11"/>
  <c r="CO144" i="11"/>
  <c r="CO143" i="11"/>
  <c r="CO141" i="11"/>
  <c r="CO140" i="11"/>
  <c r="CO139" i="11"/>
  <c r="CO138" i="11"/>
  <c r="CO137" i="11"/>
  <c r="CO136" i="11"/>
  <c r="CO135" i="11"/>
  <c r="CO134" i="11"/>
  <c r="CO133" i="11"/>
  <c r="CO132" i="11"/>
  <c r="CO131" i="11"/>
  <c r="CO130" i="11"/>
  <c r="CO129" i="11"/>
  <c r="CO128" i="11"/>
  <c r="CO127" i="11"/>
  <c r="CO126" i="11"/>
  <c r="CO125" i="11"/>
  <c r="CO119" i="11"/>
  <c r="CO118" i="11"/>
  <c r="CO117" i="11"/>
  <c r="CO116" i="11"/>
  <c r="CO115" i="11"/>
  <c r="CO114" i="11"/>
  <c r="CO113" i="11"/>
  <c r="CO112" i="11"/>
  <c r="CO111" i="11"/>
  <c r="CO110" i="11"/>
  <c r="CO109" i="11"/>
  <c r="CO108" i="11"/>
  <c r="CO107" i="11"/>
  <c r="CO106" i="11"/>
  <c r="CO105" i="11"/>
  <c r="CO104" i="11"/>
  <c r="CO103" i="11"/>
  <c r="CO102" i="11"/>
  <c r="CO101" i="11"/>
  <c r="CO100" i="11"/>
  <c r="CO99" i="11"/>
  <c r="CO98" i="11"/>
  <c r="CO97" i="11"/>
  <c r="CO96" i="11"/>
  <c r="CO95" i="11"/>
  <c r="CO94" i="11"/>
  <c r="CO93" i="11"/>
  <c r="CO92" i="11"/>
  <c r="CO91" i="11"/>
  <c r="CO90" i="11"/>
  <c r="CO89" i="11"/>
  <c r="CO88" i="11"/>
  <c r="CO87" i="11"/>
  <c r="CO86" i="11"/>
  <c r="CO85" i="11"/>
  <c r="CO84" i="11"/>
  <c r="CO83" i="11"/>
  <c r="CO82" i="11"/>
  <c r="CO81" i="11"/>
  <c r="CO80" i="11"/>
  <c r="CO79" i="11"/>
  <c r="CO78" i="11"/>
  <c r="CO77" i="11"/>
  <c r="CO76" i="11"/>
  <c r="CO75" i="11"/>
  <c r="CO74" i="11"/>
  <c r="CO73" i="11"/>
  <c r="CO72" i="11"/>
  <c r="CO71" i="11"/>
  <c r="CO70" i="11"/>
  <c r="CO69" i="11"/>
  <c r="CO68" i="11"/>
  <c r="CO67" i="11"/>
  <c r="CO66" i="11"/>
  <c r="CO65" i="11"/>
  <c r="CO64" i="11"/>
  <c r="CO63" i="11"/>
  <c r="CO62" i="11"/>
  <c r="CO61" i="11"/>
  <c r="CO60" i="11"/>
  <c r="CO59" i="11"/>
  <c r="CO58" i="11"/>
  <c r="CO57" i="11"/>
  <c r="CO56" i="11"/>
  <c r="CO55" i="11"/>
  <c r="CO54" i="11"/>
  <c r="CO53" i="11"/>
  <c r="CO52" i="11"/>
  <c r="CO51" i="11"/>
  <c r="CO50" i="11"/>
  <c r="CO49" i="11"/>
  <c r="CO48" i="11"/>
  <c r="CO47" i="11"/>
  <c r="CO46" i="11"/>
  <c r="CO45" i="11"/>
  <c r="CO44" i="11"/>
  <c r="CO43" i="11"/>
  <c r="CO42" i="11"/>
  <c r="CO41" i="11"/>
  <c r="CO40" i="11"/>
  <c r="CO39" i="11"/>
  <c r="CO38" i="11"/>
  <c r="CO37" i="11"/>
  <c r="CO36" i="11"/>
  <c r="CO35" i="11"/>
  <c r="CO34" i="11"/>
  <c r="CO33" i="11"/>
  <c r="CO32" i="11"/>
  <c r="CO31" i="11"/>
  <c r="CO30" i="11"/>
  <c r="CO29" i="11"/>
  <c r="CO28" i="11"/>
  <c r="CO27" i="11"/>
  <c r="CO26" i="11"/>
  <c r="CO25" i="11"/>
  <c r="CO24" i="11"/>
  <c r="CO23" i="11"/>
  <c r="CO22" i="11"/>
  <c r="CO21" i="11"/>
  <c r="CO20" i="11"/>
  <c r="CO19" i="11"/>
  <c r="CO18" i="11"/>
  <c r="CO17" i="11"/>
  <c r="CO16" i="11"/>
  <c r="CO15" i="11"/>
  <c r="CO14" i="11"/>
  <c r="CO13" i="11"/>
  <c r="CO12" i="11"/>
  <c r="CO11" i="11"/>
  <c r="CO10" i="11"/>
  <c r="CO9" i="11"/>
  <c r="CO8" i="11"/>
  <c r="CO7" i="11"/>
  <c r="CO6" i="11"/>
  <c r="CO5" i="11"/>
  <c r="CO4" i="11"/>
  <c r="CQ162" i="11"/>
  <c r="CQ161" i="11"/>
  <c r="CQ160" i="11"/>
  <c r="CQ159" i="11"/>
  <c r="CQ158" i="11"/>
  <c r="CQ157" i="11"/>
  <c r="CQ156" i="11"/>
  <c r="CQ155" i="11"/>
  <c r="CQ154" i="11"/>
  <c r="CQ153" i="11"/>
  <c r="CQ150" i="11"/>
  <c r="CQ149" i="11"/>
  <c r="CQ148" i="11"/>
  <c r="CQ147" i="11"/>
  <c r="CQ146" i="11"/>
  <c r="CQ145" i="11"/>
  <c r="CQ144" i="11"/>
  <c r="CQ143" i="11"/>
  <c r="CQ141" i="11"/>
  <c r="CQ140" i="11"/>
  <c r="CQ139" i="11"/>
  <c r="CQ138" i="11"/>
  <c r="CQ137" i="11"/>
  <c r="CQ136" i="11"/>
  <c r="CQ135" i="11"/>
  <c r="CQ134" i="11"/>
  <c r="CQ133" i="11"/>
  <c r="CQ132" i="11"/>
  <c r="CQ131" i="11"/>
  <c r="CQ130" i="11"/>
  <c r="CQ129" i="11"/>
  <c r="CQ128" i="11"/>
  <c r="CQ127" i="11"/>
  <c r="CQ126" i="11"/>
  <c r="CQ125" i="11"/>
  <c r="CQ119" i="11"/>
  <c r="CQ118" i="11"/>
  <c r="CQ117" i="11"/>
  <c r="CQ116" i="11"/>
  <c r="CQ115" i="11"/>
  <c r="CQ114" i="11"/>
  <c r="CQ113" i="11"/>
  <c r="CQ112" i="11"/>
  <c r="CQ111" i="11"/>
  <c r="CQ110" i="11"/>
  <c r="CQ109" i="11"/>
  <c r="CQ108" i="11"/>
  <c r="CQ107" i="11"/>
  <c r="CQ106" i="11"/>
  <c r="CQ105" i="11"/>
  <c r="CQ104" i="11"/>
  <c r="CQ103" i="11"/>
  <c r="CQ102" i="11"/>
  <c r="CQ101" i="11"/>
  <c r="CQ100" i="11"/>
  <c r="CQ99" i="11"/>
  <c r="CQ98" i="11"/>
  <c r="CQ97" i="11"/>
  <c r="CQ96" i="11"/>
  <c r="CQ95" i="11"/>
  <c r="CQ94" i="11"/>
  <c r="CQ93" i="11"/>
  <c r="CQ92" i="11"/>
  <c r="CQ91" i="11"/>
  <c r="CQ90" i="11"/>
  <c r="CQ89" i="11"/>
  <c r="CQ88" i="11"/>
  <c r="CQ87" i="11"/>
  <c r="CQ86" i="11"/>
  <c r="CQ85" i="11"/>
  <c r="CQ84" i="11"/>
  <c r="CQ83" i="11"/>
  <c r="CQ82" i="11"/>
  <c r="CQ81" i="11"/>
  <c r="CQ80" i="11"/>
  <c r="CQ79" i="11"/>
  <c r="CQ78" i="11"/>
  <c r="CQ77" i="11"/>
  <c r="CQ76" i="11"/>
  <c r="CQ75" i="11"/>
  <c r="CQ74" i="11"/>
  <c r="CQ73" i="11"/>
  <c r="CQ72" i="11"/>
  <c r="CQ71" i="11"/>
  <c r="CQ70" i="11"/>
  <c r="CQ69" i="11"/>
  <c r="CQ68" i="11"/>
  <c r="CQ67" i="11"/>
  <c r="CQ66" i="11"/>
  <c r="CQ65" i="11"/>
  <c r="CQ64" i="11"/>
  <c r="CQ63" i="11"/>
  <c r="CQ62" i="11"/>
  <c r="CQ61" i="11"/>
  <c r="CQ60" i="11"/>
  <c r="CQ59" i="11"/>
  <c r="CQ58" i="11"/>
  <c r="CQ57" i="11"/>
  <c r="CQ56" i="11"/>
  <c r="CQ55" i="11"/>
  <c r="CQ54" i="11"/>
  <c r="CQ53" i="11"/>
  <c r="CQ52" i="11"/>
  <c r="CQ51" i="11"/>
  <c r="CQ50" i="11"/>
  <c r="CQ49" i="11"/>
  <c r="CQ48" i="11"/>
  <c r="CQ47" i="11"/>
  <c r="CQ46" i="11"/>
  <c r="CQ45" i="11"/>
  <c r="CQ44" i="11"/>
  <c r="CQ43" i="11"/>
  <c r="CQ42" i="11"/>
  <c r="CQ41" i="11"/>
  <c r="CQ40" i="11"/>
  <c r="CQ39" i="11"/>
  <c r="CQ38" i="11"/>
  <c r="CQ37" i="11"/>
  <c r="CQ36" i="11"/>
  <c r="CQ35" i="11"/>
  <c r="CQ34" i="11"/>
  <c r="CQ33" i="11"/>
  <c r="CQ32" i="11"/>
  <c r="CQ31" i="11"/>
  <c r="CQ30" i="11"/>
  <c r="CQ29" i="11"/>
  <c r="CQ28" i="11"/>
  <c r="CQ27" i="11"/>
  <c r="CQ26" i="11"/>
  <c r="CQ25" i="11"/>
  <c r="CQ24" i="11"/>
  <c r="CQ23" i="11"/>
  <c r="CQ22" i="11"/>
  <c r="CQ21" i="11"/>
  <c r="CQ20" i="11"/>
  <c r="CQ19" i="11"/>
  <c r="CQ18" i="11"/>
  <c r="CQ17" i="11"/>
  <c r="CQ16" i="11"/>
  <c r="CQ15" i="11"/>
  <c r="CQ14" i="11"/>
  <c r="CQ13" i="11"/>
  <c r="CQ12" i="11"/>
  <c r="CQ11" i="11"/>
  <c r="CQ10" i="11"/>
  <c r="CQ9" i="11"/>
  <c r="CQ8" i="11"/>
  <c r="CQ7" i="11"/>
  <c r="CQ6" i="11"/>
  <c r="CQ5" i="11"/>
  <c r="CQ4" i="11"/>
  <c r="CS162" i="11"/>
  <c r="CS161" i="11"/>
  <c r="CS160" i="11"/>
  <c r="CS159" i="11"/>
  <c r="CS158" i="11"/>
  <c r="CS157" i="11"/>
  <c r="CS156" i="11"/>
  <c r="CS155" i="11"/>
  <c r="CS154" i="11"/>
  <c r="CS153" i="11"/>
  <c r="CS150" i="11"/>
  <c r="CS149" i="11"/>
  <c r="CS148" i="11"/>
  <c r="CS147" i="11"/>
  <c r="CS146" i="11"/>
  <c r="CS145" i="11"/>
  <c r="CS144" i="11"/>
  <c r="CS143" i="11"/>
  <c r="CS141" i="11"/>
  <c r="CS140" i="11"/>
  <c r="CS139" i="11"/>
  <c r="CS138" i="11"/>
  <c r="CS137" i="11"/>
  <c r="CS136" i="11"/>
  <c r="CS135" i="11"/>
  <c r="CS134" i="11"/>
  <c r="CS133" i="11"/>
  <c r="CS132" i="11"/>
  <c r="CS131" i="11"/>
  <c r="CS130" i="11"/>
  <c r="CS129" i="11"/>
  <c r="CS128" i="11"/>
  <c r="CS127" i="11"/>
  <c r="CS126" i="11"/>
  <c r="CS125" i="11"/>
  <c r="CS119" i="11"/>
  <c r="CS118" i="11"/>
  <c r="CS117" i="11"/>
  <c r="CS116" i="11"/>
  <c r="CS115" i="11"/>
  <c r="CS114" i="11"/>
  <c r="CS113" i="11"/>
  <c r="CS112" i="11"/>
  <c r="CS111" i="11"/>
  <c r="CS110" i="11"/>
  <c r="CS109" i="11"/>
  <c r="CS108" i="11"/>
  <c r="CS107" i="11"/>
  <c r="CS106" i="11"/>
  <c r="CS105" i="11"/>
  <c r="CS104" i="11"/>
  <c r="CS103" i="11"/>
  <c r="CS102" i="11"/>
  <c r="CS101" i="11"/>
  <c r="CS100" i="11"/>
  <c r="CS99" i="11"/>
  <c r="CS98" i="11"/>
  <c r="CS97" i="11"/>
  <c r="CS96" i="11"/>
  <c r="CS95" i="11"/>
  <c r="CS94" i="11"/>
  <c r="CS93" i="11"/>
  <c r="CS92" i="11"/>
  <c r="CS91" i="11"/>
  <c r="CS90" i="11"/>
  <c r="CS89" i="11"/>
  <c r="CS88" i="11"/>
  <c r="CS87" i="11"/>
  <c r="CS86" i="11"/>
  <c r="CS85" i="11"/>
  <c r="CS84" i="11"/>
  <c r="CS83" i="11"/>
  <c r="CS82" i="11"/>
  <c r="CS81" i="11"/>
  <c r="CS80" i="11"/>
  <c r="CS79" i="11"/>
  <c r="CS78" i="11"/>
  <c r="CS77" i="11"/>
  <c r="CS76" i="11"/>
  <c r="CS75" i="11"/>
  <c r="CS74" i="11"/>
  <c r="CS73" i="11"/>
  <c r="CS72" i="11"/>
  <c r="CS71" i="11"/>
  <c r="CS70" i="11"/>
  <c r="CS69" i="11"/>
  <c r="CS68" i="11"/>
  <c r="CS67" i="11"/>
  <c r="CS66" i="11"/>
  <c r="CS65" i="11"/>
  <c r="CS64" i="11"/>
  <c r="CS63" i="11"/>
  <c r="CS62" i="11"/>
  <c r="CS61" i="11"/>
  <c r="CS60" i="11"/>
  <c r="CS59" i="11"/>
  <c r="CS58" i="11"/>
  <c r="CS57" i="11"/>
  <c r="CS56" i="11"/>
  <c r="CS55" i="11"/>
  <c r="CS54" i="11"/>
  <c r="CS53" i="11"/>
  <c r="CS52" i="11"/>
  <c r="CS51" i="11"/>
  <c r="CS50" i="11"/>
  <c r="CS49" i="11"/>
  <c r="CS48" i="11"/>
  <c r="CS47" i="11"/>
  <c r="CS46" i="11"/>
  <c r="CS45" i="11"/>
  <c r="CS44" i="11"/>
  <c r="CS43" i="11"/>
  <c r="CS42" i="11"/>
  <c r="CS41" i="11"/>
  <c r="CS40" i="11"/>
  <c r="CS39" i="11"/>
  <c r="CS38" i="11"/>
  <c r="CS37" i="11"/>
  <c r="CS36" i="11"/>
  <c r="CS35" i="11"/>
  <c r="CS34" i="11"/>
  <c r="CS33" i="11"/>
  <c r="CS32" i="11"/>
  <c r="CS31" i="11"/>
  <c r="CS30" i="11"/>
  <c r="CS29" i="11"/>
  <c r="CS28" i="11"/>
  <c r="CS27" i="11"/>
  <c r="CS26" i="11"/>
  <c r="CS25" i="11"/>
  <c r="CS24" i="11"/>
  <c r="CS23" i="11"/>
  <c r="CS22" i="11"/>
  <c r="CS21" i="11"/>
  <c r="CS20" i="11"/>
  <c r="CS19" i="11"/>
  <c r="CS18" i="11"/>
  <c r="CS17" i="11"/>
  <c r="CS16" i="11"/>
  <c r="CS15" i="11"/>
  <c r="CS14" i="11"/>
  <c r="CS13" i="11"/>
  <c r="CS12" i="11"/>
  <c r="CS11" i="11"/>
  <c r="CS10" i="11"/>
  <c r="CS9" i="11"/>
  <c r="CS8" i="11"/>
  <c r="CS7" i="11"/>
  <c r="CS6" i="11"/>
  <c r="CS5" i="11"/>
  <c r="CS4" i="11"/>
  <c r="CU162" i="11"/>
  <c r="CU161" i="11"/>
  <c r="CU160" i="11"/>
  <c r="CU159" i="11"/>
  <c r="CU158" i="11"/>
  <c r="CU157" i="11"/>
  <c r="CU156" i="11"/>
  <c r="CU155" i="11"/>
  <c r="CU154" i="11"/>
  <c r="CU153" i="11"/>
  <c r="CU150" i="11"/>
  <c r="CU149" i="11"/>
  <c r="CU148" i="11"/>
  <c r="CU147" i="11"/>
  <c r="CU146" i="11"/>
  <c r="CU145" i="11"/>
  <c r="CU144" i="11"/>
  <c r="CU143" i="11"/>
  <c r="CU141" i="11"/>
  <c r="CU140" i="11"/>
  <c r="CU139" i="11"/>
  <c r="CU138" i="11"/>
  <c r="CU137" i="11"/>
  <c r="CU136" i="11"/>
  <c r="CU135" i="11"/>
  <c r="CU134" i="11"/>
  <c r="CU133" i="11"/>
  <c r="CU132" i="11"/>
  <c r="CU131" i="11"/>
  <c r="CU130" i="11"/>
  <c r="CU129" i="11"/>
  <c r="CU128" i="11"/>
  <c r="CU127" i="11"/>
  <c r="CU126" i="11"/>
  <c r="CU125" i="11"/>
  <c r="CU119" i="11"/>
  <c r="CU118" i="11"/>
  <c r="CU117" i="11"/>
  <c r="CU116" i="11"/>
  <c r="CU115" i="11"/>
  <c r="CU114" i="11"/>
  <c r="CU113" i="11"/>
  <c r="CU112" i="11"/>
  <c r="CU111" i="11"/>
  <c r="CU110" i="11"/>
  <c r="CU109" i="11"/>
  <c r="CU108" i="11"/>
  <c r="CU107" i="11"/>
  <c r="CU106" i="11"/>
  <c r="CU105" i="11"/>
  <c r="CU104" i="11"/>
  <c r="CU103" i="11"/>
  <c r="CU102" i="11"/>
  <c r="CU101" i="11"/>
  <c r="CU100" i="11"/>
  <c r="CU99" i="11"/>
  <c r="CU98" i="11"/>
  <c r="CU97" i="11"/>
  <c r="CU96" i="11"/>
  <c r="CU95" i="11"/>
  <c r="CU94" i="11"/>
  <c r="CU93" i="11"/>
  <c r="CU92" i="11"/>
  <c r="CU91" i="11"/>
  <c r="CU90" i="11"/>
  <c r="CU89" i="11"/>
  <c r="CU88" i="11"/>
  <c r="CU87" i="11"/>
  <c r="CU86" i="11"/>
  <c r="CU85" i="11"/>
  <c r="CU84" i="11"/>
  <c r="CU83" i="11"/>
  <c r="CU82" i="11"/>
  <c r="CU81" i="11"/>
  <c r="CU80" i="11"/>
  <c r="CU79" i="11"/>
  <c r="CU78" i="11"/>
  <c r="CU77" i="11"/>
  <c r="CU76" i="11"/>
  <c r="CU75" i="11"/>
  <c r="CU74" i="11"/>
  <c r="CU73" i="11"/>
  <c r="CU72" i="11"/>
  <c r="CU71" i="11"/>
  <c r="CU70" i="11"/>
  <c r="CU69" i="11"/>
  <c r="CU68" i="11"/>
  <c r="CU67" i="11"/>
  <c r="CU66" i="11"/>
  <c r="CU65" i="11"/>
  <c r="CU64" i="11"/>
  <c r="CU63" i="11"/>
  <c r="CU62" i="11"/>
  <c r="CU61" i="11"/>
  <c r="CU60" i="11"/>
  <c r="CU59" i="11"/>
  <c r="CU58" i="11"/>
  <c r="CU57" i="11"/>
  <c r="CU56" i="11"/>
  <c r="CU55" i="11"/>
  <c r="CU54" i="11"/>
  <c r="CU53" i="11"/>
  <c r="CU52" i="11"/>
  <c r="CU51" i="11"/>
  <c r="CU50" i="11"/>
  <c r="CU49" i="11"/>
  <c r="CU48" i="11"/>
  <c r="CU47" i="11"/>
  <c r="CU46" i="11"/>
  <c r="CU45" i="11"/>
  <c r="CU44" i="11"/>
  <c r="CU43" i="11"/>
  <c r="CU42" i="11"/>
  <c r="CU41" i="11"/>
  <c r="CU40" i="11"/>
  <c r="CU39" i="11"/>
  <c r="CU38" i="11"/>
  <c r="CU37" i="11"/>
  <c r="CU36" i="11"/>
  <c r="CU35" i="11"/>
  <c r="CU34" i="11"/>
  <c r="CU33" i="11"/>
  <c r="CU32" i="11"/>
  <c r="CU31" i="11"/>
  <c r="CU30" i="11"/>
  <c r="CU29" i="11"/>
  <c r="CU28" i="11"/>
  <c r="CU27" i="11"/>
  <c r="CU26" i="11"/>
  <c r="CU25" i="11"/>
  <c r="CU24" i="11"/>
  <c r="CU23" i="11"/>
  <c r="CU22" i="11"/>
  <c r="CU21" i="11"/>
  <c r="CU20" i="11"/>
  <c r="CU19" i="11"/>
  <c r="CU18" i="11"/>
  <c r="CU17" i="11"/>
  <c r="CU16" i="11"/>
  <c r="CU15" i="11"/>
  <c r="CU14" i="11"/>
  <c r="CU13" i="11"/>
  <c r="CU12" i="11"/>
  <c r="CU11" i="11"/>
  <c r="CU10" i="11"/>
  <c r="CU9" i="11"/>
  <c r="CU8" i="11"/>
  <c r="CU7" i="11"/>
  <c r="CU6" i="11"/>
  <c r="CU5" i="11"/>
  <c r="CU4" i="11"/>
  <c r="CW162" i="11"/>
  <c r="CW161" i="11"/>
  <c r="CW160" i="11"/>
  <c r="CW159" i="11"/>
  <c r="CW158" i="11"/>
  <c r="CW157" i="11"/>
  <c r="CW156" i="11"/>
  <c r="CW155" i="11"/>
  <c r="CW154" i="11"/>
  <c r="CW153" i="11"/>
  <c r="CW150" i="11"/>
  <c r="CW149" i="11"/>
  <c r="CW148" i="11"/>
  <c r="CW147" i="11"/>
  <c r="CW146" i="11"/>
  <c r="CW145" i="11"/>
  <c r="CW144" i="11"/>
  <c r="CW143" i="11"/>
  <c r="CW141" i="11"/>
  <c r="CW140" i="11"/>
  <c r="CW139" i="11"/>
  <c r="CW138" i="11"/>
  <c r="CW137" i="11"/>
  <c r="CW136" i="11"/>
  <c r="CW135" i="11"/>
  <c r="CW134" i="11"/>
  <c r="CW133" i="11"/>
  <c r="CW132" i="11"/>
  <c r="CW131" i="11"/>
  <c r="CW130" i="11"/>
  <c r="CW129" i="11"/>
  <c r="CW128" i="11"/>
  <c r="CW127" i="11"/>
  <c r="CW126" i="11"/>
  <c r="CW125" i="11"/>
  <c r="CW119" i="11"/>
  <c r="CW118" i="11"/>
  <c r="CW117" i="11"/>
  <c r="CW116" i="11"/>
  <c r="CW115" i="11"/>
  <c r="CW114" i="11"/>
  <c r="CW113" i="11"/>
  <c r="CW112" i="11"/>
  <c r="CW111" i="11"/>
  <c r="CW110" i="11"/>
  <c r="CW109" i="11"/>
  <c r="CW108" i="11"/>
  <c r="CW107" i="11"/>
  <c r="CW106" i="11"/>
  <c r="CW105" i="11"/>
  <c r="CW104" i="11"/>
  <c r="CW103" i="11"/>
  <c r="CW102" i="11"/>
  <c r="CW101" i="11"/>
  <c r="CW100" i="11"/>
  <c r="CW99" i="11"/>
  <c r="CW98" i="11"/>
  <c r="CW97" i="11"/>
  <c r="CW96" i="11"/>
  <c r="CW95" i="11"/>
  <c r="CW94" i="11"/>
  <c r="CW93" i="11"/>
  <c r="CW92" i="11"/>
  <c r="CW91" i="11"/>
  <c r="CW90" i="11"/>
  <c r="CW89" i="11"/>
  <c r="CW88" i="11"/>
  <c r="CW87" i="11"/>
  <c r="CW86" i="11"/>
  <c r="CW85" i="11"/>
  <c r="CW84" i="11"/>
  <c r="CW83" i="11"/>
  <c r="CW82" i="11"/>
  <c r="CW81" i="11"/>
  <c r="CW80" i="11"/>
  <c r="CW79" i="11"/>
  <c r="CW78" i="11"/>
  <c r="CW77" i="11"/>
  <c r="CW76" i="11"/>
  <c r="CW75" i="11"/>
  <c r="CW74" i="11"/>
  <c r="CW73" i="11"/>
  <c r="CW72" i="11"/>
  <c r="CW71" i="11"/>
  <c r="CW70" i="11"/>
  <c r="CW69" i="11"/>
  <c r="CW68" i="11"/>
  <c r="CW67" i="11"/>
  <c r="CW66" i="11"/>
  <c r="CW65" i="11"/>
  <c r="CW64" i="11"/>
  <c r="CW63" i="11"/>
  <c r="CW62" i="11"/>
  <c r="CW61" i="11"/>
  <c r="CW60" i="11"/>
  <c r="CW59" i="11"/>
  <c r="CW58" i="11"/>
  <c r="CW57" i="11"/>
  <c r="CW56" i="11"/>
  <c r="CW55" i="11"/>
  <c r="CW54" i="11"/>
  <c r="CW53" i="11"/>
  <c r="CW52" i="11"/>
  <c r="CW51" i="11"/>
  <c r="CW50" i="11"/>
  <c r="CW49" i="11"/>
  <c r="CW48" i="11"/>
  <c r="CW47" i="11"/>
  <c r="CW46" i="11"/>
  <c r="CW45" i="11"/>
  <c r="CW44" i="11"/>
  <c r="CW43" i="11"/>
  <c r="CW42" i="11"/>
  <c r="CW41" i="11"/>
  <c r="CW40" i="11"/>
  <c r="CW39" i="11"/>
  <c r="CW38" i="11"/>
  <c r="CW37" i="11"/>
  <c r="CW36" i="11"/>
  <c r="CW35" i="11"/>
  <c r="CW34" i="11"/>
  <c r="CW33" i="11"/>
  <c r="CW32" i="11"/>
  <c r="CW31" i="11"/>
  <c r="CW30" i="11"/>
  <c r="CW29" i="11"/>
  <c r="CW28" i="11"/>
  <c r="CW27" i="11"/>
  <c r="CW26" i="11"/>
  <c r="CW25" i="11"/>
  <c r="CW24" i="11"/>
  <c r="CW23" i="11"/>
  <c r="CW22" i="11"/>
  <c r="CW21" i="11"/>
  <c r="CW20" i="11"/>
  <c r="CW19" i="11"/>
  <c r="CW18" i="11"/>
  <c r="CW17" i="11"/>
  <c r="CW16" i="11"/>
  <c r="CW15" i="11"/>
  <c r="CW14" i="11"/>
  <c r="CW13" i="11"/>
  <c r="CW12" i="11"/>
  <c r="CW11" i="11"/>
  <c r="CW10" i="11"/>
  <c r="CW9" i="11"/>
  <c r="CW8" i="11"/>
  <c r="CW7" i="11"/>
  <c r="CW6" i="11"/>
  <c r="CW5" i="11"/>
  <c r="CW4" i="11"/>
  <c r="CY162" i="11"/>
  <c r="CY161" i="11"/>
  <c r="CY160" i="11"/>
  <c r="CY159" i="11"/>
  <c r="CY158" i="11"/>
  <c r="CY157" i="11"/>
  <c r="CY156" i="11"/>
  <c r="CY155" i="11"/>
  <c r="CY154" i="11"/>
  <c r="CY153" i="11"/>
  <c r="CY150" i="11"/>
  <c r="CY149" i="11"/>
  <c r="CY148" i="11"/>
  <c r="CY147" i="11"/>
  <c r="CY146" i="11"/>
  <c r="CY145" i="11"/>
  <c r="CY144" i="11"/>
  <c r="CY143" i="11"/>
  <c r="CY141" i="11"/>
  <c r="CY140" i="11"/>
  <c r="CY139" i="11"/>
  <c r="CY138" i="11"/>
  <c r="CY137" i="11"/>
  <c r="CY136" i="11"/>
  <c r="CY135" i="11"/>
  <c r="CY134" i="11"/>
  <c r="CY133" i="11"/>
  <c r="CY132" i="11"/>
  <c r="CY131" i="11"/>
  <c r="CY130" i="11"/>
  <c r="CY129" i="11"/>
  <c r="CY128" i="11"/>
  <c r="CY127" i="11"/>
  <c r="CY126" i="11"/>
  <c r="CY125" i="11"/>
  <c r="CY119" i="11"/>
  <c r="CY118" i="11"/>
  <c r="CY117" i="11"/>
  <c r="CY116" i="11"/>
  <c r="CY115" i="11"/>
  <c r="CY114" i="11"/>
  <c r="CY113" i="11"/>
  <c r="CY112" i="11"/>
  <c r="CY111" i="11"/>
  <c r="CY110" i="11"/>
  <c r="CY109" i="11"/>
  <c r="CY108" i="11"/>
  <c r="CY107" i="11"/>
  <c r="CY106" i="11"/>
  <c r="CY105" i="11"/>
  <c r="CY104" i="11"/>
  <c r="CY103" i="11"/>
  <c r="CY102" i="11"/>
  <c r="CY101" i="11"/>
  <c r="CY100" i="11"/>
  <c r="CY99" i="11"/>
  <c r="CY98" i="11"/>
  <c r="CY97" i="11"/>
  <c r="CY96" i="11"/>
  <c r="CY95" i="11"/>
  <c r="CY94" i="11"/>
  <c r="CY93" i="11"/>
  <c r="CY92" i="11"/>
  <c r="CY91" i="11"/>
  <c r="CY90" i="11"/>
  <c r="CY89" i="11"/>
  <c r="CY88" i="11"/>
  <c r="CY87" i="11"/>
  <c r="CY86" i="11"/>
  <c r="CY85" i="11"/>
  <c r="CY84" i="11"/>
  <c r="CY83" i="11"/>
  <c r="CY82" i="11"/>
  <c r="CY81" i="11"/>
  <c r="CY80" i="11"/>
  <c r="CY79" i="11"/>
  <c r="CY78" i="11"/>
  <c r="CY77" i="11"/>
  <c r="CY76" i="11"/>
  <c r="CY75" i="11"/>
  <c r="CY74" i="11"/>
  <c r="CY73" i="11"/>
  <c r="CY72" i="11"/>
  <c r="CY71" i="11"/>
  <c r="CY70" i="11"/>
  <c r="CY69" i="11"/>
  <c r="CY68" i="11"/>
  <c r="CY67" i="11"/>
  <c r="CY66" i="11"/>
  <c r="CY65" i="11"/>
  <c r="CY64" i="11"/>
  <c r="CY63" i="11"/>
  <c r="CY62" i="11"/>
  <c r="CY61" i="11"/>
  <c r="CY60" i="11"/>
  <c r="CY59" i="11"/>
  <c r="CY58" i="11"/>
  <c r="CY57" i="11"/>
  <c r="CY56" i="11"/>
  <c r="CY55" i="11"/>
  <c r="CY54" i="11"/>
  <c r="CY53" i="11"/>
  <c r="CY52" i="11"/>
  <c r="CY51" i="11"/>
  <c r="CY50" i="11"/>
  <c r="CY49" i="11"/>
  <c r="CY48" i="11"/>
  <c r="CY47" i="11"/>
  <c r="CY46" i="11"/>
  <c r="CY45" i="11"/>
  <c r="CY44" i="11"/>
  <c r="CY43" i="11"/>
  <c r="CY42" i="11"/>
  <c r="CY41" i="11"/>
  <c r="CY40" i="11"/>
  <c r="CY39" i="11"/>
  <c r="CY38" i="11"/>
  <c r="CY37" i="11"/>
  <c r="CY36" i="11"/>
  <c r="CY35" i="11"/>
  <c r="CY34" i="11"/>
  <c r="CY33" i="11"/>
  <c r="CY32" i="11"/>
  <c r="CY31" i="11"/>
  <c r="CY30" i="11"/>
  <c r="CY29" i="11"/>
  <c r="CY28" i="11"/>
  <c r="CY27" i="11"/>
  <c r="CY26" i="11"/>
  <c r="CY25" i="11"/>
  <c r="CY24" i="11"/>
  <c r="CY23" i="11"/>
  <c r="CY22" i="11"/>
  <c r="CY21" i="11"/>
  <c r="CY20" i="11"/>
  <c r="CY19" i="11"/>
  <c r="CY18" i="11"/>
  <c r="CY17" i="11"/>
  <c r="CY16" i="11"/>
  <c r="CY15" i="11"/>
  <c r="CY14" i="11"/>
  <c r="CY13" i="11"/>
  <c r="CY12" i="11"/>
  <c r="CY11" i="11"/>
  <c r="CY10" i="11"/>
  <c r="CY9" i="11"/>
  <c r="CY8" i="11"/>
  <c r="CY7" i="11"/>
  <c r="CY6" i="11"/>
  <c r="CY5" i="11"/>
  <c r="CY4" i="11"/>
  <c r="DA162" i="11"/>
  <c r="DA161" i="11"/>
  <c r="DA160" i="11"/>
  <c r="DA159" i="11"/>
  <c r="DA158" i="11"/>
  <c r="DA157" i="11"/>
  <c r="DA156" i="11"/>
  <c r="DA155" i="11"/>
  <c r="DA154" i="11"/>
  <c r="DA153" i="11"/>
  <c r="DA150" i="11"/>
  <c r="DA149" i="11"/>
  <c r="DA148" i="11"/>
  <c r="DA147" i="11"/>
  <c r="DA146" i="11"/>
  <c r="DA145" i="11"/>
  <c r="DA144" i="11"/>
  <c r="DA143" i="11"/>
  <c r="DA141" i="11"/>
  <c r="DA140" i="11"/>
  <c r="DA139" i="11"/>
  <c r="DA138" i="11"/>
  <c r="DA137" i="11"/>
  <c r="DA136" i="11"/>
  <c r="DA135" i="11"/>
  <c r="DA134" i="11"/>
  <c r="DA133" i="11"/>
  <c r="DA132" i="11"/>
  <c r="DA131" i="11"/>
  <c r="DA130" i="11"/>
  <c r="DA129" i="11"/>
  <c r="DA128" i="11"/>
  <c r="DA127" i="11"/>
  <c r="DA126" i="11"/>
  <c r="DA125" i="11"/>
  <c r="DA119" i="11"/>
  <c r="DA118" i="11"/>
  <c r="DA117" i="11"/>
  <c r="DA116" i="11"/>
  <c r="DA115" i="11"/>
  <c r="DA114" i="11"/>
  <c r="DA113" i="11"/>
  <c r="DA112" i="11"/>
  <c r="DA111" i="11"/>
  <c r="DA110" i="11"/>
  <c r="DA109" i="11"/>
  <c r="DA108" i="11"/>
  <c r="DA107" i="11"/>
  <c r="DA106" i="11"/>
  <c r="DA105" i="11"/>
  <c r="DA104" i="11"/>
  <c r="DA103" i="11"/>
  <c r="DA102" i="11"/>
  <c r="DA101" i="11"/>
  <c r="DA100" i="11"/>
  <c r="DA99" i="11"/>
  <c r="DA98" i="11"/>
  <c r="DA97" i="11"/>
  <c r="DA96" i="11"/>
  <c r="DA95" i="11"/>
  <c r="DA94" i="11"/>
  <c r="DA93" i="11"/>
  <c r="DA92" i="11"/>
  <c r="DA91" i="11"/>
  <c r="DA90" i="11"/>
  <c r="DA89" i="11"/>
  <c r="DA88" i="11"/>
  <c r="DA87" i="11"/>
  <c r="DA86" i="11"/>
  <c r="DA85" i="11"/>
  <c r="DA84" i="11"/>
  <c r="DA83" i="11"/>
  <c r="DA82" i="11"/>
  <c r="DA81" i="11"/>
  <c r="DA80" i="11"/>
  <c r="DA79" i="11"/>
  <c r="DA78" i="11"/>
  <c r="DA77" i="11"/>
  <c r="DA76" i="11"/>
  <c r="DA75" i="11"/>
  <c r="DA74" i="11"/>
  <c r="DA73" i="11"/>
  <c r="DA72" i="11"/>
  <c r="DA71" i="11"/>
  <c r="DA70" i="11"/>
  <c r="DA69" i="11"/>
  <c r="DA68" i="11"/>
  <c r="DA67" i="11"/>
  <c r="DA66" i="11"/>
  <c r="DA65" i="11"/>
  <c r="DA64" i="11"/>
  <c r="DA63" i="11"/>
  <c r="DA62" i="11"/>
  <c r="DA61" i="11"/>
  <c r="DA60" i="11"/>
  <c r="DA59" i="11"/>
  <c r="DA58" i="11"/>
  <c r="DA57" i="11"/>
  <c r="DA56" i="11"/>
  <c r="DA55" i="11"/>
  <c r="DA54" i="11"/>
  <c r="DA53" i="11"/>
  <c r="DA52" i="11"/>
  <c r="DA51" i="11"/>
  <c r="DA50" i="11"/>
  <c r="DA49" i="11"/>
  <c r="DA48" i="11"/>
  <c r="DA47" i="11"/>
  <c r="DA46" i="11"/>
  <c r="DA45" i="11"/>
  <c r="DA44" i="11"/>
  <c r="DA43" i="11"/>
  <c r="DA42" i="11"/>
  <c r="DA41" i="11"/>
  <c r="DA40" i="11"/>
  <c r="DA39" i="11"/>
  <c r="DA38" i="11"/>
  <c r="DA37" i="11"/>
  <c r="DA36" i="11"/>
  <c r="DA35" i="11"/>
  <c r="DA34" i="11"/>
  <c r="DA33" i="11"/>
  <c r="DA32" i="11"/>
  <c r="DA31" i="11"/>
  <c r="DA30" i="11"/>
  <c r="DA29" i="11"/>
  <c r="DA28" i="11"/>
  <c r="DA27" i="11"/>
  <c r="DA26" i="11"/>
  <c r="DA25" i="11"/>
  <c r="DA24" i="11"/>
  <c r="DA23" i="11"/>
  <c r="DA22" i="11"/>
  <c r="DA21" i="11"/>
  <c r="DA20" i="11"/>
  <c r="DA19" i="11"/>
  <c r="DA18" i="11"/>
  <c r="DA17" i="11"/>
  <c r="DA16" i="11"/>
  <c r="DA15" i="11"/>
  <c r="DA14" i="11"/>
  <c r="DA13" i="11"/>
  <c r="DA12" i="11"/>
  <c r="DA11" i="11"/>
  <c r="DA10" i="11"/>
  <c r="DA9" i="11"/>
  <c r="DA8" i="11"/>
  <c r="DA7" i="11"/>
  <c r="DA6" i="11"/>
  <c r="DA5" i="11"/>
  <c r="DA4" i="11"/>
  <c r="DC162" i="11"/>
  <c r="DC161" i="11"/>
  <c r="DC160" i="11"/>
  <c r="DC159" i="11"/>
  <c r="DC158" i="11"/>
  <c r="DC157" i="11"/>
  <c r="DC156" i="11"/>
  <c r="DC155" i="11"/>
  <c r="DC154" i="11"/>
  <c r="DC153" i="11"/>
  <c r="DC150" i="11"/>
  <c r="DC149" i="11"/>
  <c r="DC148" i="11"/>
  <c r="DC147" i="11"/>
  <c r="DC146" i="11"/>
  <c r="DC145" i="11"/>
  <c r="DC144" i="11"/>
  <c r="DC143" i="11"/>
  <c r="DC141" i="11"/>
  <c r="DC140" i="11"/>
  <c r="DC139" i="11"/>
  <c r="DC138" i="11"/>
  <c r="DC137" i="11"/>
  <c r="DC136" i="11"/>
  <c r="DC135" i="11"/>
  <c r="DC134" i="11"/>
  <c r="DC133" i="11"/>
  <c r="DC132" i="11"/>
  <c r="DC131" i="11"/>
  <c r="DC130" i="11"/>
  <c r="DC129" i="11"/>
  <c r="DC128" i="11"/>
  <c r="DC127" i="11"/>
  <c r="DC126" i="11"/>
  <c r="DC125" i="11"/>
  <c r="DC119" i="11"/>
  <c r="DC118" i="11"/>
  <c r="DC117" i="11"/>
  <c r="DC116" i="11"/>
  <c r="DC115" i="11"/>
  <c r="DC114" i="11"/>
  <c r="DC113" i="11"/>
  <c r="DC112" i="11"/>
  <c r="DC111" i="11"/>
  <c r="DC110" i="11"/>
  <c r="DC109" i="11"/>
  <c r="DC108" i="11"/>
  <c r="DC107" i="11"/>
  <c r="DC106" i="11"/>
  <c r="DC105" i="11"/>
  <c r="DC104" i="11"/>
  <c r="DC103" i="11"/>
  <c r="DC102" i="11"/>
  <c r="DC101" i="11"/>
  <c r="DC100" i="11"/>
  <c r="DC99" i="11"/>
  <c r="DC98" i="11"/>
  <c r="DC97" i="11"/>
  <c r="DC96" i="11"/>
  <c r="DC95" i="11"/>
  <c r="DC94" i="11"/>
  <c r="DC93" i="11"/>
  <c r="DC92" i="11"/>
  <c r="DC91" i="11"/>
  <c r="DC90" i="11"/>
  <c r="DC89" i="11"/>
  <c r="DC88" i="11"/>
  <c r="DC87" i="11"/>
  <c r="DC86" i="11"/>
  <c r="DC85" i="11"/>
  <c r="DC84" i="11"/>
  <c r="DC83" i="11"/>
  <c r="DC82" i="11"/>
  <c r="DC81" i="11"/>
  <c r="DC80" i="11"/>
  <c r="DC79" i="11"/>
  <c r="DC78" i="11"/>
  <c r="DC77" i="11"/>
  <c r="DC76" i="11"/>
  <c r="DC75" i="11"/>
  <c r="DC74" i="11"/>
  <c r="DC73" i="11"/>
  <c r="DC72" i="11"/>
  <c r="DC71" i="11"/>
  <c r="DC70" i="11"/>
  <c r="DC69" i="11"/>
  <c r="DC68" i="11"/>
  <c r="DC67" i="11"/>
  <c r="DC66" i="11"/>
  <c r="DC65" i="11"/>
  <c r="DC64" i="11"/>
  <c r="DC63" i="11"/>
  <c r="DC62" i="11"/>
  <c r="DC61" i="11"/>
  <c r="DC60" i="11"/>
  <c r="DC59" i="11"/>
  <c r="DC58" i="11"/>
  <c r="DC57" i="11"/>
  <c r="DC56" i="11"/>
  <c r="DC55" i="11"/>
  <c r="DC54" i="11"/>
  <c r="DC53" i="11"/>
  <c r="DC52" i="11"/>
  <c r="DC51" i="11"/>
  <c r="DC50" i="11"/>
  <c r="DC49" i="11"/>
  <c r="DC48" i="11"/>
  <c r="DC47" i="11"/>
  <c r="DC46" i="11"/>
  <c r="DC45" i="11"/>
  <c r="DC44" i="11"/>
  <c r="DC43" i="11"/>
  <c r="DC42" i="11"/>
  <c r="DC41" i="11"/>
  <c r="DC40" i="11"/>
  <c r="DC39" i="11"/>
  <c r="DC38" i="11"/>
  <c r="DC37" i="11"/>
  <c r="DC36" i="11"/>
  <c r="DC35" i="11"/>
  <c r="DC34" i="11"/>
  <c r="DC33" i="11"/>
  <c r="DC32" i="11"/>
  <c r="DC31" i="11"/>
  <c r="DC30" i="11"/>
  <c r="DC29" i="11"/>
  <c r="DC28" i="11"/>
  <c r="DC27" i="11"/>
  <c r="DC26" i="11"/>
  <c r="DC25" i="11"/>
  <c r="DC24" i="11"/>
  <c r="DC23" i="11"/>
  <c r="DC22" i="11"/>
  <c r="DC21" i="11"/>
  <c r="DC20" i="11"/>
  <c r="DC19" i="11"/>
  <c r="DC18" i="11"/>
  <c r="DC17" i="11"/>
  <c r="DC16" i="11"/>
  <c r="DC15" i="11"/>
  <c r="DC14" i="11"/>
  <c r="DC13" i="11"/>
  <c r="DC12" i="11"/>
  <c r="DC11" i="11"/>
  <c r="DC10" i="11"/>
  <c r="DC9" i="11"/>
  <c r="DC8" i="11"/>
  <c r="DC7" i="11"/>
  <c r="DC6" i="11"/>
  <c r="DC5" i="11"/>
  <c r="DC4" i="11"/>
  <c r="DE141" i="11"/>
  <c r="DE143" i="11"/>
  <c r="DE144" i="11"/>
  <c r="DE145" i="11"/>
  <c r="DE146" i="11"/>
  <c r="DE147" i="11"/>
  <c r="DE148" i="11"/>
  <c r="DE149" i="11"/>
  <c r="DE150" i="11"/>
  <c r="DE153" i="11"/>
  <c r="DE154" i="11"/>
  <c r="DE155" i="11"/>
  <c r="DE156" i="11"/>
  <c r="DE157" i="11"/>
  <c r="DE158" i="11"/>
  <c r="DE159" i="11"/>
  <c r="DE160" i="11"/>
  <c r="DE161" i="11"/>
  <c r="DE162" i="11"/>
  <c r="DE5" i="11"/>
  <c r="DE6" i="11"/>
  <c r="DE7" i="11"/>
  <c r="DE8" i="11"/>
  <c r="DE9" i="11"/>
  <c r="DE10" i="11"/>
  <c r="DE11" i="11"/>
  <c r="DE12" i="11"/>
  <c r="DE13" i="11"/>
  <c r="DE14" i="11"/>
  <c r="DE15" i="11"/>
  <c r="DE16" i="11"/>
  <c r="DE17" i="11"/>
  <c r="DE18" i="11"/>
  <c r="DE19" i="11"/>
  <c r="DE20" i="11"/>
  <c r="DE21" i="11"/>
  <c r="DE22" i="11"/>
  <c r="DE23" i="11"/>
  <c r="DE24" i="11"/>
  <c r="DE25" i="11"/>
  <c r="DE26" i="11"/>
  <c r="DE27" i="11"/>
  <c r="DE28" i="11"/>
  <c r="DE29" i="11"/>
  <c r="DE30" i="11"/>
  <c r="DE31" i="11"/>
  <c r="DE32" i="11"/>
  <c r="DE33" i="11"/>
  <c r="DE34" i="11"/>
  <c r="DE35" i="11"/>
  <c r="DE36" i="11"/>
  <c r="DE37" i="11"/>
  <c r="DE38" i="11"/>
  <c r="DE39" i="11"/>
  <c r="DE40" i="11"/>
  <c r="DE41" i="11"/>
  <c r="DE42" i="11"/>
  <c r="DE43" i="11"/>
  <c r="DE44" i="11"/>
  <c r="DE45" i="11"/>
  <c r="DE46" i="11"/>
  <c r="DE47" i="11"/>
  <c r="DE48" i="11"/>
  <c r="DE49" i="11"/>
  <c r="DE50" i="11"/>
  <c r="DE51" i="11"/>
  <c r="DE52" i="11"/>
  <c r="DE53" i="11"/>
  <c r="DE54" i="11"/>
  <c r="DE55" i="11"/>
  <c r="DE56" i="11"/>
  <c r="DE57" i="11"/>
  <c r="DE58" i="11"/>
  <c r="DE59" i="11"/>
  <c r="DE60" i="11"/>
  <c r="DE61" i="11"/>
  <c r="DE62" i="11"/>
  <c r="DE63" i="11"/>
  <c r="DE64" i="11"/>
  <c r="DE65" i="11"/>
  <c r="DE66" i="11"/>
  <c r="DE67" i="11"/>
  <c r="DE68" i="11"/>
  <c r="DE69" i="11"/>
  <c r="DE70" i="11"/>
  <c r="DE71" i="11"/>
  <c r="DE72" i="11"/>
  <c r="DE73" i="11"/>
  <c r="DE74" i="11"/>
  <c r="DE75" i="11"/>
  <c r="DE76" i="11"/>
  <c r="DE77" i="11"/>
  <c r="DE78" i="11"/>
  <c r="DE79" i="11"/>
  <c r="DE80" i="11"/>
  <c r="DE81" i="11"/>
  <c r="DE82" i="11"/>
  <c r="DE83" i="11"/>
  <c r="DE84" i="11"/>
  <c r="DE85" i="11"/>
  <c r="DE86" i="11"/>
  <c r="DE87" i="11"/>
  <c r="DE88" i="11"/>
  <c r="DE89" i="11"/>
  <c r="DE90" i="11"/>
  <c r="DE91" i="11"/>
  <c r="DE92" i="11"/>
  <c r="DE93" i="11"/>
  <c r="DE94" i="11"/>
  <c r="DE95" i="11"/>
  <c r="DE96" i="11"/>
  <c r="DE97" i="11"/>
  <c r="DE98" i="11"/>
  <c r="DE99" i="11"/>
  <c r="DE100" i="11"/>
  <c r="DE101" i="11"/>
  <c r="DE102" i="11"/>
  <c r="DE103" i="11"/>
  <c r="DE104" i="11"/>
  <c r="DE105" i="11"/>
  <c r="DE106" i="11"/>
  <c r="DE107" i="11"/>
  <c r="DE108" i="11"/>
  <c r="DE109" i="11"/>
  <c r="DE110" i="11"/>
  <c r="DE111" i="11"/>
  <c r="DE112" i="11"/>
  <c r="DE113" i="11"/>
  <c r="DE114" i="11"/>
  <c r="DE115" i="11"/>
  <c r="DE116" i="11"/>
  <c r="DE117" i="11"/>
  <c r="DE118" i="11"/>
  <c r="DE119" i="11"/>
  <c r="DE125" i="11"/>
  <c r="DE126" i="11"/>
  <c r="DE127" i="11"/>
  <c r="DE128" i="11"/>
  <c r="DE129" i="11"/>
  <c r="DE130" i="11"/>
  <c r="DE131" i="11"/>
  <c r="DE132" i="11"/>
  <c r="DE133" i="11"/>
  <c r="DE134" i="11"/>
  <c r="DE135" i="11"/>
  <c r="DE136" i="11"/>
  <c r="DE137" i="11"/>
  <c r="DE138" i="11"/>
  <c r="DE139" i="11"/>
  <c r="DE140" i="11"/>
  <c r="CF145" i="11"/>
  <c r="CG145" i="11" s="1"/>
  <c r="CF146" i="11"/>
  <c r="CG146" i="11" s="1"/>
  <c r="CF147" i="11"/>
  <c r="CG147" i="11" s="1"/>
  <c r="CF148" i="11"/>
  <c r="CG148" i="11" s="1"/>
  <c r="CF149" i="11"/>
  <c r="CG149" i="11" s="1"/>
  <c r="CF150" i="11"/>
  <c r="CG150" i="11" s="1"/>
  <c r="CF153" i="11"/>
  <c r="CG153" i="11" s="1"/>
  <c r="CF154" i="11"/>
  <c r="CG154" i="11" s="1"/>
  <c r="CF155" i="11"/>
  <c r="CG155" i="11" s="1"/>
  <c r="CF156" i="11"/>
  <c r="CG156" i="11" s="1"/>
  <c r="CF157" i="11"/>
  <c r="CG157" i="11" s="1"/>
  <c r="CF158" i="11"/>
  <c r="CG158" i="11" s="1"/>
  <c r="CF159" i="11"/>
  <c r="CG159" i="11" s="1"/>
  <c r="CF160" i="11"/>
  <c r="CG160" i="11" s="1"/>
  <c r="CF161" i="11"/>
  <c r="CG161" i="11" s="1"/>
  <c r="CF144" i="11"/>
  <c r="CG144" i="11" s="1"/>
  <c r="CF5" i="11"/>
  <c r="CG5" i="11" s="1"/>
  <c r="CF6" i="11"/>
  <c r="CG6" i="11" s="1"/>
  <c r="CF7" i="11"/>
  <c r="CG7" i="11" s="1"/>
  <c r="CF8" i="11"/>
  <c r="CG8" i="11" s="1"/>
  <c r="CF9" i="11"/>
  <c r="CG9" i="11" s="1"/>
  <c r="CF10" i="11"/>
  <c r="CG10" i="11" s="1"/>
  <c r="CF11" i="11"/>
  <c r="CG11" i="11" s="1"/>
  <c r="CF13" i="11"/>
  <c r="CG13" i="11" s="1"/>
  <c r="CF14" i="11"/>
  <c r="CG14" i="11" s="1"/>
  <c r="CF15" i="11"/>
  <c r="CG15" i="11" s="1"/>
  <c r="CF16" i="11"/>
  <c r="CG16" i="11" s="1"/>
  <c r="H24" i="4" s="1"/>
  <c r="CF17" i="11"/>
  <c r="CG17" i="11" s="1"/>
  <c r="H25" i="4" s="1"/>
  <c r="CF18" i="11"/>
  <c r="CG18" i="11" s="1"/>
  <c r="H26" i="4" s="1"/>
  <c r="CF19" i="11"/>
  <c r="CG19" i="11" s="1"/>
  <c r="H27" i="4" s="1"/>
  <c r="CF20" i="11"/>
  <c r="G28" i="4" s="1"/>
  <c r="CF21" i="11"/>
  <c r="G29" i="4" s="1"/>
  <c r="CF22" i="11"/>
  <c r="G30" i="4" s="1"/>
  <c r="CF23" i="11"/>
  <c r="G31" i="4" s="1"/>
  <c r="CF24" i="11"/>
  <c r="G32" i="4" s="1"/>
  <c r="CF25" i="11"/>
  <c r="CG25" i="11" s="1"/>
  <c r="CF26" i="11"/>
  <c r="CG26" i="11" s="1"/>
  <c r="CF27" i="11"/>
  <c r="CG27" i="11" s="1"/>
  <c r="CF28" i="11"/>
  <c r="CG28" i="11" s="1"/>
  <c r="CF29" i="11"/>
  <c r="CG29" i="11" s="1"/>
  <c r="CF30" i="11"/>
  <c r="CG30" i="11" s="1"/>
  <c r="CF31" i="11"/>
  <c r="CG31" i="11" s="1"/>
  <c r="CF32" i="11"/>
  <c r="CG32" i="11" s="1"/>
  <c r="CF33" i="11"/>
  <c r="CG33" i="11" s="1"/>
  <c r="CF34" i="11"/>
  <c r="CG34" i="11" s="1"/>
  <c r="CF35" i="11"/>
  <c r="CG35" i="11" s="1"/>
  <c r="CF36" i="11"/>
  <c r="CG36" i="11" s="1"/>
  <c r="CF37" i="11"/>
  <c r="CG37" i="11" s="1"/>
  <c r="CF38" i="11"/>
  <c r="CG38" i="11" s="1"/>
  <c r="CF39" i="11"/>
  <c r="CG39" i="11" s="1"/>
  <c r="CF40" i="11"/>
  <c r="CG40" i="11" s="1"/>
  <c r="CF41" i="11"/>
  <c r="CG41" i="11" s="1"/>
  <c r="CF42" i="11"/>
  <c r="CG42" i="11" s="1"/>
  <c r="CF43" i="11"/>
  <c r="CG43" i="11" s="1"/>
  <c r="CF44" i="11"/>
  <c r="CG44" i="11" s="1"/>
  <c r="CF45" i="11"/>
  <c r="CG45" i="11" s="1"/>
  <c r="CF46" i="11"/>
  <c r="CG46" i="11" s="1"/>
  <c r="CF47" i="11"/>
  <c r="CG47" i="11" s="1"/>
  <c r="CF48" i="11"/>
  <c r="CG48" i="11" s="1"/>
  <c r="CF49" i="11"/>
  <c r="CG49" i="11" s="1"/>
  <c r="CF50" i="11"/>
  <c r="CG50" i="11" s="1"/>
  <c r="CF51" i="11"/>
  <c r="CG51" i="11" s="1"/>
  <c r="CF52" i="11"/>
  <c r="CG52" i="11" s="1"/>
  <c r="CF53" i="11"/>
  <c r="CG53" i="11" s="1"/>
  <c r="CF54" i="11"/>
  <c r="CG54" i="11" s="1"/>
  <c r="CF55" i="11"/>
  <c r="CG55" i="11" s="1"/>
  <c r="CF56" i="11"/>
  <c r="CG56" i="11" s="1"/>
  <c r="CF57" i="11"/>
  <c r="CG57" i="11" s="1"/>
  <c r="CF58" i="11"/>
  <c r="CG58" i="11" s="1"/>
  <c r="CF59" i="11"/>
  <c r="CG59" i="11" s="1"/>
  <c r="CF60" i="11"/>
  <c r="CG60" i="11" s="1"/>
  <c r="CF61" i="11"/>
  <c r="CG61" i="11" s="1"/>
  <c r="CF62" i="11"/>
  <c r="CG62" i="11" s="1"/>
  <c r="CF63" i="11"/>
  <c r="CG63" i="11" s="1"/>
  <c r="CF64" i="11"/>
  <c r="CG64" i="11" s="1"/>
  <c r="CF65" i="11"/>
  <c r="CG65" i="11" s="1"/>
  <c r="CF66" i="11"/>
  <c r="CG66" i="11" s="1"/>
  <c r="CF67" i="11"/>
  <c r="CG67" i="11" s="1"/>
  <c r="CF68" i="11"/>
  <c r="CG68" i="11" s="1"/>
  <c r="CF69" i="11"/>
  <c r="CG69" i="11" s="1"/>
  <c r="CF70" i="11"/>
  <c r="CG70" i="11" s="1"/>
  <c r="CF71" i="11"/>
  <c r="CG71" i="11" s="1"/>
  <c r="CF72" i="11"/>
  <c r="CG72" i="11" s="1"/>
  <c r="CF73" i="11"/>
  <c r="CG73" i="11" s="1"/>
  <c r="CF74" i="11"/>
  <c r="CG74" i="11" s="1"/>
  <c r="CF75" i="11"/>
  <c r="CG75" i="11" s="1"/>
  <c r="CF76" i="11"/>
  <c r="CG76" i="11" s="1"/>
  <c r="CF77" i="11"/>
  <c r="CG77" i="11" s="1"/>
  <c r="CF78" i="11"/>
  <c r="CG78" i="11" s="1"/>
  <c r="CF79" i="11"/>
  <c r="CG79" i="11" s="1"/>
  <c r="CF80" i="11"/>
  <c r="CG80" i="11" s="1"/>
  <c r="CF81" i="11"/>
  <c r="CG81" i="11" s="1"/>
  <c r="CF82" i="11"/>
  <c r="CG82" i="11" s="1"/>
  <c r="CF83" i="11"/>
  <c r="CG83" i="11" s="1"/>
  <c r="CF84" i="11"/>
  <c r="CG84" i="11" s="1"/>
  <c r="CF85" i="11"/>
  <c r="CG85" i="11" s="1"/>
  <c r="CF86" i="11"/>
  <c r="CG86" i="11" s="1"/>
  <c r="CF87" i="11"/>
  <c r="CG87" i="11" s="1"/>
  <c r="CF88" i="11"/>
  <c r="CG88" i="11" s="1"/>
  <c r="CF89" i="11"/>
  <c r="CG89" i="11" s="1"/>
  <c r="CF90" i="11"/>
  <c r="CG90" i="11" s="1"/>
  <c r="CF91" i="11"/>
  <c r="CG91" i="11" s="1"/>
  <c r="CF92" i="11"/>
  <c r="CG92" i="11" s="1"/>
  <c r="CF93" i="11"/>
  <c r="CG93" i="11" s="1"/>
  <c r="CF94" i="11"/>
  <c r="CG94" i="11" s="1"/>
  <c r="CF95" i="11"/>
  <c r="CG95" i="11" s="1"/>
  <c r="CF96" i="11"/>
  <c r="CG96" i="11" s="1"/>
  <c r="CF97" i="11"/>
  <c r="CG97" i="11" s="1"/>
  <c r="CF98" i="11"/>
  <c r="CG98" i="11" s="1"/>
  <c r="CF99" i="11"/>
  <c r="CG99" i="11" s="1"/>
  <c r="CF100" i="11"/>
  <c r="CG100" i="11" s="1"/>
  <c r="CF101" i="11"/>
  <c r="CG101" i="11" s="1"/>
  <c r="CF102" i="11"/>
  <c r="CG102" i="11" s="1"/>
  <c r="CF103" i="11"/>
  <c r="CG103" i="11" s="1"/>
  <c r="CF104" i="11"/>
  <c r="CG104" i="11" s="1"/>
  <c r="CF105" i="11"/>
  <c r="CG105" i="11" s="1"/>
  <c r="CF106" i="11"/>
  <c r="CG106" i="11" s="1"/>
  <c r="CF107" i="11"/>
  <c r="CG107" i="11" s="1"/>
  <c r="CF108" i="11"/>
  <c r="CG108" i="11" s="1"/>
  <c r="CF109" i="11"/>
  <c r="CG109" i="11" s="1"/>
  <c r="CF110" i="11"/>
  <c r="CG110" i="11" s="1"/>
  <c r="CF111" i="11"/>
  <c r="CG111" i="11" s="1"/>
  <c r="CF112" i="11"/>
  <c r="CG112" i="11" s="1"/>
  <c r="CF113" i="11"/>
  <c r="CG113" i="11" s="1"/>
  <c r="CF114" i="11"/>
  <c r="CG114" i="11" s="1"/>
  <c r="CF115" i="11"/>
  <c r="CG115" i="11" s="1"/>
  <c r="CF116" i="11"/>
  <c r="CG116" i="11" s="1"/>
  <c r="CF117" i="11"/>
  <c r="CG117" i="11" s="1"/>
  <c r="CF118" i="11"/>
  <c r="CG118" i="11" s="1"/>
  <c r="CF119" i="11"/>
  <c r="CG119" i="11" s="1"/>
  <c r="CF125" i="11"/>
  <c r="CG125" i="11" s="1"/>
  <c r="CF126" i="11"/>
  <c r="CG126" i="11" s="1"/>
  <c r="CF127" i="11"/>
  <c r="CG127" i="11" s="1"/>
  <c r="CF128" i="11"/>
  <c r="CG128" i="11" s="1"/>
  <c r="CF129" i="11"/>
  <c r="CG129" i="11" s="1"/>
  <c r="CF130" i="11"/>
  <c r="CG130" i="11" s="1"/>
  <c r="CF131" i="11"/>
  <c r="CG131" i="11" s="1"/>
  <c r="CF132" i="11"/>
  <c r="CG132" i="11" s="1"/>
  <c r="CF133" i="11"/>
  <c r="CG133" i="11" s="1"/>
  <c r="CF134" i="11"/>
  <c r="CG134" i="11" s="1"/>
  <c r="CF135" i="11"/>
  <c r="CG135" i="11" s="1"/>
  <c r="CF136" i="11"/>
  <c r="CG136" i="11" s="1"/>
  <c r="CF137" i="11"/>
  <c r="CG137" i="11" s="1"/>
  <c r="CF138" i="11"/>
  <c r="CG138" i="11" s="1"/>
  <c r="CF139" i="11"/>
  <c r="CG139" i="11" s="1"/>
  <c r="CF140" i="11"/>
  <c r="CG140" i="11" s="1"/>
  <c r="BF162" i="11"/>
  <c r="BG162" i="11" s="1"/>
  <c r="BF161" i="11"/>
  <c r="BG161" i="11" s="1"/>
  <c r="BF160" i="11"/>
  <c r="BG160" i="11" s="1"/>
  <c r="BF159" i="11"/>
  <c r="BG159" i="11" s="1"/>
  <c r="BF158" i="11"/>
  <c r="BG158" i="11" s="1"/>
  <c r="BF157" i="11"/>
  <c r="BG157" i="11" s="1"/>
  <c r="BF156" i="11"/>
  <c r="BG156" i="11" s="1"/>
  <c r="BF155" i="11"/>
  <c r="BG155" i="11" s="1"/>
  <c r="BF154" i="11"/>
  <c r="BG154" i="11" s="1"/>
  <c r="BF153" i="11"/>
  <c r="BG153" i="11" s="1"/>
  <c r="BF150" i="11"/>
  <c r="BG150" i="11" s="1"/>
  <c r="BF149" i="11"/>
  <c r="BG149" i="11" s="1"/>
  <c r="BF148" i="11"/>
  <c r="BG148" i="11" s="1"/>
  <c r="BF147" i="11"/>
  <c r="BG147" i="11" s="1"/>
  <c r="BF146" i="11"/>
  <c r="BG146" i="11" s="1"/>
  <c r="BF145" i="11"/>
  <c r="BG145" i="11" s="1"/>
  <c r="BF144" i="11"/>
  <c r="BG144" i="11" s="1"/>
  <c r="BF5" i="11"/>
  <c r="BG5" i="11" s="1"/>
  <c r="BF6" i="11"/>
  <c r="BG6" i="11" s="1"/>
  <c r="BF7" i="11"/>
  <c r="BG7" i="11" s="1"/>
  <c r="BF8" i="11"/>
  <c r="BG8" i="11" s="1"/>
  <c r="BF9" i="11"/>
  <c r="BG9" i="11" s="1"/>
  <c r="BF10" i="11"/>
  <c r="BG10" i="11" s="1"/>
  <c r="BF11" i="11"/>
  <c r="BG11" i="11" s="1"/>
  <c r="BF12" i="11"/>
  <c r="BG12" i="11" s="1"/>
  <c r="BF13" i="11"/>
  <c r="BG13" i="11" s="1"/>
  <c r="BF14" i="11"/>
  <c r="BG14" i="11" s="1"/>
  <c r="BF15" i="11"/>
  <c r="BG15" i="11" s="1"/>
  <c r="BF16" i="11"/>
  <c r="BG16" i="11" s="1"/>
  <c r="F24" i="4" s="1"/>
  <c r="BF17" i="11"/>
  <c r="BG17" i="11" s="1"/>
  <c r="F25" i="4" s="1"/>
  <c r="BF18" i="11"/>
  <c r="E26" i="4" s="1"/>
  <c r="BF19" i="11"/>
  <c r="BG19" i="11" s="1"/>
  <c r="F27" i="4" s="1"/>
  <c r="BF20" i="11"/>
  <c r="BG20" i="11" s="1"/>
  <c r="F28" i="4" s="1"/>
  <c r="BF21" i="11"/>
  <c r="E29" i="4" s="1"/>
  <c r="BF22" i="11"/>
  <c r="BG22" i="11" s="1"/>
  <c r="F30" i="4" s="1"/>
  <c r="BF23" i="11"/>
  <c r="E31" i="4" s="1"/>
  <c r="BF24" i="11"/>
  <c r="E32" i="4" s="1"/>
  <c r="BF25" i="11"/>
  <c r="BG25" i="11" s="1"/>
  <c r="BF26" i="11"/>
  <c r="BG26" i="11" s="1"/>
  <c r="BF27" i="11"/>
  <c r="BG27" i="11" s="1"/>
  <c r="BF28" i="11"/>
  <c r="BG28" i="11" s="1"/>
  <c r="BF29" i="11"/>
  <c r="BG29" i="11" s="1"/>
  <c r="BF30" i="11"/>
  <c r="BG30" i="11" s="1"/>
  <c r="BF31" i="11"/>
  <c r="BG31" i="11" s="1"/>
  <c r="BF32" i="11"/>
  <c r="BG32" i="11" s="1"/>
  <c r="BF33" i="11"/>
  <c r="BG33" i="11" s="1"/>
  <c r="BF34" i="11"/>
  <c r="BG34" i="11" s="1"/>
  <c r="BF35" i="11"/>
  <c r="BG35" i="11" s="1"/>
  <c r="BF36" i="11"/>
  <c r="BG36" i="11" s="1"/>
  <c r="BF37" i="11"/>
  <c r="BG37" i="11" s="1"/>
  <c r="BF38" i="11"/>
  <c r="BG38" i="11" s="1"/>
  <c r="BF39" i="11"/>
  <c r="BG39" i="11" s="1"/>
  <c r="BF40" i="11"/>
  <c r="BG40" i="11" s="1"/>
  <c r="BF41" i="11"/>
  <c r="BG41" i="11" s="1"/>
  <c r="BF42" i="11"/>
  <c r="BG42" i="11" s="1"/>
  <c r="BF43" i="11"/>
  <c r="BG43" i="11" s="1"/>
  <c r="BF44" i="11"/>
  <c r="BG44" i="11" s="1"/>
  <c r="BF45" i="11"/>
  <c r="BG45" i="11" s="1"/>
  <c r="BF46" i="11"/>
  <c r="BG46" i="11" s="1"/>
  <c r="BF47" i="11"/>
  <c r="BG47" i="11" s="1"/>
  <c r="BF48" i="11"/>
  <c r="BG48" i="11" s="1"/>
  <c r="BF49" i="11"/>
  <c r="BG49" i="11" s="1"/>
  <c r="BF50" i="11"/>
  <c r="BG50" i="11" s="1"/>
  <c r="BF51" i="11"/>
  <c r="BG51" i="11" s="1"/>
  <c r="BF52" i="11"/>
  <c r="BG52" i="11" s="1"/>
  <c r="BF53" i="11"/>
  <c r="BG53" i="11" s="1"/>
  <c r="BF54" i="11"/>
  <c r="BG54" i="11" s="1"/>
  <c r="BF55" i="11"/>
  <c r="BG55" i="11" s="1"/>
  <c r="BF56" i="11"/>
  <c r="BG56" i="11" s="1"/>
  <c r="BF57" i="11"/>
  <c r="BG57" i="11" s="1"/>
  <c r="BF58" i="11"/>
  <c r="BG58" i="11" s="1"/>
  <c r="BF59" i="11"/>
  <c r="BG59" i="11" s="1"/>
  <c r="BF60" i="11"/>
  <c r="BG60" i="11" s="1"/>
  <c r="BF61" i="11"/>
  <c r="BG61" i="11" s="1"/>
  <c r="BF62" i="11"/>
  <c r="BG62" i="11" s="1"/>
  <c r="BF63" i="11"/>
  <c r="BG63" i="11" s="1"/>
  <c r="BF64" i="11"/>
  <c r="BG64" i="11" s="1"/>
  <c r="BF65" i="11"/>
  <c r="BG65" i="11" s="1"/>
  <c r="BF66" i="11"/>
  <c r="BG66" i="11" s="1"/>
  <c r="BF67" i="11"/>
  <c r="BG67" i="11" s="1"/>
  <c r="BF68" i="11"/>
  <c r="BG68" i="11" s="1"/>
  <c r="BF69" i="11"/>
  <c r="BG69" i="11" s="1"/>
  <c r="BF70" i="11"/>
  <c r="BG70" i="11" s="1"/>
  <c r="BF71" i="11"/>
  <c r="BG71" i="11" s="1"/>
  <c r="BF72" i="11"/>
  <c r="BG72" i="11" s="1"/>
  <c r="BF73" i="11"/>
  <c r="BG73" i="11" s="1"/>
  <c r="BF74" i="11"/>
  <c r="BG74" i="11" s="1"/>
  <c r="BF75" i="11"/>
  <c r="BG75" i="11" s="1"/>
  <c r="BF76" i="11"/>
  <c r="BG76" i="11" s="1"/>
  <c r="BF77" i="11"/>
  <c r="BG77" i="11" s="1"/>
  <c r="BF78" i="11"/>
  <c r="BG78" i="11" s="1"/>
  <c r="BF79" i="11"/>
  <c r="BG79" i="11" s="1"/>
  <c r="BF80" i="11"/>
  <c r="BG80" i="11" s="1"/>
  <c r="BF81" i="11"/>
  <c r="BG81" i="11" s="1"/>
  <c r="BF82" i="11"/>
  <c r="BG82" i="11" s="1"/>
  <c r="BF83" i="11"/>
  <c r="BG83" i="11" s="1"/>
  <c r="BF84" i="11"/>
  <c r="BG84" i="11" s="1"/>
  <c r="BF85" i="11"/>
  <c r="BG85" i="11" s="1"/>
  <c r="BF86" i="11"/>
  <c r="BG86" i="11" s="1"/>
  <c r="BF87" i="11"/>
  <c r="BG87" i="11" s="1"/>
  <c r="BF88" i="11"/>
  <c r="BG88" i="11" s="1"/>
  <c r="BF89" i="11"/>
  <c r="BG89" i="11" s="1"/>
  <c r="BF90" i="11"/>
  <c r="BG90" i="11" s="1"/>
  <c r="BF91" i="11"/>
  <c r="BG91" i="11" s="1"/>
  <c r="BF92" i="11"/>
  <c r="BG92" i="11" s="1"/>
  <c r="BF93" i="11"/>
  <c r="BG93" i="11" s="1"/>
  <c r="BF94" i="11"/>
  <c r="BG94" i="11" s="1"/>
  <c r="BF95" i="11"/>
  <c r="BG95" i="11" s="1"/>
  <c r="BF96" i="11"/>
  <c r="BG96" i="11" s="1"/>
  <c r="BF97" i="11"/>
  <c r="BG97" i="11" s="1"/>
  <c r="BF98" i="11"/>
  <c r="BG98" i="11" s="1"/>
  <c r="BF99" i="11"/>
  <c r="BG99" i="11" s="1"/>
  <c r="BF100" i="11"/>
  <c r="BG100" i="11" s="1"/>
  <c r="BF101" i="11"/>
  <c r="BG101" i="11" s="1"/>
  <c r="BF102" i="11"/>
  <c r="BG102" i="11" s="1"/>
  <c r="BF103" i="11"/>
  <c r="BG103" i="11" s="1"/>
  <c r="BF104" i="11"/>
  <c r="BG104" i="11" s="1"/>
  <c r="BF105" i="11"/>
  <c r="BG105" i="11" s="1"/>
  <c r="BF106" i="11"/>
  <c r="BG106" i="11" s="1"/>
  <c r="BF107" i="11"/>
  <c r="BG107" i="11" s="1"/>
  <c r="BF108" i="11"/>
  <c r="BG108" i="11" s="1"/>
  <c r="BF109" i="11"/>
  <c r="BG109" i="11" s="1"/>
  <c r="BF110" i="11"/>
  <c r="BG110" i="11" s="1"/>
  <c r="BF111" i="11"/>
  <c r="BG111" i="11" s="1"/>
  <c r="BF112" i="11"/>
  <c r="BG112" i="11" s="1"/>
  <c r="BF113" i="11"/>
  <c r="BG113" i="11" s="1"/>
  <c r="BF114" i="11"/>
  <c r="BG114" i="11" s="1"/>
  <c r="BF115" i="11"/>
  <c r="BG115" i="11" s="1"/>
  <c r="BF116" i="11"/>
  <c r="BG116" i="11" s="1"/>
  <c r="BF117" i="11"/>
  <c r="BG117" i="11" s="1"/>
  <c r="BF118" i="11"/>
  <c r="BG118" i="11" s="1"/>
  <c r="BF119" i="11"/>
  <c r="BG119" i="11" s="1"/>
  <c r="BF125" i="11"/>
  <c r="BG125" i="11" s="1"/>
  <c r="BF126" i="11"/>
  <c r="BG126" i="11" s="1"/>
  <c r="BF127" i="11"/>
  <c r="BG127" i="11" s="1"/>
  <c r="BF128" i="11"/>
  <c r="BG128" i="11" s="1"/>
  <c r="BF129" i="11"/>
  <c r="BG129" i="11" s="1"/>
  <c r="BF130" i="11"/>
  <c r="BG130" i="11" s="1"/>
  <c r="BF131" i="11"/>
  <c r="BG131" i="11" s="1"/>
  <c r="BF132" i="11"/>
  <c r="BG132" i="11" s="1"/>
  <c r="BF133" i="11"/>
  <c r="BG133" i="11" s="1"/>
  <c r="BF134" i="11"/>
  <c r="BG134" i="11" s="1"/>
  <c r="BF135" i="11"/>
  <c r="BG135" i="11" s="1"/>
  <c r="BF136" i="11"/>
  <c r="BG136" i="11" s="1"/>
  <c r="BF137" i="11"/>
  <c r="BG137" i="11" s="1"/>
  <c r="BF138" i="11"/>
  <c r="BG138" i="11" s="1"/>
  <c r="BF139" i="11"/>
  <c r="BG139" i="11" s="1"/>
  <c r="BF140" i="11"/>
  <c r="BG140" i="11" s="1"/>
  <c r="BF4" i="11"/>
  <c r="BG4" i="11" s="1"/>
  <c r="AF162" i="11"/>
  <c r="AG162" i="11" s="1"/>
  <c r="AF161" i="11"/>
  <c r="AG161" i="11" s="1"/>
  <c r="AF160" i="11"/>
  <c r="AG160" i="11" s="1"/>
  <c r="AF159" i="11"/>
  <c r="AG159" i="11" s="1"/>
  <c r="AF158" i="11"/>
  <c r="AG158" i="11" s="1"/>
  <c r="AF157" i="11"/>
  <c r="AG157" i="11" s="1"/>
  <c r="AF156" i="11"/>
  <c r="AG156" i="11" s="1"/>
  <c r="AF155" i="11"/>
  <c r="AG155" i="11" s="1"/>
  <c r="AF154" i="11"/>
  <c r="AG154" i="11" s="1"/>
  <c r="AF153" i="11"/>
  <c r="AG153" i="11" s="1"/>
  <c r="AF150" i="11"/>
  <c r="AG150" i="11" s="1"/>
  <c r="AF149" i="11"/>
  <c r="AG149" i="11" s="1"/>
  <c r="AF148" i="11"/>
  <c r="AG148" i="11" s="1"/>
  <c r="AF147" i="11"/>
  <c r="AG147" i="11" s="1"/>
  <c r="AF146" i="11"/>
  <c r="AG146" i="11" s="1"/>
  <c r="AF145" i="11"/>
  <c r="AG145" i="11" s="1"/>
  <c r="AF144" i="11"/>
  <c r="AG144" i="11" s="1"/>
  <c r="AF5" i="11"/>
  <c r="AG5" i="11" s="1"/>
  <c r="AF6" i="11"/>
  <c r="AG6" i="11" s="1"/>
  <c r="AF7" i="11"/>
  <c r="AG7" i="11" s="1"/>
  <c r="AF8" i="11"/>
  <c r="AG8" i="11" s="1"/>
  <c r="AF9" i="11"/>
  <c r="AG9" i="11" s="1"/>
  <c r="AF10" i="11"/>
  <c r="AG10" i="11" s="1"/>
  <c r="AF11" i="11"/>
  <c r="AG11" i="11" s="1"/>
  <c r="AF12" i="11"/>
  <c r="AG12" i="11" s="1"/>
  <c r="AF13" i="11"/>
  <c r="AG13" i="11" s="1"/>
  <c r="AF14" i="11"/>
  <c r="AG14" i="11" s="1"/>
  <c r="AF15" i="11"/>
  <c r="AG15" i="11" s="1"/>
  <c r="AF16" i="11"/>
  <c r="C24" i="4" s="1"/>
  <c r="AF17" i="11"/>
  <c r="C25" i="4" s="1"/>
  <c r="AF18" i="11"/>
  <c r="AG18" i="11" s="1"/>
  <c r="D26" i="4" s="1"/>
  <c r="AF19" i="11"/>
  <c r="AG19" i="11" s="1"/>
  <c r="D27" i="4" s="1"/>
  <c r="AF20" i="11"/>
  <c r="AG20" i="11" s="1"/>
  <c r="D28" i="4" s="1"/>
  <c r="AF21" i="11"/>
  <c r="C29" i="4" s="1"/>
  <c r="AF22" i="11"/>
  <c r="AG22" i="11" s="1"/>
  <c r="D30" i="4" s="1"/>
  <c r="AF23" i="11"/>
  <c r="C31" i="4" s="1"/>
  <c r="AF24" i="11"/>
  <c r="C32" i="4" s="1"/>
  <c r="AF25" i="11"/>
  <c r="AG25" i="11" s="1"/>
  <c r="AF26" i="11"/>
  <c r="AG26" i="11" s="1"/>
  <c r="AF27" i="11"/>
  <c r="AG27" i="11" s="1"/>
  <c r="AF28" i="11"/>
  <c r="AG28" i="11" s="1"/>
  <c r="AF29" i="11"/>
  <c r="AG29" i="11" s="1"/>
  <c r="AF30" i="11"/>
  <c r="AG30" i="11" s="1"/>
  <c r="AF31" i="11"/>
  <c r="AG31" i="11" s="1"/>
  <c r="AF32" i="11"/>
  <c r="AG32" i="11" s="1"/>
  <c r="AF33" i="11"/>
  <c r="AG33" i="11" s="1"/>
  <c r="AF34" i="11"/>
  <c r="AG34" i="11" s="1"/>
  <c r="AF35" i="11"/>
  <c r="AG35" i="11" s="1"/>
  <c r="AF36" i="11"/>
  <c r="AG36" i="11" s="1"/>
  <c r="AF37" i="11"/>
  <c r="AG37" i="11" s="1"/>
  <c r="AF38" i="11"/>
  <c r="AG38" i="11" s="1"/>
  <c r="AF39" i="11"/>
  <c r="AG39" i="11" s="1"/>
  <c r="AF40" i="11"/>
  <c r="AG40" i="11" s="1"/>
  <c r="AF41" i="11"/>
  <c r="AG41" i="11" s="1"/>
  <c r="AF42" i="11"/>
  <c r="AG42" i="11" s="1"/>
  <c r="AF43" i="11"/>
  <c r="AG43" i="11" s="1"/>
  <c r="AF44" i="11"/>
  <c r="AG44" i="11" s="1"/>
  <c r="AF45" i="11"/>
  <c r="AG45" i="11" s="1"/>
  <c r="AF46" i="11"/>
  <c r="AG46" i="11" s="1"/>
  <c r="AF47" i="11"/>
  <c r="AG47" i="11" s="1"/>
  <c r="AF48" i="11"/>
  <c r="AG48" i="11" s="1"/>
  <c r="AF49" i="11"/>
  <c r="AG49" i="11" s="1"/>
  <c r="AF50" i="11"/>
  <c r="AG50" i="11" s="1"/>
  <c r="AF51" i="11"/>
  <c r="AG51" i="11" s="1"/>
  <c r="AF52" i="11"/>
  <c r="AG52" i="11" s="1"/>
  <c r="AF53" i="11"/>
  <c r="AG53" i="11" s="1"/>
  <c r="AF54" i="11"/>
  <c r="AG54" i="11" s="1"/>
  <c r="AF55" i="11"/>
  <c r="AG55" i="11" s="1"/>
  <c r="AF56" i="11"/>
  <c r="AG56" i="11" s="1"/>
  <c r="AF57" i="11"/>
  <c r="AG57" i="11" s="1"/>
  <c r="AF58" i="11"/>
  <c r="AG58" i="11" s="1"/>
  <c r="AF59" i="11"/>
  <c r="AG59" i="11" s="1"/>
  <c r="AF60" i="11"/>
  <c r="AG60" i="11" s="1"/>
  <c r="AF61" i="11"/>
  <c r="AG61" i="11" s="1"/>
  <c r="AF62" i="11"/>
  <c r="AG62" i="11" s="1"/>
  <c r="AF63" i="11"/>
  <c r="AG63" i="11" s="1"/>
  <c r="AF64" i="11"/>
  <c r="AG64" i="11" s="1"/>
  <c r="AF65" i="11"/>
  <c r="AG65" i="11" s="1"/>
  <c r="AF66" i="11"/>
  <c r="AG66" i="11" s="1"/>
  <c r="AF67" i="11"/>
  <c r="AG67" i="11" s="1"/>
  <c r="AF68" i="11"/>
  <c r="AG68" i="11" s="1"/>
  <c r="AF69" i="11"/>
  <c r="AG69" i="11" s="1"/>
  <c r="AF70" i="11"/>
  <c r="AG70" i="11" s="1"/>
  <c r="AF71" i="11"/>
  <c r="AG71" i="11" s="1"/>
  <c r="AF72" i="11"/>
  <c r="AG72" i="11" s="1"/>
  <c r="AF73" i="11"/>
  <c r="AG73" i="11" s="1"/>
  <c r="AF74" i="11"/>
  <c r="AG74" i="11" s="1"/>
  <c r="AF75" i="11"/>
  <c r="AG75" i="11" s="1"/>
  <c r="AF76" i="11"/>
  <c r="AG76" i="11" s="1"/>
  <c r="AF77" i="11"/>
  <c r="AG77" i="11" s="1"/>
  <c r="AF78" i="11"/>
  <c r="AG78" i="11" s="1"/>
  <c r="AF79" i="11"/>
  <c r="AG79" i="11" s="1"/>
  <c r="AF80" i="11"/>
  <c r="AG80" i="11" s="1"/>
  <c r="AF81" i="11"/>
  <c r="AG81" i="11" s="1"/>
  <c r="AF82" i="11"/>
  <c r="AG82" i="11" s="1"/>
  <c r="AF83" i="11"/>
  <c r="AG83" i="11" s="1"/>
  <c r="AF84" i="11"/>
  <c r="AG84" i="11" s="1"/>
  <c r="AF85" i="11"/>
  <c r="AG85" i="11" s="1"/>
  <c r="AF86" i="11"/>
  <c r="AG86" i="11" s="1"/>
  <c r="AF87" i="11"/>
  <c r="AG87" i="11" s="1"/>
  <c r="AF88" i="11"/>
  <c r="AG88" i="11" s="1"/>
  <c r="AF89" i="11"/>
  <c r="AG89" i="11" s="1"/>
  <c r="AF90" i="11"/>
  <c r="AG90" i="11" s="1"/>
  <c r="AF91" i="11"/>
  <c r="AG91" i="11" s="1"/>
  <c r="AF92" i="11"/>
  <c r="AG92" i="11" s="1"/>
  <c r="AF93" i="11"/>
  <c r="AG93" i="11" s="1"/>
  <c r="AF94" i="11"/>
  <c r="AG94" i="11" s="1"/>
  <c r="AF95" i="11"/>
  <c r="AG95" i="11" s="1"/>
  <c r="AF96" i="11"/>
  <c r="AG96" i="11" s="1"/>
  <c r="AF97" i="11"/>
  <c r="AG97" i="11" s="1"/>
  <c r="AF98" i="11"/>
  <c r="AG98" i="11" s="1"/>
  <c r="AF99" i="11"/>
  <c r="AG99" i="11" s="1"/>
  <c r="AF100" i="11"/>
  <c r="AG100" i="11" s="1"/>
  <c r="AF101" i="11"/>
  <c r="AG101" i="11" s="1"/>
  <c r="AF102" i="11"/>
  <c r="AG102" i="11" s="1"/>
  <c r="AF103" i="11"/>
  <c r="AG103" i="11" s="1"/>
  <c r="AF104" i="11"/>
  <c r="AG104" i="11" s="1"/>
  <c r="AF105" i="11"/>
  <c r="AG105" i="11" s="1"/>
  <c r="AF106" i="11"/>
  <c r="AG106" i="11" s="1"/>
  <c r="AF107" i="11"/>
  <c r="AG107" i="11" s="1"/>
  <c r="AF108" i="11"/>
  <c r="AG108" i="11" s="1"/>
  <c r="AF109" i="11"/>
  <c r="AG109" i="11" s="1"/>
  <c r="AF110" i="11"/>
  <c r="AG110" i="11" s="1"/>
  <c r="AF111" i="11"/>
  <c r="AG111" i="11" s="1"/>
  <c r="AF112" i="11"/>
  <c r="AG112" i="11" s="1"/>
  <c r="AF113" i="11"/>
  <c r="AG113" i="11" s="1"/>
  <c r="AF114" i="11"/>
  <c r="AG114" i="11" s="1"/>
  <c r="AF115" i="11"/>
  <c r="AG115" i="11" s="1"/>
  <c r="AF116" i="11"/>
  <c r="AG116" i="11" s="1"/>
  <c r="AF117" i="11"/>
  <c r="AG117" i="11" s="1"/>
  <c r="AF118" i="11"/>
  <c r="AG118" i="11" s="1"/>
  <c r="AF119" i="11"/>
  <c r="AG119" i="11" s="1"/>
  <c r="AF125" i="11"/>
  <c r="AG125" i="11" s="1"/>
  <c r="AF126" i="11"/>
  <c r="AG126" i="11" s="1"/>
  <c r="AF127" i="11"/>
  <c r="AG127" i="11" s="1"/>
  <c r="AF128" i="11"/>
  <c r="AG128" i="11" s="1"/>
  <c r="AF129" i="11"/>
  <c r="AG129" i="11" s="1"/>
  <c r="AF130" i="11"/>
  <c r="AG130" i="11" s="1"/>
  <c r="AF131" i="11"/>
  <c r="AG131" i="11" s="1"/>
  <c r="AF132" i="11"/>
  <c r="AG132" i="11" s="1"/>
  <c r="AF133" i="11"/>
  <c r="AG133" i="11" s="1"/>
  <c r="AF134" i="11"/>
  <c r="AG134" i="11" s="1"/>
  <c r="AF135" i="11"/>
  <c r="AG135" i="11" s="1"/>
  <c r="AF136" i="11"/>
  <c r="AG136" i="11" s="1"/>
  <c r="AF137" i="11"/>
  <c r="AG137" i="11" s="1"/>
  <c r="AF138" i="11"/>
  <c r="AG138" i="11" s="1"/>
  <c r="AF139" i="11"/>
  <c r="AG139" i="11" s="1"/>
  <c r="AF140" i="11"/>
  <c r="AG140" i="11" s="1"/>
  <c r="DD163" i="11"/>
  <c r="DB163" i="11"/>
  <c r="CZ163" i="11"/>
  <c r="CX163" i="11"/>
  <c r="CV163" i="11"/>
  <c r="CT163" i="11"/>
  <c r="CR163" i="11"/>
  <c r="CP163" i="11"/>
  <c r="CN163" i="11"/>
  <c r="CL163" i="11"/>
  <c r="CJ163" i="11"/>
  <c r="CH163" i="11"/>
  <c r="CD163" i="11"/>
  <c r="CB163" i="11"/>
  <c r="BZ163" i="11"/>
  <c r="BX163" i="11"/>
  <c r="BV163" i="11"/>
  <c r="BT163" i="11"/>
  <c r="BR163" i="11"/>
  <c r="BP163" i="11"/>
  <c r="BN163" i="11"/>
  <c r="BL163" i="11"/>
  <c r="BJ163" i="11"/>
  <c r="BH163" i="11"/>
  <c r="BD163" i="11"/>
  <c r="BB163" i="11"/>
  <c r="AZ163" i="11"/>
  <c r="AX163" i="11"/>
  <c r="AV163" i="11"/>
  <c r="AT163" i="11"/>
  <c r="AR163" i="11"/>
  <c r="AP163" i="11"/>
  <c r="AN163" i="11"/>
  <c r="AL163" i="11"/>
  <c r="AJ163" i="11"/>
  <c r="AH163" i="11"/>
  <c r="AD163" i="11"/>
  <c r="AB163" i="11"/>
  <c r="Z163" i="11"/>
  <c r="X163" i="11"/>
  <c r="V163" i="11"/>
  <c r="T163" i="11"/>
  <c r="R163" i="11"/>
  <c r="P163" i="11"/>
  <c r="N163" i="11"/>
  <c r="L163" i="11"/>
  <c r="J163" i="11"/>
  <c r="H163" i="11"/>
  <c r="DF162" i="11"/>
  <c r="DG162" i="11" s="1"/>
  <c r="DF161" i="11"/>
  <c r="DG161" i="11" s="1"/>
  <c r="DF160" i="11"/>
  <c r="DG160" i="11" s="1"/>
  <c r="DF159" i="11"/>
  <c r="DG159" i="11" s="1"/>
  <c r="DF158" i="11"/>
  <c r="DG158" i="11" s="1"/>
  <c r="DF157" i="11"/>
  <c r="DG157" i="11" s="1"/>
  <c r="DF156" i="11"/>
  <c r="DG156" i="11" s="1"/>
  <c r="DF155" i="11"/>
  <c r="DG155" i="11" s="1"/>
  <c r="DF154" i="11"/>
  <c r="DG154" i="11" s="1"/>
  <c r="DF153" i="11"/>
  <c r="DF150" i="11"/>
  <c r="DG150" i="11" s="1"/>
  <c r="DF149" i="11"/>
  <c r="DG149" i="11" s="1"/>
  <c r="DF148" i="11"/>
  <c r="DG148" i="11" s="1"/>
  <c r="DF147" i="11"/>
  <c r="DG147" i="11" s="1"/>
  <c r="DF146" i="11"/>
  <c r="DG146" i="11" s="1"/>
  <c r="DF145" i="11"/>
  <c r="DF144" i="11"/>
  <c r="DG144" i="11" s="1"/>
  <c r="DD142" i="11"/>
  <c r="DB142" i="11"/>
  <c r="CZ142" i="11"/>
  <c r="CX142" i="11"/>
  <c r="I12" i="4" s="1"/>
  <c r="CV142" i="11"/>
  <c r="I11" i="4" s="1"/>
  <c r="CT142" i="11"/>
  <c r="I10" i="4" s="1"/>
  <c r="CR142" i="11"/>
  <c r="I9" i="4" s="1"/>
  <c r="CP142" i="11"/>
  <c r="I8" i="4" s="1"/>
  <c r="CN142" i="11"/>
  <c r="CL142" i="11"/>
  <c r="CJ142" i="11"/>
  <c r="CJ164" i="11" s="1"/>
  <c r="CH142" i="11"/>
  <c r="CD142" i="11"/>
  <c r="CB142" i="11"/>
  <c r="BZ142" i="11"/>
  <c r="BX142" i="11"/>
  <c r="BV142" i="11"/>
  <c r="BT142" i="11"/>
  <c r="BR142" i="11"/>
  <c r="BP142" i="11"/>
  <c r="BN142" i="11"/>
  <c r="BJ142" i="11"/>
  <c r="BH142" i="11"/>
  <c r="BD142" i="11"/>
  <c r="BB142" i="11"/>
  <c r="AZ142" i="11"/>
  <c r="E13" i="4" s="1"/>
  <c r="AX142" i="11"/>
  <c r="E12" i="4" s="1"/>
  <c r="AV142" i="11"/>
  <c r="E11" i="4" s="1"/>
  <c r="AT142" i="11"/>
  <c r="E10" i="4" s="1"/>
  <c r="AR142" i="11"/>
  <c r="E9" i="4" s="1"/>
  <c r="AP142" i="11"/>
  <c r="AN142" i="11"/>
  <c r="E7" i="4" s="1"/>
  <c r="AL142" i="11"/>
  <c r="AJ142" i="11"/>
  <c r="AH142" i="11"/>
  <c r="AD142" i="11"/>
  <c r="AB142" i="11"/>
  <c r="Z142" i="11"/>
  <c r="C13" i="4" s="1"/>
  <c r="X142" i="11"/>
  <c r="C12" i="4" s="1"/>
  <c r="V142" i="11"/>
  <c r="T142" i="11"/>
  <c r="R142" i="11"/>
  <c r="P142" i="11"/>
  <c r="L142" i="11"/>
  <c r="J142" i="11"/>
  <c r="J164" i="11" s="1"/>
  <c r="H142" i="11"/>
  <c r="DF141" i="11"/>
  <c r="DG141" i="11" s="1"/>
  <c r="DF140" i="11"/>
  <c r="DG140" i="11" s="1"/>
  <c r="DF139" i="11"/>
  <c r="DG139" i="11" s="1"/>
  <c r="DF138" i="11"/>
  <c r="DG138" i="11" s="1"/>
  <c r="DF137" i="11"/>
  <c r="DG137" i="11" s="1"/>
  <c r="DF136" i="11"/>
  <c r="DG136" i="11" s="1"/>
  <c r="DF135" i="11"/>
  <c r="DF134" i="11"/>
  <c r="DG134" i="11" s="1"/>
  <c r="DF133" i="11"/>
  <c r="DG133" i="11" s="1"/>
  <c r="DF132" i="11"/>
  <c r="DG132" i="11" s="1"/>
  <c r="DF131" i="11"/>
  <c r="DG131" i="11" s="1"/>
  <c r="DF130" i="11"/>
  <c r="DF129" i="11"/>
  <c r="DG129" i="11" s="1"/>
  <c r="DF128" i="11"/>
  <c r="DG128" i="11" s="1"/>
  <c r="DF127" i="11"/>
  <c r="DG127" i="11" s="1"/>
  <c r="DF126" i="11"/>
  <c r="DF125" i="11"/>
  <c r="DG125" i="11" s="1"/>
  <c r="DF119" i="11"/>
  <c r="DG119" i="11" s="1"/>
  <c r="DF118" i="11"/>
  <c r="DG118" i="11" s="1"/>
  <c r="DF117" i="11"/>
  <c r="DG117" i="11" s="1"/>
  <c r="DF116" i="11"/>
  <c r="DG116" i="11" s="1"/>
  <c r="DF115" i="11"/>
  <c r="DG115" i="11" s="1"/>
  <c r="DF114" i="11"/>
  <c r="DG114" i="11" s="1"/>
  <c r="DF113" i="11"/>
  <c r="DG113" i="11" s="1"/>
  <c r="DF112" i="11"/>
  <c r="DG112" i="11" s="1"/>
  <c r="DF111" i="11"/>
  <c r="DG111" i="11" s="1"/>
  <c r="DF110" i="11"/>
  <c r="DG110" i="11" s="1"/>
  <c r="DF109" i="11"/>
  <c r="DG109" i="11" s="1"/>
  <c r="DF108" i="11"/>
  <c r="DG108" i="11" s="1"/>
  <c r="DF107" i="11"/>
  <c r="DG107" i="11" s="1"/>
  <c r="DF106" i="11"/>
  <c r="DG106" i="11" s="1"/>
  <c r="DF105" i="11"/>
  <c r="DG105" i="11" s="1"/>
  <c r="DF104" i="11"/>
  <c r="DG104" i="11" s="1"/>
  <c r="DF103" i="11"/>
  <c r="DG103" i="11" s="1"/>
  <c r="DF102" i="11"/>
  <c r="DG102" i="11" s="1"/>
  <c r="DF101" i="11"/>
  <c r="DG101" i="11" s="1"/>
  <c r="DF100" i="11"/>
  <c r="DG100" i="11" s="1"/>
  <c r="DF99" i="11"/>
  <c r="DG99" i="11" s="1"/>
  <c r="DF98" i="11"/>
  <c r="DG98" i="11" s="1"/>
  <c r="DF97" i="11"/>
  <c r="DG97" i="11" s="1"/>
  <c r="DF96" i="11"/>
  <c r="DG96" i="11" s="1"/>
  <c r="DF95" i="11"/>
  <c r="DG95" i="11" s="1"/>
  <c r="DF94" i="11"/>
  <c r="DG94" i="11" s="1"/>
  <c r="DF93" i="11"/>
  <c r="DG93" i="11" s="1"/>
  <c r="DF92" i="11"/>
  <c r="DG92" i="11" s="1"/>
  <c r="DF91" i="11"/>
  <c r="DG91" i="11" s="1"/>
  <c r="DF90" i="11"/>
  <c r="DG90" i="11" s="1"/>
  <c r="DF89" i="11"/>
  <c r="DG89" i="11" s="1"/>
  <c r="DF88" i="11"/>
  <c r="DG88" i="11" s="1"/>
  <c r="DF87" i="11"/>
  <c r="DG87" i="11" s="1"/>
  <c r="DF86" i="11"/>
  <c r="DG86" i="11" s="1"/>
  <c r="DF85" i="11"/>
  <c r="DG85" i="11" s="1"/>
  <c r="DF84" i="11"/>
  <c r="DG84" i="11" s="1"/>
  <c r="DF83" i="11"/>
  <c r="DG83" i="11" s="1"/>
  <c r="DF82" i="11"/>
  <c r="DG82" i="11" s="1"/>
  <c r="DF81" i="11"/>
  <c r="DG81" i="11" s="1"/>
  <c r="DF80" i="11"/>
  <c r="DG80" i="11" s="1"/>
  <c r="DF79" i="11"/>
  <c r="DG79" i="11" s="1"/>
  <c r="DF78" i="11"/>
  <c r="DF77" i="11"/>
  <c r="DG77" i="11" s="1"/>
  <c r="DF76" i="11"/>
  <c r="DG76" i="11" s="1"/>
  <c r="DF75" i="11"/>
  <c r="DG75" i="11" s="1"/>
  <c r="DF74" i="11"/>
  <c r="DG74" i="11" s="1"/>
  <c r="DF73" i="11"/>
  <c r="DG73" i="11" s="1"/>
  <c r="DF72" i="11"/>
  <c r="DG72" i="11" s="1"/>
  <c r="DF71" i="11"/>
  <c r="DG71" i="11" s="1"/>
  <c r="DF70" i="11"/>
  <c r="DG70" i="11" s="1"/>
  <c r="DF69" i="11"/>
  <c r="DG69" i="11" s="1"/>
  <c r="DF68" i="11"/>
  <c r="DG68" i="11" s="1"/>
  <c r="DF67" i="11"/>
  <c r="DF66" i="11"/>
  <c r="DG66" i="11" s="1"/>
  <c r="DF65" i="11"/>
  <c r="DG65" i="11" s="1"/>
  <c r="DF64" i="11"/>
  <c r="DG64" i="11" s="1"/>
  <c r="DF63" i="11"/>
  <c r="DG63" i="11" s="1"/>
  <c r="DF62" i="11"/>
  <c r="DG62" i="11" s="1"/>
  <c r="DF61" i="11"/>
  <c r="DG61" i="11" s="1"/>
  <c r="DF60" i="11"/>
  <c r="DG60" i="11" s="1"/>
  <c r="DF59" i="11"/>
  <c r="DG59" i="11" s="1"/>
  <c r="DF58" i="11"/>
  <c r="DF57" i="11"/>
  <c r="DG57" i="11" s="1"/>
  <c r="DF56" i="11"/>
  <c r="DF55" i="11"/>
  <c r="DG55" i="11" s="1"/>
  <c r="DF54" i="11"/>
  <c r="DG54" i="11" s="1"/>
  <c r="DF53" i="11"/>
  <c r="DG53" i="11" s="1"/>
  <c r="DF52" i="11"/>
  <c r="DG52" i="11" s="1"/>
  <c r="DF51" i="11"/>
  <c r="DG51" i="11" s="1"/>
  <c r="DF50" i="11"/>
  <c r="DG50" i="11" s="1"/>
  <c r="DF49" i="11"/>
  <c r="DG49" i="11" s="1"/>
  <c r="DF48" i="11"/>
  <c r="DG48" i="11" s="1"/>
  <c r="DF47" i="11"/>
  <c r="DF46" i="11"/>
  <c r="DG46" i="11" s="1"/>
  <c r="DF45" i="11"/>
  <c r="DF44" i="11"/>
  <c r="DG44" i="11" s="1"/>
  <c r="DF43" i="11"/>
  <c r="DF42" i="11"/>
  <c r="DG42" i="11" s="1"/>
  <c r="DF41" i="11"/>
  <c r="DF40" i="11"/>
  <c r="DG40" i="11" s="1"/>
  <c r="DF39" i="11"/>
  <c r="DF38" i="11"/>
  <c r="DG38" i="11" s="1"/>
  <c r="DF37" i="11"/>
  <c r="DG37" i="11" s="1"/>
  <c r="DF36" i="11"/>
  <c r="DG36" i="11" s="1"/>
  <c r="DF35" i="11"/>
  <c r="DF34" i="11"/>
  <c r="DG34" i="11" s="1"/>
  <c r="DF33" i="11"/>
  <c r="DF32" i="11"/>
  <c r="DG32" i="11" s="1"/>
  <c r="DF31" i="11"/>
  <c r="DF30" i="11"/>
  <c r="DG30" i="11" s="1"/>
  <c r="DF29" i="11"/>
  <c r="DG29" i="11" s="1"/>
  <c r="DF28" i="11"/>
  <c r="DG28" i="11" s="1"/>
  <c r="DF27" i="11"/>
  <c r="DG27" i="11" s="1"/>
  <c r="DF26" i="11"/>
  <c r="DG26" i="11" s="1"/>
  <c r="DF25" i="11"/>
  <c r="DG25" i="11" s="1"/>
  <c r="DF24" i="11"/>
  <c r="DG24" i="11" s="1"/>
  <c r="J32" i="4" s="1"/>
  <c r="DF23" i="11"/>
  <c r="I31" i="4" s="1"/>
  <c r="DF22" i="11"/>
  <c r="I30" i="4" s="1"/>
  <c r="DF21" i="11"/>
  <c r="DG21" i="11" s="1"/>
  <c r="J29" i="4" s="1"/>
  <c r="DF20" i="11"/>
  <c r="I28" i="4" s="1"/>
  <c r="DF19" i="11"/>
  <c r="DG19" i="11" s="1"/>
  <c r="J27" i="4" s="1"/>
  <c r="DF18" i="11"/>
  <c r="DG18" i="11" s="1"/>
  <c r="J26" i="4" s="1"/>
  <c r="DF17" i="11"/>
  <c r="DG17" i="11" s="1"/>
  <c r="J25" i="4" s="1"/>
  <c r="DF16" i="11"/>
  <c r="I24" i="4" s="1"/>
  <c r="DF15" i="11"/>
  <c r="DG15" i="11" s="1"/>
  <c r="DF14" i="11"/>
  <c r="DF13" i="11"/>
  <c r="DG13" i="11" s="1"/>
  <c r="DF12" i="11"/>
  <c r="DG12" i="11" s="1"/>
  <c r="BL142" i="11"/>
  <c r="DF11" i="11"/>
  <c r="DG11" i="11" s="1"/>
  <c r="DF10" i="11"/>
  <c r="DG10" i="11" s="1"/>
  <c r="DF9" i="11"/>
  <c r="DG9" i="11" s="1"/>
  <c r="DF8" i="11"/>
  <c r="DG8" i="11" s="1"/>
  <c r="DF7" i="11"/>
  <c r="DG7" i="11" s="1"/>
  <c r="DF6" i="11"/>
  <c r="DG6" i="11" s="1"/>
  <c r="DF5" i="11"/>
  <c r="DG5" i="11" s="1"/>
  <c r="DF4" i="11"/>
  <c r="DE4" i="11"/>
  <c r="N4" i="11"/>
  <c r="N142" i="11" s="1"/>
  <c r="H18" i="4"/>
  <c r="G18" i="4"/>
  <c r="Y41" i="5"/>
  <c r="Y57" i="5" s="1"/>
  <c r="Y40" i="5"/>
  <c r="Y39" i="5"/>
  <c r="Y38" i="5"/>
  <c r="Y37" i="5"/>
  <c r="Y36" i="5"/>
  <c r="Y35" i="5"/>
  <c r="Y34" i="5"/>
  <c r="Y33" i="5"/>
  <c r="Y32" i="5"/>
  <c r="AA41" i="5"/>
  <c r="AA40" i="5"/>
  <c r="AA39" i="5"/>
  <c r="AA38" i="5"/>
  <c r="AA37" i="5"/>
  <c r="AA36" i="5"/>
  <c r="AA35" i="5"/>
  <c r="AA34" i="5"/>
  <c r="AA33" i="5"/>
  <c r="AA32" i="5"/>
  <c r="U57" i="7"/>
  <c r="U37" i="7"/>
  <c r="U36" i="7"/>
  <c r="U35" i="7"/>
  <c r="U34" i="7"/>
  <c r="U33" i="7"/>
  <c r="U32" i="7"/>
  <c r="S40" i="7"/>
  <c r="S39" i="7"/>
  <c r="S38" i="7"/>
  <c r="S37" i="7"/>
  <c r="S36" i="7"/>
  <c r="S35" i="7"/>
  <c r="S34" i="7"/>
  <c r="S33" i="7"/>
  <c r="S32" i="7"/>
  <c r="S57" i="7" s="1"/>
  <c r="Q40" i="7"/>
  <c r="Q39" i="7"/>
  <c r="Q38" i="7"/>
  <c r="Q37" i="7"/>
  <c r="Q36" i="7"/>
  <c r="Q35" i="7"/>
  <c r="Q34" i="7"/>
  <c r="Q33" i="7"/>
  <c r="Q32" i="7"/>
  <c r="Q57" i="7" s="1"/>
  <c r="O40" i="7"/>
  <c r="O39" i="7"/>
  <c r="O38" i="7"/>
  <c r="O37" i="7"/>
  <c r="O36" i="7"/>
  <c r="O57" i="7" s="1"/>
  <c r="O35" i="7"/>
  <c r="O34" i="7"/>
  <c r="O33" i="7"/>
  <c r="O32" i="7"/>
  <c r="M40" i="7"/>
  <c r="M39" i="7"/>
  <c r="M38" i="7"/>
  <c r="M37" i="7"/>
  <c r="M36" i="7"/>
  <c r="M57" i="7" s="1"/>
  <c r="M35" i="7"/>
  <c r="M34" i="7"/>
  <c r="M33" i="7"/>
  <c r="M32" i="7"/>
  <c r="K40" i="7"/>
  <c r="K39" i="7"/>
  <c r="K38" i="7"/>
  <c r="K37" i="7"/>
  <c r="K36" i="7"/>
  <c r="K35" i="7"/>
  <c r="K34" i="7"/>
  <c r="K57" i="7" s="1"/>
  <c r="K33" i="7"/>
  <c r="K32" i="7"/>
  <c r="I37" i="7"/>
  <c r="I36" i="7"/>
  <c r="I35" i="7"/>
  <c r="I34" i="7"/>
  <c r="I33" i="7"/>
  <c r="I32" i="7"/>
  <c r="I57" i="7" s="1"/>
  <c r="G57" i="7"/>
  <c r="G37" i="7"/>
  <c r="G36" i="7"/>
  <c r="G35" i="7"/>
  <c r="G34" i="7"/>
  <c r="G33" i="7"/>
  <c r="G32" i="7"/>
  <c r="E40" i="7"/>
  <c r="E39" i="7"/>
  <c r="E38" i="7"/>
  <c r="E37" i="7"/>
  <c r="E36" i="7"/>
  <c r="E35" i="7"/>
  <c r="E34" i="7"/>
  <c r="E33" i="7"/>
  <c r="E32" i="7"/>
  <c r="G16" i="7"/>
  <c r="G17" i="7"/>
  <c r="G18" i="7"/>
  <c r="G20" i="7"/>
  <c r="G21" i="7"/>
  <c r="G15" i="7"/>
  <c r="G13" i="7"/>
  <c r="I43" i="1"/>
  <c r="G43" i="1"/>
  <c r="AC37" i="1"/>
  <c r="AA31" i="1"/>
  <c r="AA32" i="1"/>
  <c r="AA33" i="1"/>
  <c r="AA34" i="1"/>
  <c r="AA35" i="1"/>
  <c r="AA36" i="1"/>
  <c r="AA37" i="1"/>
  <c r="AA38" i="1"/>
  <c r="AA30" i="1"/>
  <c r="AA55" i="1" s="1"/>
  <c r="Y31" i="1"/>
  <c r="Y32" i="1"/>
  <c r="Y33" i="1"/>
  <c r="Y34" i="1"/>
  <c r="Y35" i="1"/>
  <c r="Y36" i="1"/>
  <c r="Y37" i="1"/>
  <c r="Y38" i="1"/>
  <c r="Y30" i="1"/>
  <c r="Y55" i="1" s="1"/>
  <c r="W31" i="1"/>
  <c r="W32" i="1"/>
  <c r="W33" i="1"/>
  <c r="W34" i="1"/>
  <c r="W35" i="1"/>
  <c r="W36" i="1"/>
  <c r="W37" i="1"/>
  <c r="W38" i="1"/>
  <c r="W30" i="1"/>
  <c r="U31" i="1"/>
  <c r="U32" i="1"/>
  <c r="U33" i="1"/>
  <c r="U34" i="1"/>
  <c r="U35" i="1"/>
  <c r="U36" i="1"/>
  <c r="U37" i="1"/>
  <c r="U38" i="1"/>
  <c r="U30" i="1"/>
  <c r="S31" i="1"/>
  <c r="S32" i="1"/>
  <c r="S33" i="1"/>
  <c r="S34" i="1"/>
  <c r="S35" i="1"/>
  <c r="S36" i="1"/>
  <c r="S37" i="1"/>
  <c r="S38" i="1"/>
  <c r="S30" i="1"/>
  <c r="Q31" i="1"/>
  <c r="Q32" i="1"/>
  <c r="Q33" i="1"/>
  <c r="Q34" i="1"/>
  <c r="Q35" i="1"/>
  <c r="Q36" i="1"/>
  <c r="Q37" i="1"/>
  <c r="Q38" i="1"/>
  <c r="Q30" i="1"/>
  <c r="O31" i="1"/>
  <c r="O32" i="1"/>
  <c r="O33" i="1"/>
  <c r="O34" i="1"/>
  <c r="O35" i="1"/>
  <c r="O36" i="1"/>
  <c r="O37" i="1"/>
  <c r="O38" i="1"/>
  <c r="O30" i="1"/>
  <c r="M31" i="1"/>
  <c r="M32" i="1"/>
  <c r="M33" i="1"/>
  <c r="M34" i="1"/>
  <c r="M35" i="1"/>
  <c r="M36" i="1"/>
  <c r="M37" i="1"/>
  <c r="M38" i="1"/>
  <c r="M30" i="1"/>
  <c r="K31" i="1"/>
  <c r="K32" i="1"/>
  <c r="K33" i="1"/>
  <c r="K34" i="1"/>
  <c r="K35" i="1"/>
  <c r="K36" i="1"/>
  <c r="K37" i="1"/>
  <c r="K38" i="1"/>
  <c r="K30" i="1"/>
  <c r="I31" i="1"/>
  <c r="I32" i="1"/>
  <c r="I33" i="1"/>
  <c r="I34" i="1"/>
  <c r="I35" i="1"/>
  <c r="I36" i="1"/>
  <c r="I37" i="1"/>
  <c r="I38" i="1"/>
  <c r="I30" i="1"/>
  <c r="G37" i="1"/>
  <c r="G38" i="1"/>
  <c r="G31" i="1"/>
  <c r="G32" i="1"/>
  <c r="G33" i="1"/>
  <c r="G34" i="1"/>
  <c r="G35" i="1"/>
  <c r="G36" i="1"/>
  <c r="G30" i="1"/>
  <c r="E31" i="1"/>
  <c r="E32" i="1"/>
  <c r="E33" i="1"/>
  <c r="E34" i="1"/>
  <c r="E35" i="1"/>
  <c r="E36" i="1"/>
  <c r="E37" i="1"/>
  <c r="E38" i="1"/>
  <c r="E30" i="1"/>
  <c r="CB164" i="11" l="1"/>
  <c r="N164" i="11"/>
  <c r="AL164" i="11"/>
  <c r="CN164" i="11"/>
  <c r="L164" i="11"/>
  <c r="CU142" i="11"/>
  <c r="J10" i="4" s="1"/>
  <c r="BN164" i="11"/>
  <c r="BJ164" i="11"/>
  <c r="AB164" i="11"/>
  <c r="BB164" i="11"/>
  <c r="DD164" i="11"/>
  <c r="AH164" i="11"/>
  <c r="BH164" i="11"/>
  <c r="CR164" i="11"/>
  <c r="BP164" i="11"/>
  <c r="BR164" i="11"/>
  <c r="R164" i="11"/>
  <c r="C6" i="4"/>
  <c r="AG23" i="11"/>
  <c r="D31" i="4" s="1"/>
  <c r="AG24" i="11"/>
  <c r="D32" i="4" s="1"/>
  <c r="M142" i="11"/>
  <c r="D6" i="4" s="1"/>
  <c r="E25" i="4"/>
  <c r="Z164" i="11"/>
  <c r="AP164" i="11"/>
  <c r="E24" i="4"/>
  <c r="AY163" i="11"/>
  <c r="O163" i="11"/>
  <c r="BT164" i="11"/>
  <c r="CT164" i="11"/>
  <c r="BU142" i="11"/>
  <c r="I142" i="11"/>
  <c r="G24" i="4"/>
  <c r="C28" i="4"/>
  <c r="T164" i="11"/>
  <c r="CG20" i="11"/>
  <c r="H28" i="4" s="1"/>
  <c r="K142" i="11"/>
  <c r="D5" i="4" s="1"/>
  <c r="G27" i="4"/>
  <c r="AT164" i="11"/>
  <c r="DB164" i="11"/>
  <c r="CG21" i="11"/>
  <c r="H29" i="4" s="1"/>
  <c r="BG21" i="11"/>
  <c r="F29" i="4" s="1"/>
  <c r="I7" i="4"/>
  <c r="H164" i="11"/>
  <c r="DE142" i="11"/>
  <c r="DA142" i="11"/>
  <c r="CG22" i="11"/>
  <c r="H30" i="4" s="1"/>
  <c r="AA142" i="11"/>
  <c r="D13" i="4" s="1"/>
  <c r="AD164" i="11"/>
  <c r="BD164" i="11"/>
  <c r="CH164" i="11"/>
  <c r="CG24" i="11"/>
  <c r="H32" i="4" s="1"/>
  <c r="CO142" i="11"/>
  <c r="J7" i="4" s="1"/>
  <c r="DG16" i="11"/>
  <c r="J24" i="4" s="1"/>
  <c r="DG22" i="11"/>
  <c r="J30" i="4" s="1"/>
  <c r="CP164" i="11"/>
  <c r="D27" i="11"/>
  <c r="C15" i="4"/>
  <c r="CY142" i="11"/>
  <c r="J12" i="4" s="1"/>
  <c r="BM163" i="11"/>
  <c r="BG23" i="11"/>
  <c r="F31" i="4" s="1"/>
  <c r="BA142" i="11"/>
  <c r="BA163" i="11"/>
  <c r="AO142" i="11"/>
  <c r="AO163" i="11"/>
  <c r="AC142" i="11"/>
  <c r="Q142" i="11"/>
  <c r="E30" i="4"/>
  <c r="I29" i="4"/>
  <c r="AM142" i="11"/>
  <c r="CY163" i="11"/>
  <c r="E55" i="1"/>
  <c r="DG20" i="11"/>
  <c r="J28" i="4" s="1"/>
  <c r="AJ164" i="11"/>
  <c r="CL164" i="11"/>
  <c r="C5" i="4"/>
  <c r="CM142" i="11"/>
  <c r="J6" i="4" s="1"/>
  <c r="CG23" i="11"/>
  <c r="H31" i="4" s="1"/>
  <c r="CA142" i="11"/>
  <c r="CA163" i="11"/>
  <c r="BG24" i="11"/>
  <c r="F32" i="4" s="1"/>
  <c r="AC163" i="11"/>
  <c r="C27" i="4"/>
  <c r="G26" i="4"/>
  <c r="CW163" i="11"/>
  <c r="BK142" i="11"/>
  <c r="AY142" i="11"/>
  <c r="CK163" i="11"/>
  <c r="BK163" i="11"/>
  <c r="AM163" i="11"/>
  <c r="E14" i="4"/>
  <c r="BO142" i="11"/>
  <c r="BC142" i="11"/>
  <c r="AQ142" i="11"/>
  <c r="AE142" i="11"/>
  <c r="D15" i="4" s="1"/>
  <c r="S142" i="11"/>
  <c r="S163" i="11"/>
  <c r="Q163" i="11"/>
  <c r="CO163" i="11"/>
  <c r="CM163" i="11"/>
  <c r="CC142" i="11"/>
  <c r="BE142" i="11"/>
  <c r="BC163" i="11"/>
  <c r="AQ163" i="11"/>
  <c r="AG16" i="11"/>
  <c r="D24" i="4" s="1"/>
  <c r="AE163" i="11"/>
  <c r="C26" i="4"/>
  <c r="G25" i="4"/>
  <c r="BY163" i="11"/>
  <c r="E57" i="7"/>
  <c r="CF12" i="11"/>
  <c r="CG12" i="11" s="1"/>
  <c r="E4" i="4"/>
  <c r="DC163" i="11"/>
  <c r="CQ142" i="11"/>
  <c r="J8" i="4" s="1"/>
  <c r="CQ163" i="11"/>
  <c r="CC163" i="11"/>
  <c r="BQ142" i="11"/>
  <c r="BO163" i="11"/>
  <c r="BE163" i="11"/>
  <c r="AS142" i="11"/>
  <c r="AG17" i="11"/>
  <c r="D25" i="4" s="1"/>
  <c r="AG163" i="11"/>
  <c r="U142" i="11"/>
  <c r="U163" i="11"/>
  <c r="E28" i="4"/>
  <c r="I27" i="4"/>
  <c r="E15" i="4"/>
  <c r="AR164" i="11"/>
  <c r="E5" i="4"/>
  <c r="CE142" i="11"/>
  <c r="CE163" i="11"/>
  <c r="BQ163" i="11"/>
  <c r="AS163" i="11"/>
  <c r="AA163" i="11"/>
  <c r="W55" i="1"/>
  <c r="D17" i="11"/>
  <c r="BV164" i="11"/>
  <c r="E6" i="4"/>
  <c r="CS142" i="11"/>
  <c r="J9" i="4" s="1"/>
  <c r="CS163" i="11"/>
  <c r="BS142" i="11"/>
  <c r="BS163" i="11"/>
  <c r="BG163" i="11"/>
  <c r="AU142" i="11"/>
  <c r="AI142" i="11"/>
  <c r="W142" i="11"/>
  <c r="E27" i="4"/>
  <c r="I32" i="4"/>
  <c r="I26" i="4"/>
  <c r="DA163" i="11"/>
  <c r="DG23" i="11"/>
  <c r="J31" i="4" s="1"/>
  <c r="V164" i="11"/>
  <c r="AV164" i="11"/>
  <c r="BX164" i="11"/>
  <c r="CX164" i="11"/>
  <c r="I4" i="4"/>
  <c r="CG163" i="11"/>
  <c r="BM12" i="11"/>
  <c r="BM142" i="11" s="1"/>
  <c r="BG18" i="11"/>
  <c r="F26" i="4" s="1"/>
  <c r="AU163" i="11"/>
  <c r="AI163" i="11"/>
  <c r="W163" i="11"/>
  <c r="I163" i="11"/>
  <c r="C30" i="4"/>
  <c r="CW142" i="11"/>
  <c r="CK142" i="11"/>
  <c r="J5" i="4" s="1"/>
  <c r="BY142" i="11"/>
  <c r="DC142" i="11"/>
  <c r="U55" i="1"/>
  <c r="S55" i="1"/>
  <c r="X164" i="11"/>
  <c r="AX164" i="11"/>
  <c r="BZ164" i="11"/>
  <c r="CZ164" i="11"/>
  <c r="I5" i="4"/>
  <c r="E8" i="4"/>
  <c r="CU163" i="11"/>
  <c r="BU163" i="11"/>
  <c r="BI142" i="11"/>
  <c r="BI163" i="11"/>
  <c r="AW142" i="11"/>
  <c r="AK142" i="11"/>
  <c r="AK163" i="11"/>
  <c r="AG21" i="11"/>
  <c r="D29" i="4" s="1"/>
  <c r="Y142" i="11"/>
  <c r="D12" i="4" s="1"/>
  <c r="I25" i="4"/>
  <c r="O55" i="1"/>
  <c r="D31" i="11"/>
  <c r="BL164" i="11"/>
  <c r="AZ164" i="11"/>
  <c r="AF4" i="11"/>
  <c r="AG4" i="11" s="1"/>
  <c r="I6" i="4"/>
  <c r="CI142" i="11"/>
  <c r="J4" i="4" s="1"/>
  <c r="CI163" i="11"/>
  <c r="BW142" i="11"/>
  <c r="BW163" i="11"/>
  <c r="AW163" i="11"/>
  <c r="AW164" i="11" s="1"/>
  <c r="Y163" i="11"/>
  <c r="O4" i="11"/>
  <c r="O142" i="11" s="1"/>
  <c r="M163" i="11"/>
  <c r="K163" i="11"/>
  <c r="D33" i="11"/>
  <c r="D39" i="11"/>
  <c r="D45" i="11"/>
  <c r="D50" i="11"/>
  <c r="D56" i="11"/>
  <c r="D63" i="11"/>
  <c r="D87" i="11"/>
  <c r="D94" i="11"/>
  <c r="D154" i="11"/>
  <c r="D150" i="11"/>
  <c r="D148" i="11"/>
  <c r="D146" i="11"/>
  <c r="D144" i="11"/>
  <c r="DG145" i="11"/>
  <c r="D157" i="11"/>
  <c r="D149" i="11"/>
  <c r="D155" i="11"/>
  <c r="D147" i="11"/>
  <c r="D145" i="11"/>
  <c r="D43" i="11"/>
  <c r="D7" i="11"/>
  <c r="D23" i="11"/>
  <c r="D32" i="11"/>
  <c r="D38" i="11"/>
  <c r="DG43" i="11"/>
  <c r="D9" i="11"/>
  <c r="D12" i="11"/>
  <c r="DG33" i="11"/>
  <c r="D34" i="11"/>
  <c r="DG39" i="11"/>
  <c r="D40" i="11"/>
  <c r="DG45" i="11"/>
  <c r="D46" i="11"/>
  <c r="DG56" i="11"/>
  <c r="D57" i="11"/>
  <c r="D89" i="11"/>
  <c r="DG153" i="11"/>
  <c r="D153" i="11"/>
  <c r="DG130" i="11"/>
  <c r="D130" i="11"/>
  <c r="DG31" i="11"/>
  <c r="D92" i="11"/>
  <c r="D11" i="11"/>
  <c r="D35" i="11"/>
  <c r="D41" i="11"/>
  <c r="D47" i="11"/>
  <c r="D58" i="11"/>
  <c r="D66" i="11"/>
  <c r="D67" i="11"/>
  <c r="DG67" i="11"/>
  <c r="D68" i="11"/>
  <c r="D37" i="11"/>
  <c r="DG126" i="11"/>
  <c r="D126" i="11"/>
  <c r="D19" i="11"/>
  <c r="D44" i="11"/>
  <c r="D55" i="11"/>
  <c r="D74" i="11"/>
  <c r="DF142" i="11"/>
  <c r="D137" i="11"/>
  <c r="D133" i="11"/>
  <c r="D129" i="11"/>
  <c r="D80" i="11"/>
  <c r="D71" i="11"/>
  <c r="D60" i="11"/>
  <c r="D51" i="11"/>
  <c r="D49" i="11"/>
  <c r="D24" i="11"/>
  <c r="D22" i="11"/>
  <c r="D20" i="11"/>
  <c r="D18" i="11"/>
  <c r="D16" i="11"/>
  <c r="D10" i="11"/>
  <c r="D8" i="11"/>
  <c r="D4" i="11"/>
  <c r="D70" i="11"/>
  <c r="D95" i="11"/>
  <c r="D93" i="11"/>
  <c r="D131" i="11"/>
  <c r="D127" i="11"/>
  <c r="D90" i="11"/>
  <c r="D86" i="11"/>
  <c r="D81" i="11"/>
  <c r="D72" i="11"/>
  <c r="D13" i="11"/>
  <c r="D88" i="11"/>
  <c r="D14" i="11"/>
  <c r="D21" i="11"/>
  <c r="DG4" i="11"/>
  <c r="D6" i="11"/>
  <c r="DG14" i="11"/>
  <c r="D29" i="11"/>
  <c r="DG35" i="11"/>
  <c r="D36" i="11"/>
  <c r="DG41" i="11"/>
  <c r="D42" i="11"/>
  <c r="DG47" i="11"/>
  <c r="D52" i="11"/>
  <c r="DG58" i="11"/>
  <c r="D77" i="11"/>
  <c r="D78" i="11"/>
  <c r="DG78" i="11"/>
  <c r="BF163" i="11"/>
  <c r="D84" i="11"/>
  <c r="D125" i="11"/>
  <c r="AN164" i="11"/>
  <c r="DG135" i="11"/>
  <c r="D135" i="11"/>
  <c r="BF142" i="11"/>
  <c r="D26" i="11"/>
  <c r="D28" i="11"/>
  <c r="D62" i="11"/>
  <c r="D64" i="11"/>
  <c r="D75" i="11"/>
  <c r="CV164" i="11"/>
  <c r="CF163" i="11"/>
  <c r="D128" i="11"/>
  <c r="D132" i="11"/>
  <c r="P164" i="11"/>
  <c r="CD164" i="11"/>
  <c r="DE163" i="11"/>
  <c r="D138" i="11"/>
  <c r="AF163" i="11"/>
  <c r="DF163" i="11"/>
  <c r="D156" i="11"/>
  <c r="AA57" i="5"/>
  <c r="I55" i="1"/>
  <c r="G55" i="1"/>
  <c r="CW164" i="11" l="1"/>
  <c r="J11" i="4"/>
  <c r="Y164" i="11"/>
  <c r="I34" i="4"/>
  <c r="CC164" i="11"/>
  <c r="M164" i="11"/>
  <c r="E34" i="4"/>
  <c r="J34" i="4"/>
  <c r="CI164" i="11"/>
  <c r="BA164" i="11"/>
  <c r="BY164" i="11"/>
  <c r="CF142" i="11"/>
  <c r="G19" i="4" s="1"/>
  <c r="AY164" i="11"/>
  <c r="F34" i="4"/>
  <c r="AG142" i="11"/>
  <c r="AG164" i="11" s="1"/>
  <c r="BU164" i="11"/>
  <c r="AA164" i="11"/>
  <c r="K164" i="11"/>
  <c r="CE164" i="11"/>
  <c r="AQ164" i="11"/>
  <c r="BQ164" i="11"/>
  <c r="BC164" i="11"/>
  <c r="AU164" i="11"/>
  <c r="CY164" i="11"/>
  <c r="DA164" i="11"/>
  <c r="BE164" i="11"/>
  <c r="H34" i="4"/>
  <c r="CM164" i="11"/>
  <c r="U164" i="11"/>
  <c r="G34" i="4"/>
  <c r="CK164" i="11"/>
  <c r="BM164" i="11"/>
  <c r="BF164" i="11"/>
  <c r="BF165" i="11" s="1"/>
  <c r="CG142" i="11"/>
  <c r="C18" i="4"/>
  <c r="AO164" i="11"/>
  <c r="AI164" i="11"/>
  <c r="CO164" i="11"/>
  <c r="AS164" i="11"/>
  <c r="S164" i="11"/>
  <c r="AE164" i="11"/>
  <c r="AM164" i="11"/>
  <c r="BS164" i="11"/>
  <c r="D34" i="4"/>
  <c r="E18" i="4"/>
  <c r="E19" i="4" s="1"/>
  <c r="AF142" i="11"/>
  <c r="AF164" i="11" s="1"/>
  <c r="O164" i="11"/>
  <c r="I164" i="11"/>
  <c r="Q164" i="11"/>
  <c r="CU164" i="11"/>
  <c r="BG142" i="11"/>
  <c r="BG164" i="11" s="1"/>
  <c r="C34" i="4"/>
  <c r="CS164" i="11"/>
  <c r="BO164" i="11"/>
  <c r="BW164" i="11"/>
  <c r="AK164" i="11"/>
  <c r="AC164" i="11"/>
  <c r="CA164" i="11"/>
  <c r="W164" i="11"/>
  <c r="BI164" i="11"/>
  <c r="DC164" i="11"/>
  <c r="CQ164" i="11"/>
  <c r="BK164" i="11"/>
  <c r="J18" i="4"/>
  <c r="DG163" i="11"/>
  <c r="DG142" i="11"/>
  <c r="DF164" i="11"/>
  <c r="DE164" i="11"/>
  <c r="AC37" i="7"/>
  <c r="AB38" i="7"/>
  <c r="AC38" i="7"/>
  <c r="AB39" i="7"/>
  <c r="AC39" i="7"/>
  <c r="AB40" i="7"/>
  <c r="AC40" i="7"/>
  <c r="AA33" i="7"/>
  <c r="AA34" i="7"/>
  <c r="AA35" i="7"/>
  <c r="AA36" i="7"/>
  <c r="AA37" i="7"/>
  <c r="AA38" i="7"/>
  <c r="AA39" i="7"/>
  <c r="AA40" i="7"/>
  <c r="AA32" i="7"/>
  <c r="AA57" i="7" s="1"/>
  <c r="Y33" i="7"/>
  <c r="Y34" i="7"/>
  <c r="AB34" i="7" s="1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32" i="7"/>
  <c r="W33" i="7"/>
  <c r="AB33" i="7" s="1"/>
  <c r="W34" i="7"/>
  <c r="W35" i="7"/>
  <c r="AB35" i="7" s="1"/>
  <c r="W36" i="7"/>
  <c r="AB36" i="7" s="1"/>
  <c r="W37" i="7"/>
  <c r="AB37" i="7" s="1"/>
  <c r="W38" i="7"/>
  <c r="W39" i="7"/>
  <c r="W40" i="7"/>
  <c r="W32" i="7"/>
  <c r="J19" i="4" l="1"/>
  <c r="CF164" i="11"/>
  <c r="CF165" i="11" s="1"/>
  <c r="M34" i="4"/>
  <c r="D18" i="4"/>
  <c r="D19" i="4" s="1"/>
  <c r="CG164" i="11"/>
  <c r="H19" i="4"/>
  <c r="C19" i="4"/>
  <c r="N34" i="4"/>
  <c r="DG164" i="11"/>
  <c r="AC34" i="7"/>
  <c r="Y57" i="7"/>
  <c r="W57" i="7"/>
  <c r="AC36" i="7"/>
  <c r="AC33" i="7"/>
  <c r="AC35" i="7"/>
  <c r="F18" i="4"/>
  <c r="F19" i="4" s="1"/>
  <c r="AC32" i="7"/>
  <c r="AC57" i="7"/>
  <c r="O32" i="8"/>
  <c r="O35" i="8" s="1"/>
  <c r="O33" i="8"/>
  <c r="Z35" i="8"/>
  <c r="X35" i="8"/>
  <c r="V35" i="8"/>
  <c r="T35" i="8"/>
  <c r="R35" i="8"/>
  <c r="P35" i="8"/>
  <c r="N35" i="8"/>
  <c r="L35" i="8"/>
  <c r="J35" i="8"/>
  <c r="H35" i="8"/>
  <c r="F35" i="8"/>
  <c r="D35" i="8"/>
  <c r="AB33" i="8"/>
  <c r="AC33" i="8" s="1"/>
  <c r="AA33" i="8"/>
  <c r="Y33" i="8"/>
  <c r="W33" i="8"/>
  <c r="U33" i="8"/>
  <c r="S33" i="8"/>
  <c r="Q33" i="8"/>
  <c r="M33" i="8"/>
  <c r="K33" i="8"/>
  <c r="I33" i="8"/>
  <c r="G33" i="8"/>
  <c r="G35" i="8" s="1"/>
  <c r="E33" i="8"/>
  <c r="AB32" i="8"/>
  <c r="AA32" i="8"/>
  <c r="AA35" i="8" s="1"/>
  <c r="Y32" i="8"/>
  <c r="Y35" i="8" s="1"/>
  <c r="W32" i="8"/>
  <c r="W35" i="8" s="1"/>
  <c r="U32" i="8"/>
  <c r="U35" i="8" s="1"/>
  <c r="S32" i="8"/>
  <c r="S35" i="8" s="1"/>
  <c r="Q32" i="8"/>
  <c r="Q35" i="8" s="1"/>
  <c r="M32" i="8"/>
  <c r="K32" i="8"/>
  <c r="I32" i="8"/>
  <c r="G32" i="8"/>
  <c r="E32" i="8"/>
  <c r="E35" i="8" s="1"/>
  <c r="K40" i="9"/>
  <c r="F40" i="9"/>
  <c r="K39" i="9"/>
  <c r="F39" i="9"/>
  <c r="F38" i="9"/>
  <c r="K37" i="9"/>
  <c r="F37" i="9"/>
  <c r="K36" i="9"/>
  <c r="F36" i="9"/>
  <c r="K35" i="9"/>
  <c r="F35" i="9"/>
  <c r="K34" i="9"/>
  <c r="F34" i="9"/>
  <c r="K33" i="9"/>
  <c r="F33" i="9"/>
  <c r="K32" i="9"/>
  <c r="F32" i="9"/>
  <c r="F20" i="9"/>
  <c r="K19" i="9"/>
  <c r="F19" i="9"/>
  <c r="F18" i="9"/>
  <c r="K17" i="9"/>
  <c r="F17" i="9"/>
  <c r="K16" i="9"/>
  <c r="F16" i="9"/>
  <c r="K15" i="9"/>
  <c r="F15" i="9"/>
  <c r="K14" i="9"/>
  <c r="F14" i="9"/>
  <c r="K13" i="9"/>
  <c r="F13" i="9"/>
  <c r="K12" i="9"/>
  <c r="F12" i="9"/>
  <c r="L11" i="9"/>
  <c r="K11" i="9"/>
  <c r="F11" i="9"/>
  <c r="L10" i="9"/>
  <c r="K10" i="9"/>
  <c r="F10" i="9"/>
  <c r="F9" i="9"/>
  <c r="F8" i="9"/>
  <c r="K7" i="9"/>
  <c r="F7" i="9"/>
  <c r="K6" i="9"/>
  <c r="F6" i="9"/>
  <c r="K5" i="9"/>
  <c r="F5" i="9"/>
  <c r="K35" i="8" l="1"/>
  <c r="I35" i="8"/>
  <c r="M35" i="8"/>
  <c r="AB35" i="8"/>
  <c r="AC32" i="8"/>
  <c r="AC35" i="8" s="1"/>
  <c r="E14" i="8"/>
  <c r="E22" i="7"/>
  <c r="W8" i="7"/>
  <c r="O8" i="7"/>
  <c r="I8" i="7"/>
  <c r="G8" i="7"/>
  <c r="E8" i="7"/>
  <c r="K8" i="7"/>
  <c r="Y8" i="7"/>
  <c r="AA8" i="7"/>
  <c r="F7" i="8"/>
  <c r="H7" i="8"/>
  <c r="J7" i="8"/>
  <c r="L7" i="8"/>
  <c r="N7" i="8"/>
  <c r="P7" i="8"/>
  <c r="R7" i="8"/>
  <c r="T7" i="8"/>
  <c r="V7" i="8"/>
  <c r="X7" i="8"/>
  <c r="Z7" i="8"/>
  <c r="D7" i="8"/>
  <c r="AA23" i="1"/>
  <c r="AC26" i="5"/>
  <c r="AC27" i="5"/>
  <c r="Y22" i="5"/>
  <c r="U22" i="5"/>
  <c r="S22" i="5"/>
  <c r="Q22" i="5"/>
  <c r="O22" i="5"/>
  <c r="M22" i="5"/>
  <c r="K22" i="5"/>
  <c r="I22" i="5"/>
  <c r="G22" i="5"/>
  <c r="E22" i="5"/>
  <c r="AA22" i="5"/>
  <c r="W8" i="5"/>
  <c r="AA8" i="5"/>
  <c r="Y8" i="5"/>
  <c r="AB13" i="8"/>
  <c r="AC13" i="8" s="1"/>
  <c r="AA13" i="8"/>
  <c r="Y13" i="8"/>
  <c r="W13" i="8"/>
  <c r="U13" i="8"/>
  <c r="S13" i="8"/>
  <c r="Q13" i="8"/>
  <c r="O13" i="8"/>
  <c r="M13" i="8"/>
  <c r="K13" i="8"/>
  <c r="I13" i="8"/>
  <c r="G13" i="8"/>
  <c r="E13" i="8"/>
  <c r="G14" i="8"/>
  <c r="I14" i="8"/>
  <c r="K14" i="8"/>
  <c r="M14" i="8"/>
  <c r="O14" i="8"/>
  <c r="Q14" i="8"/>
  <c r="S14" i="8"/>
  <c r="U14" i="8"/>
  <c r="W14" i="8"/>
  <c r="Y14" i="8"/>
  <c r="AA14" i="8"/>
  <c r="AB14" i="8"/>
  <c r="AC14" i="8" s="1"/>
  <c r="I18" i="4" l="1"/>
  <c r="I19" i="4" s="1"/>
  <c r="AB23" i="8"/>
  <c r="AC23" i="8" s="1"/>
  <c r="AA23" i="8"/>
  <c r="Y23" i="8"/>
  <c r="W23" i="8"/>
  <c r="U23" i="8"/>
  <c r="S23" i="8"/>
  <c r="Q23" i="8"/>
  <c r="O23" i="8"/>
  <c r="M23" i="8"/>
  <c r="K23" i="8"/>
  <c r="I23" i="8"/>
  <c r="G23" i="8"/>
  <c r="E23" i="8"/>
  <c r="AB22" i="8"/>
  <c r="AC22" i="8" s="1"/>
  <c r="AA22" i="8"/>
  <c r="Y22" i="8"/>
  <c r="Y25" i="8" s="1"/>
  <c r="W22" i="8"/>
  <c r="U22" i="8"/>
  <c r="S22" i="8"/>
  <c r="S25" i="8" s="1"/>
  <c r="Q22" i="8"/>
  <c r="Q25" i="8" s="1"/>
  <c r="O22" i="8"/>
  <c r="O25" i="8" s="1"/>
  <c r="M22" i="8"/>
  <c r="M25" i="8" s="1"/>
  <c r="K22" i="8"/>
  <c r="I22" i="8"/>
  <c r="G22" i="8"/>
  <c r="E22" i="8"/>
  <c r="E25" i="8"/>
  <c r="AA25" i="8"/>
  <c r="Z25" i="8"/>
  <c r="X25" i="8"/>
  <c r="W25" i="8"/>
  <c r="V25" i="8"/>
  <c r="T25" i="8"/>
  <c r="R25" i="8"/>
  <c r="P25" i="8"/>
  <c r="N25" i="8"/>
  <c r="L25" i="8"/>
  <c r="J25" i="8"/>
  <c r="H25" i="8"/>
  <c r="F25" i="8"/>
  <c r="D25" i="8"/>
  <c r="S16" i="8"/>
  <c r="O16" i="8"/>
  <c r="K16" i="8"/>
  <c r="I16" i="8"/>
  <c r="G16" i="8"/>
  <c r="E16" i="8"/>
  <c r="F16" i="8"/>
  <c r="H16" i="8"/>
  <c r="J16" i="8"/>
  <c r="L16" i="8"/>
  <c r="M16" i="8"/>
  <c r="N16" i="8"/>
  <c r="P16" i="8"/>
  <c r="Q16" i="8"/>
  <c r="R16" i="8"/>
  <c r="T16" i="8"/>
  <c r="U16" i="8"/>
  <c r="V16" i="8"/>
  <c r="W16" i="8"/>
  <c r="X16" i="8"/>
  <c r="Y16" i="8"/>
  <c r="Z16" i="8"/>
  <c r="AA16" i="8"/>
  <c r="AB16" i="8"/>
  <c r="AC16" i="8"/>
  <c r="D16" i="8"/>
  <c r="G5" i="8"/>
  <c r="G7" i="8" s="1"/>
  <c r="E5" i="8"/>
  <c r="E7" i="8" s="1"/>
  <c r="AB5" i="8"/>
  <c r="AB7" i="8" s="1"/>
  <c r="AA5" i="8"/>
  <c r="AA7" i="8" s="1"/>
  <c r="Y5" i="8"/>
  <c r="Y7" i="8" s="1"/>
  <c r="W5" i="8"/>
  <c r="W7" i="8" s="1"/>
  <c r="U5" i="8"/>
  <c r="U7" i="8" s="1"/>
  <c r="S5" i="8"/>
  <c r="S7" i="8" s="1"/>
  <c r="Q5" i="8"/>
  <c r="Q7" i="8" s="1"/>
  <c r="O5" i="8"/>
  <c r="O7" i="8" s="1"/>
  <c r="M5" i="8"/>
  <c r="M7" i="8" s="1"/>
  <c r="K5" i="8"/>
  <c r="K7" i="8" s="1"/>
  <c r="I5" i="8"/>
  <c r="I7" i="8" s="1"/>
  <c r="E20" i="7"/>
  <c r="E4" i="7"/>
  <c r="H5" i="7"/>
  <c r="H29" i="7" s="1"/>
  <c r="E14" i="7"/>
  <c r="AB66" i="7"/>
  <c r="AB65" i="7"/>
  <c r="AB64" i="7"/>
  <c r="AB63" i="7"/>
  <c r="AB62" i="7"/>
  <c r="AB61" i="7"/>
  <c r="AB60" i="7"/>
  <c r="Z57" i="7"/>
  <c r="X57" i="7"/>
  <c r="V57" i="7"/>
  <c r="T57" i="7"/>
  <c r="R57" i="7"/>
  <c r="P57" i="7"/>
  <c r="N57" i="7"/>
  <c r="L57" i="7"/>
  <c r="J57" i="7"/>
  <c r="H57" i="7"/>
  <c r="F57" i="7"/>
  <c r="D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32" i="7"/>
  <c r="Z29" i="7"/>
  <c r="X29" i="7"/>
  <c r="V29" i="7"/>
  <c r="T29" i="7"/>
  <c r="R29" i="7"/>
  <c r="P29" i="7"/>
  <c r="N29" i="7"/>
  <c r="L29" i="7"/>
  <c r="J29" i="7"/>
  <c r="F29" i="7"/>
  <c r="D29" i="7"/>
  <c r="AB28" i="7"/>
  <c r="AC28" i="7" s="1"/>
  <c r="AA28" i="7"/>
  <c r="Y28" i="7"/>
  <c r="W28" i="7"/>
  <c r="U28" i="7"/>
  <c r="S28" i="7"/>
  <c r="Q28" i="7"/>
  <c r="O28" i="7"/>
  <c r="M28" i="7"/>
  <c r="K28" i="7"/>
  <c r="I28" i="7"/>
  <c r="G28" i="7"/>
  <c r="E28" i="7"/>
  <c r="AB25" i="7"/>
  <c r="AA25" i="7"/>
  <c r="Y25" i="7"/>
  <c r="W25" i="7"/>
  <c r="U25" i="7"/>
  <c r="S25" i="7"/>
  <c r="Q25" i="7"/>
  <c r="O25" i="7"/>
  <c r="M25" i="7"/>
  <c r="K25" i="7"/>
  <c r="I25" i="7"/>
  <c r="G25" i="7"/>
  <c r="E25" i="7"/>
  <c r="AB24" i="7"/>
  <c r="AC24" i="7" s="1"/>
  <c r="AA24" i="7"/>
  <c r="Y24" i="7"/>
  <c r="W24" i="7"/>
  <c r="U24" i="7"/>
  <c r="S24" i="7"/>
  <c r="Q24" i="7"/>
  <c r="O24" i="7"/>
  <c r="M24" i="7"/>
  <c r="K24" i="7"/>
  <c r="I24" i="7"/>
  <c r="G24" i="7"/>
  <c r="E24" i="7"/>
  <c r="AB23" i="7"/>
  <c r="AC23" i="7" s="1"/>
  <c r="AA23" i="7"/>
  <c r="Y23" i="7"/>
  <c r="W23" i="7"/>
  <c r="U23" i="7"/>
  <c r="S23" i="7"/>
  <c r="Q23" i="7"/>
  <c r="O23" i="7"/>
  <c r="M23" i="7"/>
  <c r="K23" i="7"/>
  <c r="I23" i="7"/>
  <c r="G23" i="7"/>
  <c r="E23" i="7"/>
  <c r="AB22" i="7"/>
  <c r="AC22" i="7" s="1"/>
  <c r="W22" i="7"/>
  <c r="AB21" i="7"/>
  <c r="AC21" i="7" s="1"/>
  <c r="AA21" i="7"/>
  <c r="Y21" i="7"/>
  <c r="W21" i="7"/>
  <c r="U21" i="7"/>
  <c r="S21" i="7"/>
  <c r="Q21" i="7"/>
  <c r="O21" i="7"/>
  <c r="M21" i="7"/>
  <c r="K21" i="7"/>
  <c r="I21" i="7"/>
  <c r="E21" i="7"/>
  <c r="AB20" i="7"/>
  <c r="AC20" i="7" s="1"/>
  <c r="AA20" i="7"/>
  <c r="Y20" i="7"/>
  <c r="W20" i="7"/>
  <c r="U20" i="7"/>
  <c r="S20" i="7"/>
  <c r="Q20" i="7"/>
  <c r="O20" i="7"/>
  <c r="M20" i="7"/>
  <c r="K20" i="7"/>
  <c r="I20" i="7"/>
  <c r="AB19" i="7"/>
  <c r="AC19" i="7" s="1"/>
  <c r="AA19" i="7"/>
  <c r="Y19" i="7"/>
  <c r="W19" i="7"/>
  <c r="U19" i="7"/>
  <c r="S19" i="7"/>
  <c r="Q19" i="7"/>
  <c r="O19" i="7"/>
  <c r="M19" i="7"/>
  <c r="K19" i="7"/>
  <c r="I19" i="7"/>
  <c r="G19" i="7"/>
  <c r="E19" i="7"/>
  <c r="AB18" i="7"/>
  <c r="AC18" i="7" s="1"/>
  <c r="AA18" i="7"/>
  <c r="Y18" i="7"/>
  <c r="W18" i="7"/>
  <c r="U18" i="7"/>
  <c r="S18" i="7"/>
  <c r="Q18" i="7"/>
  <c r="O18" i="7"/>
  <c r="M18" i="7"/>
  <c r="K18" i="7"/>
  <c r="I18" i="7"/>
  <c r="E18" i="7"/>
  <c r="AB17" i="7"/>
  <c r="AC17" i="7" s="1"/>
  <c r="AA17" i="7"/>
  <c r="Y17" i="7"/>
  <c r="W17" i="7"/>
  <c r="U17" i="7"/>
  <c r="S17" i="7"/>
  <c r="Q17" i="7"/>
  <c r="O17" i="7"/>
  <c r="M17" i="7"/>
  <c r="K17" i="7"/>
  <c r="I17" i="7"/>
  <c r="E17" i="7"/>
  <c r="AB16" i="7"/>
  <c r="AC16" i="7" s="1"/>
  <c r="AA16" i="7"/>
  <c r="Y16" i="7"/>
  <c r="W16" i="7"/>
  <c r="U16" i="7"/>
  <c r="S16" i="7"/>
  <c r="Q16" i="7"/>
  <c r="O16" i="7"/>
  <c r="M16" i="7"/>
  <c r="K16" i="7"/>
  <c r="I16" i="7"/>
  <c r="E16" i="7"/>
  <c r="AB15" i="7"/>
  <c r="AC15" i="7" s="1"/>
  <c r="AA15" i="7"/>
  <c r="Y15" i="7"/>
  <c r="W15" i="7"/>
  <c r="U15" i="7"/>
  <c r="S15" i="7"/>
  <c r="Q15" i="7"/>
  <c r="O15" i="7"/>
  <c r="M15" i="7"/>
  <c r="K15" i="7"/>
  <c r="I15" i="7"/>
  <c r="E15" i="7"/>
  <c r="AB14" i="7"/>
  <c r="AC14" i="7" s="1"/>
  <c r="AA14" i="7"/>
  <c r="Y14" i="7"/>
  <c r="W14" i="7"/>
  <c r="U14" i="7"/>
  <c r="S14" i="7"/>
  <c r="Q14" i="7"/>
  <c r="O14" i="7"/>
  <c r="M14" i="7"/>
  <c r="K14" i="7"/>
  <c r="I14" i="7"/>
  <c r="G14" i="7"/>
  <c r="AB13" i="7"/>
  <c r="AC13" i="7" s="1"/>
  <c r="AA13" i="7"/>
  <c r="Y13" i="7"/>
  <c r="W13" i="7"/>
  <c r="U13" i="7"/>
  <c r="S13" i="7"/>
  <c r="Q13" i="7"/>
  <c r="O13" i="7"/>
  <c r="M13" i="7"/>
  <c r="K13" i="7"/>
  <c r="I13" i="7"/>
  <c r="E13" i="7"/>
  <c r="AB12" i="7"/>
  <c r="AC12" i="7" s="1"/>
  <c r="AA12" i="7"/>
  <c r="Y12" i="7"/>
  <c r="W12" i="7"/>
  <c r="U12" i="7"/>
  <c r="S12" i="7"/>
  <c r="Q12" i="7"/>
  <c r="O12" i="7"/>
  <c r="M12" i="7"/>
  <c r="K12" i="7"/>
  <c r="I12" i="7"/>
  <c r="G12" i="7"/>
  <c r="E12" i="7"/>
  <c r="AB11" i="7"/>
  <c r="AC11" i="7" s="1"/>
  <c r="AA11" i="7"/>
  <c r="Y11" i="7"/>
  <c r="W11" i="7"/>
  <c r="U11" i="7"/>
  <c r="S11" i="7"/>
  <c r="Q11" i="7"/>
  <c r="O11" i="7"/>
  <c r="M11" i="7"/>
  <c r="K11" i="7"/>
  <c r="I11" i="7"/>
  <c r="G11" i="7"/>
  <c r="E11" i="7"/>
  <c r="AB10" i="7"/>
  <c r="AC10" i="7" s="1"/>
  <c r="AA10" i="7"/>
  <c r="Y10" i="7"/>
  <c r="W10" i="7"/>
  <c r="U10" i="7"/>
  <c r="S10" i="7"/>
  <c r="Q10" i="7"/>
  <c r="O10" i="7"/>
  <c r="M10" i="7"/>
  <c r="K10" i="7"/>
  <c r="I10" i="7"/>
  <c r="G10" i="7"/>
  <c r="E10" i="7"/>
  <c r="AB9" i="7"/>
  <c r="AC9" i="7" s="1"/>
  <c r="AA9" i="7"/>
  <c r="Y9" i="7"/>
  <c r="W9" i="7"/>
  <c r="U9" i="7"/>
  <c r="S9" i="7"/>
  <c r="Q9" i="7"/>
  <c r="O9" i="7"/>
  <c r="M9" i="7"/>
  <c r="K9" i="7"/>
  <c r="I9" i="7"/>
  <c r="G9" i="7"/>
  <c r="E9" i="7"/>
  <c r="AB8" i="7"/>
  <c r="AC8" i="7" s="1"/>
  <c r="U8" i="7"/>
  <c r="S8" i="7"/>
  <c r="Q8" i="7"/>
  <c r="AB7" i="7"/>
  <c r="AC7" i="7" s="1"/>
  <c r="AA7" i="7"/>
  <c r="Y7" i="7"/>
  <c r="W7" i="7"/>
  <c r="U7" i="7"/>
  <c r="S7" i="7"/>
  <c r="Q7" i="7"/>
  <c r="O7" i="7"/>
  <c r="M7" i="7"/>
  <c r="K7" i="7"/>
  <c r="I7" i="7"/>
  <c r="G7" i="7"/>
  <c r="E7" i="7"/>
  <c r="AB6" i="7"/>
  <c r="AC6" i="7" s="1"/>
  <c r="AA6" i="7"/>
  <c r="Y6" i="7"/>
  <c r="W6" i="7"/>
  <c r="U6" i="7"/>
  <c r="S6" i="7"/>
  <c r="Q6" i="7"/>
  <c r="O6" i="7"/>
  <c r="M6" i="7"/>
  <c r="K6" i="7"/>
  <c r="I6" i="7"/>
  <c r="G6" i="7"/>
  <c r="E6" i="7"/>
  <c r="AB5" i="7"/>
  <c r="AC5" i="7" s="1"/>
  <c r="AA5" i="7"/>
  <c r="Y5" i="7"/>
  <c r="W5" i="7"/>
  <c r="U5" i="7"/>
  <c r="S5" i="7"/>
  <c r="Q5" i="7"/>
  <c r="O5" i="7"/>
  <c r="M5" i="7"/>
  <c r="K5" i="7"/>
  <c r="I5" i="7"/>
  <c r="G5" i="7"/>
  <c r="E5" i="7"/>
  <c r="AB4" i="7"/>
  <c r="AC4" i="7" s="1"/>
  <c r="AA4" i="7"/>
  <c r="Y4" i="7"/>
  <c r="W4" i="7"/>
  <c r="U4" i="7"/>
  <c r="S4" i="7"/>
  <c r="Q4" i="7"/>
  <c r="O4" i="7"/>
  <c r="M4" i="7"/>
  <c r="K4" i="7"/>
  <c r="I4" i="7"/>
  <c r="G4" i="7"/>
  <c r="AB32" i="5"/>
  <c r="AB39" i="5"/>
  <c r="AB40" i="5"/>
  <c r="AB22" i="5"/>
  <c r="AC22" i="5" s="1"/>
  <c r="AB10" i="5"/>
  <c r="Q8" i="5"/>
  <c r="AB8" i="5"/>
  <c r="AC8" i="5" s="1"/>
  <c r="W22" i="5"/>
  <c r="U8" i="5"/>
  <c r="S8" i="5"/>
  <c r="U25" i="8" l="1"/>
  <c r="L68" i="7"/>
  <c r="K29" i="7"/>
  <c r="K68" i="7" s="1"/>
  <c r="P68" i="7"/>
  <c r="D68" i="7"/>
  <c r="F68" i="7"/>
  <c r="T68" i="7"/>
  <c r="K25" i="8"/>
  <c r="G25" i="8"/>
  <c r="AC25" i="8"/>
  <c r="I25" i="8"/>
  <c r="AB25" i="8"/>
  <c r="AC5" i="8"/>
  <c r="AC7" i="8" s="1"/>
  <c r="AA29" i="7"/>
  <c r="S29" i="7"/>
  <c r="S68" i="7" s="1"/>
  <c r="E29" i="7"/>
  <c r="Z68" i="7"/>
  <c r="X68" i="7"/>
  <c r="Y29" i="7"/>
  <c r="V68" i="7"/>
  <c r="W29" i="7"/>
  <c r="U29" i="7"/>
  <c r="U68" i="7" s="1"/>
  <c r="R68" i="7"/>
  <c r="Q29" i="7"/>
  <c r="Q68" i="7" s="1"/>
  <c r="N68" i="7"/>
  <c r="O29" i="7"/>
  <c r="M29" i="7"/>
  <c r="M68" i="7" s="1"/>
  <c r="J68" i="7"/>
  <c r="I29" i="7"/>
  <c r="I68" i="7" s="1"/>
  <c r="H68" i="7"/>
  <c r="AB57" i="7"/>
  <c r="G29" i="7"/>
  <c r="G68" i="7" s="1"/>
  <c r="AB29" i="7"/>
  <c r="AB68" i="7" l="1"/>
  <c r="AA68" i="7"/>
  <c r="W68" i="7"/>
  <c r="E68" i="7"/>
  <c r="Y68" i="7"/>
  <c r="AC29" i="7"/>
  <c r="AC68" i="7" l="1"/>
  <c r="J29" i="5"/>
  <c r="F29" i="5"/>
  <c r="H29" i="5"/>
  <c r="AB36" i="1" l="1"/>
  <c r="AC36" i="1" s="1"/>
  <c r="AB38" i="5"/>
  <c r="AB66" i="5"/>
  <c r="AB65" i="5"/>
  <c r="AB64" i="5"/>
  <c r="AB63" i="5"/>
  <c r="AB62" i="5"/>
  <c r="AB61" i="5"/>
  <c r="AB60" i="5"/>
  <c r="Z57" i="5"/>
  <c r="Z68" i="5" s="1"/>
  <c r="X57" i="5"/>
  <c r="X68" i="5" s="1"/>
  <c r="V57" i="5"/>
  <c r="V68" i="5" s="1"/>
  <c r="T57" i="5"/>
  <c r="R57" i="5"/>
  <c r="P57" i="5"/>
  <c r="N57" i="5"/>
  <c r="N68" i="5" s="1"/>
  <c r="L57" i="5"/>
  <c r="J57" i="5"/>
  <c r="J68" i="5" s="1"/>
  <c r="H57" i="5"/>
  <c r="H68" i="5" s="1"/>
  <c r="F57" i="5"/>
  <c r="F68" i="5" s="1"/>
  <c r="D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37" i="5"/>
  <c r="AB36" i="5"/>
  <c r="AB35" i="5"/>
  <c r="AB34" i="5"/>
  <c r="AB33" i="5"/>
  <c r="Z29" i="5"/>
  <c r="X29" i="5"/>
  <c r="V29" i="5"/>
  <c r="T29" i="5"/>
  <c r="R29" i="5"/>
  <c r="P29" i="5"/>
  <c r="N29" i="5"/>
  <c r="L29" i="5"/>
  <c r="D29" i="5"/>
  <c r="AB28" i="5"/>
  <c r="AC28" i="5" s="1"/>
  <c r="AA28" i="5"/>
  <c r="Y28" i="5"/>
  <c r="W28" i="5"/>
  <c r="U28" i="5"/>
  <c r="S28" i="5"/>
  <c r="Q28" i="5"/>
  <c r="O28" i="5"/>
  <c r="M28" i="5"/>
  <c r="K28" i="5"/>
  <c r="I28" i="5"/>
  <c r="G28" i="5"/>
  <c r="E28" i="5"/>
  <c r="AB25" i="5"/>
  <c r="AC25" i="5" s="1"/>
  <c r="AA25" i="5"/>
  <c r="Y25" i="5"/>
  <c r="W25" i="5"/>
  <c r="U25" i="5"/>
  <c r="S25" i="5"/>
  <c r="Q25" i="5"/>
  <c r="O25" i="5"/>
  <c r="M25" i="5"/>
  <c r="K25" i="5"/>
  <c r="I25" i="5"/>
  <c r="G25" i="5"/>
  <c r="E25" i="5"/>
  <c r="AB24" i="5"/>
  <c r="AC24" i="5" s="1"/>
  <c r="AA24" i="5"/>
  <c r="Y24" i="5"/>
  <c r="W24" i="5"/>
  <c r="U24" i="5"/>
  <c r="S24" i="5"/>
  <c r="Q24" i="5"/>
  <c r="O24" i="5"/>
  <c r="M24" i="5"/>
  <c r="K24" i="5"/>
  <c r="I24" i="5"/>
  <c r="G24" i="5"/>
  <c r="E24" i="5"/>
  <c r="AB23" i="5"/>
  <c r="AC23" i="5" s="1"/>
  <c r="AA23" i="5"/>
  <c r="Y23" i="5"/>
  <c r="W23" i="5"/>
  <c r="U23" i="5"/>
  <c r="S23" i="5"/>
  <c r="Q23" i="5"/>
  <c r="O23" i="5"/>
  <c r="M23" i="5"/>
  <c r="K23" i="5"/>
  <c r="I23" i="5"/>
  <c r="G23" i="5"/>
  <c r="E23" i="5"/>
  <c r="AB21" i="5"/>
  <c r="AC21" i="5" s="1"/>
  <c r="AA21" i="5"/>
  <c r="Y21" i="5"/>
  <c r="W21" i="5"/>
  <c r="U21" i="5"/>
  <c r="S21" i="5"/>
  <c r="Q21" i="5"/>
  <c r="O21" i="5"/>
  <c r="M21" i="5"/>
  <c r="K21" i="5"/>
  <c r="I21" i="5"/>
  <c r="G21" i="5"/>
  <c r="E21" i="5"/>
  <c r="AB20" i="5"/>
  <c r="AC20" i="5" s="1"/>
  <c r="AA20" i="5"/>
  <c r="Y20" i="5"/>
  <c r="W20" i="5"/>
  <c r="U20" i="5"/>
  <c r="S20" i="5"/>
  <c r="Q20" i="5"/>
  <c r="O20" i="5"/>
  <c r="M20" i="5"/>
  <c r="K20" i="5"/>
  <c r="I20" i="5"/>
  <c r="G20" i="5"/>
  <c r="E20" i="5"/>
  <c r="AB19" i="5"/>
  <c r="AC19" i="5" s="1"/>
  <c r="AA19" i="5"/>
  <c r="Y19" i="5"/>
  <c r="W19" i="5"/>
  <c r="U19" i="5"/>
  <c r="S19" i="5"/>
  <c r="Q19" i="5"/>
  <c r="O19" i="5"/>
  <c r="M19" i="5"/>
  <c r="K19" i="5"/>
  <c r="I19" i="5"/>
  <c r="G19" i="5"/>
  <c r="E19" i="5"/>
  <c r="AB18" i="5"/>
  <c r="AC18" i="5" s="1"/>
  <c r="AA18" i="5"/>
  <c r="Y18" i="5"/>
  <c r="W18" i="5"/>
  <c r="U18" i="5"/>
  <c r="S18" i="5"/>
  <c r="Q18" i="5"/>
  <c r="O18" i="5"/>
  <c r="M18" i="5"/>
  <c r="K18" i="5"/>
  <c r="I18" i="5"/>
  <c r="G18" i="5"/>
  <c r="E18" i="5"/>
  <c r="AB17" i="5"/>
  <c r="AC17" i="5" s="1"/>
  <c r="AA17" i="5"/>
  <c r="Y17" i="5"/>
  <c r="W17" i="5"/>
  <c r="U17" i="5"/>
  <c r="S17" i="5"/>
  <c r="Q17" i="5"/>
  <c r="O17" i="5"/>
  <c r="M17" i="5"/>
  <c r="K17" i="5"/>
  <c r="I17" i="5"/>
  <c r="G17" i="5"/>
  <c r="E17" i="5"/>
  <c r="AB16" i="5"/>
  <c r="AC16" i="5" s="1"/>
  <c r="AA16" i="5"/>
  <c r="Y16" i="5"/>
  <c r="W16" i="5"/>
  <c r="U16" i="5"/>
  <c r="S16" i="5"/>
  <c r="Q16" i="5"/>
  <c r="O16" i="5"/>
  <c r="M16" i="5"/>
  <c r="K16" i="5"/>
  <c r="I16" i="5"/>
  <c r="G16" i="5"/>
  <c r="E16" i="5"/>
  <c r="AB15" i="5"/>
  <c r="AC15" i="5" s="1"/>
  <c r="AA15" i="5"/>
  <c r="Y15" i="5"/>
  <c r="W15" i="5"/>
  <c r="U15" i="5"/>
  <c r="S15" i="5"/>
  <c r="Q15" i="5"/>
  <c r="O15" i="5"/>
  <c r="M15" i="5"/>
  <c r="K15" i="5"/>
  <c r="I15" i="5"/>
  <c r="G15" i="5"/>
  <c r="E15" i="5"/>
  <c r="AB14" i="5"/>
  <c r="AC14" i="5" s="1"/>
  <c r="AA14" i="5"/>
  <c r="Y14" i="5"/>
  <c r="W14" i="5"/>
  <c r="U14" i="5"/>
  <c r="S14" i="5"/>
  <c r="Q14" i="5"/>
  <c r="O14" i="5"/>
  <c r="M14" i="5"/>
  <c r="K14" i="5"/>
  <c r="I14" i="5"/>
  <c r="G14" i="5"/>
  <c r="AB13" i="5"/>
  <c r="AC13" i="5" s="1"/>
  <c r="AA13" i="5"/>
  <c r="Y13" i="5"/>
  <c r="W13" i="5"/>
  <c r="U13" i="5"/>
  <c r="S13" i="5"/>
  <c r="Q13" i="5"/>
  <c r="O13" i="5"/>
  <c r="M13" i="5"/>
  <c r="K13" i="5"/>
  <c r="I13" i="5"/>
  <c r="G13" i="5"/>
  <c r="E13" i="5"/>
  <c r="AB12" i="5"/>
  <c r="AC12" i="5" s="1"/>
  <c r="AA12" i="5"/>
  <c r="Y12" i="5"/>
  <c r="W12" i="5"/>
  <c r="U12" i="5"/>
  <c r="S12" i="5"/>
  <c r="Q12" i="5"/>
  <c r="O12" i="5"/>
  <c r="M12" i="5"/>
  <c r="K12" i="5"/>
  <c r="I12" i="5"/>
  <c r="G12" i="5"/>
  <c r="E12" i="5"/>
  <c r="AB11" i="5"/>
  <c r="AC11" i="5" s="1"/>
  <c r="AA11" i="5"/>
  <c r="Y11" i="5"/>
  <c r="W11" i="5"/>
  <c r="U11" i="5"/>
  <c r="S11" i="5"/>
  <c r="Q11" i="5"/>
  <c r="O11" i="5"/>
  <c r="M11" i="5"/>
  <c r="K11" i="5"/>
  <c r="I11" i="5"/>
  <c r="G11" i="5"/>
  <c r="E11" i="5"/>
  <c r="AC10" i="5"/>
  <c r="AA10" i="5"/>
  <c r="Y10" i="5"/>
  <c r="W10" i="5"/>
  <c r="U10" i="5"/>
  <c r="S10" i="5"/>
  <c r="Q10" i="5"/>
  <c r="O10" i="5"/>
  <c r="M10" i="5"/>
  <c r="K10" i="5"/>
  <c r="I10" i="5"/>
  <c r="G10" i="5"/>
  <c r="E10" i="5"/>
  <c r="AB9" i="5"/>
  <c r="AC9" i="5" s="1"/>
  <c r="AA9" i="5"/>
  <c r="Y9" i="5"/>
  <c r="W9" i="5"/>
  <c r="U9" i="5"/>
  <c r="S9" i="5"/>
  <c r="Q9" i="5"/>
  <c r="O9" i="5"/>
  <c r="M9" i="5"/>
  <c r="K9" i="5"/>
  <c r="I9" i="5"/>
  <c r="G9" i="5"/>
  <c r="E9" i="5"/>
  <c r="AB7" i="5"/>
  <c r="AC7" i="5" s="1"/>
  <c r="AA7" i="5"/>
  <c r="Y7" i="5"/>
  <c r="W7" i="5"/>
  <c r="U7" i="5"/>
  <c r="S7" i="5"/>
  <c r="Q7" i="5"/>
  <c r="O7" i="5"/>
  <c r="M7" i="5"/>
  <c r="K7" i="5"/>
  <c r="I7" i="5"/>
  <c r="G7" i="5"/>
  <c r="E7" i="5"/>
  <c r="AB6" i="5"/>
  <c r="AC6" i="5" s="1"/>
  <c r="AA6" i="5"/>
  <c r="Y6" i="5"/>
  <c r="W6" i="5"/>
  <c r="U6" i="5"/>
  <c r="S6" i="5"/>
  <c r="Q6" i="5"/>
  <c r="O6" i="5"/>
  <c r="M6" i="5"/>
  <c r="K6" i="5"/>
  <c r="I6" i="5"/>
  <c r="G6" i="5"/>
  <c r="E6" i="5"/>
  <c r="AB5" i="5"/>
  <c r="AC5" i="5" s="1"/>
  <c r="AA5" i="5"/>
  <c r="Y5" i="5"/>
  <c r="W5" i="5"/>
  <c r="U5" i="5"/>
  <c r="S5" i="5"/>
  <c r="Q5" i="5"/>
  <c r="O5" i="5"/>
  <c r="M5" i="5"/>
  <c r="K5" i="5"/>
  <c r="I5" i="5"/>
  <c r="G5" i="5"/>
  <c r="E5" i="5"/>
  <c r="AA4" i="5"/>
  <c r="Y4" i="5"/>
  <c r="Y29" i="5" s="1"/>
  <c r="Y68" i="5" s="1"/>
  <c r="W4" i="5"/>
  <c r="U4" i="5"/>
  <c r="S4" i="5"/>
  <c r="Q4" i="5"/>
  <c r="O4" i="5"/>
  <c r="M4" i="5"/>
  <c r="AB4" i="5"/>
  <c r="AC4" i="5" s="1"/>
  <c r="I4" i="5"/>
  <c r="G4" i="5"/>
  <c r="E4" i="5"/>
  <c r="AB42" i="1"/>
  <c r="AB43" i="1"/>
  <c r="AB41" i="1"/>
  <c r="AB40" i="1"/>
  <c r="AB39" i="1"/>
  <c r="AB38" i="1"/>
  <c r="AC38" i="1" s="1"/>
  <c r="AB44" i="1"/>
  <c r="AB45" i="1"/>
  <c r="AB46" i="1"/>
  <c r="AB47" i="1"/>
  <c r="AB48" i="1"/>
  <c r="AB49" i="1"/>
  <c r="AB50" i="1"/>
  <c r="AB51" i="1"/>
  <c r="AB52" i="1"/>
  <c r="AB53" i="1"/>
  <c r="AB54" i="1"/>
  <c r="AB22" i="1"/>
  <c r="AB23" i="1"/>
  <c r="AB21" i="1"/>
  <c r="AC21" i="1" s="1"/>
  <c r="M4" i="1"/>
  <c r="M9" i="1"/>
  <c r="AB20" i="1"/>
  <c r="AC20" i="1" s="1"/>
  <c r="L68" i="5" l="1"/>
  <c r="P68" i="5"/>
  <c r="AB57" i="5"/>
  <c r="D68" i="5"/>
  <c r="R68" i="5"/>
  <c r="G29" i="5"/>
  <c r="T68" i="5"/>
  <c r="I29" i="5"/>
  <c r="AA29" i="5"/>
  <c r="AA68" i="5" s="1"/>
  <c r="W29" i="5"/>
  <c r="U29" i="5"/>
  <c r="S29" i="5"/>
  <c r="Q29" i="5"/>
  <c r="O29" i="5"/>
  <c r="M29" i="5"/>
  <c r="E29" i="5"/>
  <c r="K4" i="5"/>
  <c r="K29" i="5" s="1"/>
  <c r="AB30" i="1"/>
  <c r="AC30" i="1" s="1"/>
  <c r="AB11" i="1"/>
  <c r="AB68" i="5" l="1"/>
  <c r="AC29" i="5"/>
  <c r="AB29" i="5"/>
  <c r="J4" i="1"/>
  <c r="AB4" i="1" s="1"/>
  <c r="I4" i="1"/>
  <c r="K4" i="1" l="1"/>
  <c r="E7" i="1"/>
  <c r="G7" i="1"/>
  <c r="I7" i="1"/>
  <c r="K7" i="1"/>
  <c r="M7" i="1"/>
  <c r="O7" i="1"/>
  <c r="Q7" i="1"/>
  <c r="S7" i="1"/>
  <c r="U7" i="1"/>
  <c r="W7" i="1"/>
  <c r="Y7" i="1"/>
  <c r="AA7" i="1"/>
  <c r="AB7" i="1"/>
  <c r="AC7" i="1" s="1"/>
  <c r="E6" i="1"/>
  <c r="G6" i="1"/>
  <c r="I6" i="1"/>
  <c r="K6" i="1"/>
  <c r="M6" i="1"/>
  <c r="O6" i="1"/>
  <c r="Q6" i="1"/>
  <c r="S6" i="1"/>
  <c r="U6" i="1"/>
  <c r="W6" i="1"/>
  <c r="Y6" i="1"/>
  <c r="AA6" i="1"/>
  <c r="AB6" i="1"/>
  <c r="AC6" i="1" s="1"/>
  <c r="E23" i="1"/>
  <c r="G23" i="1"/>
  <c r="I23" i="1"/>
  <c r="K23" i="1"/>
  <c r="M23" i="1"/>
  <c r="O23" i="1"/>
  <c r="Q23" i="1"/>
  <c r="S23" i="1"/>
  <c r="U23" i="1"/>
  <c r="W23" i="1"/>
  <c r="Y23" i="1"/>
  <c r="E22" i="1"/>
  <c r="G22" i="1"/>
  <c r="I22" i="1"/>
  <c r="K22" i="1"/>
  <c r="M22" i="1"/>
  <c r="O22" i="1"/>
  <c r="Q22" i="1"/>
  <c r="S22" i="1"/>
  <c r="U22" i="1"/>
  <c r="W22" i="1"/>
  <c r="Y22" i="1"/>
  <c r="AA22" i="1"/>
  <c r="E21" i="1"/>
  <c r="G21" i="1"/>
  <c r="I21" i="1"/>
  <c r="K21" i="1"/>
  <c r="M21" i="1"/>
  <c r="O21" i="1"/>
  <c r="Q21" i="1"/>
  <c r="S21" i="1"/>
  <c r="U21" i="1"/>
  <c r="W21" i="1"/>
  <c r="Y21" i="1"/>
  <c r="AA21" i="1"/>
  <c r="E20" i="1"/>
  <c r="G20" i="1"/>
  <c r="I20" i="1"/>
  <c r="K20" i="1"/>
  <c r="M20" i="1"/>
  <c r="O20" i="1"/>
  <c r="Q20" i="1"/>
  <c r="S20" i="1"/>
  <c r="U20" i="1"/>
  <c r="W20" i="1"/>
  <c r="Y20" i="1"/>
  <c r="AA20" i="1"/>
  <c r="AA26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5" i="1"/>
  <c r="AA4" i="1"/>
  <c r="Y26" i="1"/>
  <c r="Y19" i="1"/>
  <c r="Y18" i="1"/>
  <c r="Y17" i="1"/>
  <c r="Y16" i="1"/>
  <c r="Y15" i="1"/>
  <c r="Y14" i="1"/>
  <c r="Y13" i="1"/>
  <c r="Y12" i="1"/>
  <c r="Y11" i="1"/>
  <c r="Y10" i="1"/>
  <c r="Y9" i="1"/>
  <c r="Y8" i="1"/>
  <c r="Y5" i="1"/>
  <c r="Y4" i="1"/>
  <c r="W26" i="1"/>
  <c r="W19" i="1"/>
  <c r="W18" i="1"/>
  <c r="W17" i="1"/>
  <c r="W16" i="1"/>
  <c r="W15" i="1"/>
  <c r="W14" i="1"/>
  <c r="W13" i="1"/>
  <c r="W12" i="1"/>
  <c r="W11" i="1"/>
  <c r="W10" i="1"/>
  <c r="W9" i="1"/>
  <c r="W8" i="1"/>
  <c r="W5" i="1"/>
  <c r="W4" i="1"/>
  <c r="U26" i="1"/>
  <c r="U19" i="1"/>
  <c r="U18" i="1"/>
  <c r="U17" i="1"/>
  <c r="U16" i="1"/>
  <c r="U15" i="1"/>
  <c r="U14" i="1"/>
  <c r="U13" i="1"/>
  <c r="U12" i="1"/>
  <c r="U11" i="1"/>
  <c r="U10" i="1"/>
  <c r="U9" i="1"/>
  <c r="U8" i="1"/>
  <c r="U5" i="1"/>
  <c r="U4" i="1"/>
  <c r="S26" i="1"/>
  <c r="S19" i="1"/>
  <c r="S18" i="1"/>
  <c r="S17" i="1"/>
  <c r="S16" i="1"/>
  <c r="S15" i="1"/>
  <c r="S14" i="1"/>
  <c r="S13" i="1"/>
  <c r="S12" i="1"/>
  <c r="S11" i="1"/>
  <c r="S10" i="1"/>
  <c r="S9" i="1"/>
  <c r="S8" i="1"/>
  <c r="S5" i="1"/>
  <c r="S4" i="1"/>
  <c r="Q26" i="1"/>
  <c r="Q19" i="1"/>
  <c r="Q18" i="1"/>
  <c r="Q17" i="1"/>
  <c r="Q16" i="1"/>
  <c r="Q15" i="1"/>
  <c r="Q14" i="1"/>
  <c r="Q13" i="1"/>
  <c r="Q12" i="1"/>
  <c r="Q11" i="1"/>
  <c r="Q10" i="1"/>
  <c r="Q9" i="1"/>
  <c r="Q8" i="1"/>
  <c r="Q5" i="1"/>
  <c r="Q4" i="1"/>
  <c r="O26" i="1"/>
  <c r="O19" i="1"/>
  <c r="O18" i="1"/>
  <c r="O17" i="1"/>
  <c r="O16" i="1"/>
  <c r="O15" i="1"/>
  <c r="O14" i="1"/>
  <c r="O13" i="1"/>
  <c r="O12" i="1"/>
  <c r="O11" i="1"/>
  <c r="O10" i="1"/>
  <c r="O9" i="1"/>
  <c r="O8" i="1"/>
  <c r="O5" i="1"/>
  <c r="O4" i="1"/>
  <c r="M26" i="1"/>
  <c r="M19" i="1"/>
  <c r="M18" i="1"/>
  <c r="M17" i="1"/>
  <c r="M16" i="1"/>
  <c r="M15" i="1"/>
  <c r="M14" i="1"/>
  <c r="M13" i="1"/>
  <c r="M12" i="1"/>
  <c r="M11" i="1"/>
  <c r="M10" i="1"/>
  <c r="M8" i="1"/>
  <c r="M5" i="1"/>
  <c r="K26" i="1"/>
  <c r="K19" i="1"/>
  <c r="K18" i="1"/>
  <c r="K17" i="1"/>
  <c r="K16" i="1"/>
  <c r="K15" i="1"/>
  <c r="K14" i="1"/>
  <c r="K13" i="1"/>
  <c r="K12" i="1"/>
  <c r="K11" i="1"/>
  <c r="K10" i="1"/>
  <c r="K9" i="1"/>
  <c r="K8" i="1"/>
  <c r="K5" i="1"/>
  <c r="I26" i="1"/>
  <c r="I19" i="1"/>
  <c r="I18" i="1"/>
  <c r="I17" i="1"/>
  <c r="I16" i="1"/>
  <c r="I15" i="1"/>
  <c r="I14" i="1"/>
  <c r="I13" i="1"/>
  <c r="I12" i="1"/>
  <c r="I11" i="1"/>
  <c r="I10" i="1"/>
  <c r="I9" i="1"/>
  <c r="I8" i="1"/>
  <c r="I5" i="1"/>
  <c r="G26" i="1"/>
  <c r="G19" i="1"/>
  <c r="G18" i="1"/>
  <c r="G17" i="1"/>
  <c r="G16" i="1"/>
  <c r="G15" i="1"/>
  <c r="G14" i="1"/>
  <c r="G13" i="1"/>
  <c r="G12" i="1"/>
  <c r="G11" i="1"/>
  <c r="G10" i="1"/>
  <c r="G9" i="1"/>
  <c r="G8" i="1"/>
  <c r="G5" i="1"/>
  <c r="G4" i="1"/>
  <c r="E26" i="1"/>
  <c r="E19" i="1"/>
  <c r="E18" i="1"/>
  <c r="E17" i="1"/>
  <c r="E16" i="1"/>
  <c r="E15" i="1"/>
  <c r="E14" i="1"/>
  <c r="E13" i="1"/>
  <c r="E12" i="1"/>
  <c r="E11" i="1"/>
  <c r="E10" i="1"/>
  <c r="E9" i="1"/>
  <c r="E8" i="1"/>
  <c r="E5" i="1"/>
  <c r="E4" i="1"/>
  <c r="M27" i="1" l="1"/>
  <c r="AB26" i="1" l="1"/>
  <c r="AC26" i="1" s="1"/>
  <c r="AB19" i="1"/>
  <c r="AC19" i="1" s="1"/>
  <c r="AB18" i="1"/>
  <c r="AC18" i="1" s="1"/>
  <c r="AB17" i="1"/>
  <c r="AC17" i="1" s="1"/>
  <c r="AB16" i="1"/>
  <c r="AC16" i="1" s="1"/>
  <c r="AB15" i="1"/>
  <c r="AC15" i="1" s="1"/>
  <c r="AB14" i="1"/>
  <c r="AC14" i="1" s="1"/>
  <c r="AB13" i="1"/>
  <c r="AC13" i="1" s="1"/>
  <c r="AB12" i="1"/>
  <c r="AC12" i="1" s="1"/>
  <c r="AC11" i="1"/>
  <c r="AB10" i="1"/>
  <c r="AC10" i="1" s="1"/>
  <c r="AB9" i="1"/>
  <c r="AC9" i="1" s="1"/>
  <c r="AB8" i="1"/>
  <c r="AC8" i="1" s="1"/>
  <c r="AB5" i="1"/>
  <c r="AC5" i="1" s="1"/>
  <c r="AC4" i="1"/>
  <c r="AB58" i="1"/>
  <c r="AB59" i="1"/>
  <c r="AB60" i="1"/>
  <c r="AB61" i="1"/>
  <c r="AB62" i="1"/>
  <c r="AB63" i="1"/>
  <c r="D55" i="1"/>
  <c r="F55" i="1"/>
  <c r="H55" i="1"/>
  <c r="J55" i="1"/>
  <c r="L55" i="1"/>
  <c r="N55" i="1"/>
  <c r="P55" i="1"/>
  <c r="R55" i="1"/>
  <c r="T55" i="1"/>
  <c r="V55" i="1"/>
  <c r="X55" i="1"/>
  <c r="Z55" i="1"/>
  <c r="D27" i="1"/>
  <c r="F27" i="1"/>
  <c r="H27" i="1"/>
  <c r="J27" i="1"/>
  <c r="L27" i="1"/>
  <c r="N27" i="1"/>
  <c r="P27" i="1"/>
  <c r="R27" i="1"/>
  <c r="T27" i="1"/>
  <c r="V27" i="1"/>
  <c r="X27" i="1"/>
  <c r="Z27" i="1"/>
  <c r="AB35" i="1"/>
  <c r="AC35" i="1" s="1"/>
  <c r="AB34" i="1"/>
  <c r="AC34" i="1" s="1"/>
  <c r="AB33" i="1"/>
  <c r="AC33" i="1" s="1"/>
  <c r="AB32" i="1"/>
  <c r="AC32" i="1" s="1"/>
  <c r="AB31" i="1"/>
  <c r="AC31" i="1" s="1"/>
  <c r="F66" i="1" l="1"/>
  <c r="D66" i="1"/>
  <c r="AB27" i="1"/>
  <c r="M18" i="4"/>
  <c r="Q27" i="1"/>
  <c r="W27" i="1"/>
  <c r="E27" i="1"/>
  <c r="AA27" i="1"/>
  <c r="S27" i="1"/>
  <c r="Y27" i="1"/>
  <c r="G27" i="1"/>
  <c r="K27" i="1"/>
  <c r="I27" i="1"/>
  <c r="U27" i="1"/>
  <c r="O27" i="1"/>
  <c r="R66" i="1"/>
  <c r="P66" i="1"/>
  <c r="T66" i="1"/>
  <c r="X66" i="1"/>
  <c r="N66" i="1"/>
  <c r="L66" i="1"/>
  <c r="Z66" i="1"/>
  <c r="H66" i="1"/>
  <c r="V66" i="1"/>
  <c r="J66" i="1"/>
  <c r="AB64" i="1"/>
  <c r="AB55" i="1"/>
  <c r="Y66" i="1" l="1"/>
  <c r="AA66" i="1"/>
  <c r="AB66" i="1"/>
  <c r="S66" i="1"/>
  <c r="U66" i="1"/>
  <c r="W66" i="1"/>
  <c r="Q66" i="1"/>
  <c r="E66" i="1"/>
  <c r="G66" i="1"/>
  <c r="O66" i="1"/>
  <c r="I66" i="1"/>
  <c r="AC27" i="1"/>
  <c r="N18" i="4" l="1"/>
</calcChain>
</file>

<file path=xl/sharedStrings.xml><?xml version="1.0" encoding="utf-8"?>
<sst xmlns="http://schemas.openxmlformats.org/spreadsheetml/2006/main" count="1578" uniqueCount="277">
  <si>
    <t>Total</t>
  </si>
  <si>
    <t>Columbus 175-ml Super Red Smooth</t>
  </si>
  <si>
    <t>လက်သန့်ဆေး 100-ml</t>
  </si>
  <si>
    <t>လက်သန့်ဆေး 500-ml</t>
  </si>
  <si>
    <t>စတီးဘူး အသေး(ပဲ့ထိန်း)</t>
  </si>
  <si>
    <t>ရွှေမင်းသားခေါင်ရည် 600ml</t>
  </si>
  <si>
    <t>ရွှေမင်းသားခေါင်ရည် 640 ml</t>
  </si>
  <si>
    <t>Zeyawaddy Rum(H)</t>
  </si>
  <si>
    <t xml:space="preserve">Total ( BE) </t>
  </si>
  <si>
    <t xml:space="preserve">Total ( Whisky) </t>
  </si>
  <si>
    <t xml:space="preserve">Total ( Other) </t>
  </si>
  <si>
    <t>SR.</t>
  </si>
  <si>
    <t xml:space="preserve">Description </t>
  </si>
  <si>
    <t>ml</t>
  </si>
  <si>
    <t xml:space="preserve">Bottle </t>
  </si>
  <si>
    <t xml:space="preserve">Total ( BE) in Liters </t>
  </si>
  <si>
    <t>No</t>
  </si>
  <si>
    <t>Month</t>
  </si>
  <si>
    <t>2022 (BE)</t>
  </si>
  <si>
    <t>2023 (BE)</t>
  </si>
  <si>
    <t>2024 (BE)</t>
  </si>
  <si>
    <t>January</t>
  </si>
  <si>
    <t>February</t>
  </si>
  <si>
    <t>March</t>
  </si>
  <si>
    <t>April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</si>
  <si>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</si>
  <si>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</si>
  <si>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</si>
  <si>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</si>
  <si>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</si>
  <si>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</si>
  <si>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</si>
  <si>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</si>
  <si>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 xml:space="preserve">Liters </t>
  </si>
  <si>
    <t>BE Sales For MLM (All In Bottle)</t>
  </si>
  <si>
    <t>ဇေ Vodka</t>
  </si>
  <si>
    <t>ဇေ အရက်သန့်</t>
  </si>
  <si>
    <t>"ဇေ" ကော်ဘူး (1 Liter)</t>
  </si>
  <si>
    <t>"ဇေ" ကော်ဘူး (0.6 Liter)</t>
  </si>
  <si>
    <t>ဇေယျဝတီ Red (1 Liter) 30%</t>
  </si>
  <si>
    <t>ကောင်းကြည် (1 Liter ) 25%</t>
  </si>
  <si>
    <t>ကောင်းကြည် (0.6 Liter ) 25%</t>
  </si>
  <si>
    <t>ကောင်းကြည် (1 Liter ) 40%</t>
  </si>
  <si>
    <t>ဒဂုံမန်ကျည်း ကော်ဘူး (1 Liter)</t>
  </si>
  <si>
    <t>ရွှေမင်းသားခေါင်ရည် (0.6 Liter)</t>
  </si>
  <si>
    <t>ဇေယျဝတီ High 43%</t>
  </si>
  <si>
    <t>ဇေယျဝတီ Red (ပု)</t>
  </si>
  <si>
    <t>ဒဂုံမန်ကျည်းအရက်</t>
  </si>
  <si>
    <t>ကောင်းကြည်</t>
  </si>
  <si>
    <t>ဒဂုံနာနတ်ဝိုင်</t>
  </si>
  <si>
    <t>ဒဂုံအရက်သန့်</t>
  </si>
  <si>
    <t>Formula Rum 700ml</t>
  </si>
  <si>
    <t>Formula Rum 350ml</t>
  </si>
  <si>
    <t>Columbus 700ml</t>
  </si>
  <si>
    <t>Columbus 350ml</t>
  </si>
  <si>
    <t>Columbus 175ml</t>
  </si>
  <si>
    <t>Columbus 700ml Super Red Smooth</t>
  </si>
  <si>
    <t>Columbus 350ml Super Red Smooth</t>
  </si>
  <si>
    <t>Columbus 175ml Super Red Smooth</t>
  </si>
  <si>
    <t>Columbus 700ml X'Mass</t>
  </si>
  <si>
    <t>Ngwe Taung 700ml</t>
  </si>
  <si>
    <t>Columbus Steel ပဲ့ထိန်း 350ml</t>
  </si>
  <si>
    <t>Columbus Steel ပဲ့ထိန်း 175ml</t>
  </si>
  <si>
    <t>Columbus Steel ရွက်လှေ 175ml</t>
  </si>
  <si>
    <t>Columbus 700ml NFS</t>
  </si>
  <si>
    <t>ဇေယျဝတီ Red(14)</t>
  </si>
  <si>
    <t>ဇေယျဝတီ Red(24)</t>
  </si>
  <si>
    <t>Li</t>
  </si>
  <si>
    <t>"ဇေ" ကော်ဘူး (0.3Liter)</t>
  </si>
  <si>
    <t>ဒဂုံနာနတ်ဝိုင်-14</t>
  </si>
  <si>
    <t>ဒဂုံနာနတ်ဝိုင်-24</t>
  </si>
  <si>
    <t>ကောင်းကြည်-14</t>
  </si>
  <si>
    <r>
      <t>SKU Summary for MLM</t>
    </r>
    <r>
      <rPr>
        <b/>
        <sz val="10"/>
        <color rgb="FF002060"/>
        <rFont val="Pyidaungsu"/>
        <family val="2"/>
      </rPr>
      <t xml:space="preserve"> </t>
    </r>
    <r>
      <rPr>
        <b/>
        <sz val="10"/>
        <color rgb="FFFF0000"/>
        <rFont val="Pyidaungsu"/>
        <family val="2"/>
      </rPr>
      <t>(2022)</t>
    </r>
  </si>
  <si>
    <r>
      <t>Care</t>
    </r>
    <r>
      <rPr>
        <vertAlign val="superscript"/>
        <sz val="10"/>
        <rFont val="Pyidaungsu"/>
        <family val="2"/>
      </rPr>
      <t>+</t>
    </r>
    <r>
      <rPr>
        <sz val="10"/>
        <rFont val="Pyidaungsu"/>
        <family val="2"/>
      </rPr>
      <t xml:space="preserve"> အရက်ပြန် 700ml</t>
    </r>
  </si>
  <si>
    <r>
      <t>Care</t>
    </r>
    <r>
      <rPr>
        <vertAlign val="superscript"/>
        <sz val="10"/>
        <rFont val="Pyidaungsu"/>
        <family val="2"/>
      </rPr>
      <t>+</t>
    </r>
    <r>
      <rPr>
        <sz val="10"/>
        <rFont val="Pyidaungsu"/>
        <family val="2"/>
      </rPr>
      <t xml:space="preserve"> လက်သန့်ဆေး 100ml</t>
    </r>
  </si>
  <si>
    <r>
      <t>Care</t>
    </r>
    <r>
      <rPr>
        <vertAlign val="superscript"/>
        <sz val="10"/>
        <rFont val="Pyidaungsu"/>
        <family val="2"/>
      </rPr>
      <t>+</t>
    </r>
    <r>
      <rPr>
        <sz val="10"/>
        <rFont val="Pyidaungsu"/>
        <family val="2"/>
      </rPr>
      <t xml:space="preserve"> လက်သန့်ဆေး 500ml (SprayHead)</t>
    </r>
  </si>
  <si>
    <r>
      <t>Care</t>
    </r>
    <r>
      <rPr>
        <vertAlign val="superscript"/>
        <sz val="10"/>
        <rFont val="Pyidaungsu"/>
        <family val="2"/>
      </rPr>
      <t>+</t>
    </r>
    <r>
      <rPr>
        <sz val="10"/>
        <rFont val="Pyidaungsu"/>
        <family val="2"/>
      </rPr>
      <t xml:space="preserve"> လက်သန့်ဆေး 500ml (Cap)</t>
    </r>
  </si>
  <si>
    <r>
      <t>Care</t>
    </r>
    <r>
      <rPr>
        <vertAlign val="superscript"/>
        <sz val="10"/>
        <rFont val="Pyidaungsu"/>
        <family val="2"/>
      </rPr>
      <t>+</t>
    </r>
    <r>
      <rPr>
        <sz val="10"/>
        <rFont val="Pyidaungsu"/>
        <family val="2"/>
      </rPr>
      <t xml:space="preserve"> လက်သန့်ဆေး 640ml (Refill)</t>
    </r>
  </si>
  <si>
    <r>
      <t>Care</t>
    </r>
    <r>
      <rPr>
        <vertAlign val="superscript"/>
        <sz val="10"/>
        <rFont val="Pyidaungsu"/>
        <family val="2"/>
      </rPr>
      <t>+</t>
    </r>
    <r>
      <rPr>
        <sz val="10"/>
        <rFont val="Pyidaungsu"/>
        <family val="2"/>
      </rPr>
      <t xml:space="preserve"> လက်သန့်ဆေး 700ml (Refill)</t>
    </r>
  </si>
  <si>
    <r>
      <t>SKU Summary for MLM</t>
    </r>
    <r>
      <rPr>
        <b/>
        <sz val="10"/>
        <color rgb="FF002060"/>
        <rFont val="Pyidaungsu"/>
        <family val="2"/>
      </rPr>
      <t xml:space="preserve"> </t>
    </r>
    <r>
      <rPr>
        <b/>
        <sz val="10"/>
        <color rgb="FFFF0000"/>
        <rFont val="Pyidaungsu"/>
        <family val="2"/>
      </rPr>
      <t>(2023)</t>
    </r>
  </si>
  <si>
    <r>
      <t>SKU Summary for MLM</t>
    </r>
    <r>
      <rPr>
        <b/>
        <sz val="10"/>
        <color rgb="FF002060"/>
        <rFont val="Pyidaungsu"/>
        <family val="2"/>
      </rPr>
      <t xml:space="preserve"> </t>
    </r>
    <r>
      <rPr>
        <b/>
        <sz val="10"/>
        <color rgb="FFFF0000"/>
        <rFont val="Pyidaungsu"/>
        <family val="2"/>
      </rPr>
      <t>(2024)</t>
    </r>
  </si>
  <si>
    <t>ရက်စွဲ။     ။ ၂၀၂၄ခုနှစ်၊ အောက်တိုဘာ(၁၀)ရက်။</t>
  </si>
  <si>
    <r>
      <rPr>
        <b/>
        <sz val="10"/>
        <color theme="1"/>
        <rFont val="Pyidaungsu"/>
        <family val="2"/>
      </rPr>
      <t xml:space="preserve">                 SMM Shwe Myanmar ရောင်းဝယ်ရေး</t>
    </r>
    <r>
      <rPr>
        <sz val="10"/>
        <color theme="1"/>
        <rFont val="Pyidaungsu"/>
        <family val="2"/>
      </rPr>
      <t>မှ ထုတ်လုပ်ဖြန့်ချီလျှက်ရှိသော ကုန်ပစ္စည်းများအား
(၈.၁၀.၂၀၂၄)ရက်နေ့မှစ၍ အောက်ပါဈေးနှုန်းအသစ်များဖြင့် ဖြန့်ဖြူးရောင်းချသွားမည်ဖြစ်ပါကြောင်း လေးစားစွာဖြင့်
အသိပေးအကြောင်းကြားအပ်ပါသည်။</t>
    </r>
  </si>
  <si>
    <t>တစ်ပုလင်းစရိတ်</t>
  </si>
  <si>
    <t>စဉ်</t>
  </si>
  <si>
    <t>အမျိုးအမည်</t>
  </si>
  <si>
    <t>ပါဝင်မှုပုံစံ</t>
  </si>
  <si>
    <t>ထုတ်ပိုးပုံ</t>
  </si>
  <si>
    <t>တစ်ပုလင်း
ဈေးနှုန်း(ကျပ်)</t>
  </si>
  <si>
    <t>တစ်ပါကင်
ဈေးနှုန်း(ကျပ်)</t>
  </si>
  <si>
    <t>ကော်မရှင်</t>
  </si>
  <si>
    <t>ဈေးလျှော့</t>
  </si>
  <si>
    <t>အရက်ဖာ
လက်ဆောင်</t>
  </si>
  <si>
    <t>စရိတ်
Total</t>
  </si>
  <si>
    <t>ပျမ်းမျှတလ
ရောင်းအား</t>
  </si>
  <si>
    <t>မှတ်ချက်</t>
  </si>
  <si>
    <t>၇၀၀ မီလီ</t>
  </si>
  <si>
    <t>၁ x ၁၂</t>
  </si>
  <si>
    <t>၆၄၀ မီလီ</t>
  </si>
  <si>
    <t>၁ x ၁၄</t>
  </si>
  <si>
    <t>"ဇေ" ကော်ဘူး / Vodka (1 Liter)</t>
  </si>
  <si>
    <t>၁၀၀၀ မီလီ</t>
  </si>
  <si>
    <t>ဇေကော် (0.6 Liter)</t>
  </si>
  <si>
    <t>၆၀၀ မီလီ</t>
  </si>
  <si>
    <t>ဇေကော် (0.35 Liter)</t>
  </si>
  <si>
    <t>၃၅၀ မီလီ</t>
  </si>
  <si>
    <t>၁ x ၄၀</t>
  </si>
  <si>
    <t>ဇေယျဝတီ Red</t>
  </si>
  <si>
    <t>၁ x ၂၄</t>
  </si>
  <si>
    <t>ဇေယျဝတီSmooth (ပု)</t>
  </si>
  <si>
    <t>ကောင်းကြည် 1Liter</t>
  </si>
  <si>
    <t>ကောင်းကြည် 0.6 Liter</t>
  </si>
  <si>
    <t>မန်ကျည်း (1 Liter)</t>
  </si>
  <si>
    <t>မှတ်ချက်။     ။ လစဉ်ပေးအပ်ချီးမြှင့်လျှက်ရှိသော ရောင်းအားချီးမြှင့်ဆုများနှင့် FOC များကိုလည်း ဆက်လက်ပေးအပ်
                     သွားမည်ဖြစ်ပါသည်။                                             ဝယ်ယူအားပေးမှုကိုကျေးဇူးအထူးတင်ရှိပါသည်။</t>
  </si>
  <si>
    <t>ဈေးနှုန်းပြောင်းလဲသတ်မှတ်ခြင်း</t>
  </si>
  <si>
    <t>လက်ဆောင်ပေးပစ္စည်း
တီရှပ်+ဖန်ခွက်+မိုးကာ</t>
  </si>
  <si>
    <t>ကံစမ်းမဲ</t>
  </si>
  <si>
    <t>W ကံစမ်းမဲရှိ</t>
  </si>
  <si>
    <t>၁၇၅ မီလီ</t>
  </si>
  <si>
    <t>၁ x ၄၈</t>
  </si>
  <si>
    <t>-</t>
  </si>
  <si>
    <t>F ကံစမ်းမဲရှိ</t>
  </si>
  <si>
    <t>ကော်မရှင်နှုန်းထားများ (Columbus+Formula)</t>
  </si>
  <si>
    <t>ပါကင်အရေအတွက်</t>
  </si>
  <si>
    <t>တစ်ပါကင် ကော်မရှင်(ကျပ်)</t>
  </si>
  <si>
    <t>(၁)ပါကင်မှ (၁၉)ပါကင်အထိ</t>
  </si>
  <si>
    <t>၂၄၀ ကျပ်</t>
  </si>
  <si>
    <t>(၂၀)ပါကင်မှ (၄၉)ပါကင်အထိ</t>
  </si>
  <si>
    <t>၃၄၀ ကျပ်</t>
  </si>
  <si>
    <t>(၅၀)ပါကင်မှ (၉၉)ပါကင်အထိ</t>
  </si>
  <si>
    <t>၄၄၀ ကျပ်</t>
  </si>
  <si>
    <t>(၁၀၀)ပါကင်မှ (၁၉၉)ပါကင်အထိ</t>
  </si>
  <si>
    <t>၅၄၀ ကျပ်</t>
  </si>
  <si>
    <t>(၂၀၀)ပါကင်နှင့်အထက်</t>
  </si>
  <si>
    <t>၆၄၀ ကျပ်</t>
  </si>
  <si>
    <t>SMM Shwe Myanmar Beverages Co.,Ltd.</t>
  </si>
  <si>
    <t>"Zay" Vodka 700-ml</t>
  </si>
  <si>
    <t>"Zay" Vodka (1 Liter)</t>
  </si>
  <si>
    <t>"Zay" (1 Liter)</t>
  </si>
  <si>
    <t>"Zay" (0.6 Liter)</t>
  </si>
  <si>
    <t>"Zay" (0.35 Liter)</t>
  </si>
  <si>
    <t>"Zay" Vodka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</si>
  <si>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</si>
  <si>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</si>
  <si>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</si>
  <si>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</si>
  <si>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</si>
  <si>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</si>
  <si>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</si>
  <si>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</si>
  <si>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</si>
  <si>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</si>
  <si>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</si>
  <si>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</si>
  <si>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</si>
  <si>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</si>
  <si>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</si>
  <si>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</si>
  <si>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</si>
  <si>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</si>
  <si>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</si>
  <si>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</si>
  <si>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</si>
  <si>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</si>
  <si>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</si>
  <si>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</si>
  <si>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</si>
  <si>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</si>
  <si>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</si>
  <si>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Dagon Tamarind (1 Liter)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</si>
  <si>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</si>
  <si>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</si>
  <si>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</si>
  <si>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</si>
  <si>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</si>
  <si>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</si>
  <si>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</si>
  <si>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</si>
  <si>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</si>
  <si>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</si>
  <si>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</si>
  <si>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</si>
  <si>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</si>
  <si>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</si>
  <si>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</si>
  <si>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</si>
  <si>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</si>
  <si>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</si>
  <si>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</si>
  <si>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</si>
  <si>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</si>
  <si>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Super Vodka (1 Liter) - 38%</t>
  </si>
  <si>
    <t xml:space="preserve">Burma Gin (1 Liter) - 40% </t>
  </si>
  <si>
    <t>ချယ်ရီသဘာဝအားဖြည့်ကောက်ညှင်း</t>
  </si>
  <si>
    <t>ရွှေမင်းသားခေါင်ရည်</t>
  </si>
  <si>
    <t xml:space="preserve">White Orange </t>
  </si>
  <si>
    <t>စပါး</t>
  </si>
  <si>
    <t xml:space="preserve">Dagon </t>
  </si>
  <si>
    <t>မန်းဘီအီး</t>
  </si>
  <si>
    <t>ပျားသံပုရာ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</si>
  <si>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</si>
  <si>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</si>
  <si>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</si>
  <si>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</si>
  <si>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</si>
  <si>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ပုံးဘီအီး</t>
  </si>
  <si>
    <t xml:space="preserve">SRS - Columbus 700ml </t>
  </si>
  <si>
    <t xml:space="preserve">SRS - Columbus 350ml </t>
  </si>
  <si>
    <t xml:space="preserve">SRS - Columbus 175ml </t>
  </si>
  <si>
    <t>Blended Whisky 700ml</t>
  </si>
  <si>
    <t>Blended Whisky 350ml</t>
  </si>
  <si>
    <t>Simple Whisky 700 ML</t>
  </si>
  <si>
    <t>Simple Whisky 350 ML</t>
  </si>
  <si>
    <t>လက်ဆောင်ပေးစာရင်း</t>
  </si>
  <si>
    <r>
      <t>SKU Summary for MLM</t>
    </r>
    <r>
      <rPr>
        <b/>
        <sz val="10"/>
        <color rgb="FF002060"/>
        <rFont val="Pyidaungsu"/>
        <family val="2"/>
      </rPr>
      <t xml:space="preserve"> </t>
    </r>
    <r>
      <rPr>
        <b/>
        <sz val="10"/>
        <color rgb="FFFF0000"/>
        <rFont val="Pyidaungsu"/>
        <family val="2"/>
      </rPr>
      <t>(2025)</t>
    </r>
  </si>
  <si>
    <t>2025 (BE)</t>
  </si>
  <si>
    <t>"Zay" Vodka - 640ml</t>
  </si>
  <si>
    <t>မိုးနဲကွန်ကီကော်ဘူး(0.6 Liter)</t>
  </si>
  <si>
    <t>Care+ အရက်ပြန် 700 ml</t>
  </si>
  <si>
    <t>Care+ အရက်ပြန် 20 Liter</t>
  </si>
  <si>
    <t>Golden Triangle</t>
  </si>
  <si>
    <t>MLM</t>
  </si>
  <si>
    <t>Sr.</t>
  </si>
  <si>
    <t xml:space="preserve">Product Name </t>
  </si>
  <si>
    <t>Ranking</t>
  </si>
  <si>
    <t>ML</t>
  </si>
  <si>
    <t xml:space="preserve">Packing </t>
  </si>
  <si>
    <t>Sales Price</t>
  </si>
  <si>
    <t>2025 Total</t>
  </si>
  <si>
    <t>Bot</t>
  </si>
  <si>
    <t>Lit</t>
  </si>
  <si>
    <t>ပုလင်း</t>
  </si>
  <si>
    <t>1 * 12</t>
  </si>
  <si>
    <t>‌ကော်ဘူး</t>
  </si>
  <si>
    <t>1 * 40</t>
  </si>
  <si>
    <t>1 * 24</t>
  </si>
  <si>
    <t>1 * 14</t>
  </si>
  <si>
    <t>1*12</t>
  </si>
  <si>
    <t>Dagon Tamarind - 600ml</t>
  </si>
  <si>
    <t>1* 24</t>
  </si>
  <si>
    <t>Paddyစပါး</t>
  </si>
  <si>
    <t>1 * 20</t>
  </si>
  <si>
    <t>ရုပ်ပျို</t>
  </si>
  <si>
    <t>1*50</t>
  </si>
  <si>
    <t>BE စုစုပေါင်း</t>
  </si>
  <si>
    <t>1 * 48</t>
  </si>
  <si>
    <t>1*6</t>
  </si>
  <si>
    <t>Whisky စုစုပေါင်း</t>
  </si>
  <si>
    <t>All Total</t>
  </si>
  <si>
    <t>သံပုရာအရက်</t>
  </si>
  <si>
    <t>Super Liquor</t>
  </si>
  <si>
    <t>2022 Total</t>
  </si>
  <si>
    <t>2023 Total</t>
  </si>
  <si>
    <t>2024 Total</t>
  </si>
  <si>
    <t>BE (KK) Sales For MLM (All In Bottle)</t>
  </si>
  <si>
    <t>2022 (KK)</t>
  </si>
  <si>
    <t>2023 (KK)</t>
  </si>
  <si>
    <t>2024 (KK)</t>
  </si>
  <si>
    <t>2025 (KK)</t>
  </si>
  <si>
    <t>ရွှေမင်းသားမန်ကျည်းခေါင်ရည်</t>
  </si>
  <si>
    <t>ကော်ဘူး</t>
  </si>
  <si>
    <t>1 *14</t>
  </si>
  <si>
    <t>Three Lions OP - 55% Alc</t>
  </si>
  <si>
    <t>Three Lions OP - 35% Alc</t>
  </si>
  <si>
    <t>ရွှေမန်း -  Rum</t>
  </si>
  <si>
    <t>Ngwe Taung 700ml (New)</t>
  </si>
  <si>
    <t>Ngwe Taung 700ml (ဂါလံ)</t>
  </si>
  <si>
    <t>1* 14</t>
  </si>
  <si>
    <t>2026 Total</t>
  </si>
  <si>
    <t xml:space="preserve"> Dagon ကော်ဘူး 1-Ltr</t>
  </si>
  <si>
    <t>2026 (BE)</t>
  </si>
  <si>
    <t>2026 (KK)</t>
  </si>
  <si>
    <t xml:space="preserve"> OP - 87% Alc (red)</t>
  </si>
  <si>
    <t>OP - 69% Alc (green)</t>
  </si>
  <si>
    <t>ဆန်ပုံး (ဝါ)</t>
  </si>
  <si>
    <t>ဆန်ပုံး (ပြာ)</t>
  </si>
  <si>
    <t>114-Care+ လက်သန့်ဆေးရည်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</si>
</sst>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10000455]0"/>
    <numFmt numFmtId="166" formatCode="[$-409]mmm\-yy;@"/>
  </numFmts>
  <fonts count="20" x14ac:knownFonts="1">
    <font>
      <sz val="11"/>
      <color theme="1"/>
      <name val="Pyidaungsu"/>
      <family val="2"/>
    </font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sz val="12"/>
      <color theme="1"/>
      <name val="Calibri"/>
      <family val="2"/>
      <scheme val="minor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b/>
      <sz val="10"/>
      <color rgb="FFFF0000"/>
      <name val="Pyidaungsu"/>
      <family val="2"/>
    </font>
    <font>
      <sz val="10"/>
      <color rgb="FFFF0000"/>
      <name val="Pyidaungsu"/>
      <family val="2"/>
    </font>
    <font>
      <b/>
      <sz val="10"/>
      <name val="Pyidaungsu"/>
      <family val="2"/>
    </font>
    <font>
      <b/>
      <sz val="10"/>
      <color rgb="FF002060"/>
      <name val="Pyidaungsu"/>
      <family val="2"/>
    </font>
    <font>
      <sz val="10"/>
      <name val="Pyidaungsu"/>
      <family val="2"/>
    </font>
    <font>
      <vertAlign val="superscript"/>
      <sz val="10"/>
      <name val="Pyidaungsu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Pyidaungsu"/>
      <family val="2"/>
    </font>
    <font>
      <b/>
      <sz val="11"/>
      <color theme="1"/>
      <name val="Pyidaungsu"/>
      <family val="2"/>
    </font>
    <font>
      <b/>
      <sz val="11"/>
      <color rgb="FFFF0000"/>
      <name val="Pyidaungsu"/>
      <family val="2"/>
    </font>
    <font>
      <b/>
      <sz val="11"/>
      <name val="Pyidaungsu"/>
      <family val="2"/>
    </font>
    <font>
      <b/>
      <sz val="13"/>
      <color theme="1"/>
      <name val="Pyidaungsu"/>
      <family val="2"/>
    </font>
    <font>
      <sz val="11"/>
      <color theme="1"/>
      <name val="Zawgyi-One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224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6" fillId="0" borderId="0" xfId="1" applyNumberFormat="1" applyFont="1" applyBorder="1" applyAlignment="1"/>
    <xf numFmtId="164" fontId="7" fillId="0" borderId="0" xfId="1" applyNumberFormat="1" applyFont="1"/>
    <xf numFmtId="0" fontId="5" fillId="0" borderId="0" xfId="0" applyFont="1"/>
    <xf numFmtId="17" fontId="4" fillId="0" borderId="5" xfId="0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5" fillId="6" borderId="5" xfId="0" applyFont="1" applyFill="1" applyBorder="1"/>
    <xf numFmtId="164" fontId="7" fillId="0" borderId="5" xfId="1" applyNumberFormat="1" applyFont="1" applyBorder="1" applyAlignment="1">
      <alignment horizontal="center"/>
    </xf>
    <xf numFmtId="164" fontId="5" fillId="0" borderId="5" xfId="1" applyNumberFormat="1" applyFont="1" applyBorder="1"/>
    <xf numFmtId="164" fontId="5" fillId="6" borderId="5" xfId="1" applyNumberFormat="1" applyFont="1" applyFill="1" applyBorder="1"/>
    <xf numFmtId="164" fontId="10" fillId="6" borderId="5" xfId="1" applyNumberFormat="1" applyFont="1" applyFill="1" applyBorder="1" applyAlignment="1">
      <alignment vertical="center"/>
    </xf>
    <xf numFmtId="164" fontId="5" fillId="0" borderId="0" xfId="0" applyNumberFormat="1" applyFont="1"/>
    <xf numFmtId="0" fontId="10" fillId="0" borderId="5" xfId="0" applyFont="1" applyBorder="1" applyAlignment="1">
      <alignment vertical="center"/>
    </xf>
    <xf numFmtId="0" fontId="5" fillId="0" borderId="5" xfId="0" applyFont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/>
    <xf numFmtId="0" fontId="5" fillId="2" borderId="5" xfId="0" applyFont="1" applyFill="1" applyBorder="1" applyAlignment="1">
      <alignment horizontal="center"/>
    </xf>
    <xf numFmtId="164" fontId="5" fillId="2" borderId="5" xfId="1" applyNumberFormat="1" applyFont="1" applyFill="1" applyBorder="1"/>
    <xf numFmtId="164" fontId="7" fillId="2" borderId="5" xfId="1" applyNumberFormat="1" applyFont="1" applyFill="1" applyBorder="1"/>
    <xf numFmtId="164" fontId="7" fillId="0" borderId="5" xfId="1" applyNumberFormat="1" applyFont="1" applyBorder="1"/>
    <xf numFmtId="164" fontId="10" fillId="0" borderId="5" xfId="1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4" xfId="1" applyNumberFormat="1" applyFont="1" applyBorder="1"/>
    <xf numFmtId="164" fontId="5" fillId="6" borderId="15" xfId="1" applyNumberFormat="1" applyFont="1" applyFill="1" applyBorder="1"/>
    <xf numFmtId="164" fontId="10" fillId="6" borderId="5" xfId="1" applyNumberFormat="1" applyFont="1" applyFill="1" applyBorder="1"/>
    <xf numFmtId="164" fontId="5" fillId="6" borderId="12" xfId="1" applyNumberFormat="1" applyFont="1" applyFill="1" applyBorder="1"/>
    <xf numFmtId="164" fontId="5" fillId="6" borderId="16" xfId="1" applyNumberFormat="1" applyFont="1" applyFill="1" applyBorder="1"/>
    <xf numFmtId="164" fontId="5" fillId="0" borderId="12" xfId="1" applyNumberFormat="1" applyFont="1" applyBorder="1"/>
    <xf numFmtId="0" fontId="5" fillId="0" borderId="9" xfId="0" applyFont="1" applyBorder="1" applyAlignment="1">
      <alignment horizontal="center"/>
    </xf>
    <xf numFmtId="0" fontId="5" fillId="6" borderId="15" xfId="0" applyFont="1" applyFill="1" applyBorder="1"/>
    <xf numFmtId="0" fontId="5" fillId="0" borderId="9" xfId="0" applyFont="1" applyBorder="1"/>
    <xf numFmtId="0" fontId="5" fillId="2" borderId="9" xfId="0" applyFont="1" applyFill="1" applyBorder="1"/>
    <xf numFmtId="0" fontId="5" fillId="2" borderId="9" xfId="0" applyFont="1" applyFill="1" applyBorder="1" applyAlignment="1">
      <alignment horizontal="center"/>
    </xf>
    <xf numFmtId="164" fontId="7" fillId="2" borderId="4" xfId="1" applyNumberFormat="1" applyFont="1" applyFill="1" applyBorder="1"/>
    <xf numFmtId="164" fontId="10" fillId="2" borderId="5" xfId="1" applyNumberFormat="1" applyFont="1" applyFill="1" applyBorder="1"/>
    <xf numFmtId="0" fontId="5" fillId="0" borderId="15" xfId="0" applyFont="1" applyBorder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6" xfId="0" applyFont="1" applyBorder="1"/>
    <xf numFmtId="164" fontId="7" fillId="0" borderId="6" xfId="1" applyNumberFormat="1" applyFont="1" applyBorder="1"/>
    <xf numFmtId="164" fontId="5" fillId="0" borderId="6" xfId="1" applyNumberFormat="1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7" fillId="0" borderId="12" xfId="1" applyNumberFormat="1" applyFont="1" applyBorder="1"/>
    <xf numFmtId="164" fontId="7" fillId="0" borderId="13" xfId="1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164" fontId="5" fillId="0" borderId="2" xfId="1" applyNumberFormat="1" applyFont="1" applyBorder="1"/>
    <xf numFmtId="164" fontId="7" fillId="0" borderId="2" xfId="1" applyNumberFormat="1" applyFont="1" applyBorder="1"/>
    <xf numFmtId="164" fontId="7" fillId="0" borderId="3" xfId="1" applyNumberFormat="1" applyFont="1" applyBorder="1"/>
    <xf numFmtId="0" fontId="6" fillId="0" borderId="0" xfId="0" applyFont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164" fontId="10" fillId="0" borderId="5" xfId="1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 vertical="center"/>
    </xf>
    <xf numFmtId="164" fontId="10" fillId="6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/>
    </xf>
    <xf numFmtId="3" fontId="12" fillId="8" borderId="18" xfId="0" applyNumberFormat="1" applyFont="1" applyFill="1" applyBorder="1" applyAlignment="1">
      <alignment horizontal="center" vertical="center"/>
    </xf>
    <xf numFmtId="164" fontId="10" fillId="6" borderId="5" xfId="1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5" xfId="1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3" fontId="13" fillId="7" borderId="17" xfId="0" applyNumberFormat="1" applyFont="1" applyFill="1" applyBorder="1" applyAlignment="1">
      <alignment horizontal="center" vertical="center"/>
    </xf>
    <xf numFmtId="3" fontId="12" fillId="7" borderId="17" xfId="0" applyNumberFormat="1" applyFont="1" applyFill="1" applyBorder="1" applyAlignment="1">
      <alignment horizontal="center" vertical="center"/>
    </xf>
    <xf numFmtId="4" fontId="13" fillId="7" borderId="17" xfId="0" applyNumberFormat="1" applyFont="1" applyFill="1" applyBorder="1" applyAlignment="1">
      <alignment horizontal="center" vertical="center"/>
    </xf>
    <xf numFmtId="164" fontId="5" fillId="6" borderId="15" xfId="1" applyNumberFormat="1" applyFont="1" applyFill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164" fontId="5" fillId="6" borderId="12" xfId="1" applyNumberFormat="1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164" fontId="5" fillId="2" borderId="5" xfId="1" applyNumberFormat="1" applyFont="1" applyFill="1" applyBorder="1" applyAlignment="1">
      <alignment horizontal="center"/>
    </xf>
    <xf numFmtId="164" fontId="7" fillId="2" borderId="4" xfId="1" applyNumberFormat="1" applyFont="1" applyFill="1" applyBorder="1" applyAlignment="1">
      <alignment horizontal="center"/>
    </xf>
    <xf numFmtId="164" fontId="7" fillId="2" borderId="5" xfId="1" applyNumberFormat="1" applyFont="1" applyFill="1" applyBorder="1" applyAlignment="1">
      <alignment horizontal="center"/>
    </xf>
    <xf numFmtId="164" fontId="10" fillId="2" borderId="5" xfId="1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7" fillId="0" borderId="6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164" fontId="7" fillId="0" borderId="13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4" fontId="7" fillId="6" borderId="5" xfId="1" applyNumberFormat="1" applyFont="1" applyFill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43" fontId="8" fillId="6" borderId="5" xfId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164" fontId="10" fillId="6" borderId="5" xfId="1" applyNumberFormat="1" applyFont="1" applyFill="1" applyBorder="1" applyAlignment="1">
      <alignment horizontal="right" vertical="center"/>
    </xf>
    <xf numFmtId="0" fontId="10" fillId="6" borderId="5" xfId="0" applyFont="1" applyFill="1" applyBorder="1" applyAlignment="1">
      <alignment vertical="center"/>
    </xf>
    <xf numFmtId="165" fontId="5" fillId="6" borderId="20" xfId="0" applyNumberFormat="1" applyFont="1" applyFill="1" applyBorder="1" applyAlignment="1">
      <alignment vertical="center"/>
    </xf>
    <xf numFmtId="164" fontId="10" fillId="6" borderId="0" xfId="1" applyNumberFormat="1" applyFont="1" applyFill="1" applyBorder="1" applyAlignment="1">
      <alignment vertical="center"/>
    </xf>
    <xf numFmtId="164" fontId="10" fillId="6" borderId="0" xfId="1" applyNumberFormat="1" applyFont="1" applyFill="1" applyBorder="1" applyAlignment="1">
      <alignment horizontal="center" vertical="center"/>
    </xf>
    <xf numFmtId="164" fontId="10" fillId="6" borderId="0" xfId="1" applyNumberFormat="1" applyFont="1" applyFill="1" applyBorder="1" applyAlignment="1">
      <alignment horizontal="right" vertical="center"/>
    </xf>
    <xf numFmtId="165" fontId="5" fillId="6" borderId="0" xfId="0" applyNumberFormat="1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164" fontId="8" fillId="6" borderId="5" xfId="1" applyNumberFormat="1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5" fillId="0" borderId="0" xfId="4" applyFont="1"/>
    <xf numFmtId="17" fontId="4" fillId="0" borderId="5" xfId="4" applyNumberFormat="1" applyFont="1" applyBorder="1" applyAlignment="1">
      <alignment horizontal="center"/>
    </xf>
    <xf numFmtId="17" fontId="4" fillId="4" borderId="5" xfId="4" applyNumberFormat="1" applyFont="1" applyFill="1" applyBorder="1" applyAlignment="1">
      <alignment horizontal="center"/>
    </xf>
    <xf numFmtId="0" fontId="10" fillId="0" borderId="5" xfId="3" applyFont="1" applyBorder="1" applyAlignment="1">
      <alignment horizontal="left" vertical="center"/>
    </xf>
    <xf numFmtId="164" fontId="5" fillId="0" borderId="5" xfId="1" applyNumberFormat="1" applyFont="1" applyFill="1" applyBorder="1"/>
    <xf numFmtId="164" fontId="7" fillId="0" borderId="5" xfId="1" applyNumberFormat="1" applyFont="1" applyFill="1" applyBorder="1"/>
    <xf numFmtId="164" fontId="5" fillId="4" borderId="5" xfId="1" applyNumberFormat="1" applyFont="1" applyFill="1" applyBorder="1"/>
    <xf numFmtId="164" fontId="7" fillId="4" borderId="5" xfId="1" applyNumberFormat="1" applyFont="1" applyFill="1" applyBorder="1"/>
    <xf numFmtId="0" fontId="5" fillId="0" borderId="5" xfId="4" applyFont="1" applyBorder="1" applyAlignment="1">
      <alignment vertical="center"/>
    </xf>
    <xf numFmtId="0" fontId="10" fillId="6" borderId="5" xfId="3" applyFont="1" applyFill="1" applyBorder="1" applyAlignment="1">
      <alignment horizontal="left" vertical="center"/>
    </xf>
    <xf numFmtId="164" fontId="5" fillId="0" borderId="5" xfId="1" applyNumberFormat="1" applyFont="1" applyFill="1" applyBorder="1" applyAlignment="1">
      <alignment vertical="center"/>
    </xf>
    <xf numFmtId="43" fontId="5" fillId="0" borderId="5" xfId="5" applyFont="1" applyFill="1" applyBorder="1" applyAlignment="1">
      <alignment horizontal="center" vertical="center"/>
    </xf>
    <xf numFmtId="165" fontId="8" fillId="9" borderId="5" xfId="3" applyNumberFormat="1" applyFont="1" applyFill="1" applyBorder="1" applyAlignment="1">
      <alignment horizontal="center" vertical="center"/>
    </xf>
    <xf numFmtId="0" fontId="4" fillId="9" borderId="5" xfId="4" applyFont="1" applyFill="1" applyBorder="1" applyAlignment="1">
      <alignment vertical="center"/>
    </xf>
    <xf numFmtId="0" fontId="6" fillId="9" borderId="5" xfId="3" applyFont="1" applyFill="1" applyBorder="1" applyAlignment="1">
      <alignment vertical="center" wrapText="1"/>
    </xf>
    <xf numFmtId="43" fontId="4" fillId="9" borderId="5" xfId="5" applyFont="1" applyFill="1" applyBorder="1" applyAlignment="1">
      <alignment horizontal="center" vertical="center"/>
    </xf>
    <xf numFmtId="164" fontId="8" fillId="9" borderId="5" xfId="1" applyNumberFormat="1" applyFont="1" applyFill="1" applyBorder="1"/>
    <xf numFmtId="164" fontId="6" fillId="9" borderId="5" xfId="1" applyNumberFormat="1" applyFont="1" applyFill="1" applyBorder="1"/>
    <xf numFmtId="164" fontId="8" fillId="4" borderId="5" xfId="1" applyNumberFormat="1" applyFont="1" applyFill="1" applyBorder="1"/>
    <xf numFmtId="164" fontId="6" fillId="4" borderId="5" xfId="1" applyNumberFormat="1" applyFont="1" applyFill="1" applyBorder="1"/>
    <xf numFmtId="43" fontId="5" fillId="0" borderId="5" xfId="6" applyFont="1" applyFill="1" applyBorder="1" applyAlignment="1">
      <alignment horizontal="center" vertical="center"/>
    </xf>
    <xf numFmtId="0" fontId="4" fillId="9" borderId="5" xfId="4" applyFont="1" applyFill="1" applyBorder="1" applyAlignment="1">
      <alignment horizontal="center" vertical="center"/>
    </xf>
    <xf numFmtId="0" fontId="6" fillId="10" borderId="5" xfId="3" applyFont="1" applyFill="1" applyBorder="1" applyAlignment="1">
      <alignment vertical="center"/>
    </xf>
    <xf numFmtId="0" fontId="6" fillId="10" borderId="5" xfId="3" applyFont="1" applyFill="1" applyBorder="1" applyAlignment="1">
      <alignment vertical="center" wrapText="1"/>
    </xf>
    <xf numFmtId="0" fontId="6" fillId="11" borderId="5" xfId="3" applyFont="1" applyFill="1" applyBorder="1" applyAlignment="1">
      <alignment vertical="center" wrapText="1"/>
    </xf>
    <xf numFmtId="164" fontId="4" fillId="11" borderId="5" xfId="1" applyNumberFormat="1" applyFont="1" applyFill="1" applyBorder="1"/>
    <xf numFmtId="164" fontId="6" fillId="11" borderId="5" xfId="1" applyNumberFormat="1" applyFont="1" applyFill="1" applyBorder="1"/>
    <xf numFmtId="164" fontId="4" fillId="4" borderId="5" xfId="1" applyNumberFormat="1" applyFont="1" applyFill="1" applyBorder="1"/>
    <xf numFmtId="0" fontId="5" fillId="0" borderId="0" xfId="4" applyFont="1" applyAlignment="1">
      <alignment horizontal="left" vertical="center"/>
    </xf>
    <xf numFmtId="0" fontId="7" fillId="0" borderId="0" xfId="4" applyFont="1"/>
    <xf numFmtId="164" fontId="5" fillId="0" borderId="0" xfId="4" applyNumberFormat="1" applyFont="1"/>
    <xf numFmtId="164" fontId="7" fillId="0" borderId="0" xfId="4" applyNumberFormat="1" applyFont="1"/>
    <xf numFmtId="165" fontId="5" fillId="0" borderId="0" xfId="4" applyNumberFormat="1" applyFont="1"/>
    <xf numFmtId="165" fontId="7" fillId="0" borderId="0" xfId="4" applyNumberFormat="1" applyFont="1"/>
    <xf numFmtId="43" fontId="5" fillId="0" borderId="5" xfId="1" applyFont="1" applyBorder="1" applyAlignment="1">
      <alignment horizontal="center"/>
    </xf>
    <xf numFmtId="164" fontId="6" fillId="0" borderId="5" xfId="1" applyNumberFormat="1" applyFont="1" applyFill="1" applyBorder="1" applyAlignment="1">
      <alignment horizontal="center"/>
    </xf>
    <xf numFmtId="164" fontId="4" fillId="12" borderId="5" xfId="1" applyNumberFormat="1" applyFont="1" applyFill="1" applyBorder="1"/>
    <xf numFmtId="164" fontId="6" fillId="4" borderId="5" xfId="1" applyNumberFormat="1" applyFont="1" applyFill="1" applyBorder="1" applyAlignment="1">
      <alignment horizontal="center"/>
    </xf>
    <xf numFmtId="0" fontId="2" fillId="0" borderId="0" xfId="2" applyFont="1" applyAlignment="1">
      <alignment horizontal="center"/>
    </xf>
    <xf numFmtId="0" fontId="15" fillId="0" borderId="5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14" fillId="0" borderId="5" xfId="1" applyNumberFormat="1" applyFont="1" applyBorder="1" applyAlignment="1">
      <alignment horizontal="center" vertical="center"/>
    </xf>
    <xf numFmtId="164" fontId="15" fillId="3" borderId="5" xfId="1" applyNumberFormat="1" applyFont="1" applyFill="1" applyBorder="1" applyAlignment="1">
      <alignment horizontal="center" vertical="center"/>
    </xf>
    <xf numFmtId="164" fontId="16" fillId="3" borderId="5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4" borderId="5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164" fontId="2" fillId="4" borderId="5" xfId="1" applyNumberFormat="1" applyFont="1" applyFill="1" applyBorder="1" applyAlignment="1">
      <alignment horizontal="center" vertical="center"/>
    </xf>
    <xf numFmtId="164" fontId="14" fillId="4" borderId="5" xfId="1" applyNumberFormat="1" applyFont="1" applyFill="1" applyBorder="1" applyAlignment="1">
      <alignment horizontal="center" vertical="center"/>
    </xf>
    <xf numFmtId="0" fontId="2" fillId="5" borderId="5" xfId="2" applyFont="1" applyFill="1" applyBorder="1" applyAlignment="1">
      <alignment horizontal="center"/>
    </xf>
    <xf numFmtId="0" fontId="16" fillId="5" borderId="5" xfId="2" applyFont="1" applyFill="1" applyBorder="1" applyAlignment="1">
      <alignment horizontal="center" vertical="center"/>
    </xf>
    <xf numFmtId="164" fontId="17" fillId="5" borderId="5" xfId="1" applyNumberFormat="1" applyFont="1" applyFill="1" applyBorder="1" applyAlignment="1">
      <alignment horizontal="center" vertical="center"/>
    </xf>
    <xf numFmtId="164" fontId="16" fillId="5" borderId="5" xfId="1" applyNumberFormat="1" applyFont="1" applyFill="1" applyBorder="1" applyAlignment="1">
      <alignment horizontal="center" vertical="center"/>
    </xf>
    <xf numFmtId="164" fontId="2" fillId="0" borderId="0" xfId="2" applyNumberFormat="1" applyFont="1" applyAlignment="1">
      <alignment horizontal="center"/>
    </xf>
    <xf numFmtId="0" fontId="2" fillId="0" borderId="5" xfId="2" applyFont="1" applyBorder="1" applyAlignment="1">
      <alignment horizontal="left" vertical="center"/>
    </xf>
    <xf numFmtId="164" fontId="4" fillId="4" borderId="5" xfId="1" applyNumberFormat="1" applyFont="1" applyFill="1" applyBorder="1" applyAlignment="1">
      <alignment horizontal="center"/>
    </xf>
    <xf numFmtId="164" fontId="10" fillId="4" borderId="5" xfId="1" applyNumberFormat="1" applyFont="1" applyFill="1" applyBorder="1"/>
    <xf numFmtId="0" fontId="18" fillId="0" borderId="5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/>
    </xf>
    <xf numFmtId="17" fontId="4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17" fontId="4" fillId="0" borderId="5" xfId="4" applyNumberFormat="1" applyFont="1" applyBorder="1" applyAlignment="1">
      <alignment horizontal="center"/>
    </xf>
    <xf numFmtId="0" fontId="6" fillId="0" borderId="22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8" xfId="4" applyFont="1" applyBorder="1" applyAlignment="1">
      <alignment horizontal="center" vertical="center"/>
    </xf>
    <xf numFmtId="0" fontId="4" fillId="0" borderId="22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0" fontId="8" fillId="0" borderId="6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17" fontId="4" fillId="4" borderId="5" xfId="4" applyNumberFormat="1" applyFont="1" applyFill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4" borderId="5" xfId="4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/>
    </xf>
    <xf numFmtId="166" fontId="4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5" fillId="6" borderId="14" xfId="1" applyNumberFormat="1" applyFont="1" applyFill="1" applyBorder="1" applyAlignment="1">
      <alignment horizontal="center" vertical="center"/>
    </xf>
    <xf numFmtId="164" fontId="5" fillId="6" borderId="21" xfId="1" applyNumberFormat="1" applyFont="1" applyFill="1" applyBorder="1" applyAlignment="1">
      <alignment horizontal="center" vertical="center"/>
    </xf>
    <xf numFmtId="164" fontId="5" fillId="6" borderId="9" xfId="1" applyNumberFormat="1" applyFont="1" applyFill="1" applyBorder="1" applyAlignment="1">
      <alignment horizontal="center" vertical="center"/>
    </xf>
    <xf numFmtId="165" fontId="5" fillId="6" borderId="14" xfId="0" applyNumberFormat="1" applyFont="1" applyFill="1" applyBorder="1" applyAlignment="1">
      <alignment horizontal="center" vertical="center"/>
    </xf>
    <xf numFmtId="165" fontId="5" fillId="6" borderId="9" xfId="0" applyNumberFormat="1" applyFont="1" applyFill="1" applyBorder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8" fillId="6" borderId="19" xfId="0" applyFont="1" applyFill="1" applyBorder="1" applyAlignment="1">
      <alignment horizontal="center" vertical="center"/>
    </xf>
    <xf numFmtId="165" fontId="5" fillId="6" borderId="20" xfId="0" applyNumberFormat="1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165" fontId="4" fillId="6" borderId="0" xfId="0" applyNumberFormat="1" applyFont="1" applyFill="1" applyAlignment="1">
      <alignment horizontal="center" vertical="center"/>
    </xf>
  </cellXfs>
  <cellStyles count="8">
    <cellStyle name="Comma" xfId="1" builtinId="3"/>
    <cellStyle name="Comma 2" xfId="7" xr:uid="{E97D2956-194B-485A-B406-C159F3F6B58F}"/>
    <cellStyle name="Comma 2 2" xfId="5" xr:uid="{7FF6432B-99BA-45B7-8EAC-9CA6C0CE388A}"/>
    <cellStyle name="Comma 2 2 2" xfId="6" xr:uid="{91868FBA-FB27-4F63-BF04-59E53551BCA9}"/>
    <cellStyle name="Normal" xfId="0" builtinId="0"/>
    <cellStyle name="Normal 19" xfId="4" xr:uid="{7A592164-2F0F-41A0-B6B7-192B0CACE761}"/>
    <cellStyle name="Normal 2" xfId="3" xr:uid="{E8472B0B-FD0B-4BBC-852F-21FFAA113D9D}"/>
    <cellStyle name="Normal 2 2" xfId="2" xr:uid="{4D7599A9-321A-4FF4-BD71-FC1573EA0CE9}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6890-1DF9-47C1-8480-0F6F313F7728}">
  <dimension ref="A1:S34"/>
  <sheetViews>
    <sheetView tabSelected="1" topLeftCell="H21" workbookViewId="0">
      <selection activeCell="K24" sqref="K24:L32"/>
    </sheetView>
  </sheetViews>
  <sheetFormatPr defaultColWidth="9" defaultRowHeight="21" x14ac:dyDescent="0.6"/>
  <cols>
    <col min="1" max="1" width="5.42578125" style="157" customWidth="1"/>
    <col min="2" max="2" width="27.28515625" style="157" bestFit="1" customWidth="1"/>
    <col min="3" max="4" width="13" style="157" customWidth="1"/>
    <col min="5" max="6" width="13.42578125" style="157" customWidth="1"/>
    <col min="7" max="12" width="13.5703125" style="157" customWidth="1"/>
    <col min="13" max="14" width="17.85546875" style="157" customWidth="1"/>
    <col min="15" max="16384" width="9" style="157"/>
  </cols>
  <sheetData>
    <row r="1" spans="1:19" ht="33" customHeight="1" x14ac:dyDescent="0.6">
      <c r="A1" s="178" t="s">
        <v>34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30.75" customHeight="1" x14ac:dyDescent="0.6">
      <c r="A2" s="179" t="s">
        <v>16</v>
      </c>
      <c r="B2" s="179" t="s">
        <v>17</v>
      </c>
      <c r="C2" s="179" t="s">
        <v>18</v>
      </c>
      <c r="D2" s="179"/>
      <c r="E2" s="179" t="s">
        <v>19</v>
      </c>
      <c r="F2" s="179"/>
      <c r="G2" s="179" t="s">
        <v>20</v>
      </c>
      <c r="H2" s="179"/>
      <c r="I2" s="179" t="s">
        <v>215</v>
      </c>
      <c r="J2" s="179"/>
      <c r="K2" s="179" t="s">
        <v>270</v>
      </c>
      <c r="L2" s="179"/>
      <c r="M2" s="179" t="s">
        <v>0</v>
      </c>
      <c r="N2" s="179"/>
    </row>
    <row r="3" spans="1:19" ht="30.75" customHeight="1" x14ac:dyDescent="0.6">
      <c r="A3" s="179"/>
      <c r="B3" s="179"/>
      <c r="C3" s="158" t="s">
        <v>14</v>
      </c>
      <c r="D3" s="159" t="s">
        <v>33</v>
      </c>
      <c r="E3" s="158" t="s">
        <v>14</v>
      </c>
      <c r="F3" s="159" t="s">
        <v>33</v>
      </c>
      <c r="G3" s="158" t="s">
        <v>14</v>
      </c>
      <c r="H3" s="159" t="s">
        <v>33</v>
      </c>
      <c r="I3" s="158" t="s">
        <v>14</v>
      </c>
      <c r="J3" s="159" t="s">
        <v>33</v>
      </c>
      <c r="K3" s="158" t="s">
        <v>14</v>
      </c>
      <c r="L3" s="159" t="s">
        <v>33</v>
      </c>
      <c r="M3" s="158" t="s">
        <v>14</v>
      </c>
      <c r="N3" s="159" t="s">
        <v>33</v>
      </c>
    </row>
    <row r="4" spans="1:19" ht="33" customHeight="1" x14ac:dyDescent="0.6">
      <c r="A4" s="160">
        <v>1</v>
      </c>
      <c r="B4" s="160" t="s">
        <v>21</v>
      </c>
      <c r="C4" s="161">
        <v>285358</v>
      </c>
      <c r="D4" s="162">
        <v>185180.77999999997</v>
      </c>
      <c r="E4" s="161">
        <f>+'2025'!AH142</f>
        <v>325646</v>
      </c>
      <c r="F4" s="162">
        <v>221628.56000000003</v>
      </c>
      <c r="G4" s="161">
        <v>284980</v>
      </c>
      <c r="H4" s="162">
        <v>200645.96</v>
      </c>
      <c r="I4" s="161">
        <f>+'2025'!CH142</f>
        <v>292067</v>
      </c>
      <c r="J4" s="162">
        <f>+'2025'!CI142</f>
        <v>217035.26</v>
      </c>
      <c r="K4" s="162">
        <f>'2026'!DH148</f>
        <v>299175</v>
      </c>
      <c r="L4" s="162">
        <f>'2026'!DI148</f>
        <v>233525.95</v>
      </c>
      <c r="M4" s="163">
        <f>C4+E4+G4+I4+K4</f>
        <v>1487226</v>
      </c>
      <c r="N4" s="164">
        <f>D4+F4+H4+J4+L4</f>
        <v>1058016.51</v>
      </c>
      <c r="P4" s="165"/>
      <c r="Q4" s="165"/>
      <c r="R4" s="165"/>
      <c r="S4" s="165"/>
    </row>
    <row r="5" spans="1:19" ht="33" customHeight="1" x14ac:dyDescent="0.6">
      <c r="A5" s="160">
        <v>2</v>
      </c>
      <c r="B5" s="160" t="s">
        <v>22</v>
      </c>
      <c r="C5" s="161">
        <f>+'2025'!J142</f>
        <v>265299</v>
      </c>
      <c r="D5" s="162">
        <f>+'2025'!K142</f>
        <v>173179.26</v>
      </c>
      <c r="E5" s="161">
        <f>+'2025'!AJ142</f>
        <v>268997</v>
      </c>
      <c r="F5" s="162">
        <v>180251.2</v>
      </c>
      <c r="G5" s="161">
        <v>250402</v>
      </c>
      <c r="H5" s="162">
        <v>175347.75999999998</v>
      </c>
      <c r="I5" s="161">
        <f>+'2025'!CJ142</f>
        <v>293594</v>
      </c>
      <c r="J5" s="162">
        <f>+'2025'!CK142</f>
        <v>215869.63999999998</v>
      </c>
      <c r="K5" s="162">
        <f>'2026'!DJ148</f>
        <v>285899</v>
      </c>
      <c r="L5" s="162">
        <f>'2026'!DK148</f>
        <v>221678.60999999996</v>
      </c>
      <c r="M5" s="163">
        <f t="shared" ref="M5:M15" si="0">C5+E5+G5+I5+K5</f>
        <v>1364191</v>
      </c>
      <c r="N5" s="164">
        <f t="shared" ref="N5:N15" si="1">D5+F5+H5+J5+L5</f>
        <v>966326.47</v>
      </c>
      <c r="P5" s="165"/>
      <c r="Q5" s="165"/>
      <c r="R5" s="165"/>
      <c r="S5" s="165"/>
    </row>
    <row r="6" spans="1:19" ht="33" customHeight="1" x14ac:dyDescent="0.6">
      <c r="A6" s="160">
        <v>3</v>
      </c>
      <c r="B6" s="160" t="s">
        <v>23</v>
      </c>
      <c r="C6" s="161">
        <f>+'2025'!L142</f>
        <v>337952</v>
      </c>
      <c r="D6" s="162">
        <f>+'2025'!M142</f>
        <v>219847.95</v>
      </c>
      <c r="E6" s="161">
        <f>+'2025'!AL142</f>
        <v>343569</v>
      </c>
      <c r="F6" s="162">
        <v>234109.37999999998</v>
      </c>
      <c r="G6" s="161">
        <v>306180</v>
      </c>
      <c r="H6" s="162">
        <v>216101.84</v>
      </c>
      <c r="I6" s="161">
        <f>+'2025'!CL142</f>
        <v>365124</v>
      </c>
      <c r="J6" s="162">
        <f>+'2025'!CM142</f>
        <v>263664.64000000001</v>
      </c>
      <c r="K6" s="162"/>
      <c r="L6" s="162"/>
      <c r="M6" s="163">
        <f t="shared" si="0"/>
        <v>1352825</v>
      </c>
      <c r="N6" s="164">
        <f t="shared" si="1"/>
        <v>933723.80999999994</v>
      </c>
      <c r="P6" s="165"/>
      <c r="Q6" s="165"/>
      <c r="R6" s="165"/>
      <c r="S6" s="165"/>
    </row>
    <row r="7" spans="1:19" ht="33" customHeight="1" x14ac:dyDescent="0.6">
      <c r="A7" s="160">
        <v>4</v>
      </c>
      <c r="B7" s="160" t="s">
        <v>24</v>
      </c>
      <c r="C7" s="161">
        <v>303706</v>
      </c>
      <c r="D7" s="162">
        <v>197944.9</v>
      </c>
      <c r="E7" s="161">
        <f>+'2025'!AN142</f>
        <v>330260</v>
      </c>
      <c r="F7" s="162">
        <v>224285.99999999997</v>
      </c>
      <c r="G7" s="161">
        <v>313206</v>
      </c>
      <c r="H7" s="162">
        <v>220161.03999999998</v>
      </c>
      <c r="I7" s="161">
        <f>'2025'!CN142</f>
        <v>250122</v>
      </c>
      <c r="J7" s="162">
        <f>'2025'!CO142</f>
        <v>175295.28000000003</v>
      </c>
      <c r="K7" s="162"/>
      <c r="L7" s="162"/>
      <c r="M7" s="163">
        <f t="shared" si="0"/>
        <v>1197294</v>
      </c>
      <c r="N7" s="164">
        <f t="shared" si="1"/>
        <v>817687.22</v>
      </c>
    </row>
    <row r="8" spans="1:19" ht="33" customHeight="1" x14ac:dyDescent="0.6">
      <c r="A8" s="160">
        <v>5</v>
      </c>
      <c r="B8" s="160" t="s">
        <v>25</v>
      </c>
      <c r="C8" s="161">
        <v>366957</v>
      </c>
      <c r="D8" s="162">
        <v>238095.09</v>
      </c>
      <c r="E8" s="161">
        <f>+'2025'!AP142</f>
        <v>346266</v>
      </c>
      <c r="F8" s="162">
        <v>236673.48</v>
      </c>
      <c r="G8" s="161">
        <v>319523</v>
      </c>
      <c r="H8" s="162">
        <v>221018.78000000003</v>
      </c>
      <c r="I8" s="161">
        <f>'2025'!CP142</f>
        <v>366424</v>
      </c>
      <c r="J8" s="162">
        <f>'2025'!CQ142</f>
        <v>272334.96000000002</v>
      </c>
      <c r="K8" s="162"/>
      <c r="L8" s="162"/>
      <c r="M8" s="163">
        <f t="shared" si="0"/>
        <v>1399170</v>
      </c>
      <c r="N8" s="164">
        <f t="shared" si="1"/>
        <v>968122.31</v>
      </c>
    </row>
    <row r="9" spans="1:19" ht="33" customHeight="1" x14ac:dyDescent="0.6">
      <c r="A9" s="160">
        <v>6</v>
      </c>
      <c r="B9" s="160" t="s">
        <v>26</v>
      </c>
      <c r="C9" s="161">
        <v>333259</v>
      </c>
      <c r="D9" s="162">
        <v>218441.13999999998</v>
      </c>
      <c r="E9" s="161">
        <f>+'2025'!AR142</f>
        <v>308961</v>
      </c>
      <c r="F9" s="162">
        <v>212208.12</v>
      </c>
      <c r="G9" s="161">
        <v>319420</v>
      </c>
      <c r="H9" s="162">
        <v>227006.72</v>
      </c>
      <c r="I9" s="161">
        <f>'2025'!CR142</f>
        <v>342708</v>
      </c>
      <c r="J9" s="162">
        <f>'2025'!CS142</f>
        <v>256131.19999999998</v>
      </c>
      <c r="K9" s="162"/>
      <c r="L9" s="162"/>
      <c r="M9" s="163">
        <f t="shared" si="0"/>
        <v>1304348</v>
      </c>
      <c r="N9" s="164">
        <f t="shared" si="1"/>
        <v>913787.17999999993</v>
      </c>
    </row>
    <row r="10" spans="1:19" ht="33" customHeight="1" x14ac:dyDescent="0.6">
      <c r="A10" s="160">
        <v>7</v>
      </c>
      <c r="B10" s="160" t="s">
        <v>27</v>
      </c>
      <c r="C10" s="161">
        <v>294089</v>
      </c>
      <c r="D10" s="162">
        <v>192043.21000000002</v>
      </c>
      <c r="E10" s="161">
        <f>+'2025'!AT142</f>
        <v>316734</v>
      </c>
      <c r="F10" s="162">
        <v>216206.28</v>
      </c>
      <c r="G10" s="161">
        <v>309212</v>
      </c>
      <c r="H10" s="162">
        <v>219811.20000000001</v>
      </c>
      <c r="I10" s="161">
        <f>'2025'!CT142</f>
        <v>319332</v>
      </c>
      <c r="J10" s="162">
        <f>'2025'!CU142</f>
        <v>237110.32</v>
      </c>
      <c r="K10" s="162"/>
      <c r="L10" s="162"/>
      <c r="M10" s="163">
        <f t="shared" si="0"/>
        <v>1239367</v>
      </c>
      <c r="N10" s="164">
        <f t="shared" si="1"/>
        <v>865171.01</v>
      </c>
    </row>
    <row r="11" spans="1:19" ht="33" customHeight="1" x14ac:dyDescent="0.6">
      <c r="A11" s="160">
        <v>8</v>
      </c>
      <c r="B11" s="160" t="s">
        <v>28</v>
      </c>
      <c r="C11" s="161">
        <v>346406</v>
      </c>
      <c r="D11" s="162">
        <v>226613.72</v>
      </c>
      <c r="E11" s="161">
        <f>+'2025'!AV142</f>
        <v>380944</v>
      </c>
      <c r="F11" s="162">
        <v>255979.2</v>
      </c>
      <c r="G11" s="161">
        <v>358266</v>
      </c>
      <c r="H11" s="162">
        <v>257544.8</v>
      </c>
      <c r="I11" s="161">
        <f>'2025'!CV142</f>
        <v>306217</v>
      </c>
      <c r="J11" s="162">
        <f>'2025'!CW142</f>
        <v>234523.11000000004</v>
      </c>
      <c r="K11" s="162"/>
      <c r="L11" s="162"/>
      <c r="M11" s="163">
        <f t="shared" si="0"/>
        <v>1391833</v>
      </c>
      <c r="N11" s="164">
        <f t="shared" si="1"/>
        <v>974660.83000000007</v>
      </c>
    </row>
    <row r="12" spans="1:19" ht="33" customHeight="1" x14ac:dyDescent="0.6">
      <c r="A12" s="160">
        <v>9</v>
      </c>
      <c r="B12" s="160" t="s">
        <v>29</v>
      </c>
      <c r="C12" s="161">
        <f>+'2025'!X142</f>
        <v>290124</v>
      </c>
      <c r="D12" s="162">
        <f>+'2025'!Y142</f>
        <v>192315.12</v>
      </c>
      <c r="E12" s="161">
        <f>+'2025'!AX142</f>
        <v>202293</v>
      </c>
      <c r="F12" s="162">
        <v>141859.87</v>
      </c>
      <c r="G12" s="161">
        <v>289469</v>
      </c>
      <c r="H12" s="162">
        <v>211684.06000000003</v>
      </c>
      <c r="I12" s="161">
        <f>'2025'!CX142</f>
        <v>310551</v>
      </c>
      <c r="J12" s="162">
        <f>'2025'!CY142</f>
        <v>237489.63000000003</v>
      </c>
      <c r="K12" s="162"/>
      <c r="L12" s="162"/>
      <c r="M12" s="163">
        <f t="shared" si="0"/>
        <v>1092437</v>
      </c>
      <c r="N12" s="164">
        <f t="shared" si="1"/>
        <v>783348.68</v>
      </c>
    </row>
    <row r="13" spans="1:19" ht="33" customHeight="1" x14ac:dyDescent="0.6">
      <c r="A13" s="160">
        <v>10</v>
      </c>
      <c r="B13" s="160" t="s">
        <v>30</v>
      </c>
      <c r="C13" s="161">
        <f>+'2025'!Z142</f>
        <v>247021</v>
      </c>
      <c r="D13" s="162">
        <f>+'2025'!AA142</f>
        <v>165927.72</v>
      </c>
      <c r="E13" s="161">
        <f>+'2025'!AZ142</f>
        <v>226479</v>
      </c>
      <c r="F13" s="162">
        <v>156523.74</v>
      </c>
      <c r="G13" s="161">
        <v>334424</v>
      </c>
      <c r="H13" s="162">
        <v>242242.68000000002</v>
      </c>
      <c r="I13" s="161">
        <f>'2025'!CZ142</f>
        <v>302387</v>
      </c>
      <c r="J13" s="162">
        <f>'2025'!DA142</f>
        <v>227076.46000000002</v>
      </c>
      <c r="K13" s="162"/>
      <c r="L13" s="162"/>
      <c r="M13" s="163">
        <f t="shared" si="0"/>
        <v>1110311</v>
      </c>
      <c r="N13" s="164">
        <f t="shared" si="1"/>
        <v>791770.60000000009</v>
      </c>
    </row>
    <row r="14" spans="1:19" ht="33" customHeight="1" x14ac:dyDescent="0.6">
      <c r="A14" s="160">
        <v>11</v>
      </c>
      <c r="B14" s="160" t="s">
        <v>31</v>
      </c>
      <c r="C14" s="161">
        <v>252029</v>
      </c>
      <c r="D14" s="162">
        <v>167403.13999999998</v>
      </c>
      <c r="E14" s="161">
        <f>+'2025'!BB142</f>
        <v>262455</v>
      </c>
      <c r="F14" s="162">
        <v>181771.08000000002</v>
      </c>
      <c r="G14" s="161">
        <v>251296</v>
      </c>
      <c r="H14" s="162">
        <v>181264.84</v>
      </c>
      <c r="I14" s="161">
        <f>'2025'!DB142</f>
        <v>282632</v>
      </c>
      <c r="J14" s="161">
        <f>'2025'!DC142</f>
        <v>215962.82</v>
      </c>
      <c r="K14" s="161"/>
      <c r="L14" s="161"/>
      <c r="M14" s="163">
        <f t="shared" si="0"/>
        <v>1048412</v>
      </c>
      <c r="N14" s="164">
        <f t="shared" si="1"/>
        <v>746401.87999999989</v>
      </c>
    </row>
    <row r="15" spans="1:19" ht="33" customHeight="1" x14ac:dyDescent="0.6">
      <c r="A15" s="160">
        <v>12</v>
      </c>
      <c r="B15" s="160" t="s">
        <v>32</v>
      </c>
      <c r="C15" s="161">
        <f>+'2025'!AD142</f>
        <v>320655</v>
      </c>
      <c r="D15" s="162">
        <f>+'2025'!AE142</f>
        <v>216544.5</v>
      </c>
      <c r="E15" s="161">
        <f>+'2025'!BD142</f>
        <v>287068</v>
      </c>
      <c r="F15" s="162">
        <v>200616.88</v>
      </c>
      <c r="G15" s="161">
        <v>298525</v>
      </c>
      <c r="H15" s="162">
        <v>220445.46000000002</v>
      </c>
      <c r="I15" s="161">
        <f>'2025'!DD142</f>
        <v>308173</v>
      </c>
      <c r="J15" s="161">
        <f>'2025'!DE142</f>
        <v>239119.66999999995</v>
      </c>
      <c r="K15" s="161"/>
      <c r="L15" s="161"/>
      <c r="M15" s="163">
        <f t="shared" si="0"/>
        <v>1214421</v>
      </c>
      <c r="N15" s="164">
        <f t="shared" si="1"/>
        <v>876726.51</v>
      </c>
    </row>
    <row r="16" spans="1:19" ht="33" customHeight="1" x14ac:dyDescent="0.6">
      <c r="A16" s="166"/>
      <c r="B16" s="167" t="s">
        <v>213</v>
      </c>
      <c r="C16" s="168"/>
      <c r="D16" s="169"/>
      <c r="E16" s="168"/>
      <c r="F16" s="169"/>
      <c r="G16" s="168"/>
      <c r="H16" s="169"/>
      <c r="I16" s="169"/>
      <c r="J16" s="169"/>
      <c r="K16" s="169">
        <v>72</v>
      </c>
      <c r="L16" s="169">
        <v>63.360000000000014</v>
      </c>
      <c r="M16" s="163">
        <f t="shared" ref="M16:M17" si="2">C16+E16+G16+I16+K16</f>
        <v>72</v>
      </c>
      <c r="N16" s="164">
        <f t="shared" ref="N16:N17" si="3">D16+F16+H16+J16+L16</f>
        <v>63.360000000000014</v>
      </c>
    </row>
    <row r="17" spans="1:14" ht="33" customHeight="1" x14ac:dyDescent="0.6">
      <c r="A17" s="160"/>
      <c r="B17" s="160"/>
      <c r="C17" s="161"/>
      <c r="D17" s="162"/>
      <c r="E17" s="161"/>
      <c r="F17" s="162"/>
      <c r="G17" s="161"/>
      <c r="H17" s="162"/>
      <c r="I17" s="162"/>
      <c r="J17" s="162"/>
      <c r="K17" s="162"/>
      <c r="L17" s="162"/>
      <c r="M17" s="163">
        <f t="shared" si="2"/>
        <v>0</v>
      </c>
      <c r="N17" s="164">
        <f t="shared" si="3"/>
        <v>0</v>
      </c>
    </row>
    <row r="18" spans="1:14" ht="33" customHeight="1" x14ac:dyDescent="0.6">
      <c r="A18" s="170"/>
      <c r="B18" s="171" t="s">
        <v>0</v>
      </c>
      <c r="C18" s="172">
        <f t="shared" ref="C18:N18" si="4">SUM(C4:C17)</f>
        <v>3642855</v>
      </c>
      <c r="D18" s="173">
        <f t="shared" si="4"/>
        <v>2393536.5299999998</v>
      </c>
      <c r="E18" s="172">
        <f t="shared" si="4"/>
        <v>3599672</v>
      </c>
      <c r="F18" s="173">
        <f t="shared" si="4"/>
        <v>2462113.79</v>
      </c>
      <c r="G18" s="172">
        <f t="shared" si="4"/>
        <v>3634903</v>
      </c>
      <c r="H18" s="173">
        <f t="shared" si="4"/>
        <v>2593275.1399999997</v>
      </c>
      <c r="I18" s="172">
        <f t="shared" si="4"/>
        <v>3739331</v>
      </c>
      <c r="J18" s="173">
        <f t="shared" si="4"/>
        <v>2791612.9899999998</v>
      </c>
      <c r="K18" s="172">
        <f t="shared" si="4"/>
        <v>585146</v>
      </c>
      <c r="L18" s="173">
        <f t="shared" si="4"/>
        <v>455267.91999999993</v>
      </c>
      <c r="M18" s="172">
        <f t="shared" si="4"/>
        <v>15201907</v>
      </c>
      <c r="N18" s="173">
        <f t="shared" si="4"/>
        <v>10695806.369999999</v>
      </c>
    </row>
    <row r="19" spans="1:14" x14ac:dyDescent="0.6">
      <c r="C19" s="174">
        <f>+C18-'2025'!AF142</f>
        <v>0</v>
      </c>
      <c r="D19" s="174">
        <f>+D18-'2025'!AG142</f>
        <v>0</v>
      </c>
      <c r="E19" s="174">
        <f>+E18-'2025'!BF142</f>
        <v>0</v>
      </c>
      <c r="F19" s="174">
        <f>+F18-'2025'!BG142</f>
        <v>0</v>
      </c>
      <c r="G19" s="174">
        <f>G18-'2025'!CF142</f>
        <v>0</v>
      </c>
      <c r="H19" s="174">
        <f>H18-'2025'!CG142</f>
        <v>0</v>
      </c>
      <c r="I19" s="174">
        <f>I18-'2025'!DF142</f>
        <v>0</v>
      </c>
      <c r="J19" s="174">
        <f>J18-'2025'!DG142</f>
        <v>0</v>
      </c>
      <c r="K19" s="174"/>
      <c r="L19" s="174"/>
    </row>
    <row r="21" spans="1:14" ht="33" customHeight="1" x14ac:dyDescent="0.6">
      <c r="A21" s="178" t="s">
        <v>254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</row>
    <row r="22" spans="1:14" ht="30.75" customHeight="1" x14ac:dyDescent="0.6">
      <c r="A22" s="179" t="s">
        <v>16</v>
      </c>
      <c r="B22" s="179" t="s">
        <v>17</v>
      </c>
      <c r="C22" s="179" t="s">
        <v>255</v>
      </c>
      <c r="D22" s="179"/>
      <c r="E22" s="179" t="s">
        <v>256</v>
      </c>
      <c r="F22" s="179"/>
      <c r="G22" s="179" t="s">
        <v>257</v>
      </c>
      <c r="H22" s="179"/>
      <c r="I22" s="179" t="s">
        <v>258</v>
      </c>
      <c r="J22" s="179"/>
      <c r="K22" s="179" t="s">
        <v>271</v>
      </c>
      <c r="L22" s="179"/>
      <c r="M22" s="179" t="s">
        <v>0</v>
      </c>
      <c r="N22" s="179"/>
    </row>
    <row r="23" spans="1:14" ht="30.75" customHeight="1" x14ac:dyDescent="0.6">
      <c r="A23" s="179"/>
      <c r="B23" s="179"/>
      <c r="C23" s="158" t="s">
        <v>14</v>
      </c>
      <c r="D23" s="159" t="s">
        <v>33</v>
      </c>
      <c r="E23" s="158" t="s">
        <v>14</v>
      </c>
      <c r="F23" s="159" t="s">
        <v>33</v>
      </c>
      <c r="G23" s="158" t="s">
        <v>14</v>
      </c>
      <c r="H23" s="159" t="s">
        <v>33</v>
      </c>
      <c r="I23" s="158" t="s">
        <v>14</v>
      </c>
      <c r="J23" s="159" t="s">
        <v>33</v>
      </c>
      <c r="K23" s="159"/>
      <c r="L23" s="159"/>
      <c r="M23" s="158" t="s">
        <v>14</v>
      </c>
      <c r="N23" s="159" t="s">
        <v>33</v>
      </c>
    </row>
    <row r="24" spans="1:14" ht="33" customHeight="1" x14ac:dyDescent="0.6">
      <c r="A24" s="160">
        <v>1</v>
      </c>
      <c r="B24" s="175" t="s">
        <v>143</v>
      </c>
      <c r="C24" s="161">
        <f>+'2025'!AF16</f>
        <v>0</v>
      </c>
      <c r="D24" s="162">
        <f>+'2025'!AG16</f>
        <v>0</v>
      </c>
      <c r="E24" s="161">
        <f>+'2025'!BF16</f>
        <v>0</v>
      </c>
      <c r="F24" s="162">
        <f>+'2025'!BG16</f>
        <v>0</v>
      </c>
      <c r="G24" s="161">
        <f>+'2025'!CF16</f>
        <v>0</v>
      </c>
      <c r="H24" s="162">
        <f>+'2025'!CG16</f>
        <v>0</v>
      </c>
      <c r="I24" s="161">
        <f>+'2025'!DF16</f>
        <v>276</v>
      </c>
      <c r="J24" s="162">
        <f>+'2025'!DG16</f>
        <v>276</v>
      </c>
      <c r="K24" s="162">
        <f>'2026'!EF16</f>
        <v>901</v>
      </c>
      <c r="L24" s="162">
        <f>'2026'!EG16</f>
        <v>901</v>
      </c>
      <c r="M24" s="163">
        <f>C24+E24+G24+I24+K24</f>
        <v>1177</v>
      </c>
      <c r="N24" s="164">
        <f>D24+F24+H24+J24+L24</f>
        <v>1177</v>
      </c>
    </row>
    <row r="25" spans="1:14" ht="33" customHeight="1" x14ac:dyDescent="0.6">
      <c r="A25" s="160">
        <v>2</v>
      </c>
      <c r="B25" s="175" t="s">
        <v>144</v>
      </c>
      <c r="C25" s="161">
        <f>+'2025'!AF17</f>
        <v>0</v>
      </c>
      <c r="D25" s="162">
        <f>+'2025'!AG17</f>
        <v>0</v>
      </c>
      <c r="E25" s="161">
        <f>+'2025'!BF17</f>
        <v>492</v>
      </c>
      <c r="F25" s="162">
        <f>+'2025'!BG17</f>
        <v>492</v>
      </c>
      <c r="G25" s="161">
        <f>+'2025'!CF17</f>
        <v>0</v>
      </c>
      <c r="H25" s="162">
        <f>+'2025'!CG17</f>
        <v>0</v>
      </c>
      <c r="I25" s="161">
        <f>+'2025'!DF17</f>
        <v>1934</v>
      </c>
      <c r="J25" s="162">
        <f>+'2025'!DG17</f>
        <v>1934</v>
      </c>
      <c r="K25" s="162">
        <f>'2026'!EF17</f>
        <v>1282</v>
      </c>
      <c r="L25" s="162">
        <f>'2026'!EG17</f>
        <v>1282</v>
      </c>
      <c r="M25" s="163">
        <f t="shared" ref="M25:M32" si="5">C25+E25+G25+I25+K25</f>
        <v>3708</v>
      </c>
      <c r="N25" s="164">
        <f t="shared" ref="N25:N32" si="6">D25+F25+H25+J25+L25</f>
        <v>3708</v>
      </c>
    </row>
    <row r="26" spans="1:14" ht="33" customHeight="1" x14ac:dyDescent="0.6">
      <c r="A26" s="160">
        <v>3</v>
      </c>
      <c r="B26" s="175" t="s">
        <v>145</v>
      </c>
      <c r="C26" s="161">
        <f>+'2025'!AF18</f>
        <v>0</v>
      </c>
      <c r="D26" s="162">
        <f>+'2025'!AG18</f>
        <v>0</v>
      </c>
      <c r="E26" s="161">
        <f>+'2025'!BF18</f>
        <v>0</v>
      </c>
      <c r="F26" s="162">
        <f>+'2025'!BG18</f>
        <v>0</v>
      </c>
      <c r="G26" s="161">
        <f>+'2025'!CF18</f>
        <v>0</v>
      </c>
      <c r="H26" s="162">
        <f>+'2025'!CG18</f>
        <v>0</v>
      </c>
      <c r="I26" s="161">
        <f>+'2025'!DF18</f>
        <v>0</v>
      </c>
      <c r="J26" s="162">
        <f>+'2025'!DG18</f>
        <v>0</v>
      </c>
      <c r="K26" s="162">
        <f>'2026'!EF18</f>
        <v>0</v>
      </c>
      <c r="L26" s="162">
        <f>'2026'!EG18</f>
        <v>0</v>
      </c>
      <c r="M26" s="163">
        <f t="shared" si="5"/>
        <v>0</v>
      </c>
      <c r="N26" s="164">
        <f t="shared" si="6"/>
        <v>0</v>
      </c>
    </row>
    <row r="27" spans="1:14" ht="33" customHeight="1" x14ac:dyDescent="0.6">
      <c r="A27" s="160">
        <v>4</v>
      </c>
      <c r="B27" s="175" t="s">
        <v>146</v>
      </c>
      <c r="C27" s="161">
        <f>+'2025'!AF19</f>
        <v>0</v>
      </c>
      <c r="D27" s="162">
        <f>+'2025'!AG19</f>
        <v>0</v>
      </c>
      <c r="E27" s="161">
        <f>+'2025'!BF19</f>
        <v>0</v>
      </c>
      <c r="F27" s="162">
        <f>+'2025'!BG19</f>
        <v>0</v>
      </c>
      <c r="G27" s="161">
        <f>+'2025'!CF19</f>
        <v>0</v>
      </c>
      <c r="H27" s="162">
        <f>+'2025'!CG19</f>
        <v>0</v>
      </c>
      <c r="I27" s="161">
        <f>+'2025'!DF19</f>
        <v>0</v>
      </c>
      <c r="J27" s="162">
        <f>+'2025'!DG19</f>
        <v>0</v>
      </c>
      <c r="K27" s="162">
        <f>'2026'!EF19</f>
        <v>0</v>
      </c>
      <c r="L27" s="162">
        <f>'2026'!EG19</f>
        <v>0</v>
      </c>
      <c r="M27" s="163">
        <f t="shared" si="5"/>
        <v>0</v>
      </c>
      <c r="N27" s="164">
        <f t="shared" si="6"/>
        <v>0</v>
      </c>
    </row>
    <row r="28" spans="1:14" ht="33" customHeight="1" x14ac:dyDescent="0.6">
      <c r="A28" s="160">
        <v>5</v>
      </c>
      <c r="B28" s="175" t="s">
        <v>147</v>
      </c>
      <c r="C28" s="161">
        <f>+'2025'!AF20</f>
        <v>0</v>
      </c>
      <c r="D28" s="162">
        <f>+'2025'!AG20</f>
        <v>0</v>
      </c>
      <c r="E28" s="161">
        <f>+'2025'!BF20</f>
        <v>0</v>
      </c>
      <c r="F28" s="162">
        <f>+'2025'!BG20</f>
        <v>0</v>
      </c>
      <c r="G28" s="161">
        <f>+'2025'!CF20</f>
        <v>0</v>
      </c>
      <c r="H28" s="162">
        <f>+'2025'!CG20</f>
        <v>0</v>
      </c>
      <c r="I28" s="161">
        <f>+'2025'!DF20</f>
        <v>0</v>
      </c>
      <c r="J28" s="162">
        <f>+'2025'!DG20</f>
        <v>0</v>
      </c>
      <c r="K28" s="162">
        <f>'2026'!EF20</f>
        <v>0</v>
      </c>
      <c r="L28" s="162">
        <f>'2026'!EG20</f>
        <v>0</v>
      </c>
      <c r="M28" s="163">
        <f t="shared" si="5"/>
        <v>0</v>
      </c>
      <c r="N28" s="164">
        <f t="shared" si="6"/>
        <v>0</v>
      </c>
    </row>
    <row r="29" spans="1:14" ht="33" customHeight="1" x14ac:dyDescent="0.6">
      <c r="A29" s="160">
        <v>6</v>
      </c>
      <c r="B29" s="175" t="s">
        <v>148</v>
      </c>
      <c r="C29" s="161">
        <f>+'2025'!AF21</f>
        <v>0</v>
      </c>
      <c r="D29" s="162">
        <f>+'2025'!AG21</f>
        <v>0</v>
      </c>
      <c r="E29" s="161">
        <f>+'2025'!BF21</f>
        <v>0</v>
      </c>
      <c r="F29" s="162">
        <f>+'2025'!BG21</f>
        <v>0</v>
      </c>
      <c r="G29" s="161">
        <f>+'2025'!CF21</f>
        <v>0</v>
      </c>
      <c r="H29" s="162">
        <f>+'2025'!CG21</f>
        <v>0</v>
      </c>
      <c r="I29" s="161">
        <f>+'2025'!DF21</f>
        <v>0</v>
      </c>
      <c r="J29" s="162">
        <f>+'2025'!DG21</f>
        <v>0</v>
      </c>
      <c r="K29" s="162">
        <f>'2026'!EF21</f>
        <v>0</v>
      </c>
      <c r="L29" s="162">
        <f>'2026'!EG21</f>
        <v>0</v>
      </c>
      <c r="M29" s="163">
        <f t="shared" si="5"/>
        <v>0</v>
      </c>
      <c r="N29" s="164">
        <f t="shared" si="6"/>
        <v>0</v>
      </c>
    </row>
    <row r="30" spans="1:14" ht="33" customHeight="1" x14ac:dyDescent="0.6">
      <c r="A30" s="160">
        <v>7</v>
      </c>
      <c r="B30" s="175" t="s">
        <v>149</v>
      </c>
      <c r="C30" s="161">
        <f>+'2025'!AF22</f>
        <v>29144</v>
      </c>
      <c r="D30" s="162">
        <f>+'2025'!AG22</f>
        <v>18652.16</v>
      </c>
      <c r="E30" s="161">
        <f>+'2025'!BF22</f>
        <v>27972</v>
      </c>
      <c r="F30" s="162">
        <f>+'2025'!BG22</f>
        <v>17902.080000000002</v>
      </c>
      <c r="G30" s="161">
        <f>+'2025'!CF22</f>
        <v>36260</v>
      </c>
      <c r="H30" s="162">
        <f>+'2025'!CG22</f>
        <v>23206.400000000001</v>
      </c>
      <c r="I30" s="161">
        <f>+'2025'!DF22</f>
        <v>30800</v>
      </c>
      <c r="J30" s="162">
        <f>+'2025'!DG22</f>
        <v>19712</v>
      </c>
      <c r="K30" s="162">
        <f>'2026'!EF22</f>
        <v>7042</v>
      </c>
      <c r="L30" s="162">
        <f>'2026'!EG22</f>
        <v>4506.88</v>
      </c>
      <c r="M30" s="163">
        <f t="shared" si="5"/>
        <v>131218</v>
      </c>
      <c r="N30" s="164">
        <f t="shared" si="6"/>
        <v>83979.520000000019</v>
      </c>
    </row>
    <row r="31" spans="1:14" ht="33" customHeight="1" x14ac:dyDescent="0.6">
      <c r="A31" s="160">
        <v>8</v>
      </c>
      <c r="B31" s="175" t="s">
        <v>150</v>
      </c>
      <c r="C31" s="161">
        <f>+'2025'!AF23</f>
        <v>0</v>
      </c>
      <c r="D31" s="162">
        <f>+'2025'!AG23</f>
        <v>0</v>
      </c>
      <c r="E31" s="161">
        <f>+'2025'!BF23</f>
        <v>0</v>
      </c>
      <c r="F31" s="162">
        <f>+'2025'!BG23</f>
        <v>0</v>
      </c>
      <c r="G31" s="161">
        <f>+'2025'!CF23</f>
        <v>0</v>
      </c>
      <c r="H31" s="162">
        <f>+'2025'!CG23</f>
        <v>0</v>
      </c>
      <c r="I31" s="161">
        <f>+'2025'!DF23</f>
        <v>0</v>
      </c>
      <c r="J31" s="162">
        <f>+'2025'!DG23</f>
        <v>0</v>
      </c>
      <c r="K31" s="162">
        <f>'2026'!EF23</f>
        <v>0</v>
      </c>
      <c r="L31" s="162">
        <f>'2026'!EG23</f>
        <v>0</v>
      </c>
      <c r="M31" s="163">
        <f t="shared" si="5"/>
        <v>0</v>
      </c>
      <c r="N31" s="164">
        <f t="shared" si="6"/>
        <v>0</v>
      </c>
    </row>
    <row r="32" spans="1:14" ht="33" customHeight="1" x14ac:dyDescent="0.6">
      <c r="A32" s="160">
        <v>9</v>
      </c>
      <c r="B32" s="175" t="s">
        <v>151</v>
      </c>
      <c r="C32" s="161">
        <f>+'2025'!AF24</f>
        <v>0</v>
      </c>
      <c r="D32" s="162">
        <f>+'2025'!AG24</f>
        <v>0</v>
      </c>
      <c r="E32" s="161">
        <f>+'2025'!BF24</f>
        <v>0</v>
      </c>
      <c r="F32" s="162">
        <f>+'2025'!BG24</f>
        <v>0</v>
      </c>
      <c r="G32" s="161">
        <f>+'2025'!CF24</f>
        <v>0</v>
      </c>
      <c r="H32" s="162">
        <f>+'2025'!CG24</f>
        <v>0</v>
      </c>
      <c r="I32" s="161">
        <f>+'2025'!DF24</f>
        <v>0</v>
      </c>
      <c r="J32" s="162">
        <f>+'2025'!DG24</f>
        <v>0</v>
      </c>
      <c r="K32" s="162">
        <f>'2026'!EF24</f>
        <v>0</v>
      </c>
      <c r="L32" s="162">
        <f>'2026'!EG24</f>
        <v>0</v>
      </c>
      <c r="M32" s="163">
        <f t="shared" si="5"/>
        <v>0</v>
      </c>
      <c r="N32" s="164">
        <f t="shared" si="6"/>
        <v>0</v>
      </c>
    </row>
    <row r="33" spans="1:14" ht="33" customHeight="1" x14ac:dyDescent="0.6">
      <c r="A33" s="160"/>
      <c r="B33" s="160"/>
      <c r="C33" s="161"/>
      <c r="D33" s="162"/>
      <c r="E33" s="161"/>
      <c r="F33" s="162"/>
      <c r="G33" s="161"/>
      <c r="H33" s="162"/>
      <c r="I33" s="161"/>
      <c r="J33" s="162"/>
      <c r="K33" s="162"/>
      <c r="L33" s="162"/>
      <c r="M33" s="163"/>
      <c r="N33" s="164"/>
    </row>
    <row r="34" spans="1:14" ht="33" customHeight="1" x14ac:dyDescent="0.6">
      <c r="A34" s="170"/>
      <c r="B34" s="171" t="s">
        <v>0</v>
      </c>
      <c r="C34" s="172">
        <f t="shared" ref="C34:N34" si="7">SUM(C24:C33)</f>
        <v>29144</v>
      </c>
      <c r="D34" s="173">
        <f t="shared" si="7"/>
        <v>18652.16</v>
      </c>
      <c r="E34" s="172">
        <f t="shared" si="7"/>
        <v>28464</v>
      </c>
      <c r="F34" s="173">
        <f t="shared" si="7"/>
        <v>18394.080000000002</v>
      </c>
      <c r="G34" s="172">
        <f t="shared" si="7"/>
        <v>36260</v>
      </c>
      <c r="H34" s="173">
        <f t="shared" si="7"/>
        <v>23206.400000000001</v>
      </c>
      <c r="I34" s="172">
        <f>SUM(I24:I33)</f>
        <v>33010</v>
      </c>
      <c r="J34" s="173">
        <f>SUM(J24:J33)</f>
        <v>21922</v>
      </c>
      <c r="K34" s="172">
        <f>SUM(K24:K33)</f>
        <v>9225</v>
      </c>
      <c r="L34" s="173">
        <f>SUM(L24:L33)</f>
        <v>6689.88</v>
      </c>
      <c r="M34" s="172">
        <f t="shared" si="7"/>
        <v>136103</v>
      </c>
      <c r="N34" s="173">
        <f t="shared" si="7"/>
        <v>88864.520000000019</v>
      </c>
    </row>
  </sheetData>
  <mergeCells count="18">
    <mergeCell ref="M2:N2"/>
    <mergeCell ref="I2:J2"/>
    <mergeCell ref="A1:N1"/>
    <mergeCell ref="C2:D2"/>
    <mergeCell ref="E2:F2"/>
    <mergeCell ref="G2:H2"/>
    <mergeCell ref="A2:A3"/>
    <mergeCell ref="B2:B3"/>
    <mergeCell ref="K2:L2"/>
    <mergeCell ref="A21:N21"/>
    <mergeCell ref="A22:A23"/>
    <mergeCell ref="B22:B23"/>
    <mergeCell ref="C22:D22"/>
    <mergeCell ref="E22:F22"/>
    <mergeCell ref="G22:H22"/>
    <mergeCell ref="I22:J22"/>
    <mergeCell ref="M22:N22"/>
    <mergeCell ref="K22:L22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B8D2-BB8F-4E7E-9D40-81F917CC3252}">
  <dimension ref="A1:AD68"/>
  <sheetViews>
    <sheetView zoomScaleNormal="100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A12" sqref="A12:XFD12"/>
    </sheetView>
  </sheetViews>
  <sheetFormatPr defaultRowHeight="21.75" customHeight="1" x14ac:dyDescent="0.5"/>
  <cols>
    <col min="1" max="1" width="3.5703125" style="1" bestFit="1" customWidth="1"/>
    <col min="2" max="2" width="34.140625" style="1" bestFit="1" customWidth="1"/>
    <col min="3" max="3" width="7.42578125" style="1" customWidth="1"/>
    <col min="4" max="4" width="11.5703125" style="1" bestFit="1" customWidth="1"/>
    <col min="5" max="5" width="12.7109375" style="62" bestFit="1" customWidth="1"/>
    <col min="6" max="6" width="11.5703125" style="1" bestFit="1" customWidth="1"/>
    <col min="7" max="7" width="12.7109375" style="62" bestFit="1" customWidth="1"/>
    <col min="8" max="8" width="11.5703125" style="1" bestFit="1" customWidth="1"/>
    <col min="9" max="9" width="12.7109375" style="62" bestFit="1" customWidth="1"/>
    <col min="10" max="10" width="11.5703125" style="1" bestFit="1" customWidth="1"/>
    <col min="11" max="11" width="12.7109375" style="62" bestFit="1" customWidth="1"/>
    <col min="12" max="12" width="11.5703125" style="1" bestFit="1" customWidth="1"/>
    <col min="13" max="13" width="12.7109375" style="62" bestFit="1" customWidth="1"/>
    <col min="14" max="14" width="11.5703125" style="1" bestFit="1" customWidth="1"/>
    <col min="15" max="15" width="12.7109375" style="62" bestFit="1" customWidth="1"/>
    <col min="16" max="16" width="11.5703125" style="1" bestFit="1" customWidth="1"/>
    <col min="17" max="17" width="12.7109375" style="62" bestFit="1" customWidth="1"/>
    <col min="18" max="18" width="11.5703125" style="1" bestFit="1" customWidth="1"/>
    <col min="19" max="19" width="12.7109375" style="62" bestFit="1" customWidth="1"/>
    <col min="20" max="20" width="11.5703125" style="1" bestFit="1" customWidth="1"/>
    <col min="21" max="21" width="12.7109375" style="62" bestFit="1" customWidth="1"/>
    <col min="22" max="22" width="11.5703125" style="1" bestFit="1" customWidth="1"/>
    <col min="23" max="23" width="12.7109375" style="62" bestFit="1" customWidth="1"/>
    <col min="24" max="24" width="11.5703125" style="1" bestFit="1" customWidth="1"/>
    <col min="25" max="25" width="12.7109375" style="62" bestFit="1" customWidth="1"/>
    <col min="26" max="26" width="11.5703125" style="1" bestFit="1" customWidth="1"/>
    <col min="27" max="27" width="12.7109375" style="62" bestFit="1" customWidth="1"/>
    <col min="28" max="28" width="13.42578125" style="1" bestFit="1" customWidth="1"/>
    <col min="29" max="29" width="14.42578125" style="62" bestFit="1" customWidth="1"/>
    <col min="30" max="30" width="13.85546875" style="1" bestFit="1" customWidth="1"/>
    <col min="31" max="31" width="17.5703125" style="1" customWidth="1"/>
    <col min="32" max="32" width="10.7109375" style="1" customWidth="1"/>
    <col min="33" max="33" width="11.5703125" style="1" customWidth="1"/>
    <col min="34" max="42" width="9.140625" style="1"/>
    <col min="43" max="43" width="18.42578125" style="1" bestFit="1" customWidth="1"/>
    <col min="44" max="16384" width="9.140625" style="1"/>
  </cols>
  <sheetData>
    <row r="1" spans="1:30" ht="21.75" customHeight="1" x14ac:dyDescent="0.5">
      <c r="B1" s="60" t="s">
        <v>80</v>
      </c>
      <c r="C1" s="3"/>
      <c r="D1" s="3"/>
      <c r="E1" s="61"/>
      <c r="F1" s="3"/>
      <c r="G1" s="61"/>
      <c r="H1" s="3"/>
      <c r="I1" s="61"/>
      <c r="J1" s="3"/>
      <c r="K1" s="61"/>
      <c r="L1" s="3"/>
      <c r="M1" s="61"/>
      <c r="N1" s="3"/>
      <c r="O1" s="61"/>
      <c r="P1" s="3"/>
      <c r="Q1" s="61"/>
      <c r="R1" s="3"/>
      <c r="S1" s="61"/>
      <c r="T1" s="3"/>
      <c r="U1" s="61"/>
      <c r="V1" s="3"/>
      <c r="W1" s="61"/>
      <c r="X1" s="3"/>
      <c r="Y1" s="61"/>
      <c r="Z1" s="3"/>
      <c r="AA1" s="61"/>
      <c r="AB1" s="3"/>
    </row>
    <row r="2" spans="1:30" ht="21.75" customHeight="1" x14ac:dyDescent="0.5">
      <c r="A2" s="181" t="s">
        <v>11</v>
      </c>
      <c r="B2" s="183" t="s">
        <v>12</v>
      </c>
      <c r="C2" s="183" t="s">
        <v>67</v>
      </c>
      <c r="D2" s="180">
        <v>45292</v>
      </c>
      <c r="E2" s="180"/>
      <c r="F2" s="180">
        <v>45323</v>
      </c>
      <c r="G2" s="180"/>
      <c r="H2" s="180">
        <v>45352</v>
      </c>
      <c r="I2" s="180"/>
      <c r="J2" s="180">
        <v>45383</v>
      </c>
      <c r="K2" s="180"/>
      <c r="L2" s="180">
        <v>45413</v>
      </c>
      <c r="M2" s="180"/>
      <c r="N2" s="180">
        <v>45444</v>
      </c>
      <c r="O2" s="180"/>
      <c r="P2" s="180">
        <v>45474</v>
      </c>
      <c r="Q2" s="180"/>
      <c r="R2" s="180">
        <v>45505</v>
      </c>
      <c r="S2" s="180"/>
      <c r="T2" s="180">
        <v>45536</v>
      </c>
      <c r="U2" s="180"/>
      <c r="V2" s="180">
        <v>45566</v>
      </c>
      <c r="W2" s="180"/>
      <c r="X2" s="180">
        <v>45597</v>
      </c>
      <c r="Y2" s="180"/>
      <c r="Z2" s="180">
        <v>45627</v>
      </c>
      <c r="AA2" s="180"/>
      <c r="AB2" s="185" t="s">
        <v>0</v>
      </c>
      <c r="AC2" s="185"/>
    </row>
    <row r="3" spans="1:30" ht="21.75" customHeight="1" x14ac:dyDescent="0.5">
      <c r="A3" s="182"/>
      <c r="B3" s="184"/>
      <c r="C3" s="184"/>
      <c r="D3" s="8" t="s">
        <v>14</v>
      </c>
      <c r="E3" s="9" t="s">
        <v>67</v>
      </c>
      <c r="F3" s="8" t="s">
        <v>14</v>
      </c>
      <c r="G3" s="9" t="s">
        <v>67</v>
      </c>
      <c r="H3" s="8" t="s">
        <v>14</v>
      </c>
      <c r="I3" s="9" t="s">
        <v>67</v>
      </c>
      <c r="J3" s="8" t="s">
        <v>14</v>
      </c>
      <c r="K3" s="9" t="s">
        <v>13</v>
      </c>
      <c r="L3" s="8" t="s">
        <v>14</v>
      </c>
      <c r="M3" s="9" t="s">
        <v>13</v>
      </c>
      <c r="N3" s="8" t="s">
        <v>14</v>
      </c>
      <c r="O3" s="9" t="s">
        <v>13</v>
      </c>
      <c r="P3" s="8" t="s">
        <v>14</v>
      </c>
      <c r="Q3" s="9" t="s">
        <v>13</v>
      </c>
      <c r="R3" s="8" t="s">
        <v>14</v>
      </c>
      <c r="S3" s="9" t="s">
        <v>13</v>
      </c>
      <c r="T3" s="8" t="s">
        <v>14</v>
      </c>
      <c r="U3" s="9" t="s">
        <v>13</v>
      </c>
      <c r="V3" s="8" t="s">
        <v>14</v>
      </c>
      <c r="W3" s="9" t="s">
        <v>13</v>
      </c>
      <c r="X3" s="8" t="s">
        <v>14</v>
      </c>
      <c r="Y3" s="9" t="s">
        <v>13</v>
      </c>
      <c r="Z3" s="8" t="s">
        <v>14</v>
      </c>
      <c r="AA3" s="9" t="s">
        <v>13</v>
      </c>
      <c r="AB3" s="8" t="s">
        <v>14</v>
      </c>
      <c r="AC3" s="9" t="s">
        <v>13</v>
      </c>
    </row>
    <row r="4" spans="1:30" ht="21.75" customHeight="1" x14ac:dyDescent="0.5">
      <c r="A4" s="10">
        <v>1</v>
      </c>
      <c r="B4" s="63" t="s">
        <v>35</v>
      </c>
      <c r="C4" s="30">
        <v>0.7</v>
      </c>
      <c r="D4" s="64">
        <v>3696</v>
      </c>
      <c r="E4" s="14">
        <f>D4*$C4</f>
        <v>2587.1999999999998</v>
      </c>
      <c r="F4" s="64">
        <v>2892</v>
      </c>
      <c r="G4" s="14">
        <f>F4*$C4</f>
        <v>2024.3999999999999</v>
      </c>
      <c r="H4" s="64">
        <v>2748</v>
      </c>
      <c r="I4" s="14">
        <f>H4*$C4</f>
        <v>1923.6</v>
      </c>
      <c r="J4" s="64">
        <v>3288</v>
      </c>
      <c r="K4" s="14">
        <f>J4*$C4</f>
        <v>2301.6</v>
      </c>
      <c r="L4" s="64">
        <v>1764</v>
      </c>
      <c r="M4" s="14">
        <f>L4*$C4</f>
        <v>1234.8</v>
      </c>
      <c r="N4" s="65">
        <v>3144</v>
      </c>
      <c r="O4" s="14">
        <f>N4*$C4</f>
        <v>2200.7999999999997</v>
      </c>
      <c r="P4" s="65">
        <v>3696</v>
      </c>
      <c r="Q4" s="14">
        <f>P4*$C4</f>
        <v>2587.1999999999998</v>
      </c>
      <c r="R4" s="66">
        <v>3840</v>
      </c>
      <c r="S4" s="14">
        <f>R4*$C4</f>
        <v>2688</v>
      </c>
      <c r="T4" s="67">
        <v>756</v>
      </c>
      <c r="U4" s="14">
        <f>T4*$C4</f>
        <v>529.19999999999993</v>
      </c>
      <c r="V4" s="68">
        <v>3636</v>
      </c>
      <c r="W4" s="14">
        <f>V4*$C4</f>
        <v>2545.1999999999998</v>
      </c>
      <c r="X4" s="69">
        <v>2556</v>
      </c>
      <c r="Y4" s="14">
        <f>X4*$C4</f>
        <v>1789.1999999999998</v>
      </c>
      <c r="Z4" s="69">
        <v>4626</v>
      </c>
      <c r="AA4" s="14">
        <f>Z4*$C4</f>
        <v>3238.2</v>
      </c>
      <c r="AB4" s="67">
        <f>Z4+X4+V4+T4+R4+P4+N4+L4+J4+H4+F4+D4</f>
        <v>36642</v>
      </c>
      <c r="AC4" s="14">
        <f>AB4*$C4</f>
        <v>25649.399999999998</v>
      </c>
      <c r="AD4" s="70"/>
    </row>
    <row r="5" spans="1:30" ht="21.75" customHeight="1" x14ac:dyDescent="0.5">
      <c r="A5" s="10">
        <v>2</v>
      </c>
      <c r="B5" s="63" t="s">
        <v>36</v>
      </c>
      <c r="C5" s="30">
        <v>0.64</v>
      </c>
      <c r="D5" s="64">
        <v>36036</v>
      </c>
      <c r="E5" s="14">
        <f t="shared" ref="E5:E28" si="0">D5*$C5</f>
        <v>23063.040000000001</v>
      </c>
      <c r="F5" s="64">
        <v>30366</v>
      </c>
      <c r="G5" s="14">
        <f t="shared" ref="G5:G28" si="1">F5*$C5</f>
        <v>19434.240000000002</v>
      </c>
      <c r="H5" s="64">
        <f>36848+42</f>
        <v>36890</v>
      </c>
      <c r="I5" s="14">
        <f t="shared" ref="I5:I28" si="2">H5*$C5</f>
        <v>23609.600000000002</v>
      </c>
      <c r="J5" s="64">
        <v>40880</v>
      </c>
      <c r="K5" s="14">
        <f t="shared" ref="K5:K28" si="3">J5*$C5</f>
        <v>26163.200000000001</v>
      </c>
      <c r="L5" s="64">
        <v>39648</v>
      </c>
      <c r="M5" s="14">
        <f t="shared" ref="M5:M28" si="4">L5*$C5</f>
        <v>25374.720000000001</v>
      </c>
      <c r="N5" s="65">
        <v>37646</v>
      </c>
      <c r="O5" s="14">
        <f t="shared" ref="O5:O28" si="5">N5*$C5</f>
        <v>24093.439999999999</v>
      </c>
      <c r="P5" s="71">
        <v>44604</v>
      </c>
      <c r="Q5" s="14">
        <f t="shared" ref="Q5:Q28" si="6">P5*$C5</f>
        <v>28546.560000000001</v>
      </c>
      <c r="R5" s="66">
        <v>43442</v>
      </c>
      <c r="S5" s="14">
        <f t="shared" ref="S5:S28" si="7">R5*$C5</f>
        <v>27802.880000000001</v>
      </c>
      <c r="T5" s="66">
        <v>27664</v>
      </c>
      <c r="U5" s="14">
        <f t="shared" ref="U5:U28" si="8">T5*$C5</f>
        <v>17704.96</v>
      </c>
      <c r="V5" s="66">
        <v>47852</v>
      </c>
      <c r="W5" s="14">
        <f t="shared" ref="W5:W28" si="9">V5*$C5</f>
        <v>30625.279999999999</v>
      </c>
      <c r="X5" s="69">
        <v>31528</v>
      </c>
      <c r="Y5" s="14">
        <f t="shared" ref="Y5:Y28" si="10">X5*$C5</f>
        <v>20177.920000000002</v>
      </c>
      <c r="Z5" s="69">
        <v>35280</v>
      </c>
      <c r="AA5" s="14">
        <f>Z5*$C5</f>
        <v>22579.200000000001</v>
      </c>
      <c r="AB5" s="67">
        <f>Z5+X5+V5+T5+R5+P5+N5+L5+J5+H5+F5+D5</f>
        <v>451836</v>
      </c>
      <c r="AC5" s="14">
        <f t="shared" ref="AC5:AC28" si="11">AB5*$C5</f>
        <v>289175.03999999998</v>
      </c>
    </row>
    <row r="6" spans="1:30" ht="21.75" customHeight="1" x14ac:dyDescent="0.5">
      <c r="A6" s="10">
        <v>3</v>
      </c>
      <c r="B6" s="72" t="s">
        <v>37</v>
      </c>
      <c r="C6" s="30">
        <v>1</v>
      </c>
      <c r="D6" s="64">
        <v>4680</v>
      </c>
      <c r="E6" s="14">
        <f t="shared" si="0"/>
        <v>4680</v>
      </c>
      <c r="F6" s="64">
        <v>2868</v>
      </c>
      <c r="G6" s="14">
        <f t="shared" si="1"/>
        <v>2868</v>
      </c>
      <c r="H6" s="64">
        <v>4572</v>
      </c>
      <c r="I6" s="14">
        <f t="shared" si="2"/>
        <v>4572</v>
      </c>
      <c r="J6" s="64">
        <v>4032</v>
      </c>
      <c r="K6" s="14">
        <f t="shared" si="3"/>
        <v>4032</v>
      </c>
      <c r="L6" s="64">
        <v>2760</v>
      </c>
      <c r="M6" s="14">
        <f t="shared" si="4"/>
        <v>2760</v>
      </c>
      <c r="N6" s="65">
        <v>4632</v>
      </c>
      <c r="O6" s="14">
        <f t="shared" si="5"/>
        <v>4632</v>
      </c>
      <c r="P6" s="64">
        <v>5772</v>
      </c>
      <c r="Q6" s="14">
        <f t="shared" si="6"/>
        <v>5772</v>
      </c>
      <c r="R6" s="73">
        <v>4980</v>
      </c>
      <c r="S6" s="14">
        <f t="shared" si="7"/>
        <v>4980</v>
      </c>
      <c r="T6" s="67">
        <v>4320</v>
      </c>
      <c r="U6" s="14">
        <f t="shared" si="8"/>
        <v>4320</v>
      </c>
      <c r="V6" s="67">
        <v>4980</v>
      </c>
      <c r="W6" s="14">
        <f t="shared" si="9"/>
        <v>4980</v>
      </c>
      <c r="X6" s="69">
        <v>5388</v>
      </c>
      <c r="Y6" s="14">
        <f t="shared" si="10"/>
        <v>5388</v>
      </c>
      <c r="Z6" s="69">
        <v>2772</v>
      </c>
      <c r="AA6" s="14">
        <f t="shared" ref="AA6:AA28" si="12">Z6*$C6</f>
        <v>2772</v>
      </c>
      <c r="AB6" s="67">
        <f t="shared" ref="AB6:AB28" si="13">Z6+X6+V6+T6+R6+P6+N6+L6+J6+H6+F6+D6</f>
        <v>51756</v>
      </c>
      <c r="AC6" s="14">
        <f t="shared" si="11"/>
        <v>51756</v>
      </c>
    </row>
    <row r="7" spans="1:30" ht="21.75" customHeight="1" x14ac:dyDescent="0.5">
      <c r="A7" s="10">
        <v>4</v>
      </c>
      <c r="B7" s="72" t="s">
        <v>38</v>
      </c>
      <c r="C7" s="30">
        <v>0.6</v>
      </c>
      <c r="D7" s="63"/>
      <c r="E7" s="14">
        <f t="shared" si="0"/>
        <v>0</v>
      </c>
      <c r="F7" s="67"/>
      <c r="G7" s="14">
        <f t="shared" si="1"/>
        <v>0</v>
      </c>
      <c r="H7" s="67"/>
      <c r="I7" s="14">
        <f t="shared" si="2"/>
        <v>0</v>
      </c>
      <c r="J7" s="67"/>
      <c r="K7" s="14">
        <f t="shared" si="3"/>
        <v>0</v>
      </c>
      <c r="L7" s="67">
        <v>60</v>
      </c>
      <c r="M7" s="14">
        <f t="shared" si="4"/>
        <v>36</v>
      </c>
      <c r="N7" s="65"/>
      <c r="O7" s="14">
        <f t="shared" si="5"/>
        <v>0</v>
      </c>
      <c r="P7" s="67"/>
      <c r="Q7" s="14">
        <f t="shared" si="6"/>
        <v>0</v>
      </c>
      <c r="R7" s="67">
        <v>36</v>
      </c>
      <c r="S7" s="14">
        <f t="shared" si="7"/>
        <v>21.599999999999998</v>
      </c>
      <c r="T7" s="67"/>
      <c r="U7" s="14">
        <f t="shared" si="8"/>
        <v>0</v>
      </c>
      <c r="V7" s="67"/>
      <c r="W7" s="14">
        <f t="shared" si="9"/>
        <v>0</v>
      </c>
      <c r="X7" s="67"/>
      <c r="Y7" s="14">
        <f t="shared" si="10"/>
        <v>0</v>
      </c>
      <c r="Z7" s="67"/>
      <c r="AA7" s="14">
        <f t="shared" si="12"/>
        <v>0</v>
      </c>
      <c r="AB7" s="67">
        <f t="shared" si="13"/>
        <v>96</v>
      </c>
      <c r="AC7" s="14">
        <f t="shared" si="11"/>
        <v>57.599999999999994</v>
      </c>
    </row>
    <row r="8" spans="1:30" ht="21.75" customHeight="1" x14ac:dyDescent="0.5">
      <c r="A8" s="10"/>
      <c r="B8" s="72" t="s">
        <v>68</v>
      </c>
      <c r="C8" s="30">
        <v>0.35</v>
      </c>
      <c r="D8" s="64">
        <v>280</v>
      </c>
      <c r="E8" s="14">
        <f t="shared" si="0"/>
        <v>98</v>
      </c>
      <c r="F8" s="64">
        <v>38316</v>
      </c>
      <c r="G8" s="14">
        <f t="shared" si="1"/>
        <v>13410.599999999999</v>
      </c>
      <c r="H8" s="64">
        <v>200</v>
      </c>
      <c r="I8" s="14">
        <f t="shared" si="2"/>
        <v>70</v>
      </c>
      <c r="J8" s="64">
        <v>400</v>
      </c>
      <c r="K8" s="14">
        <f t="shared" si="3"/>
        <v>140</v>
      </c>
      <c r="L8" s="67"/>
      <c r="M8" s="14"/>
      <c r="N8" s="65">
        <v>1000</v>
      </c>
      <c r="O8" s="14">
        <f t="shared" si="5"/>
        <v>350</v>
      </c>
      <c r="P8" s="64">
        <v>1000</v>
      </c>
      <c r="Q8" s="14">
        <f t="shared" si="6"/>
        <v>350</v>
      </c>
      <c r="R8" s="67">
        <v>200</v>
      </c>
      <c r="S8" s="14">
        <f t="shared" si="7"/>
        <v>70</v>
      </c>
      <c r="T8" s="74">
        <v>200</v>
      </c>
      <c r="U8" s="14">
        <f t="shared" si="8"/>
        <v>70</v>
      </c>
      <c r="V8" s="67">
        <v>400</v>
      </c>
      <c r="W8" s="14">
        <f t="shared" si="9"/>
        <v>140</v>
      </c>
      <c r="X8" s="67"/>
      <c r="Y8" s="14">
        <f t="shared" si="10"/>
        <v>0</v>
      </c>
      <c r="Z8" s="67">
        <v>800</v>
      </c>
      <c r="AA8" s="14">
        <f t="shared" si="12"/>
        <v>280</v>
      </c>
      <c r="AB8" s="67">
        <f t="shared" si="13"/>
        <v>42796</v>
      </c>
      <c r="AC8" s="14">
        <f t="shared" si="11"/>
        <v>14978.599999999999</v>
      </c>
    </row>
    <row r="9" spans="1:30" ht="21.75" customHeight="1" x14ac:dyDescent="0.5">
      <c r="A9" s="10">
        <v>5</v>
      </c>
      <c r="B9" s="63" t="s">
        <v>39</v>
      </c>
      <c r="C9" s="30">
        <v>1</v>
      </c>
      <c r="D9" s="64">
        <v>45624</v>
      </c>
      <c r="E9" s="14">
        <f t="shared" si="0"/>
        <v>45624</v>
      </c>
      <c r="F9" s="67"/>
      <c r="G9" s="14">
        <f t="shared" si="1"/>
        <v>0</v>
      </c>
      <c r="H9" s="64">
        <v>51060</v>
      </c>
      <c r="I9" s="14">
        <f t="shared" si="2"/>
        <v>51060</v>
      </c>
      <c r="J9" s="64">
        <v>50352</v>
      </c>
      <c r="K9" s="14">
        <f t="shared" si="3"/>
        <v>50352</v>
      </c>
      <c r="L9" s="64">
        <v>42816</v>
      </c>
      <c r="M9" s="14">
        <f t="shared" si="4"/>
        <v>42816</v>
      </c>
      <c r="N9" s="65">
        <v>58200</v>
      </c>
      <c r="O9" s="14">
        <f t="shared" si="5"/>
        <v>58200</v>
      </c>
      <c r="P9" s="71">
        <v>55260</v>
      </c>
      <c r="Q9" s="14">
        <f t="shared" si="6"/>
        <v>55260</v>
      </c>
      <c r="R9" s="67">
        <v>72780</v>
      </c>
      <c r="S9" s="14">
        <f t="shared" si="7"/>
        <v>72780</v>
      </c>
      <c r="T9" s="67">
        <v>68988</v>
      </c>
      <c r="U9" s="14">
        <f t="shared" si="8"/>
        <v>68988</v>
      </c>
      <c r="V9" s="67">
        <v>72912</v>
      </c>
      <c r="W9" s="14">
        <f t="shared" si="9"/>
        <v>72912</v>
      </c>
      <c r="X9" s="67">
        <v>50760</v>
      </c>
      <c r="Y9" s="14">
        <f t="shared" si="10"/>
        <v>50760</v>
      </c>
      <c r="Z9" s="67">
        <v>78312</v>
      </c>
      <c r="AA9" s="14">
        <f t="shared" si="12"/>
        <v>78312</v>
      </c>
      <c r="AB9" s="67">
        <f t="shared" si="13"/>
        <v>647064</v>
      </c>
      <c r="AC9" s="14">
        <f t="shared" si="11"/>
        <v>647064</v>
      </c>
    </row>
    <row r="10" spans="1:30" ht="21.75" hidden="1" customHeight="1" x14ac:dyDescent="0.5">
      <c r="A10" s="10">
        <v>6</v>
      </c>
      <c r="B10" s="63" t="s">
        <v>40</v>
      </c>
      <c r="C10" s="37">
        <v>2</v>
      </c>
      <c r="D10" s="63"/>
      <c r="E10" s="14">
        <f t="shared" si="0"/>
        <v>0</v>
      </c>
      <c r="F10" s="67"/>
      <c r="G10" s="14">
        <f t="shared" si="1"/>
        <v>0</v>
      </c>
      <c r="H10" s="67"/>
      <c r="I10" s="14">
        <f t="shared" si="2"/>
        <v>0</v>
      </c>
      <c r="J10" s="67"/>
      <c r="K10" s="14">
        <f t="shared" si="3"/>
        <v>0</v>
      </c>
      <c r="L10" s="67"/>
      <c r="M10" s="14">
        <f>L10*$C10</f>
        <v>0</v>
      </c>
      <c r="N10" s="65"/>
      <c r="O10" s="14">
        <f t="shared" si="5"/>
        <v>0</v>
      </c>
      <c r="P10" s="67"/>
      <c r="Q10" s="14">
        <f t="shared" si="6"/>
        <v>0</v>
      </c>
      <c r="R10" s="67"/>
      <c r="S10" s="14">
        <f t="shared" si="7"/>
        <v>0</v>
      </c>
      <c r="T10" s="67"/>
      <c r="U10" s="14">
        <f t="shared" si="8"/>
        <v>0</v>
      </c>
      <c r="V10" s="67"/>
      <c r="W10" s="14">
        <f t="shared" si="9"/>
        <v>0</v>
      </c>
      <c r="X10" s="67"/>
      <c r="Y10" s="14">
        <f t="shared" si="10"/>
        <v>0</v>
      </c>
      <c r="Z10" s="67"/>
      <c r="AA10" s="14">
        <f t="shared" si="12"/>
        <v>0</v>
      </c>
      <c r="AB10" s="67">
        <f t="shared" si="13"/>
        <v>0</v>
      </c>
      <c r="AC10" s="14">
        <f t="shared" si="11"/>
        <v>0</v>
      </c>
    </row>
    <row r="11" spans="1:30" ht="21.75" hidden="1" customHeight="1" x14ac:dyDescent="0.5">
      <c r="A11" s="10">
        <v>7</v>
      </c>
      <c r="B11" s="63" t="s">
        <v>41</v>
      </c>
      <c r="C11" s="30">
        <v>0.6</v>
      </c>
      <c r="D11" s="63"/>
      <c r="E11" s="14">
        <f t="shared" si="0"/>
        <v>0</v>
      </c>
      <c r="F11" s="67"/>
      <c r="G11" s="14">
        <f t="shared" si="1"/>
        <v>0</v>
      </c>
      <c r="H11" s="67"/>
      <c r="I11" s="14">
        <f t="shared" si="2"/>
        <v>0</v>
      </c>
      <c r="J11" s="67"/>
      <c r="K11" s="14">
        <f t="shared" si="3"/>
        <v>0</v>
      </c>
      <c r="L11" s="67"/>
      <c r="M11" s="14">
        <f t="shared" si="4"/>
        <v>0</v>
      </c>
      <c r="N11" s="65"/>
      <c r="O11" s="14">
        <f t="shared" si="5"/>
        <v>0</v>
      </c>
      <c r="P11" s="67"/>
      <c r="Q11" s="14">
        <f t="shared" si="6"/>
        <v>0</v>
      </c>
      <c r="R11" s="67"/>
      <c r="S11" s="14">
        <f t="shared" si="7"/>
        <v>0</v>
      </c>
      <c r="T11" s="67"/>
      <c r="U11" s="14">
        <f t="shared" si="8"/>
        <v>0</v>
      </c>
      <c r="V11" s="67"/>
      <c r="W11" s="14">
        <f t="shared" si="9"/>
        <v>0</v>
      </c>
      <c r="X11" s="67"/>
      <c r="Y11" s="14">
        <f t="shared" si="10"/>
        <v>0</v>
      </c>
      <c r="Z11" s="67"/>
      <c r="AA11" s="14">
        <f t="shared" si="12"/>
        <v>0</v>
      </c>
      <c r="AB11" s="67">
        <f t="shared" si="13"/>
        <v>0</v>
      </c>
      <c r="AC11" s="14">
        <f t="shared" si="11"/>
        <v>0</v>
      </c>
    </row>
    <row r="12" spans="1:30" ht="21.75" customHeight="1" x14ac:dyDescent="0.5">
      <c r="A12" s="10">
        <v>8</v>
      </c>
      <c r="B12" s="72" t="s">
        <v>42</v>
      </c>
      <c r="C12" s="37">
        <v>1</v>
      </c>
      <c r="D12" s="63"/>
      <c r="E12" s="14">
        <f t="shared" si="0"/>
        <v>0</v>
      </c>
      <c r="F12" s="67"/>
      <c r="G12" s="14">
        <f t="shared" si="1"/>
        <v>0</v>
      </c>
      <c r="H12" s="67"/>
      <c r="I12" s="14">
        <f t="shared" si="2"/>
        <v>0</v>
      </c>
      <c r="J12" s="67"/>
      <c r="K12" s="14">
        <f t="shared" si="3"/>
        <v>0</v>
      </c>
      <c r="L12" s="67"/>
      <c r="M12" s="14">
        <f t="shared" si="4"/>
        <v>0</v>
      </c>
      <c r="N12" s="65">
        <v>156</v>
      </c>
      <c r="O12" s="14">
        <f t="shared" si="5"/>
        <v>156</v>
      </c>
      <c r="P12" s="67"/>
      <c r="Q12" s="14">
        <f t="shared" si="6"/>
        <v>0</v>
      </c>
      <c r="R12" s="67"/>
      <c r="S12" s="14">
        <f t="shared" si="7"/>
        <v>0</v>
      </c>
      <c r="T12" s="67"/>
      <c r="U12" s="14">
        <f t="shared" si="8"/>
        <v>0</v>
      </c>
      <c r="V12" s="67"/>
      <c r="W12" s="14">
        <f t="shared" si="9"/>
        <v>0</v>
      </c>
      <c r="X12" s="67"/>
      <c r="Y12" s="14">
        <f t="shared" si="10"/>
        <v>0</v>
      </c>
      <c r="Z12" s="67"/>
      <c r="AA12" s="14">
        <f t="shared" si="12"/>
        <v>0</v>
      </c>
      <c r="AB12" s="67">
        <f>Z12+X12+V12+T12+R12+P12+N12+L12+J12+H12+F12+D12</f>
        <v>156</v>
      </c>
      <c r="AC12" s="14">
        <f t="shared" si="11"/>
        <v>156</v>
      </c>
    </row>
    <row r="13" spans="1:30" ht="21.75" customHeight="1" x14ac:dyDescent="0.5">
      <c r="A13" s="10">
        <v>9</v>
      </c>
      <c r="B13" s="63" t="s">
        <v>43</v>
      </c>
      <c r="C13" s="37">
        <v>1</v>
      </c>
      <c r="D13" s="64">
        <v>24</v>
      </c>
      <c r="E13" s="14">
        <f t="shared" si="0"/>
        <v>24</v>
      </c>
      <c r="F13" s="64">
        <v>252</v>
      </c>
      <c r="G13" s="14">
        <f>F13*$C13</f>
        <v>252</v>
      </c>
      <c r="H13" s="64">
        <v>24</v>
      </c>
      <c r="I13" s="14">
        <f t="shared" si="2"/>
        <v>24</v>
      </c>
      <c r="J13" s="64">
        <v>108</v>
      </c>
      <c r="K13" s="14">
        <f t="shared" si="3"/>
        <v>108</v>
      </c>
      <c r="L13" s="64">
        <v>24</v>
      </c>
      <c r="M13" s="14">
        <f t="shared" si="4"/>
        <v>24</v>
      </c>
      <c r="N13" s="65"/>
      <c r="O13" s="14">
        <f t="shared" si="5"/>
        <v>0</v>
      </c>
      <c r="P13" s="64">
        <v>24</v>
      </c>
      <c r="Q13" s="14">
        <f t="shared" si="6"/>
        <v>24</v>
      </c>
      <c r="R13" s="75">
        <v>216</v>
      </c>
      <c r="S13" s="14">
        <f t="shared" si="7"/>
        <v>216</v>
      </c>
      <c r="T13" s="67">
        <v>120</v>
      </c>
      <c r="U13" s="14">
        <f t="shared" si="8"/>
        <v>120</v>
      </c>
      <c r="V13" s="67">
        <v>180</v>
      </c>
      <c r="W13" s="14">
        <f t="shared" si="9"/>
        <v>180</v>
      </c>
      <c r="X13" s="67">
        <v>132</v>
      </c>
      <c r="Y13" s="14">
        <f t="shared" si="10"/>
        <v>132</v>
      </c>
      <c r="Z13" s="67">
        <v>420</v>
      </c>
      <c r="AA13" s="14">
        <f t="shared" si="12"/>
        <v>420</v>
      </c>
      <c r="AB13" s="67">
        <f t="shared" si="13"/>
        <v>1524</v>
      </c>
      <c r="AC13" s="14">
        <f t="shared" si="11"/>
        <v>1524</v>
      </c>
    </row>
    <row r="14" spans="1:30" ht="21.75" hidden="1" customHeight="1" x14ac:dyDescent="0.5">
      <c r="A14" s="10">
        <v>10</v>
      </c>
      <c r="B14" s="63" t="s">
        <v>44</v>
      </c>
      <c r="C14" s="37">
        <v>0.3</v>
      </c>
      <c r="D14" s="63"/>
      <c r="E14" s="14">
        <f t="shared" si="0"/>
        <v>0</v>
      </c>
      <c r="F14" s="67"/>
      <c r="G14" s="14">
        <f t="shared" si="1"/>
        <v>0</v>
      </c>
      <c r="H14" s="67"/>
      <c r="I14" s="14">
        <f t="shared" si="2"/>
        <v>0</v>
      </c>
      <c r="J14" s="67"/>
      <c r="K14" s="14">
        <f t="shared" si="3"/>
        <v>0</v>
      </c>
      <c r="L14" s="67"/>
      <c r="M14" s="14">
        <f t="shared" si="4"/>
        <v>0</v>
      </c>
      <c r="N14" s="65"/>
      <c r="O14" s="14">
        <f t="shared" si="5"/>
        <v>0</v>
      </c>
      <c r="P14" s="67"/>
      <c r="Q14" s="14">
        <f t="shared" si="6"/>
        <v>0</v>
      </c>
      <c r="R14" s="67"/>
      <c r="S14" s="14">
        <f t="shared" si="7"/>
        <v>0</v>
      </c>
      <c r="T14" s="67"/>
      <c r="U14" s="14">
        <f t="shared" si="8"/>
        <v>0</v>
      </c>
      <c r="V14" s="67"/>
      <c r="W14" s="14">
        <f t="shared" si="9"/>
        <v>0</v>
      </c>
      <c r="X14" s="67"/>
      <c r="Y14" s="14">
        <f t="shared" si="10"/>
        <v>0</v>
      </c>
      <c r="Z14" s="67"/>
      <c r="AA14" s="14">
        <f t="shared" si="12"/>
        <v>0</v>
      </c>
      <c r="AB14" s="67">
        <f t="shared" si="13"/>
        <v>0</v>
      </c>
      <c r="AC14" s="14">
        <f t="shared" si="11"/>
        <v>0</v>
      </c>
    </row>
    <row r="15" spans="1:30" ht="21.75" customHeight="1" x14ac:dyDescent="0.5">
      <c r="A15" s="10">
        <v>11</v>
      </c>
      <c r="B15" s="63" t="s">
        <v>45</v>
      </c>
      <c r="C15" s="37">
        <v>0.64</v>
      </c>
      <c r="D15" s="64">
        <v>4200</v>
      </c>
      <c r="E15" s="14">
        <f t="shared" si="0"/>
        <v>2688</v>
      </c>
      <c r="F15" s="64">
        <v>3416</v>
      </c>
      <c r="G15" s="14">
        <f>F15*$C15</f>
        <v>2186.2400000000002</v>
      </c>
      <c r="H15" s="67"/>
      <c r="I15" s="14">
        <f t="shared" si="2"/>
        <v>0</v>
      </c>
      <c r="J15" s="76"/>
      <c r="K15" s="14">
        <f t="shared" si="3"/>
        <v>0</v>
      </c>
      <c r="L15" s="64">
        <v>4564</v>
      </c>
      <c r="M15" s="14">
        <f t="shared" si="4"/>
        <v>2920.96</v>
      </c>
      <c r="N15" s="65">
        <v>4830</v>
      </c>
      <c r="O15" s="14">
        <f t="shared" si="5"/>
        <v>3091.2000000000003</v>
      </c>
      <c r="P15" s="71">
        <v>4270</v>
      </c>
      <c r="Q15" s="14">
        <f t="shared" si="6"/>
        <v>2732.8</v>
      </c>
      <c r="R15" s="75">
        <v>6440</v>
      </c>
      <c r="S15" s="14">
        <f t="shared" si="7"/>
        <v>4121.6000000000004</v>
      </c>
      <c r="T15" s="67">
        <v>4690</v>
      </c>
      <c r="U15" s="14">
        <f t="shared" si="8"/>
        <v>3001.6</v>
      </c>
      <c r="V15" s="67">
        <v>6580</v>
      </c>
      <c r="W15" s="14">
        <f t="shared" si="9"/>
        <v>4211.2</v>
      </c>
      <c r="X15" s="69">
        <v>3990</v>
      </c>
      <c r="Y15" s="14">
        <f t="shared" si="10"/>
        <v>2553.6</v>
      </c>
      <c r="Z15" s="69">
        <v>3570</v>
      </c>
      <c r="AA15" s="14">
        <f t="shared" si="12"/>
        <v>2284.8000000000002</v>
      </c>
      <c r="AB15" s="67">
        <f t="shared" si="13"/>
        <v>46550</v>
      </c>
      <c r="AC15" s="14">
        <f t="shared" si="11"/>
        <v>29792</v>
      </c>
    </row>
    <row r="16" spans="1:30" ht="21.75" customHeight="1" x14ac:dyDescent="0.5">
      <c r="A16" s="10">
        <v>12</v>
      </c>
      <c r="B16" s="63" t="s">
        <v>65</v>
      </c>
      <c r="C16" s="37">
        <v>0.64</v>
      </c>
      <c r="D16" s="71">
        <v>157346</v>
      </c>
      <c r="E16" s="14">
        <f t="shared" si="0"/>
        <v>100701.44</v>
      </c>
      <c r="F16" s="67">
        <v>138684</v>
      </c>
      <c r="G16" s="14">
        <f>F16*$C16</f>
        <v>88757.759999999995</v>
      </c>
      <c r="H16" s="67">
        <v>176428</v>
      </c>
      <c r="I16" s="14">
        <f t="shared" si="2"/>
        <v>112913.92</v>
      </c>
      <c r="J16" s="67">
        <v>172830</v>
      </c>
      <c r="K16" s="14">
        <f t="shared" si="3"/>
        <v>110611.2</v>
      </c>
      <c r="L16" s="67">
        <v>184324</v>
      </c>
      <c r="M16" s="14">
        <f t="shared" si="4"/>
        <v>117967.36</v>
      </c>
      <c r="N16" s="65">
        <v>173068</v>
      </c>
      <c r="O16" s="14">
        <f t="shared" si="5"/>
        <v>110763.52</v>
      </c>
      <c r="P16" s="67">
        <v>155078</v>
      </c>
      <c r="Q16" s="14">
        <f t="shared" si="6"/>
        <v>99249.919999999998</v>
      </c>
      <c r="R16" s="67">
        <v>193578</v>
      </c>
      <c r="S16" s="14">
        <f t="shared" si="7"/>
        <v>123889.92</v>
      </c>
      <c r="T16" s="67">
        <v>148946</v>
      </c>
      <c r="U16" s="14">
        <f t="shared" si="8"/>
        <v>95325.440000000002</v>
      </c>
      <c r="V16" s="67">
        <v>163114</v>
      </c>
      <c r="W16" s="14">
        <f t="shared" si="9"/>
        <v>104392.96000000001</v>
      </c>
      <c r="X16" s="67">
        <v>118650</v>
      </c>
      <c r="Y16" s="14">
        <f t="shared" si="10"/>
        <v>75936</v>
      </c>
      <c r="Z16" s="67">
        <v>138414</v>
      </c>
      <c r="AA16" s="14">
        <f t="shared" si="12"/>
        <v>88584.960000000006</v>
      </c>
      <c r="AB16" s="67">
        <f t="shared" si="13"/>
        <v>1920460</v>
      </c>
      <c r="AC16" s="14">
        <f t="shared" si="11"/>
        <v>1229094.4000000001</v>
      </c>
    </row>
    <row r="17" spans="1:29" ht="21.75" customHeight="1" x14ac:dyDescent="0.5">
      <c r="A17" s="10">
        <v>13</v>
      </c>
      <c r="B17" s="63" t="s">
        <v>66</v>
      </c>
      <c r="C17" s="37">
        <v>0.64</v>
      </c>
      <c r="D17" s="64">
        <v>1200</v>
      </c>
      <c r="E17" s="14">
        <f t="shared" si="0"/>
        <v>768</v>
      </c>
      <c r="F17" s="64">
        <v>720</v>
      </c>
      <c r="G17" s="14">
        <f>F17*$C17</f>
        <v>460.8</v>
      </c>
      <c r="H17" s="64">
        <v>960</v>
      </c>
      <c r="I17" s="14">
        <f t="shared" si="2"/>
        <v>614.4</v>
      </c>
      <c r="J17" s="64">
        <v>720</v>
      </c>
      <c r="K17" s="14">
        <f t="shared" si="3"/>
        <v>460.8</v>
      </c>
      <c r="L17" s="64">
        <v>1920</v>
      </c>
      <c r="M17" s="14">
        <f t="shared" si="4"/>
        <v>1228.8</v>
      </c>
      <c r="N17" s="65"/>
      <c r="O17" s="14">
        <f t="shared" si="5"/>
        <v>0</v>
      </c>
      <c r="P17" s="67">
        <v>1200</v>
      </c>
      <c r="Q17" s="14">
        <f t="shared" si="6"/>
        <v>768</v>
      </c>
      <c r="R17" s="67"/>
      <c r="S17" s="14">
        <f t="shared" si="7"/>
        <v>0</v>
      </c>
      <c r="T17" s="67">
        <v>2160</v>
      </c>
      <c r="U17" s="14">
        <f t="shared" si="8"/>
        <v>1382.4</v>
      </c>
      <c r="V17" s="67">
        <v>480</v>
      </c>
      <c r="W17" s="14">
        <f t="shared" si="9"/>
        <v>307.2</v>
      </c>
      <c r="X17" s="69">
        <v>2400</v>
      </c>
      <c r="Y17" s="14">
        <f t="shared" si="10"/>
        <v>1536</v>
      </c>
      <c r="Z17" s="69"/>
      <c r="AA17" s="14">
        <f t="shared" si="12"/>
        <v>0</v>
      </c>
      <c r="AB17" s="67">
        <f t="shared" si="13"/>
        <v>11760</v>
      </c>
      <c r="AC17" s="14">
        <f t="shared" si="11"/>
        <v>7526.4000000000005</v>
      </c>
    </row>
    <row r="18" spans="1:29" ht="21.75" customHeight="1" x14ac:dyDescent="0.5">
      <c r="A18" s="10">
        <v>14</v>
      </c>
      <c r="B18" s="63" t="s">
        <v>46</v>
      </c>
      <c r="C18" s="37">
        <v>0.64</v>
      </c>
      <c r="D18" s="64">
        <v>11410</v>
      </c>
      <c r="E18" s="14">
        <f t="shared" si="0"/>
        <v>7302.4000000000005</v>
      </c>
      <c r="F18" s="64">
        <v>12726</v>
      </c>
      <c r="G18" s="14">
        <f>F18*$C18</f>
        <v>8144.64</v>
      </c>
      <c r="H18" s="64">
        <v>9450</v>
      </c>
      <c r="I18" s="14">
        <f t="shared" si="2"/>
        <v>6048</v>
      </c>
      <c r="J18" s="64">
        <v>11620</v>
      </c>
      <c r="K18" s="14">
        <f t="shared" si="3"/>
        <v>7436.8</v>
      </c>
      <c r="L18" s="64">
        <v>14826</v>
      </c>
      <c r="M18" s="14">
        <f t="shared" si="4"/>
        <v>9488.64</v>
      </c>
      <c r="N18" s="65">
        <v>12180</v>
      </c>
      <c r="O18" s="14">
        <f t="shared" si="5"/>
        <v>7795.2</v>
      </c>
      <c r="P18" s="71">
        <v>14840</v>
      </c>
      <c r="Q18" s="14">
        <f t="shared" si="6"/>
        <v>9497.6</v>
      </c>
      <c r="R18" s="67">
        <v>11410</v>
      </c>
      <c r="S18" s="14">
        <f t="shared" si="7"/>
        <v>7302.4000000000005</v>
      </c>
      <c r="T18" s="67">
        <v>10150</v>
      </c>
      <c r="U18" s="14">
        <f t="shared" si="8"/>
        <v>6496</v>
      </c>
      <c r="V18" s="67">
        <v>10500</v>
      </c>
      <c r="W18" s="14">
        <f t="shared" si="9"/>
        <v>6720</v>
      </c>
      <c r="X18" s="67">
        <v>12040</v>
      </c>
      <c r="Y18" s="14">
        <f t="shared" si="10"/>
        <v>7705.6</v>
      </c>
      <c r="Z18" s="67">
        <v>14070</v>
      </c>
      <c r="AA18" s="14">
        <f t="shared" si="12"/>
        <v>9004.8000000000011</v>
      </c>
      <c r="AB18" s="67">
        <f t="shared" si="13"/>
        <v>145222</v>
      </c>
      <c r="AC18" s="14">
        <f t="shared" si="11"/>
        <v>92942.080000000002</v>
      </c>
    </row>
    <row r="19" spans="1:29" ht="21.75" hidden="1" customHeight="1" x14ac:dyDescent="0.5">
      <c r="A19" s="10">
        <v>15</v>
      </c>
      <c r="B19" s="63" t="s">
        <v>47</v>
      </c>
      <c r="C19" s="37">
        <v>0.64</v>
      </c>
      <c r="D19" s="63"/>
      <c r="E19" s="14">
        <f t="shared" si="0"/>
        <v>0</v>
      </c>
      <c r="F19" s="67"/>
      <c r="G19" s="14">
        <f t="shared" si="1"/>
        <v>0</v>
      </c>
      <c r="H19" s="67"/>
      <c r="I19" s="14">
        <f t="shared" si="2"/>
        <v>0</v>
      </c>
      <c r="J19" s="67"/>
      <c r="K19" s="14">
        <f t="shared" si="3"/>
        <v>0</v>
      </c>
      <c r="L19" s="67"/>
      <c r="M19" s="14">
        <f t="shared" si="4"/>
        <v>0</v>
      </c>
      <c r="N19" s="65"/>
      <c r="O19" s="14">
        <f t="shared" si="5"/>
        <v>0</v>
      </c>
      <c r="P19" s="67"/>
      <c r="Q19" s="14">
        <f t="shared" si="6"/>
        <v>0</v>
      </c>
      <c r="R19" s="67"/>
      <c r="S19" s="14">
        <f t="shared" si="7"/>
        <v>0</v>
      </c>
      <c r="T19" s="67"/>
      <c r="U19" s="14">
        <f t="shared" si="8"/>
        <v>0</v>
      </c>
      <c r="V19" s="67"/>
      <c r="W19" s="14">
        <f t="shared" si="9"/>
        <v>0</v>
      </c>
      <c r="X19" s="67"/>
      <c r="Y19" s="14">
        <f t="shared" si="10"/>
        <v>0</v>
      </c>
      <c r="Z19" s="67"/>
      <c r="AA19" s="14">
        <f t="shared" si="12"/>
        <v>0</v>
      </c>
      <c r="AB19" s="67">
        <f t="shared" si="13"/>
        <v>0</v>
      </c>
      <c r="AC19" s="14">
        <f t="shared" si="11"/>
        <v>0</v>
      </c>
    </row>
    <row r="20" spans="1:29" ht="21.75" customHeight="1" x14ac:dyDescent="0.5">
      <c r="A20" s="10">
        <v>16</v>
      </c>
      <c r="B20" s="63" t="s">
        <v>48</v>
      </c>
      <c r="C20" s="37">
        <v>0.64</v>
      </c>
      <c r="D20" s="64">
        <v>1400</v>
      </c>
      <c r="E20" s="14">
        <f>D20*$C20</f>
        <v>896</v>
      </c>
      <c r="F20" s="64">
        <v>1960</v>
      </c>
      <c r="G20" s="14">
        <f>F20*$C20</f>
        <v>1254.4000000000001</v>
      </c>
      <c r="H20" s="64">
        <v>6412</v>
      </c>
      <c r="I20" s="14">
        <f t="shared" si="2"/>
        <v>4103.68</v>
      </c>
      <c r="J20" s="64">
        <v>7490</v>
      </c>
      <c r="K20" s="14">
        <f t="shared" si="3"/>
        <v>4793.6000000000004</v>
      </c>
      <c r="L20" s="64">
        <v>2100</v>
      </c>
      <c r="M20" s="14">
        <f t="shared" si="4"/>
        <v>1344</v>
      </c>
      <c r="N20" s="65">
        <v>4200</v>
      </c>
      <c r="O20" s="14">
        <f t="shared" si="5"/>
        <v>2688</v>
      </c>
      <c r="P20" s="71">
        <v>3500</v>
      </c>
      <c r="Q20" s="14">
        <f t="shared" si="6"/>
        <v>2240</v>
      </c>
      <c r="R20" s="67">
        <v>3500</v>
      </c>
      <c r="S20" s="14">
        <f t="shared" si="7"/>
        <v>2240</v>
      </c>
      <c r="T20" s="67">
        <v>2800</v>
      </c>
      <c r="U20" s="14">
        <f t="shared" si="8"/>
        <v>1792</v>
      </c>
      <c r="V20" s="67">
        <v>3500</v>
      </c>
      <c r="W20" s="14">
        <f t="shared" si="9"/>
        <v>2240</v>
      </c>
      <c r="X20" s="67">
        <v>4200</v>
      </c>
      <c r="Y20" s="14">
        <f t="shared" si="10"/>
        <v>2688</v>
      </c>
      <c r="Z20" s="67">
        <v>2800</v>
      </c>
      <c r="AA20" s="14">
        <f t="shared" si="12"/>
        <v>1792</v>
      </c>
      <c r="AB20" s="67">
        <f t="shared" si="13"/>
        <v>43862</v>
      </c>
      <c r="AC20" s="14">
        <f t="shared" si="11"/>
        <v>28071.68</v>
      </c>
    </row>
    <row r="21" spans="1:29" ht="21.75" customHeight="1" x14ac:dyDescent="0.5">
      <c r="A21" s="10">
        <v>23</v>
      </c>
      <c r="B21" s="63" t="s">
        <v>69</v>
      </c>
      <c r="C21" s="37">
        <v>0.64</v>
      </c>
      <c r="D21" s="64">
        <v>434</v>
      </c>
      <c r="E21" s="14">
        <f t="shared" si="0"/>
        <v>277.76</v>
      </c>
      <c r="F21" s="64">
        <v>322</v>
      </c>
      <c r="G21" s="14">
        <f>F21*$C21</f>
        <v>206.08</v>
      </c>
      <c r="H21" s="64">
        <v>336</v>
      </c>
      <c r="I21" s="14">
        <f t="shared" si="2"/>
        <v>215.04</v>
      </c>
      <c r="J21" s="64">
        <v>546</v>
      </c>
      <c r="K21" s="14">
        <f t="shared" si="3"/>
        <v>349.44</v>
      </c>
      <c r="L21" s="64">
        <v>280</v>
      </c>
      <c r="M21" s="14">
        <f t="shared" si="4"/>
        <v>179.20000000000002</v>
      </c>
      <c r="N21" s="65">
        <v>504</v>
      </c>
      <c r="O21" s="14">
        <f t="shared" si="5"/>
        <v>322.56</v>
      </c>
      <c r="P21" s="71">
        <v>588</v>
      </c>
      <c r="Q21" s="14">
        <f t="shared" si="6"/>
        <v>376.32</v>
      </c>
      <c r="R21" s="67"/>
      <c r="S21" s="14">
        <f t="shared" si="7"/>
        <v>0</v>
      </c>
      <c r="T21" s="67">
        <v>154</v>
      </c>
      <c r="U21" s="14">
        <f t="shared" si="8"/>
        <v>98.56</v>
      </c>
      <c r="V21" s="69">
        <v>196</v>
      </c>
      <c r="W21" s="14">
        <f t="shared" si="9"/>
        <v>125.44</v>
      </c>
      <c r="X21" s="69">
        <v>434</v>
      </c>
      <c r="Y21" s="14">
        <f t="shared" si="10"/>
        <v>277.76</v>
      </c>
      <c r="Z21" s="69">
        <v>140</v>
      </c>
      <c r="AA21" s="14">
        <f t="shared" si="12"/>
        <v>89.600000000000009</v>
      </c>
      <c r="AB21" s="67">
        <f t="shared" si="13"/>
        <v>3934</v>
      </c>
      <c r="AC21" s="14">
        <f t="shared" si="11"/>
        <v>2517.7600000000002</v>
      </c>
    </row>
    <row r="22" spans="1:29" ht="21.75" customHeight="1" x14ac:dyDescent="0.5">
      <c r="A22" s="10"/>
      <c r="B22" s="63" t="s">
        <v>70</v>
      </c>
      <c r="C22" s="37">
        <v>0.64</v>
      </c>
      <c r="D22" s="64">
        <v>18648</v>
      </c>
      <c r="E22" s="14">
        <f t="shared" si="0"/>
        <v>11934.72</v>
      </c>
      <c r="F22" s="77"/>
      <c r="G22" s="14"/>
      <c r="H22" s="77"/>
      <c r="I22" s="14"/>
      <c r="J22" s="78"/>
      <c r="K22" s="14"/>
      <c r="L22" s="67"/>
      <c r="M22" s="14"/>
      <c r="N22" s="65"/>
      <c r="O22" s="14"/>
      <c r="P22" s="67"/>
      <c r="Q22" s="14"/>
      <c r="R22" s="67"/>
      <c r="S22" s="14"/>
      <c r="T22" s="67"/>
      <c r="U22" s="14"/>
      <c r="V22" s="69"/>
      <c r="W22" s="14">
        <f t="shared" si="9"/>
        <v>0</v>
      </c>
      <c r="X22" s="67"/>
      <c r="Y22" s="14"/>
      <c r="Z22" s="67"/>
      <c r="AA22" s="14"/>
      <c r="AB22" s="67">
        <f t="shared" si="13"/>
        <v>18648</v>
      </c>
      <c r="AC22" s="14">
        <f t="shared" si="11"/>
        <v>11934.72</v>
      </c>
    </row>
    <row r="23" spans="1:29" ht="21.75" customHeight="1" x14ac:dyDescent="0.5">
      <c r="A23" s="10">
        <v>24</v>
      </c>
      <c r="B23" s="12" t="s">
        <v>50</v>
      </c>
      <c r="C23" s="37">
        <v>0.64</v>
      </c>
      <c r="D23" s="63"/>
      <c r="E23" s="14">
        <f t="shared" si="0"/>
        <v>0</v>
      </c>
      <c r="F23" s="67">
        <v>17880</v>
      </c>
      <c r="G23" s="14">
        <f t="shared" si="1"/>
        <v>11443.2</v>
      </c>
      <c r="H23" s="64">
        <v>17040</v>
      </c>
      <c r="I23" s="14">
        <f t="shared" si="2"/>
        <v>10905.6</v>
      </c>
      <c r="J23" s="64">
        <v>20760</v>
      </c>
      <c r="K23" s="14">
        <f t="shared" si="3"/>
        <v>13286.4</v>
      </c>
      <c r="L23" s="64">
        <v>24360</v>
      </c>
      <c r="M23" s="14">
        <f t="shared" si="4"/>
        <v>15590.4</v>
      </c>
      <c r="N23" s="65">
        <v>19800</v>
      </c>
      <c r="O23" s="14">
        <f t="shared" si="5"/>
        <v>12672</v>
      </c>
      <c r="P23" s="71">
        <v>19320</v>
      </c>
      <c r="Q23" s="14">
        <f t="shared" si="6"/>
        <v>12364.800000000001</v>
      </c>
      <c r="R23" s="75">
        <v>17640</v>
      </c>
      <c r="S23" s="14">
        <f t="shared" si="7"/>
        <v>11289.6</v>
      </c>
      <c r="T23" s="67">
        <v>18480</v>
      </c>
      <c r="U23" s="14">
        <f t="shared" si="8"/>
        <v>11827.2</v>
      </c>
      <c r="V23" s="67">
        <v>20040</v>
      </c>
      <c r="W23" s="14">
        <f t="shared" si="9"/>
        <v>12825.6</v>
      </c>
      <c r="X23" s="67">
        <v>18864</v>
      </c>
      <c r="Y23" s="14">
        <f t="shared" si="10"/>
        <v>12072.960000000001</v>
      </c>
      <c r="Z23" s="67">
        <v>17280</v>
      </c>
      <c r="AA23" s="14">
        <f t="shared" si="12"/>
        <v>11059.2</v>
      </c>
      <c r="AB23" s="67">
        <f t="shared" si="13"/>
        <v>211464</v>
      </c>
      <c r="AC23" s="14">
        <f t="shared" si="11"/>
        <v>135336.95999999999</v>
      </c>
    </row>
    <row r="24" spans="1:29" ht="21.75" customHeight="1" x14ac:dyDescent="0.5">
      <c r="A24" s="10">
        <v>26</v>
      </c>
      <c r="B24" s="63" t="s">
        <v>51</v>
      </c>
      <c r="C24" s="37">
        <v>0.7</v>
      </c>
      <c r="D24" s="64">
        <v>2</v>
      </c>
      <c r="E24" s="14">
        <f t="shared" si="0"/>
        <v>1.4</v>
      </c>
      <c r="F24" s="79"/>
      <c r="G24" s="14">
        <f t="shared" si="1"/>
        <v>0</v>
      </c>
      <c r="H24" s="64">
        <v>60</v>
      </c>
      <c r="I24" s="14">
        <f t="shared" si="2"/>
        <v>42</v>
      </c>
      <c r="J24" s="64">
        <v>180</v>
      </c>
      <c r="K24" s="14">
        <f t="shared" si="3"/>
        <v>125.99999999999999</v>
      </c>
      <c r="L24" s="64">
        <v>77</v>
      </c>
      <c r="M24" s="14">
        <f t="shared" si="4"/>
        <v>53.9</v>
      </c>
      <c r="N24" s="65">
        <v>60</v>
      </c>
      <c r="O24" s="14">
        <f t="shared" si="5"/>
        <v>42</v>
      </c>
      <c r="P24" s="64">
        <v>60</v>
      </c>
      <c r="Q24" s="14">
        <f t="shared" si="6"/>
        <v>42</v>
      </c>
      <c r="R24" s="67">
        <v>204</v>
      </c>
      <c r="S24" s="14">
        <f t="shared" si="7"/>
        <v>142.79999999999998</v>
      </c>
      <c r="T24" s="67">
        <v>41</v>
      </c>
      <c r="U24" s="14">
        <f t="shared" si="8"/>
        <v>28.7</v>
      </c>
      <c r="V24" s="67">
        <v>54</v>
      </c>
      <c r="W24" s="14">
        <f t="shared" si="9"/>
        <v>37.799999999999997</v>
      </c>
      <c r="X24" s="67">
        <v>354</v>
      </c>
      <c r="Y24" s="14">
        <f t="shared" si="10"/>
        <v>247.79999999999998</v>
      </c>
      <c r="Z24" s="69">
        <v>41</v>
      </c>
      <c r="AA24" s="14">
        <f t="shared" si="12"/>
        <v>28.7</v>
      </c>
      <c r="AB24" s="67">
        <f t="shared" si="13"/>
        <v>1133</v>
      </c>
      <c r="AC24" s="14">
        <f t="shared" si="11"/>
        <v>793.09999999999991</v>
      </c>
    </row>
    <row r="25" spans="1:29" ht="21.75" hidden="1" customHeight="1" x14ac:dyDescent="0.5">
      <c r="A25" s="10">
        <v>27</v>
      </c>
      <c r="B25" s="63" t="s">
        <v>52</v>
      </c>
      <c r="C25" s="37">
        <v>0.35</v>
      </c>
      <c r="D25" s="63"/>
      <c r="E25" s="14">
        <f t="shared" si="0"/>
        <v>0</v>
      </c>
      <c r="F25" s="67"/>
      <c r="G25" s="14">
        <f t="shared" si="1"/>
        <v>0</v>
      </c>
      <c r="H25" s="76"/>
      <c r="I25" s="14">
        <f t="shared" si="2"/>
        <v>0</v>
      </c>
      <c r="J25" s="67"/>
      <c r="K25" s="14">
        <f t="shared" si="3"/>
        <v>0</v>
      </c>
      <c r="L25" s="67"/>
      <c r="M25" s="14">
        <f t="shared" si="4"/>
        <v>0</v>
      </c>
      <c r="N25" s="65"/>
      <c r="O25" s="14">
        <f t="shared" si="5"/>
        <v>0</v>
      </c>
      <c r="P25" s="67"/>
      <c r="Q25" s="14">
        <f t="shared" si="6"/>
        <v>0</v>
      </c>
      <c r="R25" s="67"/>
      <c r="S25" s="14">
        <f t="shared" si="7"/>
        <v>0</v>
      </c>
      <c r="T25" s="67"/>
      <c r="U25" s="14">
        <f t="shared" si="8"/>
        <v>0</v>
      </c>
      <c r="V25" s="67"/>
      <c r="W25" s="14">
        <f t="shared" si="9"/>
        <v>0</v>
      </c>
      <c r="X25" s="67"/>
      <c r="Y25" s="14">
        <f t="shared" si="10"/>
        <v>0</v>
      </c>
      <c r="Z25" s="67"/>
      <c r="AA25" s="14">
        <f>Z25*$C25</f>
        <v>0</v>
      </c>
      <c r="AB25" s="67">
        <f t="shared" si="13"/>
        <v>0</v>
      </c>
      <c r="AC25" s="14"/>
    </row>
    <row r="26" spans="1:29" ht="21.75" hidden="1" customHeight="1" x14ac:dyDescent="0.5">
      <c r="A26" s="10"/>
      <c r="B26" s="37"/>
      <c r="C26" s="37"/>
      <c r="D26" s="63"/>
      <c r="E26" s="14"/>
      <c r="F26" s="67"/>
      <c r="G26" s="14"/>
      <c r="H26" s="67"/>
      <c r="I26" s="14"/>
      <c r="J26" s="67"/>
      <c r="K26" s="14"/>
      <c r="L26" s="67"/>
      <c r="M26" s="14"/>
      <c r="N26" s="67"/>
      <c r="O26" s="14"/>
      <c r="P26" s="67"/>
      <c r="Q26" s="14"/>
      <c r="R26" s="67"/>
      <c r="S26" s="14"/>
      <c r="T26" s="67"/>
      <c r="U26" s="14"/>
      <c r="V26" s="67"/>
      <c r="W26" s="14"/>
      <c r="X26" s="67"/>
      <c r="Y26" s="14"/>
      <c r="Z26" s="67"/>
      <c r="AA26" s="14"/>
      <c r="AB26" s="67"/>
      <c r="AC26" s="14"/>
    </row>
    <row r="27" spans="1:29" ht="21.75" hidden="1" customHeight="1" x14ac:dyDescent="0.5">
      <c r="A27" s="10"/>
      <c r="B27" s="37"/>
      <c r="C27" s="37"/>
      <c r="D27" s="67"/>
      <c r="E27" s="14"/>
      <c r="F27" s="67"/>
      <c r="G27" s="14"/>
      <c r="H27" s="67"/>
      <c r="I27" s="14"/>
      <c r="J27" s="67"/>
      <c r="K27" s="14"/>
      <c r="L27" s="67"/>
      <c r="M27" s="14"/>
      <c r="N27" s="67"/>
      <c r="O27" s="14"/>
      <c r="P27" s="67"/>
      <c r="Q27" s="14"/>
      <c r="R27" s="67"/>
      <c r="S27" s="14"/>
      <c r="T27" s="67"/>
      <c r="U27" s="14"/>
      <c r="V27" s="67"/>
      <c r="W27" s="14"/>
      <c r="X27" s="67"/>
      <c r="Y27" s="14"/>
      <c r="Z27" s="67"/>
      <c r="AA27" s="14"/>
      <c r="AB27" s="67"/>
      <c r="AC27" s="14"/>
    </row>
    <row r="28" spans="1:29" ht="21.75" hidden="1" customHeight="1" x14ac:dyDescent="0.5">
      <c r="A28" s="10"/>
      <c r="B28" s="37"/>
      <c r="C28" s="37"/>
      <c r="D28" s="67"/>
      <c r="E28" s="14">
        <f t="shared" si="0"/>
        <v>0</v>
      </c>
      <c r="F28" s="67"/>
      <c r="G28" s="14">
        <f t="shared" si="1"/>
        <v>0</v>
      </c>
      <c r="H28" s="67"/>
      <c r="I28" s="14">
        <f t="shared" si="2"/>
        <v>0</v>
      </c>
      <c r="J28" s="67"/>
      <c r="K28" s="14">
        <f t="shared" si="3"/>
        <v>0</v>
      </c>
      <c r="L28" s="67"/>
      <c r="M28" s="14">
        <f t="shared" si="4"/>
        <v>0</v>
      </c>
      <c r="N28" s="67"/>
      <c r="O28" s="14">
        <f t="shared" si="5"/>
        <v>0</v>
      </c>
      <c r="P28" s="67"/>
      <c r="Q28" s="14">
        <f t="shared" si="6"/>
        <v>0</v>
      </c>
      <c r="R28" s="67"/>
      <c r="S28" s="14">
        <f t="shared" si="7"/>
        <v>0</v>
      </c>
      <c r="T28" s="67"/>
      <c r="U28" s="14">
        <f t="shared" si="8"/>
        <v>0</v>
      </c>
      <c r="V28" s="67"/>
      <c r="W28" s="14">
        <f t="shared" si="9"/>
        <v>0</v>
      </c>
      <c r="X28" s="67"/>
      <c r="Y28" s="14">
        <f t="shared" si="10"/>
        <v>0</v>
      </c>
      <c r="Z28" s="67"/>
      <c r="AA28" s="14">
        <f t="shared" si="12"/>
        <v>0</v>
      </c>
      <c r="AB28" s="67">
        <f t="shared" si="13"/>
        <v>0</v>
      </c>
      <c r="AC28" s="14">
        <f t="shared" si="11"/>
        <v>0</v>
      </c>
    </row>
    <row r="29" spans="1:29" ht="21.75" customHeight="1" x14ac:dyDescent="0.5">
      <c r="A29" s="21"/>
      <c r="B29" s="41" t="s">
        <v>8</v>
      </c>
      <c r="C29" s="41"/>
      <c r="D29" s="80">
        <f t="shared" ref="D29:I29" si="14">SUM(D4:D28)</f>
        <v>284980</v>
      </c>
      <c r="E29" s="81">
        <f t="shared" si="14"/>
        <v>200645.96</v>
      </c>
      <c r="F29" s="80">
        <f t="shared" si="14"/>
        <v>250402</v>
      </c>
      <c r="G29" s="82">
        <f t="shared" si="14"/>
        <v>150442.35999999999</v>
      </c>
      <c r="H29" s="80">
        <f t="shared" si="14"/>
        <v>306180</v>
      </c>
      <c r="I29" s="82">
        <f t="shared" si="14"/>
        <v>216101.84</v>
      </c>
      <c r="J29" s="83">
        <f t="shared" ref="J29" si="15">SUM(J4:J28)</f>
        <v>313206</v>
      </c>
      <c r="K29" s="82">
        <f>SUM(K4:K24)</f>
        <v>220161.03999999998</v>
      </c>
      <c r="L29" s="80">
        <f t="shared" ref="L29:AA29" si="16">SUM(L4:L28)</f>
        <v>319523</v>
      </c>
      <c r="M29" s="82">
        <f t="shared" si="16"/>
        <v>221018.78000000003</v>
      </c>
      <c r="N29" s="80">
        <f t="shared" si="16"/>
        <v>319420</v>
      </c>
      <c r="O29" s="82">
        <f t="shared" si="16"/>
        <v>227006.72</v>
      </c>
      <c r="P29" s="80">
        <f t="shared" si="16"/>
        <v>309212</v>
      </c>
      <c r="Q29" s="82">
        <f t="shared" si="16"/>
        <v>219811.20000000001</v>
      </c>
      <c r="R29" s="80">
        <f t="shared" si="16"/>
        <v>358266</v>
      </c>
      <c r="S29" s="82">
        <f t="shared" si="16"/>
        <v>257544.8</v>
      </c>
      <c r="T29" s="80">
        <f t="shared" si="16"/>
        <v>289469</v>
      </c>
      <c r="U29" s="82">
        <f t="shared" si="16"/>
        <v>211684.06000000003</v>
      </c>
      <c r="V29" s="80">
        <f t="shared" si="16"/>
        <v>334424</v>
      </c>
      <c r="W29" s="82">
        <f t="shared" si="16"/>
        <v>242242.68000000002</v>
      </c>
      <c r="X29" s="80">
        <f t="shared" si="16"/>
        <v>251296</v>
      </c>
      <c r="Y29" s="82">
        <f t="shared" si="16"/>
        <v>181264.84</v>
      </c>
      <c r="Z29" s="80">
        <f t="shared" si="16"/>
        <v>298525</v>
      </c>
      <c r="AA29" s="82">
        <f t="shared" si="16"/>
        <v>220445.46000000002</v>
      </c>
      <c r="AB29" s="80">
        <f>SUM(D29+F29+H29+J29+L29+N29+P29+R29+T29+V29+X29+Z29)</f>
        <v>3634903</v>
      </c>
      <c r="AC29" s="82">
        <f>AA29+Y29+W29+U29+S29+Q29+O29+M29+K29+I29+G29+E29</f>
        <v>2568369.7399999998</v>
      </c>
    </row>
    <row r="30" spans="1:29" ht="21.75" customHeight="1" x14ac:dyDescent="0.5">
      <c r="A30" s="21"/>
      <c r="B30" s="41" t="s">
        <v>15</v>
      </c>
      <c r="C30" s="41"/>
      <c r="D30" s="80"/>
      <c r="E30" s="81">
        <v>200631.96</v>
      </c>
      <c r="F30" s="80"/>
      <c r="G30" s="81">
        <v>148526.56</v>
      </c>
      <c r="H30" s="80"/>
      <c r="I30" s="81">
        <v>216091.84</v>
      </c>
      <c r="J30" s="80"/>
      <c r="K30" s="82">
        <v>220021.04</v>
      </c>
      <c r="L30" s="80"/>
      <c r="M30" s="81">
        <v>221018.78000000003</v>
      </c>
      <c r="N30" s="80"/>
      <c r="O30" s="81">
        <v>226656.72</v>
      </c>
      <c r="P30" s="80"/>
      <c r="Q30" s="81">
        <v>219461.2</v>
      </c>
      <c r="R30" s="80"/>
      <c r="S30" s="81">
        <v>257534.8</v>
      </c>
      <c r="T30" s="80"/>
      <c r="U30" s="81">
        <v>211674.06000000003</v>
      </c>
      <c r="V30" s="80"/>
      <c r="W30" s="81">
        <v>242222.68000000002</v>
      </c>
      <c r="X30" s="80"/>
      <c r="Y30" s="82">
        <v>181264.84</v>
      </c>
      <c r="Z30" s="80">
        <v>298525</v>
      </c>
      <c r="AA30" s="82">
        <v>220405.46000000002</v>
      </c>
      <c r="AB30" s="80"/>
      <c r="AC30" s="82">
        <v>2566109.94</v>
      </c>
    </row>
    <row r="31" spans="1:29" ht="21.75" customHeight="1" x14ac:dyDescent="0.5">
      <c r="A31" s="10"/>
      <c r="B31" s="37"/>
      <c r="C31" s="37"/>
      <c r="D31" s="12"/>
      <c r="E31" s="14"/>
      <c r="F31" s="12"/>
      <c r="G31" s="14"/>
      <c r="H31" s="12"/>
      <c r="I31" s="14"/>
      <c r="J31" s="12"/>
      <c r="K31" s="14"/>
      <c r="L31" s="12"/>
      <c r="M31" s="14"/>
      <c r="N31" s="12"/>
      <c r="O31" s="14"/>
      <c r="P31" s="12"/>
      <c r="Q31" s="14"/>
      <c r="R31" s="12"/>
      <c r="S31" s="14"/>
      <c r="T31" s="12"/>
      <c r="U31" s="14"/>
      <c r="V31" s="12"/>
      <c r="W31" s="14"/>
      <c r="X31" s="12"/>
      <c r="Y31" s="14"/>
      <c r="Z31" s="12"/>
      <c r="AA31" s="14"/>
      <c r="AB31" s="67"/>
      <c r="AC31" s="14"/>
    </row>
    <row r="32" spans="1:29" ht="21.75" customHeight="1" x14ac:dyDescent="0.5">
      <c r="A32" s="10">
        <v>1</v>
      </c>
      <c r="B32" s="63" t="s">
        <v>53</v>
      </c>
      <c r="C32" s="37">
        <v>0.7</v>
      </c>
      <c r="D32" s="69">
        <v>348</v>
      </c>
      <c r="E32" s="14">
        <f t="shared" ref="E32:E40" si="17">D32*$C32</f>
        <v>243.6</v>
      </c>
      <c r="F32" s="69">
        <v>12</v>
      </c>
      <c r="G32" s="14">
        <f t="shared" ref="G32:G37" si="18">F32*$C32</f>
        <v>8.3999999999999986</v>
      </c>
      <c r="H32" s="69">
        <v>192</v>
      </c>
      <c r="I32" s="14">
        <f t="shared" ref="I32:I37" si="19">H32*$C32</f>
        <v>134.39999999999998</v>
      </c>
      <c r="J32" s="69">
        <v>12</v>
      </c>
      <c r="K32" s="14">
        <f t="shared" ref="K32:K40" si="20">J32*$C32</f>
        <v>8.3999999999999986</v>
      </c>
      <c r="L32" s="69">
        <v>240</v>
      </c>
      <c r="M32" s="14">
        <f t="shared" ref="M32:M40" si="21">L32*$C32</f>
        <v>168</v>
      </c>
      <c r="N32" s="69">
        <v>180</v>
      </c>
      <c r="O32" s="14">
        <f t="shared" ref="O32:O40" si="22">N32*$C32</f>
        <v>125.99999999999999</v>
      </c>
      <c r="P32" s="69">
        <v>48</v>
      </c>
      <c r="Q32" s="14">
        <f t="shared" ref="Q32:Q40" si="23">P32*$C32</f>
        <v>33.599999999999994</v>
      </c>
      <c r="R32" s="67">
        <v>240</v>
      </c>
      <c r="S32" s="14">
        <f t="shared" ref="S32:S40" si="24">R32*$C32</f>
        <v>168</v>
      </c>
      <c r="T32" s="67">
        <v>324</v>
      </c>
      <c r="U32" s="14">
        <f t="shared" ref="U32:U37" si="25">T32*$C32</f>
        <v>226.79999999999998</v>
      </c>
      <c r="V32" s="67">
        <v>300</v>
      </c>
      <c r="W32" s="14">
        <f>V32*C32</f>
        <v>210</v>
      </c>
      <c r="X32" s="69">
        <v>444</v>
      </c>
      <c r="Y32" s="14">
        <f>X32*C32</f>
        <v>310.79999999999995</v>
      </c>
      <c r="Z32" s="69">
        <v>120</v>
      </c>
      <c r="AA32" s="14">
        <f>Z32*C32</f>
        <v>84</v>
      </c>
      <c r="AB32" s="67">
        <f>SUM(D32:Z32)</f>
        <v>4098</v>
      </c>
      <c r="AC32" s="14">
        <f>SUM(E32:AA32)</f>
        <v>3834</v>
      </c>
    </row>
    <row r="33" spans="1:29" ht="21.75" customHeight="1" x14ac:dyDescent="0.5">
      <c r="A33" s="10">
        <v>2</v>
      </c>
      <c r="B33" s="63" t="s">
        <v>54</v>
      </c>
      <c r="C33" s="37">
        <v>0.35</v>
      </c>
      <c r="D33" s="69">
        <v>72</v>
      </c>
      <c r="E33" s="14">
        <f t="shared" si="17"/>
        <v>25.2</v>
      </c>
      <c r="F33" s="69">
        <v>24</v>
      </c>
      <c r="G33" s="14">
        <f t="shared" si="18"/>
        <v>8.3999999999999986</v>
      </c>
      <c r="H33" s="69">
        <v>96</v>
      </c>
      <c r="I33" s="14">
        <f t="shared" si="19"/>
        <v>33.599999999999994</v>
      </c>
      <c r="J33" s="14"/>
      <c r="K33" s="14">
        <f t="shared" si="20"/>
        <v>0</v>
      </c>
      <c r="L33" s="66"/>
      <c r="M33" s="14">
        <f t="shared" si="21"/>
        <v>0</v>
      </c>
      <c r="N33" s="67"/>
      <c r="O33" s="14">
        <f t="shared" si="22"/>
        <v>0</v>
      </c>
      <c r="P33" s="67"/>
      <c r="Q33" s="14">
        <f t="shared" si="23"/>
        <v>0</v>
      </c>
      <c r="R33" s="67">
        <v>24</v>
      </c>
      <c r="S33" s="14">
        <f t="shared" si="24"/>
        <v>8.3999999999999986</v>
      </c>
      <c r="T33" s="67">
        <v>24</v>
      </c>
      <c r="U33" s="14">
        <f t="shared" si="25"/>
        <v>8.3999999999999986</v>
      </c>
      <c r="V33" s="67"/>
      <c r="W33" s="14">
        <f t="shared" ref="W33:W40" si="26">V33*C33</f>
        <v>0</v>
      </c>
      <c r="X33" s="69">
        <v>24</v>
      </c>
      <c r="Y33" s="14">
        <f t="shared" ref="Y33:Y56" si="27">X33*C33</f>
        <v>8.3999999999999986</v>
      </c>
      <c r="Z33" s="69">
        <v>24</v>
      </c>
      <c r="AA33" s="14">
        <f t="shared" ref="AA33:AA40" si="28">Z33*C33</f>
        <v>8.3999999999999986</v>
      </c>
      <c r="AB33" s="67">
        <f t="shared" ref="AB33:AB40" si="29">SUM(D33:Z33)</f>
        <v>380.39999999999992</v>
      </c>
      <c r="AC33" s="14">
        <f t="shared" ref="AC33:AC40" si="30">SUM(E33:AA33)</f>
        <v>316.79999999999995</v>
      </c>
    </row>
    <row r="34" spans="1:29" ht="21.75" customHeight="1" x14ac:dyDescent="0.5">
      <c r="A34" s="10">
        <v>3</v>
      </c>
      <c r="B34" s="63" t="s">
        <v>55</v>
      </c>
      <c r="C34" s="37">
        <v>0.17499999999999999</v>
      </c>
      <c r="D34" s="79"/>
      <c r="E34" s="14">
        <f t="shared" si="17"/>
        <v>0</v>
      </c>
      <c r="F34" s="79"/>
      <c r="G34" s="14">
        <f t="shared" si="18"/>
        <v>0</v>
      </c>
      <c r="H34" s="76"/>
      <c r="I34" s="14">
        <f t="shared" si="19"/>
        <v>0</v>
      </c>
      <c r="J34" s="14"/>
      <c r="K34" s="14">
        <f t="shared" si="20"/>
        <v>0</v>
      </c>
      <c r="L34" s="66"/>
      <c r="M34" s="14">
        <f t="shared" si="21"/>
        <v>0</v>
      </c>
      <c r="N34" s="67"/>
      <c r="O34" s="14">
        <f t="shared" si="22"/>
        <v>0</v>
      </c>
      <c r="P34" s="67"/>
      <c r="Q34" s="14">
        <f t="shared" si="23"/>
        <v>0</v>
      </c>
      <c r="R34" s="67"/>
      <c r="S34" s="14">
        <f t="shared" si="24"/>
        <v>0</v>
      </c>
      <c r="T34" s="67"/>
      <c r="U34" s="14">
        <f t="shared" si="25"/>
        <v>0</v>
      </c>
      <c r="V34" s="67"/>
      <c r="W34" s="14">
        <f t="shared" si="26"/>
        <v>0</v>
      </c>
      <c r="X34" s="69">
        <v>2</v>
      </c>
      <c r="Y34" s="14">
        <f t="shared" si="27"/>
        <v>0.35</v>
      </c>
      <c r="Z34" s="69"/>
      <c r="AA34" s="14">
        <f t="shared" si="28"/>
        <v>0</v>
      </c>
      <c r="AB34" s="67">
        <f t="shared" si="29"/>
        <v>2.35</v>
      </c>
      <c r="AC34" s="14">
        <f t="shared" si="30"/>
        <v>2.35</v>
      </c>
    </row>
    <row r="35" spans="1:29" ht="21.75" customHeight="1" x14ac:dyDescent="0.5">
      <c r="A35" s="10">
        <v>4</v>
      </c>
      <c r="B35" s="63" t="s">
        <v>56</v>
      </c>
      <c r="C35" s="37">
        <v>0.7</v>
      </c>
      <c r="D35" s="69">
        <v>252</v>
      </c>
      <c r="E35" s="14">
        <f t="shared" si="17"/>
        <v>176.39999999999998</v>
      </c>
      <c r="F35" s="69">
        <v>336</v>
      </c>
      <c r="G35" s="14">
        <f t="shared" si="18"/>
        <v>235.2</v>
      </c>
      <c r="H35" s="69">
        <v>456</v>
      </c>
      <c r="I35" s="14">
        <f t="shared" si="19"/>
        <v>319.2</v>
      </c>
      <c r="J35" s="69">
        <v>72</v>
      </c>
      <c r="K35" s="14">
        <f t="shared" si="20"/>
        <v>50.4</v>
      </c>
      <c r="L35" s="69">
        <v>183</v>
      </c>
      <c r="M35" s="14">
        <f t="shared" si="21"/>
        <v>128.1</v>
      </c>
      <c r="N35" s="69">
        <v>84</v>
      </c>
      <c r="O35" s="14">
        <f t="shared" si="22"/>
        <v>58.8</v>
      </c>
      <c r="P35" s="69">
        <v>48</v>
      </c>
      <c r="Q35" s="14">
        <f t="shared" si="23"/>
        <v>33.599999999999994</v>
      </c>
      <c r="R35" s="67">
        <v>216</v>
      </c>
      <c r="S35" s="14">
        <f t="shared" si="24"/>
        <v>151.19999999999999</v>
      </c>
      <c r="T35" s="67">
        <v>24</v>
      </c>
      <c r="U35" s="14">
        <f t="shared" si="25"/>
        <v>16.799999999999997</v>
      </c>
      <c r="V35" s="67">
        <v>168</v>
      </c>
      <c r="W35" s="14">
        <f t="shared" si="26"/>
        <v>117.6</v>
      </c>
      <c r="X35" s="67">
        <v>246</v>
      </c>
      <c r="Y35" s="14">
        <f t="shared" si="27"/>
        <v>172.2</v>
      </c>
      <c r="Z35" s="67"/>
      <c r="AA35" s="14">
        <f t="shared" si="28"/>
        <v>0</v>
      </c>
      <c r="AB35" s="67">
        <f t="shared" si="29"/>
        <v>3544.4999999999995</v>
      </c>
      <c r="AC35" s="14">
        <f t="shared" si="30"/>
        <v>3292.4999999999995</v>
      </c>
    </row>
    <row r="36" spans="1:29" ht="21.75" customHeight="1" x14ac:dyDescent="0.5">
      <c r="A36" s="10">
        <v>5</v>
      </c>
      <c r="B36" s="63" t="s">
        <v>57</v>
      </c>
      <c r="C36" s="37">
        <v>0.35</v>
      </c>
      <c r="D36" s="69">
        <v>72</v>
      </c>
      <c r="E36" s="14">
        <f t="shared" si="17"/>
        <v>25.2</v>
      </c>
      <c r="F36" s="69">
        <v>126</v>
      </c>
      <c r="G36" s="14">
        <f t="shared" si="18"/>
        <v>44.099999999999994</v>
      </c>
      <c r="H36" s="69">
        <v>126</v>
      </c>
      <c r="I36" s="14">
        <f t="shared" si="19"/>
        <v>44.099999999999994</v>
      </c>
      <c r="J36" s="69">
        <v>96</v>
      </c>
      <c r="K36" s="14">
        <f t="shared" si="20"/>
        <v>33.599999999999994</v>
      </c>
      <c r="L36" s="69">
        <v>77</v>
      </c>
      <c r="M36" s="14">
        <f t="shared" si="21"/>
        <v>26.95</v>
      </c>
      <c r="N36" s="69">
        <v>24</v>
      </c>
      <c r="O36" s="14">
        <f t="shared" si="22"/>
        <v>8.3999999999999986</v>
      </c>
      <c r="P36" s="69">
        <v>6</v>
      </c>
      <c r="Q36" s="14">
        <f t="shared" si="23"/>
        <v>2.0999999999999996</v>
      </c>
      <c r="R36" s="67">
        <v>24</v>
      </c>
      <c r="S36" s="14">
        <f t="shared" si="24"/>
        <v>8.3999999999999986</v>
      </c>
      <c r="T36" s="67">
        <v>24</v>
      </c>
      <c r="U36" s="14">
        <f t="shared" si="25"/>
        <v>8.3999999999999986</v>
      </c>
      <c r="V36" s="67"/>
      <c r="W36" s="14">
        <f t="shared" si="26"/>
        <v>0</v>
      </c>
      <c r="X36" s="67"/>
      <c r="Y36" s="14">
        <f t="shared" si="27"/>
        <v>0</v>
      </c>
      <c r="Z36" s="67">
        <v>120</v>
      </c>
      <c r="AA36" s="14">
        <f t="shared" si="28"/>
        <v>42</v>
      </c>
      <c r="AB36" s="67">
        <f t="shared" si="29"/>
        <v>896.25</v>
      </c>
      <c r="AC36" s="14">
        <f t="shared" si="30"/>
        <v>866.25</v>
      </c>
    </row>
    <row r="37" spans="1:29" ht="21.75" customHeight="1" x14ac:dyDescent="0.5">
      <c r="A37" s="10">
        <v>6</v>
      </c>
      <c r="B37" s="63" t="s">
        <v>58</v>
      </c>
      <c r="C37" s="37">
        <v>0.17499999999999999</v>
      </c>
      <c r="D37" s="69">
        <v>168</v>
      </c>
      <c r="E37" s="14">
        <f t="shared" si="17"/>
        <v>29.4</v>
      </c>
      <c r="F37" s="69">
        <v>60</v>
      </c>
      <c r="G37" s="14">
        <f t="shared" si="18"/>
        <v>10.5</v>
      </c>
      <c r="H37" s="69">
        <v>108</v>
      </c>
      <c r="I37" s="14">
        <f t="shared" si="19"/>
        <v>18.899999999999999</v>
      </c>
      <c r="J37" s="69">
        <v>48</v>
      </c>
      <c r="K37" s="14">
        <f t="shared" si="20"/>
        <v>8.3999999999999986</v>
      </c>
      <c r="L37" s="67"/>
      <c r="M37" s="14">
        <f t="shared" si="21"/>
        <v>0</v>
      </c>
      <c r="N37" s="67"/>
      <c r="O37" s="14">
        <f t="shared" si="22"/>
        <v>0</v>
      </c>
      <c r="P37" s="69">
        <v>12</v>
      </c>
      <c r="Q37" s="14">
        <f t="shared" si="23"/>
        <v>2.0999999999999996</v>
      </c>
      <c r="R37" s="67">
        <v>96</v>
      </c>
      <c r="S37" s="14">
        <f t="shared" si="24"/>
        <v>16.799999999999997</v>
      </c>
      <c r="T37" s="67"/>
      <c r="U37" s="14">
        <f t="shared" si="25"/>
        <v>0</v>
      </c>
      <c r="V37" s="67"/>
      <c r="W37" s="14">
        <f t="shared" si="26"/>
        <v>0</v>
      </c>
      <c r="X37" s="67"/>
      <c r="Y37" s="14">
        <f t="shared" si="27"/>
        <v>0</v>
      </c>
      <c r="Z37" s="67">
        <v>144</v>
      </c>
      <c r="AA37" s="14">
        <f t="shared" si="28"/>
        <v>25.2</v>
      </c>
      <c r="AB37" s="67">
        <f t="shared" si="29"/>
        <v>722.09999999999991</v>
      </c>
      <c r="AC37" s="14">
        <f t="shared" si="30"/>
        <v>579.30000000000007</v>
      </c>
    </row>
    <row r="38" spans="1:29" ht="21.75" hidden="1" customHeight="1" x14ac:dyDescent="0.5">
      <c r="A38" s="10">
        <v>7</v>
      </c>
      <c r="B38" s="63" t="s">
        <v>59</v>
      </c>
      <c r="C38" s="37">
        <v>0.7</v>
      </c>
      <c r="D38" s="67"/>
      <c r="E38" s="14">
        <f t="shared" si="17"/>
        <v>0</v>
      </c>
      <c r="F38" s="84"/>
      <c r="G38" s="14"/>
      <c r="H38" s="76"/>
      <c r="I38" s="14"/>
      <c r="J38" s="12"/>
      <c r="K38" s="14">
        <f t="shared" si="20"/>
        <v>0</v>
      </c>
      <c r="L38" s="12"/>
      <c r="M38" s="14">
        <f t="shared" si="21"/>
        <v>0</v>
      </c>
      <c r="N38" s="67"/>
      <c r="O38" s="14">
        <f t="shared" si="22"/>
        <v>0</v>
      </c>
      <c r="P38" s="67"/>
      <c r="Q38" s="14">
        <f t="shared" si="23"/>
        <v>0</v>
      </c>
      <c r="R38" s="67"/>
      <c r="S38" s="14">
        <f t="shared" si="24"/>
        <v>0</v>
      </c>
      <c r="T38" s="67"/>
      <c r="U38" s="14"/>
      <c r="V38" s="67"/>
      <c r="W38" s="14">
        <f t="shared" si="26"/>
        <v>0</v>
      </c>
      <c r="X38" s="67"/>
      <c r="Y38" s="14">
        <f t="shared" si="27"/>
        <v>0</v>
      </c>
      <c r="Z38" s="67"/>
      <c r="AA38" s="14">
        <f t="shared" si="28"/>
        <v>0</v>
      </c>
      <c r="AB38" s="67">
        <f t="shared" si="29"/>
        <v>0</v>
      </c>
      <c r="AC38" s="14">
        <f t="shared" si="30"/>
        <v>0</v>
      </c>
    </row>
    <row r="39" spans="1:29" ht="21.75" hidden="1" customHeight="1" x14ac:dyDescent="0.5">
      <c r="A39" s="10">
        <v>8</v>
      </c>
      <c r="B39" s="37" t="s">
        <v>1</v>
      </c>
      <c r="C39" s="37">
        <v>0.7</v>
      </c>
      <c r="D39" s="12"/>
      <c r="E39" s="14">
        <f t="shared" si="17"/>
        <v>0</v>
      </c>
      <c r="F39" s="12"/>
      <c r="G39" s="14"/>
      <c r="H39" s="12"/>
      <c r="I39" s="14"/>
      <c r="J39" s="12"/>
      <c r="K39" s="14">
        <f t="shared" si="20"/>
        <v>0</v>
      </c>
      <c r="L39" s="12"/>
      <c r="M39" s="14">
        <f t="shared" si="21"/>
        <v>0</v>
      </c>
      <c r="N39" s="67"/>
      <c r="O39" s="14">
        <f t="shared" si="22"/>
        <v>0</v>
      </c>
      <c r="P39" s="67"/>
      <c r="Q39" s="14">
        <f t="shared" si="23"/>
        <v>0</v>
      </c>
      <c r="R39" s="67"/>
      <c r="S39" s="14">
        <f t="shared" si="24"/>
        <v>0</v>
      </c>
      <c r="T39" s="67"/>
      <c r="U39" s="14"/>
      <c r="V39" s="67"/>
      <c r="W39" s="14">
        <f t="shared" si="26"/>
        <v>0</v>
      </c>
      <c r="X39" s="67"/>
      <c r="Y39" s="14">
        <f t="shared" si="27"/>
        <v>0</v>
      </c>
      <c r="Z39" s="67"/>
      <c r="AA39" s="14">
        <f t="shared" si="28"/>
        <v>0</v>
      </c>
      <c r="AB39" s="67">
        <f t="shared" si="29"/>
        <v>0</v>
      </c>
      <c r="AC39" s="14">
        <f t="shared" si="30"/>
        <v>0</v>
      </c>
    </row>
    <row r="40" spans="1:29" ht="21.75" customHeight="1" x14ac:dyDescent="0.5">
      <c r="A40" s="10"/>
      <c r="B40" s="63" t="s">
        <v>60</v>
      </c>
      <c r="C40" s="37">
        <v>0.7</v>
      </c>
      <c r="D40" s="69">
        <v>24</v>
      </c>
      <c r="E40" s="14">
        <f t="shared" si="17"/>
        <v>16.799999999999997</v>
      </c>
      <c r="F40" s="79"/>
      <c r="G40" s="14"/>
      <c r="H40" s="12"/>
      <c r="I40" s="14"/>
      <c r="J40" s="69">
        <v>180</v>
      </c>
      <c r="K40" s="14">
        <f t="shared" si="20"/>
        <v>125.99999999999999</v>
      </c>
      <c r="L40" s="69">
        <v>60</v>
      </c>
      <c r="M40" s="14">
        <f t="shared" si="21"/>
        <v>42</v>
      </c>
      <c r="N40" s="67"/>
      <c r="O40" s="14">
        <f t="shared" si="22"/>
        <v>0</v>
      </c>
      <c r="P40" s="67"/>
      <c r="Q40" s="14">
        <f t="shared" si="23"/>
        <v>0</v>
      </c>
      <c r="R40" s="67">
        <v>156</v>
      </c>
      <c r="S40" s="14">
        <f t="shared" si="24"/>
        <v>109.19999999999999</v>
      </c>
      <c r="T40" s="67"/>
      <c r="U40" s="14"/>
      <c r="V40" s="67"/>
      <c r="W40" s="14">
        <f t="shared" si="26"/>
        <v>0</v>
      </c>
      <c r="X40" s="67"/>
      <c r="Y40" s="14">
        <f t="shared" si="27"/>
        <v>0</v>
      </c>
      <c r="Z40" s="69"/>
      <c r="AA40" s="14">
        <f t="shared" si="28"/>
        <v>0</v>
      </c>
      <c r="AB40" s="67">
        <f t="shared" si="29"/>
        <v>714</v>
      </c>
      <c r="AC40" s="14">
        <f t="shared" si="30"/>
        <v>690</v>
      </c>
    </row>
    <row r="41" spans="1:29" ht="21.75" hidden="1" customHeight="1" x14ac:dyDescent="0.5">
      <c r="A41" s="10"/>
      <c r="B41" s="63" t="s">
        <v>61</v>
      </c>
      <c r="C41" s="37">
        <v>0.7</v>
      </c>
      <c r="D41" s="12"/>
      <c r="E41" s="14"/>
      <c r="F41" s="12"/>
      <c r="G41" s="14"/>
      <c r="H41" s="12"/>
      <c r="I41" s="14"/>
      <c r="J41" s="76"/>
      <c r="K41" s="66"/>
      <c r="L41" s="66"/>
      <c r="M41" s="14"/>
      <c r="N41" s="67"/>
      <c r="O41" s="14"/>
      <c r="P41" s="67"/>
      <c r="Q41" s="14"/>
      <c r="R41" s="67"/>
      <c r="S41" s="14"/>
      <c r="T41" s="67"/>
      <c r="U41" s="14"/>
      <c r="V41" s="67"/>
      <c r="W41" s="14"/>
      <c r="X41" s="67"/>
      <c r="Y41" s="14">
        <f t="shared" si="27"/>
        <v>0</v>
      </c>
      <c r="Z41" s="67"/>
      <c r="AA41" s="14"/>
      <c r="AB41" s="67">
        <f>D41+F41+H41+J41+L41+N41+P41+R41+T41+V41+X41+Z41</f>
        <v>0</v>
      </c>
      <c r="AC41" s="14"/>
    </row>
    <row r="42" spans="1:29" ht="21.75" hidden="1" customHeight="1" x14ac:dyDescent="0.5">
      <c r="A42" s="10"/>
      <c r="B42" s="63" t="s">
        <v>62</v>
      </c>
      <c r="C42" s="37">
        <v>0.35</v>
      </c>
      <c r="D42" s="12"/>
      <c r="E42" s="14"/>
      <c r="F42" s="12"/>
      <c r="G42" s="14"/>
      <c r="H42" s="12"/>
      <c r="I42" s="14"/>
      <c r="J42" s="76"/>
      <c r="K42" s="66"/>
      <c r="L42" s="66"/>
      <c r="M42" s="14"/>
      <c r="N42" s="67"/>
      <c r="O42" s="14"/>
      <c r="P42" s="67"/>
      <c r="Q42" s="14"/>
      <c r="R42" s="67"/>
      <c r="S42" s="14"/>
      <c r="T42" s="67"/>
      <c r="U42" s="14"/>
      <c r="V42" s="67"/>
      <c r="W42" s="14"/>
      <c r="X42" s="67"/>
      <c r="Y42" s="14">
        <f t="shared" si="27"/>
        <v>0</v>
      </c>
      <c r="Z42" s="67"/>
      <c r="AA42" s="14"/>
      <c r="AB42" s="67">
        <f>D42+F42+H42+J42+L42+N42+P42+R42+T42+V42+X42+Z42</f>
        <v>0</v>
      </c>
      <c r="AC42" s="14"/>
    </row>
    <row r="43" spans="1:29" ht="21.75" hidden="1" customHeight="1" x14ac:dyDescent="0.5">
      <c r="A43" s="10"/>
      <c r="B43" s="63" t="s">
        <v>63</v>
      </c>
      <c r="C43" s="37"/>
      <c r="D43" s="12"/>
      <c r="E43" s="14"/>
      <c r="F43" s="12"/>
      <c r="G43" s="14"/>
      <c r="H43" s="12"/>
      <c r="I43" s="14"/>
      <c r="J43" s="76"/>
      <c r="K43" s="67"/>
      <c r="L43" s="67"/>
      <c r="M43" s="14"/>
      <c r="N43" s="67"/>
      <c r="O43" s="14"/>
      <c r="P43" s="67"/>
      <c r="Q43" s="14"/>
      <c r="R43" s="67"/>
      <c r="S43" s="14"/>
      <c r="T43" s="67"/>
      <c r="U43" s="14"/>
      <c r="V43" s="67"/>
      <c r="W43" s="14"/>
      <c r="X43" s="67"/>
      <c r="Y43" s="14">
        <f t="shared" si="27"/>
        <v>0</v>
      </c>
      <c r="Z43" s="67"/>
      <c r="AA43" s="14"/>
      <c r="AB43" s="67">
        <f>D43+F43+H43+J43+L43+N43+P43+R43+T43+V43+X43+Z43</f>
        <v>0</v>
      </c>
      <c r="AC43" s="14"/>
    </row>
    <row r="44" spans="1:29" ht="21.75" hidden="1" customHeight="1" x14ac:dyDescent="0.5">
      <c r="A44" s="10"/>
      <c r="B44" s="63" t="s">
        <v>64</v>
      </c>
      <c r="C44" s="37"/>
      <c r="D44" s="12"/>
      <c r="E44" s="14"/>
      <c r="F44" s="12"/>
      <c r="G44" s="14"/>
      <c r="H44" s="12"/>
      <c r="I44" s="14"/>
      <c r="J44" s="12"/>
      <c r="K44" s="14"/>
      <c r="L44" s="12"/>
      <c r="M44" s="14"/>
      <c r="N44" s="67"/>
      <c r="O44" s="14"/>
      <c r="P44" s="67"/>
      <c r="Q44" s="14"/>
      <c r="R44" s="67"/>
      <c r="S44" s="14"/>
      <c r="T44" s="67"/>
      <c r="U44" s="14"/>
      <c r="V44" s="67"/>
      <c r="W44" s="14"/>
      <c r="X44" s="67"/>
      <c r="Y44" s="14">
        <f t="shared" si="27"/>
        <v>0</v>
      </c>
      <c r="Z44" s="67"/>
      <c r="AA44" s="14"/>
      <c r="AB44" s="67">
        <f t="shared" ref="AB44:AB45" si="31">D44+F44+H44+J44+L44+N44+P44+R44+T44+V44+X44+Z44</f>
        <v>0</v>
      </c>
      <c r="AC44" s="14"/>
    </row>
    <row r="45" spans="1:29" ht="21.75" hidden="1" customHeight="1" x14ac:dyDescent="0.5">
      <c r="A45" s="10"/>
      <c r="B45" s="72" t="s">
        <v>73</v>
      </c>
      <c r="C45" s="37"/>
      <c r="D45" s="12"/>
      <c r="E45" s="14"/>
      <c r="F45" s="12"/>
      <c r="G45" s="14"/>
      <c r="H45" s="12"/>
      <c r="I45" s="14"/>
      <c r="J45" s="12"/>
      <c r="K45" s="14"/>
      <c r="L45" s="12"/>
      <c r="M45" s="14"/>
      <c r="N45" s="67"/>
      <c r="O45" s="14"/>
      <c r="P45" s="67"/>
      <c r="Q45" s="14"/>
      <c r="R45" s="67"/>
      <c r="S45" s="14"/>
      <c r="T45" s="67"/>
      <c r="U45" s="14"/>
      <c r="V45" s="67"/>
      <c r="W45" s="14"/>
      <c r="X45" s="67"/>
      <c r="Y45" s="14">
        <f t="shared" si="27"/>
        <v>0</v>
      </c>
      <c r="Z45" s="67"/>
      <c r="AA45" s="14"/>
      <c r="AB45" s="67">
        <f t="shared" si="31"/>
        <v>0</v>
      </c>
      <c r="AC45" s="14"/>
    </row>
    <row r="46" spans="1:29" ht="21.75" hidden="1" customHeight="1" x14ac:dyDescent="0.5">
      <c r="A46" s="10"/>
      <c r="B46" s="72" t="s">
        <v>74</v>
      </c>
      <c r="C46" s="37"/>
      <c r="D46" s="12"/>
      <c r="E46" s="14"/>
      <c r="F46" s="12"/>
      <c r="G46" s="14"/>
      <c r="H46" s="12"/>
      <c r="I46" s="14"/>
      <c r="J46" s="12"/>
      <c r="K46" s="14"/>
      <c r="L46" s="12"/>
      <c r="M46" s="14"/>
      <c r="N46" s="67"/>
      <c r="O46" s="14"/>
      <c r="P46" s="67"/>
      <c r="Q46" s="14"/>
      <c r="R46" s="67"/>
      <c r="S46" s="14"/>
      <c r="T46" s="67"/>
      <c r="U46" s="14"/>
      <c r="V46" s="67"/>
      <c r="W46" s="14"/>
      <c r="X46" s="67"/>
      <c r="Y46" s="14">
        <f t="shared" si="27"/>
        <v>0</v>
      </c>
      <c r="Z46" s="67"/>
      <c r="AA46" s="14"/>
      <c r="AB46" s="67">
        <f t="shared" ref="AB46:AB56" si="32">SUM(D46:Z46)</f>
        <v>0</v>
      </c>
      <c r="AC46" s="14"/>
    </row>
    <row r="47" spans="1:29" ht="21.75" hidden="1" customHeight="1" x14ac:dyDescent="0.5">
      <c r="A47" s="10"/>
      <c r="B47" s="72" t="s">
        <v>75</v>
      </c>
      <c r="C47" s="37"/>
      <c r="D47" s="12"/>
      <c r="E47" s="14"/>
      <c r="F47" s="12"/>
      <c r="G47" s="14"/>
      <c r="H47" s="12"/>
      <c r="I47" s="14"/>
      <c r="J47" s="12"/>
      <c r="K47" s="14"/>
      <c r="L47" s="12"/>
      <c r="M47" s="14"/>
      <c r="N47" s="67"/>
      <c r="O47" s="14"/>
      <c r="P47" s="67"/>
      <c r="Q47" s="14"/>
      <c r="R47" s="67"/>
      <c r="S47" s="14"/>
      <c r="T47" s="67"/>
      <c r="U47" s="14"/>
      <c r="V47" s="67"/>
      <c r="W47" s="14"/>
      <c r="X47" s="67"/>
      <c r="Y47" s="14">
        <f t="shared" si="27"/>
        <v>0</v>
      </c>
      <c r="Z47" s="67"/>
      <c r="AA47" s="14"/>
      <c r="AB47" s="67">
        <f t="shared" si="32"/>
        <v>0</v>
      </c>
      <c r="AC47" s="14"/>
    </row>
    <row r="48" spans="1:29" ht="21.75" hidden="1" customHeight="1" x14ac:dyDescent="0.5">
      <c r="A48" s="10"/>
      <c r="B48" s="72" t="s">
        <v>76</v>
      </c>
      <c r="C48" s="37"/>
      <c r="D48" s="12"/>
      <c r="E48" s="14"/>
      <c r="F48" s="12"/>
      <c r="G48" s="14"/>
      <c r="H48" s="12"/>
      <c r="I48" s="14"/>
      <c r="J48" s="12"/>
      <c r="K48" s="14"/>
      <c r="L48" s="12"/>
      <c r="M48" s="14"/>
      <c r="N48" s="67"/>
      <c r="O48" s="14"/>
      <c r="P48" s="67"/>
      <c r="Q48" s="14"/>
      <c r="R48" s="67"/>
      <c r="S48" s="14"/>
      <c r="T48" s="67"/>
      <c r="U48" s="14"/>
      <c r="V48" s="67"/>
      <c r="W48" s="14"/>
      <c r="X48" s="67"/>
      <c r="Y48" s="14">
        <f t="shared" si="27"/>
        <v>0</v>
      </c>
      <c r="Z48" s="67"/>
      <c r="AA48" s="14"/>
      <c r="AB48" s="67">
        <f t="shared" si="32"/>
        <v>0</v>
      </c>
      <c r="AC48" s="14"/>
    </row>
    <row r="49" spans="1:29" ht="21.75" hidden="1" customHeight="1" x14ac:dyDescent="0.5">
      <c r="A49" s="10"/>
      <c r="B49" s="72" t="s">
        <v>77</v>
      </c>
      <c r="C49" s="37"/>
      <c r="D49" s="12"/>
      <c r="E49" s="14"/>
      <c r="F49" s="12"/>
      <c r="G49" s="14"/>
      <c r="H49" s="12"/>
      <c r="I49" s="14"/>
      <c r="J49" s="12"/>
      <c r="K49" s="14"/>
      <c r="L49" s="12"/>
      <c r="M49" s="14"/>
      <c r="N49" s="67"/>
      <c r="O49" s="14"/>
      <c r="P49" s="67"/>
      <c r="Q49" s="14"/>
      <c r="R49" s="67"/>
      <c r="S49" s="14"/>
      <c r="T49" s="67"/>
      <c r="U49" s="14"/>
      <c r="V49" s="67"/>
      <c r="W49" s="14"/>
      <c r="X49" s="67"/>
      <c r="Y49" s="14">
        <f t="shared" si="27"/>
        <v>0</v>
      </c>
      <c r="Z49" s="67"/>
      <c r="AA49" s="14"/>
      <c r="AB49" s="67">
        <f t="shared" si="32"/>
        <v>0</v>
      </c>
      <c r="AC49" s="14"/>
    </row>
    <row r="50" spans="1:29" ht="21.75" hidden="1" customHeight="1" x14ac:dyDescent="0.5">
      <c r="A50" s="10"/>
      <c r="B50" s="72" t="s">
        <v>78</v>
      </c>
      <c r="C50" s="37"/>
      <c r="D50" s="12"/>
      <c r="E50" s="14"/>
      <c r="F50" s="12"/>
      <c r="G50" s="14"/>
      <c r="H50" s="12"/>
      <c r="I50" s="14"/>
      <c r="J50" s="12"/>
      <c r="K50" s="14"/>
      <c r="L50" s="12"/>
      <c r="M50" s="14"/>
      <c r="N50" s="67"/>
      <c r="O50" s="14"/>
      <c r="P50" s="67"/>
      <c r="Q50" s="14"/>
      <c r="R50" s="67"/>
      <c r="S50" s="14"/>
      <c r="T50" s="67"/>
      <c r="U50" s="14"/>
      <c r="V50" s="67"/>
      <c r="W50" s="14"/>
      <c r="X50" s="67"/>
      <c r="Y50" s="14">
        <f t="shared" si="27"/>
        <v>0</v>
      </c>
      <c r="Z50" s="67"/>
      <c r="AA50" s="14"/>
      <c r="AB50" s="67">
        <f t="shared" si="32"/>
        <v>0</v>
      </c>
      <c r="AC50" s="14"/>
    </row>
    <row r="51" spans="1:29" ht="21.75" hidden="1" customHeight="1" x14ac:dyDescent="0.5">
      <c r="A51" s="10"/>
      <c r="B51" s="37"/>
      <c r="C51" s="37"/>
      <c r="D51" s="12"/>
      <c r="E51" s="14"/>
      <c r="F51" s="12"/>
      <c r="G51" s="14"/>
      <c r="H51" s="12"/>
      <c r="I51" s="14"/>
      <c r="J51" s="12"/>
      <c r="K51" s="14"/>
      <c r="L51" s="12"/>
      <c r="M51" s="14"/>
      <c r="N51" s="67"/>
      <c r="O51" s="14"/>
      <c r="P51" s="67"/>
      <c r="Q51" s="14"/>
      <c r="R51" s="67"/>
      <c r="S51" s="14"/>
      <c r="T51" s="67"/>
      <c r="U51" s="14"/>
      <c r="V51" s="67"/>
      <c r="W51" s="14"/>
      <c r="X51" s="67"/>
      <c r="Y51" s="14">
        <f t="shared" si="27"/>
        <v>0</v>
      </c>
      <c r="Z51" s="67"/>
      <c r="AA51" s="14"/>
      <c r="AB51" s="67">
        <f t="shared" si="32"/>
        <v>0</v>
      </c>
      <c r="AC51" s="14"/>
    </row>
    <row r="52" spans="1:29" ht="21.75" hidden="1" customHeight="1" x14ac:dyDescent="0.5">
      <c r="A52" s="10"/>
      <c r="B52" s="37"/>
      <c r="C52" s="37"/>
      <c r="D52" s="12"/>
      <c r="E52" s="14"/>
      <c r="F52" s="12"/>
      <c r="G52" s="14"/>
      <c r="H52" s="12"/>
      <c r="I52" s="14"/>
      <c r="J52" s="12"/>
      <c r="K52" s="14"/>
      <c r="L52" s="12"/>
      <c r="M52" s="14"/>
      <c r="N52" s="67"/>
      <c r="O52" s="14"/>
      <c r="P52" s="67"/>
      <c r="Q52" s="14"/>
      <c r="R52" s="67"/>
      <c r="S52" s="14"/>
      <c r="T52" s="67"/>
      <c r="U52" s="14"/>
      <c r="V52" s="67"/>
      <c r="W52" s="14"/>
      <c r="X52" s="67"/>
      <c r="Y52" s="14">
        <f t="shared" si="27"/>
        <v>0</v>
      </c>
      <c r="Z52" s="67"/>
      <c r="AA52" s="14"/>
      <c r="AB52" s="67">
        <f t="shared" si="32"/>
        <v>0</v>
      </c>
      <c r="AC52" s="14"/>
    </row>
    <row r="53" spans="1:29" ht="21.75" hidden="1" customHeight="1" x14ac:dyDescent="0.5">
      <c r="A53" s="10">
        <v>9</v>
      </c>
      <c r="B53" s="37"/>
      <c r="C53" s="37"/>
      <c r="D53" s="12"/>
      <c r="E53" s="14"/>
      <c r="F53" s="12"/>
      <c r="G53" s="14"/>
      <c r="H53" s="12"/>
      <c r="I53" s="14"/>
      <c r="J53" s="12"/>
      <c r="K53" s="14"/>
      <c r="L53" s="12"/>
      <c r="M53" s="14"/>
      <c r="N53" s="67"/>
      <c r="O53" s="14"/>
      <c r="P53" s="67"/>
      <c r="Q53" s="14"/>
      <c r="R53" s="67"/>
      <c r="S53" s="14"/>
      <c r="T53" s="67"/>
      <c r="U53" s="14"/>
      <c r="V53" s="67"/>
      <c r="W53" s="14"/>
      <c r="X53" s="67"/>
      <c r="Y53" s="14">
        <f t="shared" si="27"/>
        <v>0</v>
      </c>
      <c r="Z53" s="67"/>
      <c r="AA53" s="14"/>
      <c r="AB53" s="67">
        <f t="shared" si="32"/>
        <v>0</v>
      </c>
      <c r="AC53" s="14"/>
    </row>
    <row r="54" spans="1:29" ht="21.75" hidden="1" customHeight="1" x14ac:dyDescent="0.5">
      <c r="A54" s="10">
        <v>10</v>
      </c>
      <c r="B54" s="37"/>
      <c r="C54" s="37"/>
      <c r="D54" s="12"/>
      <c r="E54" s="14"/>
      <c r="F54" s="12"/>
      <c r="G54" s="14"/>
      <c r="H54" s="12"/>
      <c r="I54" s="14"/>
      <c r="J54" s="12"/>
      <c r="K54" s="14"/>
      <c r="L54" s="12"/>
      <c r="M54" s="14"/>
      <c r="N54" s="67"/>
      <c r="O54" s="14"/>
      <c r="P54" s="67"/>
      <c r="Q54" s="14"/>
      <c r="R54" s="67"/>
      <c r="S54" s="14"/>
      <c r="T54" s="67"/>
      <c r="U54" s="14"/>
      <c r="V54" s="67"/>
      <c r="W54" s="14"/>
      <c r="X54" s="67"/>
      <c r="Y54" s="14">
        <f t="shared" si="27"/>
        <v>0</v>
      </c>
      <c r="Z54" s="67"/>
      <c r="AA54" s="14"/>
      <c r="AB54" s="67">
        <f t="shared" si="32"/>
        <v>0</v>
      </c>
      <c r="AC54" s="14"/>
    </row>
    <row r="55" spans="1:29" ht="21.75" hidden="1" customHeight="1" x14ac:dyDescent="0.5">
      <c r="A55" s="10">
        <v>11</v>
      </c>
      <c r="B55" s="37"/>
      <c r="C55" s="37"/>
      <c r="D55" s="12"/>
      <c r="E55" s="14"/>
      <c r="F55" s="12"/>
      <c r="G55" s="14"/>
      <c r="H55" s="12"/>
      <c r="I55" s="14"/>
      <c r="J55" s="12"/>
      <c r="K55" s="14"/>
      <c r="L55" s="12"/>
      <c r="M55" s="14"/>
      <c r="N55" s="67"/>
      <c r="O55" s="14"/>
      <c r="P55" s="67"/>
      <c r="Q55" s="14"/>
      <c r="R55" s="67"/>
      <c r="S55" s="14"/>
      <c r="T55" s="67"/>
      <c r="U55" s="14"/>
      <c r="V55" s="67"/>
      <c r="W55" s="14"/>
      <c r="X55" s="67"/>
      <c r="Y55" s="14">
        <f t="shared" si="27"/>
        <v>0</v>
      </c>
      <c r="Z55" s="67"/>
      <c r="AA55" s="14"/>
      <c r="AB55" s="67">
        <f t="shared" si="32"/>
        <v>0</v>
      </c>
      <c r="AC55" s="14"/>
    </row>
    <row r="56" spans="1:29" ht="21.75" hidden="1" customHeight="1" x14ac:dyDescent="0.5">
      <c r="A56" s="10"/>
      <c r="B56" s="37"/>
      <c r="C56" s="37"/>
      <c r="D56" s="12"/>
      <c r="E56" s="14"/>
      <c r="F56" s="12"/>
      <c r="G56" s="14"/>
      <c r="H56" s="12"/>
      <c r="I56" s="14"/>
      <c r="J56" s="12"/>
      <c r="K56" s="14"/>
      <c r="L56" s="12"/>
      <c r="M56" s="14"/>
      <c r="N56" s="67"/>
      <c r="O56" s="14"/>
      <c r="P56" s="67"/>
      <c r="Q56" s="14"/>
      <c r="R56" s="67"/>
      <c r="S56" s="14"/>
      <c r="T56" s="67"/>
      <c r="U56" s="14"/>
      <c r="V56" s="67"/>
      <c r="W56" s="14"/>
      <c r="X56" s="67"/>
      <c r="Y56" s="14">
        <f t="shared" si="27"/>
        <v>0</v>
      </c>
      <c r="Z56" s="67"/>
      <c r="AA56" s="14"/>
      <c r="AB56" s="67">
        <f t="shared" si="32"/>
        <v>0</v>
      </c>
      <c r="AC56" s="14"/>
    </row>
    <row r="57" spans="1:29" ht="21.75" customHeight="1" x14ac:dyDescent="0.5">
      <c r="A57" s="21"/>
      <c r="B57" s="41" t="s">
        <v>9</v>
      </c>
      <c r="C57" s="41"/>
      <c r="D57" s="23">
        <f t="shared" ref="D57:AA57" si="33">SUM(D32:D56)</f>
        <v>936</v>
      </c>
      <c r="E57" s="23">
        <f t="shared" si="33"/>
        <v>516.59999999999991</v>
      </c>
      <c r="F57" s="23">
        <f t="shared" si="33"/>
        <v>558</v>
      </c>
      <c r="G57" s="23">
        <f t="shared" si="33"/>
        <v>306.60000000000002</v>
      </c>
      <c r="H57" s="23">
        <f t="shared" si="33"/>
        <v>978</v>
      </c>
      <c r="I57" s="23">
        <f t="shared" si="33"/>
        <v>550.19999999999993</v>
      </c>
      <c r="J57" s="23">
        <f t="shared" si="33"/>
        <v>408</v>
      </c>
      <c r="K57" s="23">
        <f t="shared" si="33"/>
        <v>226.79999999999995</v>
      </c>
      <c r="L57" s="23">
        <f t="shared" si="33"/>
        <v>560</v>
      </c>
      <c r="M57" s="23">
        <f t="shared" si="33"/>
        <v>365.05</v>
      </c>
      <c r="N57" s="80">
        <f t="shared" si="33"/>
        <v>288</v>
      </c>
      <c r="O57" s="80">
        <f t="shared" si="33"/>
        <v>193.2</v>
      </c>
      <c r="P57" s="80">
        <f t="shared" si="33"/>
        <v>114</v>
      </c>
      <c r="Q57" s="80">
        <f t="shared" si="33"/>
        <v>71.399999999999977</v>
      </c>
      <c r="R57" s="80">
        <f t="shared" si="33"/>
        <v>756</v>
      </c>
      <c r="S57" s="80">
        <f t="shared" si="33"/>
        <v>462</v>
      </c>
      <c r="T57" s="80">
        <f t="shared" si="33"/>
        <v>396</v>
      </c>
      <c r="U57" s="80">
        <f t="shared" si="33"/>
        <v>260.39999999999998</v>
      </c>
      <c r="V57" s="80">
        <f t="shared" si="33"/>
        <v>468</v>
      </c>
      <c r="W57" s="80">
        <f t="shared" si="33"/>
        <v>327.60000000000002</v>
      </c>
      <c r="X57" s="80">
        <f t="shared" si="33"/>
        <v>716</v>
      </c>
      <c r="Y57" s="80">
        <f t="shared" si="33"/>
        <v>491.74999999999994</v>
      </c>
      <c r="Z57" s="80">
        <f t="shared" si="33"/>
        <v>408</v>
      </c>
      <c r="AA57" s="80">
        <f t="shared" si="33"/>
        <v>159.6</v>
      </c>
      <c r="AB57" s="80">
        <f>SUM(D57:Z57)</f>
        <v>10357.6</v>
      </c>
      <c r="AC57" s="82">
        <f>SUM(AC32:AC40)</f>
        <v>9581.1999999999989</v>
      </c>
    </row>
    <row r="58" spans="1:29" ht="21.75" customHeight="1" x14ac:dyDescent="0.5">
      <c r="A58" s="10"/>
      <c r="B58" s="37"/>
      <c r="C58" s="37"/>
      <c r="D58" s="12"/>
      <c r="E58" s="14"/>
      <c r="F58" s="12"/>
      <c r="G58" s="14"/>
      <c r="H58" s="12"/>
      <c r="I58" s="14"/>
      <c r="J58" s="12"/>
      <c r="K58" s="14"/>
      <c r="L58" s="12"/>
      <c r="M58" s="14"/>
      <c r="N58" s="67"/>
      <c r="O58" s="14"/>
      <c r="P58" s="67"/>
      <c r="Q58" s="14"/>
      <c r="R58" s="67"/>
      <c r="S58" s="14"/>
      <c r="T58" s="67"/>
      <c r="U58" s="14"/>
      <c r="V58" s="67"/>
      <c r="W58" s="14"/>
      <c r="X58" s="67"/>
      <c r="Y58" s="14"/>
      <c r="Z58" s="67"/>
      <c r="AA58" s="14"/>
      <c r="AB58" s="67"/>
      <c r="AC58" s="14"/>
    </row>
    <row r="59" spans="1:29" ht="21.75" customHeight="1" x14ac:dyDescent="0.5">
      <c r="A59" s="10"/>
      <c r="B59" s="37"/>
      <c r="C59" s="37"/>
      <c r="D59" s="12"/>
      <c r="E59" s="14"/>
      <c r="F59" s="12"/>
      <c r="G59" s="14"/>
      <c r="H59" s="12"/>
      <c r="I59" s="14"/>
      <c r="J59" s="12"/>
      <c r="K59" s="14"/>
      <c r="L59" s="12"/>
      <c r="M59" s="14"/>
      <c r="N59" s="67"/>
      <c r="O59" s="14"/>
      <c r="P59" s="67"/>
      <c r="Q59" s="14"/>
      <c r="R59" s="67"/>
      <c r="S59" s="14"/>
      <c r="T59" s="67"/>
      <c r="U59" s="14"/>
      <c r="V59" s="67"/>
      <c r="W59" s="14"/>
      <c r="X59" s="67"/>
      <c r="Y59" s="14"/>
      <c r="Z59" s="67"/>
      <c r="AA59" s="14"/>
      <c r="AB59" s="67"/>
      <c r="AC59" s="14"/>
    </row>
    <row r="60" spans="1:29" ht="21.75" customHeight="1" x14ac:dyDescent="0.5">
      <c r="A60" s="10"/>
      <c r="B60" s="37" t="s">
        <v>2</v>
      </c>
      <c r="C60" s="37"/>
      <c r="D60" s="12"/>
      <c r="E60" s="14"/>
      <c r="F60" s="12"/>
      <c r="G60" s="14"/>
      <c r="H60" s="12"/>
      <c r="I60" s="14"/>
      <c r="J60" s="12"/>
      <c r="K60" s="14"/>
      <c r="L60" s="12"/>
      <c r="M60" s="14"/>
      <c r="N60" s="67"/>
      <c r="O60" s="14"/>
      <c r="P60" s="67"/>
      <c r="Q60" s="14"/>
      <c r="R60" s="67"/>
      <c r="S60" s="14"/>
      <c r="T60" s="67"/>
      <c r="U60" s="14"/>
      <c r="V60" s="67"/>
      <c r="W60" s="14"/>
      <c r="X60" s="67"/>
      <c r="Y60" s="14"/>
      <c r="Z60" s="67"/>
      <c r="AA60" s="14"/>
      <c r="AB60" s="67">
        <f t="shared" ref="AB60:AB66" si="34">SUM(J60:Z60)</f>
        <v>0</v>
      </c>
      <c r="AC60" s="14"/>
    </row>
    <row r="61" spans="1:29" ht="21.75" customHeight="1" x14ac:dyDescent="0.5">
      <c r="A61" s="10"/>
      <c r="B61" s="37" t="s">
        <v>3</v>
      </c>
      <c r="C61" s="37"/>
      <c r="D61" s="12"/>
      <c r="E61" s="14"/>
      <c r="F61" s="12"/>
      <c r="G61" s="14"/>
      <c r="H61" s="12"/>
      <c r="I61" s="14"/>
      <c r="J61" s="12"/>
      <c r="K61" s="14"/>
      <c r="L61" s="12"/>
      <c r="M61" s="14"/>
      <c r="N61" s="67"/>
      <c r="O61" s="14"/>
      <c r="P61" s="67"/>
      <c r="Q61" s="14"/>
      <c r="R61" s="67"/>
      <c r="S61" s="14"/>
      <c r="T61" s="67"/>
      <c r="U61" s="14"/>
      <c r="V61" s="67"/>
      <c r="W61" s="14"/>
      <c r="X61" s="67"/>
      <c r="Y61" s="14"/>
      <c r="Z61" s="67"/>
      <c r="AA61" s="14"/>
      <c r="AB61" s="67">
        <f t="shared" si="34"/>
        <v>0</v>
      </c>
      <c r="AC61" s="14"/>
    </row>
    <row r="62" spans="1:29" ht="21.75" hidden="1" customHeight="1" x14ac:dyDescent="0.5">
      <c r="A62" s="10">
        <v>17</v>
      </c>
      <c r="B62" s="37" t="s">
        <v>4</v>
      </c>
      <c r="C62" s="37"/>
      <c r="D62" s="12"/>
      <c r="E62" s="14"/>
      <c r="F62" s="12"/>
      <c r="G62" s="14"/>
      <c r="H62" s="12"/>
      <c r="I62" s="14"/>
      <c r="J62" s="12"/>
      <c r="K62" s="14"/>
      <c r="L62" s="12"/>
      <c r="M62" s="14"/>
      <c r="N62" s="67"/>
      <c r="O62" s="14"/>
      <c r="P62" s="67"/>
      <c r="Q62" s="14"/>
      <c r="R62" s="67"/>
      <c r="S62" s="14"/>
      <c r="T62" s="67"/>
      <c r="U62" s="14"/>
      <c r="V62" s="67"/>
      <c r="W62" s="14"/>
      <c r="X62" s="67"/>
      <c r="Y62" s="14"/>
      <c r="Z62" s="67"/>
      <c r="AA62" s="14"/>
      <c r="AB62" s="67">
        <f t="shared" si="34"/>
        <v>0</v>
      </c>
      <c r="AC62" s="14"/>
    </row>
    <row r="63" spans="1:29" ht="21.75" hidden="1" customHeight="1" x14ac:dyDescent="0.5">
      <c r="A63" s="10"/>
      <c r="B63" s="37" t="s">
        <v>5</v>
      </c>
      <c r="C63" s="37"/>
      <c r="D63" s="12"/>
      <c r="E63" s="14"/>
      <c r="F63" s="12"/>
      <c r="G63" s="14"/>
      <c r="H63" s="12"/>
      <c r="I63" s="14"/>
      <c r="J63" s="12"/>
      <c r="K63" s="14"/>
      <c r="L63" s="12"/>
      <c r="M63" s="14"/>
      <c r="N63" s="67"/>
      <c r="O63" s="14"/>
      <c r="P63" s="67"/>
      <c r="Q63" s="14"/>
      <c r="R63" s="67"/>
      <c r="S63" s="14"/>
      <c r="T63" s="67"/>
      <c r="U63" s="14"/>
      <c r="V63" s="67"/>
      <c r="W63" s="14"/>
      <c r="X63" s="67"/>
      <c r="Y63" s="14"/>
      <c r="Z63" s="67"/>
      <c r="AA63" s="14"/>
      <c r="AB63" s="67">
        <f t="shared" si="34"/>
        <v>0</v>
      </c>
      <c r="AC63" s="14"/>
    </row>
    <row r="64" spans="1:29" ht="21.75" hidden="1" customHeight="1" x14ac:dyDescent="0.5">
      <c r="A64" s="10"/>
      <c r="B64" s="37" t="s">
        <v>6</v>
      </c>
      <c r="C64" s="37"/>
      <c r="D64" s="12"/>
      <c r="E64" s="14"/>
      <c r="F64" s="12"/>
      <c r="G64" s="14"/>
      <c r="H64" s="12"/>
      <c r="I64" s="14"/>
      <c r="J64" s="12"/>
      <c r="K64" s="14"/>
      <c r="L64" s="12"/>
      <c r="M64" s="14"/>
      <c r="N64" s="67"/>
      <c r="O64" s="14"/>
      <c r="P64" s="67"/>
      <c r="Q64" s="14"/>
      <c r="R64" s="67"/>
      <c r="S64" s="14"/>
      <c r="T64" s="67"/>
      <c r="U64" s="14"/>
      <c r="V64" s="67"/>
      <c r="W64" s="14"/>
      <c r="X64" s="67"/>
      <c r="Y64" s="14"/>
      <c r="Z64" s="67"/>
      <c r="AA64" s="14"/>
      <c r="AB64" s="67">
        <f t="shared" si="34"/>
        <v>0</v>
      </c>
      <c r="AC64" s="14"/>
    </row>
    <row r="65" spans="1:29" ht="21.75" hidden="1" customHeight="1" x14ac:dyDescent="0.5">
      <c r="A65" s="10"/>
      <c r="B65" s="46" t="s">
        <v>7</v>
      </c>
      <c r="C65" s="46"/>
      <c r="D65" s="85"/>
      <c r="E65" s="86"/>
      <c r="F65" s="85"/>
      <c r="G65" s="86"/>
      <c r="H65" s="85"/>
      <c r="I65" s="86"/>
      <c r="J65" s="85"/>
      <c r="K65" s="86"/>
      <c r="L65" s="85"/>
      <c r="M65" s="86"/>
      <c r="N65" s="87"/>
      <c r="O65" s="86"/>
      <c r="P65" s="87"/>
      <c r="Q65" s="86"/>
      <c r="R65" s="87"/>
      <c r="S65" s="86"/>
      <c r="T65" s="87"/>
      <c r="U65" s="86"/>
      <c r="V65" s="87"/>
      <c r="W65" s="86"/>
      <c r="X65" s="87"/>
      <c r="Y65" s="86"/>
      <c r="Z65" s="87"/>
      <c r="AA65" s="86"/>
      <c r="AB65" s="67">
        <f t="shared" si="34"/>
        <v>0</v>
      </c>
      <c r="AC65" s="14"/>
    </row>
    <row r="66" spans="1:29" ht="21.75" customHeight="1" x14ac:dyDescent="0.5">
      <c r="A66" s="21"/>
      <c r="B66" s="41" t="s">
        <v>10</v>
      </c>
      <c r="C66" s="41"/>
      <c r="D66" s="23"/>
      <c r="E66" s="82"/>
      <c r="F66" s="23"/>
      <c r="G66" s="82"/>
      <c r="H66" s="23"/>
      <c r="I66" s="82"/>
      <c r="J66" s="23"/>
      <c r="K66" s="82"/>
      <c r="L66" s="23"/>
      <c r="M66" s="82"/>
      <c r="N66" s="80"/>
      <c r="O66" s="82"/>
      <c r="P66" s="80"/>
      <c r="Q66" s="82"/>
      <c r="R66" s="80"/>
      <c r="S66" s="82"/>
      <c r="T66" s="80"/>
      <c r="U66" s="82"/>
      <c r="V66" s="80"/>
      <c r="W66" s="82"/>
      <c r="X66" s="80"/>
      <c r="Y66" s="82"/>
      <c r="Z66" s="80"/>
      <c r="AA66" s="82"/>
      <c r="AB66" s="80">
        <f t="shared" si="34"/>
        <v>0</v>
      </c>
      <c r="AC66" s="82"/>
    </row>
    <row r="67" spans="1:29" ht="21.75" customHeight="1" thickBot="1" x14ac:dyDescent="0.55000000000000004">
      <c r="A67" s="28"/>
      <c r="B67" s="51"/>
      <c r="C67" s="51"/>
      <c r="D67" s="28"/>
      <c r="E67" s="88"/>
      <c r="F67" s="28"/>
      <c r="G67" s="88"/>
      <c r="H67" s="28"/>
      <c r="I67" s="88"/>
      <c r="J67" s="28"/>
      <c r="K67" s="88"/>
      <c r="L67" s="28"/>
      <c r="M67" s="88"/>
      <c r="N67" s="77"/>
      <c r="O67" s="88"/>
      <c r="P67" s="77"/>
      <c r="Q67" s="88"/>
      <c r="R67" s="77"/>
      <c r="S67" s="88"/>
      <c r="T67" s="77"/>
      <c r="U67" s="88"/>
      <c r="V67" s="77"/>
      <c r="W67" s="88"/>
      <c r="X67" s="77"/>
      <c r="Y67" s="88"/>
      <c r="Z67" s="77"/>
      <c r="AA67" s="89"/>
      <c r="AB67" s="87"/>
      <c r="AC67" s="86"/>
    </row>
    <row r="68" spans="1:29" ht="21.75" customHeight="1" thickBot="1" x14ac:dyDescent="0.55000000000000004">
      <c r="A68" s="29"/>
      <c r="B68" s="56"/>
      <c r="C68" s="56"/>
      <c r="D68" s="90">
        <f>D29+D57+D66</f>
        <v>285916</v>
      </c>
      <c r="E68" s="90">
        <f>E29+E57+E66</f>
        <v>201162.56</v>
      </c>
      <c r="F68" s="90">
        <f>F29+F57+F66</f>
        <v>250960</v>
      </c>
      <c r="G68" s="90">
        <f>G29+G57+G66</f>
        <v>150748.96</v>
      </c>
      <c r="H68" s="90">
        <f t="shared" ref="H68:N68" si="35">H66+H57+H29</f>
        <v>307158</v>
      </c>
      <c r="I68" s="90">
        <f t="shared" si="35"/>
        <v>216652.04</v>
      </c>
      <c r="J68" s="90">
        <f t="shared" si="35"/>
        <v>313614</v>
      </c>
      <c r="K68" s="90">
        <f t="shared" si="35"/>
        <v>220387.83999999997</v>
      </c>
      <c r="L68" s="90">
        <f t="shared" si="35"/>
        <v>320083</v>
      </c>
      <c r="M68" s="90">
        <f t="shared" si="35"/>
        <v>221383.83000000002</v>
      </c>
      <c r="N68" s="90">
        <f t="shared" si="35"/>
        <v>319708</v>
      </c>
      <c r="O68" s="91"/>
      <c r="P68" s="90">
        <f>P66+P57+P29</f>
        <v>309326</v>
      </c>
      <c r="Q68" s="90">
        <f>Q66+Q57+Q29</f>
        <v>219882.6</v>
      </c>
      <c r="R68" s="90">
        <f>R66+R57+R29</f>
        <v>359022</v>
      </c>
      <c r="S68" s="90">
        <f t="shared" ref="S68:U68" si="36">S66+S57+S29</f>
        <v>258006.8</v>
      </c>
      <c r="T68" s="90">
        <f t="shared" si="36"/>
        <v>289865</v>
      </c>
      <c r="U68" s="90">
        <f t="shared" si="36"/>
        <v>211944.46000000002</v>
      </c>
      <c r="V68" s="90">
        <f t="shared" ref="V68:AC68" si="37">V66+V57+V29</f>
        <v>334892</v>
      </c>
      <c r="W68" s="90">
        <f t="shared" si="37"/>
        <v>242570.28000000003</v>
      </c>
      <c r="X68" s="90">
        <f t="shared" si="37"/>
        <v>252012</v>
      </c>
      <c r="Y68" s="90">
        <f t="shared" si="37"/>
        <v>181756.59</v>
      </c>
      <c r="Z68" s="90">
        <f t="shared" si="37"/>
        <v>298933</v>
      </c>
      <c r="AA68" s="90">
        <f t="shared" si="37"/>
        <v>220605.06000000003</v>
      </c>
      <c r="AB68" s="90">
        <f>D68+F68+H68+J68+L68+N68+P68+R68+T68+V68+X68+Z68</f>
        <v>3641489</v>
      </c>
      <c r="AC68" s="90">
        <f t="shared" si="37"/>
        <v>2577950.94</v>
      </c>
    </row>
  </sheetData>
  <mergeCells count="16">
    <mergeCell ref="V2:W2"/>
    <mergeCell ref="X2:Y2"/>
    <mergeCell ref="Z2:AA2"/>
    <mergeCell ref="AB2:AC2"/>
    <mergeCell ref="J2:K2"/>
    <mergeCell ref="L2:M2"/>
    <mergeCell ref="N2:O2"/>
    <mergeCell ref="P2:Q2"/>
    <mergeCell ref="R2:S2"/>
    <mergeCell ref="T2:U2"/>
    <mergeCell ref="H2:I2"/>
    <mergeCell ref="A2:A3"/>
    <mergeCell ref="B2:B3"/>
    <mergeCell ref="C2:C3"/>
    <mergeCell ref="D2:E2"/>
    <mergeCell ref="F2:G2"/>
  </mergeCells>
  <pageMargins left="0.33" right="0.7" top="0.2" bottom="0.75" header="0.2" footer="0.3"/>
  <pageSetup paperSize="5" scale="8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1C51-A700-447F-B835-8D634E9C4919}">
  <sheetPr>
    <tabColor rgb="FF00B0F0"/>
  </sheetPr>
  <dimension ref="A1:DG168"/>
  <sheetViews>
    <sheetView workbookViewId="0">
      <pane xSplit="7" ySplit="3" topLeftCell="CX103" activePane="bottomRight" state="frozen"/>
      <selection pane="topRight" activeCell="H1" sqref="H1"/>
      <selection pane="bottomLeft" activeCell="A4" sqref="A4"/>
      <selection pane="bottomRight" activeCell="DJ153" sqref="DJ153"/>
    </sheetView>
  </sheetViews>
  <sheetFormatPr defaultColWidth="10.5703125" defaultRowHeight="18" x14ac:dyDescent="0.5"/>
  <cols>
    <col min="1" max="1" width="3.5703125" style="147" bestFit="1" customWidth="1"/>
    <col min="2" max="2" width="27.85546875" style="147" bestFit="1" customWidth="1"/>
    <col min="3" max="3" width="7.42578125" style="147" bestFit="1" customWidth="1"/>
    <col min="4" max="4" width="7.42578125" style="147" customWidth="1"/>
    <col min="5" max="5" width="5.28515625" style="147" bestFit="1" customWidth="1"/>
    <col min="6" max="6" width="7.7109375" style="147" customWidth="1"/>
    <col min="7" max="7" width="9.42578125" style="147" customWidth="1"/>
    <col min="8" max="31" width="8" style="147" customWidth="1"/>
    <col min="32" max="33" width="9.28515625" style="147" bestFit="1" customWidth="1"/>
    <col min="34" max="57" width="8" style="147" hidden="1" customWidth="1"/>
    <col min="58" max="59" width="9.28515625" style="147" bestFit="1" customWidth="1"/>
    <col min="60" max="73" width="8" style="147" customWidth="1"/>
    <col min="74" max="74" width="9.140625" style="147" customWidth="1"/>
    <col min="75" max="83" width="8" style="147" customWidth="1"/>
    <col min="84" max="85" width="9.28515625" style="147" bestFit="1" customWidth="1"/>
    <col min="86" max="86" width="10.140625" style="119" bestFit="1" customWidth="1"/>
    <col min="87" max="87" width="10.140625" style="148" bestFit="1" customWidth="1"/>
    <col min="88" max="88" width="10.140625" style="119" bestFit="1" customWidth="1"/>
    <col min="89" max="89" width="10.140625" style="148" bestFit="1" customWidth="1"/>
    <col min="90" max="90" width="10.140625" style="119" bestFit="1" customWidth="1"/>
    <col min="91" max="91" width="10.140625" style="148" bestFit="1" customWidth="1"/>
    <col min="92" max="92" width="8" style="119" bestFit="1" customWidth="1"/>
    <col min="93" max="93" width="8" style="148" bestFit="1" customWidth="1"/>
    <col min="94" max="94" width="8" style="119" bestFit="1" customWidth="1"/>
    <col min="95" max="95" width="8" style="148" bestFit="1" customWidth="1"/>
    <col min="96" max="96" width="8" style="119" bestFit="1" customWidth="1"/>
    <col min="97" max="97" width="8" style="148" bestFit="1" customWidth="1"/>
    <col min="98" max="98" width="8" style="119" bestFit="1" customWidth="1"/>
    <col min="99" max="99" width="8" style="148" bestFit="1" customWidth="1"/>
    <col min="100" max="100" width="8" style="119" bestFit="1" customWidth="1"/>
    <col min="101" max="101" width="8" style="148" bestFit="1" customWidth="1"/>
    <col min="102" max="102" width="8.7109375" style="119" customWidth="1"/>
    <col min="103" max="103" width="8" style="148" customWidth="1"/>
    <col min="104" max="104" width="8" style="119" bestFit="1" customWidth="1"/>
    <col min="105" max="105" width="7.85546875" style="148" customWidth="1"/>
    <col min="106" max="106" width="7.85546875" style="119" customWidth="1"/>
    <col min="107" max="107" width="7.85546875" style="148" customWidth="1"/>
    <col min="108" max="108" width="7.85546875" style="119" customWidth="1"/>
    <col min="109" max="109" width="7.85546875" style="148" customWidth="1"/>
    <col min="110" max="110" width="9.28515625" style="119" bestFit="1" customWidth="1"/>
    <col min="111" max="111" width="10.140625" style="148" customWidth="1"/>
    <col min="112" max="16384" width="10.5703125" style="119"/>
  </cols>
  <sheetData>
    <row r="1" spans="1:111" x14ac:dyDescent="0.5">
      <c r="A1" s="187" t="s">
        <v>221</v>
      </c>
      <c r="B1" s="188"/>
      <c r="C1" s="188"/>
      <c r="D1" s="188"/>
      <c r="E1" s="188"/>
      <c r="F1" s="188"/>
      <c r="G1" s="189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90">
        <v>2025</v>
      </c>
      <c r="CI1" s="191"/>
      <c r="CJ1" s="191"/>
      <c r="CK1" s="191"/>
      <c r="CL1" s="191"/>
      <c r="CM1" s="191"/>
      <c r="CN1" s="191"/>
      <c r="CO1" s="191"/>
      <c r="CP1" s="191"/>
      <c r="CQ1" s="191"/>
      <c r="CR1" s="191"/>
      <c r="CS1" s="191"/>
      <c r="CT1" s="191"/>
      <c r="CU1" s="191"/>
      <c r="CV1" s="191"/>
      <c r="CW1" s="191"/>
      <c r="CX1" s="191"/>
      <c r="CY1" s="191"/>
      <c r="CZ1" s="191"/>
      <c r="DA1" s="191"/>
      <c r="DB1" s="191"/>
      <c r="DC1" s="191"/>
      <c r="DD1" s="191"/>
      <c r="DE1" s="191"/>
      <c r="DF1" s="191"/>
      <c r="DG1" s="191"/>
    </row>
    <row r="2" spans="1:111" ht="18.75" customHeight="1" x14ac:dyDescent="0.5">
      <c r="A2" s="192" t="s">
        <v>222</v>
      </c>
      <c r="B2" s="194" t="s">
        <v>223</v>
      </c>
      <c r="C2" s="194"/>
      <c r="D2" s="195" t="s">
        <v>224</v>
      </c>
      <c r="E2" s="195" t="s">
        <v>225</v>
      </c>
      <c r="F2" s="195" t="s">
        <v>226</v>
      </c>
      <c r="G2" s="195" t="s">
        <v>227</v>
      </c>
      <c r="H2" s="186">
        <v>44562</v>
      </c>
      <c r="I2" s="186"/>
      <c r="J2" s="186">
        <v>44593</v>
      </c>
      <c r="K2" s="186"/>
      <c r="L2" s="186">
        <v>44621</v>
      </c>
      <c r="M2" s="186"/>
      <c r="N2" s="186">
        <v>44652</v>
      </c>
      <c r="O2" s="186"/>
      <c r="P2" s="186">
        <v>44682</v>
      </c>
      <c r="Q2" s="186"/>
      <c r="R2" s="186">
        <v>44713</v>
      </c>
      <c r="S2" s="186"/>
      <c r="T2" s="186">
        <v>44743</v>
      </c>
      <c r="U2" s="186"/>
      <c r="V2" s="186">
        <v>44774</v>
      </c>
      <c r="W2" s="186"/>
      <c r="X2" s="186">
        <v>44805</v>
      </c>
      <c r="Y2" s="186"/>
      <c r="Z2" s="186">
        <v>44835</v>
      </c>
      <c r="AA2" s="186"/>
      <c r="AB2" s="186">
        <v>44866</v>
      </c>
      <c r="AC2" s="186"/>
      <c r="AD2" s="186">
        <v>44896</v>
      </c>
      <c r="AE2" s="186"/>
      <c r="AF2" s="196" t="s">
        <v>251</v>
      </c>
      <c r="AG2" s="196"/>
      <c r="AH2" s="186">
        <v>44927</v>
      </c>
      <c r="AI2" s="186"/>
      <c r="AJ2" s="186">
        <v>44958</v>
      </c>
      <c r="AK2" s="186"/>
      <c r="AL2" s="186">
        <v>44986</v>
      </c>
      <c r="AM2" s="186"/>
      <c r="AN2" s="186">
        <v>45017</v>
      </c>
      <c r="AO2" s="186"/>
      <c r="AP2" s="186">
        <v>45047</v>
      </c>
      <c r="AQ2" s="186"/>
      <c r="AR2" s="186">
        <v>45078</v>
      </c>
      <c r="AS2" s="186"/>
      <c r="AT2" s="186">
        <v>45108</v>
      </c>
      <c r="AU2" s="186"/>
      <c r="AV2" s="186">
        <v>45139</v>
      </c>
      <c r="AW2" s="186"/>
      <c r="AX2" s="186">
        <v>45170</v>
      </c>
      <c r="AY2" s="186"/>
      <c r="AZ2" s="186">
        <v>45200</v>
      </c>
      <c r="BA2" s="186"/>
      <c r="BB2" s="186">
        <v>45231</v>
      </c>
      <c r="BC2" s="186"/>
      <c r="BD2" s="186">
        <v>45261</v>
      </c>
      <c r="BE2" s="186"/>
      <c r="BF2" s="196" t="s">
        <v>252</v>
      </c>
      <c r="BG2" s="196"/>
      <c r="BH2" s="186">
        <v>45292</v>
      </c>
      <c r="BI2" s="186"/>
      <c r="BJ2" s="186">
        <v>45323</v>
      </c>
      <c r="BK2" s="186"/>
      <c r="BL2" s="186">
        <v>45352</v>
      </c>
      <c r="BM2" s="186"/>
      <c r="BN2" s="186">
        <v>45383</v>
      </c>
      <c r="BO2" s="186"/>
      <c r="BP2" s="186">
        <v>45413</v>
      </c>
      <c r="BQ2" s="186"/>
      <c r="BR2" s="186">
        <v>45444</v>
      </c>
      <c r="BS2" s="186"/>
      <c r="BT2" s="186">
        <v>45474</v>
      </c>
      <c r="BU2" s="186"/>
      <c r="BV2" s="186">
        <v>45505</v>
      </c>
      <c r="BW2" s="186"/>
      <c r="BX2" s="186">
        <v>45536</v>
      </c>
      <c r="BY2" s="186"/>
      <c r="BZ2" s="186">
        <v>45566</v>
      </c>
      <c r="CA2" s="186"/>
      <c r="CB2" s="186">
        <v>45597</v>
      </c>
      <c r="CC2" s="186"/>
      <c r="CD2" s="186">
        <v>45627</v>
      </c>
      <c r="CE2" s="186"/>
      <c r="CF2" s="196" t="s">
        <v>253</v>
      </c>
      <c r="CG2" s="196"/>
      <c r="CH2" s="186">
        <v>45658</v>
      </c>
      <c r="CI2" s="186"/>
      <c r="CJ2" s="186">
        <v>45689</v>
      </c>
      <c r="CK2" s="186"/>
      <c r="CL2" s="186">
        <v>45717</v>
      </c>
      <c r="CM2" s="186"/>
      <c r="CN2" s="186">
        <v>45748</v>
      </c>
      <c r="CO2" s="186"/>
      <c r="CP2" s="186">
        <v>45778</v>
      </c>
      <c r="CQ2" s="186"/>
      <c r="CR2" s="186">
        <v>45809</v>
      </c>
      <c r="CS2" s="186"/>
      <c r="CT2" s="186">
        <v>45839</v>
      </c>
      <c r="CU2" s="186"/>
      <c r="CV2" s="186">
        <v>45870</v>
      </c>
      <c r="CW2" s="186"/>
      <c r="CX2" s="186">
        <v>45901</v>
      </c>
      <c r="CY2" s="186"/>
      <c r="CZ2" s="186">
        <v>45931</v>
      </c>
      <c r="DA2" s="186"/>
      <c r="DB2" s="186">
        <v>45962</v>
      </c>
      <c r="DC2" s="186"/>
      <c r="DD2" s="186">
        <v>45992</v>
      </c>
      <c r="DE2" s="186"/>
      <c r="DF2" s="197" t="s">
        <v>228</v>
      </c>
      <c r="DG2" s="197"/>
    </row>
    <row r="3" spans="1:111" ht="18.75" customHeight="1" x14ac:dyDescent="0.5">
      <c r="A3" s="193"/>
      <c r="B3" s="194"/>
      <c r="C3" s="194"/>
      <c r="D3" s="195"/>
      <c r="E3" s="195"/>
      <c r="F3" s="195"/>
      <c r="G3" s="195"/>
      <c r="H3" s="120" t="s">
        <v>229</v>
      </c>
      <c r="I3" s="9" t="s">
        <v>230</v>
      </c>
      <c r="J3" s="120" t="s">
        <v>229</v>
      </c>
      <c r="K3" s="9" t="s">
        <v>230</v>
      </c>
      <c r="L3" s="120" t="s">
        <v>229</v>
      </c>
      <c r="M3" s="9" t="s">
        <v>230</v>
      </c>
      <c r="N3" s="120" t="s">
        <v>229</v>
      </c>
      <c r="O3" s="9" t="s">
        <v>230</v>
      </c>
      <c r="P3" s="120" t="s">
        <v>229</v>
      </c>
      <c r="Q3" s="9" t="s">
        <v>230</v>
      </c>
      <c r="R3" s="120" t="s">
        <v>229</v>
      </c>
      <c r="S3" s="9" t="s">
        <v>230</v>
      </c>
      <c r="T3" s="120" t="s">
        <v>229</v>
      </c>
      <c r="U3" s="9" t="s">
        <v>230</v>
      </c>
      <c r="V3" s="120" t="s">
        <v>229</v>
      </c>
      <c r="W3" s="9" t="s">
        <v>230</v>
      </c>
      <c r="X3" s="120" t="s">
        <v>229</v>
      </c>
      <c r="Y3" s="9" t="s">
        <v>230</v>
      </c>
      <c r="Z3" s="120" t="s">
        <v>229</v>
      </c>
      <c r="AA3" s="9" t="s">
        <v>230</v>
      </c>
      <c r="AB3" s="120" t="s">
        <v>229</v>
      </c>
      <c r="AC3" s="9" t="s">
        <v>230</v>
      </c>
      <c r="AD3" s="120" t="s">
        <v>229</v>
      </c>
      <c r="AE3" s="9" t="s">
        <v>230</v>
      </c>
      <c r="AF3" s="121" t="s">
        <v>229</v>
      </c>
      <c r="AG3" s="156" t="s">
        <v>230</v>
      </c>
      <c r="AH3" s="120" t="s">
        <v>229</v>
      </c>
      <c r="AI3" s="9" t="s">
        <v>230</v>
      </c>
      <c r="AJ3" s="120" t="s">
        <v>229</v>
      </c>
      <c r="AK3" s="9" t="s">
        <v>230</v>
      </c>
      <c r="AL3" s="120" t="s">
        <v>229</v>
      </c>
      <c r="AM3" s="9" t="s">
        <v>230</v>
      </c>
      <c r="AN3" s="120" t="s">
        <v>229</v>
      </c>
      <c r="AO3" s="9" t="s">
        <v>230</v>
      </c>
      <c r="AP3" s="120" t="s">
        <v>229</v>
      </c>
      <c r="AQ3" s="9" t="s">
        <v>230</v>
      </c>
      <c r="AR3" s="120" t="s">
        <v>229</v>
      </c>
      <c r="AS3" s="9" t="s">
        <v>230</v>
      </c>
      <c r="AT3" s="120" t="s">
        <v>229</v>
      </c>
      <c r="AU3" s="9" t="s">
        <v>230</v>
      </c>
      <c r="AV3" s="120" t="s">
        <v>229</v>
      </c>
      <c r="AW3" s="9" t="s">
        <v>230</v>
      </c>
      <c r="AX3" s="120" t="s">
        <v>229</v>
      </c>
      <c r="AY3" s="9" t="s">
        <v>230</v>
      </c>
      <c r="AZ3" s="120" t="s">
        <v>229</v>
      </c>
      <c r="BA3" s="9" t="s">
        <v>230</v>
      </c>
      <c r="BB3" s="120" t="s">
        <v>229</v>
      </c>
      <c r="BC3" s="9" t="s">
        <v>230</v>
      </c>
      <c r="BD3" s="120" t="s">
        <v>229</v>
      </c>
      <c r="BE3" s="9" t="s">
        <v>230</v>
      </c>
      <c r="BF3" s="121" t="s">
        <v>229</v>
      </c>
      <c r="BG3" s="156" t="s">
        <v>230</v>
      </c>
      <c r="BH3" s="120" t="s">
        <v>229</v>
      </c>
      <c r="BI3" s="9" t="s">
        <v>230</v>
      </c>
      <c r="BJ3" s="120" t="s">
        <v>229</v>
      </c>
      <c r="BK3" s="9" t="s">
        <v>230</v>
      </c>
      <c r="BL3" s="120" t="s">
        <v>229</v>
      </c>
      <c r="BM3" s="9" t="s">
        <v>230</v>
      </c>
      <c r="BN3" s="120" t="s">
        <v>229</v>
      </c>
      <c r="BO3" s="9" t="s">
        <v>230</v>
      </c>
      <c r="BP3" s="120" t="s">
        <v>229</v>
      </c>
      <c r="BQ3" s="9" t="s">
        <v>230</v>
      </c>
      <c r="BR3" s="120" t="s">
        <v>229</v>
      </c>
      <c r="BS3" s="9" t="s">
        <v>230</v>
      </c>
      <c r="BT3" s="120" t="s">
        <v>229</v>
      </c>
      <c r="BU3" s="9" t="s">
        <v>230</v>
      </c>
      <c r="BV3" s="120" t="s">
        <v>229</v>
      </c>
      <c r="BW3" s="9" t="s">
        <v>230</v>
      </c>
      <c r="BX3" s="120" t="s">
        <v>229</v>
      </c>
      <c r="BY3" s="9" t="s">
        <v>230</v>
      </c>
      <c r="BZ3" s="120" t="s">
        <v>229</v>
      </c>
      <c r="CA3" s="9" t="s">
        <v>230</v>
      </c>
      <c r="CB3" s="120" t="s">
        <v>229</v>
      </c>
      <c r="CC3" s="9" t="s">
        <v>230</v>
      </c>
      <c r="CD3" s="120" t="s">
        <v>229</v>
      </c>
      <c r="CE3" s="9" t="s">
        <v>230</v>
      </c>
      <c r="CF3" s="121" t="s">
        <v>229</v>
      </c>
      <c r="CG3" s="156" t="s">
        <v>230</v>
      </c>
      <c r="CH3" s="95" t="s">
        <v>229</v>
      </c>
      <c r="CI3" s="9" t="s">
        <v>230</v>
      </c>
      <c r="CJ3" s="95" t="s">
        <v>229</v>
      </c>
      <c r="CK3" s="9" t="s">
        <v>230</v>
      </c>
      <c r="CL3" s="95" t="s">
        <v>229</v>
      </c>
      <c r="CM3" s="9" t="s">
        <v>230</v>
      </c>
      <c r="CN3" s="95" t="s">
        <v>229</v>
      </c>
      <c r="CO3" s="9" t="s">
        <v>230</v>
      </c>
      <c r="CP3" s="95" t="s">
        <v>229</v>
      </c>
      <c r="CQ3" s="9" t="s">
        <v>230</v>
      </c>
      <c r="CR3" s="95" t="s">
        <v>229</v>
      </c>
      <c r="CS3" s="9" t="s">
        <v>230</v>
      </c>
      <c r="CT3" s="95" t="s">
        <v>229</v>
      </c>
      <c r="CU3" s="9" t="s">
        <v>230</v>
      </c>
      <c r="CV3" s="95" t="s">
        <v>229</v>
      </c>
      <c r="CW3" s="9" t="s">
        <v>230</v>
      </c>
      <c r="CX3" s="95" t="s">
        <v>229</v>
      </c>
      <c r="CY3" s="9" t="s">
        <v>230</v>
      </c>
      <c r="CZ3" s="95" t="s">
        <v>229</v>
      </c>
      <c r="DA3" s="9" t="s">
        <v>230</v>
      </c>
      <c r="DB3" s="95" t="s">
        <v>229</v>
      </c>
      <c r="DC3" s="9" t="s">
        <v>230</v>
      </c>
      <c r="DD3" s="95" t="s">
        <v>229</v>
      </c>
      <c r="DE3" s="9" t="s">
        <v>230</v>
      </c>
      <c r="DF3" s="95" t="s">
        <v>229</v>
      </c>
      <c r="DG3" s="154" t="s">
        <v>230</v>
      </c>
    </row>
    <row r="4" spans="1:111" ht="18" customHeight="1" x14ac:dyDescent="0.5">
      <c r="A4" s="117">
        <v>1</v>
      </c>
      <c r="B4" s="122" t="s">
        <v>136</v>
      </c>
      <c r="C4" s="122" t="s">
        <v>231</v>
      </c>
      <c r="D4" s="117">
        <f>RANK(DF4,$DF$4:$DF$141)</f>
        <v>9</v>
      </c>
      <c r="E4" s="117">
        <v>0.7</v>
      </c>
      <c r="F4" s="117" t="s">
        <v>232</v>
      </c>
      <c r="G4" s="117">
        <v>2020</v>
      </c>
      <c r="H4" s="123">
        <v>7044</v>
      </c>
      <c r="I4" s="124">
        <f>H4*$E4</f>
        <v>4930.7999999999993</v>
      </c>
      <c r="J4" s="123">
        <v>29058</v>
      </c>
      <c r="K4" s="124">
        <f>J4*$E4</f>
        <v>20340.599999999999</v>
      </c>
      <c r="L4" s="123">
        <v>9060</v>
      </c>
      <c r="M4" s="124">
        <f>L4*$E4</f>
        <v>6342</v>
      </c>
      <c r="N4" s="123">
        <f>480+9348</f>
        <v>9828</v>
      </c>
      <c r="O4" s="124">
        <f>N4*$E4</f>
        <v>6879.5999999999995</v>
      </c>
      <c r="P4" s="123">
        <v>3240</v>
      </c>
      <c r="Q4" s="124">
        <f>P4*$E4</f>
        <v>2268</v>
      </c>
      <c r="R4" s="123">
        <v>7611</v>
      </c>
      <c r="S4" s="124">
        <f>R4*$E4</f>
        <v>5327.7</v>
      </c>
      <c r="T4" s="123">
        <v>4356</v>
      </c>
      <c r="U4" s="124">
        <f>T4*$E4</f>
        <v>3049.2</v>
      </c>
      <c r="V4" s="123">
        <v>6353</v>
      </c>
      <c r="W4" s="124">
        <f>V4*$E4</f>
        <v>4447.0999999999995</v>
      </c>
      <c r="X4" s="123">
        <v>3384</v>
      </c>
      <c r="Y4" s="124">
        <f>X4*$E4</f>
        <v>2368.7999999999997</v>
      </c>
      <c r="Z4" s="123">
        <v>2831</v>
      </c>
      <c r="AA4" s="124">
        <f>Z4*$E4</f>
        <v>1981.6999999999998</v>
      </c>
      <c r="AB4" s="123">
        <v>5556</v>
      </c>
      <c r="AC4" s="124">
        <f>AB4*$E4</f>
        <v>3889.2</v>
      </c>
      <c r="AD4" s="123">
        <v>4176</v>
      </c>
      <c r="AE4" s="124">
        <f>AD4*$E4</f>
        <v>2923.2</v>
      </c>
      <c r="AF4" s="125">
        <f>(AD4+AB4+Z4+X4+V4+T4+R4+P4+N4+L4+J4+H4)/1</f>
        <v>92497</v>
      </c>
      <c r="AG4" s="126">
        <f>AF4*$E4</f>
        <v>64747.899999999994</v>
      </c>
      <c r="AH4" s="11">
        <v>5472</v>
      </c>
      <c r="AI4" s="124">
        <f>AH4*$E4</f>
        <v>3830.3999999999996</v>
      </c>
      <c r="AJ4" s="15">
        <v>1265</v>
      </c>
      <c r="AK4" s="124">
        <f>AJ4*$E4</f>
        <v>885.5</v>
      </c>
      <c r="AL4" s="15">
        <v>3960</v>
      </c>
      <c r="AM4" s="124">
        <f>AL4*$E4</f>
        <v>2772</v>
      </c>
      <c r="AN4" s="16">
        <v>6888</v>
      </c>
      <c r="AO4" s="124">
        <f>AN4*$E4</f>
        <v>4821.5999999999995</v>
      </c>
      <c r="AP4" s="15">
        <v>3792</v>
      </c>
      <c r="AQ4" s="124">
        <f>AP4*$E4</f>
        <v>2654.3999999999996</v>
      </c>
      <c r="AR4" s="15">
        <v>1872</v>
      </c>
      <c r="AS4" s="124">
        <f>AR4*$E4</f>
        <v>1310.3999999999999</v>
      </c>
      <c r="AT4" s="17">
        <v>1500</v>
      </c>
      <c r="AU4" s="124">
        <f>AT4*$E4</f>
        <v>1050</v>
      </c>
      <c r="AV4" s="15">
        <v>3600</v>
      </c>
      <c r="AW4" s="124">
        <f>AV4*$E4</f>
        <v>2520</v>
      </c>
      <c r="AX4" s="15">
        <v>1896</v>
      </c>
      <c r="AY4" s="124">
        <f>AX4*$E4</f>
        <v>1327.1999999999998</v>
      </c>
      <c r="AZ4" s="17">
        <v>3168</v>
      </c>
      <c r="BA4" s="124">
        <f>AZ4*$E4</f>
        <v>2217.6</v>
      </c>
      <c r="BB4" s="33">
        <v>3168</v>
      </c>
      <c r="BC4" s="124">
        <f>BB4*$E4</f>
        <v>2217.6</v>
      </c>
      <c r="BD4" s="33">
        <v>3168</v>
      </c>
      <c r="BE4" s="124">
        <f>BD4*$E4</f>
        <v>2217.6</v>
      </c>
      <c r="BF4" s="125">
        <f>(BD4+BB4+AZ4+AX4+AV4+AT4+AR4+AP4+AN4+AL4+AJ4+AH4)/1</f>
        <v>39749</v>
      </c>
      <c r="BG4" s="126">
        <f>BF4*$E4</f>
        <v>27824.3</v>
      </c>
      <c r="BH4" s="64">
        <v>3696</v>
      </c>
      <c r="BI4" s="124">
        <f>BH4*$E4</f>
        <v>2587.1999999999998</v>
      </c>
      <c r="BJ4" s="64">
        <v>2892</v>
      </c>
      <c r="BK4" s="124">
        <f>BJ4*$E4</f>
        <v>2024.3999999999999</v>
      </c>
      <c r="BL4" s="64">
        <v>2748</v>
      </c>
      <c r="BM4" s="124">
        <f>BL4*$E4</f>
        <v>1923.6</v>
      </c>
      <c r="BN4" s="64">
        <v>3288</v>
      </c>
      <c r="BO4" s="124">
        <f>BN4*$E4</f>
        <v>2301.6</v>
      </c>
      <c r="BP4" s="64">
        <v>1764</v>
      </c>
      <c r="BQ4" s="124">
        <f>BP4*$E4</f>
        <v>1234.8</v>
      </c>
      <c r="BR4" s="65">
        <v>3144</v>
      </c>
      <c r="BS4" s="124">
        <f>BR4*$E4</f>
        <v>2200.7999999999997</v>
      </c>
      <c r="BT4" s="65">
        <v>3696</v>
      </c>
      <c r="BU4" s="124">
        <f>BT4*$E4</f>
        <v>2587.1999999999998</v>
      </c>
      <c r="BV4" s="66">
        <v>3840</v>
      </c>
      <c r="BW4" s="124">
        <f>BV4*$E4</f>
        <v>2688</v>
      </c>
      <c r="BX4" s="67">
        <v>756</v>
      </c>
      <c r="BY4" s="124">
        <f>BX4*$E4</f>
        <v>529.19999999999993</v>
      </c>
      <c r="BZ4" s="68">
        <v>3636</v>
      </c>
      <c r="CA4" s="124">
        <f>BZ4*$E4</f>
        <v>2545.1999999999998</v>
      </c>
      <c r="CB4" s="69">
        <v>2556</v>
      </c>
      <c r="CC4" s="124">
        <f>CB4*$E4</f>
        <v>1789.1999999999998</v>
      </c>
      <c r="CD4" s="69">
        <v>4626</v>
      </c>
      <c r="CE4" s="124">
        <f>CD4*$E4</f>
        <v>3238.2</v>
      </c>
      <c r="CF4" s="125">
        <f>(CD4+CB4+BZ4+BX4+BV4+BT4+BR4+BP4+BN4+BL4+BJ4+BH4)/1</f>
        <v>36642</v>
      </c>
      <c r="CG4" s="126">
        <f>CF4*$E4</f>
        <v>25649.399999999998</v>
      </c>
      <c r="CH4" s="123">
        <v>528</v>
      </c>
      <c r="CI4" s="124">
        <f>CH4*$E4</f>
        <v>369.59999999999997</v>
      </c>
      <c r="CJ4" s="123">
        <v>1716</v>
      </c>
      <c r="CK4" s="124">
        <f>CJ4*$E4</f>
        <v>1201.1999999999998</v>
      </c>
      <c r="CL4" s="123">
        <v>2772</v>
      </c>
      <c r="CM4" s="124">
        <f>CL4*$E4</f>
        <v>1940.3999999999999</v>
      </c>
      <c r="CN4" s="123">
        <v>3960</v>
      </c>
      <c r="CO4" s="124">
        <f>CN4*$E4</f>
        <v>2772</v>
      </c>
      <c r="CP4" s="123">
        <v>1632</v>
      </c>
      <c r="CQ4" s="124">
        <f>CP4*$E4</f>
        <v>1142.3999999999999</v>
      </c>
      <c r="CR4" s="123">
        <v>1092</v>
      </c>
      <c r="CS4" s="124">
        <f>CR4*$E4</f>
        <v>764.4</v>
      </c>
      <c r="CT4" s="123">
        <v>1764</v>
      </c>
      <c r="CU4" s="124">
        <f>CT4*$E4</f>
        <v>1234.8</v>
      </c>
      <c r="CV4" s="123">
        <v>3096</v>
      </c>
      <c r="CW4" s="124">
        <f>CV4*$E4</f>
        <v>2167.1999999999998</v>
      </c>
      <c r="CX4" s="123">
        <v>1392</v>
      </c>
      <c r="CY4" s="124">
        <f>CX4*$E4</f>
        <v>974.4</v>
      </c>
      <c r="CZ4" s="123">
        <v>588</v>
      </c>
      <c r="DA4" s="124">
        <f>CZ4*$E4</f>
        <v>411.59999999999997</v>
      </c>
      <c r="DB4" s="123">
        <v>3996</v>
      </c>
      <c r="DC4" s="124">
        <f>DB4*$E4</f>
        <v>2797.2</v>
      </c>
      <c r="DD4" s="123">
        <v>24</v>
      </c>
      <c r="DE4" s="124">
        <f>DD4*$E4</f>
        <v>16.799999999999997</v>
      </c>
      <c r="DF4" s="27">
        <f t="shared" ref="DF4:DF67" si="0">SUM(CH4,CJ4,CL4,CN4,CP4,CR4,CT4,CV4,CX4,CZ4,DB4,DD4)</f>
        <v>22560</v>
      </c>
      <c r="DG4" s="124">
        <f>DF4*$E4</f>
        <v>15791.999999999998</v>
      </c>
    </row>
    <row r="5" spans="1:111" ht="18" customHeight="1" x14ac:dyDescent="0.5">
      <c r="A5" s="117"/>
      <c r="B5" s="122"/>
      <c r="C5" s="122"/>
      <c r="D5" s="117"/>
      <c r="E5" s="117"/>
      <c r="F5" s="117"/>
      <c r="G5" s="117"/>
      <c r="H5" s="123"/>
      <c r="I5" s="124">
        <f t="shared" ref="I5" si="1">H5*$E5</f>
        <v>0</v>
      </c>
      <c r="J5" s="123"/>
      <c r="K5" s="124">
        <f t="shared" ref="K5" si="2">J5*$E5</f>
        <v>0</v>
      </c>
      <c r="L5" s="123"/>
      <c r="M5" s="124">
        <f t="shared" ref="M5" si="3">L5*$E5</f>
        <v>0</v>
      </c>
      <c r="N5" s="123"/>
      <c r="O5" s="124">
        <f t="shared" ref="O5" si="4">N5*$E5</f>
        <v>0</v>
      </c>
      <c r="P5" s="123"/>
      <c r="Q5" s="124">
        <f t="shared" ref="Q5" si="5">P5*$E5</f>
        <v>0</v>
      </c>
      <c r="R5" s="123"/>
      <c r="S5" s="124">
        <f t="shared" ref="S5" si="6">R5*$E5</f>
        <v>0</v>
      </c>
      <c r="T5" s="123"/>
      <c r="U5" s="124">
        <f t="shared" ref="U5" si="7">T5*$E5</f>
        <v>0</v>
      </c>
      <c r="V5" s="123"/>
      <c r="W5" s="124">
        <f t="shared" ref="W5" si="8">V5*$E5</f>
        <v>0</v>
      </c>
      <c r="X5" s="123"/>
      <c r="Y5" s="124">
        <f t="shared" ref="Y5" si="9">X5*$E5</f>
        <v>0</v>
      </c>
      <c r="Z5" s="123"/>
      <c r="AA5" s="124">
        <f t="shared" ref="AA5" si="10">Z5*$E5</f>
        <v>0</v>
      </c>
      <c r="AB5" s="123"/>
      <c r="AC5" s="124">
        <f t="shared" ref="AC5" si="11">AB5*$E5</f>
        <v>0</v>
      </c>
      <c r="AD5" s="123"/>
      <c r="AE5" s="124">
        <f t="shared" ref="AE5" si="12">AD5*$E5</f>
        <v>0</v>
      </c>
      <c r="AF5" s="125">
        <f t="shared" ref="AF5:AF68" si="13">(AD5+AB5+Z5+X5+V5+T5+R5+P5+N5+L5+J5+H5)/1</f>
        <v>0</v>
      </c>
      <c r="AG5" s="126">
        <f t="shared" ref="AG5" si="14">AF5*$E5</f>
        <v>0</v>
      </c>
      <c r="AH5" s="11"/>
      <c r="AI5" s="124">
        <f t="shared" ref="AI5" si="15">AH5*$E5</f>
        <v>0</v>
      </c>
      <c r="AJ5" s="15"/>
      <c r="AK5" s="124">
        <f t="shared" ref="AK5" si="16">AJ5*$E5</f>
        <v>0</v>
      </c>
      <c r="AL5" s="15"/>
      <c r="AM5" s="124">
        <f t="shared" ref="AM5" si="17">AL5*$E5</f>
        <v>0</v>
      </c>
      <c r="AN5" s="16"/>
      <c r="AO5" s="124">
        <f t="shared" ref="AO5" si="18">AN5*$E5</f>
        <v>0</v>
      </c>
      <c r="AP5" s="15"/>
      <c r="AQ5" s="124">
        <f t="shared" ref="AQ5" si="19">AP5*$E5</f>
        <v>0</v>
      </c>
      <c r="AR5" s="15"/>
      <c r="AS5" s="124">
        <f t="shared" ref="AS5" si="20">AR5*$E5</f>
        <v>0</v>
      </c>
      <c r="AT5" s="17"/>
      <c r="AU5" s="124">
        <f t="shared" ref="AU5" si="21">AT5*$E5</f>
        <v>0</v>
      </c>
      <c r="AV5" s="15"/>
      <c r="AW5" s="124">
        <f t="shared" ref="AW5" si="22">AV5*$E5</f>
        <v>0</v>
      </c>
      <c r="AX5" s="15"/>
      <c r="AY5" s="124">
        <f t="shared" ref="AY5" si="23">AX5*$E5</f>
        <v>0</v>
      </c>
      <c r="AZ5" s="17"/>
      <c r="BA5" s="124">
        <f t="shared" ref="BA5" si="24">AZ5*$E5</f>
        <v>0</v>
      </c>
      <c r="BB5" s="33"/>
      <c r="BC5" s="124">
        <f t="shared" ref="BC5" si="25">BB5*$E5</f>
        <v>0</v>
      </c>
      <c r="BD5" s="33"/>
      <c r="BE5" s="124">
        <f t="shared" ref="BE5" si="26">BD5*$E5</f>
        <v>0</v>
      </c>
      <c r="BF5" s="125">
        <f t="shared" ref="BF5:BF68" si="27">(BD5+BB5+AZ5+AX5+AV5+AT5+AR5+AP5+AN5+AL5+AJ5+AH5)/1</f>
        <v>0</v>
      </c>
      <c r="BG5" s="126">
        <f t="shared" ref="BG5" si="28">BF5*$E5</f>
        <v>0</v>
      </c>
      <c r="BH5" s="123"/>
      <c r="BI5" s="124">
        <f t="shared" ref="BI5" si="29">BH5*$E5</f>
        <v>0</v>
      </c>
      <c r="BJ5" s="123"/>
      <c r="BK5" s="124">
        <f t="shared" ref="BK5" si="30">BJ5*$E5</f>
        <v>0</v>
      </c>
      <c r="BL5" s="123"/>
      <c r="BM5" s="124">
        <f t="shared" ref="BM5" si="31">BL5*$E5</f>
        <v>0</v>
      </c>
      <c r="BN5" s="123"/>
      <c r="BO5" s="124">
        <f t="shared" ref="BO5" si="32">BN5*$E5</f>
        <v>0</v>
      </c>
      <c r="BP5" s="123"/>
      <c r="BQ5" s="124">
        <f t="shared" ref="BQ5" si="33">BP5*$E5</f>
        <v>0</v>
      </c>
      <c r="BR5" s="123"/>
      <c r="BS5" s="124">
        <f t="shared" ref="BS5" si="34">BR5*$E5</f>
        <v>0</v>
      </c>
      <c r="BT5" s="123"/>
      <c r="BU5" s="124">
        <f t="shared" ref="BU5" si="35">BT5*$E5</f>
        <v>0</v>
      </c>
      <c r="BV5" s="123"/>
      <c r="BW5" s="124">
        <f t="shared" ref="BW5" si="36">BV5*$E5</f>
        <v>0</v>
      </c>
      <c r="BX5" s="123"/>
      <c r="BY5" s="124">
        <f t="shared" ref="BY5" si="37">BX5*$E5</f>
        <v>0</v>
      </c>
      <c r="BZ5" s="123"/>
      <c r="CA5" s="124">
        <f t="shared" ref="CA5" si="38">BZ5*$E5</f>
        <v>0</v>
      </c>
      <c r="CB5" s="123"/>
      <c r="CC5" s="124">
        <f t="shared" ref="CC5" si="39">CB5*$E5</f>
        <v>0</v>
      </c>
      <c r="CD5" s="123"/>
      <c r="CE5" s="124">
        <f t="shared" ref="CE5" si="40">CD5*$E5</f>
        <v>0</v>
      </c>
      <c r="CF5" s="125">
        <f t="shared" ref="CF5:CF68" si="41">(CD5+CB5+BZ5+BX5+BV5+BT5+BR5+BP5+BN5+BL5+BJ5+BH5)/1</f>
        <v>0</v>
      </c>
      <c r="CG5" s="126">
        <f t="shared" ref="CG5" si="42">CF5*$E5</f>
        <v>0</v>
      </c>
      <c r="CH5" s="123"/>
      <c r="CI5" s="124">
        <f t="shared" ref="CI5" si="43">CH5*$E5</f>
        <v>0</v>
      </c>
      <c r="CJ5" s="123"/>
      <c r="CK5" s="124">
        <f t="shared" ref="CK5" si="44">CJ5*$E5</f>
        <v>0</v>
      </c>
      <c r="CL5" s="123"/>
      <c r="CM5" s="124">
        <f t="shared" ref="CM5" si="45">CL5*$E5</f>
        <v>0</v>
      </c>
      <c r="CN5" s="123"/>
      <c r="CO5" s="124">
        <f t="shared" ref="CO5" si="46">CN5*$E5</f>
        <v>0</v>
      </c>
      <c r="CP5" s="123"/>
      <c r="CQ5" s="124">
        <f t="shared" ref="CQ5" si="47">CP5*$E5</f>
        <v>0</v>
      </c>
      <c r="CR5" s="123"/>
      <c r="CS5" s="124">
        <f t="shared" ref="CS5" si="48">CR5*$E5</f>
        <v>0</v>
      </c>
      <c r="CT5" s="123"/>
      <c r="CU5" s="124">
        <f t="shared" ref="CU5" si="49">CT5*$E5</f>
        <v>0</v>
      </c>
      <c r="CV5" s="123"/>
      <c r="CW5" s="124">
        <f t="shared" ref="CW5" si="50">CV5*$E5</f>
        <v>0</v>
      </c>
      <c r="CX5" s="123"/>
      <c r="CY5" s="124">
        <f t="shared" ref="CY5" si="51">CX5*$E5</f>
        <v>0</v>
      </c>
      <c r="CZ5" s="123"/>
      <c r="DA5" s="124">
        <f t="shared" ref="DA5" si="52">CZ5*$E5</f>
        <v>0</v>
      </c>
      <c r="DB5" s="123"/>
      <c r="DC5" s="124">
        <f t="shared" ref="DC5:DE68" si="53">DB5*$E5</f>
        <v>0</v>
      </c>
      <c r="DD5" s="123"/>
      <c r="DE5" s="124">
        <f t="shared" si="53"/>
        <v>0</v>
      </c>
      <c r="DF5" s="27">
        <f t="shared" si="0"/>
        <v>0</v>
      </c>
      <c r="DG5" s="124">
        <f t="shared" ref="DG5:DG68" si="54">DF5*$E5</f>
        <v>0</v>
      </c>
    </row>
    <row r="6" spans="1:111" ht="18" customHeight="1" x14ac:dyDescent="0.5">
      <c r="A6" s="117">
        <v>2</v>
      </c>
      <c r="B6" s="122" t="s">
        <v>137</v>
      </c>
      <c r="C6" s="122" t="s">
        <v>233</v>
      </c>
      <c r="D6" s="117">
        <f t="shared" ref="D6:D14" si="55">RANK(DF6,$DF$4:$DF$141)</f>
        <v>21</v>
      </c>
      <c r="E6" s="117">
        <v>1</v>
      </c>
      <c r="F6" s="117" t="s">
        <v>232</v>
      </c>
      <c r="G6" s="117"/>
      <c r="H6" s="123"/>
      <c r="I6" s="124">
        <f t="shared" ref="I6" si="56">H6*$E6</f>
        <v>0</v>
      </c>
      <c r="J6" s="123"/>
      <c r="K6" s="124">
        <f t="shared" ref="K6" si="57">J6*$E6</f>
        <v>0</v>
      </c>
      <c r="L6" s="123"/>
      <c r="M6" s="124">
        <f t="shared" ref="M6" si="58">L6*$E6</f>
        <v>0</v>
      </c>
      <c r="N6" s="123"/>
      <c r="O6" s="124">
        <f t="shared" ref="O6" si="59">N6*$E6</f>
        <v>0</v>
      </c>
      <c r="P6" s="123"/>
      <c r="Q6" s="124">
        <f t="shared" ref="Q6" si="60">P6*$E6</f>
        <v>0</v>
      </c>
      <c r="R6" s="123"/>
      <c r="S6" s="124">
        <f t="shared" ref="S6" si="61">R6*$E6</f>
        <v>0</v>
      </c>
      <c r="T6" s="123"/>
      <c r="U6" s="124">
        <f t="shared" ref="U6" si="62">T6*$E6</f>
        <v>0</v>
      </c>
      <c r="V6" s="123"/>
      <c r="W6" s="124">
        <f t="shared" ref="W6" si="63">V6*$E6</f>
        <v>0</v>
      </c>
      <c r="X6" s="123"/>
      <c r="Y6" s="124">
        <f t="shared" ref="Y6" si="64">X6*$E6</f>
        <v>0</v>
      </c>
      <c r="Z6" s="123"/>
      <c r="AA6" s="124">
        <f t="shared" ref="AA6" si="65">Z6*$E6</f>
        <v>0</v>
      </c>
      <c r="AB6" s="123"/>
      <c r="AC6" s="124">
        <f t="shared" ref="AC6" si="66">AB6*$E6</f>
        <v>0</v>
      </c>
      <c r="AD6" s="123"/>
      <c r="AE6" s="124">
        <f t="shared" ref="AE6" si="67">AD6*$E6</f>
        <v>0</v>
      </c>
      <c r="AF6" s="125">
        <f t="shared" si="13"/>
        <v>0</v>
      </c>
      <c r="AG6" s="126">
        <f t="shared" ref="AG6" si="68">AF6*$E6</f>
        <v>0</v>
      </c>
      <c r="AH6" s="11"/>
      <c r="AI6" s="124">
        <f t="shared" ref="AI6" si="69">AH6*$E6</f>
        <v>0</v>
      </c>
      <c r="AJ6" s="15"/>
      <c r="AK6" s="124">
        <f t="shared" ref="AK6" si="70">AJ6*$E6</f>
        <v>0</v>
      </c>
      <c r="AL6" s="15"/>
      <c r="AM6" s="124">
        <f t="shared" ref="AM6" si="71">AL6*$E6</f>
        <v>0</v>
      </c>
      <c r="AN6" s="16"/>
      <c r="AO6" s="124">
        <f t="shared" ref="AO6" si="72">AN6*$E6</f>
        <v>0</v>
      </c>
      <c r="AP6" s="15"/>
      <c r="AQ6" s="124">
        <f t="shared" ref="AQ6" si="73">AP6*$E6</f>
        <v>0</v>
      </c>
      <c r="AR6" s="15"/>
      <c r="AS6" s="124">
        <f t="shared" ref="AS6" si="74">AR6*$E6</f>
        <v>0</v>
      </c>
      <c r="AT6" s="17"/>
      <c r="AU6" s="124">
        <f t="shared" ref="AU6" si="75">AT6*$E6</f>
        <v>0</v>
      </c>
      <c r="AV6" s="15"/>
      <c r="AW6" s="124">
        <f t="shared" ref="AW6" si="76">AV6*$E6</f>
        <v>0</v>
      </c>
      <c r="AX6" s="15"/>
      <c r="AY6" s="124">
        <f t="shared" ref="AY6" si="77">AX6*$E6</f>
        <v>0</v>
      </c>
      <c r="AZ6" s="17"/>
      <c r="BA6" s="124">
        <f t="shared" ref="BA6" si="78">AZ6*$E6</f>
        <v>0</v>
      </c>
      <c r="BB6" s="33"/>
      <c r="BC6" s="124">
        <f t="shared" ref="BC6" si="79">BB6*$E6</f>
        <v>0</v>
      </c>
      <c r="BD6" s="33"/>
      <c r="BE6" s="124">
        <f t="shared" ref="BE6" si="80">BD6*$E6</f>
        <v>0</v>
      </c>
      <c r="BF6" s="125">
        <f t="shared" si="27"/>
        <v>0</v>
      </c>
      <c r="BG6" s="126">
        <f t="shared" ref="BG6" si="81">BF6*$E6</f>
        <v>0</v>
      </c>
      <c r="BH6" s="123"/>
      <c r="BI6" s="124">
        <f t="shared" ref="BI6" si="82">BH6*$E6</f>
        <v>0</v>
      </c>
      <c r="BJ6" s="123"/>
      <c r="BK6" s="124">
        <f t="shared" ref="BK6" si="83">BJ6*$E6</f>
        <v>0</v>
      </c>
      <c r="BL6" s="123"/>
      <c r="BM6" s="124">
        <f t="shared" ref="BM6" si="84">BL6*$E6</f>
        <v>0</v>
      </c>
      <c r="BN6" s="123"/>
      <c r="BO6" s="124">
        <f t="shared" ref="BO6" si="85">BN6*$E6</f>
        <v>0</v>
      </c>
      <c r="BP6" s="123"/>
      <c r="BQ6" s="124">
        <f t="shared" ref="BQ6" si="86">BP6*$E6</f>
        <v>0</v>
      </c>
      <c r="BR6" s="123"/>
      <c r="BS6" s="124">
        <f t="shared" ref="BS6" si="87">BR6*$E6</f>
        <v>0</v>
      </c>
      <c r="BT6" s="123"/>
      <c r="BU6" s="124">
        <f t="shared" ref="BU6" si="88">BT6*$E6</f>
        <v>0</v>
      </c>
      <c r="BV6" s="123"/>
      <c r="BW6" s="124">
        <f t="shared" ref="BW6" si="89">BV6*$E6</f>
        <v>0</v>
      </c>
      <c r="BX6" s="123"/>
      <c r="BY6" s="124">
        <f t="shared" ref="BY6" si="90">BX6*$E6</f>
        <v>0</v>
      </c>
      <c r="BZ6" s="123"/>
      <c r="CA6" s="124">
        <f t="shared" ref="CA6" si="91">BZ6*$E6</f>
        <v>0</v>
      </c>
      <c r="CB6" s="123"/>
      <c r="CC6" s="124">
        <f t="shared" ref="CC6" si="92">CB6*$E6</f>
        <v>0</v>
      </c>
      <c r="CD6" s="123"/>
      <c r="CE6" s="124">
        <f t="shared" ref="CE6" si="93">CD6*$E6</f>
        <v>0</v>
      </c>
      <c r="CF6" s="125">
        <f t="shared" si="41"/>
        <v>0</v>
      </c>
      <c r="CG6" s="126">
        <f t="shared" ref="CG6" si="94">CF6*$E6</f>
        <v>0</v>
      </c>
      <c r="CH6" s="123"/>
      <c r="CI6" s="124">
        <f t="shared" ref="CI6" si="95">CH6*$E6</f>
        <v>0</v>
      </c>
      <c r="CJ6" s="123"/>
      <c r="CK6" s="124">
        <f t="shared" ref="CK6" si="96">CJ6*$E6</f>
        <v>0</v>
      </c>
      <c r="CL6" s="123"/>
      <c r="CM6" s="124">
        <f t="shared" ref="CM6" si="97">CL6*$E6</f>
        <v>0</v>
      </c>
      <c r="CN6" s="123"/>
      <c r="CO6" s="124">
        <f t="shared" ref="CO6" si="98">CN6*$E6</f>
        <v>0</v>
      </c>
      <c r="CP6" s="123"/>
      <c r="CQ6" s="124">
        <f t="shared" ref="CQ6" si="99">CP6*$E6</f>
        <v>0</v>
      </c>
      <c r="CR6" s="123"/>
      <c r="CS6" s="124">
        <f t="shared" ref="CS6" si="100">CR6*$E6</f>
        <v>0</v>
      </c>
      <c r="CT6" s="123"/>
      <c r="CU6" s="124">
        <f t="shared" ref="CU6" si="101">CT6*$E6</f>
        <v>0</v>
      </c>
      <c r="CV6" s="123"/>
      <c r="CW6" s="124">
        <f t="shared" ref="CW6" si="102">CV6*$E6</f>
        <v>0</v>
      </c>
      <c r="CX6" s="123"/>
      <c r="CY6" s="124">
        <f t="shared" ref="CY6" si="103">CX6*$E6</f>
        <v>0</v>
      </c>
      <c r="CZ6" s="123"/>
      <c r="DA6" s="124">
        <f t="shared" ref="DA6" si="104">CZ6*$E6</f>
        <v>0</v>
      </c>
      <c r="DB6" s="123"/>
      <c r="DC6" s="124">
        <f t="shared" si="53"/>
        <v>0</v>
      </c>
      <c r="DD6" s="123"/>
      <c r="DE6" s="124">
        <f t="shared" si="53"/>
        <v>0</v>
      </c>
      <c r="DF6" s="27">
        <f t="shared" si="0"/>
        <v>0</v>
      </c>
      <c r="DG6" s="124">
        <f t="shared" si="54"/>
        <v>0</v>
      </c>
    </row>
    <row r="7" spans="1:111" ht="18" customHeight="1" x14ac:dyDescent="0.5">
      <c r="A7" s="117">
        <v>3</v>
      </c>
      <c r="B7" s="122" t="s">
        <v>138</v>
      </c>
      <c r="C7" s="122" t="s">
        <v>233</v>
      </c>
      <c r="D7" s="117">
        <f t="shared" si="55"/>
        <v>6</v>
      </c>
      <c r="E7" s="117">
        <v>1</v>
      </c>
      <c r="F7" s="117" t="s">
        <v>232</v>
      </c>
      <c r="G7" s="117">
        <v>1675</v>
      </c>
      <c r="H7" s="123">
        <v>1176</v>
      </c>
      <c r="I7" s="124">
        <f t="shared" ref="I7" si="105">H7*$E7</f>
        <v>1176</v>
      </c>
      <c r="J7" s="123">
        <v>1380</v>
      </c>
      <c r="K7" s="124">
        <f t="shared" ref="K7" si="106">J7*$E7</f>
        <v>1380</v>
      </c>
      <c r="L7" s="123">
        <v>1716</v>
      </c>
      <c r="M7" s="124">
        <f t="shared" ref="M7" si="107">L7*$E7</f>
        <v>1716</v>
      </c>
      <c r="N7" s="123">
        <v>2796</v>
      </c>
      <c r="O7" s="124">
        <f t="shared" ref="O7" si="108">N7*$E7</f>
        <v>2796</v>
      </c>
      <c r="P7" s="123">
        <v>1416</v>
      </c>
      <c r="Q7" s="124">
        <f t="shared" ref="Q7" si="109">P7*$E7</f>
        <v>1416</v>
      </c>
      <c r="R7" s="123">
        <v>1740</v>
      </c>
      <c r="S7" s="124">
        <f t="shared" ref="S7" si="110">R7*$E7</f>
        <v>1740</v>
      </c>
      <c r="T7" s="123">
        <v>1308</v>
      </c>
      <c r="U7" s="124">
        <f t="shared" ref="U7" si="111">T7*$E7</f>
        <v>1308</v>
      </c>
      <c r="V7" s="123">
        <v>1476</v>
      </c>
      <c r="W7" s="124">
        <f t="shared" ref="W7" si="112">V7*$E7</f>
        <v>1476</v>
      </c>
      <c r="X7" s="123">
        <v>1260</v>
      </c>
      <c r="Y7" s="124">
        <f t="shared" ref="Y7" si="113">X7*$E7</f>
        <v>1260</v>
      </c>
      <c r="Z7" s="123">
        <v>2148</v>
      </c>
      <c r="AA7" s="124">
        <f t="shared" ref="AA7" si="114">Z7*$E7</f>
        <v>2148</v>
      </c>
      <c r="AB7" s="123">
        <v>1620</v>
      </c>
      <c r="AC7" s="124">
        <f t="shared" ref="AC7" si="115">AB7*$E7</f>
        <v>1620</v>
      </c>
      <c r="AD7" s="123">
        <v>3258</v>
      </c>
      <c r="AE7" s="124">
        <f t="shared" ref="AE7" si="116">AD7*$E7</f>
        <v>3258</v>
      </c>
      <c r="AF7" s="125">
        <f t="shared" si="13"/>
        <v>21294</v>
      </c>
      <c r="AG7" s="126">
        <f t="shared" ref="AG7" si="117">AF7*$E7</f>
        <v>21294</v>
      </c>
      <c r="AH7" s="11">
        <v>4020</v>
      </c>
      <c r="AI7" s="124">
        <f t="shared" ref="AI7" si="118">AH7*$E7</f>
        <v>4020</v>
      </c>
      <c r="AJ7" s="15">
        <v>2580</v>
      </c>
      <c r="AK7" s="124">
        <f t="shared" ref="AK7" si="119">AJ7*$E7</f>
        <v>2580</v>
      </c>
      <c r="AL7" s="15">
        <v>4392</v>
      </c>
      <c r="AM7" s="124">
        <f t="shared" ref="AM7" si="120">AL7*$E7</f>
        <v>4392</v>
      </c>
      <c r="AN7" s="16">
        <v>1884</v>
      </c>
      <c r="AO7" s="124">
        <f t="shared" ref="AO7" si="121">AN7*$E7</f>
        <v>1884</v>
      </c>
      <c r="AP7" s="15">
        <v>2868</v>
      </c>
      <c r="AQ7" s="124">
        <f t="shared" ref="AQ7" si="122">AP7*$E7</f>
        <v>2868</v>
      </c>
      <c r="AR7" s="15">
        <v>2052</v>
      </c>
      <c r="AS7" s="124">
        <f t="shared" ref="AS7" si="123">AR7*$E7</f>
        <v>2052</v>
      </c>
      <c r="AT7" s="17">
        <v>3672</v>
      </c>
      <c r="AU7" s="124">
        <f t="shared" ref="AU7" si="124">AT7*$E7</f>
        <v>3672</v>
      </c>
      <c r="AV7" s="15">
        <v>3984</v>
      </c>
      <c r="AW7" s="124">
        <f t="shared" ref="AW7" si="125">AV7*$E7</f>
        <v>3984</v>
      </c>
      <c r="AX7" s="15">
        <v>1404</v>
      </c>
      <c r="AY7" s="124">
        <f t="shared" ref="AY7" si="126">AX7*$E7</f>
        <v>1404</v>
      </c>
      <c r="AZ7" s="17">
        <v>2760</v>
      </c>
      <c r="BA7" s="124">
        <f t="shared" ref="BA7" si="127">AZ7*$E7</f>
        <v>2760</v>
      </c>
      <c r="BB7" s="33">
        <v>3305</v>
      </c>
      <c r="BC7" s="124">
        <f t="shared" ref="BC7" si="128">BB7*$E7</f>
        <v>3305</v>
      </c>
      <c r="BD7" s="33">
        <v>3144</v>
      </c>
      <c r="BE7" s="124">
        <f t="shared" ref="BE7" si="129">BD7*$E7</f>
        <v>3144</v>
      </c>
      <c r="BF7" s="125">
        <f t="shared" si="27"/>
        <v>36065</v>
      </c>
      <c r="BG7" s="126">
        <f t="shared" ref="BG7" si="130">BF7*$E7</f>
        <v>36065</v>
      </c>
      <c r="BH7" s="64">
        <v>4680</v>
      </c>
      <c r="BI7" s="124">
        <f t="shared" ref="BI7" si="131">BH7*$E7</f>
        <v>4680</v>
      </c>
      <c r="BJ7" s="64">
        <v>2868</v>
      </c>
      <c r="BK7" s="124">
        <f t="shared" ref="BK7" si="132">BJ7*$E7</f>
        <v>2868</v>
      </c>
      <c r="BL7" s="64">
        <v>4572</v>
      </c>
      <c r="BM7" s="124">
        <f t="shared" ref="BM7" si="133">BL7*$E7</f>
        <v>4572</v>
      </c>
      <c r="BN7" s="64">
        <v>4032</v>
      </c>
      <c r="BO7" s="124">
        <f t="shared" ref="BO7" si="134">BN7*$E7</f>
        <v>4032</v>
      </c>
      <c r="BP7" s="64">
        <v>2760</v>
      </c>
      <c r="BQ7" s="124">
        <f t="shared" ref="BQ7" si="135">BP7*$E7</f>
        <v>2760</v>
      </c>
      <c r="BR7" s="65">
        <v>4632</v>
      </c>
      <c r="BS7" s="124">
        <f t="shared" ref="BS7" si="136">BR7*$E7</f>
        <v>4632</v>
      </c>
      <c r="BT7" s="64">
        <v>5772</v>
      </c>
      <c r="BU7" s="124">
        <f t="shared" ref="BU7" si="137">BT7*$E7</f>
        <v>5772</v>
      </c>
      <c r="BV7" s="73">
        <v>4980</v>
      </c>
      <c r="BW7" s="124">
        <f t="shared" ref="BW7" si="138">BV7*$E7</f>
        <v>4980</v>
      </c>
      <c r="BX7" s="67">
        <v>4320</v>
      </c>
      <c r="BY7" s="124">
        <f t="shared" ref="BY7" si="139">BX7*$E7</f>
        <v>4320</v>
      </c>
      <c r="BZ7" s="67">
        <v>4980</v>
      </c>
      <c r="CA7" s="124">
        <f t="shared" ref="CA7" si="140">BZ7*$E7</f>
        <v>4980</v>
      </c>
      <c r="CB7" s="69">
        <v>5388</v>
      </c>
      <c r="CC7" s="124">
        <f t="shared" ref="CC7" si="141">CB7*$E7</f>
        <v>5388</v>
      </c>
      <c r="CD7" s="69">
        <v>2832</v>
      </c>
      <c r="CE7" s="124">
        <f t="shared" ref="CE7" si="142">CD7*$E7</f>
        <v>2832</v>
      </c>
      <c r="CF7" s="125">
        <f t="shared" si="41"/>
        <v>51816</v>
      </c>
      <c r="CG7" s="126">
        <f t="shared" ref="CG7" si="143">CF7*$E7</f>
        <v>51816</v>
      </c>
      <c r="CH7" s="123">
        <v>6672</v>
      </c>
      <c r="CI7" s="124">
        <f t="shared" ref="CI7" si="144">CH7*$E7</f>
        <v>6672</v>
      </c>
      <c r="CJ7" s="123">
        <v>4896</v>
      </c>
      <c r="CK7" s="124">
        <f t="shared" ref="CK7" si="145">CJ7*$E7</f>
        <v>4896</v>
      </c>
      <c r="CL7" s="123">
        <v>10248</v>
      </c>
      <c r="CM7" s="124">
        <f t="shared" ref="CM7" si="146">CL7*$E7</f>
        <v>10248</v>
      </c>
      <c r="CN7" s="123">
        <v>5028</v>
      </c>
      <c r="CO7" s="124">
        <f t="shared" ref="CO7" si="147">CN7*$E7</f>
        <v>5028</v>
      </c>
      <c r="CP7" s="123">
        <v>3492</v>
      </c>
      <c r="CQ7" s="124">
        <f t="shared" ref="CQ7" si="148">CP7*$E7</f>
        <v>3492</v>
      </c>
      <c r="CR7" s="123">
        <v>10224</v>
      </c>
      <c r="CS7" s="124">
        <f t="shared" ref="CS7" si="149">CR7*$E7</f>
        <v>10224</v>
      </c>
      <c r="CT7" s="123">
        <v>8388</v>
      </c>
      <c r="CU7" s="124">
        <f t="shared" ref="CU7" si="150">CT7*$E7</f>
        <v>8388</v>
      </c>
      <c r="CV7" s="123">
        <v>6667</v>
      </c>
      <c r="CW7" s="124">
        <f t="shared" ref="CW7" si="151">CV7*$E7</f>
        <v>6667</v>
      </c>
      <c r="CX7" s="123">
        <v>5072</v>
      </c>
      <c r="CY7" s="124">
        <f t="shared" ref="CY7" si="152">CX7*$E7</f>
        <v>5072</v>
      </c>
      <c r="CZ7" s="123">
        <v>6852</v>
      </c>
      <c r="DA7" s="124">
        <f t="shared" ref="DA7" si="153">CZ7*$E7</f>
        <v>6852</v>
      </c>
      <c r="DB7" s="123">
        <v>8076</v>
      </c>
      <c r="DC7" s="124">
        <f t="shared" si="53"/>
        <v>8076</v>
      </c>
      <c r="DD7" s="123">
        <v>11868</v>
      </c>
      <c r="DE7" s="124">
        <f t="shared" si="53"/>
        <v>11868</v>
      </c>
      <c r="DF7" s="27">
        <f t="shared" si="0"/>
        <v>87483</v>
      </c>
      <c r="DG7" s="124">
        <f t="shared" si="54"/>
        <v>87483</v>
      </c>
    </row>
    <row r="8" spans="1:111" ht="18" customHeight="1" x14ac:dyDescent="0.5">
      <c r="A8" s="117">
        <v>4</v>
      </c>
      <c r="B8" s="122" t="s">
        <v>139</v>
      </c>
      <c r="C8" s="122" t="s">
        <v>233</v>
      </c>
      <c r="D8" s="117">
        <f t="shared" si="55"/>
        <v>16</v>
      </c>
      <c r="E8" s="117">
        <v>0.6</v>
      </c>
      <c r="F8" s="117" t="s">
        <v>232</v>
      </c>
      <c r="G8" s="117"/>
      <c r="H8" s="123"/>
      <c r="I8" s="124">
        <f t="shared" ref="I8" si="154">H8*$E8</f>
        <v>0</v>
      </c>
      <c r="J8" s="123"/>
      <c r="K8" s="124">
        <f t="shared" ref="K8" si="155">J8*$E8</f>
        <v>0</v>
      </c>
      <c r="L8" s="123"/>
      <c r="M8" s="124">
        <f t="shared" ref="M8" si="156">L8*$E8</f>
        <v>0</v>
      </c>
      <c r="N8" s="123"/>
      <c r="O8" s="124">
        <f t="shared" ref="O8" si="157">N8*$E8</f>
        <v>0</v>
      </c>
      <c r="P8" s="123"/>
      <c r="Q8" s="124">
        <f t="shared" ref="Q8" si="158">P8*$E8</f>
        <v>0</v>
      </c>
      <c r="R8" s="123"/>
      <c r="S8" s="124">
        <f t="shared" ref="S8" si="159">R8*$E8</f>
        <v>0</v>
      </c>
      <c r="T8" s="123"/>
      <c r="U8" s="124">
        <f t="shared" ref="U8" si="160">T8*$E8</f>
        <v>0</v>
      </c>
      <c r="V8" s="123"/>
      <c r="W8" s="124">
        <f t="shared" ref="W8" si="161">V8*$E8</f>
        <v>0</v>
      </c>
      <c r="X8" s="123"/>
      <c r="Y8" s="124">
        <f t="shared" ref="Y8" si="162">X8*$E8</f>
        <v>0</v>
      </c>
      <c r="Z8" s="123"/>
      <c r="AA8" s="124">
        <f t="shared" ref="AA8" si="163">Z8*$E8</f>
        <v>0</v>
      </c>
      <c r="AB8" s="123"/>
      <c r="AC8" s="124">
        <f t="shared" ref="AC8" si="164">AB8*$E8</f>
        <v>0</v>
      </c>
      <c r="AD8" s="123"/>
      <c r="AE8" s="124">
        <f t="shared" ref="AE8" si="165">AD8*$E8</f>
        <v>0</v>
      </c>
      <c r="AF8" s="125">
        <f t="shared" si="13"/>
        <v>0</v>
      </c>
      <c r="AG8" s="126">
        <f t="shared" ref="AG8" si="166">AF8*$E8</f>
        <v>0</v>
      </c>
      <c r="AH8" s="11">
        <v>612</v>
      </c>
      <c r="AI8" s="124">
        <f t="shared" ref="AI8" si="167">AH8*$E8</f>
        <v>367.2</v>
      </c>
      <c r="AJ8" s="15">
        <v>444</v>
      </c>
      <c r="AK8" s="124">
        <f t="shared" ref="AK8" si="168">AJ8*$E8</f>
        <v>266.39999999999998</v>
      </c>
      <c r="AL8" s="15">
        <v>120</v>
      </c>
      <c r="AM8" s="124">
        <f t="shared" ref="AM8" si="169">AL8*$E8</f>
        <v>72</v>
      </c>
      <c r="AN8" s="16">
        <v>216</v>
      </c>
      <c r="AO8" s="124">
        <f t="shared" ref="AO8" si="170">AN8*$E8</f>
        <v>129.6</v>
      </c>
      <c r="AP8" s="15">
        <v>480</v>
      </c>
      <c r="AQ8" s="124">
        <f t="shared" ref="AQ8" si="171">AP8*$E8</f>
        <v>288</v>
      </c>
      <c r="AR8" s="15">
        <v>156</v>
      </c>
      <c r="AS8" s="124">
        <f t="shared" ref="AS8" si="172">AR8*$E8</f>
        <v>93.6</v>
      </c>
      <c r="AT8" s="17">
        <v>276</v>
      </c>
      <c r="AU8" s="124">
        <f t="shared" ref="AU8" si="173">AT8*$E8</f>
        <v>165.6</v>
      </c>
      <c r="AV8" s="15">
        <v>420</v>
      </c>
      <c r="AW8" s="124">
        <f t="shared" ref="AW8" si="174">AV8*$E8</f>
        <v>252</v>
      </c>
      <c r="AX8" s="15">
        <v>12</v>
      </c>
      <c r="AY8" s="124">
        <f t="shared" ref="AY8" si="175">AX8*$E8</f>
        <v>7.1999999999999993</v>
      </c>
      <c r="AZ8" s="17"/>
      <c r="BA8" s="124">
        <f t="shared" ref="BA8" si="176">AZ8*$E8</f>
        <v>0</v>
      </c>
      <c r="BB8" s="33">
        <v>48</v>
      </c>
      <c r="BC8" s="124">
        <f t="shared" ref="BC8" si="177">BB8*$E8</f>
        <v>28.799999999999997</v>
      </c>
      <c r="BD8" s="33"/>
      <c r="BE8" s="124">
        <f t="shared" ref="BE8" si="178">BD8*$E8</f>
        <v>0</v>
      </c>
      <c r="BF8" s="125">
        <f t="shared" si="27"/>
        <v>2784</v>
      </c>
      <c r="BG8" s="126">
        <f t="shared" ref="BG8" si="179">BF8*$E8</f>
        <v>1670.3999999999999</v>
      </c>
      <c r="BH8" s="63"/>
      <c r="BI8" s="124">
        <f t="shared" ref="BI8" si="180">BH8*$E8</f>
        <v>0</v>
      </c>
      <c r="BJ8" s="67"/>
      <c r="BK8" s="124">
        <f t="shared" ref="BK8" si="181">BJ8*$E8</f>
        <v>0</v>
      </c>
      <c r="BL8" s="67"/>
      <c r="BM8" s="124">
        <f t="shared" ref="BM8" si="182">BL8*$E8</f>
        <v>0</v>
      </c>
      <c r="BN8" s="67"/>
      <c r="BO8" s="124">
        <f t="shared" ref="BO8" si="183">BN8*$E8</f>
        <v>0</v>
      </c>
      <c r="BP8" s="67">
        <v>60</v>
      </c>
      <c r="BQ8" s="124">
        <f t="shared" ref="BQ8" si="184">BP8*$E8</f>
        <v>36</v>
      </c>
      <c r="BR8" s="65"/>
      <c r="BS8" s="124">
        <f t="shared" ref="BS8" si="185">BR8*$E8</f>
        <v>0</v>
      </c>
      <c r="BT8" s="67"/>
      <c r="BU8" s="124">
        <f t="shared" ref="BU8" si="186">BT8*$E8</f>
        <v>0</v>
      </c>
      <c r="BV8" s="67">
        <v>36</v>
      </c>
      <c r="BW8" s="124">
        <f t="shared" ref="BW8" si="187">BV8*$E8</f>
        <v>21.599999999999998</v>
      </c>
      <c r="BX8" s="67"/>
      <c r="BY8" s="124">
        <f t="shared" ref="BY8" si="188">BX8*$E8</f>
        <v>0</v>
      </c>
      <c r="BZ8" s="67"/>
      <c r="CA8" s="124">
        <f t="shared" ref="CA8" si="189">BZ8*$E8</f>
        <v>0</v>
      </c>
      <c r="CB8" s="67"/>
      <c r="CC8" s="124">
        <f t="shared" ref="CC8" si="190">CB8*$E8</f>
        <v>0</v>
      </c>
      <c r="CD8" s="67"/>
      <c r="CE8" s="124">
        <f t="shared" ref="CE8" si="191">CD8*$E8</f>
        <v>0</v>
      </c>
      <c r="CF8" s="125">
        <f t="shared" si="41"/>
        <v>96</v>
      </c>
      <c r="CG8" s="126">
        <f t="shared" ref="CG8" si="192">CF8*$E8</f>
        <v>57.599999999999994</v>
      </c>
      <c r="CH8" s="123"/>
      <c r="CI8" s="124">
        <f t="shared" ref="CI8" si="193">CH8*$E8</f>
        <v>0</v>
      </c>
      <c r="CJ8" s="123"/>
      <c r="CK8" s="124">
        <f t="shared" ref="CK8" si="194">CJ8*$E8</f>
        <v>0</v>
      </c>
      <c r="CL8" s="123"/>
      <c r="CM8" s="124">
        <f t="shared" ref="CM8" si="195">CL8*$E8</f>
        <v>0</v>
      </c>
      <c r="CN8" s="123"/>
      <c r="CO8" s="124">
        <f t="shared" ref="CO8" si="196">CN8*$E8</f>
        <v>0</v>
      </c>
      <c r="CP8" s="123"/>
      <c r="CQ8" s="124">
        <f t="shared" ref="CQ8" si="197">CP8*$E8</f>
        <v>0</v>
      </c>
      <c r="CR8" s="123">
        <v>480</v>
      </c>
      <c r="CS8" s="124">
        <f t="shared" ref="CS8" si="198">CR8*$E8</f>
        <v>288</v>
      </c>
      <c r="CT8" s="123"/>
      <c r="CU8" s="124">
        <f t="shared" ref="CU8" si="199">CT8*$E8</f>
        <v>0</v>
      </c>
      <c r="CV8" s="123"/>
      <c r="CW8" s="124">
        <f t="shared" ref="CW8" si="200">CV8*$E8</f>
        <v>0</v>
      </c>
      <c r="CX8" s="123"/>
      <c r="CY8" s="124">
        <f t="shared" ref="CY8" si="201">CX8*$E8</f>
        <v>0</v>
      </c>
      <c r="CZ8" s="123"/>
      <c r="DA8" s="124">
        <f t="shared" ref="DA8" si="202">CZ8*$E8</f>
        <v>0</v>
      </c>
      <c r="DB8" s="123"/>
      <c r="DC8" s="124">
        <f t="shared" si="53"/>
        <v>0</v>
      </c>
      <c r="DD8" s="123"/>
      <c r="DE8" s="124">
        <f t="shared" si="53"/>
        <v>0</v>
      </c>
      <c r="DF8" s="27">
        <f t="shared" si="0"/>
        <v>480</v>
      </c>
      <c r="DG8" s="124">
        <f t="shared" si="54"/>
        <v>288</v>
      </c>
    </row>
    <row r="9" spans="1:111" ht="18" customHeight="1" x14ac:dyDescent="0.5">
      <c r="A9" s="117">
        <v>5</v>
      </c>
      <c r="B9" s="122" t="s">
        <v>140</v>
      </c>
      <c r="C9" s="122" t="s">
        <v>233</v>
      </c>
      <c r="D9" s="117">
        <f t="shared" si="55"/>
        <v>11</v>
      </c>
      <c r="E9" s="117">
        <v>0.35</v>
      </c>
      <c r="F9" s="117" t="s">
        <v>234</v>
      </c>
      <c r="G9" s="117">
        <v>780</v>
      </c>
      <c r="H9" s="123"/>
      <c r="I9" s="124">
        <f t="shared" ref="I9" si="203">H9*$E9</f>
        <v>0</v>
      </c>
      <c r="J9" s="123"/>
      <c r="K9" s="124">
        <f t="shared" ref="K9" si="204">J9*$E9</f>
        <v>0</v>
      </c>
      <c r="L9" s="123"/>
      <c r="M9" s="124">
        <f t="shared" ref="M9" si="205">L9*$E9</f>
        <v>0</v>
      </c>
      <c r="N9" s="123"/>
      <c r="O9" s="124">
        <f t="shared" ref="O9" si="206">N9*$E9</f>
        <v>0</v>
      </c>
      <c r="P9" s="123"/>
      <c r="Q9" s="124">
        <f t="shared" ref="Q9" si="207">P9*$E9</f>
        <v>0</v>
      </c>
      <c r="R9" s="123"/>
      <c r="S9" s="124">
        <f t="shared" ref="S9" si="208">R9*$E9</f>
        <v>0</v>
      </c>
      <c r="T9" s="123"/>
      <c r="U9" s="124">
        <f t="shared" ref="U9" si="209">T9*$E9</f>
        <v>0</v>
      </c>
      <c r="V9" s="123"/>
      <c r="W9" s="124">
        <f t="shared" ref="W9" si="210">V9*$E9</f>
        <v>0</v>
      </c>
      <c r="X9" s="123"/>
      <c r="Y9" s="124">
        <f t="shared" ref="Y9" si="211">X9*$E9</f>
        <v>0</v>
      </c>
      <c r="Z9" s="123"/>
      <c r="AA9" s="124">
        <f t="shared" ref="AA9" si="212">Z9*$E9</f>
        <v>0</v>
      </c>
      <c r="AB9" s="123"/>
      <c r="AC9" s="124">
        <f t="shared" ref="AC9" si="213">AB9*$E9</f>
        <v>0</v>
      </c>
      <c r="AD9" s="123"/>
      <c r="AE9" s="124">
        <f t="shared" ref="AE9" si="214">AD9*$E9</f>
        <v>0</v>
      </c>
      <c r="AF9" s="125">
        <f t="shared" si="13"/>
        <v>0</v>
      </c>
      <c r="AG9" s="126">
        <f t="shared" ref="AG9" si="215">AF9*$E9</f>
        <v>0</v>
      </c>
      <c r="AH9" s="11"/>
      <c r="AI9" s="124">
        <f t="shared" ref="AI9" si="216">AH9*$E9</f>
        <v>0</v>
      </c>
      <c r="AJ9" s="15"/>
      <c r="AK9" s="124">
        <f t="shared" ref="AK9" si="217">AJ9*$E9</f>
        <v>0</v>
      </c>
      <c r="AL9" s="15"/>
      <c r="AM9" s="124">
        <f t="shared" ref="AM9" si="218">AL9*$E9</f>
        <v>0</v>
      </c>
      <c r="AN9" s="16"/>
      <c r="AO9" s="124">
        <f t="shared" ref="AO9" si="219">AN9*$E9</f>
        <v>0</v>
      </c>
      <c r="AP9" s="15"/>
      <c r="AQ9" s="124">
        <f t="shared" ref="AQ9" si="220">AP9*$E9</f>
        <v>0</v>
      </c>
      <c r="AR9" s="15"/>
      <c r="AS9" s="124">
        <f t="shared" ref="AS9" si="221">AR9*$E9</f>
        <v>0</v>
      </c>
      <c r="AT9" s="17">
        <v>240</v>
      </c>
      <c r="AU9" s="124">
        <f t="shared" ref="AU9" si="222">AT9*$E9</f>
        <v>84</v>
      </c>
      <c r="AV9" s="15">
        <v>2600</v>
      </c>
      <c r="AW9" s="124">
        <f t="shared" ref="AW9" si="223">AV9*$E9</f>
        <v>909.99999999999989</v>
      </c>
      <c r="AX9" s="15">
        <v>200</v>
      </c>
      <c r="AY9" s="124">
        <f t="shared" ref="AY9" si="224">AX9*$E9</f>
        <v>70</v>
      </c>
      <c r="AZ9" s="17"/>
      <c r="BA9" s="124">
        <f t="shared" ref="BA9" si="225">AZ9*$E9</f>
        <v>0</v>
      </c>
      <c r="BB9" s="33">
        <v>1200</v>
      </c>
      <c r="BC9" s="124">
        <f t="shared" ref="BC9" si="226">BB9*$E9</f>
        <v>420</v>
      </c>
      <c r="BD9" s="33"/>
      <c r="BE9" s="124">
        <f t="shared" ref="BE9" si="227">BD9*$E9</f>
        <v>0</v>
      </c>
      <c r="BF9" s="125">
        <f t="shared" si="27"/>
        <v>4240</v>
      </c>
      <c r="BG9" s="126">
        <f t="shared" ref="BG9" si="228">BF9*$E9</f>
        <v>1484</v>
      </c>
      <c r="BH9" s="64">
        <v>280</v>
      </c>
      <c r="BI9" s="124">
        <f t="shared" ref="BI9" si="229">BH9*$E9</f>
        <v>98</v>
      </c>
      <c r="BJ9" s="64"/>
      <c r="BK9" s="124">
        <f t="shared" ref="BK9" si="230">BJ9*$E9</f>
        <v>0</v>
      </c>
      <c r="BL9" s="64">
        <v>200</v>
      </c>
      <c r="BM9" s="124">
        <f t="shared" ref="BM9" si="231">BL9*$E9</f>
        <v>70</v>
      </c>
      <c r="BN9" s="64">
        <v>400</v>
      </c>
      <c r="BO9" s="124">
        <f t="shared" ref="BO9" si="232">BN9*$E9</f>
        <v>140</v>
      </c>
      <c r="BP9" s="67"/>
      <c r="BQ9" s="124">
        <f t="shared" ref="BQ9" si="233">BP9*$E9</f>
        <v>0</v>
      </c>
      <c r="BR9" s="65">
        <v>1000</v>
      </c>
      <c r="BS9" s="124">
        <f t="shared" ref="BS9" si="234">BR9*$E9</f>
        <v>350</v>
      </c>
      <c r="BT9" s="64">
        <v>1000</v>
      </c>
      <c r="BU9" s="124">
        <f t="shared" ref="BU9" si="235">BT9*$E9</f>
        <v>350</v>
      </c>
      <c r="BV9" s="67">
        <v>200</v>
      </c>
      <c r="BW9" s="124">
        <f t="shared" ref="BW9" si="236">BV9*$E9</f>
        <v>70</v>
      </c>
      <c r="BX9" s="74">
        <v>200</v>
      </c>
      <c r="BY9" s="124">
        <f t="shared" ref="BY9" si="237">BX9*$E9</f>
        <v>70</v>
      </c>
      <c r="BZ9" s="67">
        <v>400</v>
      </c>
      <c r="CA9" s="124">
        <f t="shared" ref="CA9" si="238">BZ9*$E9</f>
        <v>140</v>
      </c>
      <c r="CB9" s="67"/>
      <c r="CC9" s="124">
        <f t="shared" ref="CC9" si="239">CB9*$E9</f>
        <v>0</v>
      </c>
      <c r="CD9" s="67">
        <v>800</v>
      </c>
      <c r="CE9" s="124">
        <f t="shared" ref="CE9" si="240">CD9*$E9</f>
        <v>280</v>
      </c>
      <c r="CF9" s="125">
        <f t="shared" si="41"/>
        <v>4480</v>
      </c>
      <c r="CG9" s="126">
        <f t="shared" ref="CG9" si="241">CF9*$E9</f>
        <v>1568</v>
      </c>
      <c r="CH9" s="123">
        <v>600</v>
      </c>
      <c r="CI9" s="124">
        <f t="shared" ref="CI9" si="242">CH9*$E9</f>
        <v>210</v>
      </c>
      <c r="CJ9" s="123"/>
      <c r="CK9" s="124">
        <f t="shared" ref="CK9" si="243">CJ9*$E9</f>
        <v>0</v>
      </c>
      <c r="CL9" s="16">
        <v>1000</v>
      </c>
      <c r="CM9" s="124">
        <f t="shared" ref="CM9" si="244">CL9*$E9</f>
        <v>350</v>
      </c>
      <c r="CN9" s="123"/>
      <c r="CO9" s="124">
        <f t="shared" ref="CO9" si="245">CN9*$E9</f>
        <v>0</v>
      </c>
      <c r="CP9" s="123">
        <v>800</v>
      </c>
      <c r="CQ9" s="124">
        <f t="shared" ref="CQ9" si="246">CP9*$E9</f>
        <v>280</v>
      </c>
      <c r="CR9" s="123">
        <v>1400</v>
      </c>
      <c r="CS9" s="124">
        <f t="shared" ref="CS9" si="247">CR9*$E9</f>
        <v>489.99999999999994</v>
      </c>
      <c r="CT9" s="123">
        <v>1000</v>
      </c>
      <c r="CU9" s="124">
        <f t="shared" ref="CU9" si="248">CT9*$E9</f>
        <v>350</v>
      </c>
      <c r="CV9" s="123">
        <v>200</v>
      </c>
      <c r="CW9" s="124">
        <f t="shared" ref="CW9" si="249">CV9*$E9</f>
        <v>70</v>
      </c>
      <c r="CX9" s="123">
        <v>400</v>
      </c>
      <c r="CY9" s="124">
        <f t="shared" ref="CY9" si="250">CX9*$E9</f>
        <v>140</v>
      </c>
      <c r="CZ9" s="123">
        <v>400</v>
      </c>
      <c r="DA9" s="124">
        <f t="shared" ref="DA9" si="251">CZ9*$E9</f>
        <v>140</v>
      </c>
      <c r="DB9" s="123">
        <v>600</v>
      </c>
      <c r="DC9" s="124">
        <f t="shared" si="53"/>
        <v>210</v>
      </c>
      <c r="DD9" s="123">
        <v>400</v>
      </c>
      <c r="DE9" s="124">
        <f t="shared" si="53"/>
        <v>140</v>
      </c>
      <c r="DF9" s="27">
        <f t="shared" si="0"/>
        <v>6800</v>
      </c>
      <c r="DG9" s="124">
        <f t="shared" si="54"/>
        <v>2380</v>
      </c>
    </row>
    <row r="10" spans="1:111" ht="18" customHeight="1" x14ac:dyDescent="0.5">
      <c r="A10" s="117">
        <v>6</v>
      </c>
      <c r="B10" s="122" t="s">
        <v>141</v>
      </c>
      <c r="C10" s="122" t="s">
        <v>231</v>
      </c>
      <c r="D10" s="117">
        <f t="shared" si="55"/>
        <v>21</v>
      </c>
      <c r="E10" s="117">
        <v>0.7</v>
      </c>
      <c r="F10" s="117" t="s">
        <v>235</v>
      </c>
      <c r="G10" s="117"/>
      <c r="H10" s="123"/>
      <c r="I10" s="124">
        <f t="shared" ref="I10" si="252">H10*$E10</f>
        <v>0</v>
      </c>
      <c r="J10" s="123"/>
      <c r="K10" s="124">
        <f t="shared" ref="K10" si="253">J10*$E10</f>
        <v>0</v>
      </c>
      <c r="L10" s="123"/>
      <c r="M10" s="124">
        <f t="shared" ref="M10" si="254">L10*$E10</f>
        <v>0</v>
      </c>
      <c r="N10" s="123"/>
      <c r="O10" s="124">
        <f t="shared" ref="O10" si="255">N10*$E10</f>
        <v>0</v>
      </c>
      <c r="P10" s="123"/>
      <c r="Q10" s="124">
        <f t="shared" ref="Q10" si="256">P10*$E10</f>
        <v>0</v>
      </c>
      <c r="R10" s="123"/>
      <c r="S10" s="124">
        <f t="shared" ref="S10" si="257">R10*$E10</f>
        <v>0</v>
      </c>
      <c r="T10" s="123"/>
      <c r="U10" s="124">
        <f t="shared" ref="U10" si="258">T10*$E10</f>
        <v>0</v>
      </c>
      <c r="V10" s="123"/>
      <c r="W10" s="124">
        <f t="shared" ref="W10" si="259">V10*$E10</f>
        <v>0</v>
      </c>
      <c r="X10" s="123"/>
      <c r="Y10" s="124">
        <f t="shared" ref="Y10" si="260">X10*$E10</f>
        <v>0</v>
      </c>
      <c r="Z10" s="123"/>
      <c r="AA10" s="124">
        <f t="shared" ref="AA10" si="261">Z10*$E10</f>
        <v>0</v>
      </c>
      <c r="AB10" s="123"/>
      <c r="AC10" s="124">
        <f t="shared" ref="AC10" si="262">AB10*$E10</f>
        <v>0</v>
      </c>
      <c r="AD10" s="123"/>
      <c r="AE10" s="124">
        <f t="shared" ref="AE10" si="263">AD10*$E10</f>
        <v>0</v>
      </c>
      <c r="AF10" s="125">
        <f t="shared" si="13"/>
        <v>0</v>
      </c>
      <c r="AG10" s="126">
        <f t="shared" ref="AG10" si="264">AF10*$E10</f>
        <v>0</v>
      </c>
      <c r="AH10" s="11"/>
      <c r="AI10" s="124">
        <f t="shared" ref="AI10" si="265">AH10*$E10</f>
        <v>0</v>
      </c>
      <c r="AJ10" s="15"/>
      <c r="AK10" s="124">
        <f t="shared" ref="AK10" si="266">AJ10*$E10</f>
        <v>0</v>
      </c>
      <c r="AL10" s="15"/>
      <c r="AM10" s="124">
        <f t="shared" ref="AM10" si="267">AL10*$E10</f>
        <v>0</v>
      </c>
      <c r="AN10" s="16"/>
      <c r="AO10" s="124">
        <f t="shared" ref="AO10" si="268">AN10*$E10</f>
        <v>0</v>
      </c>
      <c r="AP10" s="15"/>
      <c r="AQ10" s="124">
        <f t="shared" ref="AQ10" si="269">AP10*$E10</f>
        <v>0</v>
      </c>
      <c r="AR10" s="15"/>
      <c r="AS10" s="124">
        <f t="shared" ref="AS10" si="270">AR10*$E10</f>
        <v>0</v>
      </c>
      <c r="AT10" s="17"/>
      <c r="AU10" s="124">
        <f t="shared" ref="AU10" si="271">AT10*$E10</f>
        <v>0</v>
      </c>
      <c r="AV10" s="15"/>
      <c r="AW10" s="124">
        <f t="shared" ref="AW10" si="272">AV10*$E10</f>
        <v>0</v>
      </c>
      <c r="AX10" s="15"/>
      <c r="AY10" s="124">
        <f t="shared" ref="AY10" si="273">AX10*$E10</f>
        <v>0</v>
      </c>
      <c r="AZ10" s="17"/>
      <c r="BA10" s="124">
        <f t="shared" ref="BA10" si="274">AZ10*$E10</f>
        <v>0</v>
      </c>
      <c r="BB10" s="33"/>
      <c r="BC10" s="124">
        <f t="shared" ref="BC10" si="275">BB10*$E10</f>
        <v>0</v>
      </c>
      <c r="BD10" s="33"/>
      <c r="BE10" s="124">
        <f t="shared" ref="BE10" si="276">BD10*$E10</f>
        <v>0</v>
      </c>
      <c r="BF10" s="125">
        <f t="shared" si="27"/>
        <v>0</v>
      </c>
      <c r="BG10" s="126">
        <f t="shared" ref="BG10" si="277">BF10*$E10</f>
        <v>0</v>
      </c>
      <c r="BH10" s="123"/>
      <c r="BI10" s="124">
        <f t="shared" ref="BI10" si="278">BH10*$E10</f>
        <v>0</v>
      </c>
      <c r="BJ10" s="123"/>
      <c r="BK10" s="124">
        <f t="shared" ref="BK10" si="279">BJ10*$E10</f>
        <v>0</v>
      </c>
      <c r="BL10" s="123"/>
      <c r="BM10" s="124">
        <f t="shared" ref="BM10" si="280">BL10*$E10</f>
        <v>0</v>
      </c>
      <c r="BN10" s="123"/>
      <c r="BO10" s="124">
        <f t="shared" ref="BO10" si="281">BN10*$E10</f>
        <v>0</v>
      </c>
      <c r="BP10" s="123"/>
      <c r="BQ10" s="124">
        <f t="shared" ref="BQ10" si="282">BP10*$E10</f>
        <v>0</v>
      </c>
      <c r="BR10" s="123"/>
      <c r="BS10" s="124">
        <f t="shared" ref="BS10" si="283">BR10*$E10</f>
        <v>0</v>
      </c>
      <c r="BT10" s="123"/>
      <c r="BU10" s="124">
        <f t="shared" ref="BU10" si="284">BT10*$E10</f>
        <v>0</v>
      </c>
      <c r="BV10" s="123"/>
      <c r="BW10" s="124">
        <f t="shared" ref="BW10" si="285">BV10*$E10</f>
        <v>0</v>
      </c>
      <c r="BX10" s="123"/>
      <c r="BY10" s="124">
        <f t="shared" ref="BY10" si="286">BX10*$E10</f>
        <v>0</v>
      </c>
      <c r="BZ10" s="123"/>
      <c r="CA10" s="124">
        <f t="shared" ref="CA10" si="287">BZ10*$E10</f>
        <v>0</v>
      </c>
      <c r="CB10" s="123"/>
      <c r="CC10" s="124">
        <f t="shared" ref="CC10" si="288">CB10*$E10</f>
        <v>0</v>
      </c>
      <c r="CD10" s="123"/>
      <c r="CE10" s="124">
        <f t="shared" ref="CE10" si="289">CD10*$E10</f>
        <v>0</v>
      </c>
      <c r="CF10" s="125">
        <f t="shared" si="41"/>
        <v>0</v>
      </c>
      <c r="CG10" s="126">
        <f t="shared" ref="CG10" si="290">CF10*$E10</f>
        <v>0</v>
      </c>
      <c r="CH10" s="123"/>
      <c r="CI10" s="124">
        <f t="shared" ref="CI10" si="291">CH10*$E10</f>
        <v>0</v>
      </c>
      <c r="CJ10" s="123"/>
      <c r="CK10" s="124">
        <f t="shared" ref="CK10" si="292">CJ10*$E10</f>
        <v>0</v>
      </c>
      <c r="CL10" s="123"/>
      <c r="CM10" s="124">
        <f t="shared" ref="CM10" si="293">CL10*$E10</f>
        <v>0</v>
      </c>
      <c r="CN10" s="123"/>
      <c r="CO10" s="124">
        <f t="shared" ref="CO10" si="294">CN10*$E10</f>
        <v>0</v>
      </c>
      <c r="CP10" s="123"/>
      <c r="CQ10" s="124">
        <f t="shared" ref="CQ10" si="295">CP10*$E10</f>
        <v>0</v>
      </c>
      <c r="CR10" s="123"/>
      <c r="CS10" s="124">
        <f t="shared" ref="CS10" si="296">CR10*$E10</f>
        <v>0</v>
      </c>
      <c r="CT10" s="123"/>
      <c r="CU10" s="124">
        <f t="shared" ref="CU10" si="297">CT10*$E10</f>
        <v>0</v>
      </c>
      <c r="CV10" s="123"/>
      <c r="CW10" s="124">
        <f t="shared" ref="CW10" si="298">CV10*$E10</f>
        <v>0</v>
      </c>
      <c r="CX10" s="123"/>
      <c r="CY10" s="124">
        <f t="shared" ref="CY10" si="299">CX10*$E10</f>
        <v>0</v>
      </c>
      <c r="CZ10" s="123"/>
      <c r="DA10" s="124">
        <f t="shared" ref="DA10" si="300">CZ10*$E10</f>
        <v>0</v>
      </c>
      <c r="DB10" s="123"/>
      <c r="DC10" s="124">
        <f t="shared" si="53"/>
        <v>0</v>
      </c>
      <c r="DD10" s="123"/>
      <c r="DE10" s="124">
        <f t="shared" si="53"/>
        <v>0</v>
      </c>
      <c r="DF10" s="27">
        <f t="shared" si="0"/>
        <v>0</v>
      </c>
      <c r="DG10" s="124">
        <f t="shared" si="54"/>
        <v>0</v>
      </c>
    </row>
    <row r="11" spans="1:111" ht="18" customHeight="1" x14ac:dyDescent="0.5">
      <c r="A11" s="117">
        <v>7</v>
      </c>
      <c r="B11" s="122" t="s">
        <v>216</v>
      </c>
      <c r="C11" s="122" t="s">
        <v>231</v>
      </c>
      <c r="D11" s="117">
        <f t="shared" si="55"/>
        <v>21</v>
      </c>
      <c r="E11" s="117">
        <v>0.64</v>
      </c>
      <c r="F11" s="117" t="s">
        <v>235</v>
      </c>
      <c r="G11" s="117"/>
      <c r="H11" s="123"/>
      <c r="I11" s="124">
        <f t="shared" ref="I11" si="301">H11*$E11</f>
        <v>0</v>
      </c>
      <c r="J11" s="123"/>
      <c r="K11" s="124">
        <f t="shared" ref="K11" si="302">J11*$E11</f>
        <v>0</v>
      </c>
      <c r="L11" s="123"/>
      <c r="M11" s="124">
        <f t="shared" ref="M11" si="303">L11*$E11</f>
        <v>0</v>
      </c>
      <c r="N11" s="123"/>
      <c r="O11" s="124">
        <f t="shared" ref="O11" si="304">N11*$E11</f>
        <v>0</v>
      </c>
      <c r="P11" s="123"/>
      <c r="Q11" s="124">
        <f t="shared" ref="Q11" si="305">P11*$E11</f>
        <v>0</v>
      </c>
      <c r="R11" s="123"/>
      <c r="S11" s="124">
        <f t="shared" ref="S11" si="306">R11*$E11</f>
        <v>0</v>
      </c>
      <c r="T11" s="123"/>
      <c r="U11" s="124">
        <f t="shared" ref="U11" si="307">T11*$E11</f>
        <v>0</v>
      </c>
      <c r="V11" s="123"/>
      <c r="W11" s="124">
        <f t="shared" ref="W11" si="308">V11*$E11</f>
        <v>0</v>
      </c>
      <c r="X11" s="123"/>
      <c r="Y11" s="124">
        <f t="shared" ref="Y11" si="309">X11*$E11</f>
        <v>0</v>
      </c>
      <c r="Z11" s="123"/>
      <c r="AA11" s="124">
        <f t="shared" ref="AA11" si="310">Z11*$E11</f>
        <v>0</v>
      </c>
      <c r="AB11" s="123"/>
      <c r="AC11" s="124">
        <f t="shared" ref="AC11" si="311">AB11*$E11</f>
        <v>0</v>
      </c>
      <c r="AD11" s="123"/>
      <c r="AE11" s="124">
        <f t="shared" ref="AE11" si="312">AD11*$E11</f>
        <v>0</v>
      </c>
      <c r="AF11" s="125">
        <f t="shared" si="13"/>
        <v>0</v>
      </c>
      <c r="AG11" s="126">
        <f t="shared" ref="AG11" si="313">AF11*$E11</f>
        <v>0</v>
      </c>
      <c r="AH11" s="11"/>
      <c r="AI11" s="124">
        <f t="shared" ref="AI11" si="314">AH11*$E11</f>
        <v>0</v>
      </c>
      <c r="AJ11" s="15"/>
      <c r="AK11" s="124">
        <f t="shared" ref="AK11" si="315">AJ11*$E11</f>
        <v>0</v>
      </c>
      <c r="AL11" s="15"/>
      <c r="AM11" s="124">
        <f t="shared" ref="AM11" si="316">AL11*$E11</f>
        <v>0</v>
      </c>
      <c r="AN11" s="16"/>
      <c r="AO11" s="124">
        <f t="shared" ref="AO11" si="317">AN11*$E11</f>
        <v>0</v>
      </c>
      <c r="AP11" s="15"/>
      <c r="AQ11" s="124">
        <f t="shared" ref="AQ11" si="318">AP11*$E11</f>
        <v>0</v>
      </c>
      <c r="AR11" s="15"/>
      <c r="AS11" s="124">
        <f t="shared" ref="AS11" si="319">AR11*$E11</f>
        <v>0</v>
      </c>
      <c r="AT11" s="17"/>
      <c r="AU11" s="124">
        <f t="shared" ref="AU11" si="320">AT11*$E11</f>
        <v>0</v>
      </c>
      <c r="AV11" s="15"/>
      <c r="AW11" s="124">
        <f t="shared" ref="AW11" si="321">AV11*$E11</f>
        <v>0</v>
      </c>
      <c r="AX11" s="15"/>
      <c r="AY11" s="124">
        <f t="shared" ref="AY11" si="322">AX11*$E11</f>
        <v>0</v>
      </c>
      <c r="AZ11" s="17"/>
      <c r="BA11" s="124">
        <f t="shared" ref="BA11" si="323">AZ11*$E11</f>
        <v>0</v>
      </c>
      <c r="BB11" s="33"/>
      <c r="BC11" s="124">
        <f t="shared" ref="BC11" si="324">BB11*$E11</f>
        <v>0</v>
      </c>
      <c r="BD11" s="33"/>
      <c r="BE11" s="124">
        <f t="shared" ref="BE11" si="325">BD11*$E11</f>
        <v>0</v>
      </c>
      <c r="BF11" s="125">
        <f t="shared" si="27"/>
        <v>0</v>
      </c>
      <c r="BG11" s="126">
        <f t="shared" ref="BG11" si="326">BF11*$E11</f>
        <v>0</v>
      </c>
      <c r="BH11" s="123"/>
      <c r="BI11" s="124">
        <f t="shared" ref="BI11" si="327">BH11*$E11</f>
        <v>0</v>
      </c>
      <c r="BJ11" s="123"/>
      <c r="BK11" s="124">
        <f t="shared" ref="BK11" si="328">BJ11*$E11</f>
        <v>0</v>
      </c>
      <c r="BL11" s="123"/>
      <c r="BM11" s="124">
        <f t="shared" ref="BM11" si="329">BL11*$E11</f>
        <v>0</v>
      </c>
      <c r="BN11" s="123"/>
      <c r="BO11" s="124">
        <f t="shared" ref="BO11" si="330">BN11*$E11</f>
        <v>0</v>
      </c>
      <c r="BP11" s="123"/>
      <c r="BQ11" s="124">
        <f t="shared" ref="BQ11" si="331">BP11*$E11</f>
        <v>0</v>
      </c>
      <c r="BR11" s="123"/>
      <c r="BS11" s="124">
        <f t="shared" ref="BS11" si="332">BR11*$E11</f>
        <v>0</v>
      </c>
      <c r="BT11" s="123"/>
      <c r="BU11" s="124">
        <f t="shared" ref="BU11" si="333">BT11*$E11</f>
        <v>0</v>
      </c>
      <c r="BV11" s="123"/>
      <c r="BW11" s="124">
        <f t="shared" ref="BW11" si="334">BV11*$E11</f>
        <v>0</v>
      </c>
      <c r="BX11" s="123"/>
      <c r="BY11" s="124">
        <f t="shared" ref="BY11" si="335">BX11*$E11</f>
        <v>0</v>
      </c>
      <c r="BZ11" s="123"/>
      <c r="CA11" s="124">
        <f t="shared" ref="CA11" si="336">BZ11*$E11</f>
        <v>0</v>
      </c>
      <c r="CB11" s="123"/>
      <c r="CC11" s="124">
        <f t="shared" ref="CC11" si="337">CB11*$E11</f>
        <v>0</v>
      </c>
      <c r="CD11" s="123"/>
      <c r="CE11" s="124">
        <f t="shared" ref="CE11" si="338">CD11*$E11</f>
        <v>0</v>
      </c>
      <c r="CF11" s="125">
        <f t="shared" si="41"/>
        <v>0</v>
      </c>
      <c r="CG11" s="126">
        <f t="shared" ref="CG11" si="339">CF11*$E11</f>
        <v>0</v>
      </c>
      <c r="CH11" s="123"/>
      <c r="CI11" s="124">
        <f t="shared" ref="CI11" si="340">CH11*$E11</f>
        <v>0</v>
      </c>
      <c r="CJ11" s="123"/>
      <c r="CK11" s="124">
        <f t="shared" ref="CK11" si="341">CJ11*$E11</f>
        <v>0</v>
      </c>
      <c r="CL11" s="123"/>
      <c r="CM11" s="124">
        <f t="shared" ref="CM11" si="342">CL11*$E11</f>
        <v>0</v>
      </c>
      <c r="CN11" s="123"/>
      <c r="CO11" s="124">
        <f t="shared" ref="CO11" si="343">CN11*$E11</f>
        <v>0</v>
      </c>
      <c r="CP11" s="123"/>
      <c r="CQ11" s="124">
        <f t="shared" ref="CQ11" si="344">CP11*$E11</f>
        <v>0</v>
      </c>
      <c r="CR11" s="123"/>
      <c r="CS11" s="124">
        <f t="shared" ref="CS11" si="345">CR11*$E11</f>
        <v>0</v>
      </c>
      <c r="CT11" s="123"/>
      <c r="CU11" s="124">
        <f t="shared" ref="CU11" si="346">CT11*$E11</f>
        <v>0</v>
      </c>
      <c r="CV11" s="123"/>
      <c r="CW11" s="124">
        <f t="shared" ref="CW11" si="347">CV11*$E11</f>
        <v>0</v>
      </c>
      <c r="CX11" s="123"/>
      <c r="CY11" s="124">
        <f t="shared" ref="CY11" si="348">CX11*$E11</f>
        <v>0</v>
      </c>
      <c r="CZ11" s="123"/>
      <c r="DA11" s="124">
        <f t="shared" ref="DA11" si="349">CZ11*$E11</f>
        <v>0</v>
      </c>
      <c r="DB11" s="123"/>
      <c r="DC11" s="124">
        <f t="shared" si="53"/>
        <v>0</v>
      </c>
      <c r="DD11" s="123"/>
      <c r="DE11" s="124">
        <f t="shared" si="53"/>
        <v>0</v>
      </c>
      <c r="DF11" s="27">
        <f t="shared" si="0"/>
        <v>0</v>
      </c>
      <c r="DG11" s="124">
        <f t="shared" si="54"/>
        <v>0</v>
      </c>
    </row>
    <row r="12" spans="1:111" ht="18" customHeight="1" x14ac:dyDescent="0.5">
      <c r="A12" s="117">
        <v>8</v>
      </c>
      <c r="B12" s="122" t="s">
        <v>216</v>
      </c>
      <c r="C12" s="122" t="s">
        <v>231</v>
      </c>
      <c r="D12" s="117">
        <f t="shared" si="55"/>
        <v>3</v>
      </c>
      <c r="E12" s="117">
        <v>0.64</v>
      </c>
      <c r="F12" s="117" t="s">
        <v>236</v>
      </c>
      <c r="G12" s="117">
        <v>1400</v>
      </c>
      <c r="H12" s="123">
        <v>31336</v>
      </c>
      <c r="I12" s="124">
        <f t="shared" ref="I12" si="350">H12*$E12</f>
        <v>20055.04</v>
      </c>
      <c r="J12" s="123"/>
      <c r="K12" s="124">
        <f t="shared" ref="K12" si="351">J12*$E12</f>
        <v>0</v>
      </c>
      <c r="L12" s="123">
        <v>41174</v>
      </c>
      <c r="M12" s="124">
        <f t="shared" ref="M12" si="352">L12*$E12</f>
        <v>26351.360000000001</v>
      </c>
      <c r="N12" s="123">
        <v>37772</v>
      </c>
      <c r="O12" s="124">
        <f t="shared" ref="O12" si="353">N12*$E12</f>
        <v>24174.080000000002</v>
      </c>
      <c r="P12" s="123">
        <v>47936</v>
      </c>
      <c r="Q12" s="124">
        <f t="shared" ref="Q12" si="354">P12*$E12</f>
        <v>30679.040000000001</v>
      </c>
      <c r="R12" s="123">
        <v>35826</v>
      </c>
      <c r="S12" s="124">
        <f t="shared" ref="S12" si="355">R12*$E12</f>
        <v>22928.639999999999</v>
      </c>
      <c r="T12" s="123">
        <v>37100</v>
      </c>
      <c r="U12" s="124">
        <f t="shared" ref="U12" si="356">T12*$E12</f>
        <v>23744</v>
      </c>
      <c r="V12" s="123">
        <v>51772</v>
      </c>
      <c r="W12" s="124">
        <f t="shared" ref="W12" si="357">V12*$E12</f>
        <v>33134.080000000002</v>
      </c>
      <c r="X12" s="123">
        <v>34496</v>
      </c>
      <c r="Y12" s="124">
        <f t="shared" ref="Y12" si="358">X12*$E12</f>
        <v>22077.439999999999</v>
      </c>
      <c r="Z12" s="123">
        <v>21462</v>
      </c>
      <c r="AA12" s="124">
        <f t="shared" ref="AA12" si="359">Z12*$E12</f>
        <v>13735.68</v>
      </c>
      <c r="AB12" s="123">
        <v>26740</v>
      </c>
      <c r="AC12" s="124">
        <f t="shared" ref="AC12" si="360">AB12*$E12</f>
        <v>17113.599999999999</v>
      </c>
      <c r="AD12" s="123">
        <v>42784</v>
      </c>
      <c r="AE12" s="124">
        <f t="shared" ref="AE12" si="361">AD12*$E12</f>
        <v>27381.760000000002</v>
      </c>
      <c r="AF12" s="125">
        <f t="shared" si="13"/>
        <v>408398</v>
      </c>
      <c r="AG12" s="126">
        <f t="shared" ref="AG12" si="362">AF12*$E12</f>
        <v>261374.72</v>
      </c>
      <c r="AH12" s="11">
        <v>47815</v>
      </c>
      <c r="AI12" s="124">
        <f t="shared" ref="AI12" si="363">AH12*$E12</f>
        <v>30601.600000000002</v>
      </c>
      <c r="AJ12" s="15">
        <v>33572</v>
      </c>
      <c r="AK12" s="124">
        <f t="shared" ref="AK12" si="364">AJ12*$E12</f>
        <v>21486.080000000002</v>
      </c>
      <c r="AL12" s="15">
        <v>43638</v>
      </c>
      <c r="AM12" s="124">
        <f t="shared" ref="AM12" si="365">AL12*$E12</f>
        <v>27928.32</v>
      </c>
      <c r="AN12" s="16">
        <v>40964</v>
      </c>
      <c r="AO12" s="124">
        <f t="shared" ref="AO12" si="366">AN12*$E12</f>
        <v>26216.959999999999</v>
      </c>
      <c r="AP12" s="15">
        <v>38962</v>
      </c>
      <c r="AQ12" s="124">
        <f t="shared" ref="AQ12" si="367">AP12*$E12</f>
        <v>24935.68</v>
      </c>
      <c r="AR12" s="15">
        <v>38066</v>
      </c>
      <c r="AS12" s="124">
        <f t="shared" ref="AS12" si="368">AR12*$E12</f>
        <v>24362.240000000002</v>
      </c>
      <c r="AT12" s="17">
        <v>34216</v>
      </c>
      <c r="AU12" s="124">
        <f t="shared" ref="AU12" si="369">AT12*$E12</f>
        <v>21898.240000000002</v>
      </c>
      <c r="AV12" s="15">
        <v>63504</v>
      </c>
      <c r="AW12" s="124">
        <f t="shared" ref="AW12" si="370">AV12*$E12</f>
        <v>40642.559999999998</v>
      </c>
      <c r="AX12" s="15">
        <v>29414</v>
      </c>
      <c r="AY12" s="124">
        <f t="shared" ref="AY12" si="371">AX12*$E12</f>
        <v>18824.96</v>
      </c>
      <c r="AZ12" s="17">
        <v>29232</v>
      </c>
      <c r="BA12" s="124">
        <f t="shared" ref="BA12" si="372">AZ12*$E12</f>
        <v>18708.48</v>
      </c>
      <c r="BB12" s="33">
        <v>30534</v>
      </c>
      <c r="BC12" s="124">
        <f t="shared" ref="BC12" si="373">BB12*$E12</f>
        <v>19541.760000000002</v>
      </c>
      <c r="BD12" s="33">
        <v>32956</v>
      </c>
      <c r="BE12" s="124">
        <f t="shared" ref="BE12" si="374">BD12*$E12</f>
        <v>21091.84</v>
      </c>
      <c r="BF12" s="125">
        <f t="shared" si="27"/>
        <v>462873</v>
      </c>
      <c r="BG12" s="126">
        <f t="shared" ref="BG12" si="375">BF12*$E12</f>
        <v>296238.72000000003</v>
      </c>
      <c r="BH12" s="64">
        <v>36036</v>
      </c>
      <c r="BI12" s="124">
        <f t="shared" ref="BI12" si="376">BH12*$E12</f>
        <v>23063.040000000001</v>
      </c>
      <c r="BJ12" s="64">
        <v>30366</v>
      </c>
      <c r="BK12" s="124">
        <f t="shared" ref="BK12" si="377">BJ12*$E12</f>
        <v>19434.240000000002</v>
      </c>
      <c r="BL12" s="64">
        <v>36890</v>
      </c>
      <c r="BM12" s="124">
        <f t="shared" ref="BM12" si="378">BL12*$E12</f>
        <v>23609.600000000002</v>
      </c>
      <c r="BN12" s="64">
        <v>40880</v>
      </c>
      <c r="BO12" s="124">
        <f t="shared" ref="BO12" si="379">BN12*$E12</f>
        <v>26163.200000000001</v>
      </c>
      <c r="BP12" s="64">
        <v>39648</v>
      </c>
      <c r="BQ12" s="124">
        <f t="shared" ref="BQ12" si="380">BP12*$E12</f>
        <v>25374.720000000001</v>
      </c>
      <c r="BR12" s="65">
        <v>37646</v>
      </c>
      <c r="BS12" s="124">
        <f t="shared" ref="BS12" si="381">BR12*$E12</f>
        <v>24093.439999999999</v>
      </c>
      <c r="BT12" s="71">
        <v>44604</v>
      </c>
      <c r="BU12" s="124">
        <f t="shared" ref="BU12" si="382">BT12*$E12</f>
        <v>28546.560000000001</v>
      </c>
      <c r="BV12" s="66">
        <v>43442</v>
      </c>
      <c r="BW12" s="124">
        <f t="shared" ref="BW12" si="383">BV12*$E12</f>
        <v>27802.880000000001</v>
      </c>
      <c r="BX12" s="66">
        <v>27664</v>
      </c>
      <c r="BY12" s="124">
        <f t="shared" ref="BY12" si="384">BX12*$E12</f>
        <v>17704.96</v>
      </c>
      <c r="BZ12" s="66">
        <v>47852</v>
      </c>
      <c r="CA12" s="124">
        <f t="shared" ref="CA12" si="385">BZ12*$E12</f>
        <v>30625.279999999999</v>
      </c>
      <c r="CB12" s="69">
        <v>31528</v>
      </c>
      <c r="CC12" s="124">
        <f t="shared" ref="CC12" si="386">CB12*$E12</f>
        <v>20177.920000000002</v>
      </c>
      <c r="CD12" s="69">
        <v>35280</v>
      </c>
      <c r="CE12" s="124">
        <f t="shared" ref="CE12" si="387">CD12*$E12</f>
        <v>22579.200000000001</v>
      </c>
      <c r="CF12" s="125">
        <f t="shared" si="41"/>
        <v>451836</v>
      </c>
      <c r="CG12" s="126">
        <f t="shared" ref="CG12" si="388">CF12*$E12</f>
        <v>289175.03999999998</v>
      </c>
      <c r="CH12" s="123">
        <v>33824</v>
      </c>
      <c r="CI12" s="124">
        <f t="shared" ref="CI12" si="389">CH12*$E12</f>
        <v>21647.360000000001</v>
      </c>
      <c r="CJ12" s="123">
        <v>38360</v>
      </c>
      <c r="CK12" s="124">
        <f t="shared" ref="CK12" si="390">CJ12*$E12</f>
        <v>24550.400000000001</v>
      </c>
      <c r="CL12" s="123">
        <v>49336</v>
      </c>
      <c r="CM12" s="124">
        <f t="shared" ref="CM12" si="391">CL12*$E12</f>
        <v>31575.040000000001</v>
      </c>
      <c r="CN12" s="123">
        <v>30996</v>
      </c>
      <c r="CO12" s="124">
        <f t="shared" ref="CO12" si="392">CN12*$E12</f>
        <v>19837.439999999999</v>
      </c>
      <c r="CP12" s="123">
        <v>42126</v>
      </c>
      <c r="CQ12" s="124">
        <f t="shared" ref="CQ12" si="393">CP12*$E12</f>
        <v>26960.639999999999</v>
      </c>
      <c r="CR12" s="123">
        <v>28644</v>
      </c>
      <c r="CS12" s="124">
        <f t="shared" ref="CS12" si="394">CR12*$E12</f>
        <v>18332.16</v>
      </c>
      <c r="CT12" s="123">
        <v>42588</v>
      </c>
      <c r="CU12" s="124">
        <f t="shared" ref="CU12" si="395">CT12*$E12</f>
        <v>27256.32</v>
      </c>
      <c r="CV12" s="123">
        <v>33698</v>
      </c>
      <c r="CW12" s="124">
        <f t="shared" ref="CW12" si="396">CV12*$E12</f>
        <v>21566.720000000001</v>
      </c>
      <c r="CX12" s="123">
        <v>32466</v>
      </c>
      <c r="CY12" s="124">
        <f t="shared" ref="CY12" si="397">CX12*$E12</f>
        <v>20778.240000000002</v>
      </c>
      <c r="CZ12" s="123">
        <v>29624</v>
      </c>
      <c r="DA12" s="124">
        <f t="shared" ref="DA12" si="398">CZ12*$E12</f>
        <v>18959.36</v>
      </c>
      <c r="DB12" s="123">
        <v>28448</v>
      </c>
      <c r="DC12" s="124">
        <f t="shared" si="53"/>
        <v>18206.72</v>
      </c>
      <c r="DD12" s="123">
        <v>29554</v>
      </c>
      <c r="DE12" s="124">
        <f t="shared" si="53"/>
        <v>18914.560000000001</v>
      </c>
      <c r="DF12" s="27">
        <f t="shared" si="0"/>
        <v>419664</v>
      </c>
      <c r="DG12" s="124">
        <f t="shared" si="54"/>
        <v>268584.96000000002</v>
      </c>
    </row>
    <row r="13" spans="1:111" ht="18" customHeight="1" x14ac:dyDescent="0.5">
      <c r="A13" s="117">
        <v>9</v>
      </c>
      <c r="B13" s="122" t="s">
        <v>216</v>
      </c>
      <c r="C13" s="122" t="s">
        <v>231</v>
      </c>
      <c r="D13" s="117">
        <f t="shared" si="55"/>
        <v>21</v>
      </c>
      <c r="E13" s="117">
        <v>0.64</v>
      </c>
      <c r="F13" s="117" t="s">
        <v>232</v>
      </c>
      <c r="G13" s="117"/>
      <c r="H13" s="123"/>
      <c r="I13" s="124">
        <f t="shared" ref="I13" si="399">H13*$E13</f>
        <v>0</v>
      </c>
      <c r="J13" s="123"/>
      <c r="K13" s="124">
        <f t="shared" ref="K13" si="400">J13*$E13</f>
        <v>0</v>
      </c>
      <c r="L13" s="123"/>
      <c r="M13" s="124">
        <f t="shared" ref="M13" si="401">L13*$E13</f>
        <v>0</v>
      </c>
      <c r="N13" s="123"/>
      <c r="O13" s="124">
        <f t="shared" ref="O13" si="402">N13*$E13</f>
        <v>0</v>
      </c>
      <c r="P13" s="123"/>
      <c r="Q13" s="124">
        <f t="shared" ref="Q13" si="403">P13*$E13</f>
        <v>0</v>
      </c>
      <c r="R13" s="123"/>
      <c r="S13" s="124">
        <f t="shared" ref="S13" si="404">R13*$E13</f>
        <v>0</v>
      </c>
      <c r="T13" s="123"/>
      <c r="U13" s="124">
        <f t="shared" ref="U13" si="405">T13*$E13</f>
        <v>0</v>
      </c>
      <c r="V13" s="123"/>
      <c r="W13" s="124">
        <f t="shared" ref="W13" si="406">V13*$E13</f>
        <v>0</v>
      </c>
      <c r="X13" s="123"/>
      <c r="Y13" s="124">
        <f t="shared" ref="Y13" si="407">X13*$E13</f>
        <v>0</v>
      </c>
      <c r="Z13" s="123"/>
      <c r="AA13" s="124">
        <f t="shared" ref="AA13" si="408">Z13*$E13</f>
        <v>0</v>
      </c>
      <c r="AB13" s="123"/>
      <c r="AC13" s="124">
        <f t="shared" ref="AC13" si="409">AB13*$E13</f>
        <v>0</v>
      </c>
      <c r="AD13" s="123"/>
      <c r="AE13" s="124">
        <f t="shared" ref="AE13" si="410">AD13*$E13</f>
        <v>0</v>
      </c>
      <c r="AF13" s="125">
        <f t="shared" si="13"/>
        <v>0</v>
      </c>
      <c r="AG13" s="126">
        <f t="shared" ref="AG13" si="411">AF13*$E13</f>
        <v>0</v>
      </c>
      <c r="AH13" s="11"/>
      <c r="AI13" s="124">
        <f t="shared" ref="AI13" si="412">AH13*$E13</f>
        <v>0</v>
      </c>
      <c r="AJ13" s="15"/>
      <c r="AK13" s="124">
        <f t="shared" ref="AK13" si="413">AJ13*$E13</f>
        <v>0</v>
      </c>
      <c r="AL13" s="15"/>
      <c r="AM13" s="124">
        <f t="shared" ref="AM13" si="414">AL13*$E13</f>
        <v>0</v>
      </c>
      <c r="AN13" s="16"/>
      <c r="AO13" s="124">
        <f t="shared" ref="AO13" si="415">AN13*$E13</f>
        <v>0</v>
      </c>
      <c r="AP13" s="15"/>
      <c r="AQ13" s="124">
        <f t="shared" ref="AQ13" si="416">AP13*$E13</f>
        <v>0</v>
      </c>
      <c r="AR13" s="15"/>
      <c r="AS13" s="124">
        <f t="shared" ref="AS13" si="417">AR13*$E13</f>
        <v>0</v>
      </c>
      <c r="AT13" s="17"/>
      <c r="AU13" s="124">
        <f t="shared" ref="AU13" si="418">AT13*$E13</f>
        <v>0</v>
      </c>
      <c r="AV13" s="15"/>
      <c r="AW13" s="124">
        <f t="shared" ref="AW13" si="419">AV13*$E13</f>
        <v>0</v>
      </c>
      <c r="AX13" s="15"/>
      <c r="AY13" s="124">
        <f t="shared" ref="AY13" si="420">AX13*$E13</f>
        <v>0</v>
      </c>
      <c r="AZ13" s="17"/>
      <c r="BA13" s="124">
        <f t="shared" ref="BA13" si="421">AZ13*$E13</f>
        <v>0</v>
      </c>
      <c r="BB13" s="33"/>
      <c r="BC13" s="124">
        <f t="shared" ref="BC13" si="422">BB13*$E13</f>
        <v>0</v>
      </c>
      <c r="BD13" s="33"/>
      <c r="BE13" s="124">
        <f t="shared" ref="BE13" si="423">BD13*$E13</f>
        <v>0</v>
      </c>
      <c r="BF13" s="125">
        <f t="shared" si="27"/>
        <v>0</v>
      </c>
      <c r="BG13" s="126">
        <f t="shared" ref="BG13" si="424">BF13*$E13</f>
        <v>0</v>
      </c>
      <c r="BH13" s="123"/>
      <c r="BI13" s="124">
        <f t="shared" ref="BI13" si="425">BH13*$E13</f>
        <v>0</v>
      </c>
      <c r="BJ13" s="123"/>
      <c r="BK13" s="124">
        <f t="shared" ref="BK13" si="426">BJ13*$E13</f>
        <v>0</v>
      </c>
      <c r="BL13" s="123"/>
      <c r="BM13" s="124">
        <f t="shared" ref="BM13" si="427">BL13*$E13</f>
        <v>0</v>
      </c>
      <c r="BN13" s="123"/>
      <c r="BO13" s="124">
        <f t="shared" ref="BO13" si="428">BN13*$E13</f>
        <v>0</v>
      </c>
      <c r="BP13" s="123"/>
      <c r="BQ13" s="124">
        <f t="shared" ref="BQ13" si="429">BP13*$E13</f>
        <v>0</v>
      </c>
      <c r="BR13" s="123"/>
      <c r="BS13" s="124">
        <f t="shared" ref="BS13" si="430">BR13*$E13</f>
        <v>0</v>
      </c>
      <c r="BT13" s="123"/>
      <c r="BU13" s="124">
        <f t="shared" ref="BU13" si="431">BT13*$E13</f>
        <v>0</v>
      </c>
      <c r="BV13" s="123"/>
      <c r="BW13" s="124">
        <f t="shared" ref="BW13" si="432">BV13*$E13</f>
        <v>0</v>
      </c>
      <c r="BX13" s="123"/>
      <c r="BY13" s="124">
        <f t="shared" ref="BY13" si="433">BX13*$E13</f>
        <v>0</v>
      </c>
      <c r="BZ13" s="123"/>
      <c r="CA13" s="124">
        <f t="shared" ref="CA13" si="434">BZ13*$E13</f>
        <v>0</v>
      </c>
      <c r="CB13" s="123"/>
      <c r="CC13" s="124">
        <f t="shared" ref="CC13" si="435">CB13*$E13</f>
        <v>0</v>
      </c>
      <c r="CD13" s="123"/>
      <c r="CE13" s="124">
        <f t="shared" ref="CE13" si="436">CD13*$E13</f>
        <v>0</v>
      </c>
      <c r="CF13" s="125">
        <f t="shared" si="41"/>
        <v>0</v>
      </c>
      <c r="CG13" s="126">
        <f t="shared" ref="CG13" si="437">CF13*$E13</f>
        <v>0</v>
      </c>
      <c r="CH13" s="123"/>
      <c r="CI13" s="124">
        <f t="shared" ref="CI13" si="438">CH13*$E13</f>
        <v>0</v>
      </c>
      <c r="CJ13" s="123"/>
      <c r="CK13" s="124">
        <f t="shared" ref="CK13" si="439">CJ13*$E13</f>
        <v>0</v>
      </c>
      <c r="CL13" s="123"/>
      <c r="CM13" s="124">
        <f t="shared" ref="CM13" si="440">CL13*$E13</f>
        <v>0</v>
      </c>
      <c r="CN13" s="123"/>
      <c r="CO13" s="124">
        <f t="shared" ref="CO13" si="441">CN13*$E13</f>
        <v>0</v>
      </c>
      <c r="CP13" s="123"/>
      <c r="CQ13" s="124">
        <f t="shared" ref="CQ13" si="442">CP13*$E13</f>
        <v>0</v>
      </c>
      <c r="CR13" s="123"/>
      <c r="CS13" s="124">
        <f t="shared" ref="CS13" si="443">CR13*$E13</f>
        <v>0</v>
      </c>
      <c r="CT13" s="123"/>
      <c r="CU13" s="124">
        <f t="shared" ref="CU13" si="444">CT13*$E13</f>
        <v>0</v>
      </c>
      <c r="CV13" s="123"/>
      <c r="CW13" s="124">
        <f t="shared" ref="CW13" si="445">CV13*$E13</f>
        <v>0</v>
      </c>
      <c r="CX13" s="123"/>
      <c r="CY13" s="124">
        <f t="shared" ref="CY13" si="446">CX13*$E13</f>
        <v>0</v>
      </c>
      <c r="CZ13" s="123"/>
      <c r="DA13" s="124">
        <f t="shared" ref="DA13" si="447">CZ13*$E13</f>
        <v>0</v>
      </c>
      <c r="DB13" s="123"/>
      <c r="DC13" s="124">
        <f t="shared" si="53"/>
        <v>0</v>
      </c>
      <c r="DD13" s="123"/>
      <c r="DE13" s="124">
        <f t="shared" si="53"/>
        <v>0</v>
      </c>
      <c r="DF13" s="27">
        <f t="shared" si="0"/>
        <v>0</v>
      </c>
      <c r="DG13" s="124">
        <f t="shared" si="54"/>
        <v>0</v>
      </c>
    </row>
    <row r="14" spans="1:111" ht="18" customHeight="1" x14ac:dyDescent="0.5">
      <c r="A14" s="117">
        <v>10</v>
      </c>
      <c r="B14" s="122" t="s">
        <v>142</v>
      </c>
      <c r="C14" s="122" t="s">
        <v>231</v>
      </c>
      <c r="D14" s="117">
        <f t="shared" si="55"/>
        <v>21</v>
      </c>
      <c r="E14" s="117">
        <v>0.64</v>
      </c>
      <c r="F14" s="117" t="s">
        <v>236</v>
      </c>
      <c r="G14" s="117"/>
      <c r="H14" s="123"/>
      <c r="I14" s="124">
        <f t="shared" ref="I14" si="448">H14*$E14</f>
        <v>0</v>
      </c>
      <c r="J14" s="123"/>
      <c r="K14" s="124">
        <f t="shared" ref="K14" si="449">J14*$E14</f>
        <v>0</v>
      </c>
      <c r="L14" s="123"/>
      <c r="M14" s="124">
        <f t="shared" ref="M14" si="450">L14*$E14</f>
        <v>0</v>
      </c>
      <c r="N14" s="123"/>
      <c r="O14" s="124">
        <f t="shared" ref="O14" si="451">N14*$E14</f>
        <v>0</v>
      </c>
      <c r="P14" s="123"/>
      <c r="Q14" s="124">
        <f t="shared" ref="Q14" si="452">P14*$E14</f>
        <v>0</v>
      </c>
      <c r="R14" s="123"/>
      <c r="S14" s="124">
        <f t="shared" ref="S14" si="453">R14*$E14</f>
        <v>0</v>
      </c>
      <c r="T14" s="123"/>
      <c r="U14" s="124">
        <f t="shared" ref="U14" si="454">T14*$E14</f>
        <v>0</v>
      </c>
      <c r="V14" s="123"/>
      <c r="W14" s="124">
        <f t="shared" ref="W14" si="455">V14*$E14</f>
        <v>0</v>
      </c>
      <c r="X14" s="123"/>
      <c r="Y14" s="124">
        <f t="shared" ref="Y14" si="456">X14*$E14</f>
        <v>0</v>
      </c>
      <c r="Z14" s="123"/>
      <c r="AA14" s="124">
        <f t="shared" ref="AA14" si="457">Z14*$E14</f>
        <v>0</v>
      </c>
      <c r="AB14" s="123"/>
      <c r="AC14" s="124">
        <f t="shared" ref="AC14" si="458">AB14*$E14</f>
        <v>0</v>
      </c>
      <c r="AD14" s="123"/>
      <c r="AE14" s="124">
        <f t="shared" ref="AE14" si="459">AD14*$E14</f>
        <v>0</v>
      </c>
      <c r="AF14" s="125">
        <f t="shared" si="13"/>
        <v>0</v>
      </c>
      <c r="AG14" s="126">
        <f t="shared" ref="AG14" si="460">AF14*$E14</f>
        <v>0</v>
      </c>
      <c r="AH14" s="11"/>
      <c r="AI14" s="124">
        <f t="shared" ref="AI14" si="461">AH14*$E14</f>
        <v>0</v>
      </c>
      <c r="AJ14" s="15"/>
      <c r="AK14" s="124">
        <f t="shared" ref="AK14" si="462">AJ14*$E14</f>
        <v>0</v>
      </c>
      <c r="AL14" s="15"/>
      <c r="AM14" s="124">
        <f t="shared" ref="AM14" si="463">AL14*$E14</f>
        <v>0</v>
      </c>
      <c r="AN14" s="16"/>
      <c r="AO14" s="124">
        <f t="shared" ref="AO14" si="464">AN14*$E14</f>
        <v>0</v>
      </c>
      <c r="AP14" s="15"/>
      <c r="AQ14" s="124">
        <f t="shared" ref="AQ14" si="465">AP14*$E14</f>
        <v>0</v>
      </c>
      <c r="AR14" s="15"/>
      <c r="AS14" s="124">
        <f t="shared" ref="AS14" si="466">AR14*$E14</f>
        <v>0</v>
      </c>
      <c r="AT14" s="17"/>
      <c r="AU14" s="124">
        <f t="shared" ref="AU14" si="467">AT14*$E14</f>
        <v>0</v>
      </c>
      <c r="AV14" s="15"/>
      <c r="AW14" s="124">
        <f t="shared" ref="AW14" si="468">AV14*$E14</f>
        <v>0</v>
      </c>
      <c r="AX14" s="15"/>
      <c r="AY14" s="124">
        <f t="shared" ref="AY14" si="469">AX14*$E14</f>
        <v>0</v>
      </c>
      <c r="AZ14" s="17"/>
      <c r="BA14" s="124">
        <f t="shared" ref="BA14" si="470">AZ14*$E14</f>
        <v>0</v>
      </c>
      <c r="BB14" s="33"/>
      <c r="BC14" s="124">
        <f t="shared" ref="BC14" si="471">BB14*$E14</f>
        <v>0</v>
      </c>
      <c r="BD14" s="33"/>
      <c r="BE14" s="124">
        <f t="shared" ref="BE14" si="472">BD14*$E14</f>
        <v>0</v>
      </c>
      <c r="BF14" s="125">
        <f t="shared" si="27"/>
        <v>0</v>
      </c>
      <c r="BG14" s="126">
        <f t="shared" ref="BG14" si="473">BF14*$E14</f>
        <v>0</v>
      </c>
      <c r="BH14" s="123"/>
      <c r="BI14" s="124">
        <f t="shared" ref="BI14" si="474">BH14*$E14</f>
        <v>0</v>
      </c>
      <c r="BJ14" s="123"/>
      <c r="BK14" s="124">
        <f t="shared" ref="BK14" si="475">BJ14*$E14</f>
        <v>0</v>
      </c>
      <c r="BL14" s="123"/>
      <c r="BM14" s="124">
        <f t="shared" ref="BM14" si="476">BL14*$E14</f>
        <v>0</v>
      </c>
      <c r="BN14" s="123"/>
      <c r="BO14" s="124">
        <f t="shared" ref="BO14" si="477">BN14*$E14</f>
        <v>0</v>
      </c>
      <c r="BP14" s="123"/>
      <c r="BQ14" s="124">
        <f t="shared" ref="BQ14" si="478">BP14*$E14</f>
        <v>0</v>
      </c>
      <c r="BR14" s="123"/>
      <c r="BS14" s="124">
        <f t="shared" ref="BS14" si="479">BR14*$E14</f>
        <v>0</v>
      </c>
      <c r="BT14" s="123"/>
      <c r="BU14" s="124">
        <f t="shared" ref="BU14" si="480">BT14*$E14</f>
        <v>0</v>
      </c>
      <c r="BV14" s="123"/>
      <c r="BW14" s="124">
        <f t="shared" ref="BW14" si="481">BV14*$E14</f>
        <v>0</v>
      </c>
      <c r="BX14" s="123"/>
      <c r="BY14" s="124">
        <f t="shared" ref="BY14" si="482">BX14*$E14</f>
        <v>0</v>
      </c>
      <c r="BZ14" s="123"/>
      <c r="CA14" s="124">
        <f t="shared" ref="CA14" si="483">BZ14*$E14</f>
        <v>0</v>
      </c>
      <c r="CB14" s="123"/>
      <c r="CC14" s="124">
        <f t="shared" ref="CC14" si="484">CB14*$E14</f>
        <v>0</v>
      </c>
      <c r="CD14" s="123"/>
      <c r="CE14" s="124">
        <f t="shared" ref="CE14" si="485">CD14*$E14</f>
        <v>0</v>
      </c>
      <c r="CF14" s="125">
        <f t="shared" si="41"/>
        <v>0</v>
      </c>
      <c r="CG14" s="126">
        <f t="shared" ref="CG14" si="486">CF14*$E14</f>
        <v>0</v>
      </c>
      <c r="CH14" s="123"/>
      <c r="CI14" s="124">
        <f t="shared" ref="CI14" si="487">CH14*$E14</f>
        <v>0</v>
      </c>
      <c r="CJ14" s="123"/>
      <c r="CK14" s="124">
        <f t="shared" ref="CK14" si="488">CJ14*$E14</f>
        <v>0</v>
      </c>
      <c r="CL14" s="123"/>
      <c r="CM14" s="124">
        <f t="shared" ref="CM14" si="489">CL14*$E14</f>
        <v>0</v>
      </c>
      <c r="CN14" s="123"/>
      <c r="CO14" s="124">
        <f t="shared" ref="CO14" si="490">CN14*$E14</f>
        <v>0</v>
      </c>
      <c r="CP14" s="123"/>
      <c r="CQ14" s="124">
        <f t="shared" ref="CQ14" si="491">CP14*$E14</f>
        <v>0</v>
      </c>
      <c r="CR14" s="123"/>
      <c r="CS14" s="124">
        <f t="shared" ref="CS14" si="492">CR14*$E14</f>
        <v>0</v>
      </c>
      <c r="CT14" s="123"/>
      <c r="CU14" s="124">
        <f t="shared" ref="CU14" si="493">CT14*$E14</f>
        <v>0</v>
      </c>
      <c r="CV14" s="123"/>
      <c r="CW14" s="124">
        <f t="shared" ref="CW14" si="494">CV14*$E14</f>
        <v>0</v>
      </c>
      <c r="CX14" s="123"/>
      <c r="CY14" s="124">
        <f t="shared" ref="CY14" si="495">CX14*$E14</f>
        <v>0</v>
      </c>
      <c r="CZ14" s="123"/>
      <c r="DA14" s="124">
        <f t="shared" ref="DA14" si="496">CZ14*$E14</f>
        <v>0</v>
      </c>
      <c r="DB14" s="123"/>
      <c r="DC14" s="124">
        <f t="shared" si="53"/>
        <v>0</v>
      </c>
      <c r="DD14" s="123"/>
      <c r="DE14" s="124">
        <f t="shared" si="53"/>
        <v>0</v>
      </c>
      <c r="DF14" s="27">
        <f t="shared" si="0"/>
        <v>0</v>
      </c>
      <c r="DG14" s="124">
        <f t="shared" si="54"/>
        <v>0</v>
      </c>
    </row>
    <row r="15" spans="1:111" ht="18" customHeight="1" x14ac:dyDescent="0.5">
      <c r="A15" s="117"/>
      <c r="B15" s="122"/>
      <c r="C15" s="122"/>
      <c r="D15" s="117"/>
      <c r="E15" s="117"/>
      <c r="F15" s="117"/>
      <c r="G15" s="117"/>
      <c r="H15" s="123"/>
      <c r="I15" s="124">
        <f t="shared" ref="I15" si="497">H15*$E15</f>
        <v>0</v>
      </c>
      <c r="J15" s="123"/>
      <c r="K15" s="124">
        <f t="shared" ref="K15" si="498">J15*$E15</f>
        <v>0</v>
      </c>
      <c r="L15" s="123"/>
      <c r="M15" s="124">
        <f t="shared" ref="M15" si="499">L15*$E15</f>
        <v>0</v>
      </c>
      <c r="N15" s="123"/>
      <c r="O15" s="124">
        <f t="shared" ref="O15" si="500">N15*$E15</f>
        <v>0</v>
      </c>
      <c r="P15" s="123"/>
      <c r="Q15" s="124">
        <f t="shared" ref="Q15" si="501">P15*$E15</f>
        <v>0</v>
      </c>
      <c r="R15" s="123"/>
      <c r="S15" s="124">
        <f t="shared" ref="S15" si="502">R15*$E15</f>
        <v>0</v>
      </c>
      <c r="T15" s="123"/>
      <c r="U15" s="124">
        <f t="shared" ref="U15" si="503">T15*$E15</f>
        <v>0</v>
      </c>
      <c r="V15" s="123"/>
      <c r="W15" s="124">
        <f t="shared" ref="W15" si="504">V15*$E15</f>
        <v>0</v>
      </c>
      <c r="X15" s="123"/>
      <c r="Y15" s="124">
        <f t="shared" ref="Y15" si="505">X15*$E15</f>
        <v>0</v>
      </c>
      <c r="Z15" s="123"/>
      <c r="AA15" s="124">
        <f t="shared" ref="AA15" si="506">Z15*$E15</f>
        <v>0</v>
      </c>
      <c r="AB15" s="123"/>
      <c r="AC15" s="124">
        <f t="shared" ref="AC15" si="507">AB15*$E15</f>
        <v>0</v>
      </c>
      <c r="AD15" s="123"/>
      <c r="AE15" s="124">
        <f t="shared" ref="AE15" si="508">AD15*$E15</f>
        <v>0</v>
      </c>
      <c r="AF15" s="125">
        <f t="shared" si="13"/>
        <v>0</v>
      </c>
      <c r="AG15" s="126">
        <f t="shared" ref="AG15" si="509">AF15*$E15</f>
        <v>0</v>
      </c>
      <c r="AH15" s="11"/>
      <c r="AI15" s="124">
        <f t="shared" ref="AI15" si="510">AH15*$E15</f>
        <v>0</v>
      </c>
      <c r="AJ15" s="15"/>
      <c r="AK15" s="124">
        <f t="shared" ref="AK15" si="511">AJ15*$E15</f>
        <v>0</v>
      </c>
      <c r="AL15" s="15"/>
      <c r="AM15" s="124">
        <f t="shared" ref="AM15" si="512">AL15*$E15</f>
        <v>0</v>
      </c>
      <c r="AN15" s="16"/>
      <c r="AO15" s="124">
        <f t="shared" ref="AO15" si="513">AN15*$E15</f>
        <v>0</v>
      </c>
      <c r="AP15" s="15"/>
      <c r="AQ15" s="124">
        <f t="shared" ref="AQ15" si="514">AP15*$E15</f>
        <v>0</v>
      </c>
      <c r="AR15" s="15"/>
      <c r="AS15" s="124">
        <f t="shared" ref="AS15" si="515">AR15*$E15</f>
        <v>0</v>
      </c>
      <c r="AT15" s="17"/>
      <c r="AU15" s="124">
        <f t="shared" ref="AU15" si="516">AT15*$E15</f>
        <v>0</v>
      </c>
      <c r="AV15" s="15"/>
      <c r="AW15" s="124">
        <f t="shared" ref="AW15" si="517">AV15*$E15</f>
        <v>0</v>
      </c>
      <c r="AX15" s="15"/>
      <c r="AY15" s="124">
        <f t="shared" ref="AY15" si="518">AX15*$E15</f>
        <v>0</v>
      </c>
      <c r="AZ15" s="17"/>
      <c r="BA15" s="124">
        <f t="shared" ref="BA15" si="519">AZ15*$E15</f>
        <v>0</v>
      </c>
      <c r="BB15" s="33"/>
      <c r="BC15" s="124">
        <f t="shared" ref="BC15" si="520">BB15*$E15</f>
        <v>0</v>
      </c>
      <c r="BD15" s="33"/>
      <c r="BE15" s="124">
        <f t="shared" ref="BE15" si="521">BD15*$E15</f>
        <v>0</v>
      </c>
      <c r="BF15" s="125">
        <f t="shared" si="27"/>
        <v>0</v>
      </c>
      <c r="BG15" s="126">
        <f t="shared" ref="BG15" si="522">BF15*$E15</f>
        <v>0</v>
      </c>
      <c r="BH15" s="123"/>
      <c r="BI15" s="124">
        <f t="shared" ref="BI15" si="523">BH15*$E15</f>
        <v>0</v>
      </c>
      <c r="BJ15" s="123"/>
      <c r="BK15" s="124">
        <f t="shared" ref="BK15" si="524">BJ15*$E15</f>
        <v>0</v>
      </c>
      <c r="BL15" s="123"/>
      <c r="BM15" s="124">
        <f t="shared" ref="BM15" si="525">BL15*$E15</f>
        <v>0</v>
      </c>
      <c r="BN15" s="123"/>
      <c r="BO15" s="124">
        <f t="shared" ref="BO15" si="526">BN15*$E15</f>
        <v>0</v>
      </c>
      <c r="BP15" s="123"/>
      <c r="BQ15" s="124">
        <f t="shared" ref="BQ15" si="527">BP15*$E15</f>
        <v>0</v>
      </c>
      <c r="BR15" s="123"/>
      <c r="BS15" s="124">
        <f t="shared" ref="BS15" si="528">BR15*$E15</f>
        <v>0</v>
      </c>
      <c r="BT15" s="123"/>
      <c r="BU15" s="124">
        <f t="shared" ref="BU15" si="529">BT15*$E15</f>
        <v>0</v>
      </c>
      <c r="BV15" s="123"/>
      <c r="BW15" s="124">
        <f t="shared" ref="BW15" si="530">BV15*$E15</f>
        <v>0</v>
      </c>
      <c r="BX15" s="123"/>
      <c r="BY15" s="124">
        <f t="shared" ref="BY15" si="531">BX15*$E15</f>
        <v>0</v>
      </c>
      <c r="BZ15" s="123"/>
      <c r="CA15" s="124">
        <f t="shared" ref="CA15" si="532">BZ15*$E15</f>
        <v>0</v>
      </c>
      <c r="CB15" s="123"/>
      <c r="CC15" s="124">
        <f t="shared" ref="CC15" si="533">CB15*$E15</f>
        <v>0</v>
      </c>
      <c r="CD15" s="123"/>
      <c r="CE15" s="124">
        <f t="shared" ref="CE15" si="534">CD15*$E15</f>
        <v>0</v>
      </c>
      <c r="CF15" s="125">
        <f t="shared" si="41"/>
        <v>0</v>
      </c>
      <c r="CG15" s="126">
        <f t="shared" ref="CG15" si="535">CF15*$E15</f>
        <v>0</v>
      </c>
      <c r="CH15" s="123"/>
      <c r="CI15" s="124">
        <f t="shared" ref="CI15" si="536">CH15*$E15</f>
        <v>0</v>
      </c>
      <c r="CJ15" s="123"/>
      <c r="CK15" s="124">
        <f t="shared" ref="CK15" si="537">CJ15*$E15</f>
        <v>0</v>
      </c>
      <c r="CL15" s="123"/>
      <c r="CM15" s="124">
        <f t="shared" ref="CM15" si="538">CL15*$E15</f>
        <v>0</v>
      </c>
      <c r="CN15" s="123"/>
      <c r="CO15" s="124">
        <f t="shared" ref="CO15" si="539">CN15*$E15</f>
        <v>0</v>
      </c>
      <c r="CP15" s="123"/>
      <c r="CQ15" s="124">
        <f t="shared" ref="CQ15" si="540">CP15*$E15</f>
        <v>0</v>
      </c>
      <c r="CR15" s="123"/>
      <c r="CS15" s="124">
        <f t="shared" ref="CS15" si="541">CR15*$E15</f>
        <v>0</v>
      </c>
      <c r="CT15" s="123"/>
      <c r="CU15" s="124">
        <f t="shared" ref="CU15" si="542">CT15*$E15</f>
        <v>0</v>
      </c>
      <c r="CV15" s="123"/>
      <c r="CW15" s="124">
        <f t="shared" ref="CW15" si="543">CV15*$E15</f>
        <v>0</v>
      </c>
      <c r="CX15" s="123"/>
      <c r="CY15" s="124">
        <f t="shared" ref="CY15" si="544">CX15*$E15</f>
        <v>0</v>
      </c>
      <c r="CZ15" s="123"/>
      <c r="DA15" s="124">
        <f t="shared" ref="DA15" si="545">CZ15*$E15</f>
        <v>0</v>
      </c>
      <c r="DB15" s="123"/>
      <c r="DC15" s="124">
        <f t="shared" si="53"/>
        <v>0</v>
      </c>
      <c r="DD15" s="123"/>
      <c r="DE15" s="124">
        <f t="shared" si="53"/>
        <v>0</v>
      </c>
      <c r="DF15" s="27">
        <f t="shared" si="0"/>
        <v>0</v>
      </c>
      <c r="DG15" s="124">
        <f t="shared" si="54"/>
        <v>0</v>
      </c>
    </row>
    <row r="16" spans="1:111" ht="18" customHeight="1" x14ac:dyDescent="0.5">
      <c r="A16" s="117">
        <v>11</v>
      </c>
      <c r="B16" s="122" t="s">
        <v>143</v>
      </c>
      <c r="C16" s="122" t="s">
        <v>233</v>
      </c>
      <c r="D16" s="117">
        <f t="shared" ref="D16:D24" si="546">RANK(DF16,$DF$4:$DF$141)</f>
        <v>18</v>
      </c>
      <c r="E16" s="117">
        <v>1</v>
      </c>
      <c r="F16" s="117" t="s">
        <v>232</v>
      </c>
      <c r="G16" s="117">
        <v>1500</v>
      </c>
      <c r="H16" s="123"/>
      <c r="I16" s="124">
        <f t="shared" ref="I16" si="547">H16*$E16</f>
        <v>0</v>
      </c>
      <c r="J16" s="123"/>
      <c r="K16" s="124">
        <f t="shared" ref="K16" si="548">J16*$E16</f>
        <v>0</v>
      </c>
      <c r="L16" s="123"/>
      <c r="M16" s="124">
        <f t="shared" ref="M16" si="549">L16*$E16</f>
        <v>0</v>
      </c>
      <c r="N16" s="123"/>
      <c r="O16" s="124">
        <f t="shared" ref="O16" si="550">N16*$E16</f>
        <v>0</v>
      </c>
      <c r="P16" s="123"/>
      <c r="Q16" s="124">
        <f t="shared" ref="Q16" si="551">P16*$E16</f>
        <v>0</v>
      </c>
      <c r="R16" s="123"/>
      <c r="S16" s="124">
        <f t="shared" ref="S16" si="552">R16*$E16</f>
        <v>0</v>
      </c>
      <c r="T16" s="123"/>
      <c r="U16" s="124">
        <f t="shared" ref="U16" si="553">T16*$E16</f>
        <v>0</v>
      </c>
      <c r="V16" s="123"/>
      <c r="W16" s="124">
        <f t="shared" ref="W16" si="554">V16*$E16</f>
        <v>0</v>
      </c>
      <c r="X16" s="123"/>
      <c r="Y16" s="124">
        <f t="shared" ref="Y16" si="555">X16*$E16</f>
        <v>0</v>
      </c>
      <c r="Z16" s="123"/>
      <c r="AA16" s="124">
        <f t="shared" ref="AA16" si="556">Z16*$E16</f>
        <v>0</v>
      </c>
      <c r="AB16" s="123"/>
      <c r="AC16" s="124">
        <f t="shared" ref="AC16" si="557">AB16*$E16</f>
        <v>0</v>
      </c>
      <c r="AD16" s="123"/>
      <c r="AE16" s="124">
        <f t="shared" ref="AE16" si="558">AD16*$E16</f>
        <v>0</v>
      </c>
      <c r="AF16" s="125">
        <f t="shared" si="13"/>
        <v>0</v>
      </c>
      <c r="AG16" s="126">
        <f t="shared" ref="AG16" si="559">AF16*$E16</f>
        <v>0</v>
      </c>
      <c r="AH16" s="11"/>
      <c r="AI16" s="124">
        <f t="shared" ref="AI16" si="560">AH16*$E16</f>
        <v>0</v>
      </c>
      <c r="AJ16" s="15"/>
      <c r="AK16" s="124">
        <f t="shared" ref="AK16" si="561">AJ16*$E16</f>
        <v>0</v>
      </c>
      <c r="AL16" s="15"/>
      <c r="AM16" s="124">
        <f t="shared" ref="AM16" si="562">AL16*$E16</f>
        <v>0</v>
      </c>
      <c r="AN16" s="16"/>
      <c r="AO16" s="124">
        <f t="shared" ref="AO16" si="563">AN16*$E16</f>
        <v>0</v>
      </c>
      <c r="AP16" s="15"/>
      <c r="AQ16" s="124">
        <f t="shared" ref="AQ16" si="564">AP16*$E16</f>
        <v>0</v>
      </c>
      <c r="AR16" s="15"/>
      <c r="AS16" s="124">
        <f t="shared" ref="AS16" si="565">AR16*$E16</f>
        <v>0</v>
      </c>
      <c r="AT16" s="17"/>
      <c r="AU16" s="124">
        <f t="shared" ref="AU16" si="566">AT16*$E16</f>
        <v>0</v>
      </c>
      <c r="AV16" s="15"/>
      <c r="AW16" s="124">
        <f t="shared" ref="AW16" si="567">AV16*$E16</f>
        <v>0</v>
      </c>
      <c r="AX16" s="15"/>
      <c r="AY16" s="124">
        <f t="shared" ref="AY16" si="568">AX16*$E16</f>
        <v>0</v>
      </c>
      <c r="AZ16" s="17"/>
      <c r="BA16" s="124">
        <f t="shared" ref="BA16" si="569">AZ16*$E16</f>
        <v>0</v>
      </c>
      <c r="BB16" s="33"/>
      <c r="BC16" s="124">
        <f t="shared" ref="BC16" si="570">BB16*$E16</f>
        <v>0</v>
      </c>
      <c r="BD16" s="33"/>
      <c r="BE16" s="124">
        <f t="shared" ref="BE16" si="571">BD16*$E16</f>
        <v>0</v>
      </c>
      <c r="BF16" s="125">
        <f t="shared" si="27"/>
        <v>0</v>
      </c>
      <c r="BG16" s="126">
        <f t="shared" ref="BG16" si="572">BF16*$E16</f>
        <v>0</v>
      </c>
      <c r="BH16" s="123"/>
      <c r="BI16" s="124">
        <f t="shared" ref="BI16" si="573">BH16*$E16</f>
        <v>0</v>
      </c>
      <c r="BJ16" s="123"/>
      <c r="BK16" s="124">
        <f t="shared" ref="BK16" si="574">BJ16*$E16</f>
        <v>0</v>
      </c>
      <c r="BL16" s="123"/>
      <c r="BM16" s="124">
        <f t="shared" ref="BM16" si="575">BL16*$E16</f>
        <v>0</v>
      </c>
      <c r="BN16" s="123"/>
      <c r="BO16" s="124">
        <f t="shared" ref="BO16" si="576">BN16*$E16</f>
        <v>0</v>
      </c>
      <c r="BP16" s="123"/>
      <c r="BQ16" s="124">
        <f t="shared" ref="BQ16" si="577">BP16*$E16</f>
        <v>0</v>
      </c>
      <c r="BR16" s="123"/>
      <c r="BS16" s="124">
        <f t="shared" ref="BS16" si="578">BR16*$E16</f>
        <v>0</v>
      </c>
      <c r="BT16" s="123"/>
      <c r="BU16" s="124">
        <f t="shared" ref="BU16" si="579">BT16*$E16</f>
        <v>0</v>
      </c>
      <c r="BV16" s="123"/>
      <c r="BW16" s="124">
        <f t="shared" ref="BW16" si="580">BV16*$E16</f>
        <v>0</v>
      </c>
      <c r="BX16" s="123"/>
      <c r="BY16" s="124">
        <f t="shared" ref="BY16" si="581">BX16*$E16</f>
        <v>0</v>
      </c>
      <c r="BZ16" s="123"/>
      <c r="CA16" s="124">
        <f t="shared" ref="CA16" si="582">BZ16*$E16</f>
        <v>0</v>
      </c>
      <c r="CB16" s="123"/>
      <c r="CC16" s="124">
        <f t="shared" ref="CC16" si="583">CB16*$E16</f>
        <v>0</v>
      </c>
      <c r="CD16" s="123"/>
      <c r="CE16" s="124">
        <f t="shared" ref="CE16" si="584">CD16*$E16</f>
        <v>0</v>
      </c>
      <c r="CF16" s="125">
        <f t="shared" si="41"/>
        <v>0</v>
      </c>
      <c r="CG16" s="126">
        <f t="shared" ref="CG16" si="585">CF16*$E16</f>
        <v>0</v>
      </c>
      <c r="CH16" s="123">
        <v>24</v>
      </c>
      <c r="CI16" s="124">
        <f t="shared" ref="CI16" si="586">CH16*$E16</f>
        <v>24</v>
      </c>
      <c r="CJ16" s="123"/>
      <c r="CK16" s="124">
        <f t="shared" ref="CK16" si="587">CJ16*$E16</f>
        <v>0</v>
      </c>
      <c r="CL16" s="123"/>
      <c r="CM16" s="124">
        <f t="shared" ref="CM16" si="588">CL16*$E16</f>
        <v>0</v>
      </c>
      <c r="CN16" s="123"/>
      <c r="CO16" s="124">
        <f t="shared" ref="CO16" si="589">CN16*$E16</f>
        <v>0</v>
      </c>
      <c r="CP16" s="123"/>
      <c r="CQ16" s="124">
        <f t="shared" ref="CQ16" si="590">CP16*$E16</f>
        <v>0</v>
      </c>
      <c r="CR16" s="123"/>
      <c r="CS16" s="124">
        <f t="shared" ref="CS16" si="591">CR16*$E16</f>
        <v>0</v>
      </c>
      <c r="CT16" s="123">
        <v>192</v>
      </c>
      <c r="CU16" s="124">
        <f t="shared" ref="CU16" si="592">CT16*$E16</f>
        <v>192</v>
      </c>
      <c r="CV16" s="123">
        <v>60</v>
      </c>
      <c r="CW16" s="124">
        <f t="shared" ref="CW16" si="593">CV16*$E16</f>
        <v>60</v>
      </c>
      <c r="CX16" s="123"/>
      <c r="CY16" s="124">
        <f t="shared" ref="CY16" si="594">CX16*$E16</f>
        <v>0</v>
      </c>
      <c r="CZ16" s="123"/>
      <c r="DA16" s="124">
        <f t="shared" ref="DA16" si="595">CZ16*$E16</f>
        <v>0</v>
      </c>
      <c r="DB16" s="123"/>
      <c r="DC16" s="124">
        <f t="shared" si="53"/>
        <v>0</v>
      </c>
      <c r="DD16" s="123"/>
      <c r="DE16" s="124">
        <f t="shared" si="53"/>
        <v>0</v>
      </c>
      <c r="DF16" s="27">
        <f t="shared" si="0"/>
        <v>276</v>
      </c>
      <c r="DG16" s="124">
        <f t="shared" si="54"/>
        <v>276</v>
      </c>
    </row>
    <row r="17" spans="1:111" ht="18" customHeight="1" x14ac:dyDescent="0.5">
      <c r="A17" s="117">
        <v>12</v>
      </c>
      <c r="B17" s="122" t="s">
        <v>144</v>
      </c>
      <c r="C17" s="122" t="s">
        <v>233</v>
      </c>
      <c r="D17" s="117">
        <f t="shared" si="546"/>
        <v>14</v>
      </c>
      <c r="E17" s="117">
        <v>1</v>
      </c>
      <c r="F17" s="117" t="s">
        <v>232</v>
      </c>
      <c r="G17" s="117">
        <v>1850</v>
      </c>
      <c r="H17" s="123"/>
      <c r="I17" s="124">
        <f t="shared" ref="I17" si="596">H17*$E17</f>
        <v>0</v>
      </c>
      <c r="J17" s="123"/>
      <c r="K17" s="124">
        <f t="shared" ref="K17" si="597">J17*$E17</f>
        <v>0</v>
      </c>
      <c r="L17" s="123"/>
      <c r="M17" s="124">
        <f t="shared" ref="M17" si="598">L17*$E17</f>
        <v>0</v>
      </c>
      <c r="N17" s="123"/>
      <c r="O17" s="124">
        <f t="shared" ref="O17" si="599">N17*$E17</f>
        <v>0</v>
      </c>
      <c r="P17" s="123"/>
      <c r="Q17" s="124">
        <f t="shared" ref="Q17" si="600">P17*$E17</f>
        <v>0</v>
      </c>
      <c r="R17" s="123"/>
      <c r="S17" s="124">
        <f t="shared" ref="S17" si="601">R17*$E17</f>
        <v>0</v>
      </c>
      <c r="T17" s="123"/>
      <c r="U17" s="124">
        <f t="shared" ref="U17" si="602">T17*$E17</f>
        <v>0</v>
      </c>
      <c r="V17" s="123"/>
      <c r="W17" s="124">
        <f t="shared" ref="W17" si="603">V17*$E17</f>
        <v>0</v>
      </c>
      <c r="X17" s="123"/>
      <c r="Y17" s="124">
        <f t="shared" ref="Y17" si="604">X17*$E17</f>
        <v>0</v>
      </c>
      <c r="Z17" s="123"/>
      <c r="AA17" s="124">
        <f t="shared" ref="AA17" si="605">Z17*$E17</f>
        <v>0</v>
      </c>
      <c r="AB17" s="123"/>
      <c r="AC17" s="124">
        <f t="shared" ref="AC17" si="606">AB17*$E17</f>
        <v>0</v>
      </c>
      <c r="AD17" s="123"/>
      <c r="AE17" s="124">
        <f t="shared" ref="AE17" si="607">AD17*$E17</f>
        <v>0</v>
      </c>
      <c r="AF17" s="125">
        <f t="shared" si="13"/>
        <v>0</v>
      </c>
      <c r="AG17" s="126">
        <f t="shared" ref="AG17" si="608">AF17*$E17</f>
        <v>0</v>
      </c>
      <c r="AH17" s="11"/>
      <c r="AI17" s="124">
        <f t="shared" ref="AI17" si="609">AH17*$E17</f>
        <v>0</v>
      </c>
      <c r="AJ17" s="15"/>
      <c r="AK17" s="124">
        <f t="shared" ref="AK17" si="610">AJ17*$E17</f>
        <v>0</v>
      </c>
      <c r="AL17" s="15">
        <v>84</v>
      </c>
      <c r="AM17" s="124">
        <f t="shared" ref="AM17" si="611">AL17*$E17</f>
        <v>84</v>
      </c>
      <c r="AN17" s="16">
        <v>336</v>
      </c>
      <c r="AO17" s="124">
        <f t="shared" ref="AO17" si="612">AN17*$E17</f>
        <v>336</v>
      </c>
      <c r="AP17" s="15"/>
      <c r="AQ17" s="124">
        <f t="shared" ref="AQ17" si="613">AP17*$E17</f>
        <v>0</v>
      </c>
      <c r="AR17" s="15"/>
      <c r="AS17" s="124">
        <f t="shared" ref="AS17" si="614">AR17*$E17</f>
        <v>0</v>
      </c>
      <c r="AT17" s="17">
        <v>72</v>
      </c>
      <c r="AU17" s="124">
        <f t="shared" ref="AU17" si="615">AT17*$E17</f>
        <v>72</v>
      </c>
      <c r="AV17" s="15"/>
      <c r="AW17" s="124">
        <f t="shared" ref="AW17" si="616">AV17*$E17</f>
        <v>0</v>
      </c>
      <c r="AX17" s="15"/>
      <c r="AY17" s="124">
        <f t="shared" ref="AY17" si="617">AX17*$E17</f>
        <v>0</v>
      </c>
      <c r="AZ17" s="17"/>
      <c r="BA17" s="124">
        <f t="shared" ref="BA17" si="618">AZ17*$E17</f>
        <v>0</v>
      </c>
      <c r="BB17" s="33"/>
      <c r="BC17" s="124">
        <f t="shared" ref="BC17" si="619">BB17*$E17</f>
        <v>0</v>
      </c>
      <c r="BD17" s="33"/>
      <c r="BE17" s="124">
        <f t="shared" ref="BE17" si="620">BD17*$E17</f>
        <v>0</v>
      </c>
      <c r="BF17" s="125">
        <f t="shared" si="27"/>
        <v>492</v>
      </c>
      <c r="BG17" s="126">
        <f t="shared" ref="BG17" si="621">BF17*$E17</f>
        <v>492</v>
      </c>
      <c r="BH17" s="123"/>
      <c r="BI17" s="124">
        <f t="shared" ref="BI17" si="622">BH17*$E17</f>
        <v>0</v>
      </c>
      <c r="BJ17" s="123"/>
      <c r="BK17" s="124">
        <f t="shared" ref="BK17" si="623">BJ17*$E17</f>
        <v>0</v>
      </c>
      <c r="BL17" s="123"/>
      <c r="BM17" s="124">
        <f t="shared" ref="BM17" si="624">BL17*$E17</f>
        <v>0</v>
      </c>
      <c r="BN17" s="123"/>
      <c r="BO17" s="124">
        <f t="shared" ref="BO17" si="625">BN17*$E17</f>
        <v>0</v>
      </c>
      <c r="BP17" s="123"/>
      <c r="BQ17" s="124">
        <f t="shared" ref="BQ17" si="626">BP17*$E17</f>
        <v>0</v>
      </c>
      <c r="BR17" s="65"/>
      <c r="BS17" s="124">
        <f t="shared" ref="BS17" si="627">BR17*$E17</f>
        <v>0</v>
      </c>
      <c r="BT17" s="123"/>
      <c r="BU17" s="124">
        <f t="shared" ref="BU17" si="628">BT17*$E17</f>
        <v>0</v>
      </c>
      <c r="BV17" s="123"/>
      <c r="BW17" s="124">
        <f t="shared" ref="BW17" si="629">BV17*$E17</f>
        <v>0</v>
      </c>
      <c r="BX17" s="123"/>
      <c r="BY17" s="124">
        <f t="shared" ref="BY17" si="630">BX17*$E17</f>
        <v>0</v>
      </c>
      <c r="BZ17" s="123"/>
      <c r="CA17" s="124">
        <f t="shared" ref="CA17" si="631">BZ17*$E17</f>
        <v>0</v>
      </c>
      <c r="CB17" s="123"/>
      <c r="CC17" s="124">
        <f t="shared" ref="CC17" si="632">CB17*$E17</f>
        <v>0</v>
      </c>
      <c r="CD17" s="123"/>
      <c r="CE17" s="124">
        <f t="shared" ref="CE17" si="633">CD17*$E17</f>
        <v>0</v>
      </c>
      <c r="CF17" s="125">
        <f t="shared" si="41"/>
        <v>0</v>
      </c>
      <c r="CG17" s="126">
        <f t="shared" ref="CG17" si="634">CF17*$E17</f>
        <v>0</v>
      </c>
      <c r="CH17" s="123"/>
      <c r="CI17" s="124">
        <f t="shared" ref="CI17" si="635">CH17*$E17</f>
        <v>0</v>
      </c>
      <c r="CJ17" s="123"/>
      <c r="CK17" s="124">
        <f t="shared" ref="CK17" si="636">CJ17*$E17</f>
        <v>0</v>
      </c>
      <c r="CL17" s="123"/>
      <c r="CM17" s="124">
        <f t="shared" ref="CM17" si="637">CL17*$E17</f>
        <v>0</v>
      </c>
      <c r="CN17" s="123"/>
      <c r="CO17" s="124">
        <f t="shared" ref="CO17" si="638">CN17*$E17</f>
        <v>0</v>
      </c>
      <c r="CP17" s="123"/>
      <c r="CQ17" s="124">
        <f t="shared" ref="CQ17" si="639">CP17*$E17</f>
        <v>0</v>
      </c>
      <c r="CR17" s="123"/>
      <c r="CS17" s="124">
        <f t="shared" ref="CS17" si="640">CR17*$E17</f>
        <v>0</v>
      </c>
      <c r="CT17" s="123">
        <v>206</v>
      </c>
      <c r="CU17" s="124">
        <f t="shared" ref="CU17" si="641">CT17*$E17</f>
        <v>206</v>
      </c>
      <c r="CV17" s="123">
        <v>480</v>
      </c>
      <c r="CW17" s="124">
        <f t="shared" ref="CW17" si="642">CV17*$E17</f>
        <v>480</v>
      </c>
      <c r="CX17" s="123">
        <v>468</v>
      </c>
      <c r="CY17" s="124">
        <f t="shared" ref="CY17" si="643">CX17*$E17</f>
        <v>468</v>
      </c>
      <c r="CZ17" s="123">
        <v>300</v>
      </c>
      <c r="DA17" s="124">
        <f t="shared" ref="DA17" si="644">CZ17*$E17</f>
        <v>300</v>
      </c>
      <c r="DB17" s="123">
        <v>120</v>
      </c>
      <c r="DC17" s="124">
        <f t="shared" si="53"/>
        <v>120</v>
      </c>
      <c r="DD17" s="123">
        <v>360</v>
      </c>
      <c r="DE17" s="124">
        <f t="shared" si="53"/>
        <v>360</v>
      </c>
      <c r="DF17" s="27">
        <f t="shared" si="0"/>
        <v>1934</v>
      </c>
      <c r="DG17" s="124">
        <f t="shared" si="54"/>
        <v>1934</v>
      </c>
    </row>
    <row r="18" spans="1:111" ht="18" customHeight="1" x14ac:dyDescent="0.5">
      <c r="A18" s="117">
        <v>13</v>
      </c>
      <c r="B18" s="122" t="s">
        <v>145</v>
      </c>
      <c r="C18" s="122" t="s">
        <v>233</v>
      </c>
      <c r="D18" s="117">
        <f t="shared" si="546"/>
        <v>21</v>
      </c>
      <c r="E18" s="117">
        <v>0.6</v>
      </c>
      <c r="F18" s="117" t="s">
        <v>232</v>
      </c>
      <c r="G18" s="117">
        <v>1085</v>
      </c>
      <c r="H18" s="123"/>
      <c r="I18" s="124">
        <f t="shared" ref="I18" si="645">H18*$E18</f>
        <v>0</v>
      </c>
      <c r="J18" s="123"/>
      <c r="K18" s="124">
        <f t="shared" ref="K18" si="646">J18*$E18</f>
        <v>0</v>
      </c>
      <c r="L18" s="123"/>
      <c r="M18" s="124">
        <f t="shared" ref="M18" si="647">L18*$E18</f>
        <v>0</v>
      </c>
      <c r="N18" s="123"/>
      <c r="O18" s="124">
        <f t="shared" ref="O18" si="648">N18*$E18</f>
        <v>0</v>
      </c>
      <c r="P18" s="123"/>
      <c r="Q18" s="124">
        <f t="shared" ref="Q18" si="649">P18*$E18</f>
        <v>0</v>
      </c>
      <c r="R18" s="123"/>
      <c r="S18" s="124">
        <f t="shared" ref="S18" si="650">R18*$E18</f>
        <v>0</v>
      </c>
      <c r="T18" s="123"/>
      <c r="U18" s="124">
        <f t="shared" ref="U18" si="651">T18*$E18</f>
        <v>0</v>
      </c>
      <c r="V18" s="123"/>
      <c r="W18" s="124">
        <f t="shared" ref="W18" si="652">V18*$E18</f>
        <v>0</v>
      </c>
      <c r="X18" s="123"/>
      <c r="Y18" s="124">
        <f t="shared" ref="Y18" si="653">X18*$E18</f>
        <v>0</v>
      </c>
      <c r="Z18" s="123"/>
      <c r="AA18" s="124">
        <f t="shared" ref="AA18" si="654">Z18*$E18</f>
        <v>0</v>
      </c>
      <c r="AB18" s="123"/>
      <c r="AC18" s="124">
        <f t="shared" ref="AC18" si="655">AB18*$E18</f>
        <v>0</v>
      </c>
      <c r="AD18" s="123"/>
      <c r="AE18" s="124">
        <f t="shared" ref="AE18" si="656">AD18*$E18</f>
        <v>0</v>
      </c>
      <c r="AF18" s="125">
        <f t="shared" si="13"/>
        <v>0</v>
      </c>
      <c r="AG18" s="126">
        <f t="shared" ref="AG18" si="657">AF18*$E18</f>
        <v>0</v>
      </c>
      <c r="AH18" s="11"/>
      <c r="AI18" s="124">
        <f t="shared" ref="AI18" si="658">AH18*$E18</f>
        <v>0</v>
      </c>
      <c r="AJ18" s="15"/>
      <c r="AK18" s="124">
        <f t="shared" ref="AK18" si="659">AJ18*$E18</f>
        <v>0</v>
      </c>
      <c r="AL18" s="15"/>
      <c r="AM18" s="124">
        <f t="shared" ref="AM18" si="660">AL18*$E18</f>
        <v>0</v>
      </c>
      <c r="AN18" s="16"/>
      <c r="AO18" s="124">
        <f t="shared" ref="AO18" si="661">AN18*$E18</f>
        <v>0</v>
      </c>
      <c r="AP18" s="15"/>
      <c r="AQ18" s="124">
        <f t="shared" ref="AQ18" si="662">AP18*$E18</f>
        <v>0</v>
      </c>
      <c r="AR18" s="15"/>
      <c r="AS18" s="124">
        <f t="shared" ref="AS18" si="663">AR18*$E18</f>
        <v>0</v>
      </c>
      <c r="AT18" s="17"/>
      <c r="AU18" s="124">
        <f t="shared" ref="AU18" si="664">AT18*$E18</f>
        <v>0</v>
      </c>
      <c r="AV18" s="15"/>
      <c r="AW18" s="124">
        <f t="shared" ref="AW18" si="665">AV18*$E18</f>
        <v>0</v>
      </c>
      <c r="AX18" s="15"/>
      <c r="AY18" s="124">
        <f t="shared" ref="AY18" si="666">AX18*$E18</f>
        <v>0</v>
      </c>
      <c r="AZ18" s="17"/>
      <c r="BA18" s="124">
        <f t="shared" ref="BA18" si="667">AZ18*$E18</f>
        <v>0</v>
      </c>
      <c r="BB18" s="33"/>
      <c r="BC18" s="124">
        <f t="shared" ref="BC18" si="668">BB18*$E18</f>
        <v>0</v>
      </c>
      <c r="BD18" s="33"/>
      <c r="BE18" s="124">
        <f t="shared" ref="BE18" si="669">BD18*$E18</f>
        <v>0</v>
      </c>
      <c r="BF18" s="125">
        <f t="shared" si="27"/>
        <v>0</v>
      </c>
      <c r="BG18" s="126">
        <f t="shared" ref="BG18" si="670">BF18*$E18</f>
        <v>0</v>
      </c>
      <c r="BH18" s="123"/>
      <c r="BI18" s="124">
        <f t="shared" ref="BI18" si="671">BH18*$E18</f>
        <v>0</v>
      </c>
      <c r="BJ18" s="123"/>
      <c r="BK18" s="124">
        <f t="shared" ref="BK18" si="672">BJ18*$E18</f>
        <v>0</v>
      </c>
      <c r="BL18" s="123"/>
      <c r="BM18" s="124">
        <f t="shared" ref="BM18" si="673">BL18*$E18</f>
        <v>0</v>
      </c>
      <c r="BN18" s="123"/>
      <c r="BO18" s="124">
        <f t="shared" ref="BO18" si="674">BN18*$E18</f>
        <v>0</v>
      </c>
      <c r="BP18" s="123"/>
      <c r="BQ18" s="124">
        <f t="shared" ref="BQ18" si="675">BP18*$E18</f>
        <v>0</v>
      </c>
      <c r="BR18" s="123"/>
      <c r="BS18" s="124">
        <f t="shared" ref="BS18" si="676">BR18*$E18</f>
        <v>0</v>
      </c>
      <c r="BT18" s="123"/>
      <c r="BU18" s="124">
        <f t="shared" ref="BU18" si="677">BT18*$E18</f>
        <v>0</v>
      </c>
      <c r="BV18" s="123"/>
      <c r="BW18" s="124">
        <f t="shared" ref="BW18" si="678">BV18*$E18</f>
        <v>0</v>
      </c>
      <c r="BX18" s="123"/>
      <c r="BY18" s="124">
        <f t="shared" ref="BY18" si="679">BX18*$E18</f>
        <v>0</v>
      </c>
      <c r="BZ18" s="123"/>
      <c r="CA18" s="124">
        <f t="shared" ref="CA18" si="680">BZ18*$E18</f>
        <v>0</v>
      </c>
      <c r="CB18" s="123"/>
      <c r="CC18" s="124">
        <f t="shared" ref="CC18" si="681">CB18*$E18</f>
        <v>0</v>
      </c>
      <c r="CD18" s="123"/>
      <c r="CE18" s="124">
        <f t="shared" ref="CE18" si="682">CD18*$E18</f>
        <v>0</v>
      </c>
      <c r="CF18" s="125">
        <f t="shared" si="41"/>
        <v>0</v>
      </c>
      <c r="CG18" s="126">
        <f t="shared" ref="CG18" si="683">CF18*$E18</f>
        <v>0</v>
      </c>
      <c r="CH18" s="123"/>
      <c r="CI18" s="124">
        <f t="shared" ref="CI18" si="684">CH18*$E18</f>
        <v>0</v>
      </c>
      <c r="CJ18" s="123"/>
      <c r="CK18" s="124">
        <f t="shared" ref="CK18" si="685">CJ18*$E18</f>
        <v>0</v>
      </c>
      <c r="CL18" s="123"/>
      <c r="CM18" s="124">
        <f t="shared" ref="CM18" si="686">CL18*$E18</f>
        <v>0</v>
      </c>
      <c r="CN18" s="123"/>
      <c r="CO18" s="124">
        <f t="shared" ref="CO18" si="687">CN18*$E18</f>
        <v>0</v>
      </c>
      <c r="CP18" s="123"/>
      <c r="CQ18" s="124">
        <f t="shared" ref="CQ18" si="688">CP18*$E18</f>
        <v>0</v>
      </c>
      <c r="CR18" s="123"/>
      <c r="CS18" s="124">
        <f t="shared" ref="CS18" si="689">CR18*$E18</f>
        <v>0</v>
      </c>
      <c r="CT18" s="123"/>
      <c r="CU18" s="124">
        <f t="shared" ref="CU18" si="690">CT18*$E18</f>
        <v>0</v>
      </c>
      <c r="CV18" s="123"/>
      <c r="CW18" s="124">
        <f t="shared" ref="CW18" si="691">CV18*$E18</f>
        <v>0</v>
      </c>
      <c r="CX18" s="123"/>
      <c r="CY18" s="124">
        <f t="shared" ref="CY18" si="692">CX18*$E18</f>
        <v>0</v>
      </c>
      <c r="CZ18" s="123"/>
      <c r="DA18" s="124">
        <f t="shared" ref="DA18" si="693">CZ18*$E18</f>
        <v>0</v>
      </c>
      <c r="DB18" s="123"/>
      <c r="DC18" s="124">
        <f t="shared" si="53"/>
        <v>0</v>
      </c>
      <c r="DD18" s="123"/>
      <c r="DE18" s="124">
        <f t="shared" si="53"/>
        <v>0</v>
      </c>
      <c r="DF18" s="27">
        <f t="shared" si="0"/>
        <v>0</v>
      </c>
      <c r="DG18" s="124">
        <f t="shared" si="54"/>
        <v>0</v>
      </c>
    </row>
    <row r="19" spans="1:111" ht="18" customHeight="1" x14ac:dyDescent="0.5">
      <c r="A19" s="117">
        <v>14</v>
      </c>
      <c r="B19" s="122" t="s">
        <v>146</v>
      </c>
      <c r="C19" s="122" t="s">
        <v>233</v>
      </c>
      <c r="D19" s="117">
        <f t="shared" si="546"/>
        <v>21</v>
      </c>
      <c r="E19" s="117">
        <v>0.6</v>
      </c>
      <c r="F19" s="117" t="s">
        <v>232</v>
      </c>
      <c r="G19" s="117"/>
      <c r="H19" s="123"/>
      <c r="I19" s="124">
        <f t="shared" ref="I19" si="694">H19*$E19</f>
        <v>0</v>
      </c>
      <c r="J19" s="123"/>
      <c r="K19" s="124">
        <f t="shared" ref="K19" si="695">J19*$E19</f>
        <v>0</v>
      </c>
      <c r="L19" s="123"/>
      <c r="M19" s="124">
        <f t="shared" ref="M19" si="696">L19*$E19</f>
        <v>0</v>
      </c>
      <c r="N19" s="123"/>
      <c r="O19" s="124">
        <f t="shared" ref="O19" si="697">N19*$E19</f>
        <v>0</v>
      </c>
      <c r="P19" s="123"/>
      <c r="Q19" s="124">
        <f t="shared" ref="Q19" si="698">P19*$E19</f>
        <v>0</v>
      </c>
      <c r="R19" s="123"/>
      <c r="S19" s="124">
        <f t="shared" ref="S19" si="699">R19*$E19</f>
        <v>0</v>
      </c>
      <c r="T19" s="123"/>
      <c r="U19" s="124">
        <f t="shared" ref="U19" si="700">T19*$E19</f>
        <v>0</v>
      </c>
      <c r="V19" s="123"/>
      <c r="W19" s="124">
        <f t="shared" ref="W19" si="701">V19*$E19</f>
        <v>0</v>
      </c>
      <c r="X19" s="123"/>
      <c r="Y19" s="124">
        <f t="shared" ref="Y19" si="702">X19*$E19</f>
        <v>0</v>
      </c>
      <c r="Z19" s="123"/>
      <c r="AA19" s="124">
        <f t="shared" ref="AA19" si="703">Z19*$E19</f>
        <v>0</v>
      </c>
      <c r="AB19" s="123"/>
      <c r="AC19" s="124">
        <f t="shared" ref="AC19" si="704">AB19*$E19</f>
        <v>0</v>
      </c>
      <c r="AD19" s="123"/>
      <c r="AE19" s="124">
        <f t="shared" ref="AE19" si="705">AD19*$E19</f>
        <v>0</v>
      </c>
      <c r="AF19" s="125">
        <f t="shared" si="13"/>
        <v>0</v>
      </c>
      <c r="AG19" s="126">
        <f t="shared" ref="AG19" si="706">AF19*$E19</f>
        <v>0</v>
      </c>
      <c r="AH19" s="11"/>
      <c r="AI19" s="124">
        <f t="shared" ref="AI19" si="707">AH19*$E19</f>
        <v>0</v>
      </c>
      <c r="AJ19" s="15"/>
      <c r="AK19" s="124">
        <f t="shared" ref="AK19" si="708">AJ19*$E19</f>
        <v>0</v>
      </c>
      <c r="AL19" s="15"/>
      <c r="AM19" s="124">
        <f t="shared" ref="AM19" si="709">AL19*$E19</f>
        <v>0</v>
      </c>
      <c r="AN19" s="16"/>
      <c r="AO19" s="124">
        <f t="shared" ref="AO19" si="710">AN19*$E19</f>
        <v>0</v>
      </c>
      <c r="AP19" s="15"/>
      <c r="AQ19" s="124">
        <f t="shared" ref="AQ19" si="711">AP19*$E19</f>
        <v>0</v>
      </c>
      <c r="AR19" s="15"/>
      <c r="AS19" s="124">
        <f t="shared" ref="AS19" si="712">AR19*$E19</f>
        <v>0</v>
      </c>
      <c r="AT19" s="17"/>
      <c r="AU19" s="124">
        <f t="shared" ref="AU19" si="713">AT19*$E19</f>
        <v>0</v>
      </c>
      <c r="AV19" s="15"/>
      <c r="AW19" s="124">
        <f t="shared" ref="AW19" si="714">AV19*$E19</f>
        <v>0</v>
      </c>
      <c r="AX19" s="15"/>
      <c r="AY19" s="124">
        <f t="shared" ref="AY19" si="715">AX19*$E19</f>
        <v>0</v>
      </c>
      <c r="AZ19" s="17"/>
      <c r="BA19" s="124">
        <f t="shared" ref="BA19" si="716">AZ19*$E19</f>
        <v>0</v>
      </c>
      <c r="BB19" s="33"/>
      <c r="BC19" s="124">
        <f t="shared" ref="BC19" si="717">BB19*$E19</f>
        <v>0</v>
      </c>
      <c r="BD19" s="33"/>
      <c r="BE19" s="124">
        <f t="shared" ref="BE19" si="718">BD19*$E19</f>
        <v>0</v>
      </c>
      <c r="BF19" s="125">
        <f t="shared" si="27"/>
        <v>0</v>
      </c>
      <c r="BG19" s="126">
        <f t="shared" ref="BG19" si="719">BF19*$E19</f>
        <v>0</v>
      </c>
      <c r="BH19" s="123"/>
      <c r="BI19" s="124">
        <f t="shared" ref="BI19" si="720">BH19*$E19</f>
        <v>0</v>
      </c>
      <c r="BJ19" s="123"/>
      <c r="BK19" s="124">
        <f t="shared" ref="BK19" si="721">BJ19*$E19</f>
        <v>0</v>
      </c>
      <c r="BL19" s="123"/>
      <c r="BM19" s="124">
        <f t="shared" ref="BM19" si="722">BL19*$E19</f>
        <v>0</v>
      </c>
      <c r="BN19" s="123"/>
      <c r="BO19" s="124">
        <f t="shared" ref="BO19" si="723">BN19*$E19</f>
        <v>0</v>
      </c>
      <c r="BP19" s="123"/>
      <c r="BQ19" s="124">
        <f t="shared" ref="BQ19" si="724">BP19*$E19</f>
        <v>0</v>
      </c>
      <c r="BR19" s="123"/>
      <c r="BS19" s="124">
        <f t="shared" ref="BS19" si="725">BR19*$E19</f>
        <v>0</v>
      </c>
      <c r="BT19" s="123"/>
      <c r="BU19" s="124">
        <f t="shared" ref="BU19" si="726">BT19*$E19</f>
        <v>0</v>
      </c>
      <c r="BV19" s="123"/>
      <c r="BW19" s="124">
        <f t="shared" ref="BW19" si="727">BV19*$E19</f>
        <v>0</v>
      </c>
      <c r="BX19" s="123"/>
      <c r="BY19" s="124">
        <f t="shared" ref="BY19" si="728">BX19*$E19</f>
        <v>0</v>
      </c>
      <c r="BZ19" s="123"/>
      <c r="CA19" s="124">
        <f t="shared" ref="CA19" si="729">BZ19*$E19</f>
        <v>0</v>
      </c>
      <c r="CB19" s="123"/>
      <c r="CC19" s="124">
        <f t="shared" ref="CC19" si="730">CB19*$E19</f>
        <v>0</v>
      </c>
      <c r="CD19" s="123"/>
      <c r="CE19" s="124">
        <f t="shared" ref="CE19" si="731">CD19*$E19</f>
        <v>0</v>
      </c>
      <c r="CF19" s="125">
        <f t="shared" si="41"/>
        <v>0</v>
      </c>
      <c r="CG19" s="126">
        <f t="shared" ref="CG19" si="732">CF19*$E19</f>
        <v>0</v>
      </c>
      <c r="CH19" s="123"/>
      <c r="CI19" s="124">
        <f t="shared" ref="CI19" si="733">CH19*$E19</f>
        <v>0</v>
      </c>
      <c r="CJ19" s="123"/>
      <c r="CK19" s="124">
        <f t="shared" ref="CK19" si="734">CJ19*$E19</f>
        <v>0</v>
      </c>
      <c r="CL19" s="123"/>
      <c r="CM19" s="124">
        <f t="shared" ref="CM19" si="735">CL19*$E19</f>
        <v>0</v>
      </c>
      <c r="CN19" s="123"/>
      <c r="CO19" s="124">
        <f t="shared" ref="CO19" si="736">CN19*$E19</f>
        <v>0</v>
      </c>
      <c r="CP19" s="123"/>
      <c r="CQ19" s="124">
        <f t="shared" ref="CQ19" si="737">CP19*$E19</f>
        <v>0</v>
      </c>
      <c r="CR19" s="123"/>
      <c r="CS19" s="124">
        <f t="shared" ref="CS19" si="738">CR19*$E19</f>
        <v>0</v>
      </c>
      <c r="CT19" s="123"/>
      <c r="CU19" s="124">
        <f t="shared" ref="CU19" si="739">CT19*$E19</f>
        <v>0</v>
      </c>
      <c r="CV19" s="123"/>
      <c r="CW19" s="124">
        <f t="shared" ref="CW19" si="740">CV19*$E19</f>
        <v>0</v>
      </c>
      <c r="CX19" s="123"/>
      <c r="CY19" s="124">
        <f t="shared" ref="CY19" si="741">CX19*$E19</f>
        <v>0</v>
      </c>
      <c r="CZ19" s="123"/>
      <c r="DA19" s="124">
        <f t="shared" ref="DA19" si="742">CZ19*$E19</f>
        <v>0</v>
      </c>
      <c r="DB19" s="123"/>
      <c r="DC19" s="124">
        <f t="shared" si="53"/>
        <v>0</v>
      </c>
      <c r="DD19" s="123"/>
      <c r="DE19" s="124">
        <f t="shared" si="53"/>
        <v>0</v>
      </c>
      <c r="DF19" s="27">
        <f t="shared" si="0"/>
        <v>0</v>
      </c>
      <c r="DG19" s="124">
        <f t="shared" si="54"/>
        <v>0</v>
      </c>
    </row>
    <row r="20" spans="1:111" ht="18" customHeight="1" x14ac:dyDescent="0.5">
      <c r="A20" s="117">
        <v>15</v>
      </c>
      <c r="B20" s="122" t="s">
        <v>147</v>
      </c>
      <c r="C20" s="122" t="s">
        <v>233</v>
      </c>
      <c r="D20" s="117">
        <f t="shared" si="546"/>
        <v>21</v>
      </c>
      <c r="E20" s="117">
        <v>0.35</v>
      </c>
      <c r="F20" s="117" t="s">
        <v>234</v>
      </c>
      <c r="G20" s="117"/>
      <c r="H20" s="123"/>
      <c r="I20" s="124">
        <f t="shared" ref="I20" si="743">H20*$E20</f>
        <v>0</v>
      </c>
      <c r="J20" s="123"/>
      <c r="K20" s="124">
        <f t="shared" ref="K20" si="744">J20*$E20</f>
        <v>0</v>
      </c>
      <c r="L20" s="123"/>
      <c r="M20" s="124">
        <f t="shared" ref="M20" si="745">L20*$E20</f>
        <v>0</v>
      </c>
      <c r="N20" s="123"/>
      <c r="O20" s="124">
        <f t="shared" ref="O20" si="746">N20*$E20</f>
        <v>0</v>
      </c>
      <c r="P20" s="123"/>
      <c r="Q20" s="124">
        <f t="shared" ref="Q20" si="747">P20*$E20</f>
        <v>0</v>
      </c>
      <c r="R20" s="123"/>
      <c r="S20" s="124">
        <f t="shared" ref="S20" si="748">R20*$E20</f>
        <v>0</v>
      </c>
      <c r="T20" s="123"/>
      <c r="U20" s="124">
        <f t="shared" ref="U20" si="749">T20*$E20</f>
        <v>0</v>
      </c>
      <c r="V20" s="123"/>
      <c r="W20" s="124">
        <f t="shared" ref="W20" si="750">V20*$E20</f>
        <v>0</v>
      </c>
      <c r="X20" s="123"/>
      <c r="Y20" s="124">
        <f t="shared" ref="Y20" si="751">X20*$E20</f>
        <v>0</v>
      </c>
      <c r="Z20" s="123"/>
      <c r="AA20" s="124">
        <f t="shared" ref="AA20" si="752">Z20*$E20</f>
        <v>0</v>
      </c>
      <c r="AB20" s="123"/>
      <c r="AC20" s="124">
        <f t="shared" ref="AC20" si="753">AB20*$E20</f>
        <v>0</v>
      </c>
      <c r="AD20" s="123"/>
      <c r="AE20" s="124">
        <f t="shared" ref="AE20" si="754">AD20*$E20</f>
        <v>0</v>
      </c>
      <c r="AF20" s="125">
        <f t="shared" si="13"/>
        <v>0</v>
      </c>
      <c r="AG20" s="126">
        <f t="shared" ref="AG20" si="755">AF20*$E20</f>
        <v>0</v>
      </c>
      <c r="AH20" s="11"/>
      <c r="AI20" s="124">
        <f t="shared" ref="AI20" si="756">AH20*$E20</f>
        <v>0</v>
      </c>
      <c r="AJ20" s="15"/>
      <c r="AK20" s="124">
        <f t="shared" ref="AK20" si="757">AJ20*$E20</f>
        <v>0</v>
      </c>
      <c r="AL20" s="15"/>
      <c r="AM20" s="124">
        <f t="shared" ref="AM20" si="758">AL20*$E20</f>
        <v>0</v>
      </c>
      <c r="AN20" s="16"/>
      <c r="AO20" s="124">
        <f t="shared" ref="AO20" si="759">AN20*$E20</f>
        <v>0</v>
      </c>
      <c r="AP20" s="15"/>
      <c r="AQ20" s="124">
        <f t="shared" ref="AQ20" si="760">AP20*$E20</f>
        <v>0</v>
      </c>
      <c r="AR20" s="15"/>
      <c r="AS20" s="124">
        <f t="shared" ref="AS20" si="761">AR20*$E20</f>
        <v>0</v>
      </c>
      <c r="AT20" s="17"/>
      <c r="AU20" s="124">
        <f t="shared" ref="AU20" si="762">AT20*$E20</f>
        <v>0</v>
      </c>
      <c r="AV20" s="15"/>
      <c r="AW20" s="124">
        <f t="shared" ref="AW20" si="763">AV20*$E20</f>
        <v>0</v>
      </c>
      <c r="AX20" s="15"/>
      <c r="AY20" s="124">
        <f t="shared" ref="AY20" si="764">AX20*$E20</f>
        <v>0</v>
      </c>
      <c r="AZ20" s="17"/>
      <c r="BA20" s="124">
        <f t="shared" ref="BA20" si="765">AZ20*$E20</f>
        <v>0</v>
      </c>
      <c r="BB20" s="33"/>
      <c r="BC20" s="124">
        <f t="shared" ref="BC20" si="766">BB20*$E20</f>
        <v>0</v>
      </c>
      <c r="BD20" s="33"/>
      <c r="BE20" s="124">
        <f t="shared" ref="BE20" si="767">BD20*$E20</f>
        <v>0</v>
      </c>
      <c r="BF20" s="125">
        <f t="shared" si="27"/>
        <v>0</v>
      </c>
      <c r="BG20" s="126">
        <f t="shared" ref="BG20" si="768">BF20*$E20</f>
        <v>0</v>
      </c>
      <c r="BH20" s="123"/>
      <c r="BI20" s="124">
        <f t="shared" ref="BI20" si="769">BH20*$E20</f>
        <v>0</v>
      </c>
      <c r="BJ20" s="123"/>
      <c r="BK20" s="124">
        <f t="shared" ref="BK20" si="770">BJ20*$E20</f>
        <v>0</v>
      </c>
      <c r="BL20" s="123"/>
      <c r="BM20" s="124">
        <f t="shared" ref="BM20" si="771">BL20*$E20</f>
        <v>0</v>
      </c>
      <c r="BN20" s="123"/>
      <c r="BO20" s="124">
        <f t="shared" ref="BO20" si="772">BN20*$E20</f>
        <v>0</v>
      </c>
      <c r="BP20" s="123"/>
      <c r="BQ20" s="124">
        <f t="shared" ref="BQ20" si="773">BP20*$E20</f>
        <v>0</v>
      </c>
      <c r="BR20" s="123"/>
      <c r="BS20" s="124">
        <f t="shared" ref="BS20" si="774">BR20*$E20</f>
        <v>0</v>
      </c>
      <c r="BT20" s="123"/>
      <c r="BU20" s="124">
        <f t="shared" ref="BU20" si="775">BT20*$E20</f>
        <v>0</v>
      </c>
      <c r="BV20" s="123"/>
      <c r="BW20" s="124">
        <f t="shared" ref="BW20" si="776">BV20*$E20</f>
        <v>0</v>
      </c>
      <c r="BX20" s="123"/>
      <c r="BY20" s="124">
        <f t="shared" ref="BY20" si="777">BX20*$E20</f>
        <v>0</v>
      </c>
      <c r="BZ20" s="123"/>
      <c r="CA20" s="124">
        <f t="shared" ref="CA20" si="778">BZ20*$E20</f>
        <v>0</v>
      </c>
      <c r="CB20" s="123"/>
      <c r="CC20" s="124">
        <f t="shared" ref="CC20" si="779">CB20*$E20</f>
        <v>0</v>
      </c>
      <c r="CD20" s="123"/>
      <c r="CE20" s="124">
        <f t="shared" ref="CE20" si="780">CD20*$E20</f>
        <v>0</v>
      </c>
      <c r="CF20" s="125">
        <f t="shared" si="41"/>
        <v>0</v>
      </c>
      <c r="CG20" s="126">
        <f t="shared" ref="CG20" si="781">CF20*$E20</f>
        <v>0</v>
      </c>
      <c r="CH20" s="123"/>
      <c r="CI20" s="124">
        <f t="shared" ref="CI20" si="782">CH20*$E20</f>
        <v>0</v>
      </c>
      <c r="CJ20" s="123"/>
      <c r="CK20" s="124">
        <f t="shared" ref="CK20" si="783">CJ20*$E20</f>
        <v>0</v>
      </c>
      <c r="CL20" s="123"/>
      <c r="CM20" s="124">
        <f t="shared" ref="CM20" si="784">CL20*$E20</f>
        <v>0</v>
      </c>
      <c r="CN20" s="123"/>
      <c r="CO20" s="124">
        <f t="shared" ref="CO20" si="785">CN20*$E20</f>
        <v>0</v>
      </c>
      <c r="CP20" s="123"/>
      <c r="CQ20" s="124">
        <f t="shared" ref="CQ20" si="786">CP20*$E20</f>
        <v>0</v>
      </c>
      <c r="CR20" s="123"/>
      <c r="CS20" s="124">
        <f t="shared" ref="CS20" si="787">CR20*$E20</f>
        <v>0</v>
      </c>
      <c r="CT20" s="123"/>
      <c r="CU20" s="124">
        <f t="shared" ref="CU20" si="788">CT20*$E20</f>
        <v>0</v>
      </c>
      <c r="CV20" s="123"/>
      <c r="CW20" s="124">
        <f t="shared" ref="CW20" si="789">CV20*$E20</f>
        <v>0</v>
      </c>
      <c r="CX20" s="123"/>
      <c r="CY20" s="124">
        <f t="shared" ref="CY20" si="790">CX20*$E20</f>
        <v>0</v>
      </c>
      <c r="CZ20" s="123"/>
      <c r="DA20" s="124">
        <f t="shared" ref="DA20" si="791">CZ20*$E20</f>
        <v>0</v>
      </c>
      <c r="DB20" s="123"/>
      <c r="DC20" s="124">
        <f t="shared" si="53"/>
        <v>0</v>
      </c>
      <c r="DD20" s="123"/>
      <c r="DE20" s="124">
        <f t="shared" si="53"/>
        <v>0</v>
      </c>
      <c r="DF20" s="27">
        <f t="shared" si="0"/>
        <v>0</v>
      </c>
      <c r="DG20" s="124">
        <f t="shared" si="54"/>
        <v>0</v>
      </c>
    </row>
    <row r="21" spans="1:111" ht="18" customHeight="1" x14ac:dyDescent="0.5">
      <c r="A21" s="117">
        <v>16</v>
      </c>
      <c r="B21" s="122" t="s">
        <v>148</v>
      </c>
      <c r="C21" s="122" t="s">
        <v>233</v>
      </c>
      <c r="D21" s="117">
        <f t="shared" si="546"/>
        <v>21</v>
      </c>
      <c r="E21" s="117">
        <v>0.35</v>
      </c>
      <c r="F21" s="117" t="s">
        <v>234</v>
      </c>
      <c r="G21" s="117"/>
      <c r="H21" s="123"/>
      <c r="I21" s="124">
        <f t="shared" ref="I21" si="792">H21*$E21</f>
        <v>0</v>
      </c>
      <c r="J21" s="123"/>
      <c r="K21" s="124">
        <f t="shared" ref="K21" si="793">J21*$E21</f>
        <v>0</v>
      </c>
      <c r="L21" s="123"/>
      <c r="M21" s="124">
        <f t="shared" ref="M21" si="794">L21*$E21</f>
        <v>0</v>
      </c>
      <c r="N21" s="123"/>
      <c r="O21" s="124">
        <f t="shared" ref="O21" si="795">N21*$E21</f>
        <v>0</v>
      </c>
      <c r="P21" s="123"/>
      <c r="Q21" s="124">
        <f t="shared" ref="Q21" si="796">P21*$E21</f>
        <v>0</v>
      </c>
      <c r="R21" s="123"/>
      <c r="S21" s="124">
        <f t="shared" ref="S21" si="797">R21*$E21</f>
        <v>0</v>
      </c>
      <c r="T21" s="123"/>
      <c r="U21" s="124">
        <f t="shared" ref="U21" si="798">T21*$E21</f>
        <v>0</v>
      </c>
      <c r="V21" s="123"/>
      <c r="W21" s="124">
        <f t="shared" ref="W21" si="799">V21*$E21</f>
        <v>0</v>
      </c>
      <c r="X21" s="123"/>
      <c r="Y21" s="124">
        <f t="shared" ref="Y21" si="800">X21*$E21</f>
        <v>0</v>
      </c>
      <c r="Z21" s="123"/>
      <c r="AA21" s="124">
        <f t="shared" ref="AA21" si="801">Z21*$E21</f>
        <v>0</v>
      </c>
      <c r="AB21" s="123"/>
      <c r="AC21" s="124">
        <f t="shared" ref="AC21" si="802">AB21*$E21</f>
        <v>0</v>
      </c>
      <c r="AD21" s="123"/>
      <c r="AE21" s="124">
        <f t="shared" ref="AE21" si="803">AD21*$E21</f>
        <v>0</v>
      </c>
      <c r="AF21" s="125">
        <f t="shared" si="13"/>
        <v>0</v>
      </c>
      <c r="AG21" s="126">
        <f t="shared" ref="AG21" si="804">AF21*$E21</f>
        <v>0</v>
      </c>
      <c r="AH21" s="11"/>
      <c r="AI21" s="124">
        <f t="shared" ref="AI21" si="805">AH21*$E21</f>
        <v>0</v>
      </c>
      <c r="AJ21" s="15"/>
      <c r="AK21" s="124">
        <f t="shared" ref="AK21" si="806">AJ21*$E21</f>
        <v>0</v>
      </c>
      <c r="AL21" s="15"/>
      <c r="AM21" s="124">
        <f t="shared" ref="AM21" si="807">AL21*$E21</f>
        <v>0</v>
      </c>
      <c r="AN21" s="16"/>
      <c r="AO21" s="124">
        <f t="shared" ref="AO21" si="808">AN21*$E21</f>
        <v>0</v>
      </c>
      <c r="AP21" s="15"/>
      <c r="AQ21" s="124">
        <f t="shared" ref="AQ21" si="809">AP21*$E21</f>
        <v>0</v>
      </c>
      <c r="AR21" s="15"/>
      <c r="AS21" s="124">
        <f t="shared" ref="AS21" si="810">AR21*$E21</f>
        <v>0</v>
      </c>
      <c r="AT21" s="17"/>
      <c r="AU21" s="124">
        <f t="shared" ref="AU21" si="811">AT21*$E21</f>
        <v>0</v>
      </c>
      <c r="AV21" s="15"/>
      <c r="AW21" s="124">
        <f t="shared" ref="AW21" si="812">AV21*$E21</f>
        <v>0</v>
      </c>
      <c r="AX21" s="15"/>
      <c r="AY21" s="124">
        <f t="shared" ref="AY21" si="813">AX21*$E21</f>
        <v>0</v>
      </c>
      <c r="AZ21" s="17"/>
      <c r="BA21" s="124">
        <f t="shared" ref="BA21" si="814">AZ21*$E21</f>
        <v>0</v>
      </c>
      <c r="BB21" s="33"/>
      <c r="BC21" s="124">
        <f t="shared" ref="BC21" si="815">BB21*$E21</f>
        <v>0</v>
      </c>
      <c r="BD21" s="33"/>
      <c r="BE21" s="124">
        <f t="shared" ref="BE21" si="816">BD21*$E21</f>
        <v>0</v>
      </c>
      <c r="BF21" s="125">
        <f t="shared" si="27"/>
        <v>0</v>
      </c>
      <c r="BG21" s="126">
        <f t="shared" ref="BG21" si="817">BF21*$E21</f>
        <v>0</v>
      </c>
      <c r="BH21" s="123"/>
      <c r="BI21" s="124">
        <f t="shared" ref="BI21" si="818">BH21*$E21</f>
        <v>0</v>
      </c>
      <c r="BJ21" s="123"/>
      <c r="BK21" s="124">
        <f t="shared" ref="BK21" si="819">BJ21*$E21</f>
        <v>0</v>
      </c>
      <c r="BL21" s="123"/>
      <c r="BM21" s="124">
        <f t="shared" ref="BM21" si="820">BL21*$E21</f>
        <v>0</v>
      </c>
      <c r="BN21" s="123"/>
      <c r="BO21" s="124">
        <f t="shared" ref="BO21" si="821">BN21*$E21</f>
        <v>0</v>
      </c>
      <c r="BP21" s="123"/>
      <c r="BQ21" s="124">
        <f t="shared" ref="BQ21" si="822">BP21*$E21</f>
        <v>0</v>
      </c>
      <c r="BR21" s="123"/>
      <c r="BS21" s="124">
        <f t="shared" ref="BS21" si="823">BR21*$E21</f>
        <v>0</v>
      </c>
      <c r="BT21" s="123"/>
      <c r="BU21" s="124">
        <f t="shared" ref="BU21" si="824">BT21*$E21</f>
        <v>0</v>
      </c>
      <c r="BV21" s="123"/>
      <c r="BW21" s="124">
        <f t="shared" ref="BW21" si="825">BV21*$E21</f>
        <v>0</v>
      </c>
      <c r="BX21" s="123"/>
      <c r="BY21" s="124">
        <f t="shared" ref="BY21" si="826">BX21*$E21</f>
        <v>0</v>
      </c>
      <c r="BZ21" s="123"/>
      <c r="CA21" s="124">
        <f t="shared" ref="CA21" si="827">BZ21*$E21</f>
        <v>0</v>
      </c>
      <c r="CB21" s="123"/>
      <c r="CC21" s="124">
        <f t="shared" ref="CC21" si="828">CB21*$E21</f>
        <v>0</v>
      </c>
      <c r="CD21" s="123"/>
      <c r="CE21" s="124">
        <f t="shared" ref="CE21" si="829">CD21*$E21</f>
        <v>0</v>
      </c>
      <c r="CF21" s="125">
        <f t="shared" si="41"/>
        <v>0</v>
      </c>
      <c r="CG21" s="126">
        <f t="shared" ref="CG21" si="830">CF21*$E21</f>
        <v>0</v>
      </c>
      <c r="CH21" s="123"/>
      <c r="CI21" s="124">
        <f t="shared" ref="CI21" si="831">CH21*$E21</f>
        <v>0</v>
      </c>
      <c r="CJ21" s="123"/>
      <c r="CK21" s="124">
        <f t="shared" ref="CK21" si="832">CJ21*$E21</f>
        <v>0</v>
      </c>
      <c r="CL21" s="123"/>
      <c r="CM21" s="124">
        <f t="shared" ref="CM21" si="833">CL21*$E21</f>
        <v>0</v>
      </c>
      <c r="CN21" s="123"/>
      <c r="CO21" s="124">
        <f t="shared" ref="CO21" si="834">CN21*$E21</f>
        <v>0</v>
      </c>
      <c r="CP21" s="123"/>
      <c r="CQ21" s="124">
        <f t="shared" ref="CQ21" si="835">CP21*$E21</f>
        <v>0</v>
      </c>
      <c r="CR21" s="123"/>
      <c r="CS21" s="124">
        <f t="shared" ref="CS21" si="836">CR21*$E21</f>
        <v>0</v>
      </c>
      <c r="CT21" s="123"/>
      <c r="CU21" s="124">
        <f t="shared" ref="CU21" si="837">CT21*$E21</f>
        <v>0</v>
      </c>
      <c r="CV21" s="123"/>
      <c r="CW21" s="124">
        <f t="shared" ref="CW21" si="838">CV21*$E21</f>
        <v>0</v>
      </c>
      <c r="CX21" s="123"/>
      <c r="CY21" s="124">
        <f t="shared" ref="CY21" si="839">CX21*$E21</f>
        <v>0</v>
      </c>
      <c r="CZ21" s="123"/>
      <c r="DA21" s="124">
        <f t="shared" ref="DA21" si="840">CZ21*$E21</f>
        <v>0</v>
      </c>
      <c r="DB21" s="123"/>
      <c r="DC21" s="124">
        <f t="shared" si="53"/>
        <v>0</v>
      </c>
      <c r="DD21" s="123"/>
      <c r="DE21" s="124">
        <f t="shared" si="53"/>
        <v>0</v>
      </c>
      <c r="DF21" s="27">
        <f t="shared" si="0"/>
        <v>0</v>
      </c>
      <c r="DG21" s="124">
        <f t="shared" si="54"/>
        <v>0</v>
      </c>
    </row>
    <row r="22" spans="1:111" ht="18" customHeight="1" x14ac:dyDescent="0.5">
      <c r="A22" s="117">
        <v>17</v>
      </c>
      <c r="B22" s="122" t="s">
        <v>149</v>
      </c>
      <c r="C22" s="122" t="s">
        <v>231</v>
      </c>
      <c r="D22" s="117">
        <f t="shared" si="546"/>
        <v>8</v>
      </c>
      <c r="E22" s="117">
        <v>0.64</v>
      </c>
      <c r="F22" s="117" t="s">
        <v>236</v>
      </c>
      <c r="G22" s="117">
        <v>1250</v>
      </c>
      <c r="H22" s="123">
        <v>2660</v>
      </c>
      <c r="I22" s="124">
        <f t="shared" ref="I22" si="841">H22*$E22</f>
        <v>1702.4</v>
      </c>
      <c r="J22" s="123">
        <v>700</v>
      </c>
      <c r="K22" s="124">
        <f t="shared" ref="K22" si="842">J22*$E22</f>
        <v>448</v>
      </c>
      <c r="L22" s="123">
        <v>3654</v>
      </c>
      <c r="M22" s="124">
        <f t="shared" ref="M22" si="843">L22*$E22</f>
        <v>2338.56</v>
      </c>
      <c r="N22" s="123">
        <v>4046</v>
      </c>
      <c r="O22" s="124">
        <f t="shared" ref="O22" si="844">N22*$E22</f>
        <v>2589.44</v>
      </c>
      <c r="P22" s="123">
        <v>1540</v>
      </c>
      <c r="Q22" s="124">
        <f t="shared" ref="Q22" si="845">P22*$E22</f>
        <v>985.6</v>
      </c>
      <c r="R22" s="123">
        <v>3122</v>
      </c>
      <c r="S22" s="124">
        <f t="shared" ref="S22" si="846">R22*$E22</f>
        <v>1998.0800000000002</v>
      </c>
      <c r="T22" s="123">
        <v>3906</v>
      </c>
      <c r="U22" s="124">
        <f t="shared" ref="U22" si="847">T22*$E22</f>
        <v>2499.84</v>
      </c>
      <c r="V22" s="123">
        <v>3094</v>
      </c>
      <c r="W22" s="124">
        <f t="shared" ref="W22" si="848">V22*$E22</f>
        <v>1980.16</v>
      </c>
      <c r="X22" s="123">
        <v>574</v>
      </c>
      <c r="Y22" s="124">
        <f t="shared" ref="Y22" si="849">X22*$E22</f>
        <v>367.36</v>
      </c>
      <c r="Z22" s="123">
        <v>1746</v>
      </c>
      <c r="AA22" s="124">
        <f t="shared" ref="AA22" si="850">Z22*$E22</f>
        <v>1117.44</v>
      </c>
      <c r="AB22" s="123">
        <v>1344</v>
      </c>
      <c r="AC22" s="124">
        <f t="shared" ref="AC22" si="851">AB22*$E22</f>
        <v>860.16</v>
      </c>
      <c r="AD22" s="123">
        <v>2758</v>
      </c>
      <c r="AE22" s="124">
        <f t="shared" ref="AE22" si="852">AD22*$E22</f>
        <v>1765.1200000000001</v>
      </c>
      <c r="AF22" s="125">
        <f t="shared" si="13"/>
        <v>29144</v>
      </c>
      <c r="AG22" s="126">
        <f t="shared" ref="AG22" si="853">AF22*$E22</f>
        <v>18652.16</v>
      </c>
      <c r="AH22" s="11"/>
      <c r="AI22" s="124">
        <f t="shared" ref="AI22" si="854">AH22*$E22</f>
        <v>0</v>
      </c>
      <c r="AJ22" s="15">
        <v>1778</v>
      </c>
      <c r="AK22" s="124">
        <f t="shared" ref="AK22" si="855">AJ22*$E22</f>
        <v>1137.92</v>
      </c>
      <c r="AL22" s="15">
        <v>3640</v>
      </c>
      <c r="AM22" s="124">
        <f t="shared" ref="AM22" si="856">AL22*$E22</f>
        <v>2329.6</v>
      </c>
      <c r="AN22" s="16">
        <v>2212</v>
      </c>
      <c r="AO22" s="124">
        <f t="shared" ref="AO22" si="857">AN22*$E22</f>
        <v>1415.68</v>
      </c>
      <c r="AP22" s="15">
        <v>3696</v>
      </c>
      <c r="AQ22" s="124">
        <f t="shared" ref="AQ22" si="858">AP22*$E22</f>
        <v>2365.44</v>
      </c>
      <c r="AR22" s="15">
        <v>2394</v>
      </c>
      <c r="AS22" s="124">
        <f t="shared" ref="AS22" si="859">AR22*$E22</f>
        <v>1532.16</v>
      </c>
      <c r="AT22" s="17">
        <v>3514</v>
      </c>
      <c r="AU22" s="124">
        <f t="shared" ref="AU22" si="860">AT22*$E22</f>
        <v>2248.96</v>
      </c>
      <c r="AV22" s="15">
        <v>5068</v>
      </c>
      <c r="AW22" s="124">
        <f t="shared" ref="AW22" si="861">AV22*$E22</f>
        <v>3243.52</v>
      </c>
      <c r="AX22" s="15">
        <v>602</v>
      </c>
      <c r="AY22" s="124">
        <f t="shared" ref="AY22" si="862">AX22*$E22</f>
        <v>385.28000000000003</v>
      </c>
      <c r="AZ22" s="17">
        <v>1498</v>
      </c>
      <c r="BA22" s="124">
        <f t="shared" ref="BA22" si="863">AZ22*$E22</f>
        <v>958.72</v>
      </c>
      <c r="BB22" s="33">
        <v>2100</v>
      </c>
      <c r="BC22" s="124">
        <f t="shared" ref="BC22" si="864">BB22*$E22</f>
        <v>1344</v>
      </c>
      <c r="BD22" s="33">
        <v>1470</v>
      </c>
      <c r="BE22" s="124">
        <f t="shared" ref="BE22" si="865">BD22*$E22</f>
        <v>940.80000000000007</v>
      </c>
      <c r="BF22" s="125">
        <f t="shared" si="27"/>
        <v>27972</v>
      </c>
      <c r="BG22" s="126">
        <f t="shared" ref="BG22" si="866">BF22*$E22</f>
        <v>17902.080000000002</v>
      </c>
      <c r="BH22" s="64">
        <v>1400</v>
      </c>
      <c r="BI22" s="124">
        <f t="shared" ref="BI22" si="867">BH22*$E22</f>
        <v>896</v>
      </c>
      <c r="BJ22" s="64">
        <v>1960</v>
      </c>
      <c r="BK22" s="124">
        <f t="shared" ref="BK22" si="868">BJ22*$E22</f>
        <v>1254.4000000000001</v>
      </c>
      <c r="BL22" s="64">
        <v>2800</v>
      </c>
      <c r="BM22" s="124">
        <f t="shared" ref="BM22" si="869">BL22*$E22</f>
        <v>1792</v>
      </c>
      <c r="BN22" s="64">
        <v>3500</v>
      </c>
      <c r="BO22" s="124">
        <f t="shared" ref="BO22" si="870">BN22*$E22</f>
        <v>2240</v>
      </c>
      <c r="BP22" s="64">
        <v>2100</v>
      </c>
      <c r="BQ22" s="124">
        <f t="shared" ref="BQ22" si="871">BP22*$E22</f>
        <v>1344</v>
      </c>
      <c r="BR22" s="65">
        <v>4200</v>
      </c>
      <c r="BS22" s="124">
        <f t="shared" ref="BS22" si="872">BR22*$E22</f>
        <v>2688</v>
      </c>
      <c r="BT22" s="71">
        <v>3500</v>
      </c>
      <c r="BU22" s="124">
        <f t="shared" ref="BU22" si="873">BT22*$E22</f>
        <v>2240</v>
      </c>
      <c r="BV22" s="67">
        <v>3500</v>
      </c>
      <c r="BW22" s="124">
        <f t="shared" ref="BW22" si="874">BV22*$E22</f>
        <v>2240</v>
      </c>
      <c r="BX22" s="67">
        <v>2800</v>
      </c>
      <c r="BY22" s="124">
        <f t="shared" ref="BY22" si="875">BX22*$E22</f>
        <v>1792</v>
      </c>
      <c r="BZ22" s="67">
        <v>3500</v>
      </c>
      <c r="CA22" s="124">
        <f t="shared" ref="CA22" si="876">BZ22*$E22</f>
        <v>2240</v>
      </c>
      <c r="CB22" s="67">
        <v>4200</v>
      </c>
      <c r="CC22" s="124">
        <f t="shared" ref="CC22" si="877">CB22*$E22</f>
        <v>2688</v>
      </c>
      <c r="CD22" s="67">
        <v>2800</v>
      </c>
      <c r="CE22" s="124">
        <f t="shared" ref="CE22" si="878">CD22*$E22</f>
        <v>1792</v>
      </c>
      <c r="CF22" s="125">
        <f t="shared" si="41"/>
        <v>36260</v>
      </c>
      <c r="CG22" s="126">
        <f t="shared" ref="CG22" si="879">CF22*$E22</f>
        <v>23206.400000000001</v>
      </c>
      <c r="CH22" s="123">
        <v>2800</v>
      </c>
      <c r="CI22" s="124">
        <f t="shared" ref="CI22" si="880">CH22*$E22</f>
        <v>1792</v>
      </c>
      <c r="CJ22" s="123">
        <v>1400</v>
      </c>
      <c r="CK22" s="124">
        <f t="shared" ref="CK22" si="881">CJ22*$E22</f>
        <v>896</v>
      </c>
      <c r="CL22" s="123">
        <v>2800</v>
      </c>
      <c r="CM22" s="124">
        <f t="shared" ref="CM22" si="882">CL22*$E22</f>
        <v>1792</v>
      </c>
      <c r="CN22" s="123">
        <v>4200</v>
      </c>
      <c r="CO22" s="124">
        <f t="shared" ref="CO22" si="883">CN22*$E22</f>
        <v>2688</v>
      </c>
      <c r="CP22" s="123">
        <v>1400</v>
      </c>
      <c r="CQ22" s="124">
        <f t="shared" ref="CQ22" si="884">CP22*$E22</f>
        <v>896</v>
      </c>
      <c r="CR22" s="123">
        <v>2800</v>
      </c>
      <c r="CS22" s="124">
        <f t="shared" ref="CS22" si="885">CR22*$E22</f>
        <v>1792</v>
      </c>
      <c r="CT22" s="123">
        <v>4200</v>
      </c>
      <c r="CU22" s="124">
        <f t="shared" ref="CU22" si="886">CT22*$E22</f>
        <v>2688</v>
      </c>
      <c r="CV22" s="123">
        <v>1400</v>
      </c>
      <c r="CW22" s="124">
        <f t="shared" ref="CW22" si="887">CV22*$E22</f>
        <v>896</v>
      </c>
      <c r="CX22" s="123">
        <v>2800</v>
      </c>
      <c r="CY22" s="124">
        <f t="shared" ref="CY22" si="888">CX22*$E22</f>
        <v>1792</v>
      </c>
      <c r="CZ22" s="123">
        <v>2800</v>
      </c>
      <c r="DA22" s="124">
        <f t="shared" ref="DA22" si="889">CZ22*$E22</f>
        <v>1792</v>
      </c>
      <c r="DB22" s="123">
        <v>4200</v>
      </c>
      <c r="DC22" s="124">
        <f t="shared" si="53"/>
        <v>2688</v>
      </c>
      <c r="DD22" s="123"/>
      <c r="DE22" s="124">
        <f t="shared" si="53"/>
        <v>0</v>
      </c>
      <c r="DF22" s="27">
        <f t="shared" si="0"/>
        <v>30800</v>
      </c>
      <c r="DG22" s="124">
        <f t="shared" si="54"/>
        <v>19712</v>
      </c>
    </row>
    <row r="23" spans="1:111" ht="18" customHeight="1" x14ac:dyDescent="0.5">
      <c r="A23" s="117">
        <v>18</v>
      </c>
      <c r="B23" s="122" t="s">
        <v>150</v>
      </c>
      <c r="C23" s="122" t="s">
        <v>231</v>
      </c>
      <c r="D23" s="117">
        <f t="shared" si="546"/>
        <v>21</v>
      </c>
      <c r="E23" s="117">
        <v>0.64</v>
      </c>
      <c r="F23" s="117" t="s">
        <v>236</v>
      </c>
      <c r="G23" s="117"/>
      <c r="H23" s="123"/>
      <c r="I23" s="124">
        <f t="shared" ref="I23" si="890">H23*$E23</f>
        <v>0</v>
      </c>
      <c r="J23" s="123"/>
      <c r="K23" s="124">
        <f t="shared" ref="K23" si="891">J23*$E23</f>
        <v>0</v>
      </c>
      <c r="L23" s="123"/>
      <c r="M23" s="124">
        <f t="shared" ref="M23" si="892">L23*$E23</f>
        <v>0</v>
      </c>
      <c r="N23" s="123"/>
      <c r="O23" s="124">
        <f t="shared" ref="O23" si="893">N23*$E23</f>
        <v>0</v>
      </c>
      <c r="P23" s="123"/>
      <c r="Q23" s="124">
        <f t="shared" ref="Q23" si="894">P23*$E23</f>
        <v>0</v>
      </c>
      <c r="R23" s="123"/>
      <c r="S23" s="124">
        <f t="shared" ref="S23" si="895">R23*$E23</f>
        <v>0</v>
      </c>
      <c r="T23" s="123"/>
      <c r="U23" s="124">
        <f t="shared" ref="U23" si="896">T23*$E23</f>
        <v>0</v>
      </c>
      <c r="V23" s="123"/>
      <c r="W23" s="124">
        <f t="shared" ref="W23" si="897">V23*$E23</f>
        <v>0</v>
      </c>
      <c r="X23" s="123"/>
      <c r="Y23" s="124">
        <f t="shared" ref="Y23" si="898">X23*$E23</f>
        <v>0</v>
      </c>
      <c r="Z23" s="123"/>
      <c r="AA23" s="124">
        <f t="shared" ref="AA23" si="899">Z23*$E23</f>
        <v>0</v>
      </c>
      <c r="AB23" s="123"/>
      <c r="AC23" s="124">
        <f t="shared" ref="AC23" si="900">AB23*$E23</f>
        <v>0</v>
      </c>
      <c r="AD23" s="123"/>
      <c r="AE23" s="124">
        <f t="shared" ref="AE23" si="901">AD23*$E23</f>
        <v>0</v>
      </c>
      <c r="AF23" s="125">
        <f t="shared" si="13"/>
        <v>0</v>
      </c>
      <c r="AG23" s="126">
        <f t="shared" ref="AG23" si="902">AF23*$E23</f>
        <v>0</v>
      </c>
      <c r="AH23" s="11"/>
      <c r="AI23" s="124">
        <f t="shared" ref="AI23" si="903">AH23*$E23</f>
        <v>0</v>
      </c>
      <c r="AJ23" s="15"/>
      <c r="AK23" s="124">
        <f t="shared" ref="AK23" si="904">AJ23*$E23</f>
        <v>0</v>
      </c>
      <c r="AL23" s="15"/>
      <c r="AM23" s="124">
        <f t="shared" ref="AM23" si="905">AL23*$E23</f>
        <v>0</v>
      </c>
      <c r="AN23" s="16"/>
      <c r="AO23" s="124">
        <f t="shared" ref="AO23" si="906">AN23*$E23</f>
        <v>0</v>
      </c>
      <c r="AP23" s="15"/>
      <c r="AQ23" s="124">
        <f t="shared" ref="AQ23" si="907">AP23*$E23</f>
        <v>0</v>
      </c>
      <c r="AR23" s="15"/>
      <c r="AS23" s="124">
        <f t="shared" ref="AS23" si="908">AR23*$E23</f>
        <v>0</v>
      </c>
      <c r="AT23" s="17"/>
      <c r="AU23" s="124">
        <f t="shared" ref="AU23" si="909">AT23*$E23</f>
        <v>0</v>
      </c>
      <c r="AV23" s="15"/>
      <c r="AW23" s="124">
        <f t="shared" ref="AW23" si="910">AV23*$E23</f>
        <v>0</v>
      </c>
      <c r="AX23" s="15"/>
      <c r="AY23" s="124">
        <f t="shared" ref="AY23" si="911">AX23*$E23</f>
        <v>0</v>
      </c>
      <c r="AZ23" s="17"/>
      <c r="BA23" s="124">
        <f t="shared" ref="BA23" si="912">AZ23*$E23</f>
        <v>0</v>
      </c>
      <c r="BB23" s="33"/>
      <c r="BC23" s="124">
        <f t="shared" ref="BC23" si="913">BB23*$E23</f>
        <v>0</v>
      </c>
      <c r="BD23" s="33"/>
      <c r="BE23" s="124">
        <f t="shared" ref="BE23" si="914">BD23*$E23</f>
        <v>0</v>
      </c>
      <c r="BF23" s="125">
        <f t="shared" si="27"/>
        <v>0</v>
      </c>
      <c r="BG23" s="126">
        <f t="shared" ref="BG23" si="915">BF23*$E23</f>
        <v>0</v>
      </c>
      <c r="BH23" s="123"/>
      <c r="BI23" s="124">
        <f t="shared" ref="BI23" si="916">BH23*$E23</f>
        <v>0</v>
      </c>
      <c r="BJ23" s="123"/>
      <c r="BK23" s="124">
        <f t="shared" ref="BK23" si="917">BJ23*$E23</f>
        <v>0</v>
      </c>
      <c r="BL23" s="123"/>
      <c r="BM23" s="124">
        <f t="shared" ref="BM23" si="918">BL23*$E23</f>
        <v>0</v>
      </c>
      <c r="BN23" s="123"/>
      <c r="BO23" s="124">
        <f t="shared" ref="BO23" si="919">BN23*$E23</f>
        <v>0</v>
      </c>
      <c r="BP23" s="123"/>
      <c r="BQ23" s="124">
        <f t="shared" ref="BQ23" si="920">BP23*$E23</f>
        <v>0</v>
      </c>
      <c r="BR23" s="123"/>
      <c r="BS23" s="124">
        <f t="shared" ref="BS23" si="921">BR23*$E23</f>
        <v>0</v>
      </c>
      <c r="BT23" s="123"/>
      <c r="BU23" s="124">
        <f t="shared" ref="BU23" si="922">BT23*$E23</f>
        <v>0</v>
      </c>
      <c r="BV23" s="123"/>
      <c r="BW23" s="124">
        <f t="shared" ref="BW23" si="923">BV23*$E23</f>
        <v>0</v>
      </c>
      <c r="BX23" s="123"/>
      <c r="BY23" s="124">
        <f t="shared" ref="BY23" si="924">BX23*$E23</f>
        <v>0</v>
      </c>
      <c r="BZ23" s="123"/>
      <c r="CA23" s="124">
        <f t="shared" ref="CA23" si="925">BZ23*$E23</f>
        <v>0</v>
      </c>
      <c r="CB23" s="123"/>
      <c r="CC23" s="124">
        <f t="shared" ref="CC23" si="926">CB23*$E23</f>
        <v>0</v>
      </c>
      <c r="CD23" s="123"/>
      <c r="CE23" s="124">
        <f t="shared" ref="CE23" si="927">CD23*$E23</f>
        <v>0</v>
      </c>
      <c r="CF23" s="125">
        <f t="shared" si="41"/>
        <v>0</v>
      </c>
      <c r="CG23" s="126">
        <f t="shared" ref="CG23" si="928">CF23*$E23</f>
        <v>0</v>
      </c>
      <c r="CH23" s="123"/>
      <c r="CI23" s="124">
        <f t="shared" ref="CI23" si="929">CH23*$E23</f>
        <v>0</v>
      </c>
      <c r="CJ23" s="123"/>
      <c r="CK23" s="124">
        <f t="shared" ref="CK23" si="930">CJ23*$E23</f>
        <v>0</v>
      </c>
      <c r="CL23" s="123"/>
      <c r="CM23" s="124">
        <f t="shared" ref="CM23" si="931">CL23*$E23</f>
        <v>0</v>
      </c>
      <c r="CN23" s="123"/>
      <c r="CO23" s="124">
        <f t="shared" ref="CO23" si="932">CN23*$E23</f>
        <v>0</v>
      </c>
      <c r="CP23" s="123"/>
      <c r="CQ23" s="124">
        <f t="shared" ref="CQ23" si="933">CP23*$E23</f>
        <v>0</v>
      </c>
      <c r="CR23" s="123"/>
      <c r="CS23" s="124">
        <f t="shared" ref="CS23" si="934">CR23*$E23</f>
        <v>0</v>
      </c>
      <c r="CT23" s="123"/>
      <c r="CU23" s="124">
        <f t="shared" ref="CU23" si="935">CT23*$E23</f>
        <v>0</v>
      </c>
      <c r="CV23" s="123"/>
      <c r="CW23" s="124">
        <f t="shared" ref="CW23" si="936">CV23*$E23</f>
        <v>0</v>
      </c>
      <c r="CX23" s="123"/>
      <c r="CY23" s="124">
        <f t="shared" ref="CY23" si="937">CX23*$E23</f>
        <v>0</v>
      </c>
      <c r="CZ23" s="123"/>
      <c r="DA23" s="124">
        <f t="shared" ref="DA23" si="938">CZ23*$E23</f>
        <v>0</v>
      </c>
      <c r="DB23" s="123"/>
      <c r="DC23" s="124">
        <f t="shared" si="53"/>
        <v>0</v>
      </c>
      <c r="DD23" s="123"/>
      <c r="DE23" s="124">
        <f t="shared" si="53"/>
        <v>0</v>
      </c>
      <c r="DF23" s="27">
        <f t="shared" si="0"/>
        <v>0</v>
      </c>
      <c r="DG23" s="124">
        <f t="shared" si="54"/>
        <v>0</v>
      </c>
    </row>
    <row r="24" spans="1:111" ht="18" customHeight="1" x14ac:dyDescent="0.5">
      <c r="A24" s="117">
        <v>19</v>
      </c>
      <c r="B24" s="122" t="s">
        <v>151</v>
      </c>
      <c r="C24" s="122" t="s">
        <v>231</v>
      </c>
      <c r="D24" s="117">
        <f t="shared" si="546"/>
        <v>21</v>
      </c>
      <c r="E24" s="117">
        <v>0.64</v>
      </c>
      <c r="F24" s="117" t="s">
        <v>236</v>
      </c>
      <c r="G24" s="117"/>
      <c r="H24" s="123"/>
      <c r="I24" s="124">
        <f t="shared" ref="I24" si="939">H24*$E24</f>
        <v>0</v>
      </c>
      <c r="J24" s="123"/>
      <c r="K24" s="124">
        <f t="shared" ref="K24" si="940">J24*$E24</f>
        <v>0</v>
      </c>
      <c r="L24" s="123"/>
      <c r="M24" s="124">
        <f t="shared" ref="M24" si="941">L24*$E24</f>
        <v>0</v>
      </c>
      <c r="N24" s="123"/>
      <c r="O24" s="124">
        <f t="shared" ref="O24" si="942">N24*$E24</f>
        <v>0</v>
      </c>
      <c r="P24" s="123"/>
      <c r="Q24" s="124">
        <f t="shared" ref="Q24" si="943">P24*$E24</f>
        <v>0</v>
      </c>
      <c r="R24" s="123"/>
      <c r="S24" s="124">
        <f t="shared" ref="S24" si="944">R24*$E24</f>
        <v>0</v>
      </c>
      <c r="T24" s="123"/>
      <c r="U24" s="124">
        <f t="shared" ref="U24" si="945">T24*$E24</f>
        <v>0</v>
      </c>
      <c r="V24" s="123"/>
      <c r="W24" s="124">
        <f t="shared" ref="W24" si="946">V24*$E24</f>
        <v>0</v>
      </c>
      <c r="X24" s="123"/>
      <c r="Y24" s="124">
        <f t="shared" ref="Y24" si="947">X24*$E24</f>
        <v>0</v>
      </c>
      <c r="Z24" s="123"/>
      <c r="AA24" s="124">
        <f t="shared" ref="AA24" si="948">Z24*$E24</f>
        <v>0</v>
      </c>
      <c r="AB24" s="123"/>
      <c r="AC24" s="124">
        <f t="shared" ref="AC24" si="949">AB24*$E24</f>
        <v>0</v>
      </c>
      <c r="AD24" s="123"/>
      <c r="AE24" s="124">
        <f t="shared" ref="AE24" si="950">AD24*$E24</f>
        <v>0</v>
      </c>
      <c r="AF24" s="125">
        <f t="shared" si="13"/>
        <v>0</v>
      </c>
      <c r="AG24" s="126">
        <f t="shared" ref="AG24" si="951">AF24*$E24</f>
        <v>0</v>
      </c>
      <c r="AH24" s="11"/>
      <c r="AI24" s="124">
        <f t="shared" ref="AI24" si="952">AH24*$E24</f>
        <v>0</v>
      </c>
      <c r="AJ24" s="15"/>
      <c r="AK24" s="124">
        <f t="shared" ref="AK24" si="953">AJ24*$E24</f>
        <v>0</v>
      </c>
      <c r="AL24" s="15"/>
      <c r="AM24" s="124">
        <f t="shared" ref="AM24" si="954">AL24*$E24</f>
        <v>0</v>
      </c>
      <c r="AN24" s="16"/>
      <c r="AO24" s="124">
        <f t="shared" ref="AO24" si="955">AN24*$E24</f>
        <v>0</v>
      </c>
      <c r="AP24" s="15"/>
      <c r="AQ24" s="124">
        <f t="shared" ref="AQ24" si="956">AP24*$E24</f>
        <v>0</v>
      </c>
      <c r="AR24" s="15"/>
      <c r="AS24" s="124">
        <f t="shared" ref="AS24" si="957">AR24*$E24</f>
        <v>0</v>
      </c>
      <c r="AT24" s="17"/>
      <c r="AU24" s="124">
        <f t="shared" ref="AU24" si="958">AT24*$E24</f>
        <v>0</v>
      </c>
      <c r="AV24" s="15"/>
      <c r="AW24" s="124">
        <f t="shared" ref="AW24" si="959">AV24*$E24</f>
        <v>0</v>
      </c>
      <c r="AX24" s="15"/>
      <c r="AY24" s="124">
        <f t="shared" ref="AY24" si="960">AX24*$E24</f>
        <v>0</v>
      </c>
      <c r="AZ24" s="17"/>
      <c r="BA24" s="124">
        <f t="shared" ref="BA24" si="961">AZ24*$E24</f>
        <v>0</v>
      </c>
      <c r="BB24" s="33"/>
      <c r="BC24" s="124">
        <f t="shared" ref="BC24" si="962">BB24*$E24</f>
        <v>0</v>
      </c>
      <c r="BD24" s="33"/>
      <c r="BE24" s="124">
        <f t="shared" ref="BE24" si="963">BD24*$E24</f>
        <v>0</v>
      </c>
      <c r="BF24" s="125">
        <f t="shared" si="27"/>
        <v>0</v>
      </c>
      <c r="BG24" s="126">
        <f t="shared" ref="BG24" si="964">BF24*$E24</f>
        <v>0</v>
      </c>
      <c r="BH24" s="123"/>
      <c r="BI24" s="124">
        <f t="shared" ref="BI24" si="965">BH24*$E24</f>
        <v>0</v>
      </c>
      <c r="BJ24" s="123"/>
      <c r="BK24" s="124">
        <f t="shared" ref="BK24" si="966">BJ24*$E24</f>
        <v>0</v>
      </c>
      <c r="BL24" s="123"/>
      <c r="BM24" s="124">
        <f t="shared" ref="BM24" si="967">BL24*$E24</f>
        <v>0</v>
      </c>
      <c r="BN24" s="123"/>
      <c r="BO24" s="124">
        <f t="shared" ref="BO24" si="968">BN24*$E24</f>
        <v>0</v>
      </c>
      <c r="BP24" s="123"/>
      <c r="BQ24" s="124">
        <f t="shared" ref="BQ24" si="969">BP24*$E24</f>
        <v>0</v>
      </c>
      <c r="BR24" s="123"/>
      <c r="BS24" s="124">
        <f t="shared" ref="BS24" si="970">BR24*$E24</f>
        <v>0</v>
      </c>
      <c r="BT24" s="123"/>
      <c r="BU24" s="124">
        <f t="shared" ref="BU24" si="971">BT24*$E24</f>
        <v>0</v>
      </c>
      <c r="BV24" s="123"/>
      <c r="BW24" s="124">
        <f t="shared" ref="BW24" si="972">BV24*$E24</f>
        <v>0</v>
      </c>
      <c r="BX24" s="123"/>
      <c r="BY24" s="124">
        <f t="shared" ref="BY24" si="973">BX24*$E24</f>
        <v>0</v>
      </c>
      <c r="BZ24" s="123"/>
      <c r="CA24" s="124">
        <f t="shared" ref="CA24" si="974">BZ24*$E24</f>
        <v>0</v>
      </c>
      <c r="CB24" s="123"/>
      <c r="CC24" s="124">
        <f t="shared" ref="CC24" si="975">CB24*$E24</f>
        <v>0</v>
      </c>
      <c r="CD24" s="123"/>
      <c r="CE24" s="124">
        <f t="shared" ref="CE24" si="976">CD24*$E24</f>
        <v>0</v>
      </c>
      <c r="CF24" s="125">
        <f t="shared" si="41"/>
        <v>0</v>
      </c>
      <c r="CG24" s="126">
        <f t="shared" ref="CG24" si="977">CF24*$E24</f>
        <v>0</v>
      </c>
      <c r="CH24" s="123"/>
      <c r="CI24" s="124">
        <f t="shared" ref="CI24" si="978">CH24*$E24</f>
        <v>0</v>
      </c>
      <c r="CJ24" s="123"/>
      <c r="CK24" s="124">
        <f t="shared" ref="CK24" si="979">CJ24*$E24</f>
        <v>0</v>
      </c>
      <c r="CL24" s="123"/>
      <c r="CM24" s="124">
        <f t="shared" ref="CM24" si="980">CL24*$E24</f>
        <v>0</v>
      </c>
      <c r="CN24" s="123"/>
      <c r="CO24" s="124">
        <f t="shared" ref="CO24" si="981">CN24*$E24</f>
        <v>0</v>
      </c>
      <c r="CP24" s="123"/>
      <c r="CQ24" s="124">
        <f t="shared" ref="CQ24" si="982">CP24*$E24</f>
        <v>0</v>
      </c>
      <c r="CR24" s="123"/>
      <c r="CS24" s="124">
        <f t="shared" ref="CS24" si="983">CR24*$E24</f>
        <v>0</v>
      </c>
      <c r="CT24" s="123"/>
      <c r="CU24" s="124">
        <f t="shared" ref="CU24" si="984">CT24*$E24</f>
        <v>0</v>
      </c>
      <c r="CV24" s="123"/>
      <c r="CW24" s="124">
        <f t="shared" ref="CW24" si="985">CV24*$E24</f>
        <v>0</v>
      </c>
      <c r="CX24" s="123"/>
      <c r="CY24" s="124">
        <f t="shared" ref="CY24" si="986">CX24*$E24</f>
        <v>0</v>
      </c>
      <c r="CZ24" s="123"/>
      <c r="DA24" s="124">
        <f t="shared" ref="DA24" si="987">CZ24*$E24</f>
        <v>0</v>
      </c>
      <c r="DB24" s="123"/>
      <c r="DC24" s="124">
        <f t="shared" si="53"/>
        <v>0</v>
      </c>
      <c r="DD24" s="123"/>
      <c r="DE24" s="124">
        <f t="shared" si="53"/>
        <v>0</v>
      </c>
      <c r="DF24" s="27">
        <f t="shared" si="0"/>
        <v>0</v>
      </c>
      <c r="DG24" s="124">
        <f t="shared" si="54"/>
        <v>0</v>
      </c>
    </row>
    <row r="25" spans="1:111" ht="18" customHeight="1" x14ac:dyDescent="0.5">
      <c r="A25" s="117"/>
      <c r="B25" s="122"/>
      <c r="C25" s="122"/>
      <c r="D25" s="117"/>
      <c r="E25" s="117"/>
      <c r="F25" s="117"/>
      <c r="G25" s="117"/>
      <c r="H25" s="123"/>
      <c r="I25" s="124">
        <f t="shared" ref="I25" si="988">H25*$E25</f>
        <v>0</v>
      </c>
      <c r="J25" s="123"/>
      <c r="K25" s="124">
        <f t="shared" ref="K25" si="989">J25*$E25</f>
        <v>0</v>
      </c>
      <c r="L25" s="123"/>
      <c r="M25" s="124">
        <f t="shared" ref="M25" si="990">L25*$E25</f>
        <v>0</v>
      </c>
      <c r="N25" s="123"/>
      <c r="O25" s="124">
        <f t="shared" ref="O25" si="991">N25*$E25</f>
        <v>0</v>
      </c>
      <c r="P25" s="123"/>
      <c r="Q25" s="124">
        <f t="shared" ref="Q25" si="992">P25*$E25</f>
        <v>0</v>
      </c>
      <c r="R25" s="123"/>
      <c r="S25" s="124">
        <f t="shared" ref="S25" si="993">R25*$E25</f>
        <v>0</v>
      </c>
      <c r="T25" s="123"/>
      <c r="U25" s="124">
        <f t="shared" ref="U25" si="994">T25*$E25</f>
        <v>0</v>
      </c>
      <c r="V25" s="123"/>
      <c r="W25" s="124">
        <f t="shared" ref="W25" si="995">V25*$E25</f>
        <v>0</v>
      </c>
      <c r="X25" s="123"/>
      <c r="Y25" s="124">
        <f t="shared" ref="Y25" si="996">X25*$E25</f>
        <v>0</v>
      </c>
      <c r="Z25" s="123"/>
      <c r="AA25" s="124">
        <f t="shared" ref="AA25" si="997">Z25*$E25</f>
        <v>0</v>
      </c>
      <c r="AB25" s="123"/>
      <c r="AC25" s="124">
        <f t="shared" ref="AC25" si="998">AB25*$E25</f>
        <v>0</v>
      </c>
      <c r="AD25" s="123"/>
      <c r="AE25" s="124">
        <f t="shared" ref="AE25" si="999">AD25*$E25</f>
        <v>0</v>
      </c>
      <c r="AF25" s="125">
        <f t="shared" si="13"/>
        <v>0</v>
      </c>
      <c r="AG25" s="126">
        <f t="shared" ref="AG25" si="1000">AF25*$E25</f>
        <v>0</v>
      </c>
      <c r="AH25" s="11"/>
      <c r="AI25" s="124">
        <f t="shared" ref="AI25" si="1001">AH25*$E25</f>
        <v>0</v>
      </c>
      <c r="AJ25" s="15"/>
      <c r="AK25" s="124">
        <f t="shared" ref="AK25" si="1002">AJ25*$E25</f>
        <v>0</v>
      </c>
      <c r="AL25" s="15"/>
      <c r="AM25" s="124">
        <f t="shared" ref="AM25" si="1003">AL25*$E25</f>
        <v>0</v>
      </c>
      <c r="AN25" s="16"/>
      <c r="AO25" s="124">
        <f t="shared" ref="AO25" si="1004">AN25*$E25</f>
        <v>0</v>
      </c>
      <c r="AP25" s="15"/>
      <c r="AQ25" s="124">
        <f t="shared" ref="AQ25" si="1005">AP25*$E25</f>
        <v>0</v>
      </c>
      <c r="AR25" s="15"/>
      <c r="AS25" s="124">
        <f t="shared" ref="AS25" si="1006">AR25*$E25</f>
        <v>0</v>
      </c>
      <c r="AT25" s="17"/>
      <c r="AU25" s="124">
        <f t="shared" ref="AU25" si="1007">AT25*$E25</f>
        <v>0</v>
      </c>
      <c r="AV25" s="15"/>
      <c r="AW25" s="124">
        <f t="shared" ref="AW25" si="1008">AV25*$E25</f>
        <v>0</v>
      </c>
      <c r="AX25" s="15"/>
      <c r="AY25" s="124">
        <f t="shared" ref="AY25" si="1009">AX25*$E25</f>
        <v>0</v>
      </c>
      <c r="AZ25" s="17"/>
      <c r="BA25" s="124">
        <f t="shared" ref="BA25" si="1010">AZ25*$E25</f>
        <v>0</v>
      </c>
      <c r="BB25" s="33"/>
      <c r="BC25" s="124">
        <f t="shared" ref="BC25" si="1011">BB25*$E25</f>
        <v>0</v>
      </c>
      <c r="BD25" s="33"/>
      <c r="BE25" s="124">
        <f t="shared" ref="BE25" si="1012">BD25*$E25</f>
        <v>0</v>
      </c>
      <c r="BF25" s="125">
        <f t="shared" si="27"/>
        <v>0</v>
      </c>
      <c r="BG25" s="126">
        <f t="shared" ref="BG25" si="1013">BF25*$E25</f>
        <v>0</v>
      </c>
      <c r="BH25" s="123"/>
      <c r="BI25" s="124">
        <f t="shared" ref="BI25" si="1014">BH25*$E25</f>
        <v>0</v>
      </c>
      <c r="BJ25" s="123"/>
      <c r="BK25" s="124">
        <f t="shared" ref="BK25" si="1015">BJ25*$E25</f>
        <v>0</v>
      </c>
      <c r="BL25" s="123"/>
      <c r="BM25" s="124">
        <f t="shared" ref="BM25" si="1016">BL25*$E25</f>
        <v>0</v>
      </c>
      <c r="BN25" s="123"/>
      <c r="BO25" s="124">
        <f t="shared" ref="BO25" si="1017">BN25*$E25</f>
        <v>0</v>
      </c>
      <c r="BP25" s="123"/>
      <c r="BQ25" s="124">
        <f t="shared" ref="BQ25" si="1018">BP25*$E25</f>
        <v>0</v>
      </c>
      <c r="BR25" s="123"/>
      <c r="BS25" s="124">
        <f t="shared" ref="BS25" si="1019">BR25*$E25</f>
        <v>0</v>
      </c>
      <c r="BT25" s="123"/>
      <c r="BU25" s="124">
        <f t="shared" ref="BU25" si="1020">BT25*$E25</f>
        <v>0</v>
      </c>
      <c r="BV25" s="123"/>
      <c r="BW25" s="124">
        <f t="shared" ref="BW25" si="1021">BV25*$E25</f>
        <v>0</v>
      </c>
      <c r="BX25" s="123"/>
      <c r="BY25" s="124">
        <f t="shared" ref="BY25" si="1022">BX25*$E25</f>
        <v>0</v>
      </c>
      <c r="BZ25" s="123"/>
      <c r="CA25" s="124">
        <f t="shared" ref="CA25" si="1023">BZ25*$E25</f>
        <v>0</v>
      </c>
      <c r="CB25" s="123"/>
      <c r="CC25" s="124">
        <f t="shared" ref="CC25" si="1024">CB25*$E25</f>
        <v>0</v>
      </c>
      <c r="CD25" s="123"/>
      <c r="CE25" s="124">
        <f t="shared" ref="CE25" si="1025">CD25*$E25</f>
        <v>0</v>
      </c>
      <c r="CF25" s="125">
        <f t="shared" si="41"/>
        <v>0</v>
      </c>
      <c r="CG25" s="126">
        <f t="shared" ref="CG25" si="1026">CF25*$E25</f>
        <v>0</v>
      </c>
      <c r="CH25" s="123"/>
      <c r="CI25" s="124">
        <f t="shared" ref="CI25" si="1027">CH25*$E25</f>
        <v>0</v>
      </c>
      <c r="CJ25" s="123"/>
      <c r="CK25" s="124">
        <f t="shared" ref="CK25" si="1028">CJ25*$E25</f>
        <v>0</v>
      </c>
      <c r="CL25" s="123"/>
      <c r="CM25" s="124">
        <f t="shared" ref="CM25" si="1029">CL25*$E25</f>
        <v>0</v>
      </c>
      <c r="CN25" s="123"/>
      <c r="CO25" s="124">
        <f t="shared" ref="CO25" si="1030">CN25*$E25</f>
        <v>0</v>
      </c>
      <c r="CP25" s="123"/>
      <c r="CQ25" s="124">
        <f t="shared" ref="CQ25" si="1031">CP25*$E25</f>
        <v>0</v>
      </c>
      <c r="CR25" s="123"/>
      <c r="CS25" s="124">
        <f t="shared" ref="CS25" si="1032">CR25*$E25</f>
        <v>0</v>
      </c>
      <c r="CT25" s="123"/>
      <c r="CU25" s="124">
        <f t="shared" ref="CU25" si="1033">CT25*$E25</f>
        <v>0</v>
      </c>
      <c r="CV25" s="123"/>
      <c r="CW25" s="124">
        <f t="shared" ref="CW25" si="1034">CV25*$E25</f>
        <v>0</v>
      </c>
      <c r="CX25" s="123"/>
      <c r="CY25" s="124">
        <f t="shared" ref="CY25" si="1035">CX25*$E25</f>
        <v>0</v>
      </c>
      <c r="CZ25" s="123"/>
      <c r="DA25" s="124">
        <f t="shared" ref="DA25" si="1036">CZ25*$E25</f>
        <v>0</v>
      </c>
      <c r="DB25" s="123"/>
      <c r="DC25" s="124">
        <f t="shared" si="53"/>
        <v>0</v>
      </c>
      <c r="DD25" s="123"/>
      <c r="DE25" s="124">
        <f t="shared" si="53"/>
        <v>0</v>
      </c>
      <c r="DF25" s="27">
        <f t="shared" si="0"/>
        <v>0</v>
      </c>
      <c r="DG25" s="124">
        <f t="shared" si="54"/>
        <v>0</v>
      </c>
    </row>
    <row r="26" spans="1:111" ht="18" customHeight="1" x14ac:dyDescent="0.5">
      <c r="A26" s="117">
        <v>20</v>
      </c>
      <c r="B26" s="122" t="s">
        <v>152</v>
      </c>
      <c r="C26" s="122" t="s">
        <v>233</v>
      </c>
      <c r="D26" s="117">
        <f>RANK(DF26,$DF$4:$DF$141)</f>
        <v>21</v>
      </c>
      <c r="E26" s="117">
        <v>1</v>
      </c>
      <c r="F26" s="117" t="s">
        <v>232</v>
      </c>
      <c r="G26" s="117"/>
      <c r="H26" s="123"/>
      <c r="I26" s="124">
        <f t="shared" ref="I26" si="1037">H26*$E26</f>
        <v>0</v>
      </c>
      <c r="J26" s="123"/>
      <c r="K26" s="124">
        <f t="shared" ref="K26" si="1038">J26*$E26</f>
        <v>0</v>
      </c>
      <c r="L26" s="123"/>
      <c r="M26" s="124">
        <f t="shared" ref="M26" si="1039">L26*$E26</f>
        <v>0</v>
      </c>
      <c r="N26" s="123"/>
      <c r="O26" s="124">
        <f t="shared" ref="O26" si="1040">N26*$E26</f>
        <v>0</v>
      </c>
      <c r="P26" s="123"/>
      <c r="Q26" s="124">
        <f t="shared" ref="Q26" si="1041">P26*$E26</f>
        <v>0</v>
      </c>
      <c r="R26" s="123"/>
      <c r="S26" s="124">
        <f t="shared" ref="S26" si="1042">R26*$E26</f>
        <v>0</v>
      </c>
      <c r="T26" s="123"/>
      <c r="U26" s="124">
        <f t="shared" ref="U26" si="1043">T26*$E26</f>
        <v>0</v>
      </c>
      <c r="V26" s="123"/>
      <c r="W26" s="124">
        <f t="shared" ref="W26" si="1044">V26*$E26</f>
        <v>0</v>
      </c>
      <c r="X26" s="123"/>
      <c r="Y26" s="124">
        <f t="shared" ref="Y26" si="1045">X26*$E26</f>
        <v>0</v>
      </c>
      <c r="Z26" s="123"/>
      <c r="AA26" s="124">
        <f t="shared" ref="AA26" si="1046">Z26*$E26</f>
        <v>0</v>
      </c>
      <c r="AB26" s="123"/>
      <c r="AC26" s="124">
        <f t="shared" ref="AC26" si="1047">AB26*$E26</f>
        <v>0</v>
      </c>
      <c r="AD26" s="123"/>
      <c r="AE26" s="124">
        <f t="shared" ref="AE26" si="1048">AD26*$E26</f>
        <v>0</v>
      </c>
      <c r="AF26" s="125">
        <f t="shared" si="13"/>
        <v>0</v>
      </c>
      <c r="AG26" s="126">
        <f t="shared" ref="AG26" si="1049">AF26*$E26</f>
        <v>0</v>
      </c>
      <c r="AH26" s="11"/>
      <c r="AI26" s="124">
        <f t="shared" ref="AI26" si="1050">AH26*$E26</f>
        <v>0</v>
      </c>
      <c r="AJ26" s="15"/>
      <c r="AK26" s="124">
        <f t="shared" ref="AK26" si="1051">AJ26*$E26</f>
        <v>0</v>
      </c>
      <c r="AL26" s="15"/>
      <c r="AM26" s="124">
        <f t="shared" ref="AM26" si="1052">AL26*$E26</f>
        <v>0</v>
      </c>
      <c r="AN26" s="16"/>
      <c r="AO26" s="124">
        <f t="shared" ref="AO26" si="1053">AN26*$E26</f>
        <v>0</v>
      </c>
      <c r="AP26" s="15"/>
      <c r="AQ26" s="124">
        <f t="shared" ref="AQ26" si="1054">AP26*$E26</f>
        <v>0</v>
      </c>
      <c r="AR26" s="15"/>
      <c r="AS26" s="124">
        <f t="shared" ref="AS26" si="1055">AR26*$E26</f>
        <v>0</v>
      </c>
      <c r="AT26" s="17"/>
      <c r="AU26" s="124">
        <f t="shared" ref="AU26" si="1056">AT26*$E26</f>
        <v>0</v>
      </c>
      <c r="AV26" s="15"/>
      <c r="AW26" s="124">
        <f t="shared" ref="AW26" si="1057">AV26*$E26</f>
        <v>0</v>
      </c>
      <c r="AX26" s="15"/>
      <c r="AY26" s="124">
        <f t="shared" ref="AY26" si="1058">AX26*$E26</f>
        <v>0</v>
      </c>
      <c r="AZ26" s="17"/>
      <c r="BA26" s="124">
        <f t="shared" ref="BA26" si="1059">AZ26*$E26</f>
        <v>0</v>
      </c>
      <c r="BB26" s="33"/>
      <c r="BC26" s="124">
        <f t="shared" ref="BC26" si="1060">BB26*$E26</f>
        <v>0</v>
      </c>
      <c r="BD26" s="33"/>
      <c r="BE26" s="124">
        <f t="shared" ref="BE26" si="1061">BD26*$E26</f>
        <v>0</v>
      </c>
      <c r="BF26" s="125">
        <f t="shared" si="27"/>
        <v>0</v>
      </c>
      <c r="BG26" s="126">
        <f t="shared" ref="BG26" si="1062">BF26*$E26</f>
        <v>0</v>
      </c>
      <c r="BH26" s="123"/>
      <c r="BI26" s="124">
        <f t="shared" ref="BI26" si="1063">BH26*$E26</f>
        <v>0</v>
      </c>
      <c r="BJ26" s="123"/>
      <c r="BK26" s="124">
        <f t="shared" ref="BK26" si="1064">BJ26*$E26</f>
        <v>0</v>
      </c>
      <c r="BL26" s="123"/>
      <c r="BM26" s="124">
        <f t="shared" ref="BM26" si="1065">BL26*$E26</f>
        <v>0</v>
      </c>
      <c r="BN26" s="123"/>
      <c r="BO26" s="124">
        <f t="shared" ref="BO26" si="1066">BN26*$E26</f>
        <v>0</v>
      </c>
      <c r="BP26" s="123"/>
      <c r="BQ26" s="124">
        <f t="shared" ref="BQ26" si="1067">BP26*$E26</f>
        <v>0</v>
      </c>
      <c r="BR26" s="123"/>
      <c r="BS26" s="124">
        <f t="shared" ref="BS26" si="1068">BR26*$E26</f>
        <v>0</v>
      </c>
      <c r="BT26" s="123"/>
      <c r="BU26" s="124">
        <f t="shared" ref="BU26" si="1069">BT26*$E26</f>
        <v>0</v>
      </c>
      <c r="BV26" s="123"/>
      <c r="BW26" s="124">
        <f t="shared" ref="BW26" si="1070">BV26*$E26</f>
        <v>0</v>
      </c>
      <c r="BX26" s="123"/>
      <c r="BY26" s="124">
        <f t="shared" ref="BY26" si="1071">BX26*$E26</f>
        <v>0</v>
      </c>
      <c r="BZ26" s="123"/>
      <c r="CA26" s="124">
        <f t="shared" ref="CA26" si="1072">BZ26*$E26</f>
        <v>0</v>
      </c>
      <c r="CB26" s="123"/>
      <c r="CC26" s="124">
        <f t="shared" ref="CC26" si="1073">CB26*$E26</f>
        <v>0</v>
      </c>
      <c r="CD26" s="123"/>
      <c r="CE26" s="124">
        <f t="shared" ref="CE26" si="1074">CD26*$E26</f>
        <v>0</v>
      </c>
      <c r="CF26" s="125">
        <f t="shared" si="41"/>
        <v>0</v>
      </c>
      <c r="CG26" s="126">
        <f t="shared" ref="CG26" si="1075">CF26*$E26</f>
        <v>0</v>
      </c>
      <c r="CH26" s="123"/>
      <c r="CI26" s="124">
        <f t="shared" ref="CI26" si="1076">CH26*$E26</f>
        <v>0</v>
      </c>
      <c r="CJ26" s="123"/>
      <c r="CK26" s="124">
        <f t="shared" ref="CK26" si="1077">CJ26*$E26</f>
        <v>0</v>
      </c>
      <c r="CL26" s="123"/>
      <c r="CM26" s="124">
        <f t="shared" ref="CM26" si="1078">CL26*$E26</f>
        <v>0</v>
      </c>
      <c r="CN26" s="123"/>
      <c r="CO26" s="124">
        <f t="shared" ref="CO26" si="1079">CN26*$E26</f>
        <v>0</v>
      </c>
      <c r="CP26" s="123"/>
      <c r="CQ26" s="124">
        <f t="shared" ref="CQ26" si="1080">CP26*$E26</f>
        <v>0</v>
      </c>
      <c r="CR26" s="123"/>
      <c r="CS26" s="124">
        <f t="shared" ref="CS26" si="1081">CR26*$E26</f>
        <v>0</v>
      </c>
      <c r="CT26" s="123"/>
      <c r="CU26" s="124">
        <f t="shared" ref="CU26" si="1082">CT26*$E26</f>
        <v>0</v>
      </c>
      <c r="CV26" s="123"/>
      <c r="CW26" s="124">
        <f t="shared" ref="CW26" si="1083">CV26*$E26</f>
        <v>0</v>
      </c>
      <c r="CX26" s="123"/>
      <c r="CY26" s="124">
        <f t="shared" ref="CY26" si="1084">CX26*$E26</f>
        <v>0</v>
      </c>
      <c r="CZ26" s="123"/>
      <c r="DA26" s="124">
        <f t="shared" ref="DA26" si="1085">CZ26*$E26</f>
        <v>0</v>
      </c>
      <c r="DB26" s="123"/>
      <c r="DC26" s="124">
        <f t="shared" si="53"/>
        <v>0</v>
      </c>
      <c r="DD26" s="123"/>
      <c r="DE26" s="124">
        <f t="shared" si="53"/>
        <v>0</v>
      </c>
      <c r="DF26" s="27">
        <f t="shared" si="0"/>
        <v>0</v>
      </c>
      <c r="DG26" s="124">
        <f t="shared" si="54"/>
        <v>0</v>
      </c>
    </row>
    <row r="27" spans="1:111" ht="18" customHeight="1" x14ac:dyDescent="0.5">
      <c r="A27" s="117">
        <v>21</v>
      </c>
      <c r="B27" s="122" t="s">
        <v>217</v>
      </c>
      <c r="C27" s="122" t="s">
        <v>233</v>
      </c>
      <c r="D27" s="117">
        <f>RANK(DF27,$DF$4:$DF$141)</f>
        <v>21</v>
      </c>
      <c r="E27" s="117">
        <v>0.6</v>
      </c>
      <c r="F27" s="117" t="s">
        <v>237</v>
      </c>
      <c r="G27" s="117"/>
      <c r="H27" s="123"/>
      <c r="I27" s="124">
        <f t="shared" ref="I27" si="1086">H27*$E27</f>
        <v>0</v>
      </c>
      <c r="J27" s="123"/>
      <c r="K27" s="124">
        <f t="shared" ref="K27" si="1087">J27*$E27</f>
        <v>0</v>
      </c>
      <c r="L27" s="123"/>
      <c r="M27" s="124">
        <f t="shared" ref="M27" si="1088">L27*$E27</f>
        <v>0</v>
      </c>
      <c r="N27" s="123"/>
      <c r="O27" s="124">
        <f t="shared" ref="O27" si="1089">N27*$E27</f>
        <v>0</v>
      </c>
      <c r="P27" s="123"/>
      <c r="Q27" s="124">
        <f t="shared" ref="Q27" si="1090">P27*$E27</f>
        <v>0</v>
      </c>
      <c r="R27" s="123"/>
      <c r="S27" s="124">
        <f t="shared" ref="S27" si="1091">R27*$E27</f>
        <v>0</v>
      </c>
      <c r="T27" s="123"/>
      <c r="U27" s="124">
        <f t="shared" ref="U27" si="1092">T27*$E27</f>
        <v>0</v>
      </c>
      <c r="V27" s="123"/>
      <c r="W27" s="124">
        <f t="shared" ref="W27" si="1093">V27*$E27</f>
        <v>0</v>
      </c>
      <c r="X27" s="123"/>
      <c r="Y27" s="124">
        <f t="shared" ref="Y27" si="1094">X27*$E27</f>
        <v>0</v>
      </c>
      <c r="Z27" s="123"/>
      <c r="AA27" s="124">
        <f t="shared" ref="AA27" si="1095">Z27*$E27</f>
        <v>0</v>
      </c>
      <c r="AB27" s="123"/>
      <c r="AC27" s="124">
        <f t="shared" ref="AC27" si="1096">AB27*$E27</f>
        <v>0</v>
      </c>
      <c r="AD27" s="123"/>
      <c r="AE27" s="124">
        <f t="shared" ref="AE27" si="1097">AD27*$E27</f>
        <v>0</v>
      </c>
      <c r="AF27" s="125">
        <f t="shared" si="13"/>
        <v>0</v>
      </c>
      <c r="AG27" s="126">
        <f t="shared" ref="AG27" si="1098">AF27*$E27</f>
        <v>0</v>
      </c>
      <c r="AH27" s="11"/>
      <c r="AI27" s="124">
        <f t="shared" ref="AI27" si="1099">AH27*$E27</f>
        <v>0</v>
      </c>
      <c r="AJ27" s="15"/>
      <c r="AK27" s="124">
        <f t="shared" ref="AK27" si="1100">AJ27*$E27</f>
        <v>0</v>
      </c>
      <c r="AL27" s="15"/>
      <c r="AM27" s="124">
        <f t="shared" ref="AM27" si="1101">AL27*$E27</f>
        <v>0</v>
      </c>
      <c r="AN27" s="16"/>
      <c r="AO27" s="124">
        <f t="shared" ref="AO27" si="1102">AN27*$E27</f>
        <v>0</v>
      </c>
      <c r="AP27" s="15"/>
      <c r="AQ27" s="124">
        <f t="shared" ref="AQ27" si="1103">AP27*$E27</f>
        <v>0</v>
      </c>
      <c r="AR27" s="15"/>
      <c r="AS27" s="124">
        <f t="shared" ref="AS27" si="1104">AR27*$E27</f>
        <v>0</v>
      </c>
      <c r="AT27" s="17"/>
      <c r="AU27" s="124">
        <f t="shared" ref="AU27" si="1105">AT27*$E27</f>
        <v>0</v>
      </c>
      <c r="AV27" s="15"/>
      <c r="AW27" s="124">
        <f t="shared" ref="AW27" si="1106">AV27*$E27</f>
        <v>0</v>
      </c>
      <c r="AX27" s="15"/>
      <c r="AY27" s="124">
        <f t="shared" ref="AY27" si="1107">AX27*$E27</f>
        <v>0</v>
      </c>
      <c r="AZ27" s="17"/>
      <c r="BA27" s="124">
        <f t="shared" ref="BA27" si="1108">AZ27*$E27</f>
        <v>0</v>
      </c>
      <c r="BB27" s="33"/>
      <c r="BC27" s="124">
        <f t="shared" ref="BC27" si="1109">BB27*$E27</f>
        <v>0</v>
      </c>
      <c r="BD27" s="33"/>
      <c r="BE27" s="124">
        <f t="shared" ref="BE27" si="1110">BD27*$E27</f>
        <v>0</v>
      </c>
      <c r="BF27" s="125">
        <f t="shared" si="27"/>
        <v>0</v>
      </c>
      <c r="BG27" s="126">
        <f t="shared" ref="BG27" si="1111">BF27*$E27</f>
        <v>0</v>
      </c>
      <c r="BH27" s="123"/>
      <c r="BI27" s="124">
        <f t="shared" ref="BI27" si="1112">BH27*$E27</f>
        <v>0</v>
      </c>
      <c r="BJ27" s="123"/>
      <c r="BK27" s="124">
        <f t="shared" ref="BK27" si="1113">BJ27*$E27</f>
        <v>0</v>
      </c>
      <c r="BL27" s="123"/>
      <c r="BM27" s="124">
        <f t="shared" ref="BM27" si="1114">BL27*$E27</f>
        <v>0</v>
      </c>
      <c r="BN27" s="123"/>
      <c r="BO27" s="124">
        <f t="shared" ref="BO27" si="1115">BN27*$E27</f>
        <v>0</v>
      </c>
      <c r="BP27" s="123"/>
      <c r="BQ27" s="124">
        <f t="shared" ref="BQ27" si="1116">BP27*$E27</f>
        <v>0</v>
      </c>
      <c r="BR27" s="123"/>
      <c r="BS27" s="124">
        <f t="shared" ref="BS27" si="1117">BR27*$E27</f>
        <v>0</v>
      </c>
      <c r="BT27" s="123"/>
      <c r="BU27" s="124">
        <f t="shared" ref="BU27" si="1118">BT27*$E27</f>
        <v>0</v>
      </c>
      <c r="BV27" s="123"/>
      <c r="BW27" s="124">
        <f t="shared" ref="BW27" si="1119">BV27*$E27</f>
        <v>0</v>
      </c>
      <c r="BX27" s="123"/>
      <c r="BY27" s="124">
        <f t="shared" ref="BY27" si="1120">BX27*$E27</f>
        <v>0</v>
      </c>
      <c r="BZ27" s="123"/>
      <c r="CA27" s="124">
        <f t="shared" ref="CA27" si="1121">BZ27*$E27</f>
        <v>0</v>
      </c>
      <c r="CB27" s="123"/>
      <c r="CC27" s="124">
        <f t="shared" ref="CC27" si="1122">CB27*$E27</f>
        <v>0</v>
      </c>
      <c r="CD27" s="123"/>
      <c r="CE27" s="124">
        <f t="shared" ref="CE27" si="1123">CD27*$E27</f>
        <v>0</v>
      </c>
      <c r="CF27" s="125">
        <f t="shared" si="41"/>
        <v>0</v>
      </c>
      <c r="CG27" s="126">
        <f t="shared" ref="CG27" si="1124">CF27*$E27</f>
        <v>0</v>
      </c>
      <c r="CH27" s="123"/>
      <c r="CI27" s="124">
        <f t="shared" ref="CI27" si="1125">CH27*$E27</f>
        <v>0</v>
      </c>
      <c r="CJ27" s="123"/>
      <c r="CK27" s="124">
        <f t="shared" ref="CK27" si="1126">CJ27*$E27</f>
        <v>0</v>
      </c>
      <c r="CL27" s="123"/>
      <c r="CM27" s="124">
        <f t="shared" ref="CM27" si="1127">CL27*$E27</f>
        <v>0</v>
      </c>
      <c r="CN27" s="123"/>
      <c r="CO27" s="124">
        <f t="shared" ref="CO27" si="1128">CN27*$E27</f>
        <v>0</v>
      </c>
      <c r="CP27" s="123"/>
      <c r="CQ27" s="124">
        <f t="shared" ref="CQ27" si="1129">CP27*$E27</f>
        <v>0</v>
      </c>
      <c r="CR27" s="123"/>
      <c r="CS27" s="124">
        <f t="shared" ref="CS27" si="1130">CR27*$E27</f>
        <v>0</v>
      </c>
      <c r="CT27" s="123"/>
      <c r="CU27" s="124">
        <f t="shared" ref="CU27" si="1131">CT27*$E27</f>
        <v>0</v>
      </c>
      <c r="CV27" s="123"/>
      <c r="CW27" s="124">
        <f t="shared" ref="CW27" si="1132">CV27*$E27</f>
        <v>0</v>
      </c>
      <c r="CX27" s="123"/>
      <c r="CY27" s="124">
        <f t="shared" ref="CY27" si="1133">CX27*$E27</f>
        <v>0</v>
      </c>
      <c r="CZ27" s="123"/>
      <c r="DA27" s="124">
        <f t="shared" ref="DA27" si="1134">CZ27*$E27</f>
        <v>0</v>
      </c>
      <c r="DB27" s="123"/>
      <c r="DC27" s="124">
        <f t="shared" si="53"/>
        <v>0</v>
      </c>
      <c r="DD27" s="123"/>
      <c r="DE27" s="124">
        <f t="shared" si="53"/>
        <v>0</v>
      </c>
      <c r="DF27" s="27">
        <f t="shared" si="0"/>
        <v>0</v>
      </c>
      <c r="DG27" s="124">
        <f t="shared" si="54"/>
        <v>0</v>
      </c>
    </row>
    <row r="28" spans="1:111" ht="18" customHeight="1" x14ac:dyDescent="0.5">
      <c r="A28" s="117">
        <v>22</v>
      </c>
      <c r="B28" s="122" t="s">
        <v>153</v>
      </c>
      <c r="C28" s="122" t="s">
        <v>231</v>
      </c>
      <c r="D28" s="117">
        <f>RANK(DF28,$DF$4:$DF$141)</f>
        <v>12</v>
      </c>
      <c r="E28" s="117">
        <v>0.64</v>
      </c>
      <c r="F28" s="117" t="s">
        <v>236</v>
      </c>
      <c r="G28" s="117"/>
      <c r="H28" s="123"/>
      <c r="I28" s="124">
        <f t="shared" ref="I28" si="1135">H28*$E28</f>
        <v>0</v>
      </c>
      <c r="J28" s="123"/>
      <c r="K28" s="124">
        <f t="shared" ref="K28" si="1136">J28*$E28</f>
        <v>0</v>
      </c>
      <c r="L28" s="123"/>
      <c r="M28" s="124">
        <f t="shared" ref="M28" si="1137">L28*$E28</f>
        <v>0</v>
      </c>
      <c r="N28" s="123"/>
      <c r="O28" s="124">
        <f t="shared" ref="O28" si="1138">N28*$E28</f>
        <v>0</v>
      </c>
      <c r="P28" s="123"/>
      <c r="Q28" s="124">
        <f t="shared" ref="Q28" si="1139">P28*$E28</f>
        <v>0</v>
      </c>
      <c r="R28" s="123"/>
      <c r="S28" s="124">
        <f t="shared" ref="S28" si="1140">R28*$E28</f>
        <v>0</v>
      </c>
      <c r="T28" s="123"/>
      <c r="U28" s="124">
        <f t="shared" ref="U28" si="1141">T28*$E28</f>
        <v>0</v>
      </c>
      <c r="V28" s="123"/>
      <c r="W28" s="124">
        <f t="shared" ref="W28" si="1142">V28*$E28</f>
        <v>0</v>
      </c>
      <c r="X28" s="123"/>
      <c r="Y28" s="124">
        <f t="shared" ref="Y28" si="1143">X28*$E28</f>
        <v>0</v>
      </c>
      <c r="Z28" s="123"/>
      <c r="AA28" s="124">
        <f t="shared" ref="AA28" si="1144">Z28*$E28</f>
        <v>0</v>
      </c>
      <c r="AB28" s="123"/>
      <c r="AC28" s="124">
        <f t="shared" ref="AC28" si="1145">AB28*$E28</f>
        <v>0</v>
      </c>
      <c r="AD28" s="123"/>
      <c r="AE28" s="124">
        <f t="shared" ref="AE28" si="1146">AD28*$E28</f>
        <v>0</v>
      </c>
      <c r="AF28" s="125">
        <f t="shared" si="13"/>
        <v>0</v>
      </c>
      <c r="AG28" s="126">
        <f t="shared" ref="AG28" si="1147">AF28*$E28</f>
        <v>0</v>
      </c>
      <c r="AH28" s="11"/>
      <c r="AI28" s="124">
        <f t="shared" ref="AI28" si="1148">AH28*$E28</f>
        <v>0</v>
      </c>
      <c r="AJ28" s="15"/>
      <c r="AK28" s="124">
        <f t="shared" ref="AK28" si="1149">AJ28*$E28</f>
        <v>0</v>
      </c>
      <c r="AL28" s="15"/>
      <c r="AM28" s="124">
        <f t="shared" ref="AM28" si="1150">AL28*$E28</f>
        <v>0</v>
      </c>
      <c r="AN28" s="16"/>
      <c r="AO28" s="124">
        <f t="shared" ref="AO28" si="1151">AN28*$E28</f>
        <v>0</v>
      </c>
      <c r="AP28" s="15"/>
      <c r="AQ28" s="124">
        <f t="shared" ref="AQ28" si="1152">AP28*$E28</f>
        <v>0</v>
      </c>
      <c r="AR28" s="15"/>
      <c r="AS28" s="124">
        <f t="shared" ref="AS28" si="1153">AR28*$E28</f>
        <v>0</v>
      </c>
      <c r="AT28" s="17"/>
      <c r="AU28" s="124">
        <f t="shared" ref="AU28" si="1154">AT28*$E28</f>
        <v>0</v>
      </c>
      <c r="AV28" s="15"/>
      <c r="AW28" s="124">
        <f t="shared" ref="AW28" si="1155">AV28*$E28</f>
        <v>0</v>
      </c>
      <c r="AX28" s="15"/>
      <c r="AY28" s="124">
        <f t="shared" ref="AY28" si="1156">AX28*$E28</f>
        <v>0</v>
      </c>
      <c r="AZ28" s="17"/>
      <c r="BA28" s="124">
        <f t="shared" ref="BA28" si="1157">AZ28*$E28</f>
        <v>0</v>
      </c>
      <c r="BB28" s="33"/>
      <c r="BC28" s="124">
        <f t="shared" ref="BC28" si="1158">BB28*$E28</f>
        <v>0</v>
      </c>
      <c r="BD28" s="33"/>
      <c r="BE28" s="124">
        <f t="shared" ref="BE28" si="1159">BD28*$E28</f>
        <v>0</v>
      </c>
      <c r="BF28" s="125">
        <f t="shared" si="27"/>
        <v>0</v>
      </c>
      <c r="BG28" s="126">
        <f t="shared" ref="BG28" si="1160">BF28*$E28</f>
        <v>0</v>
      </c>
      <c r="BH28" s="123"/>
      <c r="BI28" s="124">
        <f t="shared" ref="BI28" si="1161">BH28*$E28</f>
        <v>0</v>
      </c>
      <c r="BJ28" s="123"/>
      <c r="BK28" s="124">
        <f t="shared" ref="BK28" si="1162">BJ28*$E28</f>
        <v>0</v>
      </c>
      <c r="BL28" s="123"/>
      <c r="BM28" s="124">
        <f t="shared" ref="BM28" si="1163">BL28*$E28</f>
        <v>0</v>
      </c>
      <c r="BN28" s="123"/>
      <c r="BO28" s="124">
        <f t="shared" ref="BO28" si="1164">BN28*$E28</f>
        <v>0</v>
      </c>
      <c r="BP28" s="123"/>
      <c r="BQ28" s="124">
        <f t="shared" ref="BQ28" si="1165">BP28*$E28</f>
        <v>0</v>
      </c>
      <c r="BR28" s="123"/>
      <c r="BS28" s="124">
        <f t="shared" ref="BS28" si="1166">BR28*$E28</f>
        <v>0</v>
      </c>
      <c r="BT28" s="123"/>
      <c r="BU28" s="124">
        <f t="shared" ref="BU28" si="1167">BT28*$E28</f>
        <v>0</v>
      </c>
      <c r="BV28" s="123"/>
      <c r="BW28" s="124">
        <f t="shared" ref="BW28" si="1168">BV28*$E28</f>
        <v>0</v>
      </c>
      <c r="BX28" s="123"/>
      <c r="BY28" s="124">
        <f t="shared" ref="BY28" si="1169">BX28*$E28</f>
        <v>0</v>
      </c>
      <c r="BZ28" s="123"/>
      <c r="CA28" s="124">
        <f t="shared" ref="CA28" si="1170">BZ28*$E28</f>
        <v>0</v>
      </c>
      <c r="CB28" s="123"/>
      <c r="CC28" s="124">
        <f t="shared" ref="CC28" si="1171">CB28*$E28</f>
        <v>0</v>
      </c>
      <c r="CD28" s="123"/>
      <c r="CE28" s="124">
        <f t="shared" ref="CE28" si="1172">CD28*$E28</f>
        <v>0</v>
      </c>
      <c r="CF28" s="125">
        <f t="shared" si="41"/>
        <v>0</v>
      </c>
      <c r="CG28" s="126">
        <f t="shared" ref="CG28" si="1173">CF28*$E28</f>
        <v>0</v>
      </c>
      <c r="CH28" s="123"/>
      <c r="CI28" s="124">
        <f t="shared" ref="CI28" si="1174">CH28*$E28</f>
        <v>0</v>
      </c>
      <c r="CJ28" s="123"/>
      <c r="CK28" s="124">
        <f t="shared" ref="CK28" si="1175">CJ28*$E28</f>
        <v>0</v>
      </c>
      <c r="CL28" s="123"/>
      <c r="CM28" s="124">
        <f t="shared" ref="CM28" si="1176">CL28*$E28</f>
        <v>0</v>
      </c>
      <c r="CN28" s="123"/>
      <c r="CO28" s="124">
        <f t="shared" ref="CO28" si="1177">CN28*$E28</f>
        <v>0</v>
      </c>
      <c r="CP28" s="123"/>
      <c r="CQ28" s="124">
        <f t="shared" ref="CQ28" si="1178">CP28*$E28</f>
        <v>0</v>
      </c>
      <c r="CR28" s="123"/>
      <c r="CS28" s="124">
        <f t="shared" ref="CS28" si="1179">CR28*$E28</f>
        <v>0</v>
      </c>
      <c r="CT28" s="123">
        <v>700</v>
      </c>
      <c r="CU28" s="124">
        <f t="shared" ref="CU28" si="1180">CT28*$E28</f>
        <v>448</v>
      </c>
      <c r="CV28" s="123"/>
      <c r="CW28" s="124">
        <f t="shared" ref="CW28" si="1181">CV28*$E28</f>
        <v>0</v>
      </c>
      <c r="CX28" s="123">
        <v>700</v>
      </c>
      <c r="CY28" s="124">
        <f t="shared" ref="CY28" si="1182">CX28*$E28</f>
        <v>448</v>
      </c>
      <c r="CZ28" s="123"/>
      <c r="DA28" s="124">
        <f t="shared" ref="DA28" si="1183">CZ28*$E28</f>
        <v>0</v>
      </c>
      <c r="DB28" s="123">
        <v>700</v>
      </c>
      <c r="DC28" s="124">
        <f t="shared" si="53"/>
        <v>448</v>
      </c>
      <c r="DD28" s="123">
        <v>700</v>
      </c>
      <c r="DE28" s="124">
        <f t="shared" si="53"/>
        <v>448</v>
      </c>
      <c r="DF28" s="27">
        <f t="shared" si="0"/>
        <v>2800</v>
      </c>
      <c r="DG28" s="124">
        <f t="shared" si="54"/>
        <v>1792</v>
      </c>
    </row>
    <row r="29" spans="1:111" ht="18" customHeight="1" x14ac:dyDescent="0.5">
      <c r="A29" s="117">
        <v>23</v>
      </c>
      <c r="B29" s="122" t="s">
        <v>154</v>
      </c>
      <c r="C29" s="122" t="s">
        <v>231</v>
      </c>
      <c r="D29" s="117">
        <f>RANK(DF29,$DF$4:$DF$141)</f>
        <v>21</v>
      </c>
      <c r="E29" s="117">
        <v>0.64</v>
      </c>
      <c r="F29" s="117" t="s">
        <v>236</v>
      </c>
      <c r="G29" s="117"/>
      <c r="H29" s="123"/>
      <c r="I29" s="124">
        <f t="shared" ref="I29" si="1184">H29*$E29</f>
        <v>0</v>
      </c>
      <c r="J29" s="123"/>
      <c r="K29" s="124">
        <f t="shared" ref="K29" si="1185">J29*$E29</f>
        <v>0</v>
      </c>
      <c r="L29" s="123"/>
      <c r="M29" s="124">
        <f t="shared" ref="M29" si="1186">L29*$E29</f>
        <v>0</v>
      </c>
      <c r="N29" s="123"/>
      <c r="O29" s="124">
        <f t="shared" ref="O29" si="1187">N29*$E29</f>
        <v>0</v>
      </c>
      <c r="P29" s="123"/>
      <c r="Q29" s="124">
        <f t="shared" ref="Q29" si="1188">P29*$E29</f>
        <v>0</v>
      </c>
      <c r="R29" s="123"/>
      <c r="S29" s="124">
        <f t="shared" ref="S29" si="1189">R29*$E29</f>
        <v>0</v>
      </c>
      <c r="T29" s="123"/>
      <c r="U29" s="124">
        <f t="shared" ref="U29" si="1190">T29*$E29</f>
        <v>0</v>
      </c>
      <c r="V29" s="123"/>
      <c r="W29" s="124">
        <f t="shared" ref="W29" si="1191">V29*$E29</f>
        <v>0</v>
      </c>
      <c r="X29" s="123"/>
      <c r="Y29" s="124">
        <f t="shared" ref="Y29" si="1192">X29*$E29</f>
        <v>0</v>
      </c>
      <c r="Z29" s="123"/>
      <c r="AA29" s="124">
        <f t="shared" ref="AA29" si="1193">Z29*$E29</f>
        <v>0</v>
      </c>
      <c r="AB29" s="123"/>
      <c r="AC29" s="124">
        <f t="shared" ref="AC29" si="1194">AB29*$E29</f>
        <v>0</v>
      </c>
      <c r="AD29" s="123"/>
      <c r="AE29" s="124">
        <f t="shared" ref="AE29" si="1195">AD29*$E29</f>
        <v>0</v>
      </c>
      <c r="AF29" s="125">
        <f t="shared" si="13"/>
        <v>0</v>
      </c>
      <c r="AG29" s="126">
        <f t="shared" ref="AG29" si="1196">AF29*$E29</f>
        <v>0</v>
      </c>
      <c r="AH29" s="11"/>
      <c r="AI29" s="124">
        <f t="shared" ref="AI29" si="1197">AH29*$E29</f>
        <v>0</v>
      </c>
      <c r="AJ29" s="15"/>
      <c r="AK29" s="124">
        <f t="shared" ref="AK29" si="1198">AJ29*$E29</f>
        <v>0</v>
      </c>
      <c r="AL29" s="15"/>
      <c r="AM29" s="124">
        <f t="shared" ref="AM29" si="1199">AL29*$E29</f>
        <v>0</v>
      </c>
      <c r="AN29" s="16"/>
      <c r="AO29" s="124">
        <f t="shared" ref="AO29" si="1200">AN29*$E29</f>
        <v>0</v>
      </c>
      <c r="AP29" s="15"/>
      <c r="AQ29" s="124">
        <f t="shared" ref="AQ29" si="1201">AP29*$E29</f>
        <v>0</v>
      </c>
      <c r="AR29" s="15"/>
      <c r="AS29" s="124">
        <f t="shared" ref="AS29" si="1202">AR29*$E29</f>
        <v>0</v>
      </c>
      <c r="AT29" s="17"/>
      <c r="AU29" s="124">
        <f t="shared" ref="AU29" si="1203">AT29*$E29</f>
        <v>0</v>
      </c>
      <c r="AV29" s="15"/>
      <c r="AW29" s="124">
        <f t="shared" ref="AW29" si="1204">AV29*$E29</f>
        <v>0</v>
      </c>
      <c r="AX29" s="15"/>
      <c r="AY29" s="124">
        <f t="shared" ref="AY29" si="1205">AX29*$E29</f>
        <v>0</v>
      </c>
      <c r="AZ29" s="17"/>
      <c r="BA29" s="124">
        <f t="shared" ref="BA29" si="1206">AZ29*$E29</f>
        <v>0</v>
      </c>
      <c r="BB29" s="33"/>
      <c r="BC29" s="124">
        <f t="shared" ref="BC29" si="1207">BB29*$E29</f>
        <v>0</v>
      </c>
      <c r="BD29" s="33"/>
      <c r="BE29" s="124">
        <f t="shared" ref="BE29" si="1208">BD29*$E29</f>
        <v>0</v>
      </c>
      <c r="BF29" s="125">
        <f t="shared" si="27"/>
        <v>0</v>
      </c>
      <c r="BG29" s="126">
        <f t="shared" ref="BG29" si="1209">BF29*$E29</f>
        <v>0</v>
      </c>
      <c r="BH29" s="123"/>
      <c r="BI29" s="124">
        <f t="shared" ref="BI29" si="1210">BH29*$E29</f>
        <v>0</v>
      </c>
      <c r="BJ29" s="123"/>
      <c r="BK29" s="124">
        <f t="shared" ref="BK29" si="1211">BJ29*$E29</f>
        <v>0</v>
      </c>
      <c r="BL29" s="123"/>
      <c r="BM29" s="124">
        <f t="shared" ref="BM29" si="1212">BL29*$E29</f>
        <v>0</v>
      </c>
      <c r="BN29" s="123"/>
      <c r="BO29" s="124">
        <f t="shared" ref="BO29" si="1213">BN29*$E29</f>
        <v>0</v>
      </c>
      <c r="BP29" s="123"/>
      <c r="BQ29" s="124">
        <f t="shared" ref="BQ29" si="1214">BP29*$E29</f>
        <v>0</v>
      </c>
      <c r="BR29" s="123"/>
      <c r="BS29" s="124">
        <f t="shared" ref="BS29" si="1215">BR29*$E29</f>
        <v>0</v>
      </c>
      <c r="BT29" s="123"/>
      <c r="BU29" s="124">
        <f t="shared" ref="BU29" si="1216">BT29*$E29</f>
        <v>0</v>
      </c>
      <c r="BV29" s="123"/>
      <c r="BW29" s="124">
        <f t="shared" ref="BW29" si="1217">BV29*$E29</f>
        <v>0</v>
      </c>
      <c r="BX29" s="123"/>
      <c r="BY29" s="124">
        <f t="shared" ref="BY29" si="1218">BX29*$E29</f>
        <v>0</v>
      </c>
      <c r="BZ29" s="123"/>
      <c r="CA29" s="124">
        <f t="shared" ref="CA29" si="1219">BZ29*$E29</f>
        <v>0</v>
      </c>
      <c r="CB29" s="123"/>
      <c r="CC29" s="124">
        <f t="shared" ref="CC29" si="1220">CB29*$E29</f>
        <v>0</v>
      </c>
      <c r="CD29" s="123"/>
      <c r="CE29" s="124">
        <f t="shared" ref="CE29" si="1221">CD29*$E29</f>
        <v>0</v>
      </c>
      <c r="CF29" s="125">
        <f t="shared" si="41"/>
        <v>0</v>
      </c>
      <c r="CG29" s="126">
        <f t="shared" ref="CG29" si="1222">CF29*$E29</f>
        <v>0</v>
      </c>
      <c r="CH29" s="123"/>
      <c r="CI29" s="124">
        <f t="shared" ref="CI29" si="1223">CH29*$E29</f>
        <v>0</v>
      </c>
      <c r="CJ29" s="123"/>
      <c r="CK29" s="124">
        <f t="shared" ref="CK29" si="1224">CJ29*$E29</f>
        <v>0</v>
      </c>
      <c r="CL29" s="123"/>
      <c r="CM29" s="124">
        <f t="shared" ref="CM29" si="1225">CL29*$E29</f>
        <v>0</v>
      </c>
      <c r="CN29" s="123"/>
      <c r="CO29" s="124">
        <f t="shared" ref="CO29" si="1226">CN29*$E29</f>
        <v>0</v>
      </c>
      <c r="CP29" s="123"/>
      <c r="CQ29" s="124">
        <f t="shared" ref="CQ29" si="1227">CP29*$E29</f>
        <v>0</v>
      </c>
      <c r="CR29" s="123"/>
      <c r="CS29" s="124">
        <f t="shared" ref="CS29" si="1228">CR29*$E29</f>
        <v>0</v>
      </c>
      <c r="CT29" s="123"/>
      <c r="CU29" s="124">
        <f t="shared" ref="CU29" si="1229">CT29*$E29</f>
        <v>0</v>
      </c>
      <c r="CV29" s="123"/>
      <c r="CW29" s="124">
        <f t="shared" ref="CW29" si="1230">CV29*$E29</f>
        <v>0</v>
      </c>
      <c r="CX29" s="123"/>
      <c r="CY29" s="124">
        <f t="shared" ref="CY29" si="1231">CX29*$E29</f>
        <v>0</v>
      </c>
      <c r="CZ29" s="123"/>
      <c r="DA29" s="124">
        <f t="shared" ref="DA29" si="1232">CZ29*$E29</f>
        <v>0</v>
      </c>
      <c r="DB29" s="123"/>
      <c r="DC29" s="124">
        <f t="shared" si="53"/>
        <v>0</v>
      </c>
      <c r="DD29" s="123"/>
      <c r="DE29" s="124">
        <f t="shared" si="53"/>
        <v>0</v>
      </c>
      <c r="DF29" s="27">
        <f t="shared" si="0"/>
        <v>0</v>
      </c>
      <c r="DG29" s="124">
        <f t="shared" si="54"/>
        <v>0</v>
      </c>
    </row>
    <row r="30" spans="1:111" ht="18" customHeight="1" x14ac:dyDescent="0.5">
      <c r="A30" s="117"/>
      <c r="B30" s="122"/>
      <c r="C30" s="122"/>
      <c r="D30" s="117"/>
      <c r="E30" s="117"/>
      <c r="F30" s="117"/>
      <c r="G30" s="117"/>
      <c r="H30" s="123"/>
      <c r="I30" s="124">
        <f t="shared" ref="I30" si="1233">H30*$E30</f>
        <v>0</v>
      </c>
      <c r="J30" s="123"/>
      <c r="K30" s="124">
        <f t="shared" ref="K30" si="1234">J30*$E30</f>
        <v>0</v>
      </c>
      <c r="L30" s="123"/>
      <c r="M30" s="124">
        <f t="shared" ref="M30" si="1235">L30*$E30</f>
        <v>0</v>
      </c>
      <c r="N30" s="123"/>
      <c r="O30" s="124">
        <f t="shared" ref="O30" si="1236">N30*$E30</f>
        <v>0</v>
      </c>
      <c r="P30" s="123"/>
      <c r="Q30" s="124">
        <f t="shared" ref="Q30" si="1237">P30*$E30</f>
        <v>0</v>
      </c>
      <c r="R30" s="123"/>
      <c r="S30" s="124">
        <f t="shared" ref="S30" si="1238">R30*$E30</f>
        <v>0</v>
      </c>
      <c r="T30" s="123"/>
      <c r="U30" s="124">
        <f t="shared" ref="U30" si="1239">T30*$E30</f>
        <v>0</v>
      </c>
      <c r="V30" s="123"/>
      <c r="W30" s="124">
        <f t="shared" ref="W30" si="1240">V30*$E30</f>
        <v>0</v>
      </c>
      <c r="X30" s="123"/>
      <c r="Y30" s="124">
        <f t="shared" ref="Y30" si="1241">X30*$E30</f>
        <v>0</v>
      </c>
      <c r="Z30" s="123"/>
      <c r="AA30" s="124">
        <f t="shared" ref="AA30" si="1242">Z30*$E30</f>
        <v>0</v>
      </c>
      <c r="AB30" s="123"/>
      <c r="AC30" s="124">
        <f t="shared" ref="AC30" si="1243">AB30*$E30</f>
        <v>0</v>
      </c>
      <c r="AD30" s="123"/>
      <c r="AE30" s="124">
        <f t="shared" ref="AE30" si="1244">AD30*$E30</f>
        <v>0</v>
      </c>
      <c r="AF30" s="125">
        <f t="shared" si="13"/>
        <v>0</v>
      </c>
      <c r="AG30" s="126">
        <f t="shared" ref="AG30" si="1245">AF30*$E30</f>
        <v>0</v>
      </c>
      <c r="AH30" s="11"/>
      <c r="AI30" s="124">
        <f t="shared" ref="AI30" si="1246">AH30*$E30</f>
        <v>0</v>
      </c>
      <c r="AJ30" s="15"/>
      <c r="AK30" s="124">
        <f t="shared" ref="AK30" si="1247">AJ30*$E30</f>
        <v>0</v>
      </c>
      <c r="AL30" s="15"/>
      <c r="AM30" s="124">
        <f t="shared" ref="AM30" si="1248">AL30*$E30</f>
        <v>0</v>
      </c>
      <c r="AN30" s="16"/>
      <c r="AO30" s="124">
        <f t="shared" ref="AO30" si="1249">AN30*$E30</f>
        <v>0</v>
      </c>
      <c r="AP30" s="15"/>
      <c r="AQ30" s="124">
        <f t="shared" ref="AQ30" si="1250">AP30*$E30</f>
        <v>0</v>
      </c>
      <c r="AR30" s="15"/>
      <c r="AS30" s="124">
        <f t="shared" ref="AS30" si="1251">AR30*$E30</f>
        <v>0</v>
      </c>
      <c r="AT30" s="17"/>
      <c r="AU30" s="124">
        <f t="shared" ref="AU30" si="1252">AT30*$E30</f>
        <v>0</v>
      </c>
      <c r="AV30" s="15"/>
      <c r="AW30" s="124">
        <f t="shared" ref="AW30" si="1253">AV30*$E30</f>
        <v>0</v>
      </c>
      <c r="AX30" s="15"/>
      <c r="AY30" s="124">
        <f t="shared" ref="AY30" si="1254">AX30*$E30</f>
        <v>0</v>
      </c>
      <c r="AZ30" s="17"/>
      <c r="BA30" s="124">
        <f t="shared" ref="BA30" si="1255">AZ30*$E30</f>
        <v>0</v>
      </c>
      <c r="BB30" s="33"/>
      <c r="BC30" s="124">
        <f t="shared" ref="BC30" si="1256">BB30*$E30</f>
        <v>0</v>
      </c>
      <c r="BD30" s="33"/>
      <c r="BE30" s="124">
        <f t="shared" ref="BE30" si="1257">BD30*$E30</f>
        <v>0</v>
      </c>
      <c r="BF30" s="125">
        <f t="shared" si="27"/>
        <v>0</v>
      </c>
      <c r="BG30" s="126">
        <f t="shared" ref="BG30" si="1258">BF30*$E30</f>
        <v>0</v>
      </c>
      <c r="BH30" s="123"/>
      <c r="BI30" s="124">
        <f t="shared" ref="BI30" si="1259">BH30*$E30</f>
        <v>0</v>
      </c>
      <c r="BJ30" s="123"/>
      <c r="BK30" s="124">
        <f t="shared" ref="BK30" si="1260">BJ30*$E30</f>
        <v>0</v>
      </c>
      <c r="BL30" s="123"/>
      <c r="BM30" s="124">
        <f t="shared" ref="BM30" si="1261">BL30*$E30</f>
        <v>0</v>
      </c>
      <c r="BN30" s="123"/>
      <c r="BO30" s="124">
        <f t="shared" ref="BO30" si="1262">BN30*$E30</f>
        <v>0</v>
      </c>
      <c r="BP30" s="123"/>
      <c r="BQ30" s="124">
        <f t="shared" ref="BQ30" si="1263">BP30*$E30</f>
        <v>0</v>
      </c>
      <c r="BR30" s="123"/>
      <c r="BS30" s="124">
        <f t="shared" ref="BS30" si="1264">BR30*$E30</f>
        <v>0</v>
      </c>
      <c r="BT30" s="123"/>
      <c r="BU30" s="124">
        <f t="shared" ref="BU30" si="1265">BT30*$E30</f>
        <v>0</v>
      </c>
      <c r="BV30" s="123"/>
      <c r="BW30" s="124">
        <f t="shared" ref="BW30" si="1266">BV30*$E30</f>
        <v>0</v>
      </c>
      <c r="BX30" s="123"/>
      <c r="BY30" s="124">
        <f t="shared" ref="BY30" si="1267">BX30*$E30</f>
        <v>0</v>
      </c>
      <c r="BZ30" s="123"/>
      <c r="CA30" s="124">
        <f t="shared" ref="CA30" si="1268">BZ30*$E30</f>
        <v>0</v>
      </c>
      <c r="CB30" s="123"/>
      <c r="CC30" s="124">
        <f t="shared" ref="CC30" si="1269">CB30*$E30</f>
        <v>0</v>
      </c>
      <c r="CD30" s="123"/>
      <c r="CE30" s="124">
        <f t="shared" ref="CE30" si="1270">CD30*$E30</f>
        <v>0</v>
      </c>
      <c r="CF30" s="125">
        <f t="shared" si="41"/>
        <v>0</v>
      </c>
      <c r="CG30" s="126">
        <f t="shared" ref="CG30" si="1271">CF30*$E30</f>
        <v>0</v>
      </c>
      <c r="CH30" s="123"/>
      <c r="CI30" s="124">
        <f t="shared" ref="CI30" si="1272">CH30*$E30</f>
        <v>0</v>
      </c>
      <c r="CJ30" s="123"/>
      <c r="CK30" s="124">
        <f t="shared" ref="CK30" si="1273">CJ30*$E30</f>
        <v>0</v>
      </c>
      <c r="CL30" s="123"/>
      <c r="CM30" s="124">
        <f t="shared" ref="CM30" si="1274">CL30*$E30</f>
        <v>0</v>
      </c>
      <c r="CN30" s="123"/>
      <c r="CO30" s="124">
        <f t="shared" ref="CO30" si="1275">CN30*$E30</f>
        <v>0</v>
      </c>
      <c r="CP30" s="123"/>
      <c r="CQ30" s="124">
        <f t="shared" ref="CQ30" si="1276">CP30*$E30</f>
        <v>0</v>
      </c>
      <c r="CR30" s="123"/>
      <c r="CS30" s="124">
        <f t="shared" ref="CS30" si="1277">CR30*$E30</f>
        <v>0</v>
      </c>
      <c r="CT30" s="123"/>
      <c r="CU30" s="124">
        <f t="shared" ref="CU30" si="1278">CT30*$E30</f>
        <v>0</v>
      </c>
      <c r="CV30" s="123"/>
      <c r="CW30" s="124">
        <f t="shared" ref="CW30" si="1279">CV30*$E30</f>
        <v>0</v>
      </c>
      <c r="CX30" s="123"/>
      <c r="CY30" s="124">
        <f t="shared" ref="CY30" si="1280">CX30*$E30</f>
        <v>0</v>
      </c>
      <c r="CZ30" s="123"/>
      <c r="DA30" s="124">
        <f t="shared" ref="DA30" si="1281">CZ30*$E30</f>
        <v>0</v>
      </c>
      <c r="DB30" s="123"/>
      <c r="DC30" s="124">
        <f t="shared" si="53"/>
        <v>0</v>
      </c>
      <c r="DD30" s="123"/>
      <c r="DE30" s="124">
        <f t="shared" si="53"/>
        <v>0</v>
      </c>
      <c r="DF30" s="27">
        <f t="shared" si="0"/>
        <v>0</v>
      </c>
      <c r="DG30" s="124">
        <f t="shared" si="54"/>
        <v>0</v>
      </c>
    </row>
    <row r="31" spans="1:111" ht="18" customHeight="1" x14ac:dyDescent="0.5">
      <c r="A31" s="117">
        <v>24</v>
      </c>
      <c r="B31" s="122" t="s">
        <v>155</v>
      </c>
      <c r="C31" s="122" t="s">
        <v>233</v>
      </c>
      <c r="D31" s="117">
        <f t="shared" ref="D31:D47" si="1282">RANK(DF31,$DF$4:$DF$141)</f>
        <v>2</v>
      </c>
      <c r="E31" s="117">
        <v>1</v>
      </c>
      <c r="F31" s="117" t="s">
        <v>232</v>
      </c>
      <c r="G31" s="117">
        <v>1710</v>
      </c>
      <c r="H31" s="123">
        <v>4800</v>
      </c>
      <c r="I31" s="124">
        <f t="shared" ref="I31" si="1283">H31*$E31</f>
        <v>4800</v>
      </c>
      <c r="J31" s="123">
        <v>3162</v>
      </c>
      <c r="K31" s="124">
        <f t="shared" ref="K31" si="1284">J31*$E31</f>
        <v>3162</v>
      </c>
      <c r="L31" s="123">
        <v>6744</v>
      </c>
      <c r="M31" s="124">
        <f t="shared" ref="M31" si="1285">L31*$E31</f>
        <v>6744</v>
      </c>
      <c r="N31" s="123">
        <v>5520</v>
      </c>
      <c r="O31" s="124">
        <f t="shared" ref="O31" si="1286">N31*$E31</f>
        <v>5520</v>
      </c>
      <c r="P31" s="123">
        <v>7056</v>
      </c>
      <c r="Q31" s="124">
        <f t="shared" ref="Q31" si="1287">P31*$E31</f>
        <v>7056</v>
      </c>
      <c r="R31" s="123">
        <v>11280</v>
      </c>
      <c r="S31" s="124">
        <f t="shared" ref="S31" si="1288">R31*$E31</f>
        <v>11280</v>
      </c>
      <c r="T31" s="123">
        <v>8580</v>
      </c>
      <c r="U31" s="124">
        <f t="shared" ref="U31" si="1289">T31*$E31</f>
        <v>8580</v>
      </c>
      <c r="V31" s="123">
        <v>11088</v>
      </c>
      <c r="W31" s="124">
        <f t="shared" ref="W31" si="1290">V31*$E31</f>
        <v>11088</v>
      </c>
      <c r="X31" s="123">
        <v>16800</v>
      </c>
      <c r="Y31" s="124">
        <f t="shared" ref="Y31" si="1291">X31*$E31</f>
        <v>16800</v>
      </c>
      <c r="Z31" s="123">
        <v>19092</v>
      </c>
      <c r="AA31" s="124">
        <f t="shared" ref="AA31" si="1292">Z31*$E31</f>
        <v>19092</v>
      </c>
      <c r="AB31" s="123">
        <v>14400</v>
      </c>
      <c r="AC31" s="124">
        <f t="shared" ref="AC31" si="1293">AB31*$E31</f>
        <v>14400</v>
      </c>
      <c r="AD31" s="123">
        <v>26640</v>
      </c>
      <c r="AE31" s="124">
        <f t="shared" ref="AE31" si="1294">AD31*$E31</f>
        <v>26640</v>
      </c>
      <c r="AF31" s="125">
        <f t="shared" si="13"/>
        <v>135162</v>
      </c>
      <c r="AG31" s="126">
        <f t="shared" ref="AG31" si="1295">AF31*$E31</f>
        <v>135162</v>
      </c>
      <c r="AH31" s="11">
        <v>31037</v>
      </c>
      <c r="AI31" s="124">
        <f t="shared" ref="AI31" si="1296">AH31*$E31</f>
        <v>31037</v>
      </c>
      <c r="AJ31" s="15">
        <v>19320</v>
      </c>
      <c r="AK31" s="124">
        <f t="shared" ref="AK31" si="1297">AJ31*$E31</f>
        <v>19320</v>
      </c>
      <c r="AL31" s="15">
        <v>34224</v>
      </c>
      <c r="AM31" s="124">
        <f t="shared" ref="AM31" si="1298">AL31*$E31</f>
        <v>34224</v>
      </c>
      <c r="AN31" s="16">
        <v>33420</v>
      </c>
      <c r="AO31" s="124">
        <f t="shared" ref="AO31" si="1299">AN31*$E31</f>
        <v>33420</v>
      </c>
      <c r="AP31" s="15">
        <v>38700</v>
      </c>
      <c r="AQ31" s="124">
        <f t="shared" ref="AQ31" si="1300">AP31*$E31</f>
        <v>38700</v>
      </c>
      <c r="AR31" s="15">
        <v>37776</v>
      </c>
      <c r="AS31" s="124">
        <f t="shared" ref="AS31" si="1301">AR31*$E31</f>
        <v>37776</v>
      </c>
      <c r="AT31" s="17">
        <v>33720</v>
      </c>
      <c r="AU31" s="124">
        <f t="shared" ref="AU31" si="1302">AT31*$E31</f>
        <v>33720</v>
      </c>
      <c r="AV31" s="15">
        <v>31248</v>
      </c>
      <c r="AW31" s="124">
        <f t="shared" ref="AW31" si="1303">AV31*$E31</f>
        <v>31248</v>
      </c>
      <c r="AX31" s="15">
        <v>32604</v>
      </c>
      <c r="AY31" s="124">
        <f t="shared" ref="AY31" si="1304">AX31*$E31</f>
        <v>32604</v>
      </c>
      <c r="AZ31" s="17">
        <v>28584</v>
      </c>
      <c r="BA31" s="124">
        <f t="shared" ref="BA31" si="1305">AZ31*$E31</f>
        <v>28584</v>
      </c>
      <c r="BB31" s="33">
        <v>35292</v>
      </c>
      <c r="BC31" s="124">
        <f t="shared" ref="BC31" si="1306">BB31*$E31</f>
        <v>35292</v>
      </c>
      <c r="BD31" s="33">
        <v>43020</v>
      </c>
      <c r="BE31" s="124">
        <f t="shared" ref="BE31" si="1307">BD31*$E31</f>
        <v>43020</v>
      </c>
      <c r="BF31" s="125">
        <f t="shared" si="27"/>
        <v>398945</v>
      </c>
      <c r="BG31" s="126">
        <f t="shared" ref="BG31" si="1308">BF31*$E31</f>
        <v>398945</v>
      </c>
      <c r="BH31" s="64">
        <v>45624</v>
      </c>
      <c r="BI31" s="124">
        <f t="shared" ref="BI31" si="1309">BH31*$E31</f>
        <v>45624</v>
      </c>
      <c r="BJ31" s="67">
        <v>38316</v>
      </c>
      <c r="BK31" s="124">
        <f t="shared" ref="BK31" si="1310">BJ31*$E31</f>
        <v>38316</v>
      </c>
      <c r="BL31" s="64">
        <v>51060</v>
      </c>
      <c r="BM31" s="124">
        <f t="shared" ref="BM31" si="1311">BL31*$E31</f>
        <v>51060</v>
      </c>
      <c r="BN31" s="64">
        <v>50352</v>
      </c>
      <c r="BO31" s="124">
        <f t="shared" ref="BO31" si="1312">BN31*$E31</f>
        <v>50352</v>
      </c>
      <c r="BP31" s="64">
        <v>42816</v>
      </c>
      <c r="BQ31" s="124">
        <f t="shared" ref="BQ31" si="1313">BP31*$E31</f>
        <v>42816</v>
      </c>
      <c r="BR31" s="65">
        <v>58200</v>
      </c>
      <c r="BS31" s="124">
        <f t="shared" ref="BS31" si="1314">BR31*$E31</f>
        <v>58200</v>
      </c>
      <c r="BT31" s="71">
        <v>55260</v>
      </c>
      <c r="BU31" s="124">
        <f t="shared" ref="BU31" si="1315">BT31*$E31</f>
        <v>55260</v>
      </c>
      <c r="BV31" s="67">
        <v>72780</v>
      </c>
      <c r="BW31" s="124">
        <f t="shared" ref="BW31" si="1316">BV31*$E31</f>
        <v>72780</v>
      </c>
      <c r="BX31" s="67">
        <v>68988</v>
      </c>
      <c r="BY31" s="124">
        <f t="shared" ref="BY31" si="1317">BX31*$E31</f>
        <v>68988</v>
      </c>
      <c r="BZ31" s="67">
        <v>72912</v>
      </c>
      <c r="CA31" s="124">
        <f t="shared" ref="CA31" si="1318">BZ31*$E31</f>
        <v>72912</v>
      </c>
      <c r="CB31" s="67">
        <v>50760</v>
      </c>
      <c r="CC31" s="124">
        <f t="shared" ref="CC31" si="1319">CB31*$E31</f>
        <v>50760</v>
      </c>
      <c r="CD31" s="67">
        <v>78252</v>
      </c>
      <c r="CE31" s="124">
        <f t="shared" ref="CE31" si="1320">CD31*$E31</f>
        <v>78252</v>
      </c>
      <c r="CF31" s="125">
        <f t="shared" si="41"/>
        <v>685320</v>
      </c>
      <c r="CG31" s="126">
        <f t="shared" ref="CG31" si="1321">CF31*$E31</f>
        <v>685320</v>
      </c>
      <c r="CH31" s="123">
        <v>77256</v>
      </c>
      <c r="CI31" s="124">
        <f t="shared" ref="CI31" si="1322">CH31*$E31</f>
        <v>77256</v>
      </c>
      <c r="CJ31" s="123">
        <v>72468</v>
      </c>
      <c r="CK31" s="124">
        <f t="shared" ref="CK31" si="1323">CJ31*$E31</f>
        <v>72468</v>
      </c>
      <c r="CL31" s="123">
        <v>73320</v>
      </c>
      <c r="CM31" s="124">
        <f t="shared" ref="CM31" si="1324">CL31*$E31</f>
        <v>73320</v>
      </c>
      <c r="CN31" s="123">
        <v>36480</v>
      </c>
      <c r="CO31" s="124">
        <f t="shared" ref="CO31" si="1325">CN31*$E31</f>
        <v>36480</v>
      </c>
      <c r="CP31" s="123">
        <v>101580</v>
      </c>
      <c r="CQ31" s="124">
        <f t="shared" ref="CQ31" si="1326">CP31*$E31</f>
        <v>101580</v>
      </c>
      <c r="CR31" s="123">
        <v>92916</v>
      </c>
      <c r="CS31" s="124">
        <f t="shared" ref="CS31" si="1327">CR31*$E31</f>
        <v>92916</v>
      </c>
      <c r="CT31" s="123">
        <v>82320</v>
      </c>
      <c r="CU31" s="124">
        <f t="shared" ref="CU31" si="1328">CT31*$E31</f>
        <v>82320</v>
      </c>
      <c r="CV31" s="123">
        <v>99240</v>
      </c>
      <c r="CW31" s="124">
        <f t="shared" ref="CW31" si="1329">CV31*$E31</f>
        <v>99240</v>
      </c>
      <c r="CX31" s="123">
        <v>101928</v>
      </c>
      <c r="CY31" s="124">
        <f t="shared" ref="CY31" si="1330">CX31*$E31</f>
        <v>101928</v>
      </c>
      <c r="CZ31" s="123">
        <v>86100</v>
      </c>
      <c r="DA31" s="124">
        <f t="shared" ref="DA31" si="1331">CZ31*$E31</f>
        <v>86100</v>
      </c>
      <c r="DB31" s="123">
        <v>88980</v>
      </c>
      <c r="DC31" s="124">
        <f t="shared" si="53"/>
        <v>88980</v>
      </c>
      <c r="DD31" s="123">
        <v>104400</v>
      </c>
      <c r="DE31" s="124">
        <f t="shared" si="53"/>
        <v>104400</v>
      </c>
      <c r="DF31" s="27">
        <f t="shared" si="0"/>
        <v>1016988</v>
      </c>
      <c r="DG31" s="124">
        <f t="shared" si="54"/>
        <v>1016988</v>
      </c>
    </row>
    <row r="32" spans="1:111" ht="18" customHeight="1" x14ac:dyDescent="0.5">
      <c r="A32" s="117">
        <v>25</v>
      </c>
      <c r="B32" s="122" t="s">
        <v>156</v>
      </c>
      <c r="C32" s="122" t="s">
        <v>233</v>
      </c>
      <c r="D32" s="117">
        <f t="shared" si="1282"/>
        <v>21</v>
      </c>
      <c r="E32" s="117">
        <v>1</v>
      </c>
      <c r="F32" s="117" t="s">
        <v>232</v>
      </c>
      <c r="G32" s="117"/>
      <c r="H32" s="123"/>
      <c r="I32" s="124">
        <f t="shared" ref="I32" si="1332">H32*$E32</f>
        <v>0</v>
      </c>
      <c r="J32" s="123"/>
      <c r="K32" s="124">
        <f t="shared" ref="K32" si="1333">J32*$E32</f>
        <v>0</v>
      </c>
      <c r="L32" s="123"/>
      <c r="M32" s="124">
        <f t="shared" ref="M32" si="1334">L32*$E32</f>
        <v>0</v>
      </c>
      <c r="N32" s="123"/>
      <c r="O32" s="124">
        <f t="shared" ref="O32" si="1335">N32*$E32</f>
        <v>0</v>
      </c>
      <c r="P32" s="123"/>
      <c r="Q32" s="124">
        <f t="shared" ref="Q32" si="1336">P32*$E32</f>
        <v>0</v>
      </c>
      <c r="R32" s="123"/>
      <c r="S32" s="124">
        <f t="shared" ref="S32" si="1337">R32*$E32</f>
        <v>0</v>
      </c>
      <c r="T32" s="123"/>
      <c r="U32" s="124">
        <f t="shared" ref="U32" si="1338">T32*$E32</f>
        <v>0</v>
      </c>
      <c r="V32" s="123"/>
      <c r="W32" s="124">
        <f t="shared" ref="W32" si="1339">V32*$E32</f>
        <v>0</v>
      </c>
      <c r="X32" s="123"/>
      <c r="Y32" s="124">
        <f t="shared" ref="Y32" si="1340">X32*$E32</f>
        <v>0</v>
      </c>
      <c r="Z32" s="123"/>
      <c r="AA32" s="124">
        <f t="shared" ref="AA32" si="1341">Z32*$E32</f>
        <v>0</v>
      </c>
      <c r="AB32" s="123"/>
      <c r="AC32" s="124">
        <f t="shared" ref="AC32" si="1342">AB32*$E32</f>
        <v>0</v>
      </c>
      <c r="AD32" s="123"/>
      <c r="AE32" s="124">
        <f t="shared" ref="AE32" si="1343">AD32*$E32</f>
        <v>0</v>
      </c>
      <c r="AF32" s="125">
        <f t="shared" si="13"/>
        <v>0</v>
      </c>
      <c r="AG32" s="126">
        <f t="shared" ref="AG32" si="1344">AF32*$E32</f>
        <v>0</v>
      </c>
      <c r="AH32" s="11"/>
      <c r="AI32" s="124">
        <f t="shared" ref="AI32" si="1345">AH32*$E32</f>
        <v>0</v>
      </c>
      <c r="AJ32" s="15"/>
      <c r="AK32" s="124">
        <f t="shared" ref="AK32" si="1346">AJ32*$E32</f>
        <v>0</v>
      </c>
      <c r="AL32" s="15"/>
      <c r="AM32" s="124">
        <f t="shared" ref="AM32" si="1347">AL32*$E32</f>
        <v>0</v>
      </c>
      <c r="AN32" s="16"/>
      <c r="AO32" s="124">
        <f t="shared" ref="AO32" si="1348">AN32*$E32</f>
        <v>0</v>
      </c>
      <c r="AP32" s="15"/>
      <c r="AQ32" s="124">
        <f t="shared" ref="AQ32" si="1349">AP32*$E32</f>
        <v>0</v>
      </c>
      <c r="AR32" s="15"/>
      <c r="AS32" s="124">
        <f t="shared" ref="AS32" si="1350">AR32*$E32</f>
        <v>0</v>
      </c>
      <c r="AT32" s="17"/>
      <c r="AU32" s="124">
        <f t="shared" ref="AU32" si="1351">AT32*$E32</f>
        <v>0</v>
      </c>
      <c r="AV32" s="15"/>
      <c r="AW32" s="124">
        <f t="shared" ref="AW32" si="1352">AV32*$E32</f>
        <v>0</v>
      </c>
      <c r="AX32" s="15"/>
      <c r="AY32" s="124">
        <f t="shared" ref="AY32" si="1353">AX32*$E32</f>
        <v>0</v>
      </c>
      <c r="AZ32" s="17"/>
      <c r="BA32" s="124">
        <f t="shared" ref="BA32" si="1354">AZ32*$E32</f>
        <v>0</v>
      </c>
      <c r="BB32" s="33"/>
      <c r="BC32" s="124">
        <f t="shared" ref="BC32" si="1355">BB32*$E32</f>
        <v>0</v>
      </c>
      <c r="BD32" s="33"/>
      <c r="BE32" s="124">
        <f t="shared" ref="BE32" si="1356">BD32*$E32</f>
        <v>0</v>
      </c>
      <c r="BF32" s="125">
        <f t="shared" si="27"/>
        <v>0</v>
      </c>
      <c r="BG32" s="126">
        <f t="shared" ref="BG32" si="1357">BF32*$E32</f>
        <v>0</v>
      </c>
      <c r="BH32" s="123"/>
      <c r="BI32" s="124">
        <f t="shared" ref="BI32" si="1358">BH32*$E32</f>
        <v>0</v>
      </c>
      <c r="BJ32" s="123"/>
      <c r="BK32" s="124">
        <f t="shared" ref="BK32" si="1359">BJ32*$E32</f>
        <v>0</v>
      </c>
      <c r="BL32" s="123"/>
      <c r="BM32" s="124">
        <f t="shared" ref="BM32" si="1360">BL32*$E32</f>
        <v>0</v>
      </c>
      <c r="BN32" s="123"/>
      <c r="BO32" s="124">
        <f t="shared" ref="BO32" si="1361">BN32*$E32</f>
        <v>0</v>
      </c>
      <c r="BP32" s="123"/>
      <c r="BQ32" s="124">
        <f t="shared" ref="BQ32" si="1362">BP32*$E32</f>
        <v>0</v>
      </c>
      <c r="BR32" s="65"/>
      <c r="BS32" s="124">
        <f t="shared" ref="BS32" si="1363">BR32*$E32</f>
        <v>0</v>
      </c>
      <c r="BT32" s="123"/>
      <c r="BU32" s="124">
        <f t="shared" ref="BU32" si="1364">BT32*$E32</f>
        <v>0</v>
      </c>
      <c r="BV32" s="123"/>
      <c r="BW32" s="124">
        <f t="shared" ref="BW32" si="1365">BV32*$E32</f>
        <v>0</v>
      </c>
      <c r="BX32" s="123"/>
      <c r="BY32" s="124">
        <f t="shared" ref="BY32" si="1366">BX32*$E32</f>
        <v>0</v>
      </c>
      <c r="BZ32" s="123"/>
      <c r="CA32" s="124">
        <f t="shared" ref="CA32" si="1367">BZ32*$E32</f>
        <v>0</v>
      </c>
      <c r="CB32" s="123"/>
      <c r="CC32" s="124">
        <f t="shared" ref="CC32" si="1368">CB32*$E32</f>
        <v>0</v>
      </c>
      <c r="CD32" s="123"/>
      <c r="CE32" s="124">
        <f t="shared" ref="CE32" si="1369">CD32*$E32</f>
        <v>0</v>
      </c>
      <c r="CF32" s="125">
        <f t="shared" si="41"/>
        <v>0</v>
      </c>
      <c r="CG32" s="126">
        <f t="shared" ref="CG32" si="1370">CF32*$E32</f>
        <v>0</v>
      </c>
      <c r="CH32" s="123"/>
      <c r="CI32" s="124">
        <f t="shared" ref="CI32" si="1371">CH32*$E32</f>
        <v>0</v>
      </c>
      <c r="CJ32" s="123"/>
      <c r="CK32" s="124">
        <f t="shared" ref="CK32" si="1372">CJ32*$E32</f>
        <v>0</v>
      </c>
      <c r="CL32" s="123"/>
      <c r="CM32" s="124">
        <f t="shared" ref="CM32" si="1373">CL32*$E32</f>
        <v>0</v>
      </c>
      <c r="CN32" s="123"/>
      <c r="CO32" s="124">
        <f t="shared" ref="CO32" si="1374">CN32*$E32</f>
        <v>0</v>
      </c>
      <c r="CP32" s="123"/>
      <c r="CQ32" s="124">
        <f t="shared" ref="CQ32" si="1375">CP32*$E32</f>
        <v>0</v>
      </c>
      <c r="CR32" s="123"/>
      <c r="CS32" s="124">
        <f t="shared" ref="CS32" si="1376">CR32*$E32</f>
        <v>0</v>
      </c>
      <c r="CT32" s="123"/>
      <c r="CU32" s="124">
        <f t="shared" ref="CU32" si="1377">CT32*$E32</f>
        <v>0</v>
      </c>
      <c r="CV32" s="123"/>
      <c r="CW32" s="124">
        <f t="shared" ref="CW32" si="1378">CV32*$E32</f>
        <v>0</v>
      </c>
      <c r="CX32" s="123"/>
      <c r="CY32" s="124">
        <f t="shared" ref="CY32" si="1379">CX32*$E32</f>
        <v>0</v>
      </c>
      <c r="CZ32" s="123"/>
      <c r="DA32" s="124">
        <f t="shared" ref="DA32" si="1380">CZ32*$E32</f>
        <v>0</v>
      </c>
      <c r="DB32" s="123"/>
      <c r="DC32" s="124">
        <f t="shared" si="53"/>
        <v>0</v>
      </c>
      <c r="DD32" s="123"/>
      <c r="DE32" s="124">
        <f t="shared" si="53"/>
        <v>0</v>
      </c>
      <c r="DF32" s="27">
        <f t="shared" si="0"/>
        <v>0</v>
      </c>
      <c r="DG32" s="124">
        <f t="shared" si="54"/>
        <v>0</v>
      </c>
    </row>
    <row r="33" spans="1:111" ht="18" customHeight="1" x14ac:dyDescent="0.5">
      <c r="A33" s="117">
        <v>26</v>
      </c>
      <c r="B33" s="122" t="s">
        <v>157</v>
      </c>
      <c r="C33" s="122" t="s">
        <v>233</v>
      </c>
      <c r="D33" s="117">
        <f t="shared" si="1282"/>
        <v>21</v>
      </c>
      <c r="E33" s="117">
        <v>0.6</v>
      </c>
      <c r="F33" s="117" t="s">
        <v>232</v>
      </c>
      <c r="G33" s="117"/>
      <c r="H33" s="123"/>
      <c r="I33" s="124">
        <f t="shared" ref="I33" si="1381">H33*$E33</f>
        <v>0</v>
      </c>
      <c r="J33" s="123"/>
      <c r="K33" s="124">
        <f t="shared" ref="K33" si="1382">J33*$E33</f>
        <v>0</v>
      </c>
      <c r="L33" s="123"/>
      <c r="M33" s="124">
        <f t="shared" ref="M33" si="1383">L33*$E33</f>
        <v>0</v>
      </c>
      <c r="N33" s="123"/>
      <c r="O33" s="124">
        <f t="shared" ref="O33" si="1384">N33*$E33</f>
        <v>0</v>
      </c>
      <c r="P33" s="123"/>
      <c r="Q33" s="124">
        <f t="shared" ref="Q33" si="1385">P33*$E33</f>
        <v>0</v>
      </c>
      <c r="R33" s="123"/>
      <c r="S33" s="124">
        <f t="shared" ref="S33" si="1386">R33*$E33</f>
        <v>0</v>
      </c>
      <c r="T33" s="123"/>
      <c r="U33" s="124">
        <f t="shared" ref="U33" si="1387">T33*$E33</f>
        <v>0</v>
      </c>
      <c r="V33" s="123"/>
      <c r="W33" s="124">
        <f t="shared" ref="W33" si="1388">V33*$E33</f>
        <v>0</v>
      </c>
      <c r="X33" s="123"/>
      <c r="Y33" s="124">
        <f t="shared" ref="Y33" si="1389">X33*$E33</f>
        <v>0</v>
      </c>
      <c r="Z33" s="123"/>
      <c r="AA33" s="124">
        <f t="shared" ref="AA33" si="1390">Z33*$E33</f>
        <v>0</v>
      </c>
      <c r="AB33" s="123"/>
      <c r="AC33" s="124">
        <f t="shared" ref="AC33" si="1391">AB33*$E33</f>
        <v>0</v>
      </c>
      <c r="AD33" s="123"/>
      <c r="AE33" s="124">
        <f t="shared" ref="AE33" si="1392">AD33*$E33</f>
        <v>0</v>
      </c>
      <c r="AF33" s="125">
        <f t="shared" si="13"/>
        <v>0</v>
      </c>
      <c r="AG33" s="126">
        <f t="shared" ref="AG33" si="1393">AF33*$E33</f>
        <v>0</v>
      </c>
      <c r="AH33" s="11"/>
      <c r="AI33" s="124">
        <f t="shared" ref="AI33" si="1394">AH33*$E33</f>
        <v>0</v>
      </c>
      <c r="AJ33" s="15"/>
      <c r="AK33" s="124">
        <f t="shared" ref="AK33" si="1395">AJ33*$E33</f>
        <v>0</v>
      </c>
      <c r="AL33" s="15"/>
      <c r="AM33" s="124">
        <f t="shared" ref="AM33" si="1396">AL33*$E33</f>
        <v>0</v>
      </c>
      <c r="AN33" s="16"/>
      <c r="AO33" s="124">
        <f t="shared" ref="AO33" si="1397">AN33*$E33</f>
        <v>0</v>
      </c>
      <c r="AP33" s="15"/>
      <c r="AQ33" s="124">
        <f t="shared" ref="AQ33" si="1398">AP33*$E33</f>
        <v>0</v>
      </c>
      <c r="AR33" s="15"/>
      <c r="AS33" s="124">
        <f t="shared" ref="AS33" si="1399">AR33*$E33</f>
        <v>0</v>
      </c>
      <c r="AT33" s="17"/>
      <c r="AU33" s="124">
        <f t="shared" ref="AU33" si="1400">AT33*$E33</f>
        <v>0</v>
      </c>
      <c r="AV33" s="15"/>
      <c r="AW33" s="124">
        <f t="shared" ref="AW33" si="1401">AV33*$E33</f>
        <v>0</v>
      </c>
      <c r="AX33" s="15"/>
      <c r="AY33" s="124">
        <f t="shared" ref="AY33" si="1402">AX33*$E33</f>
        <v>0</v>
      </c>
      <c r="AZ33" s="17"/>
      <c r="BA33" s="124">
        <f t="shared" ref="BA33" si="1403">AZ33*$E33</f>
        <v>0</v>
      </c>
      <c r="BB33" s="33"/>
      <c r="BC33" s="124">
        <f t="shared" ref="BC33" si="1404">BB33*$E33</f>
        <v>0</v>
      </c>
      <c r="BD33" s="33"/>
      <c r="BE33" s="124">
        <f t="shared" ref="BE33" si="1405">BD33*$E33</f>
        <v>0</v>
      </c>
      <c r="BF33" s="125">
        <f t="shared" si="27"/>
        <v>0</v>
      </c>
      <c r="BG33" s="126">
        <f t="shared" ref="BG33" si="1406">BF33*$E33</f>
        <v>0</v>
      </c>
      <c r="BH33" s="123"/>
      <c r="BI33" s="124">
        <f t="shared" ref="BI33" si="1407">BH33*$E33</f>
        <v>0</v>
      </c>
      <c r="BJ33" s="123"/>
      <c r="BK33" s="124">
        <f t="shared" ref="BK33" si="1408">BJ33*$E33</f>
        <v>0</v>
      </c>
      <c r="BL33" s="123"/>
      <c r="BM33" s="124">
        <f t="shared" ref="BM33" si="1409">BL33*$E33</f>
        <v>0</v>
      </c>
      <c r="BN33" s="123"/>
      <c r="BO33" s="124">
        <f t="shared" ref="BO33" si="1410">BN33*$E33</f>
        <v>0</v>
      </c>
      <c r="BP33" s="123"/>
      <c r="BQ33" s="124">
        <f t="shared" ref="BQ33" si="1411">BP33*$E33</f>
        <v>0</v>
      </c>
      <c r="BR33" s="123"/>
      <c r="BS33" s="124">
        <f t="shared" ref="BS33" si="1412">BR33*$E33</f>
        <v>0</v>
      </c>
      <c r="BT33" s="123"/>
      <c r="BU33" s="124">
        <f t="shared" ref="BU33" si="1413">BT33*$E33</f>
        <v>0</v>
      </c>
      <c r="BV33" s="123"/>
      <c r="BW33" s="124">
        <f t="shared" ref="BW33" si="1414">BV33*$E33</f>
        <v>0</v>
      </c>
      <c r="BX33" s="123"/>
      <c r="BY33" s="124">
        <f t="shared" ref="BY33" si="1415">BX33*$E33</f>
        <v>0</v>
      </c>
      <c r="BZ33" s="123"/>
      <c r="CA33" s="124">
        <f t="shared" ref="CA33" si="1416">BZ33*$E33</f>
        <v>0</v>
      </c>
      <c r="CB33" s="123"/>
      <c r="CC33" s="124">
        <f t="shared" ref="CC33" si="1417">CB33*$E33</f>
        <v>0</v>
      </c>
      <c r="CD33" s="123"/>
      <c r="CE33" s="124">
        <f t="shared" ref="CE33" si="1418">CD33*$E33</f>
        <v>0</v>
      </c>
      <c r="CF33" s="125">
        <f t="shared" si="41"/>
        <v>0</v>
      </c>
      <c r="CG33" s="126">
        <f t="shared" ref="CG33" si="1419">CF33*$E33</f>
        <v>0</v>
      </c>
      <c r="CH33" s="123"/>
      <c r="CI33" s="124">
        <f t="shared" ref="CI33" si="1420">CH33*$E33</f>
        <v>0</v>
      </c>
      <c r="CJ33" s="123"/>
      <c r="CK33" s="124">
        <f t="shared" ref="CK33" si="1421">CJ33*$E33</f>
        <v>0</v>
      </c>
      <c r="CL33" s="123"/>
      <c r="CM33" s="124">
        <f t="shared" ref="CM33" si="1422">CL33*$E33</f>
        <v>0</v>
      </c>
      <c r="CN33" s="123"/>
      <c r="CO33" s="124">
        <f t="shared" ref="CO33" si="1423">CN33*$E33</f>
        <v>0</v>
      </c>
      <c r="CP33" s="123"/>
      <c r="CQ33" s="124">
        <f t="shared" ref="CQ33" si="1424">CP33*$E33</f>
        <v>0</v>
      </c>
      <c r="CR33" s="123"/>
      <c r="CS33" s="124">
        <f t="shared" ref="CS33" si="1425">CR33*$E33</f>
        <v>0</v>
      </c>
      <c r="CT33" s="123"/>
      <c r="CU33" s="124">
        <f t="shared" ref="CU33" si="1426">CT33*$E33</f>
        <v>0</v>
      </c>
      <c r="CV33" s="123"/>
      <c r="CW33" s="124">
        <f t="shared" ref="CW33" si="1427">CV33*$E33</f>
        <v>0</v>
      </c>
      <c r="CX33" s="123"/>
      <c r="CY33" s="124">
        <f t="shared" ref="CY33" si="1428">CX33*$E33</f>
        <v>0</v>
      </c>
      <c r="CZ33" s="123"/>
      <c r="DA33" s="124">
        <f t="shared" ref="DA33" si="1429">CZ33*$E33</f>
        <v>0</v>
      </c>
      <c r="DB33" s="123"/>
      <c r="DC33" s="124">
        <f t="shared" si="53"/>
        <v>0</v>
      </c>
      <c r="DD33" s="123"/>
      <c r="DE33" s="124">
        <f t="shared" si="53"/>
        <v>0</v>
      </c>
      <c r="DF33" s="27">
        <f t="shared" si="0"/>
        <v>0</v>
      </c>
      <c r="DG33" s="124">
        <f t="shared" si="54"/>
        <v>0</v>
      </c>
    </row>
    <row r="34" spans="1:111" ht="18" customHeight="1" x14ac:dyDescent="0.5">
      <c r="A34" s="117">
        <v>27</v>
      </c>
      <c r="B34" s="122" t="s">
        <v>158</v>
      </c>
      <c r="C34" s="122" t="s">
        <v>233</v>
      </c>
      <c r="D34" s="117">
        <f t="shared" si="1282"/>
        <v>21</v>
      </c>
      <c r="E34" s="117">
        <v>0.6</v>
      </c>
      <c r="F34" s="117" t="s">
        <v>232</v>
      </c>
      <c r="G34" s="117"/>
      <c r="H34" s="123"/>
      <c r="I34" s="124">
        <f t="shared" ref="I34" si="1430">H34*$E34</f>
        <v>0</v>
      </c>
      <c r="J34" s="123"/>
      <c r="K34" s="124">
        <f t="shared" ref="K34" si="1431">J34*$E34</f>
        <v>0</v>
      </c>
      <c r="L34" s="123"/>
      <c r="M34" s="124">
        <f t="shared" ref="M34" si="1432">L34*$E34</f>
        <v>0</v>
      </c>
      <c r="N34" s="123"/>
      <c r="O34" s="124">
        <f t="shared" ref="O34" si="1433">N34*$E34</f>
        <v>0</v>
      </c>
      <c r="P34" s="123"/>
      <c r="Q34" s="124">
        <f t="shared" ref="Q34" si="1434">P34*$E34</f>
        <v>0</v>
      </c>
      <c r="R34" s="123"/>
      <c r="S34" s="124">
        <f t="shared" ref="S34" si="1435">R34*$E34</f>
        <v>0</v>
      </c>
      <c r="T34" s="123"/>
      <c r="U34" s="124">
        <f t="shared" ref="U34" si="1436">T34*$E34</f>
        <v>0</v>
      </c>
      <c r="V34" s="123"/>
      <c r="W34" s="124">
        <f t="shared" ref="W34" si="1437">V34*$E34</f>
        <v>0</v>
      </c>
      <c r="X34" s="123"/>
      <c r="Y34" s="124">
        <f t="shared" ref="Y34" si="1438">X34*$E34</f>
        <v>0</v>
      </c>
      <c r="Z34" s="123"/>
      <c r="AA34" s="124">
        <f t="shared" ref="AA34" si="1439">Z34*$E34</f>
        <v>0</v>
      </c>
      <c r="AB34" s="123"/>
      <c r="AC34" s="124">
        <f t="shared" ref="AC34" si="1440">AB34*$E34</f>
        <v>0</v>
      </c>
      <c r="AD34" s="123"/>
      <c r="AE34" s="124">
        <f t="shared" ref="AE34" si="1441">AD34*$E34</f>
        <v>0</v>
      </c>
      <c r="AF34" s="125">
        <f t="shared" si="13"/>
        <v>0</v>
      </c>
      <c r="AG34" s="126">
        <f t="shared" ref="AG34" si="1442">AF34*$E34</f>
        <v>0</v>
      </c>
      <c r="AH34" s="11"/>
      <c r="AI34" s="124">
        <f t="shared" ref="AI34" si="1443">AH34*$E34</f>
        <v>0</v>
      </c>
      <c r="AJ34" s="15"/>
      <c r="AK34" s="124">
        <f t="shared" ref="AK34" si="1444">AJ34*$E34</f>
        <v>0</v>
      </c>
      <c r="AL34" s="15"/>
      <c r="AM34" s="124">
        <f t="shared" ref="AM34" si="1445">AL34*$E34</f>
        <v>0</v>
      </c>
      <c r="AN34" s="16"/>
      <c r="AO34" s="124">
        <f t="shared" ref="AO34" si="1446">AN34*$E34</f>
        <v>0</v>
      </c>
      <c r="AP34" s="15"/>
      <c r="AQ34" s="124">
        <f t="shared" ref="AQ34" si="1447">AP34*$E34</f>
        <v>0</v>
      </c>
      <c r="AR34" s="15"/>
      <c r="AS34" s="124">
        <f t="shared" ref="AS34" si="1448">AR34*$E34</f>
        <v>0</v>
      </c>
      <c r="AT34" s="17"/>
      <c r="AU34" s="124">
        <f t="shared" ref="AU34" si="1449">AT34*$E34</f>
        <v>0</v>
      </c>
      <c r="AV34" s="15"/>
      <c r="AW34" s="124">
        <f t="shared" ref="AW34" si="1450">AV34*$E34</f>
        <v>0</v>
      </c>
      <c r="AX34" s="15"/>
      <c r="AY34" s="124">
        <f t="shared" ref="AY34" si="1451">AX34*$E34</f>
        <v>0</v>
      </c>
      <c r="AZ34" s="17"/>
      <c r="BA34" s="124">
        <f t="shared" ref="BA34" si="1452">AZ34*$E34</f>
        <v>0</v>
      </c>
      <c r="BB34" s="33"/>
      <c r="BC34" s="124">
        <f t="shared" ref="BC34" si="1453">BB34*$E34</f>
        <v>0</v>
      </c>
      <c r="BD34" s="33"/>
      <c r="BE34" s="124">
        <f t="shared" ref="BE34" si="1454">BD34*$E34</f>
        <v>0</v>
      </c>
      <c r="BF34" s="125">
        <f t="shared" si="27"/>
        <v>0</v>
      </c>
      <c r="BG34" s="126">
        <f t="shared" ref="BG34" si="1455">BF34*$E34</f>
        <v>0</v>
      </c>
      <c r="BH34" s="123"/>
      <c r="BI34" s="124">
        <f t="shared" ref="BI34" si="1456">BH34*$E34</f>
        <v>0</v>
      </c>
      <c r="BJ34" s="123"/>
      <c r="BK34" s="124">
        <f t="shared" ref="BK34" si="1457">BJ34*$E34</f>
        <v>0</v>
      </c>
      <c r="BL34" s="123"/>
      <c r="BM34" s="124">
        <f t="shared" ref="BM34" si="1458">BL34*$E34</f>
        <v>0</v>
      </c>
      <c r="BN34" s="123"/>
      <c r="BO34" s="124">
        <f t="shared" ref="BO34" si="1459">BN34*$E34</f>
        <v>0</v>
      </c>
      <c r="BP34" s="123"/>
      <c r="BQ34" s="124">
        <f t="shared" ref="BQ34" si="1460">BP34*$E34</f>
        <v>0</v>
      </c>
      <c r="BR34" s="123"/>
      <c r="BS34" s="124">
        <f t="shared" ref="BS34" si="1461">BR34*$E34</f>
        <v>0</v>
      </c>
      <c r="BT34" s="123"/>
      <c r="BU34" s="124">
        <f t="shared" ref="BU34" si="1462">BT34*$E34</f>
        <v>0</v>
      </c>
      <c r="BV34" s="123"/>
      <c r="BW34" s="124">
        <f t="shared" ref="BW34" si="1463">BV34*$E34</f>
        <v>0</v>
      </c>
      <c r="BX34" s="123"/>
      <c r="BY34" s="124">
        <f t="shared" ref="BY34" si="1464">BX34*$E34</f>
        <v>0</v>
      </c>
      <c r="BZ34" s="123"/>
      <c r="CA34" s="124">
        <f t="shared" ref="CA34" si="1465">BZ34*$E34</f>
        <v>0</v>
      </c>
      <c r="CB34" s="123"/>
      <c r="CC34" s="124">
        <f t="shared" ref="CC34" si="1466">CB34*$E34</f>
        <v>0</v>
      </c>
      <c r="CD34" s="123"/>
      <c r="CE34" s="124">
        <f t="shared" ref="CE34" si="1467">CD34*$E34</f>
        <v>0</v>
      </c>
      <c r="CF34" s="125">
        <f t="shared" si="41"/>
        <v>0</v>
      </c>
      <c r="CG34" s="126">
        <f t="shared" ref="CG34" si="1468">CF34*$E34</f>
        <v>0</v>
      </c>
      <c r="CH34" s="123"/>
      <c r="CI34" s="124">
        <f t="shared" ref="CI34" si="1469">CH34*$E34</f>
        <v>0</v>
      </c>
      <c r="CJ34" s="123"/>
      <c r="CK34" s="124">
        <f t="shared" ref="CK34" si="1470">CJ34*$E34</f>
        <v>0</v>
      </c>
      <c r="CL34" s="123"/>
      <c r="CM34" s="124">
        <f t="shared" ref="CM34" si="1471">CL34*$E34</f>
        <v>0</v>
      </c>
      <c r="CN34" s="123"/>
      <c r="CO34" s="124">
        <f t="shared" ref="CO34" si="1472">CN34*$E34</f>
        <v>0</v>
      </c>
      <c r="CP34" s="123"/>
      <c r="CQ34" s="124">
        <f t="shared" ref="CQ34" si="1473">CP34*$E34</f>
        <v>0</v>
      </c>
      <c r="CR34" s="123"/>
      <c r="CS34" s="124">
        <f t="shared" ref="CS34" si="1474">CR34*$E34</f>
        <v>0</v>
      </c>
      <c r="CT34" s="123"/>
      <c r="CU34" s="124">
        <f t="shared" ref="CU34" si="1475">CT34*$E34</f>
        <v>0</v>
      </c>
      <c r="CV34" s="123"/>
      <c r="CW34" s="124">
        <f t="shared" ref="CW34" si="1476">CV34*$E34</f>
        <v>0</v>
      </c>
      <c r="CX34" s="123"/>
      <c r="CY34" s="124">
        <f t="shared" ref="CY34" si="1477">CX34*$E34</f>
        <v>0</v>
      </c>
      <c r="CZ34" s="123"/>
      <c r="DA34" s="124">
        <f t="shared" ref="DA34" si="1478">CZ34*$E34</f>
        <v>0</v>
      </c>
      <c r="DB34" s="123"/>
      <c r="DC34" s="124">
        <f t="shared" si="53"/>
        <v>0</v>
      </c>
      <c r="DD34" s="123"/>
      <c r="DE34" s="124">
        <f t="shared" si="53"/>
        <v>0</v>
      </c>
      <c r="DF34" s="27">
        <f t="shared" si="0"/>
        <v>0</v>
      </c>
      <c r="DG34" s="124">
        <f t="shared" si="54"/>
        <v>0</v>
      </c>
    </row>
    <row r="35" spans="1:111" ht="18" customHeight="1" x14ac:dyDescent="0.5">
      <c r="A35" s="117">
        <v>28</v>
      </c>
      <c r="B35" s="122" t="s">
        <v>159</v>
      </c>
      <c r="C35" s="122" t="s">
        <v>233</v>
      </c>
      <c r="D35" s="117">
        <f t="shared" si="1282"/>
        <v>21</v>
      </c>
      <c r="E35" s="117">
        <v>0.35</v>
      </c>
      <c r="F35" s="117" t="s">
        <v>234</v>
      </c>
      <c r="G35" s="117"/>
      <c r="H35" s="123"/>
      <c r="I35" s="124">
        <f t="shared" ref="I35" si="1479">H35*$E35</f>
        <v>0</v>
      </c>
      <c r="J35" s="123"/>
      <c r="K35" s="124">
        <f t="shared" ref="K35" si="1480">J35*$E35</f>
        <v>0</v>
      </c>
      <c r="L35" s="123"/>
      <c r="M35" s="124">
        <f t="shared" ref="M35" si="1481">L35*$E35</f>
        <v>0</v>
      </c>
      <c r="N35" s="123"/>
      <c r="O35" s="124">
        <f t="shared" ref="O35" si="1482">N35*$E35</f>
        <v>0</v>
      </c>
      <c r="P35" s="123"/>
      <c r="Q35" s="124">
        <f t="shared" ref="Q35" si="1483">P35*$E35</f>
        <v>0</v>
      </c>
      <c r="R35" s="123"/>
      <c r="S35" s="124">
        <f t="shared" ref="S35" si="1484">R35*$E35</f>
        <v>0</v>
      </c>
      <c r="T35" s="123"/>
      <c r="U35" s="124">
        <f t="shared" ref="U35" si="1485">T35*$E35</f>
        <v>0</v>
      </c>
      <c r="V35" s="123"/>
      <c r="W35" s="124">
        <f t="shared" ref="W35" si="1486">V35*$E35</f>
        <v>0</v>
      </c>
      <c r="X35" s="123"/>
      <c r="Y35" s="124">
        <f t="shared" ref="Y35" si="1487">X35*$E35</f>
        <v>0</v>
      </c>
      <c r="Z35" s="123"/>
      <c r="AA35" s="124">
        <f t="shared" ref="AA35" si="1488">Z35*$E35</f>
        <v>0</v>
      </c>
      <c r="AB35" s="123"/>
      <c r="AC35" s="124">
        <f t="shared" ref="AC35" si="1489">AB35*$E35</f>
        <v>0</v>
      </c>
      <c r="AD35" s="123"/>
      <c r="AE35" s="124">
        <f t="shared" ref="AE35" si="1490">AD35*$E35</f>
        <v>0</v>
      </c>
      <c r="AF35" s="125">
        <f t="shared" si="13"/>
        <v>0</v>
      </c>
      <c r="AG35" s="126">
        <f t="shared" ref="AG35" si="1491">AF35*$E35</f>
        <v>0</v>
      </c>
      <c r="AH35" s="11"/>
      <c r="AI35" s="124">
        <f t="shared" ref="AI35" si="1492">AH35*$E35</f>
        <v>0</v>
      </c>
      <c r="AJ35" s="15"/>
      <c r="AK35" s="124">
        <f t="shared" ref="AK35" si="1493">AJ35*$E35</f>
        <v>0</v>
      </c>
      <c r="AL35" s="15"/>
      <c r="AM35" s="124">
        <f t="shared" ref="AM35" si="1494">AL35*$E35</f>
        <v>0</v>
      </c>
      <c r="AN35" s="16"/>
      <c r="AO35" s="124">
        <f t="shared" ref="AO35" si="1495">AN35*$E35</f>
        <v>0</v>
      </c>
      <c r="AP35" s="15"/>
      <c r="AQ35" s="124">
        <f t="shared" ref="AQ35" si="1496">AP35*$E35</f>
        <v>0</v>
      </c>
      <c r="AR35" s="15"/>
      <c r="AS35" s="124">
        <f t="shared" ref="AS35" si="1497">AR35*$E35</f>
        <v>0</v>
      </c>
      <c r="AT35" s="17"/>
      <c r="AU35" s="124">
        <f t="shared" ref="AU35" si="1498">AT35*$E35</f>
        <v>0</v>
      </c>
      <c r="AV35" s="15"/>
      <c r="AW35" s="124">
        <f t="shared" ref="AW35" si="1499">AV35*$E35</f>
        <v>0</v>
      </c>
      <c r="AX35" s="15"/>
      <c r="AY35" s="124">
        <f t="shared" ref="AY35" si="1500">AX35*$E35</f>
        <v>0</v>
      </c>
      <c r="AZ35" s="17"/>
      <c r="BA35" s="124">
        <f t="shared" ref="BA35" si="1501">AZ35*$E35</f>
        <v>0</v>
      </c>
      <c r="BB35" s="33"/>
      <c r="BC35" s="124">
        <f t="shared" ref="BC35" si="1502">BB35*$E35</f>
        <v>0</v>
      </c>
      <c r="BD35" s="33"/>
      <c r="BE35" s="124">
        <f t="shared" ref="BE35" si="1503">BD35*$E35</f>
        <v>0</v>
      </c>
      <c r="BF35" s="125">
        <f t="shared" si="27"/>
        <v>0</v>
      </c>
      <c r="BG35" s="126">
        <f t="shared" ref="BG35" si="1504">BF35*$E35</f>
        <v>0</v>
      </c>
      <c r="BH35" s="123"/>
      <c r="BI35" s="124">
        <f t="shared" ref="BI35" si="1505">BH35*$E35</f>
        <v>0</v>
      </c>
      <c r="BJ35" s="123"/>
      <c r="BK35" s="124">
        <f t="shared" ref="BK35" si="1506">BJ35*$E35</f>
        <v>0</v>
      </c>
      <c r="BL35" s="123"/>
      <c r="BM35" s="124">
        <f t="shared" ref="BM35" si="1507">BL35*$E35</f>
        <v>0</v>
      </c>
      <c r="BN35" s="123"/>
      <c r="BO35" s="124">
        <f t="shared" ref="BO35" si="1508">BN35*$E35</f>
        <v>0</v>
      </c>
      <c r="BP35" s="123"/>
      <c r="BQ35" s="124">
        <f t="shared" ref="BQ35" si="1509">BP35*$E35</f>
        <v>0</v>
      </c>
      <c r="BR35" s="123"/>
      <c r="BS35" s="124">
        <f t="shared" ref="BS35" si="1510">BR35*$E35</f>
        <v>0</v>
      </c>
      <c r="BT35" s="123"/>
      <c r="BU35" s="124">
        <f t="shared" ref="BU35" si="1511">BT35*$E35</f>
        <v>0</v>
      </c>
      <c r="BV35" s="123"/>
      <c r="BW35" s="124">
        <f t="shared" ref="BW35" si="1512">BV35*$E35</f>
        <v>0</v>
      </c>
      <c r="BX35" s="123"/>
      <c r="BY35" s="124">
        <f t="shared" ref="BY35" si="1513">BX35*$E35</f>
        <v>0</v>
      </c>
      <c r="BZ35" s="123"/>
      <c r="CA35" s="124">
        <f t="shared" ref="CA35" si="1514">BZ35*$E35</f>
        <v>0</v>
      </c>
      <c r="CB35" s="123"/>
      <c r="CC35" s="124">
        <f t="shared" ref="CC35" si="1515">CB35*$E35</f>
        <v>0</v>
      </c>
      <c r="CD35" s="123"/>
      <c r="CE35" s="124">
        <f t="shared" ref="CE35" si="1516">CD35*$E35</f>
        <v>0</v>
      </c>
      <c r="CF35" s="125">
        <f t="shared" si="41"/>
        <v>0</v>
      </c>
      <c r="CG35" s="126">
        <f t="shared" ref="CG35" si="1517">CF35*$E35</f>
        <v>0</v>
      </c>
      <c r="CH35" s="123"/>
      <c r="CI35" s="124">
        <f t="shared" ref="CI35" si="1518">CH35*$E35</f>
        <v>0</v>
      </c>
      <c r="CJ35" s="123"/>
      <c r="CK35" s="124">
        <f t="shared" ref="CK35" si="1519">CJ35*$E35</f>
        <v>0</v>
      </c>
      <c r="CL35" s="123"/>
      <c r="CM35" s="124">
        <f t="shared" ref="CM35" si="1520">CL35*$E35</f>
        <v>0</v>
      </c>
      <c r="CN35" s="123"/>
      <c r="CO35" s="124">
        <f t="shared" ref="CO35" si="1521">CN35*$E35</f>
        <v>0</v>
      </c>
      <c r="CP35" s="123"/>
      <c r="CQ35" s="124">
        <f t="shared" ref="CQ35" si="1522">CP35*$E35</f>
        <v>0</v>
      </c>
      <c r="CR35" s="123"/>
      <c r="CS35" s="124">
        <f t="shared" ref="CS35" si="1523">CR35*$E35</f>
        <v>0</v>
      </c>
      <c r="CT35" s="123"/>
      <c r="CU35" s="124">
        <f t="shared" ref="CU35" si="1524">CT35*$E35</f>
        <v>0</v>
      </c>
      <c r="CV35" s="123"/>
      <c r="CW35" s="124">
        <f t="shared" ref="CW35" si="1525">CV35*$E35</f>
        <v>0</v>
      </c>
      <c r="CX35" s="123"/>
      <c r="CY35" s="124">
        <f t="shared" ref="CY35" si="1526">CX35*$E35</f>
        <v>0</v>
      </c>
      <c r="CZ35" s="123"/>
      <c r="DA35" s="124">
        <f t="shared" ref="DA35" si="1527">CZ35*$E35</f>
        <v>0</v>
      </c>
      <c r="DB35" s="123"/>
      <c r="DC35" s="124">
        <f t="shared" si="53"/>
        <v>0</v>
      </c>
      <c r="DD35" s="123"/>
      <c r="DE35" s="124">
        <f t="shared" si="53"/>
        <v>0</v>
      </c>
      <c r="DF35" s="27">
        <f t="shared" si="0"/>
        <v>0</v>
      </c>
      <c r="DG35" s="124">
        <f t="shared" si="54"/>
        <v>0</v>
      </c>
    </row>
    <row r="36" spans="1:111" ht="18" customHeight="1" x14ac:dyDescent="0.5">
      <c r="A36" s="117">
        <v>29</v>
      </c>
      <c r="B36" s="122" t="s">
        <v>160</v>
      </c>
      <c r="C36" s="122" t="s">
        <v>231</v>
      </c>
      <c r="D36" s="117">
        <f t="shared" si="1282"/>
        <v>21</v>
      </c>
      <c r="E36" s="117">
        <v>0.7</v>
      </c>
      <c r="F36" s="117" t="s">
        <v>232</v>
      </c>
      <c r="G36" s="117"/>
      <c r="H36" s="123"/>
      <c r="I36" s="124">
        <f t="shared" ref="I36" si="1528">H36*$E36</f>
        <v>0</v>
      </c>
      <c r="J36" s="123"/>
      <c r="K36" s="124">
        <f t="shared" ref="K36" si="1529">J36*$E36</f>
        <v>0</v>
      </c>
      <c r="L36" s="123"/>
      <c r="M36" s="124">
        <f t="shared" ref="M36" si="1530">L36*$E36</f>
        <v>0</v>
      </c>
      <c r="N36" s="123"/>
      <c r="O36" s="124">
        <f t="shared" ref="O36" si="1531">N36*$E36</f>
        <v>0</v>
      </c>
      <c r="P36" s="123"/>
      <c r="Q36" s="124">
        <f t="shared" ref="Q36" si="1532">P36*$E36</f>
        <v>0</v>
      </c>
      <c r="R36" s="123"/>
      <c r="S36" s="124">
        <f t="shared" ref="S36" si="1533">R36*$E36</f>
        <v>0</v>
      </c>
      <c r="T36" s="123"/>
      <c r="U36" s="124">
        <f t="shared" ref="U36" si="1534">T36*$E36</f>
        <v>0</v>
      </c>
      <c r="V36" s="123"/>
      <c r="W36" s="124">
        <f t="shared" ref="W36" si="1535">V36*$E36</f>
        <v>0</v>
      </c>
      <c r="X36" s="123"/>
      <c r="Y36" s="124">
        <f t="shared" ref="Y36" si="1536">X36*$E36</f>
        <v>0</v>
      </c>
      <c r="Z36" s="123"/>
      <c r="AA36" s="124">
        <f t="shared" ref="AA36" si="1537">Z36*$E36</f>
        <v>0</v>
      </c>
      <c r="AB36" s="123"/>
      <c r="AC36" s="124">
        <f t="shared" ref="AC36" si="1538">AB36*$E36</f>
        <v>0</v>
      </c>
      <c r="AD36" s="123"/>
      <c r="AE36" s="124">
        <f t="shared" ref="AE36" si="1539">AD36*$E36</f>
        <v>0</v>
      </c>
      <c r="AF36" s="125">
        <f t="shared" si="13"/>
        <v>0</v>
      </c>
      <c r="AG36" s="126">
        <f t="shared" ref="AG36" si="1540">AF36*$E36</f>
        <v>0</v>
      </c>
      <c r="AH36" s="11"/>
      <c r="AI36" s="124">
        <f t="shared" ref="AI36" si="1541">AH36*$E36</f>
        <v>0</v>
      </c>
      <c r="AJ36" s="15"/>
      <c r="AK36" s="124">
        <f t="shared" ref="AK36" si="1542">AJ36*$E36</f>
        <v>0</v>
      </c>
      <c r="AL36" s="15"/>
      <c r="AM36" s="124">
        <f t="shared" ref="AM36" si="1543">AL36*$E36</f>
        <v>0</v>
      </c>
      <c r="AN36" s="16"/>
      <c r="AO36" s="124">
        <f t="shared" ref="AO36" si="1544">AN36*$E36</f>
        <v>0</v>
      </c>
      <c r="AP36" s="15"/>
      <c r="AQ36" s="124">
        <f t="shared" ref="AQ36" si="1545">AP36*$E36</f>
        <v>0</v>
      </c>
      <c r="AR36" s="15"/>
      <c r="AS36" s="124">
        <f t="shared" ref="AS36" si="1546">AR36*$E36</f>
        <v>0</v>
      </c>
      <c r="AT36" s="17"/>
      <c r="AU36" s="124">
        <f t="shared" ref="AU36" si="1547">AT36*$E36</f>
        <v>0</v>
      </c>
      <c r="AV36" s="15"/>
      <c r="AW36" s="124">
        <f t="shared" ref="AW36" si="1548">AV36*$E36</f>
        <v>0</v>
      </c>
      <c r="AX36" s="15"/>
      <c r="AY36" s="124">
        <f t="shared" ref="AY36" si="1549">AX36*$E36</f>
        <v>0</v>
      </c>
      <c r="AZ36" s="17"/>
      <c r="BA36" s="124">
        <f t="shared" ref="BA36" si="1550">AZ36*$E36</f>
        <v>0</v>
      </c>
      <c r="BB36" s="33"/>
      <c r="BC36" s="124">
        <f t="shared" ref="BC36" si="1551">BB36*$E36</f>
        <v>0</v>
      </c>
      <c r="BD36" s="33"/>
      <c r="BE36" s="124">
        <f t="shared" ref="BE36" si="1552">BD36*$E36</f>
        <v>0</v>
      </c>
      <c r="BF36" s="125">
        <f t="shared" si="27"/>
        <v>0</v>
      </c>
      <c r="BG36" s="126">
        <f t="shared" ref="BG36" si="1553">BF36*$E36</f>
        <v>0</v>
      </c>
      <c r="BH36" s="123"/>
      <c r="BI36" s="124">
        <f t="shared" ref="BI36" si="1554">BH36*$E36</f>
        <v>0</v>
      </c>
      <c r="BJ36" s="123"/>
      <c r="BK36" s="124">
        <f t="shared" ref="BK36" si="1555">BJ36*$E36</f>
        <v>0</v>
      </c>
      <c r="BL36" s="123"/>
      <c r="BM36" s="124">
        <f t="shared" ref="BM36" si="1556">BL36*$E36</f>
        <v>0</v>
      </c>
      <c r="BN36" s="123"/>
      <c r="BO36" s="124">
        <f t="shared" ref="BO36" si="1557">BN36*$E36</f>
        <v>0</v>
      </c>
      <c r="BP36" s="123"/>
      <c r="BQ36" s="124">
        <f t="shared" ref="BQ36" si="1558">BP36*$E36</f>
        <v>0</v>
      </c>
      <c r="BR36" s="123"/>
      <c r="BS36" s="124">
        <f t="shared" ref="BS36" si="1559">BR36*$E36</f>
        <v>0</v>
      </c>
      <c r="BT36" s="123"/>
      <c r="BU36" s="124">
        <f t="shared" ref="BU36" si="1560">BT36*$E36</f>
        <v>0</v>
      </c>
      <c r="BV36" s="123"/>
      <c r="BW36" s="124">
        <f t="shared" ref="BW36" si="1561">BV36*$E36</f>
        <v>0</v>
      </c>
      <c r="BX36" s="123"/>
      <c r="BY36" s="124">
        <f t="shared" ref="BY36" si="1562">BX36*$E36</f>
        <v>0</v>
      </c>
      <c r="BZ36" s="123"/>
      <c r="CA36" s="124">
        <f t="shared" ref="CA36" si="1563">BZ36*$E36</f>
        <v>0</v>
      </c>
      <c r="CB36" s="123"/>
      <c r="CC36" s="124">
        <f t="shared" ref="CC36" si="1564">CB36*$E36</f>
        <v>0</v>
      </c>
      <c r="CD36" s="123"/>
      <c r="CE36" s="124">
        <f t="shared" ref="CE36" si="1565">CD36*$E36</f>
        <v>0</v>
      </c>
      <c r="CF36" s="125">
        <f t="shared" si="41"/>
        <v>0</v>
      </c>
      <c r="CG36" s="126">
        <f t="shared" ref="CG36" si="1566">CF36*$E36</f>
        <v>0</v>
      </c>
      <c r="CH36" s="123"/>
      <c r="CI36" s="124">
        <f t="shared" ref="CI36" si="1567">CH36*$E36</f>
        <v>0</v>
      </c>
      <c r="CJ36" s="123"/>
      <c r="CK36" s="124">
        <f t="shared" ref="CK36" si="1568">CJ36*$E36</f>
        <v>0</v>
      </c>
      <c r="CL36" s="123"/>
      <c r="CM36" s="124">
        <f t="shared" ref="CM36" si="1569">CL36*$E36</f>
        <v>0</v>
      </c>
      <c r="CN36" s="123"/>
      <c r="CO36" s="124">
        <f t="shared" ref="CO36" si="1570">CN36*$E36</f>
        <v>0</v>
      </c>
      <c r="CP36" s="123"/>
      <c r="CQ36" s="124">
        <f t="shared" ref="CQ36" si="1571">CP36*$E36</f>
        <v>0</v>
      </c>
      <c r="CR36" s="123"/>
      <c r="CS36" s="124">
        <f t="shared" ref="CS36" si="1572">CR36*$E36</f>
        <v>0</v>
      </c>
      <c r="CT36" s="123"/>
      <c r="CU36" s="124">
        <f t="shared" ref="CU36" si="1573">CT36*$E36</f>
        <v>0</v>
      </c>
      <c r="CV36" s="123"/>
      <c r="CW36" s="124">
        <f t="shared" ref="CW36" si="1574">CV36*$E36</f>
        <v>0</v>
      </c>
      <c r="CX36" s="123"/>
      <c r="CY36" s="124">
        <f t="shared" ref="CY36" si="1575">CX36*$E36</f>
        <v>0</v>
      </c>
      <c r="CZ36" s="123"/>
      <c r="DA36" s="124">
        <f t="shared" ref="DA36" si="1576">CZ36*$E36</f>
        <v>0</v>
      </c>
      <c r="DB36" s="123"/>
      <c r="DC36" s="124">
        <f t="shared" si="53"/>
        <v>0</v>
      </c>
      <c r="DD36" s="123"/>
      <c r="DE36" s="124">
        <f t="shared" si="53"/>
        <v>0</v>
      </c>
      <c r="DF36" s="27">
        <f t="shared" si="0"/>
        <v>0</v>
      </c>
      <c r="DG36" s="124">
        <f t="shared" si="54"/>
        <v>0</v>
      </c>
    </row>
    <row r="37" spans="1:111" ht="18" customHeight="1" x14ac:dyDescent="0.5">
      <c r="A37" s="117">
        <v>30</v>
      </c>
      <c r="B37" s="122" t="s">
        <v>161</v>
      </c>
      <c r="C37" s="122" t="s">
        <v>231</v>
      </c>
      <c r="D37" s="117">
        <f t="shared" si="1282"/>
        <v>21</v>
      </c>
      <c r="E37" s="117">
        <v>0.7</v>
      </c>
      <c r="F37" s="117" t="s">
        <v>232</v>
      </c>
      <c r="G37" s="117"/>
      <c r="H37" s="123"/>
      <c r="I37" s="124">
        <f t="shared" ref="I37" si="1577">H37*$E37</f>
        <v>0</v>
      </c>
      <c r="J37" s="123"/>
      <c r="K37" s="124">
        <f t="shared" ref="K37" si="1578">J37*$E37</f>
        <v>0</v>
      </c>
      <c r="L37" s="123"/>
      <c r="M37" s="124">
        <f t="shared" ref="M37" si="1579">L37*$E37</f>
        <v>0</v>
      </c>
      <c r="N37" s="123"/>
      <c r="O37" s="124">
        <f t="shared" ref="O37" si="1580">N37*$E37</f>
        <v>0</v>
      </c>
      <c r="P37" s="123"/>
      <c r="Q37" s="124">
        <f t="shared" ref="Q37" si="1581">P37*$E37</f>
        <v>0</v>
      </c>
      <c r="R37" s="123"/>
      <c r="S37" s="124">
        <f t="shared" ref="S37" si="1582">R37*$E37</f>
        <v>0</v>
      </c>
      <c r="T37" s="123"/>
      <c r="U37" s="124">
        <f t="shared" ref="U37" si="1583">T37*$E37</f>
        <v>0</v>
      </c>
      <c r="V37" s="123"/>
      <c r="W37" s="124">
        <f t="shared" ref="W37" si="1584">V37*$E37</f>
        <v>0</v>
      </c>
      <c r="X37" s="123"/>
      <c r="Y37" s="124">
        <f t="shared" ref="Y37" si="1585">X37*$E37</f>
        <v>0</v>
      </c>
      <c r="Z37" s="123"/>
      <c r="AA37" s="124">
        <f t="shared" ref="AA37" si="1586">Z37*$E37</f>
        <v>0</v>
      </c>
      <c r="AB37" s="123"/>
      <c r="AC37" s="124">
        <f t="shared" ref="AC37" si="1587">AB37*$E37</f>
        <v>0</v>
      </c>
      <c r="AD37" s="123"/>
      <c r="AE37" s="124">
        <f t="shared" ref="AE37" si="1588">AD37*$E37</f>
        <v>0</v>
      </c>
      <c r="AF37" s="125">
        <f t="shared" si="13"/>
        <v>0</v>
      </c>
      <c r="AG37" s="126">
        <f t="shared" ref="AG37" si="1589">AF37*$E37</f>
        <v>0</v>
      </c>
      <c r="AH37" s="11"/>
      <c r="AI37" s="124">
        <f t="shared" ref="AI37" si="1590">AH37*$E37</f>
        <v>0</v>
      </c>
      <c r="AJ37" s="15"/>
      <c r="AK37" s="124">
        <f t="shared" ref="AK37" si="1591">AJ37*$E37</f>
        <v>0</v>
      </c>
      <c r="AL37" s="15"/>
      <c r="AM37" s="124">
        <f t="shared" ref="AM37" si="1592">AL37*$E37</f>
        <v>0</v>
      </c>
      <c r="AN37" s="16"/>
      <c r="AO37" s="124">
        <f t="shared" ref="AO37" si="1593">AN37*$E37</f>
        <v>0</v>
      </c>
      <c r="AP37" s="15"/>
      <c r="AQ37" s="124">
        <f t="shared" ref="AQ37" si="1594">AP37*$E37</f>
        <v>0</v>
      </c>
      <c r="AR37" s="15"/>
      <c r="AS37" s="124">
        <f t="shared" ref="AS37" si="1595">AR37*$E37</f>
        <v>0</v>
      </c>
      <c r="AT37" s="17"/>
      <c r="AU37" s="124">
        <f t="shared" ref="AU37" si="1596">AT37*$E37</f>
        <v>0</v>
      </c>
      <c r="AV37" s="15"/>
      <c r="AW37" s="124">
        <f t="shared" ref="AW37" si="1597">AV37*$E37</f>
        <v>0</v>
      </c>
      <c r="AX37" s="15"/>
      <c r="AY37" s="124">
        <f t="shared" ref="AY37" si="1598">AX37*$E37</f>
        <v>0</v>
      </c>
      <c r="AZ37" s="17"/>
      <c r="BA37" s="124">
        <f t="shared" ref="BA37" si="1599">AZ37*$E37</f>
        <v>0</v>
      </c>
      <c r="BB37" s="33"/>
      <c r="BC37" s="124">
        <f t="shared" ref="BC37" si="1600">BB37*$E37</f>
        <v>0</v>
      </c>
      <c r="BD37" s="33"/>
      <c r="BE37" s="124">
        <f t="shared" ref="BE37" si="1601">BD37*$E37</f>
        <v>0</v>
      </c>
      <c r="BF37" s="125">
        <f t="shared" si="27"/>
        <v>0</v>
      </c>
      <c r="BG37" s="126">
        <f t="shared" ref="BG37" si="1602">BF37*$E37</f>
        <v>0</v>
      </c>
      <c r="BH37" s="123"/>
      <c r="BI37" s="124">
        <f t="shared" ref="BI37" si="1603">BH37*$E37</f>
        <v>0</v>
      </c>
      <c r="BJ37" s="123"/>
      <c r="BK37" s="124">
        <f t="shared" ref="BK37" si="1604">BJ37*$E37</f>
        <v>0</v>
      </c>
      <c r="BL37" s="123"/>
      <c r="BM37" s="124">
        <f t="shared" ref="BM37" si="1605">BL37*$E37</f>
        <v>0</v>
      </c>
      <c r="BN37" s="123"/>
      <c r="BO37" s="124">
        <f t="shared" ref="BO37" si="1606">BN37*$E37</f>
        <v>0</v>
      </c>
      <c r="BP37" s="123"/>
      <c r="BQ37" s="124">
        <f t="shared" ref="BQ37" si="1607">BP37*$E37</f>
        <v>0</v>
      </c>
      <c r="BR37" s="123"/>
      <c r="BS37" s="124">
        <f t="shared" ref="BS37" si="1608">BR37*$E37</f>
        <v>0</v>
      </c>
      <c r="BT37" s="123"/>
      <c r="BU37" s="124">
        <f t="shared" ref="BU37" si="1609">BT37*$E37</f>
        <v>0</v>
      </c>
      <c r="BV37" s="123"/>
      <c r="BW37" s="124">
        <f t="shared" ref="BW37" si="1610">BV37*$E37</f>
        <v>0</v>
      </c>
      <c r="BX37" s="123"/>
      <c r="BY37" s="124">
        <f t="shared" ref="BY37" si="1611">BX37*$E37</f>
        <v>0</v>
      </c>
      <c r="BZ37" s="123"/>
      <c r="CA37" s="124">
        <f t="shared" ref="CA37" si="1612">BZ37*$E37</f>
        <v>0</v>
      </c>
      <c r="CB37" s="123"/>
      <c r="CC37" s="124">
        <f t="shared" ref="CC37" si="1613">CB37*$E37</f>
        <v>0</v>
      </c>
      <c r="CD37" s="123"/>
      <c r="CE37" s="124">
        <f t="shared" ref="CE37" si="1614">CD37*$E37</f>
        <v>0</v>
      </c>
      <c r="CF37" s="125">
        <f t="shared" si="41"/>
        <v>0</v>
      </c>
      <c r="CG37" s="126">
        <f t="shared" ref="CG37" si="1615">CF37*$E37</f>
        <v>0</v>
      </c>
      <c r="CH37" s="123"/>
      <c r="CI37" s="124">
        <f t="shared" ref="CI37" si="1616">CH37*$E37</f>
        <v>0</v>
      </c>
      <c r="CJ37" s="123"/>
      <c r="CK37" s="124">
        <f t="shared" ref="CK37" si="1617">CJ37*$E37</f>
        <v>0</v>
      </c>
      <c r="CL37" s="123"/>
      <c r="CM37" s="124">
        <f t="shared" ref="CM37" si="1618">CL37*$E37</f>
        <v>0</v>
      </c>
      <c r="CN37" s="123"/>
      <c r="CO37" s="124">
        <f t="shared" ref="CO37" si="1619">CN37*$E37</f>
        <v>0</v>
      </c>
      <c r="CP37" s="123"/>
      <c r="CQ37" s="124">
        <f t="shared" ref="CQ37" si="1620">CP37*$E37</f>
        <v>0</v>
      </c>
      <c r="CR37" s="123"/>
      <c r="CS37" s="124">
        <f t="shared" ref="CS37" si="1621">CR37*$E37</f>
        <v>0</v>
      </c>
      <c r="CT37" s="123"/>
      <c r="CU37" s="124">
        <f t="shared" ref="CU37" si="1622">CT37*$E37</f>
        <v>0</v>
      </c>
      <c r="CV37" s="123"/>
      <c r="CW37" s="124">
        <f t="shared" ref="CW37" si="1623">CV37*$E37</f>
        <v>0</v>
      </c>
      <c r="CX37" s="123"/>
      <c r="CY37" s="124">
        <f t="shared" ref="CY37" si="1624">CX37*$E37</f>
        <v>0</v>
      </c>
      <c r="CZ37" s="123"/>
      <c r="DA37" s="124">
        <f t="shared" ref="DA37" si="1625">CZ37*$E37</f>
        <v>0</v>
      </c>
      <c r="DB37" s="123"/>
      <c r="DC37" s="124">
        <f t="shared" si="53"/>
        <v>0</v>
      </c>
      <c r="DD37" s="123"/>
      <c r="DE37" s="124">
        <f t="shared" si="53"/>
        <v>0</v>
      </c>
      <c r="DF37" s="27">
        <f t="shared" si="0"/>
        <v>0</v>
      </c>
      <c r="DG37" s="124">
        <f t="shared" si="54"/>
        <v>0</v>
      </c>
    </row>
    <row r="38" spans="1:111" ht="18" customHeight="1" x14ac:dyDescent="0.5">
      <c r="A38" s="117">
        <v>31</v>
      </c>
      <c r="B38" s="122" t="s">
        <v>162</v>
      </c>
      <c r="C38" s="122" t="s">
        <v>231</v>
      </c>
      <c r="D38" s="117">
        <f t="shared" si="1282"/>
        <v>21</v>
      </c>
      <c r="E38" s="117">
        <v>0.68</v>
      </c>
      <c r="F38" s="117" t="s">
        <v>232</v>
      </c>
      <c r="G38" s="117"/>
      <c r="H38" s="123"/>
      <c r="I38" s="124">
        <f t="shared" ref="I38" si="1626">H38*$E38</f>
        <v>0</v>
      </c>
      <c r="J38" s="123"/>
      <c r="K38" s="124">
        <f t="shared" ref="K38" si="1627">J38*$E38</f>
        <v>0</v>
      </c>
      <c r="L38" s="123"/>
      <c r="M38" s="124">
        <f t="shared" ref="M38" si="1628">L38*$E38</f>
        <v>0</v>
      </c>
      <c r="N38" s="123"/>
      <c r="O38" s="124">
        <f t="shared" ref="O38" si="1629">N38*$E38</f>
        <v>0</v>
      </c>
      <c r="P38" s="123"/>
      <c r="Q38" s="124">
        <f t="shared" ref="Q38" si="1630">P38*$E38</f>
        <v>0</v>
      </c>
      <c r="R38" s="123"/>
      <c r="S38" s="124">
        <f t="shared" ref="S38" si="1631">R38*$E38</f>
        <v>0</v>
      </c>
      <c r="T38" s="123"/>
      <c r="U38" s="124">
        <f t="shared" ref="U38" si="1632">T38*$E38</f>
        <v>0</v>
      </c>
      <c r="V38" s="123"/>
      <c r="W38" s="124">
        <f t="shared" ref="W38" si="1633">V38*$E38</f>
        <v>0</v>
      </c>
      <c r="X38" s="123"/>
      <c r="Y38" s="124">
        <f t="shared" ref="Y38" si="1634">X38*$E38</f>
        <v>0</v>
      </c>
      <c r="Z38" s="123"/>
      <c r="AA38" s="124">
        <f t="shared" ref="AA38" si="1635">Z38*$E38</f>
        <v>0</v>
      </c>
      <c r="AB38" s="123"/>
      <c r="AC38" s="124">
        <f t="shared" ref="AC38" si="1636">AB38*$E38</f>
        <v>0</v>
      </c>
      <c r="AD38" s="123"/>
      <c r="AE38" s="124">
        <f t="shared" ref="AE38" si="1637">AD38*$E38</f>
        <v>0</v>
      </c>
      <c r="AF38" s="125">
        <f t="shared" si="13"/>
        <v>0</v>
      </c>
      <c r="AG38" s="126">
        <f t="shared" ref="AG38" si="1638">AF38*$E38</f>
        <v>0</v>
      </c>
      <c r="AH38" s="11"/>
      <c r="AI38" s="124">
        <f t="shared" ref="AI38" si="1639">AH38*$E38</f>
        <v>0</v>
      </c>
      <c r="AJ38" s="15"/>
      <c r="AK38" s="124">
        <f t="shared" ref="AK38" si="1640">AJ38*$E38</f>
        <v>0</v>
      </c>
      <c r="AL38" s="15"/>
      <c r="AM38" s="124">
        <f t="shared" ref="AM38" si="1641">AL38*$E38</f>
        <v>0</v>
      </c>
      <c r="AN38" s="16"/>
      <c r="AO38" s="124">
        <f t="shared" ref="AO38" si="1642">AN38*$E38</f>
        <v>0</v>
      </c>
      <c r="AP38" s="15"/>
      <c r="AQ38" s="124">
        <f t="shared" ref="AQ38" si="1643">AP38*$E38</f>
        <v>0</v>
      </c>
      <c r="AR38" s="15"/>
      <c r="AS38" s="124">
        <f t="shared" ref="AS38" si="1644">AR38*$E38</f>
        <v>0</v>
      </c>
      <c r="AT38" s="17"/>
      <c r="AU38" s="124">
        <f t="shared" ref="AU38" si="1645">AT38*$E38</f>
        <v>0</v>
      </c>
      <c r="AV38" s="15"/>
      <c r="AW38" s="124">
        <f t="shared" ref="AW38" si="1646">AV38*$E38</f>
        <v>0</v>
      </c>
      <c r="AX38" s="15"/>
      <c r="AY38" s="124">
        <f t="shared" ref="AY38" si="1647">AX38*$E38</f>
        <v>0</v>
      </c>
      <c r="AZ38" s="17"/>
      <c r="BA38" s="124">
        <f t="shared" ref="BA38" si="1648">AZ38*$E38</f>
        <v>0</v>
      </c>
      <c r="BB38" s="33"/>
      <c r="BC38" s="124">
        <f t="shared" ref="BC38" si="1649">BB38*$E38</f>
        <v>0</v>
      </c>
      <c r="BD38" s="33"/>
      <c r="BE38" s="124">
        <f t="shared" ref="BE38" si="1650">BD38*$E38</f>
        <v>0</v>
      </c>
      <c r="BF38" s="125">
        <f t="shared" si="27"/>
        <v>0</v>
      </c>
      <c r="BG38" s="126">
        <f t="shared" ref="BG38" si="1651">BF38*$E38</f>
        <v>0</v>
      </c>
      <c r="BH38" s="123"/>
      <c r="BI38" s="124">
        <f t="shared" ref="BI38" si="1652">BH38*$E38</f>
        <v>0</v>
      </c>
      <c r="BJ38" s="123"/>
      <c r="BK38" s="124">
        <f t="shared" ref="BK38" si="1653">BJ38*$E38</f>
        <v>0</v>
      </c>
      <c r="BL38" s="123"/>
      <c r="BM38" s="124">
        <f t="shared" ref="BM38" si="1654">BL38*$E38</f>
        <v>0</v>
      </c>
      <c r="BN38" s="123"/>
      <c r="BO38" s="124">
        <f t="shared" ref="BO38" si="1655">BN38*$E38</f>
        <v>0</v>
      </c>
      <c r="BP38" s="123"/>
      <c r="BQ38" s="124">
        <f t="shared" ref="BQ38" si="1656">BP38*$E38</f>
        <v>0</v>
      </c>
      <c r="BR38" s="123"/>
      <c r="BS38" s="124">
        <f t="shared" ref="BS38" si="1657">BR38*$E38</f>
        <v>0</v>
      </c>
      <c r="BT38" s="123"/>
      <c r="BU38" s="124">
        <f t="shared" ref="BU38" si="1658">BT38*$E38</f>
        <v>0</v>
      </c>
      <c r="BV38" s="123"/>
      <c r="BW38" s="124">
        <f t="shared" ref="BW38" si="1659">BV38*$E38</f>
        <v>0</v>
      </c>
      <c r="BX38" s="123"/>
      <c r="BY38" s="124">
        <f t="shared" ref="BY38" si="1660">BX38*$E38</f>
        <v>0</v>
      </c>
      <c r="BZ38" s="123"/>
      <c r="CA38" s="124">
        <f t="shared" ref="CA38" si="1661">BZ38*$E38</f>
        <v>0</v>
      </c>
      <c r="CB38" s="123"/>
      <c r="CC38" s="124">
        <f t="shared" ref="CC38" si="1662">CB38*$E38</f>
        <v>0</v>
      </c>
      <c r="CD38" s="123"/>
      <c r="CE38" s="124">
        <f t="shared" ref="CE38" si="1663">CD38*$E38</f>
        <v>0</v>
      </c>
      <c r="CF38" s="125">
        <f t="shared" si="41"/>
        <v>0</v>
      </c>
      <c r="CG38" s="126">
        <f t="shared" ref="CG38" si="1664">CF38*$E38</f>
        <v>0</v>
      </c>
      <c r="CH38" s="123"/>
      <c r="CI38" s="124">
        <f t="shared" ref="CI38" si="1665">CH38*$E38</f>
        <v>0</v>
      </c>
      <c r="CJ38" s="123"/>
      <c r="CK38" s="124">
        <f t="shared" ref="CK38" si="1666">CJ38*$E38</f>
        <v>0</v>
      </c>
      <c r="CL38" s="123"/>
      <c r="CM38" s="124">
        <f t="shared" ref="CM38" si="1667">CL38*$E38</f>
        <v>0</v>
      </c>
      <c r="CN38" s="123"/>
      <c r="CO38" s="124">
        <f t="shared" ref="CO38" si="1668">CN38*$E38</f>
        <v>0</v>
      </c>
      <c r="CP38" s="123"/>
      <c r="CQ38" s="124">
        <f t="shared" ref="CQ38" si="1669">CP38*$E38</f>
        <v>0</v>
      </c>
      <c r="CR38" s="123"/>
      <c r="CS38" s="124">
        <f t="shared" ref="CS38" si="1670">CR38*$E38</f>
        <v>0</v>
      </c>
      <c r="CT38" s="123"/>
      <c r="CU38" s="124">
        <f t="shared" ref="CU38" si="1671">CT38*$E38</f>
        <v>0</v>
      </c>
      <c r="CV38" s="123"/>
      <c r="CW38" s="124">
        <f t="shared" ref="CW38" si="1672">CV38*$E38</f>
        <v>0</v>
      </c>
      <c r="CX38" s="123"/>
      <c r="CY38" s="124">
        <f t="shared" ref="CY38" si="1673">CX38*$E38</f>
        <v>0</v>
      </c>
      <c r="CZ38" s="123"/>
      <c r="DA38" s="124">
        <f t="shared" ref="DA38" si="1674">CZ38*$E38</f>
        <v>0</v>
      </c>
      <c r="DB38" s="123"/>
      <c r="DC38" s="124">
        <f t="shared" si="53"/>
        <v>0</v>
      </c>
      <c r="DD38" s="123"/>
      <c r="DE38" s="124">
        <f t="shared" si="53"/>
        <v>0</v>
      </c>
      <c r="DF38" s="27">
        <f t="shared" si="0"/>
        <v>0</v>
      </c>
      <c r="DG38" s="124">
        <f t="shared" si="54"/>
        <v>0</v>
      </c>
    </row>
    <row r="39" spans="1:111" ht="18" customHeight="1" x14ac:dyDescent="0.5">
      <c r="A39" s="117">
        <v>32</v>
      </c>
      <c r="B39" s="122" t="s">
        <v>162</v>
      </c>
      <c r="C39" s="122" t="s">
        <v>231</v>
      </c>
      <c r="D39" s="117">
        <f t="shared" si="1282"/>
        <v>7</v>
      </c>
      <c r="E39" s="117">
        <v>0.64</v>
      </c>
      <c r="F39" s="117" t="s">
        <v>232</v>
      </c>
      <c r="G39" s="117">
        <v>1500</v>
      </c>
      <c r="H39" s="123">
        <v>5460</v>
      </c>
      <c r="I39" s="124">
        <f t="shared" ref="I39" si="1675">H39*$E39</f>
        <v>3494.4</v>
      </c>
      <c r="J39" s="123">
        <v>7616</v>
      </c>
      <c r="K39" s="124">
        <f t="shared" ref="K39" si="1676">J39*$E39</f>
        <v>4874.24</v>
      </c>
      <c r="L39" s="123">
        <v>7112</v>
      </c>
      <c r="M39" s="124">
        <f t="shared" ref="M39" si="1677">L39*$E39</f>
        <v>4551.68</v>
      </c>
      <c r="N39" s="123">
        <v>6524</v>
      </c>
      <c r="O39" s="124">
        <f t="shared" ref="O39" si="1678">N39*$E39</f>
        <v>4175.3599999999997</v>
      </c>
      <c r="P39" s="123">
        <v>8260</v>
      </c>
      <c r="Q39" s="124">
        <f t="shared" ref="Q39" si="1679">P39*$E39</f>
        <v>5286.4000000000005</v>
      </c>
      <c r="R39" s="123">
        <v>8862</v>
      </c>
      <c r="S39" s="124">
        <f t="shared" ref="S39" si="1680">R39*$E39</f>
        <v>5671.68</v>
      </c>
      <c r="T39" s="123">
        <v>2884</v>
      </c>
      <c r="U39" s="124">
        <f t="shared" ref="U39" si="1681">T39*$E39</f>
        <v>1845.76</v>
      </c>
      <c r="V39" s="123">
        <v>4592</v>
      </c>
      <c r="W39" s="124">
        <f t="shared" ref="W39" si="1682">V39*$E39</f>
        <v>2938.88</v>
      </c>
      <c r="X39" s="123">
        <v>2800</v>
      </c>
      <c r="Y39" s="124">
        <f t="shared" ref="Y39" si="1683">X39*$E39</f>
        <v>1792</v>
      </c>
      <c r="Z39" s="123">
        <v>4144</v>
      </c>
      <c r="AA39" s="124">
        <f t="shared" ref="AA39" si="1684">Z39*$E39</f>
        <v>2652.16</v>
      </c>
      <c r="AB39" s="123">
        <v>5236</v>
      </c>
      <c r="AC39" s="124">
        <f t="shared" ref="AC39" si="1685">AB39*$E39</f>
        <v>3351.04</v>
      </c>
      <c r="AD39" s="123">
        <v>2940</v>
      </c>
      <c r="AE39" s="124">
        <f t="shared" ref="AE39" si="1686">AD39*$E39</f>
        <v>1881.6000000000001</v>
      </c>
      <c r="AF39" s="125">
        <f t="shared" si="13"/>
        <v>66430</v>
      </c>
      <c r="AG39" s="126">
        <f t="shared" ref="AG39" si="1687">AF39*$E39</f>
        <v>42515.200000000004</v>
      </c>
      <c r="AH39" s="11">
        <v>4438</v>
      </c>
      <c r="AI39" s="124">
        <f t="shared" ref="AI39" si="1688">AH39*$E39</f>
        <v>2840.32</v>
      </c>
      <c r="AJ39" s="15">
        <v>4284</v>
      </c>
      <c r="AK39" s="124">
        <f t="shared" ref="AK39" si="1689">AJ39*$E39</f>
        <v>2741.76</v>
      </c>
      <c r="AL39" s="15">
        <v>5320</v>
      </c>
      <c r="AM39" s="124">
        <f t="shared" ref="AM39" si="1690">AL39*$E39</f>
        <v>3404.8</v>
      </c>
      <c r="AN39" s="16">
        <v>3010</v>
      </c>
      <c r="AO39" s="124">
        <f t="shared" ref="AO39" si="1691">AN39*$E39</f>
        <v>1926.4</v>
      </c>
      <c r="AP39" s="15">
        <v>4144</v>
      </c>
      <c r="AQ39" s="124">
        <f t="shared" ref="AQ39" si="1692">AP39*$E39</f>
        <v>2652.16</v>
      </c>
      <c r="AR39" s="15">
        <v>5096</v>
      </c>
      <c r="AS39" s="124">
        <f t="shared" ref="AS39" si="1693">AR39*$E39</f>
        <v>3261.44</v>
      </c>
      <c r="AT39" s="17">
        <v>4130</v>
      </c>
      <c r="AU39" s="124">
        <f t="shared" ref="AU39" si="1694">AT39*$E39</f>
        <v>2643.2000000000003</v>
      </c>
      <c r="AV39" s="15">
        <v>6650</v>
      </c>
      <c r="AW39" s="124">
        <f t="shared" ref="AW39" si="1695">AV39*$E39</f>
        <v>4256</v>
      </c>
      <c r="AX39" s="15">
        <v>2548</v>
      </c>
      <c r="AY39" s="124">
        <f t="shared" ref="AY39" si="1696">AX39*$E39</f>
        <v>1630.72</v>
      </c>
      <c r="AZ39" s="17">
        <v>966</v>
      </c>
      <c r="BA39" s="124">
        <f t="shared" ref="BA39" si="1697">AZ39*$E39</f>
        <v>618.24</v>
      </c>
      <c r="BB39" s="33">
        <v>5110</v>
      </c>
      <c r="BC39" s="124">
        <f t="shared" ref="BC39" si="1698">BB39*$E39</f>
        <v>3270.4</v>
      </c>
      <c r="BD39" s="33">
        <v>2198</v>
      </c>
      <c r="BE39" s="124">
        <f t="shared" ref="BE39" si="1699">BD39*$E39</f>
        <v>1406.72</v>
      </c>
      <c r="BF39" s="125">
        <f t="shared" si="27"/>
        <v>47894</v>
      </c>
      <c r="BG39" s="126">
        <f t="shared" ref="BG39" si="1700">BF39*$E39</f>
        <v>30652.16</v>
      </c>
      <c r="BH39" s="64">
        <v>4200</v>
      </c>
      <c r="BI39" s="124">
        <f t="shared" ref="BI39" si="1701">BH39*$E39</f>
        <v>2688</v>
      </c>
      <c r="BJ39" s="64">
        <v>3416</v>
      </c>
      <c r="BK39" s="124">
        <f t="shared" ref="BK39" si="1702">BJ39*$E39</f>
        <v>2186.2400000000002</v>
      </c>
      <c r="BL39" s="67">
        <v>3612</v>
      </c>
      <c r="BM39" s="124">
        <f t="shared" ref="BM39" si="1703">BL39*$E39</f>
        <v>2311.6799999999998</v>
      </c>
      <c r="BN39" s="76">
        <v>3990</v>
      </c>
      <c r="BO39" s="124">
        <f t="shared" ref="BO39" si="1704">BN39*$E39</f>
        <v>2553.6</v>
      </c>
      <c r="BP39" s="64">
        <v>4564</v>
      </c>
      <c r="BQ39" s="124">
        <f t="shared" ref="BQ39" si="1705">BP39*$E39</f>
        <v>2920.96</v>
      </c>
      <c r="BR39" s="65">
        <v>4830</v>
      </c>
      <c r="BS39" s="124">
        <f t="shared" ref="BS39" si="1706">BR39*$E39</f>
        <v>3091.2000000000003</v>
      </c>
      <c r="BT39" s="71">
        <v>4270</v>
      </c>
      <c r="BU39" s="124">
        <f t="shared" ref="BU39" si="1707">BT39*$E39</f>
        <v>2732.8</v>
      </c>
      <c r="BV39" s="75">
        <v>6440</v>
      </c>
      <c r="BW39" s="124">
        <f t="shared" ref="BW39" si="1708">BV39*$E39</f>
        <v>4121.6000000000004</v>
      </c>
      <c r="BX39" s="67">
        <v>4690</v>
      </c>
      <c r="BY39" s="124">
        <f t="shared" ref="BY39" si="1709">BX39*$E39</f>
        <v>3001.6</v>
      </c>
      <c r="BZ39" s="67">
        <v>6580</v>
      </c>
      <c r="CA39" s="124">
        <f t="shared" ref="CA39" si="1710">BZ39*$E39</f>
        <v>4211.2</v>
      </c>
      <c r="CB39" s="69">
        <v>3990</v>
      </c>
      <c r="CC39" s="124">
        <f t="shared" ref="CC39" si="1711">CB39*$E39</f>
        <v>2553.6</v>
      </c>
      <c r="CD39" s="69">
        <v>3570</v>
      </c>
      <c r="CE39" s="124">
        <f t="shared" ref="CE39" si="1712">CD39*$E39</f>
        <v>2284.8000000000002</v>
      </c>
      <c r="CF39" s="125">
        <f t="shared" si="41"/>
        <v>54152</v>
      </c>
      <c r="CG39" s="126">
        <f t="shared" ref="CG39" si="1713">CF39*$E39</f>
        <v>34657.279999999999</v>
      </c>
      <c r="CH39" s="123">
        <v>3430</v>
      </c>
      <c r="CI39" s="124">
        <f t="shared" ref="CI39" si="1714">CH39*$E39</f>
        <v>2195.2000000000003</v>
      </c>
      <c r="CJ39" s="123">
        <v>3150</v>
      </c>
      <c r="CK39" s="124">
        <f t="shared" ref="CK39" si="1715">CJ39*$E39</f>
        <v>2016</v>
      </c>
      <c r="CL39" s="123">
        <v>5670</v>
      </c>
      <c r="CM39" s="124">
        <f t="shared" ref="CM39" si="1716">CL39*$E39</f>
        <v>3628.8</v>
      </c>
      <c r="CN39" s="123">
        <v>2800</v>
      </c>
      <c r="CO39" s="124">
        <f t="shared" ref="CO39" si="1717">CN39*$E39</f>
        <v>1792</v>
      </c>
      <c r="CP39" s="123">
        <v>6272</v>
      </c>
      <c r="CQ39" s="124">
        <f t="shared" ref="CQ39" si="1718">CP39*$E39</f>
        <v>4014.08</v>
      </c>
      <c r="CR39" s="123">
        <v>4340</v>
      </c>
      <c r="CS39" s="124">
        <f t="shared" ref="CS39" si="1719">CR39*$E39</f>
        <v>2777.6</v>
      </c>
      <c r="CT39" s="123">
        <v>5810</v>
      </c>
      <c r="CU39" s="124">
        <f t="shared" ref="CU39" si="1720">CT39*$E39</f>
        <v>3718.4</v>
      </c>
      <c r="CV39" s="123">
        <v>4676</v>
      </c>
      <c r="CW39" s="124">
        <f t="shared" ref="CW39" si="1721">CV39*$E39</f>
        <v>2992.64</v>
      </c>
      <c r="CX39" s="123">
        <v>3640</v>
      </c>
      <c r="CY39" s="124">
        <f t="shared" ref="CY39" si="1722">CX39*$E39</f>
        <v>2329.6</v>
      </c>
      <c r="CZ39" s="123">
        <v>6622</v>
      </c>
      <c r="DA39" s="124">
        <f t="shared" ref="DA39" si="1723">CZ39*$E39</f>
        <v>4238.08</v>
      </c>
      <c r="DB39" s="123">
        <v>3570</v>
      </c>
      <c r="DC39" s="124">
        <f t="shared" si="53"/>
        <v>2284.8000000000002</v>
      </c>
      <c r="DD39" s="123">
        <v>7000</v>
      </c>
      <c r="DE39" s="124">
        <f t="shared" si="53"/>
        <v>4480</v>
      </c>
      <c r="DF39" s="27">
        <f t="shared" si="0"/>
        <v>56980</v>
      </c>
      <c r="DG39" s="124">
        <f t="shared" si="54"/>
        <v>36467.200000000004</v>
      </c>
    </row>
    <row r="40" spans="1:111" ht="18" customHeight="1" x14ac:dyDescent="0.5">
      <c r="A40" s="117">
        <v>33</v>
      </c>
      <c r="B40" s="122" t="s">
        <v>163</v>
      </c>
      <c r="C40" s="122" t="s">
        <v>231</v>
      </c>
      <c r="D40" s="117">
        <f t="shared" si="1282"/>
        <v>21</v>
      </c>
      <c r="E40" s="117">
        <v>0.64</v>
      </c>
      <c r="F40" s="117" t="s">
        <v>236</v>
      </c>
      <c r="G40" s="117"/>
      <c r="H40" s="123"/>
      <c r="I40" s="124">
        <f t="shared" ref="I40" si="1724">H40*$E40</f>
        <v>0</v>
      </c>
      <c r="J40" s="123"/>
      <c r="K40" s="124">
        <f t="shared" ref="K40" si="1725">J40*$E40</f>
        <v>0</v>
      </c>
      <c r="L40" s="123"/>
      <c r="M40" s="124">
        <f t="shared" ref="M40" si="1726">L40*$E40</f>
        <v>0</v>
      </c>
      <c r="N40" s="123"/>
      <c r="O40" s="124">
        <f t="shared" ref="O40" si="1727">N40*$E40</f>
        <v>0</v>
      </c>
      <c r="P40" s="123"/>
      <c r="Q40" s="124">
        <f t="shared" ref="Q40" si="1728">P40*$E40</f>
        <v>0</v>
      </c>
      <c r="R40" s="123"/>
      <c r="S40" s="124">
        <f t="shared" ref="S40" si="1729">R40*$E40</f>
        <v>0</v>
      </c>
      <c r="T40" s="123"/>
      <c r="U40" s="124">
        <f t="shared" ref="U40" si="1730">T40*$E40</f>
        <v>0</v>
      </c>
      <c r="V40" s="123"/>
      <c r="W40" s="124">
        <f t="shared" ref="W40" si="1731">V40*$E40</f>
        <v>0</v>
      </c>
      <c r="X40" s="123"/>
      <c r="Y40" s="124">
        <f t="shared" ref="Y40" si="1732">X40*$E40</f>
        <v>0</v>
      </c>
      <c r="Z40" s="123"/>
      <c r="AA40" s="124">
        <f t="shared" ref="AA40" si="1733">Z40*$E40</f>
        <v>0</v>
      </c>
      <c r="AB40" s="123"/>
      <c r="AC40" s="124">
        <f t="shared" ref="AC40" si="1734">AB40*$E40</f>
        <v>0</v>
      </c>
      <c r="AD40" s="123"/>
      <c r="AE40" s="124">
        <f t="shared" ref="AE40" si="1735">AD40*$E40</f>
        <v>0</v>
      </c>
      <c r="AF40" s="125">
        <f t="shared" si="13"/>
        <v>0</v>
      </c>
      <c r="AG40" s="126">
        <f t="shared" ref="AG40" si="1736">AF40*$E40</f>
        <v>0</v>
      </c>
      <c r="AH40" s="11"/>
      <c r="AI40" s="124">
        <f t="shared" ref="AI40" si="1737">AH40*$E40</f>
        <v>0</v>
      </c>
      <c r="AJ40" s="15"/>
      <c r="AK40" s="124">
        <f t="shared" ref="AK40" si="1738">AJ40*$E40</f>
        <v>0</v>
      </c>
      <c r="AL40" s="15"/>
      <c r="AM40" s="124">
        <f t="shared" ref="AM40" si="1739">AL40*$E40</f>
        <v>0</v>
      </c>
      <c r="AN40" s="16"/>
      <c r="AO40" s="124">
        <f t="shared" ref="AO40" si="1740">AN40*$E40</f>
        <v>0</v>
      </c>
      <c r="AP40" s="15"/>
      <c r="AQ40" s="124">
        <f t="shared" ref="AQ40" si="1741">AP40*$E40</f>
        <v>0</v>
      </c>
      <c r="AR40" s="15"/>
      <c r="AS40" s="124">
        <f t="shared" ref="AS40" si="1742">AR40*$E40</f>
        <v>0</v>
      </c>
      <c r="AT40" s="17"/>
      <c r="AU40" s="124">
        <f t="shared" ref="AU40" si="1743">AT40*$E40</f>
        <v>0</v>
      </c>
      <c r="AV40" s="15"/>
      <c r="AW40" s="124">
        <f t="shared" ref="AW40" si="1744">AV40*$E40</f>
        <v>0</v>
      </c>
      <c r="AX40" s="15"/>
      <c r="AY40" s="124">
        <f t="shared" ref="AY40" si="1745">AX40*$E40</f>
        <v>0</v>
      </c>
      <c r="AZ40" s="17"/>
      <c r="BA40" s="124">
        <f t="shared" ref="BA40" si="1746">AZ40*$E40</f>
        <v>0</v>
      </c>
      <c r="BB40" s="33"/>
      <c r="BC40" s="124">
        <f t="shared" ref="BC40" si="1747">BB40*$E40</f>
        <v>0</v>
      </c>
      <c r="BD40" s="33"/>
      <c r="BE40" s="124">
        <f t="shared" ref="BE40" si="1748">BD40*$E40</f>
        <v>0</v>
      </c>
      <c r="BF40" s="125">
        <f t="shared" si="27"/>
        <v>0</v>
      </c>
      <c r="BG40" s="126">
        <f t="shared" ref="BG40" si="1749">BF40*$E40</f>
        <v>0</v>
      </c>
      <c r="BH40" s="123"/>
      <c r="BI40" s="124">
        <f t="shared" ref="BI40" si="1750">BH40*$E40</f>
        <v>0</v>
      </c>
      <c r="BJ40" s="123"/>
      <c r="BK40" s="124">
        <f t="shared" ref="BK40" si="1751">BJ40*$E40</f>
        <v>0</v>
      </c>
      <c r="BL40" s="123"/>
      <c r="BM40" s="124">
        <f t="shared" ref="BM40" si="1752">BL40*$E40</f>
        <v>0</v>
      </c>
      <c r="BN40" s="123"/>
      <c r="BO40" s="124">
        <f t="shared" ref="BO40" si="1753">BN40*$E40</f>
        <v>0</v>
      </c>
      <c r="BP40" s="123"/>
      <c r="BQ40" s="124">
        <f t="shared" ref="BQ40" si="1754">BP40*$E40</f>
        <v>0</v>
      </c>
      <c r="BR40" s="123"/>
      <c r="BS40" s="124">
        <f t="shared" ref="BS40" si="1755">BR40*$E40</f>
        <v>0</v>
      </c>
      <c r="BT40" s="123"/>
      <c r="BU40" s="124">
        <f t="shared" ref="BU40" si="1756">BT40*$E40</f>
        <v>0</v>
      </c>
      <c r="BV40" s="123"/>
      <c r="BW40" s="124">
        <f t="shared" ref="BW40" si="1757">BV40*$E40</f>
        <v>0</v>
      </c>
      <c r="BX40" s="123"/>
      <c r="BY40" s="124">
        <f t="shared" ref="BY40" si="1758">BX40*$E40</f>
        <v>0</v>
      </c>
      <c r="BZ40" s="123"/>
      <c r="CA40" s="124">
        <f t="shared" ref="CA40" si="1759">BZ40*$E40</f>
        <v>0</v>
      </c>
      <c r="CB40" s="123"/>
      <c r="CC40" s="124">
        <f t="shared" ref="CC40" si="1760">CB40*$E40</f>
        <v>0</v>
      </c>
      <c r="CD40" s="123"/>
      <c r="CE40" s="124">
        <f t="shared" ref="CE40" si="1761">CD40*$E40</f>
        <v>0</v>
      </c>
      <c r="CF40" s="125">
        <f t="shared" si="41"/>
        <v>0</v>
      </c>
      <c r="CG40" s="126">
        <f t="shared" ref="CG40" si="1762">CF40*$E40</f>
        <v>0</v>
      </c>
      <c r="CH40" s="123"/>
      <c r="CI40" s="124">
        <f t="shared" ref="CI40" si="1763">CH40*$E40</f>
        <v>0</v>
      </c>
      <c r="CJ40" s="123"/>
      <c r="CK40" s="124">
        <f t="shared" ref="CK40" si="1764">CJ40*$E40</f>
        <v>0</v>
      </c>
      <c r="CL40" s="123"/>
      <c r="CM40" s="124">
        <f t="shared" ref="CM40" si="1765">CL40*$E40</f>
        <v>0</v>
      </c>
      <c r="CN40" s="123"/>
      <c r="CO40" s="124">
        <f t="shared" ref="CO40" si="1766">CN40*$E40</f>
        <v>0</v>
      </c>
      <c r="CP40" s="123"/>
      <c r="CQ40" s="124">
        <f t="shared" ref="CQ40" si="1767">CP40*$E40</f>
        <v>0</v>
      </c>
      <c r="CR40" s="123"/>
      <c r="CS40" s="124">
        <f t="shared" ref="CS40" si="1768">CR40*$E40</f>
        <v>0</v>
      </c>
      <c r="CT40" s="123"/>
      <c r="CU40" s="124">
        <f t="shared" ref="CU40" si="1769">CT40*$E40</f>
        <v>0</v>
      </c>
      <c r="CV40" s="123"/>
      <c r="CW40" s="124">
        <f t="shared" ref="CW40" si="1770">CV40*$E40</f>
        <v>0</v>
      </c>
      <c r="CX40" s="123"/>
      <c r="CY40" s="124">
        <f t="shared" ref="CY40" si="1771">CX40*$E40</f>
        <v>0</v>
      </c>
      <c r="CZ40" s="123"/>
      <c r="DA40" s="124">
        <f t="shared" ref="DA40" si="1772">CZ40*$E40</f>
        <v>0</v>
      </c>
      <c r="DB40" s="123"/>
      <c r="DC40" s="124">
        <f t="shared" si="53"/>
        <v>0</v>
      </c>
      <c r="DD40" s="123"/>
      <c r="DE40" s="124">
        <f t="shared" si="53"/>
        <v>0</v>
      </c>
      <c r="DF40" s="27">
        <f t="shared" si="0"/>
        <v>0</v>
      </c>
      <c r="DG40" s="124">
        <f t="shared" si="54"/>
        <v>0</v>
      </c>
    </row>
    <row r="41" spans="1:111" ht="18" customHeight="1" x14ac:dyDescent="0.5">
      <c r="A41" s="117">
        <v>34</v>
      </c>
      <c r="B41" s="122" t="s">
        <v>161</v>
      </c>
      <c r="C41" s="122" t="s">
        <v>231</v>
      </c>
      <c r="D41" s="117">
        <f t="shared" si="1282"/>
        <v>1</v>
      </c>
      <c r="E41" s="117">
        <v>0.64</v>
      </c>
      <c r="F41" s="117" t="s">
        <v>236</v>
      </c>
      <c r="G41" s="117">
        <v>1350</v>
      </c>
      <c r="H41" s="123">
        <v>197988</v>
      </c>
      <c r="I41" s="124">
        <f t="shared" ref="I41" si="1773">H41*$E41</f>
        <v>126712.32000000001</v>
      </c>
      <c r="J41" s="123">
        <v>195006</v>
      </c>
      <c r="K41" s="124">
        <f t="shared" ref="K41" si="1774">J41*$E41</f>
        <v>124803.84</v>
      </c>
      <c r="L41" s="123">
        <v>228872</v>
      </c>
      <c r="M41" s="124">
        <f t="shared" ref="M41" si="1775">L41*$E41</f>
        <v>146478.08000000002</v>
      </c>
      <c r="N41" s="123">
        <v>204638</v>
      </c>
      <c r="O41" s="124">
        <f t="shared" ref="O41" si="1776">N41*$E41</f>
        <v>130968.32000000001</v>
      </c>
      <c r="P41" s="123">
        <v>258090</v>
      </c>
      <c r="Q41" s="124">
        <f t="shared" ref="Q41" si="1777">P41*$E41</f>
        <v>165177.60000000001</v>
      </c>
      <c r="R41" s="123">
        <v>234402</v>
      </c>
      <c r="S41" s="124">
        <f t="shared" ref="S41" si="1778">R41*$E41</f>
        <v>150017.28</v>
      </c>
      <c r="T41" s="123">
        <v>201726</v>
      </c>
      <c r="U41" s="124">
        <f t="shared" ref="U41" si="1779">T41*$E41</f>
        <v>129104.64</v>
      </c>
      <c r="V41" s="123">
        <v>232624</v>
      </c>
      <c r="W41" s="124">
        <f t="shared" ref="W41" si="1780">V41*$E41</f>
        <v>148879.36000000002</v>
      </c>
      <c r="X41" s="123">
        <v>197246</v>
      </c>
      <c r="Y41" s="124">
        <f t="shared" ref="Y41" si="1781">X41*$E41</f>
        <v>126237.44</v>
      </c>
      <c r="Z41" s="123">
        <v>167538</v>
      </c>
      <c r="AA41" s="124">
        <f t="shared" ref="AA41" si="1782">Z41*$E41</f>
        <v>107224.32000000001</v>
      </c>
      <c r="AB41" s="123">
        <v>166432</v>
      </c>
      <c r="AC41" s="124">
        <f t="shared" ref="AC41" si="1783">AB41*$E41</f>
        <v>106516.48</v>
      </c>
      <c r="AD41" s="123">
        <v>203588</v>
      </c>
      <c r="AE41" s="124">
        <f t="shared" ref="AE41" si="1784">AD41*$E41</f>
        <v>130296.32000000001</v>
      </c>
      <c r="AF41" s="125">
        <f t="shared" si="13"/>
        <v>2488150</v>
      </c>
      <c r="AG41" s="126">
        <f t="shared" ref="AG41" si="1785">AF41*$E41</f>
        <v>1592416</v>
      </c>
      <c r="AH41" s="11">
        <v>193046</v>
      </c>
      <c r="AI41" s="124">
        <f t="shared" ref="AI41" si="1786">AH41*$E41</f>
        <v>123549.44</v>
      </c>
      <c r="AJ41" s="15">
        <v>170534</v>
      </c>
      <c r="AK41" s="124">
        <f t="shared" ref="AK41" si="1787">AJ41*$E41</f>
        <v>109141.76000000001</v>
      </c>
      <c r="AL41" s="15">
        <v>206766</v>
      </c>
      <c r="AM41" s="124">
        <f t="shared" ref="AM41" si="1788">AL41*$E41</f>
        <v>132330.23999999999</v>
      </c>
      <c r="AN41" s="16">
        <v>196672</v>
      </c>
      <c r="AO41" s="124">
        <f t="shared" ref="AO41" si="1789">AN41*$E41</f>
        <v>125870.08</v>
      </c>
      <c r="AP41" s="15">
        <v>207984</v>
      </c>
      <c r="AQ41" s="124">
        <f t="shared" ref="AQ41" si="1790">AP41*$E41</f>
        <v>133109.76000000001</v>
      </c>
      <c r="AR41" s="15">
        <v>188433</v>
      </c>
      <c r="AS41" s="124">
        <f t="shared" ref="AS41" si="1791">AR41*$E41</f>
        <v>120597.12</v>
      </c>
      <c r="AT41" s="17">
        <v>204092</v>
      </c>
      <c r="AU41" s="124">
        <f t="shared" ref="AU41" si="1792">AT41*$E41</f>
        <v>130618.88</v>
      </c>
      <c r="AV41" s="15">
        <v>223622</v>
      </c>
      <c r="AW41" s="124">
        <f t="shared" ref="AW41" si="1793">AV41*$E41</f>
        <v>143118.08000000002</v>
      </c>
      <c r="AX41" s="15">
        <v>112728</v>
      </c>
      <c r="AY41" s="124">
        <f t="shared" ref="AY41" si="1794">AX41*$E41</f>
        <v>72145.919999999998</v>
      </c>
      <c r="AZ41" s="17">
        <v>134912</v>
      </c>
      <c r="BA41" s="124">
        <f t="shared" ref="BA41" si="1795">AZ41*$E41</f>
        <v>86343.680000000008</v>
      </c>
      <c r="BB41" s="33">
        <v>153678</v>
      </c>
      <c r="BC41" s="124">
        <f t="shared" ref="BC41" si="1796">BB41*$E41</f>
        <v>98353.919999999998</v>
      </c>
      <c r="BD41" s="33">
        <v>171570</v>
      </c>
      <c r="BE41" s="124">
        <f t="shared" ref="BE41" si="1797">BD41*$E41</f>
        <v>109804.8</v>
      </c>
      <c r="BF41" s="125">
        <f t="shared" si="27"/>
        <v>2164037</v>
      </c>
      <c r="BG41" s="126">
        <f t="shared" ref="BG41" si="1798">BF41*$E41</f>
        <v>1384983.68</v>
      </c>
      <c r="BH41" s="67">
        <v>157346</v>
      </c>
      <c r="BI41" s="124">
        <f t="shared" ref="BI41" si="1799">BH41*$E41</f>
        <v>100701.44</v>
      </c>
      <c r="BJ41" s="67">
        <v>138684</v>
      </c>
      <c r="BK41" s="124">
        <f t="shared" ref="BK41" si="1800">BJ41*$E41</f>
        <v>88757.759999999995</v>
      </c>
      <c r="BL41" s="67">
        <v>176428</v>
      </c>
      <c r="BM41" s="124">
        <f t="shared" ref="BM41" si="1801">BL41*$E41</f>
        <v>112913.92</v>
      </c>
      <c r="BN41" s="67">
        <v>172830</v>
      </c>
      <c r="BO41" s="124">
        <f t="shared" ref="BO41" si="1802">BN41*$E41</f>
        <v>110611.2</v>
      </c>
      <c r="BP41" s="67">
        <v>184324</v>
      </c>
      <c r="BQ41" s="124">
        <f t="shared" ref="BQ41" si="1803">BP41*$E41</f>
        <v>117967.36</v>
      </c>
      <c r="BR41" s="65">
        <v>173068</v>
      </c>
      <c r="BS41" s="124">
        <f t="shared" ref="BS41" si="1804">BR41*$E41</f>
        <v>110763.52</v>
      </c>
      <c r="BT41" s="67">
        <v>155078</v>
      </c>
      <c r="BU41" s="124">
        <f t="shared" ref="BU41" si="1805">BT41*$E41</f>
        <v>99249.919999999998</v>
      </c>
      <c r="BV41" s="67">
        <v>193578</v>
      </c>
      <c r="BW41" s="124">
        <f t="shared" ref="BW41" si="1806">BV41*$E41</f>
        <v>123889.92</v>
      </c>
      <c r="BX41" s="67">
        <v>148946</v>
      </c>
      <c r="BY41" s="124">
        <f t="shared" ref="BY41" si="1807">BX41*$E41</f>
        <v>95325.440000000002</v>
      </c>
      <c r="BZ41" s="67">
        <v>163114</v>
      </c>
      <c r="CA41" s="124">
        <f t="shared" ref="CA41" si="1808">BZ41*$E41</f>
        <v>104392.96000000001</v>
      </c>
      <c r="CB41" s="67">
        <v>118650</v>
      </c>
      <c r="CC41" s="124">
        <f t="shared" ref="CC41" si="1809">CB41*$E41</f>
        <v>75936</v>
      </c>
      <c r="CD41" s="67">
        <v>137214</v>
      </c>
      <c r="CE41" s="124">
        <f t="shared" ref="CE41" si="1810">CD41*$E41</f>
        <v>87816.960000000006</v>
      </c>
      <c r="CF41" s="125">
        <f t="shared" si="41"/>
        <v>1919260</v>
      </c>
      <c r="CG41" s="126">
        <f t="shared" ref="CG41" si="1811">CF41*$E41</f>
        <v>1228326.4000000001</v>
      </c>
      <c r="CH41" s="123">
        <v>135310</v>
      </c>
      <c r="CI41" s="124">
        <f t="shared" ref="CI41" si="1812">CH41*$E41</f>
        <v>86598.400000000009</v>
      </c>
      <c r="CJ41" s="123">
        <v>139650</v>
      </c>
      <c r="CK41" s="124">
        <f t="shared" ref="CK41" si="1813">CJ41*$E41</f>
        <v>89376</v>
      </c>
      <c r="CL41" s="123">
        <v>179326</v>
      </c>
      <c r="CM41" s="124">
        <f t="shared" ref="CM41" si="1814">CL41*$E41</f>
        <v>114768.64</v>
      </c>
      <c r="CN41" s="123">
        <v>134876</v>
      </c>
      <c r="CO41" s="124">
        <f t="shared" ref="CO41" si="1815">CN41*$E41</f>
        <v>86320.639999999999</v>
      </c>
      <c r="CP41" s="123">
        <v>171486</v>
      </c>
      <c r="CQ41" s="124">
        <f t="shared" ref="CQ41" si="1816">CP41*$E41</f>
        <v>109751.04000000001</v>
      </c>
      <c r="CR41" s="123">
        <v>165102</v>
      </c>
      <c r="CS41" s="124">
        <f t="shared" ref="CS41" si="1817">CR41*$E41</f>
        <v>105665.28</v>
      </c>
      <c r="CT41" s="123">
        <v>139048</v>
      </c>
      <c r="CU41" s="124">
        <f t="shared" ref="CU41" si="1818">CT41*$E41</f>
        <v>88990.720000000001</v>
      </c>
      <c r="CV41" s="123">
        <v>129962</v>
      </c>
      <c r="CW41" s="124">
        <f t="shared" ref="CW41" si="1819">CV41*$E41</f>
        <v>83175.680000000008</v>
      </c>
      <c r="CX41" s="123">
        <v>127554</v>
      </c>
      <c r="CY41" s="124">
        <f t="shared" ref="CY41" si="1820">CX41*$E41</f>
        <v>81634.559999999998</v>
      </c>
      <c r="CZ41" s="123">
        <v>135898</v>
      </c>
      <c r="DA41" s="124">
        <f t="shared" ref="DA41" si="1821">CZ41*$E41</f>
        <v>86974.720000000001</v>
      </c>
      <c r="DB41" s="123">
        <v>107828</v>
      </c>
      <c r="DC41" s="124">
        <f t="shared" si="53"/>
        <v>69009.919999999998</v>
      </c>
      <c r="DD41" s="123">
        <v>115878</v>
      </c>
      <c r="DE41" s="124">
        <f t="shared" si="53"/>
        <v>74161.919999999998</v>
      </c>
      <c r="DF41" s="27">
        <f t="shared" si="0"/>
        <v>1681918</v>
      </c>
      <c r="DG41" s="124">
        <f t="shared" si="54"/>
        <v>1076427.52</v>
      </c>
    </row>
    <row r="42" spans="1:111" ht="18" customHeight="1" x14ac:dyDescent="0.5">
      <c r="A42" s="117">
        <v>35</v>
      </c>
      <c r="B42" s="122" t="s">
        <v>161</v>
      </c>
      <c r="C42" s="122" t="s">
        <v>231</v>
      </c>
      <c r="D42" s="117">
        <f t="shared" si="1282"/>
        <v>10</v>
      </c>
      <c r="E42" s="117">
        <v>0.64</v>
      </c>
      <c r="F42" s="117" t="s">
        <v>235</v>
      </c>
      <c r="G42" s="117">
        <v>1350</v>
      </c>
      <c r="H42" s="123">
        <v>1800</v>
      </c>
      <c r="I42" s="124">
        <f t="shared" ref="I42" si="1822">H42*$E42</f>
        <v>1152</v>
      </c>
      <c r="J42" s="123">
        <v>1800</v>
      </c>
      <c r="K42" s="124">
        <f t="shared" ref="K42" si="1823">J42*$E42</f>
        <v>1152</v>
      </c>
      <c r="L42" s="123">
        <v>2520</v>
      </c>
      <c r="M42" s="124">
        <f t="shared" ref="M42" si="1824">L42*$E42</f>
        <v>1612.8</v>
      </c>
      <c r="N42" s="123">
        <v>1464</v>
      </c>
      <c r="O42" s="124">
        <f t="shared" ref="O42" si="1825">N42*$E42</f>
        <v>936.96</v>
      </c>
      <c r="P42" s="123">
        <v>3120</v>
      </c>
      <c r="Q42" s="124">
        <f t="shared" ref="Q42" si="1826">P42*$E42</f>
        <v>1996.8</v>
      </c>
      <c r="R42" s="123">
        <v>2400</v>
      </c>
      <c r="S42" s="124">
        <f t="shared" ref="S42" si="1827">R42*$E42</f>
        <v>1536</v>
      </c>
      <c r="T42" s="123">
        <v>2640</v>
      </c>
      <c r="U42" s="124">
        <f t="shared" ref="U42" si="1828">T42*$E42</f>
        <v>1689.6000000000001</v>
      </c>
      <c r="V42" s="123">
        <v>4320</v>
      </c>
      <c r="W42" s="124">
        <f t="shared" ref="W42" si="1829">V42*$E42</f>
        <v>2764.8</v>
      </c>
      <c r="X42" s="123">
        <v>3600</v>
      </c>
      <c r="Y42" s="124">
        <f t="shared" ref="Y42" si="1830">X42*$E42</f>
        <v>2304</v>
      </c>
      <c r="Z42" s="123">
        <v>720</v>
      </c>
      <c r="AA42" s="124">
        <f t="shared" ref="AA42" si="1831">Z42*$E42</f>
        <v>460.8</v>
      </c>
      <c r="AB42" s="123">
        <v>3000</v>
      </c>
      <c r="AC42" s="124">
        <f t="shared" ref="AC42" si="1832">AB42*$E42</f>
        <v>1920</v>
      </c>
      <c r="AD42" s="123">
        <v>1920</v>
      </c>
      <c r="AE42" s="124">
        <f t="shared" ref="AE42" si="1833">AD42*$E42</f>
        <v>1228.8</v>
      </c>
      <c r="AF42" s="125">
        <f t="shared" si="13"/>
        <v>29304</v>
      </c>
      <c r="AG42" s="126">
        <f t="shared" ref="AG42" si="1834">AF42*$E42</f>
        <v>18754.560000000001</v>
      </c>
      <c r="AH42" s="11">
        <v>2160</v>
      </c>
      <c r="AI42" s="124">
        <f t="shared" ref="AI42" si="1835">AH42*$E42</f>
        <v>1382.4</v>
      </c>
      <c r="AJ42" s="15">
        <v>2160</v>
      </c>
      <c r="AK42" s="124">
        <f t="shared" ref="AK42" si="1836">AJ42*$E42</f>
        <v>1382.4</v>
      </c>
      <c r="AL42" s="15">
        <v>3120</v>
      </c>
      <c r="AM42" s="124">
        <f t="shared" ref="AM42" si="1837">AL42*$E42</f>
        <v>1996.8</v>
      </c>
      <c r="AN42" s="16">
        <v>720</v>
      </c>
      <c r="AO42" s="124">
        <f t="shared" ref="AO42" si="1838">AN42*$E42</f>
        <v>460.8</v>
      </c>
      <c r="AP42" s="15"/>
      <c r="AQ42" s="124">
        <f t="shared" ref="AQ42" si="1839">AP42*$E42</f>
        <v>0</v>
      </c>
      <c r="AR42" s="15">
        <v>1680</v>
      </c>
      <c r="AS42" s="124">
        <f t="shared" ref="AS42" si="1840">AR42*$E42</f>
        <v>1075.2</v>
      </c>
      <c r="AT42" s="17"/>
      <c r="AU42" s="124">
        <f t="shared" ref="AU42" si="1841">AT42*$E42</f>
        <v>0</v>
      </c>
      <c r="AV42" s="15">
        <v>720</v>
      </c>
      <c r="AW42" s="124">
        <f t="shared" ref="AW42" si="1842">AV42*$E42</f>
        <v>460.8</v>
      </c>
      <c r="AX42" s="15"/>
      <c r="AY42" s="124">
        <f t="shared" ref="AY42" si="1843">AX42*$E42</f>
        <v>0</v>
      </c>
      <c r="AZ42" s="17">
        <v>1560</v>
      </c>
      <c r="BA42" s="124">
        <f t="shared" ref="BA42" si="1844">AZ42*$E42</f>
        <v>998.4</v>
      </c>
      <c r="BB42" s="33">
        <v>480</v>
      </c>
      <c r="BC42" s="124">
        <f t="shared" ref="BC42" si="1845">BB42*$E42</f>
        <v>307.2</v>
      </c>
      <c r="BD42" s="33">
        <v>1320</v>
      </c>
      <c r="BE42" s="124">
        <f t="shared" ref="BE42" si="1846">BD42*$E42</f>
        <v>844.80000000000007</v>
      </c>
      <c r="BF42" s="125">
        <f t="shared" si="27"/>
        <v>13920</v>
      </c>
      <c r="BG42" s="126">
        <f t="shared" ref="BG42" si="1847">BF42*$E42</f>
        <v>8908.8000000000011</v>
      </c>
      <c r="BH42" s="64">
        <v>1200</v>
      </c>
      <c r="BI42" s="124">
        <f t="shared" ref="BI42" si="1848">BH42*$E42</f>
        <v>768</v>
      </c>
      <c r="BJ42" s="64">
        <v>720</v>
      </c>
      <c r="BK42" s="124">
        <f t="shared" ref="BK42" si="1849">BJ42*$E42</f>
        <v>460.8</v>
      </c>
      <c r="BL42" s="64">
        <v>960</v>
      </c>
      <c r="BM42" s="124">
        <f t="shared" ref="BM42" si="1850">BL42*$E42</f>
        <v>614.4</v>
      </c>
      <c r="BN42" s="64">
        <v>720</v>
      </c>
      <c r="BO42" s="124">
        <f t="shared" ref="BO42" si="1851">BN42*$E42</f>
        <v>460.8</v>
      </c>
      <c r="BP42" s="64">
        <v>1920</v>
      </c>
      <c r="BQ42" s="124">
        <f t="shared" ref="BQ42" si="1852">BP42*$E42</f>
        <v>1228.8</v>
      </c>
      <c r="BR42" s="65"/>
      <c r="BS42" s="124">
        <f t="shared" ref="BS42" si="1853">BR42*$E42</f>
        <v>0</v>
      </c>
      <c r="BT42" s="67">
        <v>1200</v>
      </c>
      <c r="BU42" s="124">
        <f t="shared" ref="BU42" si="1854">BT42*$E42</f>
        <v>768</v>
      </c>
      <c r="BV42" s="67"/>
      <c r="BW42" s="124">
        <f t="shared" ref="BW42" si="1855">BV42*$E42</f>
        <v>0</v>
      </c>
      <c r="BX42" s="67">
        <v>2160</v>
      </c>
      <c r="BY42" s="124">
        <f t="shared" ref="BY42" si="1856">BX42*$E42</f>
        <v>1382.4</v>
      </c>
      <c r="BZ42" s="67">
        <v>480</v>
      </c>
      <c r="CA42" s="124">
        <f t="shared" ref="CA42" si="1857">BZ42*$E42</f>
        <v>307.2</v>
      </c>
      <c r="CB42" s="69">
        <v>2400</v>
      </c>
      <c r="CC42" s="124">
        <f t="shared" ref="CC42" si="1858">CB42*$E42</f>
        <v>1536</v>
      </c>
      <c r="CD42" s="69">
        <v>1200</v>
      </c>
      <c r="CE42" s="124">
        <f t="shared" ref="CE42" si="1859">CD42*$E42</f>
        <v>768</v>
      </c>
      <c r="CF42" s="125">
        <f t="shared" si="41"/>
        <v>12960</v>
      </c>
      <c r="CG42" s="126">
        <f t="shared" ref="CG42" si="1860">CF42*$E42</f>
        <v>8294.4</v>
      </c>
      <c r="CH42" s="123">
        <v>2400</v>
      </c>
      <c r="CI42" s="124">
        <f t="shared" ref="CI42" si="1861">CH42*$E42</f>
        <v>1536</v>
      </c>
      <c r="CJ42" s="123"/>
      <c r="CK42" s="124">
        <f t="shared" ref="CK42" si="1862">CJ42*$E42</f>
        <v>0</v>
      </c>
      <c r="CL42" s="123">
        <v>2880</v>
      </c>
      <c r="CM42" s="124">
        <f t="shared" ref="CM42" si="1863">CL42*$E42</f>
        <v>1843.2</v>
      </c>
      <c r="CN42" s="123"/>
      <c r="CO42" s="124">
        <f t="shared" ref="CO42" si="1864">CN42*$E42</f>
        <v>0</v>
      </c>
      <c r="CP42" s="123"/>
      <c r="CQ42" s="124">
        <f t="shared" ref="CQ42" si="1865">CP42*$E42</f>
        <v>0</v>
      </c>
      <c r="CR42" s="123"/>
      <c r="CS42" s="124">
        <f t="shared" ref="CS42" si="1866">CR42*$E42</f>
        <v>0</v>
      </c>
      <c r="CT42" s="123"/>
      <c r="CU42" s="124">
        <f t="shared" ref="CU42" si="1867">CT42*$E42</f>
        <v>0</v>
      </c>
      <c r="CV42" s="123"/>
      <c r="CW42" s="124">
        <f t="shared" ref="CW42" si="1868">CV42*$E42</f>
        <v>0</v>
      </c>
      <c r="CX42" s="123"/>
      <c r="CY42" s="124">
        <f t="shared" ref="CY42" si="1869">CX42*$E42</f>
        <v>0</v>
      </c>
      <c r="CZ42" s="123">
        <v>1200</v>
      </c>
      <c r="DA42" s="124">
        <f t="shared" ref="DA42" si="1870">CZ42*$E42</f>
        <v>768</v>
      </c>
      <c r="DB42" s="123">
        <v>720</v>
      </c>
      <c r="DC42" s="124">
        <f t="shared" si="53"/>
        <v>460.8</v>
      </c>
      <c r="DD42" s="123">
        <v>1440</v>
      </c>
      <c r="DE42" s="124">
        <f t="shared" si="53"/>
        <v>921.6</v>
      </c>
      <c r="DF42" s="27">
        <f t="shared" si="0"/>
        <v>8640</v>
      </c>
      <c r="DG42" s="124">
        <f t="shared" si="54"/>
        <v>5529.6</v>
      </c>
    </row>
    <row r="43" spans="1:111" ht="18" customHeight="1" x14ac:dyDescent="0.5">
      <c r="A43" s="117">
        <v>36</v>
      </c>
      <c r="B43" s="122" t="s">
        <v>46</v>
      </c>
      <c r="C43" s="122" t="s">
        <v>231</v>
      </c>
      <c r="D43" s="117">
        <f t="shared" si="1282"/>
        <v>21</v>
      </c>
      <c r="E43" s="117">
        <v>0.68</v>
      </c>
      <c r="F43" s="117" t="s">
        <v>236</v>
      </c>
      <c r="G43" s="117"/>
      <c r="H43" s="123"/>
      <c r="I43" s="124">
        <f t="shared" ref="I43" si="1871">H43*$E43</f>
        <v>0</v>
      </c>
      <c r="J43" s="123"/>
      <c r="K43" s="124">
        <f t="shared" ref="K43" si="1872">J43*$E43</f>
        <v>0</v>
      </c>
      <c r="L43" s="123"/>
      <c r="M43" s="124">
        <f t="shared" ref="M43" si="1873">L43*$E43</f>
        <v>0</v>
      </c>
      <c r="N43" s="123"/>
      <c r="O43" s="124">
        <f t="shared" ref="O43" si="1874">N43*$E43</f>
        <v>0</v>
      </c>
      <c r="P43" s="123"/>
      <c r="Q43" s="124">
        <f t="shared" ref="Q43" si="1875">P43*$E43</f>
        <v>0</v>
      </c>
      <c r="R43" s="123"/>
      <c r="S43" s="124">
        <f t="shared" ref="S43" si="1876">R43*$E43</f>
        <v>0</v>
      </c>
      <c r="T43" s="123"/>
      <c r="U43" s="124">
        <f t="shared" ref="U43" si="1877">T43*$E43</f>
        <v>0</v>
      </c>
      <c r="V43" s="123"/>
      <c r="W43" s="124">
        <f t="shared" ref="W43" si="1878">V43*$E43</f>
        <v>0</v>
      </c>
      <c r="X43" s="123"/>
      <c r="Y43" s="124">
        <f t="shared" ref="Y43" si="1879">X43*$E43</f>
        <v>0</v>
      </c>
      <c r="Z43" s="123"/>
      <c r="AA43" s="124">
        <f t="shared" ref="AA43" si="1880">Z43*$E43</f>
        <v>0</v>
      </c>
      <c r="AB43" s="123"/>
      <c r="AC43" s="124">
        <f t="shared" ref="AC43" si="1881">AB43*$E43</f>
        <v>0</v>
      </c>
      <c r="AD43" s="123"/>
      <c r="AE43" s="124">
        <f t="shared" ref="AE43" si="1882">AD43*$E43</f>
        <v>0</v>
      </c>
      <c r="AF43" s="125">
        <f t="shared" si="13"/>
        <v>0</v>
      </c>
      <c r="AG43" s="126">
        <f t="shared" ref="AG43" si="1883">AF43*$E43</f>
        <v>0</v>
      </c>
      <c r="AH43" s="11"/>
      <c r="AI43" s="124">
        <f t="shared" ref="AI43" si="1884">AH43*$E43</f>
        <v>0</v>
      </c>
      <c r="AJ43" s="15"/>
      <c r="AK43" s="124">
        <f t="shared" ref="AK43" si="1885">AJ43*$E43</f>
        <v>0</v>
      </c>
      <c r="AL43" s="15"/>
      <c r="AM43" s="124">
        <f t="shared" ref="AM43" si="1886">AL43*$E43</f>
        <v>0</v>
      </c>
      <c r="AN43" s="16"/>
      <c r="AO43" s="124">
        <f t="shared" ref="AO43" si="1887">AN43*$E43</f>
        <v>0</v>
      </c>
      <c r="AP43" s="15"/>
      <c r="AQ43" s="124">
        <f t="shared" ref="AQ43" si="1888">AP43*$E43</f>
        <v>0</v>
      </c>
      <c r="AR43" s="15"/>
      <c r="AS43" s="124">
        <f t="shared" ref="AS43" si="1889">AR43*$E43</f>
        <v>0</v>
      </c>
      <c r="AT43" s="17"/>
      <c r="AU43" s="124">
        <f t="shared" ref="AU43" si="1890">AT43*$E43</f>
        <v>0</v>
      </c>
      <c r="AV43" s="15"/>
      <c r="AW43" s="124">
        <f t="shared" ref="AW43" si="1891">AV43*$E43</f>
        <v>0</v>
      </c>
      <c r="AX43" s="15"/>
      <c r="AY43" s="124">
        <f t="shared" ref="AY43" si="1892">AX43*$E43</f>
        <v>0</v>
      </c>
      <c r="AZ43" s="17"/>
      <c r="BA43" s="124">
        <f t="shared" ref="BA43" si="1893">AZ43*$E43</f>
        <v>0</v>
      </c>
      <c r="BB43" s="33"/>
      <c r="BC43" s="124">
        <f t="shared" ref="BC43" si="1894">BB43*$E43</f>
        <v>0</v>
      </c>
      <c r="BD43" s="33"/>
      <c r="BE43" s="124">
        <f t="shared" ref="BE43" si="1895">BD43*$E43</f>
        <v>0</v>
      </c>
      <c r="BF43" s="125">
        <f t="shared" si="27"/>
        <v>0</v>
      </c>
      <c r="BG43" s="126">
        <f t="shared" ref="BG43" si="1896">BF43*$E43</f>
        <v>0</v>
      </c>
      <c r="BH43" s="123"/>
      <c r="BI43" s="124">
        <f t="shared" ref="BI43" si="1897">BH43*$E43</f>
        <v>0</v>
      </c>
      <c r="BJ43" s="123"/>
      <c r="BK43" s="124">
        <f t="shared" ref="BK43" si="1898">BJ43*$E43</f>
        <v>0</v>
      </c>
      <c r="BL43" s="123"/>
      <c r="BM43" s="124">
        <f t="shared" ref="BM43" si="1899">BL43*$E43</f>
        <v>0</v>
      </c>
      <c r="BN43" s="123"/>
      <c r="BO43" s="124">
        <f t="shared" ref="BO43" si="1900">BN43*$E43</f>
        <v>0</v>
      </c>
      <c r="BP43" s="123"/>
      <c r="BQ43" s="124">
        <f t="shared" ref="BQ43" si="1901">BP43*$E43</f>
        <v>0</v>
      </c>
      <c r="BR43" s="123"/>
      <c r="BS43" s="124">
        <f t="shared" ref="BS43" si="1902">BR43*$E43</f>
        <v>0</v>
      </c>
      <c r="BT43" s="123"/>
      <c r="BU43" s="124">
        <f t="shared" ref="BU43" si="1903">BT43*$E43</f>
        <v>0</v>
      </c>
      <c r="BV43" s="123"/>
      <c r="BW43" s="124">
        <f t="shared" ref="BW43" si="1904">BV43*$E43</f>
        <v>0</v>
      </c>
      <c r="BX43" s="123"/>
      <c r="BY43" s="124">
        <f t="shared" ref="BY43" si="1905">BX43*$E43</f>
        <v>0</v>
      </c>
      <c r="BZ43" s="123"/>
      <c r="CA43" s="124">
        <f t="shared" ref="CA43" si="1906">BZ43*$E43</f>
        <v>0</v>
      </c>
      <c r="CB43" s="123"/>
      <c r="CC43" s="124">
        <f t="shared" ref="CC43" si="1907">CB43*$E43</f>
        <v>0</v>
      </c>
      <c r="CD43" s="123"/>
      <c r="CE43" s="124">
        <f t="shared" ref="CE43" si="1908">CD43*$E43</f>
        <v>0</v>
      </c>
      <c r="CF43" s="125">
        <f t="shared" si="41"/>
        <v>0</v>
      </c>
      <c r="CG43" s="126">
        <f t="shared" ref="CG43" si="1909">CF43*$E43</f>
        <v>0</v>
      </c>
      <c r="CH43" s="123"/>
      <c r="CI43" s="124">
        <f t="shared" ref="CI43" si="1910">CH43*$E43</f>
        <v>0</v>
      </c>
      <c r="CJ43" s="123"/>
      <c r="CK43" s="124">
        <f t="shared" ref="CK43" si="1911">CJ43*$E43</f>
        <v>0</v>
      </c>
      <c r="CL43" s="123"/>
      <c r="CM43" s="124">
        <f t="shared" ref="CM43" si="1912">CL43*$E43</f>
        <v>0</v>
      </c>
      <c r="CN43" s="123"/>
      <c r="CO43" s="124">
        <f t="shared" ref="CO43" si="1913">CN43*$E43</f>
        <v>0</v>
      </c>
      <c r="CP43" s="123"/>
      <c r="CQ43" s="124">
        <f t="shared" ref="CQ43" si="1914">CP43*$E43</f>
        <v>0</v>
      </c>
      <c r="CR43" s="123"/>
      <c r="CS43" s="124">
        <f t="shared" ref="CS43" si="1915">CR43*$E43</f>
        <v>0</v>
      </c>
      <c r="CT43" s="123"/>
      <c r="CU43" s="124">
        <f t="shared" ref="CU43" si="1916">CT43*$E43</f>
        <v>0</v>
      </c>
      <c r="CV43" s="123"/>
      <c r="CW43" s="124">
        <f t="shared" ref="CW43" si="1917">CV43*$E43</f>
        <v>0</v>
      </c>
      <c r="CX43" s="123"/>
      <c r="CY43" s="124">
        <f t="shared" ref="CY43" si="1918">CX43*$E43</f>
        <v>0</v>
      </c>
      <c r="CZ43" s="123"/>
      <c r="DA43" s="124">
        <f t="shared" ref="DA43" si="1919">CZ43*$E43</f>
        <v>0</v>
      </c>
      <c r="DB43" s="123"/>
      <c r="DC43" s="124">
        <f t="shared" si="53"/>
        <v>0</v>
      </c>
      <c r="DD43" s="123"/>
      <c r="DE43" s="124">
        <f t="shared" si="53"/>
        <v>0</v>
      </c>
      <c r="DF43" s="27">
        <f t="shared" si="0"/>
        <v>0</v>
      </c>
      <c r="DG43" s="124">
        <f t="shared" si="54"/>
        <v>0</v>
      </c>
    </row>
    <row r="44" spans="1:111" ht="18" customHeight="1" x14ac:dyDescent="0.5">
      <c r="A44" s="117">
        <v>37</v>
      </c>
      <c r="B44" s="122" t="s">
        <v>46</v>
      </c>
      <c r="C44" s="122" t="s">
        <v>231</v>
      </c>
      <c r="D44" s="117">
        <f t="shared" si="1282"/>
        <v>5</v>
      </c>
      <c r="E44" s="117">
        <v>0.64</v>
      </c>
      <c r="F44" s="117" t="s">
        <v>236</v>
      </c>
      <c r="G44" s="117">
        <v>1800</v>
      </c>
      <c r="H44" s="123">
        <v>10962</v>
      </c>
      <c r="I44" s="124">
        <f t="shared" ref="I44" si="1920">H44*$E44</f>
        <v>7015.68</v>
      </c>
      <c r="J44" s="123">
        <v>9142</v>
      </c>
      <c r="K44" s="124">
        <f t="shared" ref="K44" si="1921">J44*$E44</f>
        <v>5850.88</v>
      </c>
      <c r="L44" s="123">
        <v>14070</v>
      </c>
      <c r="M44" s="124">
        <f t="shared" ref="M44" si="1922">L44*$E44</f>
        <v>9004.8000000000011</v>
      </c>
      <c r="N44" s="123">
        <v>11732</v>
      </c>
      <c r="O44" s="124">
        <f t="shared" ref="O44" si="1923">N44*$E44</f>
        <v>7508.4800000000005</v>
      </c>
      <c r="P44" s="123">
        <v>11284</v>
      </c>
      <c r="Q44" s="124">
        <f t="shared" ref="Q44" si="1924">P44*$E44</f>
        <v>7221.76</v>
      </c>
      <c r="R44" s="123">
        <v>10640</v>
      </c>
      <c r="S44" s="124">
        <f t="shared" ref="S44" si="1925">R44*$E44</f>
        <v>6809.6</v>
      </c>
      <c r="T44" s="123">
        <v>12838</v>
      </c>
      <c r="U44" s="124">
        <f t="shared" ref="U44" si="1926">T44*$E44</f>
        <v>8216.32</v>
      </c>
      <c r="V44" s="123">
        <v>10766</v>
      </c>
      <c r="W44" s="124">
        <f t="shared" ref="W44" si="1927">V44*$E44</f>
        <v>6890.24</v>
      </c>
      <c r="X44" s="123">
        <v>11592</v>
      </c>
      <c r="Y44" s="124">
        <f t="shared" ref="Y44" si="1928">X44*$E44</f>
        <v>7418.88</v>
      </c>
      <c r="Z44" s="123">
        <v>8932</v>
      </c>
      <c r="AA44" s="124">
        <f t="shared" ref="AA44" si="1929">Z44*$E44</f>
        <v>5716.4800000000005</v>
      </c>
      <c r="AB44" s="123">
        <v>10906</v>
      </c>
      <c r="AC44" s="124">
        <f t="shared" ref="AC44" si="1930">AB44*$E44</f>
        <v>6979.84</v>
      </c>
      <c r="AD44" s="123">
        <v>10878</v>
      </c>
      <c r="AE44" s="124">
        <f t="shared" ref="AE44" si="1931">AD44*$E44</f>
        <v>6961.92</v>
      </c>
      <c r="AF44" s="125">
        <f t="shared" si="13"/>
        <v>133742</v>
      </c>
      <c r="AG44" s="126">
        <f t="shared" ref="AG44" si="1932">AF44*$E44</f>
        <v>85594.880000000005</v>
      </c>
      <c r="AH44" s="11">
        <v>12544</v>
      </c>
      <c r="AI44" s="124">
        <f t="shared" ref="AI44" si="1933">AH44*$E44</f>
        <v>8028.16</v>
      </c>
      <c r="AJ44" s="15">
        <v>11606</v>
      </c>
      <c r="AK44" s="124">
        <f t="shared" ref="AK44" si="1934">AJ44*$E44</f>
        <v>7427.84</v>
      </c>
      <c r="AL44" s="15">
        <v>10738</v>
      </c>
      <c r="AM44" s="124">
        <f t="shared" ref="AM44" si="1935">AL44*$E44</f>
        <v>6872.32</v>
      </c>
      <c r="AN44" s="16">
        <v>12502</v>
      </c>
      <c r="AO44" s="124">
        <f t="shared" ref="AO44" si="1936">AN44*$E44</f>
        <v>8001.28</v>
      </c>
      <c r="AP44" s="15">
        <v>10906</v>
      </c>
      <c r="AQ44" s="124">
        <f t="shared" ref="AQ44" si="1937">AP44*$E44</f>
        <v>6979.84</v>
      </c>
      <c r="AR44" s="15">
        <v>11970</v>
      </c>
      <c r="AS44" s="124">
        <f t="shared" ref="AS44" si="1938">AR44*$E44</f>
        <v>7660.8</v>
      </c>
      <c r="AT44" s="17">
        <v>11956</v>
      </c>
      <c r="AU44" s="124">
        <f t="shared" ref="AU44" si="1939">AT44*$E44</f>
        <v>7651.84</v>
      </c>
      <c r="AV44" s="15">
        <v>13230</v>
      </c>
      <c r="AW44" s="124">
        <f t="shared" ref="AW44" si="1940">AV44*$E44</f>
        <v>8467.2000000000007</v>
      </c>
      <c r="AX44" s="15">
        <v>7238</v>
      </c>
      <c r="AY44" s="124">
        <f t="shared" ref="AY44" si="1941">AX44*$E44</f>
        <v>4632.32</v>
      </c>
      <c r="AZ44" s="17">
        <v>8988</v>
      </c>
      <c r="BA44" s="124">
        <f t="shared" ref="BA44" si="1942">AZ44*$E44</f>
        <v>5752.32</v>
      </c>
      <c r="BB44" s="33">
        <v>8456</v>
      </c>
      <c r="BC44" s="124">
        <f t="shared" ref="BC44" si="1943">BB44*$E44</f>
        <v>5411.84</v>
      </c>
      <c r="BD44" s="33">
        <v>9730</v>
      </c>
      <c r="BE44" s="124">
        <f t="shared" ref="BE44" si="1944">BD44*$E44</f>
        <v>6227.2</v>
      </c>
      <c r="BF44" s="125">
        <f t="shared" si="27"/>
        <v>129864</v>
      </c>
      <c r="BG44" s="126">
        <f t="shared" ref="BG44" si="1945">BF44*$E44</f>
        <v>83112.960000000006</v>
      </c>
      <c r="BH44" s="64">
        <v>11410</v>
      </c>
      <c r="BI44" s="124">
        <f t="shared" ref="BI44" si="1946">BH44*$E44</f>
        <v>7302.4000000000005</v>
      </c>
      <c r="BJ44" s="64">
        <v>12726</v>
      </c>
      <c r="BK44" s="124">
        <f t="shared" ref="BK44" si="1947">BJ44*$E44</f>
        <v>8144.64</v>
      </c>
      <c r="BL44" s="64">
        <v>9450</v>
      </c>
      <c r="BM44" s="124">
        <f t="shared" ref="BM44" si="1948">BL44*$E44</f>
        <v>6048</v>
      </c>
      <c r="BN44" s="64">
        <v>11620</v>
      </c>
      <c r="BO44" s="124">
        <f t="shared" ref="BO44" si="1949">BN44*$E44</f>
        <v>7436.8</v>
      </c>
      <c r="BP44" s="64">
        <v>14826</v>
      </c>
      <c r="BQ44" s="124">
        <f t="shared" ref="BQ44" si="1950">BP44*$E44</f>
        <v>9488.64</v>
      </c>
      <c r="BR44" s="65">
        <v>12180</v>
      </c>
      <c r="BS44" s="124">
        <f t="shared" ref="BS44" si="1951">BR44*$E44</f>
        <v>7795.2</v>
      </c>
      <c r="BT44" s="71">
        <v>14840</v>
      </c>
      <c r="BU44" s="124">
        <f t="shared" ref="BU44" si="1952">BT44*$E44</f>
        <v>9497.6</v>
      </c>
      <c r="BV44" s="67">
        <v>11410</v>
      </c>
      <c r="BW44" s="124">
        <f t="shared" ref="BW44" si="1953">BV44*$E44</f>
        <v>7302.4000000000005</v>
      </c>
      <c r="BX44" s="67">
        <v>10150</v>
      </c>
      <c r="BY44" s="124">
        <f t="shared" ref="BY44" si="1954">BX44*$E44</f>
        <v>6496</v>
      </c>
      <c r="BZ44" s="67">
        <v>10500</v>
      </c>
      <c r="CA44" s="124">
        <f t="shared" ref="CA44" si="1955">BZ44*$E44</f>
        <v>6720</v>
      </c>
      <c r="CB44" s="67">
        <v>12040</v>
      </c>
      <c r="CC44" s="124">
        <f t="shared" ref="CC44" si="1956">CB44*$E44</f>
        <v>7705.6</v>
      </c>
      <c r="CD44" s="67">
        <v>14070</v>
      </c>
      <c r="CE44" s="124">
        <f t="shared" ref="CE44" si="1957">CD44*$E44</f>
        <v>9004.8000000000011</v>
      </c>
      <c r="CF44" s="125">
        <f t="shared" si="41"/>
        <v>145222</v>
      </c>
      <c r="CG44" s="126">
        <f t="shared" ref="CG44" si="1958">CF44*$E44</f>
        <v>92942.080000000002</v>
      </c>
      <c r="CH44" s="123">
        <v>11480</v>
      </c>
      <c r="CI44" s="124">
        <f t="shared" ref="CI44" si="1959">CH44*$E44</f>
        <v>7347.2</v>
      </c>
      <c r="CJ44" s="123">
        <v>14070</v>
      </c>
      <c r="CK44" s="124">
        <f t="shared" ref="CK44" si="1960">CJ44*$E44</f>
        <v>9004.8000000000011</v>
      </c>
      <c r="CL44" s="123">
        <v>18662</v>
      </c>
      <c r="CM44" s="124">
        <f t="shared" ref="CM44" si="1961">CL44*$E44</f>
        <v>11943.68</v>
      </c>
      <c r="CN44" s="123">
        <v>10780</v>
      </c>
      <c r="CO44" s="124">
        <f t="shared" ref="CO44" si="1962">CN44*$E44</f>
        <v>6899.2</v>
      </c>
      <c r="CP44" s="123">
        <v>17850</v>
      </c>
      <c r="CQ44" s="124">
        <f t="shared" ref="CQ44" si="1963">CP44*$E44</f>
        <v>11424</v>
      </c>
      <c r="CR44" s="123">
        <v>14714</v>
      </c>
      <c r="CS44" s="124">
        <f t="shared" ref="CS44" si="1964">CR44*$E44</f>
        <v>9416.9600000000009</v>
      </c>
      <c r="CT44" s="123">
        <v>15890</v>
      </c>
      <c r="CU44" s="124">
        <f t="shared" ref="CU44" si="1965">CT44*$E44</f>
        <v>10169.6</v>
      </c>
      <c r="CV44" s="123">
        <v>12670</v>
      </c>
      <c r="CW44" s="124">
        <f t="shared" ref="CW44" si="1966">CV44*$E44</f>
        <v>8108.8</v>
      </c>
      <c r="CX44" s="123">
        <v>15442</v>
      </c>
      <c r="CY44" s="124">
        <f t="shared" ref="CY44" si="1967">CX44*$E44</f>
        <v>9882.880000000001</v>
      </c>
      <c r="CZ44" s="123">
        <v>14212</v>
      </c>
      <c r="DA44" s="124">
        <f t="shared" ref="DA44" si="1968">CZ44*$E44</f>
        <v>9095.68</v>
      </c>
      <c r="DB44" s="123">
        <v>17220</v>
      </c>
      <c r="DC44" s="124">
        <f t="shared" si="53"/>
        <v>11020.800000000001</v>
      </c>
      <c r="DD44" s="123">
        <v>19166</v>
      </c>
      <c r="DE44" s="124">
        <f t="shared" si="53"/>
        <v>12266.24</v>
      </c>
      <c r="DF44" s="27">
        <f t="shared" si="0"/>
        <v>182156</v>
      </c>
      <c r="DG44" s="124">
        <f t="shared" si="54"/>
        <v>116579.84</v>
      </c>
    </row>
    <row r="45" spans="1:111" ht="18" customHeight="1" x14ac:dyDescent="0.5">
      <c r="A45" s="117">
        <v>38</v>
      </c>
      <c r="B45" s="122" t="s">
        <v>164</v>
      </c>
      <c r="C45" s="122" t="s">
        <v>231</v>
      </c>
      <c r="D45" s="117">
        <f t="shared" si="1282"/>
        <v>21</v>
      </c>
      <c r="E45" s="117">
        <v>0.64</v>
      </c>
      <c r="F45" s="117" t="s">
        <v>236</v>
      </c>
      <c r="G45" s="117"/>
      <c r="H45" s="123"/>
      <c r="I45" s="124">
        <f t="shared" ref="I45" si="1969">H45*$E45</f>
        <v>0</v>
      </c>
      <c r="J45" s="123"/>
      <c r="K45" s="124">
        <f t="shared" ref="K45" si="1970">J45*$E45</f>
        <v>0</v>
      </c>
      <c r="L45" s="123"/>
      <c r="M45" s="124">
        <f t="shared" ref="M45" si="1971">L45*$E45</f>
        <v>0</v>
      </c>
      <c r="N45" s="123"/>
      <c r="O45" s="124">
        <f t="shared" ref="O45" si="1972">N45*$E45</f>
        <v>0</v>
      </c>
      <c r="P45" s="123"/>
      <c r="Q45" s="124">
        <f t="shared" ref="Q45" si="1973">P45*$E45</f>
        <v>0</v>
      </c>
      <c r="R45" s="123"/>
      <c r="S45" s="124">
        <f t="shared" ref="S45" si="1974">R45*$E45</f>
        <v>0</v>
      </c>
      <c r="T45" s="123"/>
      <c r="U45" s="124">
        <f t="shared" ref="U45" si="1975">T45*$E45</f>
        <v>0</v>
      </c>
      <c r="V45" s="123"/>
      <c r="W45" s="124">
        <f t="shared" ref="W45" si="1976">V45*$E45</f>
        <v>0</v>
      </c>
      <c r="X45" s="123"/>
      <c r="Y45" s="124">
        <f t="shared" ref="Y45" si="1977">X45*$E45</f>
        <v>0</v>
      </c>
      <c r="Z45" s="123"/>
      <c r="AA45" s="124">
        <f t="shared" ref="AA45" si="1978">Z45*$E45</f>
        <v>0</v>
      </c>
      <c r="AB45" s="123"/>
      <c r="AC45" s="124">
        <f t="shared" ref="AC45" si="1979">AB45*$E45</f>
        <v>0</v>
      </c>
      <c r="AD45" s="123"/>
      <c r="AE45" s="124">
        <f t="shared" ref="AE45" si="1980">AD45*$E45</f>
        <v>0</v>
      </c>
      <c r="AF45" s="125">
        <f t="shared" si="13"/>
        <v>0</v>
      </c>
      <c r="AG45" s="126">
        <f t="shared" ref="AG45" si="1981">AF45*$E45</f>
        <v>0</v>
      </c>
      <c r="AH45" s="11"/>
      <c r="AI45" s="124">
        <f t="shared" ref="AI45" si="1982">AH45*$E45</f>
        <v>0</v>
      </c>
      <c r="AJ45" s="15"/>
      <c r="AK45" s="124">
        <f t="shared" ref="AK45" si="1983">AJ45*$E45</f>
        <v>0</v>
      </c>
      <c r="AL45" s="15"/>
      <c r="AM45" s="124">
        <f t="shared" ref="AM45" si="1984">AL45*$E45</f>
        <v>0</v>
      </c>
      <c r="AN45" s="16"/>
      <c r="AO45" s="124">
        <f t="shared" ref="AO45" si="1985">AN45*$E45</f>
        <v>0</v>
      </c>
      <c r="AP45" s="15"/>
      <c r="AQ45" s="124">
        <f t="shared" ref="AQ45" si="1986">AP45*$E45</f>
        <v>0</v>
      </c>
      <c r="AR45" s="15"/>
      <c r="AS45" s="124">
        <f t="shared" ref="AS45" si="1987">AR45*$E45</f>
        <v>0</v>
      </c>
      <c r="AT45" s="17"/>
      <c r="AU45" s="124">
        <f t="shared" ref="AU45" si="1988">AT45*$E45</f>
        <v>0</v>
      </c>
      <c r="AV45" s="15"/>
      <c r="AW45" s="124">
        <f t="shared" ref="AW45" si="1989">AV45*$E45</f>
        <v>0</v>
      </c>
      <c r="AX45" s="15"/>
      <c r="AY45" s="124">
        <f t="shared" ref="AY45" si="1990">AX45*$E45</f>
        <v>0</v>
      </c>
      <c r="AZ45" s="17"/>
      <c r="BA45" s="124">
        <f t="shared" ref="BA45" si="1991">AZ45*$E45</f>
        <v>0</v>
      </c>
      <c r="BB45" s="33"/>
      <c r="BC45" s="124">
        <f t="shared" ref="BC45" si="1992">BB45*$E45</f>
        <v>0</v>
      </c>
      <c r="BD45" s="33"/>
      <c r="BE45" s="124">
        <f t="shared" ref="BE45" si="1993">BD45*$E45</f>
        <v>0</v>
      </c>
      <c r="BF45" s="125">
        <f t="shared" si="27"/>
        <v>0</v>
      </c>
      <c r="BG45" s="126">
        <f t="shared" ref="BG45" si="1994">BF45*$E45</f>
        <v>0</v>
      </c>
      <c r="BH45" s="123"/>
      <c r="BI45" s="124">
        <f t="shared" ref="BI45" si="1995">BH45*$E45</f>
        <v>0</v>
      </c>
      <c r="BJ45" s="123"/>
      <c r="BK45" s="124">
        <f t="shared" ref="BK45" si="1996">BJ45*$E45</f>
        <v>0</v>
      </c>
      <c r="BL45" s="123"/>
      <c r="BM45" s="124">
        <f t="shared" ref="BM45" si="1997">BL45*$E45</f>
        <v>0</v>
      </c>
      <c r="BN45" s="123"/>
      <c r="BO45" s="124">
        <f t="shared" ref="BO45" si="1998">BN45*$E45</f>
        <v>0</v>
      </c>
      <c r="BP45" s="123"/>
      <c r="BQ45" s="124">
        <f t="shared" ref="BQ45" si="1999">BP45*$E45</f>
        <v>0</v>
      </c>
      <c r="BR45" s="123"/>
      <c r="BS45" s="124">
        <f t="shared" ref="BS45" si="2000">BR45*$E45</f>
        <v>0</v>
      </c>
      <c r="BT45" s="123"/>
      <c r="BU45" s="124">
        <f t="shared" ref="BU45" si="2001">BT45*$E45</f>
        <v>0</v>
      </c>
      <c r="BV45" s="123"/>
      <c r="BW45" s="124">
        <f t="shared" ref="BW45" si="2002">BV45*$E45</f>
        <v>0</v>
      </c>
      <c r="BX45" s="123"/>
      <c r="BY45" s="124">
        <f t="shared" ref="BY45" si="2003">BX45*$E45</f>
        <v>0</v>
      </c>
      <c r="BZ45" s="123"/>
      <c r="CA45" s="124">
        <f t="shared" ref="CA45" si="2004">BZ45*$E45</f>
        <v>0</v>
      </c>
      <c r="CB45" s="123"/>
      <c r="CC45" s="124">
        <f t="shared" ref="CC45" si="2005">CB45*$E45</f>
        <v>0</v>
      </c>
      <c r="CD45" s="123"/>
      <c r="CE45" s="124">
        <f t="shared" ref="CE45" si="2006">CD45*$E45</f>
        <v>0</v>
      </c>
      <c r="CF45" s="125">
        <f t="shared" si="41"/>
        <v>0</v>
      </c>
      <c r="CG45" s="126">
        <f t="shared" ref="CG45" si="2007">CF45*$E45</f>
        <v>0</v>
      </c>
      <c r="CH45" s="123"/>
      <c r="CI45" s="124">
        <f t="shared" ref="CI45" si="2008">CH45*$E45</f>
        <v>0</v>
      </c>
      <c r="CJ45" s="123"/>
      <c r="CK45" s="124">
        <f t="shared" ref="CK45" si="2009">CJ45*$E45</f>
        <v>0</v>
      </c>
      <c r="CL45" s="123"/>
      <c r="CM45" s="124">
        <f t="shared" ref="CM45" si="2010">CL45*$E45</f>
        <v>0</v>
      </c>
      <c r="CN45" s="123"/>
      <c r="CO45" s="124">
        <f t="shared" ref="CO45" si="2011">CN45*$E45</f>
        <v>0</v>
      </c>
      <c r="CP45" s="123"/>
      <c r="CQ45" s="124">
        <f t="shared" ref="CQ45" si="2012">CP45*$E45</f>
        <v>0</v>
      </c>
      <c r="CR45" s="123"/>
      <c r="CS45" s="124">
        <f t="shared" ref="CS45" si="2013">CR45*$E45</f>
        <v>0</v>
      </c>
      <c r="CT45" s="123"/>
      <c r="CU45" s="124">
        <f t="shared" ref="CU45" si="2014">CT45*$E45</f>
        <v>0</v>
      </c>
      <c r="CV45" s="123"/>
      <c r="CW45" s="124">
        <f t="shared" ref="CW45" si="2015">CV45*$E45</f>
        <v>0</v>
      </c>
      <c r="CX45" s="123"/>
      <c r="CY45" s="124">
        <f t="shared" ref="CY45" si="2016">CX45*$E45</f>
        <v>0</v>
      </c>
      <c r="CZ45" s="123"/>
      <c r="DA45" s="124">
        <f t="shared" ref="DA45" si="2017">CZ45*$E45</f>
        <v>0</v>
      </c>
      <c r="DB45" s="123"/>
      <c r="DC45" s="124">
        <f t="shared" si="53"/>
        <v>0</v>
      </c>
      <c r="DD45" s="123"/>
      <c r="DE45" s="124">
        <f t="shared" si="53"/>
        <v>0</v>
      </c>
      <c r="DF45" s="27">
        <f t="shared" si="0"/>
        <v>0</v>
      </c>
      <c r="DG45" s="124">
        <f t="shared" si="54"/>
        <v>0</v>
      </c>
    </row>
    <row r="46" spans="1:111" ht="18" customHeight="1" x14ac:dyDescent="0.5">
      <c r="A46" s="117">
        <v>39</v>
      </c>
      <c r="B46" s="122" t="s">
        <v>164</v>
      </c>
      <c r="C46" s="122" t="s">
        <v>231</v>
      </c>
      <c r="D46" s="117">
        <f t="shared" si="1282"/>
        <v>21</v>
      </c>
      <c r="E46" s="117">
        <v>0.64</v>
      </c>
      <c r="F46" s="117" t="s">
        <v>236</v>
      </c>
      <c r="G46" s="117"/>
      <c r="H46" s="123"/>
      <c r="I46" s="124">
        <f t="shared" ref="I46" si="2018">H46*$E46</f>
        <v>0</v>
      </c>
      <c r="J46" s="123"/>
      <c r="K46" s="124">
        <f t="shared" ref="K46" si="2019">J46*$E46</f>
        <v>0</v>
      </c>
      <c r="L46" s="123"/>
      <c r="M46" s="124">
        <f t="shared" ref="M46" si="2020">L46*$E46</f>
        <v>0</v>
      </c>
      <c r="N46" s="123"/>
      <c r="O46" s="124">
        <f t="shared" ref="O46" si="2021">N46*$E46</f>
        <v>0</v>
      </c>
      <c r="P46" s="123"/>
      <c r="Q46" s="124">
        <f t="shared" ref="Q46" si="2022">P46*$E46</f>
        <v>0</v>
      </c>
      <c r="R46" s="123"/>
      <c r="S46" s="124">
        <f t="shared" ref="S46" si="2023">R46*$E46</f>
        <v>0</v>
      </c>
      <c r="T46" s="123"/>
      <c r="U46" s="124">
        <f t="shared" ref="U46" si="2024">T46*$E46</f>
        <v>0</v>
      </c>
      <c r="V46" s="123"/>
      <c r="W46" s="124">
        <f t="shared" ref="W46" si="2025">V46*$E46</f>
        <v>0</v>
      </c>
      <c r="X46" s="123"/>
      <c r="Y46" s="124">
        <f t="shared" ref="Y46" si="2026">X46*$E46</f>
        <v>0</v>
      </c>
      <c r="Z46" s="123"/>
      <c r="AA46" s="124">
        <f t="shared" ref="AA46" si="2027">Z46*$E46</f>
        <v>0</v>
      </c>
      <c r="AB46" s="123"/>
      <c r="AC46" s="124">
        <f t="shared" ref="AC46" si="2028">AB46*$E46</f>
        <v>0</v>
      </c>
      <c r="AD46" s="123"/>
      <c r="AE46" s="124">
        <f t="shared" ref="AE46" si="2029">AD46*$E46</f>
        <v>0</v>
      </c>
      <c r="AF46" s="125">
        <f t="shared" si="13"/>
        <v>0</v>
      </c>
      <c r="AG46" s="126">
        <f t="shared" ref="AG46" si="2030">AF46*$E46</f>
        <v>0</v>
      </c>
      <c r="AH46" s="11"/>
      <c r="AI46" s="124">
        <f t="shared" ref="AI46" si="2031">AH46*$E46</f>
        <v>0</v>
      </c>
      <c r="AJ46" s="15"/>
      <c r="AK46" s="124">
        <f t="shared" ref="AK46" si="2032">AJ46*$E46</f>
        <v>0</v>
      </c>
      <c r="AL46" s="15"/>
      <c r="AM46" s="124">
        <f t="shared" ref="AM46" si="2033">AL46*$E46</f>
        <v>0</v>
      </c>
      <c r="AN46" s="16"/>
      <c r="AO46" s="124">
        <f t="shared" ref="AO46" si="2034">AN46*$E46</f>
        <v>0</v>
      </c>
      <c r="AP46" s="15"/>
      <c r="AQ46" s="124">
        <f t="shared" ref="AQ46" si="2035">AP46*$E46</f>
        <v>0</v>
      </c>
      <c r="AR46" s="15"/>
      <c r="AS46" s="124">
        <f t="shared" ref="AS46" si="2036">AR46*$E46</f>
        <v>0</v>
      </c>
      <c r="AT46" s="17"/>
      <c r="AU46" s="124">
        <f t="shared" ref="AU46" si="2037">AT46*$E46</f>
        <v>0</v>
      </c>
      <c r="AV46" s="15"/>
      <c r="AW46" s="124">
        <f t="shared" ref="AW46" si="2038">AV46*$E46</f>
        <v>0</v>
      </c>
      <c r="AX46" s="15"/>
      <c r="AY46" s="124">
        <f t="shared" ref="AY46" si="2039">AX46*$E46</f>
        <v>0</v>
      </c>
      <c r="AZ46" s="17"/>
      <c r="BA46" s="124">
        <f t="shared" ref="BA46" si="2040">AZ46*$E46</f>
        <v>0</v>
      </c>
      <c r="BB46" s="33"/>
      <c r="BC46" s="124">
        <f t="shared" ref="BC46" si="2041">BB46*$E46</f>
        <v>0</v>
      </c>
      <c r="BD46" s="33"/>
      <c r="BE46" s="124">
        <f t="shared" ref="BE46" si="2042">BD46*$E46</f>
        <v>0</v>
      </c>
      <c r="BF46" s="125">
        <f t="shared" si="27"/>
        <v>0</v>
      </c>
      <c r="BG46" s="126">
        <f t="shared" ref="BG46" si="2043">BF46*$E46</f>
        <v>0</v>
      </c>
      <c r="BH46" s="123"/>
      <c r="BI46" s="124">
        <f t="shared" ref="BI46" si="2044">BH46*$E46</f>
        <v>0</v>
      </c>
      <c r="BJ46" s="123"/>
      <c r="BK46" s="124">
        <f t="shared" ref="BK46" si="2045">BJ46*$E46</f>
        <v>0</v>
      </c>
      <c r="BL46" s="123"/>
      <c r="BM46" s="124">
        <f t="shared" ref="BM46" si="2046">BL46*$E46</f>
        <v>0</v>
      </c>
      <c r="BN46" s="123"/>
      <c r="BO46" s="124">
        <f t="shared" ref="BO46" si="2047">BN46*$E46</f>
        <v>0</v>
      </c>
      <c r="BP46" s="123"/>
      <c r="BQ46" s="124">
        <f t="shared" ref="BQ46" si="2048">BP46*$E46</f>
        <v>0</v>
      </c>
      <c r="BR46" s="123"/>
      <c r="BS46" s="124">
        <f t="shared" ref="BS46" si="2049">BR46*$E46</f>
        <v>0</v>
      </c>
      <c r="BT46" s="123"/>
      <c r="BU46" s="124">
        <f t="shared" ref="BU46" si="2050">BT46*$E46</f>
        <v>0</v>
      </c>
      <c r="BV46" s="123"/>
      <c r="BW46" s="124">
        <f t="shared" ref="BW46" si="2051">BV46*$E46</f>
        <v>0</v>
      </c>
      <c r="BX46" s="123"/>
      <c r="BY46" s="124">
        <f t="shared" ref="BY46" si="2052">BX46*$E46</f>
        <v>0</v>
      </c>
      <c r="BZ46" s="123"/>
      <c r="CA46" s="124">
        <f t="shared" ref="CA46" si="2053">BZ46*$E46</f>
        <v>0</v>
      </c>
      <c r="CB46" s="123"/>
      <c r="CC46" s="124">
        <f t="shared" ref="CC46" si="2054">CB46*$E46</f>
        <v>0</v>
      </c>
      <c r="CD46" s="123"/>
      <c r="CE46" s="124">
        <f t="shared" ref="CE46" si="2055">CD46*$E46</f>
        <v>0</v>
      </c>
      <c r="CF46" s="125">
        <f t="shared" si="41"/>
        <v>0</v>
      </c>
      <c r="CG46" s="126">
        <f t="shared" ref="CG46" si="2056">CF46*$E46</f>
        <v>0</v>
      </c>
      <c r="CH46" s="123"/>
      <c r="CI46" s="124">
        <f t="shared" ref="CI46" si="2057">CH46*$E46</f>
        <v>0</v>
      </c>
      <c r="CJ46" s="123"/>
      <c r="CK46" s="124">
        <f t="shared" ref="CK46" si="2058">CJ46*$E46</f>
        <v>0</v>
      </c>
      <c r="CL46" s="123"/>
      <c r="CM46" s="124">
        <f t="shared" ref="CM46" si="2059">CL46*$E46</f>
        <v>0</v>
      </c>
      <c r="CN46" s="123"/>
      <c r="CO46" s="124">
        <f t="shared" ref="CO46" si="2060">CN46*$E46</f>
        <v>0</v>
      </c>
      <c r="CP46" s="123"/>
      <c r="CQ46" s="124">
        <f t="shared" ref="CQ46" si="2061">CP46*$E46</f>
        <v>0</v>
      </c>
      <c r="CR46" s="123"/>
      <c r="CS46" s="124">
        <f t="shared" ref="CS46" si="2062">CR46*$E46</f>
        <v>0</v>
      </c>
      <c r="CT46" s="123"/>
      <c r="CU46" s="124">
        <f t="shared" ref="CU46" si="2063">CT46*$E46</f>
        <v>0</v>
      </c>
      <c r="CV46" s="123"/>
      <c r="CW46" s="124">
        <f t="shared" ref="CW46" si="2064">CV46*$E46</f>
        <v>0</v>
      </c>
      <c r="CX46" s="123"/>
      <c r="CY46" s="124">
        <f t="shared" ref="CY46" si="2065">CX46*$E46</f>
        <v>0</v>
      </c>
      <c r="CZ46" s="123"/>
      <c r="DA46" s="124">
        <f t="shared" ref="DA46" si="2066">CZ46*$E46</f>
        <v>0</v>
      </c>
      <c r="DB46" s="123"/>
      <c r="DC46" s="124">
        <f t="shared" si="53"/>
        <v>0</v>
      </c>
      <c r="DD46" s="123"/>
      <c r="DE46" s="124">
        <f t="shared" si="53"/>
        <v>0</v>
      </c>
      <c r="DF46" s="27">
        <f t="shared" si="0"/>
        <v>0</v>
      </c>
      <c r="DG46" s="124">
        <f t="shared" si="54"/>
        <v>0</v>
      </c>
    </row>
    <row r="47" spans="1:111" ht="18" customHeight="1" x14ac:dyDescent="0.5">
      <c r="A47" s="117">
        <v>40</v>
      </c>
      <c r="B47" s="122" t="s">
        <v>164</v>
      </c>
      <c r="C47" s="122" t="s">
        <v>231</v>
      </c>
      <c r="D47" s="117">
        <f t="shared" si="1282"/>
        <v>21</v>
      </c>
      <c r="E47" s="117">
        <v>0.64</v>
      </c>
      <c r="F47" s="117" t="s">
        <v>236</v>
      </c>
      <c r="G47" s="117"/>
      <c r="H47" s="123"/>
      <c r="I47" s="124">
        <f t="shared" ref="I47" si="2067">H47*$E47</f>
        <v>0</v>
      </c>
      <c r="J47" s="123"/>
      <c r="K47" s="124">
        <f t="shared" ref="K47" si="2068">J47*$E47</f>
        <v>0</v>
      </c>
      <c r="L47" s="123"/>
      <c r="M47" s="124">
        <f t="shared" ref="M47" si="2069">L47*$E47</f>
        <v>0</v>
      </c>
      <c r="N47" s="123"/>
      <c r="O47" s="124">
        <f t="shared" ref="O47" si="2070">N47*$E47</f>
        <v>0</v>
      </c>
      <c r="P47" s="123"/>
      <c r="Q47" s="124">
        <f t="shared" ref="Q47" si="2071">P47*$E47</f>
        <v>0</v>
      </c>
      <c r="R47" s="123"/>
      <c r="S47" s="124">
        <f t="shared" ref="S47" si="2072">R47*$E47</f>
        <v>0</v>
      </c>
      <c r="T47" s="123"/>
      <c r="U47" s="124">
        <f t="shared" ref="U47" si="2073">T47*$E47</f>
        <v>0</v>
      </c>
      <c r="V47" s="123"/>
      <c r="W47" s="124">
        <f t="shared" ref="W47" si="2074">V47*$E47</f>
        <v>0</v>
      </c>
      <c r="X47" s="123"/>
      <c r="Y47" s="124">
        <f t="shared" ref="Y47" si="2075">X47*$E47</f>
        <v>0</v>
      </c>
      <c r="Z47" s="123"/>
      <c r="AA47" s="124">
        <f t="shared" ref="AA47" si="2076">Z47*$E47</f>
        <v>0</v>
      </c>
      <c r="AB47" s="123"/>
      <c r="AC47" s="124">
        <f t="shared" ref="AC47" si="2077">AB47*$E47</f>
        <v>0</v>
      </c>
      <c r="AD47" s="123"/>
      <c r="AE47" s="124">
        <f t="shared" ref="AE47" si="2078">AD47*$E47</f>
        <v>0</v>
      </c>
      <c r="AF47" s="125">
        <f t="shared" si="13"/>
        <v>0</v>
      </c>
      <c r="AG47" s="126">
        <f t="shared" ref="AG47" si="2079">AF47*$E47</f>
        <v>0</v>
      </c>
      <c r="AH47" s="11"/>
      <c r="AI47" s="124">
        <f t="shared" ref="AI47" si="2080">AH47*$E47</f>
        <v>0</v>
      </c>
      <c r="AJ47" s="15"/>
      <c r="AK47" s="124">
        <f t="shared" ref="AK47" si="2081">AJ47*$E47</f>
        <v>0</v>
      </c>
      <c r="AL47" s="15"/>
      <c r="AM47" s="124">
        <f t="shared" ref="AM47" si="2082">AL47*$E47</f>
        <v>0</v>
      </c>
      <c r="AN47" s="16"/>
      <c r="AO47" s="124">
        <f t="shared" ref="AO47" si="2083">AN47*$E47</f>
        <v>0</v>
      </c>
      <c r="AP47" s="15"/>
      <c r="AQ47" s="124">
        <f t="shared" ref="AQ47" si="2084">AP47*$E47</f>
        <v>0</v>
      </c>
      <c r="AR47" s="15"/>
      <c r="AS47" s="124">
        <f t="shared" ref="AS47" si="2085">AR47*$E47</f>
        <v>0</v>
      </c>
      <c r="AT47" s="17"/>
      <c r="AU47" s="124">
        <f t="shared" ref="AU47" si="2086">AT47*$E47</f>
        <v>0</v>
      </c>
      <c r="AV47" s="15"/>
      <c r="AW47" s="124">
        <f t="shared" ref="AW47" si="2087">AV47*$E47</f>
        <v>0</v>
      </c>
      <c r="AX47" s="15"/>
      <c r="AY47" s="124">
        <f t="shared" ref="AY47" si="2088">AX47*$E47</f>
        <v>0</v>
      </c>
      <c r="AZ47" s="17"/>
      <c r="BA47" s="124">
        <f t="shared" ref="BA47" si="2089">AZ47*$E47</f>
        <v>0</v>
      </c>
      <c r="BB47" s="33"/>
      <c r="BC47" s="124">
        <f t="shared" ref="BC47" si="2090">BB47*$E47</f>
        <v>0</v>
      </c>
      <c r="BD47" s="33"/>
      <c r="BE47" s="124">
        <f t="shared" ref="BE47" si="2091">BD47*$E47</f>
        <v>0</v>
      </c>
      <c r="BF47" s="125">
        <f t="shared" si="27"/>
        <v>0</v>
      </c>
      <c r="BG47" s="126">
        <f t="shared" ref="BG47" si="2092">BF47*$E47</f>
        <v>0</v>
      </c>
      <c r="BH47" s="123"/>
      <c r="BI47" s="124">
        <f t="shared" ref="BI47" si="2093">BH47*$E47</f>
        <v>0</v>
      </c>
      <c r="BJ47" s="123"/>
      <c r="BK47" s="124">
        <f t="shared" ref="BK47" si="2094">BJ47*$E47</f>
        <v>0</v>
      </c>
      <c r="BL47" s="123"/>
      <c r="BM47" s="124">
        <f t="shared" ref="BM47" si="2095">BL47*$E47</f>
        <v>0</v>
      </c>
      <c r="BN47" s="123"/>
      <c r="BO47" s="124">
        <f t="shared" ref="BO47" si="2096">BN47*$E47</f>
        <v>0</v>
      </c>
      <c r="BP47" s="123"/>
      <c r="BQ47" s="124">
        <f t="shared" ref="BQ47" si="2097">BP47*$E47</f>
        <v>0</v>
      </c>
      <c r="BR47" s="123"/>
      <c r="BS47" s="124">
        <f t="shared" ref="BS47" si="2098">BR47*$E47</f>
        <v>0</v>
      </c>
      <c r="BT47" s="123"/>
      <c r="BU47" s="124">
        <f t="shared" ref="BU47" si="2099">BT47*$E47</f>
        <v>0</v>
      </c>
      <c r="BV47" s="123"/>
      <c r="BW47" s="124">
        <f t="shared" ref="BW47" si="2100">BV47*$E47</f>
        <v>0</v>
      </c>
      <c r="BX47" s="123"/>
      <c r="BY47" s="124">
        <f t="shared" ref="BY47" si="2101">BX47*$E47</f>
        <v>0</v>
      </c>
      <c r="BZ47" s="123"/>
      <c r="CA47" s="124">
        <f t="shared" ref="CA47" si="2102">BZ47*$E47</f>
        <v>0</v>
      </c>
      <c r="CB47" s="123"/>
      <c r="CC47" s="124">
        <f t="shared" ref="CC47" si="2103">CB47*$E47</f>
        <v>0</v>
      </c>
      <c r="CD47" s="123"/>
      <c r="CE47" s="124">
        <f t="shared" ref="CE47" si="2104">CD47*$E47</f>
        <v>0</v>
      </c>
      <c r="CF47" s="125">
        <f t="shared" si="41"/>
        <v>0</v>
      </c>
      <c r="CG47" s="126">
        <f t="shared" ref="CG47" si="2105">CF47*$E47</f>
        <v>0</v>
      </c>
      <c r="CH47" s="123"/>
      <c r="CI47" s="124">
        <f t="shared" ref="CI47" si="2106">CH47*$E47</f>
        <v>0</v>
      </c>
      <c r="CJ47" s="123"/>
      <c r="CK47" s="124">
        <f t="shared" ref="CK47" si="2107">CJ47*$E47</f>
        <v>0</v>
      </c>
      <c r="CL47" s="123"/>
      <c r="CM47" s="124">
        <f t="shared" ref="CM47" si="2108">CL47*$E47</f>
        <v>0</v>
      </c>
      <c r="CN47" s="123"/>
      <c r="CO47" s="124">
        <f t="shared" ref="CO47" si="2109">CN47*$E47</f>
        <v>0</v>
      </c>
      <c r="CP47" s="123"/>
      <c r="CQ47" s="124">
        <f t="shared" ref="CQ47" si="2110">CP47*$E47</f>
        <v>0</v>
      </c>
      <c r="CR47" s="123"/>
      <c r="CS47" s="124">
        <f t="shared" ref="CS47" si="2111">CR47*$E47</f>
        <v>0</v>
      </c>
      <c r="CT47" s="123"/>
      <c r="CU47" s="124">
        <f t="shared" ref="CU47" si="2112">CT47*$E47</f>
        <v>0</v>
      </c>
      <c r="CV47" s="123"/>
      <c r="CW47" s="124">
        <f t="shared" ref="CW47" si="2113">CV47*$E47</f>
        <v>0</v>
      </c>
      <c r="CX47" s="123"/>
      <c r="CY47" s="124">
        <f t="shared" ref="CY47" si="2114">CX47*$E47</f>
        <v>0</v>
      </c>
      <c r="CZ47" s="123"/>
      <c r="DA47" s="124">
        <f t="shared" ref="DA47" si="2115">CZ47*$E47</f>
        <v>0</v>
      </c>
      <c r="DB47" s="123"/>
      <c r="DC47" s="124">
        <f t="shared" si="53"/>
        <v>0</v>
      </c>
      <c r="DD47" s="123"/>
      <c r="DE47" s="124">
        <f t="shared" si="53"/>
        <v>0</v>
      </c>
      <c r="DF47" s="27">
        <f t="shared" si="0"/>
        <v>0</v>
      </c>
      <c r="DG47" s="124">
        <f t="shared" si="54"/>
        <v>0</v>
      </c>
    </row>
    <row r="48" spans="1:111" ht="18" customHeight="1" x14ac:dyDescent="0.5">
      <c r="A48" s="117"/>
      <c r="B48" s="122"/>
      <c r="C48" s="122"/>
      <c r="D48" s="117"/>
      <c r="E48" s="117"/>
      <c r="F48" s="117"/>
      <c r="G48" s="117"/>
      <c r="H48" s="123"/>
      <c r="I48" s="124">
        <f t="shared" ref="I48" si="2116">H48*$E48</f>
        <v>0</v>
      </c>
      <c r="J48" s="123"/>
      <c r="K48" s="124">
        <f t="shared" ref="K48" si="2117">J48*$E48</f>
        <v>0</v>
      </c>
      <c r="L48" s="123"/>
      <c r="M48" s="124">
        <f t="shared" ref="M48" si="2118">L48*$E48</f>
        <v>0</v>
      </c>
      <c r="N48" s="123"/>
      <c r="O48" s="124">
        <f t="shared" ref="O48" si="2119">N48*$E48</f>
        <v>0</v>
      </c>
      <c r="P48" s="123"/>
      <c r="Q48" s="124">
        <f t="shared" ref="Q48" si="2120">P48*$E48</f>
        <v>0</v>
      </c>
      <c r="R48" s="123"/>
      <c r="S48" s="124">
        <f t="shared" ref="S48" si="2121">R48*$E48</f>
        <v>0</v>
      </c>
      <c r="T48" s="123"/>
      <c r="U48" s="124">
        <f t="shared" ref="U48" si="2122">T48*$E48</f>
        <v>0</v>
      </c>
      <c r="V48" s="123"/>
      <c r="W48" s="124">
        <f t="shared" ref="W48" si="2123">V48*$E48</f>
        <v>0</v>
      </c>
      <c r="X48" s="123"/>
      <c r="Y48" s="124">
        <f t="shared" ref="Y48" si="2124">X48*$E48</f>
        <v>0</v>
      </c>
      <c r="Z48" s="123"/>
      <c r="AA48" s="124">
        <f t="shared" ref="AA48" si="2125">Z48*$E48</f>
        <v>0</v>
      </c>
      <c r="AB48" s="123"/>
      <c r="AC48" s="124">
        <f t="shared" ref="AC48" si="2126">AB48*$E48</f>
        <v>0</v>
      </c>
      <c r="AD48" s="123"/>
      <c r="AE48" s="124">
        <f t="shared" ref="AE48" si="2127">AD48*$E48</f>
        <v>0</v>
      </c>
      <c r="AF48" s="125">
        <f t="shared" si="13"/>
        <v>0</v>
      </c>
      <c r="AG48" s="126">
        <f t="shared" ref="AG48" si="2128">AF48*$E48</f>
        <v>0</v>
      </c>
      <c r="AH48" s="11"/>
      <c r="AI48" s="124">
        <f t="shared" ref="AI48" si="2129">AH48*$E48</f>
        <v>0</v>
      </c>
      <c r="AJ48" s="15"/>
      <c r="AK48" s="124">
        <f t="shared" ref="AK48" si="2130">AJ48*$E48</f>
        <v>0</v>
      </c>
      <c r="AL48" s="15"/>
      <c r="AM48" s="124">
        <f t="shared" ref="AM48" si="2131">AL48*$E48</f>
        <v>0</v>
      </c>
      <c r="AN48" s="16"/>
      <c r="AO48" s="124">
        <f t="shared" ref="AO48" si="2132">AN48*$E48</f>
        <v>0</v>
      </c>
      <c r="AP48" s="15"/>
      <c r="AQ48" s="124">
        <f t="shared" ref="AQ48" si="2133">AP48*$E48</f>
        <v>0</v>
      </c>
      <c r="AR48" s="15"/>
      <c r="AS48" s="124">
        <f t="shared" ref="AS48" si="2134">AR48*$E48</f>
        <v>0</v>
      </c>
      <c r="AT48" s="17"/>
      <c r="AU48" s="124">
        <f t="shared" ref="AU48" si="2135">AT48*$E48</f>
        <v>0</v>
      </c>
      <c r="AV48" s="15"/>
      <c r="AW48" s="124">
        <f t="shared" ref="AW48" si="2136">AV48*$E48</f>
        <v>0</v>
      </c>
      <c r="AX48" s="15"/>
      <c r="AY48" s="124">
        <f t="shared" ref="AY48" si="2137">AX48*$E48</f>
        <v>0</v>
      </c>
      <c r="AZ48" s="17"/>
      <c r="BA48" s="124">
        <f t="shared" ref="BA48" si="2138">AZ48*$E48</f>
        <v>0</v>
      </c>
      <c r="BB48" s="33"/>
      <c r="BC48" s="124">
        <f t="shared" ref="BC48" si="2139">BB48*$E48</f>
        <v>0</v>
      </c>
      <c r="BD48" s="33"/>
      <c r="BE48" s="124">
        <f t="shared" ref="BE48" si="2140">BD48*$E48</f>
        <v>0</v>
      </c>
      <c r="BF48" s="125">
        <f t="shared" si="27"/>
        <v>0</v>
      </c>
      <c r="BG48" s="126">
        <f t="shared" ref="BG48" si="2141">BF48*$E48</f>
        <v>0</v>
      </c>
      <c r="BH48" s="123"/>
      <c r="BI48" s="124">
        <f t="shared" ref="BI48" si="2142">BH48*$E48</f>
        <v>0</v>
      </c>
      <c r="BJ48" s="123"/>
      <c r="BK48" s="124">
        <f t="shared" ref="BK48" si="2143">BJ48*$E48</f>
        <v>0</v>
      </c>
      <c r="BL48" s="123"/>
      <c r="BM48" s="124">
        <f t="shared" ref="BM48" si="2144">BL48*$E48</f>
        <v>0</v>
      </c>
      <c r="BN48" s="123"/>
      <c r="BO48" s="124">
        <f t="shared" ref="BO48" si="2145">BN48*$E48</f>
        <v>0</v>
      </c>
      <c r="BP48" s="123"/>
      <c r="BQ48" s="124">
        <f t="shared" ref="BQ48" si="2146">BP48*$E48</f>
        <v>0</v>
      </c>
      <c r="BR48" s="123"/>
      <c r="BS48" s="124">
        <f t="shared" ref="BS48" si="2147">BR48*$E48</f>
        <v>0</v>
      </c>
      <c r="BT48" s="123"/>
      <c r="BU48" s="124">
        <f t="shared" ref="BU48" si="2148">BT48*$E48</f>
        <v>0</v>
      </c>
      <c r="BV48" s="123"/>
      <c r="BW48" s="124">
        <f t="shared" ref="BW48" si="2149">BV48*$E48</f>
        <v>0</v>
      </c>
      <c r="BX48" s="123"/>
      <c r="BY48" s="124">
        <f t="shared" ref="BY48" si="2150">BX48*$E48</f>
        <v>0</v>
      </c>
      <c r="BZ48" s="123"/>
      <c r="CA48" s="124">
        <f t="shared" ref="CA48" si="2151">BZ48*$E48</f>
        <v>0</v>
      </c>
      <c r="CB48" s="123"/>
      <c r="CC48" s="124">
        <f t="shared" ref="CC48" si="2152">CB48*$E48</f>
        <v>0</v>
      </c>
      <c r="CD48" s="123"/>
      <c r="CE48" s="124">
        <f t="shared" ref="CE48" si="2153">CD48*$E48</f>
        <v>0</v>
      </c>
      <c r="CF48" s="125">
        <f t="shared" si="41"/>
        <v>0</v>
      </c>
      <c r="CG48" s="126">
        <f t="shared" ref="CG48" si="2154">CF48*$E48</f>
        <v>0</v>
      </c>
      <c r="CH48" s="123"/>
      <c r="CI48" s="124">
        <f t="shared" ref="CI48" si="2155">CH48*$E48</f>
        <v>0</v>
      </c>
      <c r="CJ48" s="123"/>
      <c r="CK48" s="124">
        <f t="shared" ref="CK48" si="2156">CJ48*$E48</f>
        <v>0</v>
      </c>
      <c r="CL48" s="123"/>
      <c r="CM48" s="124">
        <f t="shared" ref="CM48" si="2157">CL48*$E48</f>
        <v>0</v>
      </c>
      <c r="CN48" s="123"/>
      <c r="CO48" s="124">
        <f t="shared" ref="CO48" si="2158">CN48*$E48</f>
        <v>0</v>
      </c>
      <c r="CP48" s="123"/>
      <c r="CQ48" s="124">
        <f t="shared" ref="CQ48" si="2159">CP48*$E48</f>
        <v>0</v>
      </c>
      <c r="CR48" s="123"/>
      <c r="CS48" s="124">
        <f t="shared" ref="CS48" si="2160">CR48*$E48</f>
        <v>0</v>
      </c>
      <c r="CT48" s="123"/>
      <c r="CU48" s="124">
        <f t="shared" ref="CU48" si="2161">CT48*$E48</f>
        <v>0</v>
      </c>
      <c r="CV48" s="123"/>
      <c r="CW48" s="124">
        <f t="shared" ref="CW48" si="2162">CV48*$E48</f>
        <v>0</v>
      </c>
      <c r="CX48" s="123"/>
      <c r="CY48" s="124">
        <f t="shared" ref="CY48" si="2163">CX48*$E48</f>
        <v>0</v>
      </c>
      <c r="CZ48" s="123"/>
      <c r="DA48" s="124">
        <f t="shared" ref="DA48" si="2164">CZ48*$E48</f>
        <v>0</v>
      </c>
      <c r="DB48" s="123"/>
      <c r="DC48" s="124">
        <f t="shared" si="53"/>
        <v>0</v>
      </c>
      <c r="DD48" s="123"/>
      <c r="DE48" s="124">
        <f t="shared" si="53"/>
        <v>0</v>
      </c>
      <c r="DF48" s="27">
        <f t="shared" si="0"/>
        <v>0</v>
      </c>
      <c r="DG48" s="124">
        <f t="shared" si="54"/>
        <v>0</v>
      </c>
    </row>
    <row r="49" spans="1:111" ht="18" customHeight="1" x14ac:dyDescent="0.5">
      <c r="A49" s="117">
        <v>41</v>
      </c>
      <c r="B49" s="122" t="s">
        <v>165</v>
      </c>
      <c r="C49" s="122" t="s">
        <v>233</v>
      </c>
      <c r="D49" s="117">
        <f>RANK(DF49,$DF$4:$DF$141)</f>
        <v>21</v>
      </c>
      <c r="E49" s="117">
        <v>1</v>
      </c>
      <c r="F49" s="117" t="s">
        <v>232</v>
      </c>
      <c r="G49" s="117"/>
      <c r="H49" s="123"/>
      <c r="I49" s="124">
        <f t="shared" ref="I49" si="2165">H49*$E49</f>
        <v>0</v>
      </c>
      <c r="J49" s="123"/>
      <c r="K49" s="124">
        <f t="shared" ref="K49" si="2166">J49*$E49</f>
        <v>0</v>
      </c>
      <c r="L49" s="123"/>
      <c r="M49" s="124">
        <f t="shared" ref="M49" si="2167">L49*$E49</f>
        <v>0</v>
      </c>
      <c r="N49" s="123"/>
      <c r="O49" s="124">
        <f t="shared" ref="O49" si="2168">N49*$E49</f>
        <v>0</v>
      </c>
      <c r="P49" s="123"/>
      <c r="Q49" s="124">
        <f t="shared" ref="Q49" si="2169">P49*$E49</f>
        <v>0</v>
      </c>
      <c r="R49" s="123"/>
      <c r="S49" s="124">
        <f t="shared" ref="S49" si="2170">R49*$E49</f>
        <v>0</v>
      </c>
      <c r="T49" s="123"/>
      <c r="U49" s="124">
        <f t="shared" ref="U49" si="2171">T49*$E49</f>
        <v>0</v>
      </c>
      <c r="V49" s="123"/>
      <c r="W49" s="124">
        <f t="shared" ref="W49" si="2172">V49*$E49</f>
        <v>0</v>
      </c>
      <c r="X49" s="123"/>
      <c r="Y49" s="124">
        <f t="shared" ref="Y49" si="2173">X49*$E49</f>
        <v>0</v>
      </c>
      <c r="Z49" s="123"/>
      <c r="AA49" s="124">
        <f t="shared" ref="AA49" si="2174">Z49*$E49</f>
        <v>0</v>
      </c>
      <c r="AB49" s="123"/>
      <c r="AC49" s="124">
        <f t="shared" ref="AC49" si="2175">AB49*$E49</f>
        <v>0</v>
      </c>
      <c r="AD49" s="123"/>
      <c r="AE49" s="124">
        <f t="shared" ref="AE49" si="2176">AD49*$E49</f>
        <v>0</v>
      </c>
      <c r="AF49" s="125">
        <f t="shared" si="13"/>
        <v>0</v>
      </c>
      <c r="AG49" s="126">
        <f t="shared" ref="AG49" si="2177">AF49*$E49</f>
        <v>0</v>
      </c>
      <c r="AH49" s="11"/>
      <c r="AI49" s="124">
        <f t="shared" ref="AI49" si="2178">AH49*$E49</f>
        <v>0</v>
      </c>
      <c r="AJ49" s="15"/>
      <c r="AK49" s="124">
        <f t="shared" ref="AK49" si="2179">AJ49*$E49</f>
        <v>0</v>
      </c>
      <c r="AL49" s="15"/>
      <c r="AM49" s="124">
        <f t="shared" ref="AM49" si="2180">AL49*$E49</f>
        <v>0</v>
      </c>
      <c r="AN49" s="16"/>
      <c r="AO49" s="124">
        <f t="shared" ref="AO49" si="2181">AN49*$E49</f>
        <v>0</v>
      </c>
      <c r="AP49" s="15"/>
      <c r="AQ49" s="124">
        <f t="shared" ref="AQ49" si="2182">AP49*$E49</f>
        <v>0</v>
      </c>
      <c r="AR49" s="15"/>
      <c r="AS49" s="124">
        <f t="shared" ref="AS49" si="2183">AR49*$E49</f>
        <v>0</v>
      </c>
      <c r="AT49" s="17"/>
      <c r="AU49" s="124">
        <f t="shared" ref="AU49" si="2184">AT49*$E49</f>
        <v>0</v>
      </c>
      <c r="AV49" s="15"/>
      <c r="AW49" s="124">
        <f t="shared" ref="AW49" si="2185">AV49*$E49</f>
        <v>0</v>
      </c>
      <c r="AX49" s="15"/>
      <c r="AY49" s="124">
        <f t="shared" ref="AY49" si="2186">AX49*$E49</f>
        <v>0</v>
      </c>
      <c r="AZ49" s="17"/>
      <c r="BA49" s="124">
        <f t="shared" ref="BA49" si="2187">AZ49*$E49</f>
        <v>0</v>
      </c>
      <c r="BB49" s="33"/>
      <c r="BC49" s="124">
        <f t="shared" ref="BC49" si="2188">BB49*$E49</f>
        <v>0</v>
      </c>
      <c r="BD49" s="33"/>
      <c r="BE49" s="124">
        <f t="shared" ref="BE49" si="2189">BD49*$E49</f>
        <v>0</v>
      </c>
      <c r="BF49" s="125">
        <f t="shared" si="27"/>
        <v>0</v>
      </c>
      <c r="BG49" s="126">
        <f t="shared" ref="BG49" si="2190">BF49*$E49</f>
        <v>0</v>
      </c>
      <c r="BH49" s="123"/>
      <c r="BI49" s="124">
        <f t="shared" ref="BI49" si="2191">BH49*$E49</f>
        <v>0</v>
      </c>
      <c r="BJ49" s="123"/>
      <c r="BK49" s="124">
        <f t="shared" ref="BK49" si="2192">BJ49*$E49</f>
        <v>0</v>
      </c>
      <c r="BL49" s="123"/>
      <c r="BM49" s="124">
        <f t="shared" ref="BM49" si="2193">BL49*$E49</f>
        <v>0</v>
      </c>
      <c r="BN49" s="123"/>
      <c r="BO49" s="124">
        <f t="shared" ref="BO49" si="2194">BN49*$E49</f>
        <v>0</v>
      </c>
      <c r="BP49" s="123"/>
      <c r="BQ49" s="124">
        <f t="shared" ref="BQ49" si="2195">BP49*$E49</f>
        <v>0</v>
      </c>
      <c r="BR49" s="123"/>
      <c r="BS49" s="124">
        <f t="shared" ref="BS49" si="2196">BR49*$E49</f>
        <v>0</v>
      </c>
      <c r="BT49" s="123"/>
      <c r="BU49" s="124">
        <f t="shared" ref="BU49" si="2197">BT49*$E49</f>
        <v>0</v>
      </c>
      <c r="BV49" s="123"/>
      <c r="BW49" s="124">
        <f t="shared" ref="BW49" si="2198">BV49*$E49</f>
        <v>0</v>
      </c>
      <c r="BX49" s="123"/>
      <c r="BY49" s="124">
        <f t="shared" ref="BY49" si="2199">BX49*$E49</f>
        <v>0</v>
      </c>
      <c r="BZ49" s="123"/>
      <c r="CA49" s="124">
        <f t="shared" ref="CA49" si="2200">BZ49*$E49</f>
        <v>0</v>
      </c>
      <c r="CB49" s="123"/>
      <c r="CC49" s="124">
        <f t="shared" ref="CC49" si="2201">CB49*$E49</f>
        <v>0</v>
      </c>
      <c r="CD49" s="123"/>
      <c r="CE49" s="124">
        <f t="shared" ref="CE49" si="2202">CD49*$E49</f>
        <v>0</v>
      </c>
      <c r="CF49" s="125">
        <f t="shared" si="41"/>
        <v>0</v>
      </c>
      <c r="CG49" s="126">
        <f t="shared" ref="CG49" si="2203">CF49*$E49</f>
        <v>0</v>
      </c>
      <c r="CH49" s="123"/>
      <c r="CI49" s="124">
        <f t="shared" ref="CI49" si="2204">CH49*$E49</f>
        <v>0</v>
      </c>
      <c r="CJ49" s="123"/>
      <c r="CK49" s="124">
        <f t="shared" ref="CK49" si="2205">CJ49*$E49</f>
        <v>0</v>
      </c>
      <c r="CL49" s="123"/>
      <c r="CM49" s="124">
        <f t="shared" ref="CM49" si="2206">CL49*$E49</f>
        <v>0</v>
      </c>
      <c r="CN49" s="123"/>
      <c r="CO49" s="124">
        <f t="shared" ref="CO49" si="2207">CN49*$E49</f>
        <v>0</v>
      </c>
      <c r="CP49" s="123"/>
      <c r="CQ49" s="124">
        <f t="shared" ref="CQ49" si="2208">CP49*$E49</f>
        <v>0</v>
      </c>
      <c r="CR49" s="123"/>
      <c r="CS49" s="124">
        <f t="shared" ref="CS49" si="2209">CR49*$E49</f>
        <v>0</v>
      </c>
      <c r="CT49" s="123"/>
      <c r="CU49" s="124">
        <f t="shared" ref="CU49" si="2210">CT49*$E49</f>
        <v>0</v>
      </c>
      <c r="CV49" s="123"/>
      <c r="CW49" s="124">
        <f t="shared" ref="CW49" si="2211">CV49*$E49</f>
        <v>0</v>
      </c>
      <c r="CX49" s="123"/>
      <c r="CY49" s="124">
        <f t="shared" ref="CY49" si="2212">CX49*$E49</f>
        <v>0</v>
      </c>
      <c r="CZ49" s="123"/>
      <c r="DA49" s="124">
        <f t="shared" ref="DA49" si="2213">CZ49*$E49</f>
        <v>0</v>
      </c>
      <c r="DB49" s="123"/>
      <c r="DC49" s="124">
        <f t="shared" si="53"/>
        <v>0</v>
      </c>
      <c r="DD49" s="123"/>
      <c r="DE49" s="124">
        <f t="shared" si="53"/>
        <v>0</v>
      </c>
      <c r="DF49" s="27">
        <f t="shared" si="0"/>
        <v>0</v>
      </c>
      <c r="DG49" s="124">
        <f t="shared" si="54"/>
        <v>0</v>
      </c>
    </row>
    <row r="50" spans="1:111" ht="18" customHeight="1" x14ac:dyDescent="0.5">
      <c r="A50" s="117">
        <v>42</v>
      </c>
      <c r="B50" s="122" t="s">
        <v>165</v>
      </c>
      <c r="C50" s="122" t="s">
        <v>233</v>
      </c>
      <c r="D50" s="117">
        <f>RANK(DF50,$DF$4:$DF$141)</f>
        <v>21</v>
      </c>
      <c r="E50" s="117">
        <v>1</v>
      </c>
      <c r="F50" s="117" t="s">
        <v>235</v>
      </c>
      <c r="G50" s="117"/>
      <c r="H50" s="123"/>
      <c r="I50" s="124">
        <f t="shared" ref="I50" si="2214">H50*$E50</f>
        <v>0</v>
      </c>
      <c r="J50" s="123"/>
      <c r="K50" s="124">
        <f t="shared" ref="K50" si="2215">J50*$E50</f>
        <v>0</v>
      </c>
      <c r="L50" s="123"/>
      <c r="M50" s="124">
        <f t="shared" ref="M50" si="2216">L50*$E50</f>
        <v>0</v>
      </c>
      <c r="N50" s="123"/>
      <c r="O50" s="124">
        <f t="shared" ref="O50" si="2217">N50*$E50</f>
        <v>0</v>
      </c>
      <c r="P50" s="123"/>
      <c r="Q50" s="124">
        <f t="shared" ref="Q50" si="2218">P50*$E50</f>
        <v>0</v>
      </c>
      <c r="R50" s="123"/>
      <c r="S50" s="124">
        <f t="shared" ref="S50" si="2219">R50*$E50</f>
        <v>0</v>
      </c>
      <c r="T50" s="123"/>
      <c r="U50" s="124">
        <f t="shared" ref="U50" si="2220">T50*$E50</f>
        <v>0</v>
      </c>
      <c r="V50" s="123"/>
      <c r="W50" s="124">
        <f t="shared" ref="W50" si="2221">V50*$E50</f>
        <v>0</v>
      </c>
      <c r="X50" s="123"/>
      <c r="Y50" s="124">
        <f t="shared" ref="Y50" si="2222">X50*$E50</f>
        <v>0</v>
      </c>
      <c r="Z50" s="123"/>
      <c r="AA50" s="124">
        <f t="shared" ref="AA50" si="2223">Z50*$E50</f>
        <v>0</v>
      </c>
      <c r="AB50" s="123"/>
      <c r="AC50" s="124">
        <f t="shared" ref="AC50" si="2224">AB50*$E50</f>
        <v>0</v>
      </c>
      <c r="AD50" s="123"/>
      <c r="AE50" s="124">
        <f t="shared" ref="AE50" si="2225">AD50*$E50</f>
        <v>0</v>
      </c>
      <c r="AF50" s="125">
        <f t="shared" si="13"/>
        <v>0</v>
      </c>
      <c r="AG50" s="126">
        <f t="shared" ref="AG50" si="2226">AF50*$E50</f>
        <v>0</v>
      </c>
      <c r="AH50" s="11"/>
      <c r="AI50" s="124">
        <f t="shared" ref="AI50" si="2227">AH50*$E50</f>
        <v>0</v>
      </c>
      <c r="AJ50" s="15"/>
      <c r="AK50" s="124">
        <f t="shared" ref="AK50" si="2228">AJ50*$E50</f>
        <v>0</v>
      </c>
      <c r="AL50" s="15"/>
      <c r="AM50" s="124">
        <f t="shared" ref="AM50" si="2229">AL50*$E50</f>
        <v>0</v>
      </c>
      <c r="AN50" s="16"/>
      <c r="AO50" s="124">
        <f t="shared" ref="AO50" si="2230">AN50*$E50</f>
        <v>0</v>
      </c>
      <c r="AP50" s="15"/>
      <c r="AQ50" s="124">
        <f t="shared" ref="AQ50" si="2231">AP50*$E50</f>
        <v>0</v>
      </c>
      <c r="AR50" s="15"/>
      <c r="AS50" s="124">
        <f t="shared" ref="AS50" si="2232">AR50*$E50</f>
        <v>0</v>
      </c>
      <c r="AT50" s="17"/>
      <c r="AU50" s="124">
        <f t="shared" ref="AU50" si="2233">AT50*$E50</f>
        <v>0</v>
      </c>
      <c r="AV50" s="15"/>
      <c r="AW50" s="124">
        <f t="shared" ref="AW50" si="2234">AV50*$E50</f>
        <v>0</v>
      </c>
      <c r="AX50" s="15"/>
      <c r="AY50" s="124">
        <f t="shared" ref="AY50" si="2235">AX50*$E50</f>
        <v>0</v>
      </c>
      <c r="AZ50" s="17"/>
      <c r="BA50" s="124">
        <f t="shared" ref="BA50" si="2236">AZ50*$E50</f>
        <v>0</v>
      </c>
      <c r="BB50" s="33"/>
      <c r="BC50" s="124">
        <f t="shared" ref="BC50" si="2237">BB50*$E50</f>
        <v>0</v>
      </c>
      <c r="BD50" s="33"/>
      <c r="BE50" s="124">
        <f t="shared" ref="BE50" si="2238">BD50*$E50</f>
        <v>0</v>
      </c>
      <c r="BF50" s="125">
        <f t="shared" si="27"/>
        <v>0</v>
      </c>
      <c r="BG50" s="126">
        <f t="shared" ref="BG50" si="2239">BF50*$E50</f>
        <v>0</v>
      </c>
      <c r="BH50" s="123"/>
      <c r="BI50" s="124">
        <f t="shared" ref="BI50" si="2240">BH50*$E50</f>
        <v>0</v>
      </c>
      <c r="BJ50" s="123"/>
      <c r="BK50" s="124">
        <f t="shared" ref="BK50" si="2241">BJ50*$E50</f>
        <v>0</v>
      </c>
      <c r="BL50" s="123"/>
      <c r="BM50" s="124">
        <f t="shared" ref="BM50" si="2242">BL50*$E50</f>
        <v>0</v>
      </c>
      <c r="BN50" s="123"/>
      <c r="BO50" s="124">
        <f t="shared" ref="BO50" si="2243">BN50*$E50</f>
        <v>0</v>
      </c>
      <c r="BP50" s="123"/>
      <c r="BQ50" s="124">
        <f t="shared" ref="BQ50" si="2244">BP50*$E50</f>
        <v>0</v>
      </c>
      <c r="BR50" s="123"/>
      <c r="BS50" s="124">
        <f t="shared" ref="BS50" si="2245">BR50*$E50</f>
        <v>0</v>
      </c>
      <c r="BT50" s="123"/>
      <c r="BU50" s="124">
        <f t="shared" ref="BU50" si="2246">BT50*$E50</f>
        <v>0</v>
      </c>
      <c r="BV50" s="123"/>
      <c r="BW50" s="124">
        <f t="shared" ref="BW50" si="2247">BV50*$E50</f>
        <v>0</v>
      </c>
      <c r="BX50" s="123"/>
      <c r="BY50" s="124">
        <f t="shared" ref="BY50" si="2248">BX50*$E50</f>
        <v>0</v>
      </c>
      <c r="BZ50" s="123"/>
      <c r="CA50" s="124">
        <f t="shared" ref="CA50" si="2249">BZ50*$E50</f>
        <v>0</v>
      </c>
      <c r="CB50" s="123"/>
      <c r="CC50" s="124">
        <f t="shared" ref="CC50" si="2250">CB50*$E50</f>
        <v>0</v>
      </c>
      <c r="CD50" s="123"/>
      <c r="CE50" s="124">
        <f t="shared" ref="CE50" si="2251">CD50*$E50</f>
        <v>0</v>
      </c>
      <c r="CF50" s="125">
        <f t="shared" si="41"/>
        <v>0</v>
      </c>
      <c r="CG50" s="126">
        <f t="shared" ref="CG50" si="2252">CF50*$E50</f>
        <v>0</v>
      </c>
      <c r="CH50" s="123"/>
      <c r="CI50" s="124">
        <f t="shared" ref="CI50" si="2253">CH50*$E50</f>
        <v>0</v>
      </c>
      <c r="CJ50" s="123"/>
      <c r="CK50" s="124">
        <f t="shared" ref="CK50" si="2254">CJ50*$E50</f>
        <v>0</v>
      </c>
      <c r="CL50" s="123"/>
      <c r="CM50" s="124">
        <f t="shared" ref="CM50" si="2255">CL50*$E50</f>
        <v>0</v>
      </c>
      <c r="CN50" s="123"/>
      <c r="CO50" s="124">
        <f t="shared" ref="CO50" si="2256">CN50*$E50</f>
        <v>0</v>
      </c>
      <c r="CP50" s="123"/>
      <c r="CQ50" s="124">
        <f t="shared" ref="CQ50" si="2257">CP50*$E50</f>
        <v>0</v>
      </c>
      <c r="CR50" s="123"/>
      <c r="CS50" s="124">
        <f t="shared" ref="CS50" si="2258">CR50*$E50</f>
        <v>0</v>
      </c>
      <c r="CT50" s="123"/>
      <c r="CU50" s="124">
        <f t="shared" ref="CU50" si="2259">CT50*$E50</f>
        <v>0</v>
      </c>
      <c r="CV50" s="123"/>
      <c r="CW50" s="124">
        <f t="shared" ref="CW50" si="2260">CV50*$E50</f>
        <v>0</v>
      </c>
      <c r="CX50" s="123"/>
      <c r="CY50" s="124">
        <f t="shared" ref="CY50" si="2261">CX50*$E50</f>
        <v>0</v>
      </c>
      <c r="CZ50" s="123"/>
      <c r="DA50" s="124">
        <f t="shared" ref="DA50" si="2262">CZ50*$E50</f>
        <v>0</v>
      </c>
      <c r="DB50" s="123"/>
      <c r="DC50" s="124">
        <f t="shared" si="53"/>
        <v>0</v>
      </c>
      <c r="DD50" s="123"/>
      <c r="DE50" s="124">
        <f t="shared" si="53"/>
        <v>0</v>
      </c>
      <c r="DF50" s="27">
        <f t="shared" si="0"/>
        <v>0</v>
      </c>
      <c r="DG50" s="124">
        <f t="shared" si="54"/>
        <v>0</v>
      </c>
    </row>
    <row r="51" spans="1:111" ht="18" customHeight="1" x14ac:dyDescent="0.5">
      <c r="A51" s="117">
        <v>43</v>
      </c>
      <c r="B51" s="122" t="s">
        <v>166</v>
      </c>
      <c r="C51" s="122" t="s">
        <v>231</v>
      </c>
      <c r="D51" s="117">
        <f>RANK(DF51,$DF$4:$DF$141)</f>
        <v>21</v>
      </c>
      <c r="E51" s="117">
        <v>0.64</v>
      </c>
      <c r="F51" s="117" t="s">
        <v>236</v>
      </c>
      <c r="G51" s="117"/>
      <c r="H51" s="123"/>
      <c r="I51" s="124">
        <f t="shared" ref="I51" si="2263">H51*$E51</f>
        <v>0</v>
      </c>
      <c r="J51" s="123"/>
      <c r="K51" s="124">
        <f t="shared" ref="K51" si="2264">J51*$E51</f>
        <v>0</v>
      </c>
      <c r="L51" s="123"/>
      <c r="M51" s="124">
        <f t="shared" ref="M51" si="2265">L51*$E51</f>
        <v>0</v>
      </c>
      <c r="N51" s="123"/>
      <c r="O51" s="124">
        <f t="shared" ref="O51" si="2266">N51*$E51</f>
        <v>0</v>
      </c>
      <c r="P51" s="123"/>
      <c r="Q51" s="124">
        <f t="shared" ref="Q51" si="2267">P51*$E51</f>
        <v>0</v>
      </c>
      <c r="R51" s="123"/>
      <c r="S51" s="124">
        <f t="shared" ref="S51" si="2268">R51*$E51</f>
        <v>0</v>
      </c>
      <c r="T51" s="123"/>
      <c r="U51" s="124">
        <f t="shared" ref="U51" si="2269">T51*$E51</f>
        <v>0</v>
      </c>
      <c r="V51" s="123"/>
      <c r="W51" s="124">
        <f t="shared" ref="W51" si="2270">V51*$E51</f>
        <v>0</v>
      </c>
      <c r="X51" s="123"/>
      <c r="Y51" s="124">
        <f t="shared" ref="Y51" si="2271">X51*$E51</f>
        <v>0</v>
      </c>
      <c r="Z51" s="123"/>
      <c r="AA51" s="124">
        <f t="shared" ref="AA51" si="2272">Z51*$E51</f>
        <v>0</v>
      </c>
      <c r="AB51" s="123"/>
      <c r="AC51" s="124">
        <f t="shared" ref="AC51" si="2273">AB51*$E51</f>
        <v>0</v>
      </c>
      <c r="AD51" s="123"/>
      <c r="AE51" s="124">
        <f t="shared" ref="AE51" si="2274">AD51*$E51</f>
        <v>0</v>
      </c>
      <c r="AF51" s="125">
        <f t="shared" si="13"/>
        <v>0</v>
      </c>
      <c r="AG51" s="126">
        <f t="shared" ref="AG51" si="2275">AF51*$E51</f>
        <v>0</v>
      </c>
      <c r="AH51" s="11"/>
      <c r="AI51" s="124">
        <f t="shared" ref="AI51" si="2276">AH51*$E51</f>
        <v>0</v>
      </c>
      <c r="AJ51" s="15"/>
      <c r="AK51" s="124">
        <f t="shared" ref="AK51" si="2277">AJ51*$E51</f>
        <v>0</v>
      </c>
      <c r="AL51" s="15"/>
      <c r="AM51" s="124">
        <f t="shared" ref="AM51" si="2278">AL51*$E51</f>
        <v>0</v>
      </c>
      <c r="AN51" s="16"/>
      <c r="AO51" s="124">
        <f t="shared" ref="AO51" si="2279">AN51*$E51</f>
        <v>0</v>
      </c>
      <c r="AP51" s="15"/>
      <c r="AQ51" s="124">
        <f t="shared" ref="AQ51" si="2280">AP51*$E51</f>
        <v>0</v>
      </c>
      <c r="AR51" s="15"/>
      <c r="AS51" s="124">
        <f t="shared" ref="AS51" si="2281">AR51*$E51</f>
        <v>0</v>
      </c>
      <c r="AT51" s="17"/>
      <c r="AU51" s="124">
        <f t="shared" ref="AU51" si="2282">AT51*$E51</f>
        <v>0</v>
      </c>
      <c r="AV51" s="15"/>
      <c r="AW51" s="124">
        <f t="shared" ref="AW51" si="2283">AV51*$E51</f>
        <v>0</v>
      </c>
      <c r="AX51" s="15"/>
      <c r="AY51" s="124">
        <f t="shared" ref="AY51" si="2284">AX51*$E51</f>
        <v>0</v>
      </c>
      <c r="AZ51" s="17"/>
      <c r="BA51" s="124">
        <f t="shared" ref="BA51" si="2285">AZ51*$E51</f>
        <v>0</v>
      </c>
      <c r="BB51" s="33"/>
      <c r="BC51" s="124">
        <f t="shared" ref="BC51" si="2286">BB51*$E51</f>
        <v>0</v>
      </c>
      <c r="BD51" s="33"/>
      <c r="BE51" s="124">
        <f t="shared" ref="BE51" si="2287">BD51*$E51</f>
        <v>0</v>
      </c>
      <c r="BF51" s="125">
        <f t="shared" si="27"/>
        <v>0</v>
      </c>
      <c r="BG51" s="126">
        <f t="shared" ref="BG51" si="2288">BF51*$E51</f>
        <v>0</v>
      </c>
      <c r="BH51" s="123"/>
      <c r="BI51" s="124">
        <f t="shared" ref="BI51" si="2289">BH51*$E51</f>
        <v>0</v>
      </c>
      <c r="BJ51" s="123"/>
      <c r="BK51" s="124">
        <f t="shared" ref="BK51" si="2290">BJ51*$E51</f>
        <v>0</v>
      </c>
      <c r="BL51" s="123"/>
      <c r="BM51" s="124">
        <f t="shared" ref="BM51" si="2291">BL51*$E51</f>
        <v>0</v>
      </c>
      <c r="BN51" s="123"/>
      <c r="BO51" s="124">
        <f t="shared" ref="BO51" si="2292">BN51*$E51</f>
        <v>0</v>
      </c>
      <c r="BP51" s="123"/>
      <c r="BQ51" s="124">
        <f t="shared" ref="BQ51" si="2293">BP51*$E51</f>
        <v>0</v>
      </c>
      <c r="BR51" s="123"/>
      <c r="BS51" s="124">
        <f t="shared" ref="BS51" si="2294">BR51*$E51</f>
        <v>0</v>
      </c>
      <c r="BT51" s="123"/>
      <c r="BU51" s="124">
        <f t="shared" ref="BU51" si="2295">BT51*$E51</f>
        <v>0</v>
      </c>
      <c r="BV51" s="123"/>
      <c r="BW51" s="124">
        <f t="shared" ref="BW51" si="2296">BV51*$E51</f>
        <v>0</v>
      </c>
      <c r="BX51" s="123"/>
      <c r="BY51" s="124">
        <f t="shared" ref="BY51" si="2297">BX51*$E51</f>
        <v>0</v>
      </c>
      <c r="BZ51" s="123"/>
      <c r="CA51" s="124">
        <f t="shared" ref="CA51" si="2298">BZ51*$E51</f>
        <v>0</v>
      </c>
      <c r="CB51" s="123"/>
      <c r="CC51" s="124">
        <f t="shared" ref="CC51" si="2299">CB51*$E51</f>
        <v>0</v>
      </c>
      <c r="CD51" s="123"/>
      <c r="CE51" s="124">
        <f t="shared" ref="CE51" si="2300">CD51*$E51</f>
        <v>0</v>
      </c>
      <c r="CF51" s="125">
        <f t="shared" si="41"/>
        <v>0</v>
      </c>
      <c r="CG51" s="126">
        <f t="shared" ref="CG51" si="2301">CF51*$E51</f>
        <v>0</v>
      </c>
      <c r="CH51" s="123"/>
      <c r="CI51" s="124">
        <f t="shared" ref="CI51" si="2302">CH51*$E51</f>
        <v>0</v>
      </c>
      <c r="CJ51" s="123"/>
      <c r="CK51" s="124">
        <f t="shared" ref="CK51" si="2303">CJ51*$E51</f>
        <v>0</v>
      </c>
      <c r="CL51" s="123"/>
      <c r="CM51" s="124">
        <f t="shared" ref="CM51" si="2304">CL51*$E51</f>
        <v>0</v>
      </c>
      <c r="CN51" s="123"/>
      <c r="CO51" s="124">
        <f t="shared" ref="CO51" si="2305">CN51*$E51</f>
        <v>0</v>
      </c>
      <c r="CP51" s="123"/>
      <c r="CQ51" s="124">
        <f t="shared" ref="CQ51" si="2306">CP51*$E51</f>
        <v>0</v>
      </c>
      <c r="CR51" s="123"/>
      <c r="CS51" s="124">
        <f t="shared" ref="CS51" si="2307">CR51*$E51</f>
        <v>0</v>
      </c>
      <c r="CT51" s="123"/>
      <c r="CU51" s="124">
        <f t="shared" ref="CU51" si="2308">CT51*$E51</f>
        <v>0</v>
      </c>
      <c r="CV51" s="123"/>
      <c r="CW51" s="124">
        <f t="shared" ref="CW51" si="2309">CV51*$E51</f>
        <v>0</v>
      </c>
      <c r="CX51" s="123"/>
      <c r="CY51" s="124">
        <f t="shared" ref="CY51" si="2310">CX51*$E51</f>
        <v>0</v>
      </c>
      <c r="CZ51" s="123"/>
      <c r="DA51" s="124">
        <f t="shared" ref="DA51" si="2311">CZ51*$E51</f>
        <v>0</v>
      </c>
      <c r="DB51" s="123"/>
      <c r="DC51" s="124">
        <f t="shared" si="53"/>
        <v>0</v>
      </c>
      <c r="DD51" s="123"/>
      <c r="DE51" s="124">
        <f t="shared" si="53"/>
        <v>0</v>
      </c>
      <c r="DF51" s="27">
        <f t="shared" si="0"/>
        <v>0</v>
      </c>
      <c r="DG51" s="124">
        <f t="shared" si="54"/>
        <v>0</v>
      </c>
    </row>
    <row r="52" spans="1:111" ht="18" customHeight="1" x14ac:dyDescent="0.5">
      <c r="A52" s="117">
        <v>44</v>
      </c>
      <c r="B52" s="122" t="s">
        <v>166</v>
      </c>
      <c r="C52" s="122" t="s">
        <v>231</v>
      </c>
      <c r="D52" s="117">
        <f>RANK(DF52,$DF$4:$DF$141)</f>
        <v>21</v>
      </c>
      <c r="E52" s="117">
        <v>0.64</v>
      </c>
      <c r="F52" s="117" t="s">
        <v>235</v>
      </c>
      <c r="G52" s="117"/>
      <c r="H52" s="123"/>
      <c r="I52" s="124">
        <f t="shared" ref="I52" si="2312">H52*$E52</f>
        <v>0</v>
      </c>
      <c r="J52" s="123"/>
      <c r="K52" s="124">
        <f t="shared" ref="K52" si="2313">J52*$E52</f>
        <v>0</v>
      </c>
      <c r="L52" s="123"/>
      <c r="M52" s="124">
        <f t="shared" ref="M52" si="2314">L52*$E52</f>
        <v>0</v>
      </c>
      <c r="N52" s="123"/>
      <c r="O52" s="124">
        <f t="shared" ref="O52" si="2315">N52*$E52</f>
        <v>0</v>
      </c>
      <c r="P52" s="123"/>
      <c r="Q52" s="124">
        <f t="shared" ref="Q52" si="2316">P52*$E52</f>
        <v>0</v>
      </c>
      <c r="R52" s="123"/>
      <c r="S52" s="124">
        <f t="shared" ref="S52" si="2317">R52*$E52</f>
        <v>0</v>
      </c>
      <c r="T52" s="123"/>
      <c r="U52" s="124">
        <f t="shared" ref="U52" si="2318">T52*$E52</f>
        <v>0</v>
      </c>
      <c r="V52" s="123"/>
      <c r="W52" s="124">
        <f t="shared" ref="W52" si="2319">V52*$E52</f>
        <v>0</v>
      </c>
      <c r="X52" s="123"/>
      <c r="Y52" s="124">
        <f t="shared" ref="Y52" si="2320">X52*$E52</f>
        <v>0</v>
      </c>
      <c r="Z52" s="123"/>
      <c r="AA52" s="124">
        <f t="shared" ref="AA52" si="2321">Z52*$E52</f>
        <v>0</v>
      </c>
      <c r="AB52" s="123"/>
      <c r="AC52" s="124">
        <f t="shared" ref="AC52" si="2322">AB52*$E52</f>
        <v>0</v>
      </c>
      <c r="AD52" s="123"/>
      <c r="AE52" s="124">
        <f t="shared" ref="AE52" si="2323">AD52*$E52</f>
        <v>0</v>
      </c>
      <c r="AF52" s="125">
        <f t="shared" si="13"/>
        <v>0</v>
      </c>
      <c r="AG52" s="126">
        <f t="shared" ref="AG52" si="2324">AF52*$E52</f>
        <v>0</v>
      </c>
      <c r="AH52" s="11"/>
      <c r="AI52" s="124">
        <f t="shared" ref="AI52" si="2325">AH52*$E52</f>
        <v>0</v>
      </c>
      <c r="AJ52" s="15"/>
      <c r="AK52" s="124">
        <f t="shared" ref="AK52" si="2326">AJ52*$E52</f>
        <v>0</v>
      </c>
      <c r="AL52" s="15"/>
      <c r="AM52" s="124">
        <f t="shared" ref="AM52" si="2327">AL52*$E52</f>
        <v>0</v>
      </c>
      <c r="AN52" s="16"/>
      <c r="AO52" s="124">
        <f t="shared" ref="AO52" si="2328">AN52*$E52</f>
        <v>0</v>
      </c>
      <c r="AP52" s="15"/>
      <c r="AQ52" s="124">
        <f t="shared" ref="AQ52" si="2329">AP52*$E52</f>
        <v>0</v>
      </c>
      <c r="AR52" s="15"/>
      <c r="AS52" s="124">
        <f t="shared" ref="AS52" si="2330">AR52*$E52</f>
        <v>0</v>
      </c>
      <c r="AT52" s="17"/>
      <c r="AU52" s="124">
        <f t="shared" ref="AU52" si="2331">AT52*$E52</f>
        <v>0</v>
      </c>
      <c r="AV52" s="15"/>
      <c r="AW52" s="124">
        <f t="shared" ref="AW52" si="2332">AV52*$E52</f>
        <v>0</v>
      </c>
      <c r="AX52" s="15"/>
      <c r="AY52" s="124">
        <f t="shared" ref="AY52" si="2333">AX52*$E52</f>
        <v>0</v>
      </c>
      <c r="AZ52" s="17"/>
      <c r="BA52" s="124">
        <f t="shared" ref="BA52" si="2334">AZ52*$E52</f>
        <v>0</v>
      </c>
      <c r="BB52" s="33"/>
      <c r="BC52" s="124">
        <f t="shared" ref="BC52" si="2335">BB52*$E52</f>
        <v>0</v>
      </c>
      <c r="BD52" s="33"/>
      <c r="BE52" s="124">
        <f t="shared" ref="BE52" si="2336">BD52*$E52</f>
        <v>0</v>
      </c>
      <c r="BF52" s="125">
        <f t="shared" si="27"/>
        <v>0</v>
      </c>
      <c r="BG52" s="126">
        <f t="shared" ref="BG52" si="2337">BF52*$E52</f>
        <v>0</v>
      </c>
      <c r="BH52" s="123"/>
      <c r="BI52" s="124">
        <f t="shared" ref="BI52" si="2338">BH52*$E52</f>
        <v>0</v>
      </c>
      <c r="BJ52" s="123"/>
      <c r="BK52" s="124">
        <f t="shared" ref="BK52" si="2339">BJ52*$E52</f>
        <v>0</v>
      </c>
      <c r="BL52" s="123"/>
      <c r="BM52" s="124">
        <f t="shared" ref="BM52" si="2340">BL52*$E52</f>
        <v>0</v>
      </c>
      <c r="BN52" s="123"/>
      <c r="BO52" s="124">
        <f t="shared" ref="BO52" si="2341">BN52*$E52</f>
        <v>0</v>
      </c>
      <c r="BP52" s="123"/>
      <c r="BQ52" s="124">
        <f t="shared" ref="BQ52" si="2342">BP52*$E52</f>
        <v>0</v>
      </c>
      <c r="BR52" s="123"/>
      <c r="BS52" s="124">
        <f t="shared" ref="BS52" si="2343">BR52*$E52</f>
        <v>0</v>
      </c>
      <c r="BT52" s="123"/>
      <c r="BU52" s="124">
        <f t="shared" ref="BU52" si="2344">BT52*$E52</f>
        <v>0</v>
      </c>
      <c r="BV52" s="123"/>
      <c r="BW52" s="124">
        <f t="shared" ref="BW52" si="2345">BV52*$E52</f>
        <v>0</v>
      </c>
      <c r="BX52" s="123"/>
      <c r="BY52" s="124">
        <f t="shared" ref="BY52" si="2346">BX52*$E52</f>
        <v>0</v>
      </c>
      <c r="BZ52" s="123"/>
      <c r="CA52" s="124">
        <f t="shared" ref="CA52" si="2347">BZ52*$E52</f>
        <v>0</v>
      </c>
      <c r="CB52" s="123"/>
      <c r="CC52" s="124">
        <f t="shared" ref="CC52" si="2348">CB52*$E52</f>
        <v>0</v>
      </c>
      <c r="CD52" s="123"/>
      <c r="CE52" s="124">
        <f t="shared" ref="CE52" si="2349">CD52*$E52</f>
        <v>0</v>
      </c>
      <c r="CF52" s="125">
        <f t="shared" si="41"/>
        <v>0</v>
      </c>
      <c r="CG52" s="126">
        <f t="shared" ref="CG52" si="2350">CF52*$E52</f>
        <v>0</v>
      </c>
      <c r="CH52" s="123"/>
      <c r="CI52" s="124">
        <f t="shared" ref="CI52" si="2351">CH52*$E52</f>
        <v>0</v>
      </c>
      <c r="CJ52" s="123"/>
      <c r="CK52" s="124">
        <f t="shared" ref="CK52" si="2352">CJ52*$E52</f>
        <v>0</v>
      </c>
      <c r="CL52" s="123"/>
      <c r="CM52" s="124">
        <f t="shared" ref="CM52" si="2353">CL52*$E52</f>
        <v>0</v>
      </c>
      <c r="CN52" s="123"/>
      <c r="CO52" s="124">
        <f t="shared" ref="CO52" si="2354">CN52*$E52</f>
        <v>0</v>
      </c>
      <c r="CP52" s="123"/>
      <c r="CQ52" s="124">
        <f t="shared" ref="CQ52" si="2355">CP52*$E52</f>
        <v>0</v>
      </c>
      <c r="CR52" s="123"/>
      <c r="CS52" s="124">
        <f t="shared" ref="CS52" si="2356">CR52*$E52</f>
        <v>0</v>
      </c>
      <c r="CT52" s="123"/>
      <c r="CU52" s="124">
        <f t="shared" ref="CU52" si="2357">CT52*$E52</f>
        <v>0</v>
      </c>
      <c r="CV52" s="123"/>
      <c r="CW52" s="124">
        <f t="shared" ref="CW52" si="2358">CV52*$E52</f>
        <v>0</v>
      </c>
      <c r="CX52" s="123"/>
      <c r="CY52" s="124">
        <f t="shared" ref="CY52" si="2359">CX52*$E52</f>
        <v>0</v>
      </c>
      <c r="CZ52" s="123"/>
      <c r="DA52" s="124">
        <f t="shared" ref="DA52" si="2360">CZ52*$E52</f>
        <v>0</v>
      </c>
      <c r="DB52" s="123"/>
      <c r="DC52" s="124">
        <f t="shared" si="53"/>
        <v>0</v>
      </c>
      <c r="DD52" s="123"/>
      <c r="DE52" s="124">
        <f t="shared" si="53"/>
        <v>0</v>
      </c>
      <c r="DF52" s="27">
        <f t="shared" si="0"/>
        <v>0</v>
      </c>
      <c r="DG52" s="124">
        <f t="shared" si="54"/>
        <v>0</v>
      </c>
    </row>
    <row r="53" spans="1:111" ht="18" customHeight="1" x14ac:dyDescent="0.5">
      <c r="A53" s="117"/>
      <c r="B53" s="122"/>
      <c r="C53" s="122"/>
      <c r="D53" s="117"/>
      <c r="E53" s="117"/>
      <c r="F53" s="117"/>
      <c r="G53" s="117"/>
      <c r="H53" s="123"/>
      <c r="I53" s="124">
        <f t="shared" ref="I53" si="2361">H53*$E53</f>
        <v>0</v>
      </c>
      <c r="J53" s="123"/>
      <c r="K53" s="124">
        <f t="shared" ref="K53" si="2362">J53*$E53</f>
        <v>0</v>
      </c>
      <c r="L53" s="123"/>
      <c r="M53" s="124">
        <f t="shared" ref="M53" si="2363">L53*$E53</f>
        <v>0</v>
      </c>
      <c r="N53" s="123"/>
      <c r="O53" s="124">
        <f t="shared" ref="O53" si="2364">N53*$E53</f>
        <v>0</v>
      </c>
      <c r="P53" s="123"/>
      <c r="Q53" s="124">
        <f t="shared" ref="Q53" si="2365">P53*$E53</f>
        <v>0</v>
      </c>
      <c r="R53" s="123"/>
      <c r="S53" s="124">
        <f t="shared" ref="S53" si="2366">R53*$E53</f>
        <v>0</v>
      </c>
      <c r="T53" s="123"/>
      <c r="U53" s="124">
        <f t="shared" ref="U53" si="2367">T53*$E53</f>
        <v>0</v>
      </c>
      <c r="V53" s="123"/>
      <c r="W53" s="124">
        <f t="shared" ref="W53" si="2368">V53*$E53</f>
        <v>0</v>
      </c>
      <c r="X53" s="123"/>
      <c r="Y53" s="124">
        <f t="shared" ref="Y53" si="2369">X53*$E53</f>
        <v>0</v>
      </c>
      <c r="Z53" s="123"/>
      <c r="AA53" s="124">
        <f t="shared" ref="AA53" si="2370">Z53*$E53</f>
        <v>0</v>
      </c>
      <c r="AB53" s="123"/>
      <c r="AC53" s="124">
        <f t="shared" ref="AC53" si="2371">AB53*$E53</f>
        <v>0</v>
      </c>
      <c r="AD53" s="123"/>
      <c r="AE53" s="124">
        <f t="shared" ref="AE53" si="2372">AD53*$E53</f>
        <v>0</v>
      </c>
      <c r="AF53" s="125">
        <f t="shared" si="13"/>
        <v>0</v>
      </c>
      <c r="AG53" s="126">
        <f t="shared" ref="AG53" si="2373">AF53*$E53</f>
        <v>0</v>
      </c>
      <c r="AH53" s="11"/>
      <c r="AI53" s="124">
        <f t="shared" ref="AI53" si="2374">AH53*$E53</f>
        <v>0</v>
      </c>
      <c r="AJ53" s="15"/>
      <c r="AK53" s="124">
        <f t="shared" ref="AK53" si="2375">AJ53*$E53</f>
        <v>0</v>
      </c>
      <c r="AL53" s="15"/>
      <c r="AM53" s="124">
        <f t="shared" ref="AM53" si="2376">AL53*$E53</f>
        <v>0</v>
      </c>
      <c r="AN53" s="16"/>
      <c r="AO53" s="124">
        <f t="shared" ref="AO53" si="2377">AN53*$E53</f>
        <v>0</v>
      </c>
      <c r="AP53" s="15"/>
      <c r="AQ53" s="124">
        <f t="shared" ref="AQ53" si="2378">AP53*$E53</f>
        <v>0</v>
      </c>
      <c r="AR53" s="15"/>
      <c r="AS53" s="124">
        <f t="shared" ref="AS53" si="2379">AR53*$E53</f>
        <v>0</v>
      </c>
      <c r="AT53" s="17"/>
      <c r="AU53" s="124">
        <f t="shared" ref="AU53" si="2380">AT53*$E53</f>
        <v>0</v>
      </c>
      <c r="AV53" s="15"/>
      <c r="AW53" s="124">
        <f t="shared" ref="AW53" si="2381">AV53*$E53</f>
        <v>0</v>
      </c>
      <c r="AX53" s="15"/>
      <c r="AY53" s="124">
        <f t="shared" ref="AY53" si="2382">AX53*$E53</f>
        <v>0</v>
      </c>
      <c r="AZ53" s="17"/>
      <c r="BA53" s="124">
        <f t="shared" ref="BA53" si="2383">AZ53*$E53</f>
        <v>0</v>
      </c>
      <c r="BB53" s="33"/>
      <c r="BC53" s="124">
        <f t="shared" ref="BC53" si="2384">BB53*$E53</f>
        <v>0</v>
      </c>
      <c r="BD53" s="33"/>
      <c r="BE53" s="124">
        <f t="shared" ref="BE53" si="2385">BD53*$E53</f>
        <v>0</v>
      </c>
      <c r="BF53" s="125">
        <f t="shared" si="27"/>
        <v>0</v>
      </c>
      <c r="BG53" s="126">
        <f t="shared" ref="BG53" si="2386">BF53*$E53</f>
        <v>0</v>
      </c>
      <c r="BH53" s="123"/>
      <c r="BI53" s="124">
        <f t="shared" ref="BI53" si="2387">BH53*$E53</f>
        <v>0</v>
      </c>
      <c r="BJ53" s="123"/>
      <c r="BK53" s="124">
        <f t="shared" ref="BK53" si="2388">BJ53*$E53</f>
        <v>0</v>
      </c>
      <c r="BL53" s="123"/>
      <c r="BM53" s="124">
        <f t="shared" ref="BM53" si="2389">BL53*$E53</f>
        <v>0</v>
      </c>
      <c r="BN53" s="123"/>
      <c r="BO53" s="124">
        <f t="shared" ref="BO53" si="2390">BN53*$E53</f>
        <v>0</v>
      </c>
      <c r="BP53" s="123"/>
      <c r="BQ53" s="124">
        <f t="shared" ref="BQ53" si="2391">BP53*$E53</f>
        <v>0</v>
      </c>
      <c r="BR53" s="123"/>
      <c r="BS53" s="124">
        <f t="shared" ref="BS53" si="2392">BR53*$E53</f>
        <v>0</v>
      </c>
      <c r="BT53" s="123"/>
      <c r="BU53" s="124">
        <f t="shared" ref="BU53" si="2393">BT53*$E53</f>
        <v>0</v>
      </c>
      <c r="BV53" s="123"/>
      <c r="BW53" s="124">
        <f t="shared" ref="BW53" si="2394">BV53*$E53</f>
        <v>0</v>
      </c>
      <c r="BX53" s="123"/>
      <c r="BY53" s="124">
        <f t="shared" ref="BY53" si="2395">BX53*$E53</f>
        <v>0</v>
      </c>
      <c r="BZ53" s="123"/>
      <c r="CA53" s="124">
        <f t="shared" ref="CA53" si="2396">BZ53*$E53</f>
        <v>0</v>
      </c>
      <c r="CB53" s="123"/>
      <c r="CC53" s="124">
        <f t="shared" ref="CC53" si="2397">CB53*$E53</f>
        <v>0</v>
      </c>
      <c r="CD53" s="123"/>
      <c r="CE53" s="124">
        <f t="shared" ref="CE53" si="2398">CD53*$E53</f>
        <v>0</v>
      </c>
      <c r="CF53" s="125">
        <f t="shared" si="41"/>
        <v>0</v>
      </c>
      <c r="CG53" s="126">
        <f t="shared" ref="CG53" si="2399">CF53*$E53</f>
        <v>0</v>
      </c>
      <c r="CH53" s="123"/>
      <c r="CI53" s="124">
        <f t="shared" ref="CI53" si="2400">CH53*$E53</f>
        <v>0</v>
      </c>
      <c r="CJ53" s="123"/>
      <c r="CK53" s="124">
        <f t="shared" ref="CK53" si="2401">CJ53*$E53</f>
        <v>0</v>
      </c>
      <c r="CL53" s="123"/>
      <c r="CM53" s="124">
        <f t="shared" ref="CM53" si="2402">CL53*$E53</f>
        <v>0</v>
      </c>
      <c r="CN53" s="123"/>
      <c r="CO53" s="124">
        <f t="shared" ref="CO53" si="2403">CN53*$E53</f>
        <v>0</v>
      </c>
      <c r="CP53" s="123"/>
      <c r="CQ53" s="124">
        <f t="shared" ref="CQ53" si="2404">CP53*$E53</f>
        <v>0</v>
      </c>
      <c r="CR53" s="123"/>
      <c r="CS53" s="124">
        <f t="shared" ref="CS53" si="2405">CR53*$E53</f>
        <v>0</v>
      </c>
      <c r="CT53" s="123"/>
      <c r="CU53" s="124">
        <f t="shared" ref="CU53" si="2406">CT53*$E53</f>
        <v>0</v>
      </c>
      <c r="CV53" s="123"/>
      <c r="CW53" s="124">
        <f t="shared" ref="CW53" si="2407">CV53*$E53</f>
        <v>0</v>
      </c>
      <c r="CX53" s="123"/>
      <c r="CY53" s="124">
        <f t="shared" ref="CY53" si="2408">CX53*$E53</f>
        <v>0</v>
      </c>
      <c r="CZ53" s="123"/>
      <c r="DA53" s="124">
        <f t="shared" ref="DA53" si="2409">CZ53*$E53</f>
        <v>0</v>
      </c>
      <c r="DB53" s="123"/>
      <c r="DC53" s="124">
        <f t="shared" si="53"/>
        <v>0</v>
      </c>
      <c r="DD53" s="123"/>
      <c r="DE53" s="124">
        <f t="shared" si="53"/>
        <v>0</v>
      </c>
      <c r="DF53" s="27">
        <f t="shared" si="0"/>
        <v>0</v>
      </c>
      <c r="DG53" s="124">
        <f t="shared" si="54"/>
        <v>0</v>
      </c>
    </row>
    <row r="54" spans="1:111" ht="18" customHeight="1" x14ac:dyDescent="0.5">
      <c r="A54" s="117"/>
      <c r="B54" s="122"/>
      <c r="C54" s="122"/>
      <c r="D54" s="117"/>
      <c r="E54" s="117"/>
      <c r="F54" s="117"/>
      <c r="G54" s="117"/>
      <c r="H54" s="123"/>
      <c r="I54" s="124">
        <f t="shared" ref="I54" si="2410">H54*$E54</f>
        <v>0</v>
      </c>
      <c r="J54" s="123"/>
      <c r="K54" s="124">
        <f t="shared" ref="K54" si="2411">J54*$E54</f>
        <v>0</v>
      </c>
      <c r="L54" s="123"/>
      <c r="M54" s="124">
        <f t="shared" ref="M54" si="2412">L54*$E54</f>
        <v>0</v>
      </c>
      <c r="N54" s="123"/>
      <c r="O54" s="124">
        <f t="shared" ref="O54" si="2413">N54*$E54</f>
        <v>0</v>
      </c>
      <c r="P54" s="123"/>
      <c r="Q54" s="124">
        <f t="shared" ref="Q54" si="2414">P54*$E54</f>
        <v>0</v>
      </c>
      <c r="R54" s="123"/>
      <c r="S54" s="124">
        <f t="shared" ref="S54" si="2415">R54*$E54</f>
        <v>0</v>
      </c>
      <c r="T54" s="123"/>
      <c r="U54" s="124">
        <f t="shared" ref="U54" si="2416">T54*$E54</f>
        <v>0</v>
      </c>
      <c r="V54" s="123"/>
      <c r="W54" s="124">
        <f t="shared" ref="W54" si="2417">V54*$E54</f>
        <v>0</v>
      </c>
      <c r="X54" s="123"/>
      <c r="Y54" s="124">
        <f t="shared" ref="Y54" si="2418">X54*$E54</f>
        <v>0</v>
      </c>
      <c r="Z54" s="123"/>
      <c r="AA54" s="124">
        <f t="shared" ref="AA54" si="2419">Z54*$E54</f>
        <v>0</v>
      </c>
      <c r="AB54" s="123"/>
      <c r="AC54" s="124">
        <f t="shared" ref="AC54" si="2420">AB54*$E54</f>
        <v>0</v>
      </c>
      <c r="AD54" s="123"/>
      <c r="AE54" s="124">
        <f t="shared" ref="AE54" si="2421">AD54*$E54</f>
        <v>0</v>
      </c>
      <c r="AF54" s="125">
        <f t="shared" si="13"/>
        <v>0</v>
      </c>
      <c r="AG54" s="126">
        <f t="shared" ref="AG54" si="2422">AF54*$E54</f>
        <v>0</v>
      </c>
      <c r="AH54" s="11"/>
      <c r="AI54" s="124">
        <f t="shared" ref="AI54" si="2423">AH54*$E54</f>
        <v>0</v>
      </c>
      <c r="AJ54" s="15"/>
      <c r="AK54" s="124">
        <f t="shared" ref="AK54" si="2424">AJ54*$E54</f>
        <v>0</v>
      </c>
      <c r="AL54" s="15"/>
      <c r="AM54" s="124">
        <f t="shared" ref="AM54" si="2425">AL54*$E54</f>
        <v>0</v>
      </c>
      <c r="AN54" s="16"/>
      <c r="AO54" s="124">
        <f t="shared" ref="AO54" si="2426">AN54*$E54</f>
        <v>0</v>
      </c>
      <c r="AP54" s="15"/>
      <c r="AQ54" s="124">
        <f t="shared" ref="AQ54" si="2427">AP54*$E54</f>
        <v>0</v>
      </c>
      <c r="AR54" s="15"/>
      <c r="AS54" s="124">
        <f t="shared" ref="AS54" si="2428">AR54*$E54</f>
        <v>0</v>
      </c>
      <c r="AT54" s="17"/>
      <c r="AU54" s="124">
        <f t="shared" ref="AU54" si="2429">AT54*$E54</f>
        <v>0</v>
      </c>
      <c r="AV54" s="15"/>
      <c r="AW54" s="124">
        <f t="shared" ref="AW54" si="2430">AV54*$E54</f>
        <v>0</v>
      </c>
      <c r="AX54" s="15"/>
      <c r="AY54" s="124">
        <f t="shared" ref="AY54" si="2431">AX54*$E54</f>
        <v>0</v>
      </c>
      <c r="AZ54" s="17"/>
      <c r="BA54" s="124">
        <f t="shared" ref="BA54" si="2432">AZ54*$E54</f>
        <v>0</v>
      </c>
      <c r="BB54" s="33"/>
      <c r="BC54" s="124">
        <f t="shared" ref="BC54" si="2433">BB54*$E54</f>
        <v>0</v>
      </c>
      <c r="BD54" s="33"/>
      <c r="BE54" s="124">
        <f t="shared" ref="BE54" si="2434">BD54*$E54</f>
        <v>0</v>
      </c>
      <c r="BF54" s="125">
        <f t="shared" si="27"/>
        <v>0</v>
      </c>
      <c r="BG54" s="126">
        <f t="shared" ref="BG54" si="2435">BF54*$E54</f>
        <v>0</v>
      </c>
      <c r="BH54" s="123"/>
      <c r="BI54" s="124">
        <f t="shared" ref="BI54" si="2436">BH54*$E54</f>
        <v>0</v>
      </c>
      <c r="BJ54" s="123"/>
      <c r="BK54" s="124">
        <f t="shared" ref="BK54" si="2437">BJ54*$E54</f>
        <v>0</v>
      </c>
      <c r="BL54" s="123"/>
      <c r="BM54" s="124">
        <f t="shared" ref="BM54" si="2438">BL54*$E54</f>
        <v>0</v>
      </c>
      <c r="BN54" s="123"/>
      <c r="BO54" s="124">
        <f t="shared" ref="BO54" si="2439">BN54*$E54</f>
        <v>0</v>
      </c>
      <c r="BP54" s="123"/>
      <c r="BQ54" s="124">
        <f t="shared" ref="BQ54" si="2440">BP54*$E54</f>
        <v>0</v>
      </c>
      <c r="BR54" s="123"/>
      <c r="BS54" s="124">
        <f t="shared" ref="BS54" si="2441">BR54*$E54</f>
        <v>0</v>
      </c>
      <c r="BT54" s="123"/>
      <c r="BU54" s="124">
        <f t="shared" ref="BU54" si="2442">BT54*$E54</f>
        <v>0</v>
      </c>
      <c r="BV54" s="123"/>
      <c r="BW54" s="124">
        <f t="shared" ref="BW54" si="2443">BV54*$E54</f>
        <v>0</v>
      </c>
      <c r="BX54" s="123"/>
      <c r="BY54" s="124">
        <f t="shared" ref="BY54" si="2444">BX54*$E54</f>
        <v>0</v>
      </c>
      <c r="BZ54" s="123"/>
      <c r="CA54" s="124">
        <f t="shared" ref="CA54" si="2445">BZ54*$E54</f>
        <v>0</v>
      </c>
      <c r="CB54" s="123"/>
      <c r="CC54" s="124">
        <f t="shared" ref="CC54" si="2446">CB54*$E54</f>
        <v>0</v>
      </c>
      <c r="CD54" s="123"/>
      <c r="CE54" s="124">
        <f t="shared" ref="CE54" si="2447">CD54*$E54</f>
        <v>0</v>
      </c>
      <c r="CF54" s="125">
        <f t="shared" si="41"/>
        <v>0</v>
      </c>
      <c r="CG54" s="126">
        <f t="shared" ref="CG54" si="2448">CF54*$E54</f>
        <v>0</v>
      </c>
      <c r="CH54" s="123"/>
      <c r="CI54" s="124">
        <f t="shared" ref="CI54" si="2449">CH54*$E54</f>
        <v>0</v>
      </c>
      <c r="CJ54" s="123"/>
      <c r="CK54" s="124">
        <f t="shared" ref="CK54" si="2450">CJ54*$E54</f>
        <v>0</v>
      </c>
      <c r="CL54" s="123"/>
      <c r="CM54" s="124">
        <f t="shared" ref="CM54" si="2451">CL54*$E54</f>
        <v>0</v>
      </c>
      <c r="CN54" s="123"/>
      <c r="CO54" s="124">
        <f t="shared" ref="CO54" si="2452">CN54*$E54</f>
        <v>0</v>
      </c>
      <c r="CP54" s="123"/>
      <c r="CQ54" s="124">
        <f t="shared" ref="CQ54" si="2453">CP54*$E54</f>
        <v>0</v>
      </c>
      <c r="CR54" s="123"/>
      <c r="CS54" s="124">
        <f t="shared" ref="CS54" si="2454">CR54*$E54</f>
        <v>0</v>
      </c>
      <c r="CT54" s="123"/>
      <c r="CU54" s="124">
        <f t="shared" ref="CU54" si="2455">CT54*$E54</f>
        <v>0</v>
      </c>
      <c r="CV54" s="123"/>
      <c r="CW54" s="124">
        <f t="shared" ref="CW54" si="2456">CV54*$E54</f>
        <v>0</v>
      </c>
      <c r="CX54" s="123"/>
      <c r="CY54" s="124">
        <f t="shared" ref="CY54" si="2457">CX54*$E54</f>
        <v>0</v>
      </c>
      <c r="CZ54" s="123"/>
      <c r="DA54" s="124">
        <f t="shared" ref="DA54" si="2458">CZ54*$E54</f>
        <v>0</v>
      </c>
      <c r="DB54" s="123"/>
      <c r="DC54" s="124">
        <f t="shared" si="53"/>
        <v>0</v>
      </c>
      <c r="DD54" s="123"/>
      <c r="DE54" s="124">
        <f t="shared" si="53"/>
        <v>0</v>
      </c>
      <c r="DF54" s="27">
        <f t="shared" si="0"/>
        <v>0</v>
      </c>
      <c r="DG54" s="124">
        <f t="shared" si="54"/>
        <v>0</v>
      </c>
    </row>
    <row r="55" spans="1:111" ht="18" customHeight="1" x14ac:dyDescent="0.5">
      <c r="A55" s="117">
        <v>45</v>
      </c>
      <c r="B55" s="122" t="s">
        <v>167</v>
      </c>
      <c r="C55" s="122" t="s">
        <v>233</v>
      </c>
      <c r="D55" s="117">
        <f>RANK(DF55,$DF$4:$DF$141)</f>
        <v>21</v>
      </c>
      <c r="E55" s="117">
        <v>1</v>
      </c>
      <c r="F55" s="117" t="s">
        <v>232</v>
      </c>
      <c r="G55" s="117"/>
      <c r="H55" s="123"/>
      <c r="I55" s="124">
        <f t="shared" ref="I55" si="2459">H55*$E55</f>
        <v>0</v>
      </c>
      <c r="J55" s="123"/>
      <c r="K55" s="124">
        <f t="shared" ref="K55" si="2460">J55*$E55</f>
        <v>0</v>
      </c>
      <c r="L55" s="123"/>
      <c r="M55" s="124">
        <f t="shared" ref="M55" si="2461">L55*$E55</f>
        <v>0</v>
      </c>
      <c r="N55" s="123"/>
      <c r="O55" s="124">
        <f t="shared" ref="O55" si="2462">N55*$E55</f>
        <v>0</v>
      </c>
      <c r="P55" s="123"/>
      <c r="Q55" s="124">
        <f t="shared" ref="Q55" si="2463">P55*$E55</f>
        <v>0</v>
      </c>
      <c r="R55" s="123"/>
      <c r="S55" s="124">
        <f t="shared" ref="S55" si="2464">R55*$E55</f>
        <v>0</v>
      </c>
      <c r="T55" s="123"/>
      <c r="U55" s="124">
        <f t="shared" ref="U55" si="2465">T55*$E55</f>
        <v>0</v>
      </c>
      <c r="V55" s="123"/>
      <c r="W55" s="124">
        <f t="shared" ref="W55" si="2466">V55*$E55</f>
        <v>0</v>
      </c>
      <c r="X55" s="123"/>
      <c r="Y55" s="124">
        <f t="shared" ref="Y55" si="2467">X55*$E55</f>
        <v>0</v>
      </c>
      <c r="Z55" s="123"/>
      <c r="AA55" s="124">
        <f t="shared" ref="AA55" si="2468">Z55*$E55</f>
        <v>0</v>
      </c>
      <c r="AB55" s="123"/>
      <c r="AC55" s="124">
        <f t="shared" ref="AC55" si="2469">AB55*$E55</f>
        <v>0</v>
      </c>
      <c r="AD55" s="123"/>
      <c r="AE55" s="124">
        <f t="shared" ref="AE55" si="2470">AD55*$E55</f>
        <v>0</v>
      </c>
      <c r="AF55" s="125">
        <f t="shared" si="13"/>
        <v>0</v>
      </c>
      <c r="AG55" s="126">
        <f t="shared" ref="AG55" si="2471">AF55*$E55</f>
        <v>0</v>
      </c>
      <c r="AH55" s="11"/>
      <c r="AI55" s="124">
        <f t="shared" ref="AI55" si="2472">AH55*$E55</f>
        <v>0</v>
      </c>
      <c r="AJ55" s="15"/>
      <c r="AK55" s="124">
        <f t="shared" ref="AK55" si="2473">AJ55*$E55</f>
        <v>0</v>
      </c>
      <c r="AL55" s="15"/>
      <c r="AM55" s="124">
        <f t="shared" ref="AM55" si="2474">AL55*$E55</f>
        <v>0</v>
      </c>
      <c r="AN55" s="16"/>
      <c r="AO55" s="124">
        <f t="shared" ref="AO55" si="2475">AN55*$E55</f>
        <v>0</v>
      </c>
      <c r="AP55" s="15"/>
      <c r="AQ55" s="124">
        <f t="shared" ref="AQ55" si="2476">AP55*$E55</f>
        <v>0</v>
      </c>
      <c r="AR55" s="15"/>
      <c r="AS55" s="124">
        <f t="shared" ref="AS55" si="2477">AR55*$E55</f>
        <v>0</v>
      </c>
      <c r="AT55" s="17"/>
      <c r="AU55" s="124">
        <f t="shared" ref="AU55" si="2478">AT55*$E55</f>
        <v>0</v>
      </c>
      <c r="AV55" s="15"/>
      <c r="AW55" s="124">
        <f t="shared" ref="AW55" si="2479">AV55*$E55</f>
        <v>0</v>
      </c>
      <c r="AX55" s="15"/>
      <c r="AY55" s="124">
        <f t="shared" ref="AY55" si="2480">AX55*$E55</f>
        <v>0</v>
      </c>
      <c r="AZ55" s="17"/>
      <c r="BA55" s="124">
        <f t="shared" ref="BA55" si="2481">AZ55*$E55</f>
        <v>0</v>
      </c>
      <c r="BB55" s="33"/>
      <c r="BC55" s="124">
        <f t="shared" ref="BC55" si="2482">BB55*$E55</f>
        <v>0</v>
      </c>
      <c r="BD55" s="33"/>
      <c r="BE55" s="124">
        <f t="shared" ref="BE55" si="2483">BD55*$E55</f>
        <v>0</v>
      </c>
      <c r="BF55" s="125">
        <f t="shared" si="27"/>
        <v>0</v>
      </c>
      <c r="BG55" s="126">
        <f t="shared" ref="BG55" si="2484">BF55*$E55</f>
        <v>0</v>
      </c>
      <c r="BH55" s="123"/>
      <c r="BI55" s="124">
        <f t="shared" ref="BI55" si="2485">BH55*$E55</f>
        <v>0</v>
      </c>
      <c r="BJ55" s="123"/>
      <c r="BK55" s="124">
        <f t="shared" ref="BK55" si="2486">BJ55*$E55</f>
        <v>0</v>
      </c>
      <c r="BL55" s="123"/>
      <c r="BM55" s="124">
        <f t="shared" ref="BM55" si="2487">BL55*$E55</f>
        <v>0</v>
      </c>
      <c r="BN55" s="123"/>
      <c r="BO55" s="124">
        <f t="shared" ref="BO55" si="2488">BN55*$E55</f>
        <v>0</v>
      </c>
      <c r="BP55" s="123"/>
      <c r="BQ55" s="124">
        <f t="shared" ref="BQ55" si="2489">BP55*$E55</f>
        <v>0</v>
      </c>
      <c r="BR55" s="123"/>
      <c r="BS55" s="124">
        <f t="shared" ref="BS55" si="2490">BR55*$E55</f>
        <v>0</v>
      </c>
      <c r="BT55" s="123"/>
      <c r="BU55" s="124">
        <f t="shared" ref="BU55" si="2491">BT55*$E55</f>
        <v>0</v>
      </c>
      <c r="BV55" s="123"/>
      <c r="BW55" s="124">
        <f t="shared" ref="BW55" si="2492">BV55*$E55</f>
        <v>0</v>
      </c>
      <c r="BX55" s="123"/>
      <c r="BY55" s="124">
        <f t="shared" ref="BY55" si="2493">BX55*$E55</f>
        <v>0</v>
      </c>
      <c r="BZ55" s="123"/>
      <c r="CA55" s="124">
        <f t="shared" ref="CA55" si="2494">BZ55*$E55</f>
        <v>0</v>
      </c>
      <c r="CB55" s="123"/>
      <c r="CC55" s="124">
        <f t="shared" ref="CC55" si="2495">CB55*$E55</f>
        <v>0</v>
      </c>
      <c r="CD55" s="123"/>
      <c r="CE55" s="124">
        <f t="shared" ref="CE55" si="2496">CD55*$E55</f>
        <v>0</v>
      </c>
      <c r="CF55" s="125">
        <f t="shared" si="41"/>
        <v>0</v>
      </c>
      <c r="CG55" s="126">
        <f t="shared" ref="CG55" si="2497">CF55*$E55</f>
        <v>0</v>
      </c>
      <c r="CH55" s="123"/>
      <c r="CI55" s="124">
        <f t="shared" ref="CI55" si="2498">CH55*$E55</f>
        <v>0</v>
      </c>
      <c r="CJ55" s="123"/>
      <c r="CK55" s="124">
        <f t="shared" ref="CK55" si="2499">CJ55*$E55</f>
        <v>0</v>
      </c>
      <c r="CL55" s="123"/>
      <c r="CM55" s="124">
        <f t="shared" ref="CM55" si="2500">CL55*$E55</f>
        <v>0</v>
      </c>
      <c r="CN55" s="123"/>
      <c r="CO55" s="124">
        <f t="shared" ref="CO55" si="2501">CN55*$E55</f>
        <v>0</v>
      </c>
      <c r="CP55" s="123"/>
      <c r="CQ55" s="124">
        <f t="shared" ref="CQ55" si="2502">CP55*$E55</f>
        <v>0</v>
      </c>
      <c r="CR55" s="123"/>
      <c r="CS55" s="124">
        <f t="shared" ref="CS55" si="2503">CR55*$E55</f>
        <v>0</v>
      </c>
      <c r="CT55" s="123"/>
      <c r="CU55" s="124">
        <f t="shared" ref="CU55" si="2504">CT55*$E55</f>
        <v>0</v>
      </c>
      <c r="CV55" s="123"/>
      <c r="CW55" s="124">
        <f t="shared" ref="CW55" si="2505">CV55*$E55</f>
        <v>0</v>
      </c>
      <c r="CX55" s="123"/>
      <c r="CY55" s="124">
        <f t="shared" ref="CY55" si="2506">CX55*$E55</f>
        <v>0</v>
      </c>
      <c r="CZ55" s="123"/>
      <c r="DA55" s="124">
        <f t="shared" ref="DA55" si="2507">CZ55*$E55</f>
        <v>0</v>
      </c>
      <c r="DB55" s="123"/>
      <c r="DC55" s="124">
        <f t="shared" si="53"/>
        <v>0</v>
      </c>
      <c r="DD55" s="123"/>
      <c r="DE55" s="124">
        <f t="shared" si="53"/>
        <v>0</v>
      </c>
      <c r="DF55" s="27">
        <f t="shared" si="0"/>
        <v>0</v>
      </c>
      <c r="DG55" s="124">
        <f t="shared" si="54"/>
        <v>0</v>
      </c>
    </row>
    <row r="56" spans="1:111" ht="18" customHeight="1" x14ac:dyDescent="0.5">
      <c r="A56" s="117">
        <v>46</v>
      </c>
      <c r="B56" s="122" t="s">
        <v>168</v>
      </c>
      <c r="C56" s="122" t="s">
        <v>233</v>
      </c>
      <c r="D56" s="117">
        <f>RANK(DF56,$DF$4:$DF$141)</f>
        <v>21</v>
      </c>
      <c r="E56" s="117">
        <v>0.6</v>
      </c>
      <c r="F56" s="117" t="s">
        <v>232</v>
      </c>
      <c r="G56" s="117"/>
      <c r="H56" s="123"/>
      <c r="I56" s="124">
        <f t="shared" ref="I56" si="2508">H56*$E56</f>
        <v>0</v>
      </c>
      <c r="J56" s="123"/>
      <c r="K56" s="124">
        <f t="shared" ref="K56" si="2509">J56*$E56</f>
        <v>0</v>
      </c>
      <c r="L56" s="123"/>
      <c r="M56" s="124">
        <f t="shared" ref="M56" si="2510">L56*$E56</f>
        <v>0</v>
      </c>
      <c r="N56" s="123"/>
      <c r="O56" s="124">
        <f t="shared" ref="O56" si="2511">N56*$E56</f>
        <v>0</v>
      </c>
      <c r="P56" s="123"/>
      <c r="Q56" s="124">
        <f t="shared" ref="Q56" si="2512">P56*$E56</f>
        <v>0</v>
      </c>
      <c r="R56" s="123"/>
      <c r="S56" s="124">
        <f t="shared" ref="S56" si="2513">R56*$E56</f>
        <v>0</v>
      </c>
      <c r="T56" s="123"/>
      <c r="U56" s="124">
        <f t="shared" ref="U56" si="2514">T56*$E56</f>
        <v>0</v>
      </c>
      <c r="V56" s="123"/>
      <c r="W56" s="124">
        <f t="shared" ref="W56" si="2515">V56*$E56</f>
        <v>0</v>
      </c>
      <c r="X56" s="123"/>
      <c r="Y56" s="124">
        <f t="shared" ref="Y56" si="2516">X56*$E56</f>
        <v>0</v>
      </c>
      <c r="Z56" s="123"/>
      <c r="AA56" s="124">
        <f t="shared" ref="AA56" si="2517">Z56*$E56</f>
        <v>0</v>
      </c>
      <c r="AB56" s="123"/>
      <c r="AC56" s="124">
        <f t="shared" ref="AC56" si="2518">AB56*$E56</f>
        <v>0</v>
      </c>
      <c r="AD56" s="123"/>
      <c r="AE56" s="124">
        <f t="shared" ref="AE56" si="2519">AD56*$E56</f>
        <v>0</v>
      </c>
      <c r="AF56" s="125">
        <f t="shared" si="13"/>
        <v>0</v>
      </c>
      <c r="AG56" s="126">
        <f t="shared" ref="AG56" si="2520">AF56*$E56</f>
        <v>0</v>
      </c>
      <c r="AH56" s="11"/>
      <c r="AI56" s="124">
        <f t="shared" ref="AI56" si="2521">AH56*$E56</f>
        <v>0</v>
      </c>
      <c r="AJ56" s="15"/>
      <c r="AK56" s="124">
        <f t="shared" ref="AK56" si="2522">AJ56*$E56</f>
        <v>0</v>
      </c>
      <c r="AL56" s="15"/>
      <c r="AM56" s="124">
        <f t="shared" ref="AM56" si="2523">AL56*$E56</f>
        <v>0</v>
      </c>
      <c r="AN56" s="16"/>
      <c r="AO56" s="124">
        <f t="shared" ref="AO56" si="2524">AN56*$E56</f>
        <v>0</v>
      </c>
      <c r="AP56" s="15"/>
      <c r="AQ56" s="124">
        <f t="shared" ref="AQ56" si="2525">AP56*$E56</f>
        <v>0</v>
      </c>
      <c r="AR56" s="15"/>
      <c r="AS56" s="124">
        <f t="shared" ref="AS56" si="2526">AR56*$E56</f>
        <v>0</v>
      </c>
      <c r="AT56" s="17"/>
      <c r="AU56" s="124">
        <f t="shared" ref="AU56" si="2527">AT56*$E56</f>
        <v>0</v>
      </c>
      <c r="AV56" s="15"/>
      <c r="AW56" s="124">
        <f t="shared" ref="AW56" si="2528">AV56*$E56</f>
        <v>0</v>
      </c>
      <c r="AX56" s="15"/>
      <c r="AY56" s="124">
        <f t="shared" ref="AY56" si="2529">AX56*$E56</f>
        <v>0</v>
      </c>
      <c r="AZ56" s="17"/>
      <c r="BA56" s="124">
        <f t="shared" ref="BA56" si="2530">AZ56*$E56</f>
        <v>0</v>
      </c>
      <c r="BB56" s="33"/>
      <c r="BC56" s="124">
        <f t="shared" ref="BC56" si="2531">BB56*$E56</f>
        <v>0</v>
      </c>
      <c r="BD56" s="33"/>
      <c r="BE56" s="124">
        <f t="shared" ref="BE56" si="2532">BD56*$E56</f>
        <v>0</v>
      </c>
      <c r="BF56" s="125">
        <f t="shared" si="27"/>
        <v>0</v>
      </c>
      <c r="BG56" s="126">
        <f t="shared" ref="BG56" si="2533">BF56*$E56</f>
        <v>0</v>
      </c>
      <c r="BH56" s="123"/>
      <c r="BI56" s="124">
        <f t="shared" ref="BI56" si="2534">BH56*$E56</f>
        <v>0</v>
      </c>
      <c r="BJ56" s="123"/>
      <c r="BK56" s="124">
        <f t="shared" ref="BK56" si="2535">BJ56*$E56</f>
        <v>0</v>
      </c>
      <c r="BL56" s="123"/>
      <c r="BM56" s="124">
        <f t="shared" ref="BM56" si="2536">BL56*$E56</f>
        <v>0</v>
      </c>
      <c r="BN56" s="123"/>
      <c r="BO56" s="124">
        <f t="shared" ref="BO56" si="2537">BN56*$E56</f>
        <v>0</v>
      </c>
      <c r="BP56" s="123"/>
      <c r="BQ56" s="124">
        <f t="shared" ref="BQ56" si="2538">BP56*$E56</f>
        <v>0</v>
      </c>
      <c r="BR56" s="123"/>
      <c r="BS56" s="124">
        <f t="shared" ref="BS56" si="2539">BR56*$E56</f>
        <v>0</v>
      </c>
      <c r="BT56" s="123"/>
      <c r="BU56" s="124">
        <f t="shared" ref="BU56" si="2540">BT56*$E56</f>
        <v>0</v>
      </c>
      <c r="BV56" s="123"/>
      <c r="BW56" s="124">
        <f t="shared" ref="BW56" si="2541">BV56*$E56</f>
        <v>0</v>
      </c>
      <c r="BX56" s="123"/>
      <c r="BY56" s="124">
        <f t="shared" ref="BY56" si="2542">BX56*$E56</f>
        <v>0</v>
      </c>
      <c r="BZ56" s="123"/>
      <c r="CA56" s="124">
        <f t="shared" ref="CA56" si="2543">BZ56*$E56</f>
        <v>0</v>
      </c>
      <c r="CB56" s="123"/>
      <c r="CC56" s="124">
        <f t="shared" ref="CC56" si="2544">CB56*$E56</f>
        <v>0</v>
      </c>
      <c r="CD56" s="123"/>
      <c r="CE56" s="124">
        <f t="shared" ref="CE56" si="2545">CD56*$E56</f>
        <v>0</v>
      </c>
      <c r="CF56" s="125">
        <f t="shared" si="41"/>
        <v>0</v>
      </c>
      <c r="CG56" s="126">
        <f t="shared" ref="CG56" si="2546">CF56*$E56</f>
        <v>0</v>
      </c>
      <c r="CH56" s="123"/>
      <c r="CI56" s="124">
        <f t="shared" ref="CI56" si="2547">CH56*$E56</f>
        <v>0</v>
      </c>
      <c r="CJ56" s="123"/>
      <c r="CK56" s="124">
        <f t="shared" ref="CK56" si="2548">CJ56*$E56</f>
        <v>0</v>
      </c>
      <c r="CL56" s="123"/>
      <c r="CM56" s="124">
        <f t="shared" ref="CM56" si="2549">CL56*$E56</f>
        <v>0</v>
      </c>
      <c r="CN56" s="123"/>
      <c r="CO56" s="124">
        <f t="shared" ref="CO56" si="2550">CN56*$E56</f>
        <v>0</v>
      </c>
      <c r="CP56" s="123"/>
      <c r="CQ56" s="124">
        <f t="shared" ref="CQ56" si="2551">CP56*$E56</f>
        <v>0</v>
      </c>
      <c r="CR56" s="123"/>
      <c r="CS56" s="124">
        <f t="shared" ref="CS56" si="2552">CR56*$E56</f>
        <v>0</v>
      </c>
      <c r="CT56" s="123"/>
      <c r="CU56" s="124">
        <f t="shared" ref="CU56" si="2553">CT56*$E56</f>
        <v>0</v>
      </c>
      <c r="CV56" s="123"/>
      <c r="CW56" s="124">
        <f t="shared" ref="CW56" si="2554">CV56*$E56</f>
        <v>0</v>
      </c>
      <c r="CX56" s="123"/>
      <c r="CY56" s="124">
        <f t="shared" ref="CY56" si="2555">CX56*$E56</f>
        <v>0</v>
      </c>
      <c r="CZ56" s="123"/>
      <c r="DA56" s="124">
        <f t="shared" ref="DA56" si="2556">CZ56*$E56</f>
        <v>0</v>
      </c>
      <c r="DB56" s="123"/>
      <c r="DC56" s="124">
        <f t="shared" si="53"/>
        <v>0</v>
      </c>
      <c r="DD56" s="123"/>
      <c r="DE56" s="124">
        <f t="shared" si="53"/>
        <v>0</v>
      </c>
      <c r="DF56" s="27">
        <f t="shared" si="0"/>
        <v>0</v>
      </c>
      <c r="DG56" s="124">
        <f t="shared" si="54"/>
        <v>0</v>
      </c>
    </row>
    <row r="57" spans="1:111" ht="18" customHeight="1" x14ac:dyDescent="0.5">
      <c r="A57" s="117">
        <v>47</v>
      </c>
      <c r="B57" s="122" t="s">
        <v>249</v>
      </c>
      <c r="C57" s="122" t="s">
        <v>231</v>
      </c>
      <c r="D57" s="117">
        <f>RANK(DF57,$DF$4:$DF$141)</f>
        <v>21</v>
      </c>
      <c r="E57" s="117">
        <v>0.64</v>
      </c>
      <c r="F57" s="117" t="s">
        <v>236</v>
      </c>
      <c r="G57" s="117"/>
      <c r="H57" s="123"/>
      <c r="I57" s="124">
        <f t="shared" ref="I57" si="2557">H57*$E57</f>
        <v>0</v>
      </c>
      <c r="J57" s="123"/>
      <c r="K57" s="124">
        <f t="shared" ref="K57" si="2558">J57*$E57</f>
        <v>0</v>
      </c>
      <c r="L57" s="123"/>
      <c r="M57" s="124">
        <f t="shared" ref="M57" si="2559">L57*$E57</f>
        <v>0</v>
      </c>
      <c r="N57" s="123"/>
      <c r="O57" s="124">
        <f t="shared" ref="O57" si="2560">N57*$E57</f>
        <v>0</v>
      </c>
      <c r="P57" s="123"/>
      <c r="Q57" s="124">
        <f t="shared" ref="Q57" si="2561">P57*$E57</f>
        <v>0</v>
      </c>
      <c r="R57" s="123"/>
      <c r="S57" s="124">
        <f t="shared" ref="S57" si="2562">R57*$E57</f>
        <v>0</v>
      </c>
      <c r="T57" s="123"/>
      <c r="U57" s="124">
        <f t="shared" ref="U57" si="2563">T57*$E57</f>
        <v>0</v>
      </c>
      <c r="V57" s="123"/>
      <c r="W57" s="124">
        <f t="shared" ref="W57" si="2564">V57*$E57</f>
        <v>0</v>
      </c>
      <c r="X57" s="123"/>
      <c r="Y57" s="124">
        <f t="shared" ref="Y57" si="2565">X57*$E57</f>
        <v>0</v>
      </c>
      <c r="Z57" s="123"/>
      <c r="AA57" s="124">
        <f t="shared" ref="AA57" si="2566">Z57*$E57</f>
        <v>0</v>
      </c>
      <c r="AB57" s="123"/>
      <c r="AC57" s="124">
        <f t="shared" ref="AC57" si="2567">AB57*$E57</f>
        <v>0</v>
      </c>
      <c r="AD57" s="123"/>
      <c r="AE57" s="124">
        <f t="shared" ref="AE57" si="2568">AD57*$E57</f>
        <v>0</v>
      </c>
      <c r="AF57" s="125">
        <f t="shared" si="13"/>
        <v>0</v>
      </c>
      <c r="AG57" s="126">
        <f t="shared" ref="AG57" si="2569">AF57*$E57</f>
        <v>0</v>
      </c>
      <c r="AH57" s="11"/>
      <c r="AI57" s="124">
        <f t="shared" ref="AI57" si="2570">AH57*$E57</f>
        <v>0</v>
      </c>
      <c r="AJ57" s="15"/>
      <c r="AK57" s="124">
        <f t="shared" ref="AK57" si="2571">AJ57*$E57</f>
        <v>0</v>
      </c>
      <c r="AL57" s="15"/>
      <c r="AM57" s="124">
        <f t="shared" ref="AM57" si="2572">AL57*$E57</f>
        <v>0</v>
      </c>
      <c r="AN57" s="16"/>
      <c r="AO57" s="124">
        <f t="shared" ref="AO57" si="2573">AN57*$E57</f>
        <v>0</v>
      </c>
      <c r="AP57" s="15"/>
      <c r="AQ57" s="124">
        <f t="shared" ref="AQ57" si="2574">AP57*$E57</f>
        <v>0</v>
      </c>
      <c r="AR57" s="15"/>
      <c r="AS57" s="124">
        <f t="shared" ref="AS57" si="2575">AR57*$E57</f>
        <v>0</v>
      </c>
      <c r="AT57" s="17"/>
      <c r="AU57" s="124">
        <f t="shared" ref="AU57" si="2576">AT57*$E57</f>
        <v>0</v>
      </c>
      <c r="AV57" s="15"/>
      <c r="AW57" s="124">
        <f t="shared" ref="AW57" si="2577">AV57*$E57</f>
        <v>0</v>
      </c>
      <c r="AX57" s="15"/>
      <c r="AY57" s="124">
        <f t="shared" ref="AY57" si="2578">AX57*$E57</f>
        <v>0</v>
      </c>
      <c r="AZ57" s="17"/>
      <c r="BA57" s="124">
        <f t="shared" ref="BA57" si="2579">AZ57*$E57</f>
        <v>0</v>
      </c>
      <c r="BB57" s="33"/>
      <c r="BC57" s="124">
        <f t="shared" ref="BC57" si="2580">BB57*$E57</f>
        <v>0</v>
      </c>
      <c r="BD57" s="33"/>
      <c r="BE57" s="124">
        <f t="shared" ref="BE57" si="2581">BD57*$E57</f>
        <v>0</v>
      </c>
      <c r="BF57" s="125">
        <f t="shared" si="27"/>
        <v>0</v>
      </c>
      <c r="BG57" s="126">
        <f t="shared" ref="BG57" si="2582">BF57*$E57</f>
        <v>0</v>
      </c>
      <c r="BH57" s="123"/>
      <c r="BI57" s="124">
        <f t="shared" ref="BI57" si="2583">BH57*$E57</f>
        <v>0</v>
      </c>
      <c r="BJ57" s="123"/>
      <c r="BK57" s="124">
        <f t="shared" ref="BK57" si="2584">BJ57*$E57</f>
        <v>0</v>
      </c>
      <c r="BL57" s="123"/>
      <c r="BM57" s="124">
        <f t="shared" ref="BM57" si="2585">BL57*$E57</f>
        <v>0</v>
      </c>
      <c r="BN57" s="123"/>
      <c r="BO57" s="124">
        <f t="shared" ref="BO57" si="2586">BN57*$E57</f>
        <v>0</v>
      </c>
      <c r="BP57" s="123"/>
      <c r="BQ57" s="124">
        <f t="shared" ref="BQ57" si="2587">BP57*$E57</f>
        <v>0</v>
      </c>
      <c r="BR57" s="123"/>
      <c r="BS57" s="124">
        <f t="shared" ref="BS57" si="2588">BR57*$E57</f>
        <v>0</v>
      </c>
      <c r="BT57" s="123"/>
      <c r="BU57" s="124">
        <f t="shared" ref="BU57" si="2589">BT57*$E57</f>
        <v>0</v>
      </c>
      <c r="BV57" s="123"/>
      <c r="BW57" s="124">
        <f t="shared" ref="BW57" si="2590">BV57*$E57</f>
        <v>0</v>
      </c>
      <c r="BX57" s="123"/>
      <c r="BY57" s="124">
        <f t="shared" ref="BY57" si="2591">BX57*$E57</f>
        <v>0</v>
      </c>
      <c r="BZ57" s="123"/>
      <c r="CA57" s="124">
        <f t="shared" ref="CA57" si="2592">BZ57*$E57</f>
        <v>0</v>
      </c>
      <c r="CB57" s="123"/>
      <c r="CC57" s="124">
        <f t="shared" ref="CC57" si="2593">CB57*$E57</f>
        <v>0</v>
      </c>
      <c r="CD57" s="123"/>
      <c r="CE57" s="124">
        <f t="shared" ref="CE57" si="2594">CD57*$E57</f>
        <v>0</v>
      </c>
      <c r="CF57" s="125">
        <f t="shared" si="41"/>
        <v>0</v>
      </c>
      <c r="CG57" s="126">
        <f t="shared" ref="CG57" si="2595">CF57*$E57</f>
        <v>0</v>
      </c>
      <c r="CH57" s="123"/>
      <c r="CI57" s="124">
        <f t="shared" ref="CI57" si="2596">CH57*$E57</f>
        <v>0</v>
      </c>
      <c r="CJ57" s="123"/>
      <c r="CK57" s="124">
        <f t="shared" ref="CK57" si="2597">CJ57*$E57</f>
        <v>0</v>
      </c>
      <c r="CL57" s="123"/>
      <c r="CM57" s="124">
        <f t="shared" ref="CM57" si="2598">CL57*$E57</f>
        <v>0</v>
      </c>
      <c r="CN57" s="123"/>
      <c r="CO57" s="124">
        <f t="shared" ref="CO57" si="2599">CN57*$E57</f>
        <v>0</v>
      </c>
      <c r="CP57" s="123"/>
      <c r="CQ57" s="124">
        <f t="shared" ref="CQ57" si="2600">CP57*$E57</f>
        <v>0</v>
      </c>
      <c r="CR57" s="123"/>
      <c r="CS57" s="124">
        <f t="shared" ref="CS57" si="2601">CR57*$E57</f>
        <v>0</v>
      </c>
      <c r="CT57" s="123"/>
      <c r="CU57" s="124">
        <f t="shared" ref="CU57" si="2602">CT57*$E57</f>
        <v>0</v>
      </c>
      <c r="CV57" s="123"/>
      <c r="CW57" s="124">
        <f t="shared" ref="CW57" si="2603">CV57*$E57</f>
        <v>0</v>
      </c>
      <c r="CX57" s="123"/>
      <c r="CY57" s="124">
        <f t="shared" ref="CY57" si="2604">CX57*$E57</f>
        <v>0</v>
      </c>
      <c r="CZ57" s="123"/>
      <c r="DA57" s="124">
        <f t="shared" ref="DA57" si="2605">CZ57*$E57</f>
        <v>0</v>
      </c>
      <c r="DB57" s="123"/>
      <c r="DC57" s="124">
        <f t="shared" si="53"/>
        <v>0</v>
      </c>
      <c r="DD57" s="123"/>
      <c r="DE57" s="124">
        <f t="shared" si="53"/>
        <v>0</v>
      </c>
      <c r="DF57" s="27">
        <f t="shared" si="0"/>
        <v>0</v>
      </c>
      <c r="DG57" s="124">
        <f t="shared" si="54"/>
        <v>0</v>
      </c>
    </row>
    <row r="58" spans="1:111" ht="18" customHeight="1" x14ac:dyDescent="0.5">
      <c r="A58" s="117">
        <v>48</v>
      </c>
      <c r="B58" s="122" t="s">
        <v>249</v>
      </c>
      <c r="C58" s="122" t="s">
        <v>231</v>
      </c>
      <c r="D58" s="117">
        <f>RANK(DF58,$DF$4:$DF$141)</f>
        <v>21</v>
      </c>
      <c r="E58" s="117">
        <v>0.64</v>
      </c>
      <c r="F58" s="117" t="s">
        <v>235</v>
      </c>
      <c r="G58" s="117"/>
      <c r="H58" s="123"/>
      <c r="I58" s="124">
        <f t="shared" ref="I58" si="2606">H58*$E58</f>
        <v>0</v>
      </c>
      <c r="J58" s="123"/>
      <c r="K58" s="124">
        <f t="shared" ref="K58" si="2607">J58*$E58</f>
        <v>0</v>
      </c>
      <c r="L58" s="123"/>
      <c r="M58" s="124">
        <f t="shared" ref="M58" si="2608">L58*$E58</f>
        <v>0</v>
      </c>
      <c r="N58" s="123"/>
      <c r="O58" s="124">
        <f t="shared" ref="O58" si="2609">N58*$E58</f>
        <v>0</v>
      </c>
      <c r="P58" s="123"/>
      <c r="Q58" s="124">
        <f t="shared" ref="Q58" si="2610">P58*$E58</f>
        <v>0</v>
      </c>
      <c r="R58" s="123"/>
      <c r="S58" s="124">
        <f t="shared" ref="S58" si="2611">R58*$E58</f>
        <v>0</v>
      </c>
      <c r="T58" s="123"/>
      <c r="U58" s="124">
        <f t="shared" ref="U58" si="2612">T58*$E58</f>
        <v>0</v>
      </c>
      <c r="V58" s="123"/>
      <c r="W58" s="124">
        <f t="shared" ref="W58" si="2613">V58*$E58</f>
        <v>0</v>
      </c>
      <c r="X58" s="123"/>
      <c r="Y58" s="124">
        <f t="shared" ref="Y58" si="2614">X58*$E58</f>
        <v>0</v>
      </c>
      <c r="Z58" s="123"/>
      <c r="AA58" s="124">
        <f t="shared" ref="AA58" si="2615">Z58*$E58</f>
        <v>0</v>
      </c>
      <c r="AB58" s="123"/>
      <c r="AC58" s="124">
        <f t="shared" ref="AC58" si="2616">AB58*$E58</f>
        <v>0</v>
      </c>
      <c r="AD58" s="123"/>
      <c r="AE58" s="124">
        <f t="shared" ref="AE58" si="2617">AD58*$E58</f>
        <v>0</v>
      </c>
      <c r="AF58" s="125">
        <f t="shared" si="13"/>
        <v>0</v>
      </c>
      <c r="AG58" s="126">
        <f t="shared" ref="AG58" si="2618">AF58*$E58</f>
        <v>0</v>
      </c>
      <c r="AH58" s="11"/>
      <c r="AI58" s="124">
        <f t="shared" ref="AI58" si="2619">AH58*$E58</f>
        <v>0</v>
      </c>
      <c r="AJ58" s="15"/>
      <c r="AK58" s="124">
        <f t="shared" ref="AK58" si="2620">AJ58*$E58</f>
        <v>0</v>
      </c>
      <c r="AL58" s="15"/>
      <c r="AM58" s="124">
        <f t="shared" ref="AM58" si="2621">AL58*$E58</f>
        <v>0</v>
      </c>
      <c r="AN58" s="16"/>
      <c r="AO58" s="124">
        <f t="shared" ref="AO58" si="2622">AN58*$E58</f>
        <v>0</v>
      </c>
      <c r="AP58" s="15"/>
      <c r="AQ58" s="124">
        <f t="shared" ref="AQ58" si="2623">AP58*$E58</f>
        <v>0</v>
      </c>
      <c r="AR58" s="15"/>
      <c r="AS58" s="124">
        <f t="shared" ref="AS58" si="2624">AR58*$E58</f>
        <v>0</v>
      </c>
      <c r="AT58" s="17"/>
      <c r="AU58" s="124">
        <f t="shared" ref="AU58" si="2625">AT58*$E58</f>
        <v>0</v>
      </c>
      <c r="AV58" s="15"/>
      <c r="AW58" s="124">
        <f t="shared" ref="AW58" si="2626">AV58*$E58</f>
        <v>0</v>
      </c>
      <c r="AX58" s="15"/>
      <c r="AY58" s="124">
        <f t="shared" ref="AY58" si="2627">AX58*$E58</f>
        <v>0</v>
      </c>
      <c r="AZ58" s="17"/>
      <c r="BA58" s="124">
        <f t="shared" ref="BA58" si="2628">AZ58*$E58</f>
        <v>0</v>
      </c>
      <c r="BB58" s="33"/>
      <c r="BC58" s="124">
        <f t="shared" ref="BC58" si="2629">BB58*$E58</f>
        <v>0</v>
      </c>
      <c r="BD58" s="33"/>
      <c r="BE58" s="124">
        <f t="shared" ref="BE58" si="2630">BD58*$E58</f>
        <v>0</v>
      </c>
      <c r="BF58" s="125">
        <f t="shared" si="27"/>
        <v>0</v>
      </c>
      <c r="BG58" s="126">
        <f t="shared" ref="BG58" si="2631">BF58*$E58</f>
        <v>0</v>
      </c>
      <c r="BH58" s="123"/>
      <c r="BI58" s="124">
        <f t="shared" ref="BI58" si="2632">BH58*$E58</f>
        <v>0</v>
      </c>
      <c r="BJ58" s="123"/>
      <c r="BK58" s="124">
        <f t="shared" ref="BK58" si="2633">BJ58*$E58</f>
        <v>0</v>
      </c>
      <c r="BL58" s="123"/>
      <c r="BM58" s="124">
        <f t="shared" ref="BM58" si="2634">BL58*$E58</f>
        <v>0</v>
      </c>
      <c r="BN58" s="123"/>
      <c r="BO58" s="124">
        <f t="shared" ref="BO58" si="2635">BN58*$E58</f>
        <v>0</v>
      </c>
      <c r="BP58" s="123"/>
      <c r="BQ58" s="124">
        <f t="shared" ref="BQ58" si="2636">BP58*$E58</f>
        <v>0</v>
      </c>
      <c r="BR58" s="123"/>
      <c r="BS58" s="124">
        <f t="shared" ref="BS58" si="2637">BR58*$E58</f>
        <v>0</v>
      </c>
      <c r="BT58" s="123"/>
      <c r="BU58" s="124">
        <f t="shared" ref="BU58" si="2638">BT58*$E58</f>
        <v>0</v>
      </c>
      <c r="BV58" s="123"/>
      <c r="BW58" s="124">
        <f t="shared" ref="BW58" si="2639">BV58*$E58</f>
        <v>0</v>
      </c>
      <c r="BX58" s="123"/>
      <c r="BY58" s="124">
        <f t="shared" ref="BY58" si="2640">BX58*$E58</f>
        <v>0</v>
      </c>
      <c r="BZ58" s="123"/>
      <c r="CA58" s="124">
        <f t="shared" ref="CA58" si="2641">BZ58*$E58</f>
        <v>0</v>
      </c>
      <c r="CB58" s="123"/>
      <c r="CC58" s="124">
        <f t="shared" ref="CC58" si="2642">CB58*$E58</f>
        <v>0</v>
      </c>
      <c r="CD58" s="123"/>
      <c r="CE58" s="124">
        <f t="shared" ref="CE58" si="2643">CD58*$E58</f>
        <v>0</v>
      </c>
      <c r="CF58" s="125">
        <f t="shared" si="41"/>
        <v>0</v>
      </c>
      <c r="CG58" s="126">
        <f t="shared" ref="CG58" si="2644">CF58*$E58</f>
        <v>0</v>
      </c>
      <c r="CH58" s="123"/>
      <c r="CI58" s="124">
        <f t="shared" ref="CI58" si="2645">CH58*$E58</f>
        <v>0</v>
      </c>
      <c r="CJ58" s="123"/>
      <c r="CK58" s="124">
        <f t="shared" ref="CK58" si="2646">CJ58*$E58</f>
        <v>0</v>
      </c>
      <c r="CL58" s="123"/>
      <c r="CM58" s="124">
        <f t="shared" ref="CM58" si="2647">CL58*$E58</f>
        <v>0</v>
      </c>
      <c r="CN58" s="123"/>
      <c r="CO58" s="124">
        <f t="shared" ref="CO58" si="2648">CN58*$E58</f>
        <v>0</v>
      </c>
      <c r="CP58" s="123"/>
      <c r="CQ58" s="124">
        <f t="shared" ref="CQ58" si="2649">CP58*$E58</f>
        <v>0</v>
      </c>
      <c r="CR58" s="123"/>
      <c r="CS58" s="124">
        <f t="shared" ref="CS58" si="2650">CR58*$E58</f>
        <v>0</v>
      </c>
      <c r="CT58" s="123"/>
      <c r="CU58" s="124">
        <f t="shared" ref="CU58" si="2651">CT58*$E58</f>
        <v>0</v>
      </c>
      <c r="CV58" s="123"/>
      <c r="CW58" s="124">
        <f t="shared" ref="CW58" si="2652">CV58*$E58</f>
        <v>0</v>
      </c>
      <c r="CX58" s="123"/>
      <c r="CY58" s="124">
        <f t="shared" ref="CY58" si="2653">CX58*$E58</f>
        <v>0</v>
      </c>
      <c r="CZ58" s="123"/>
      <c r="DA58" s="124">
        <f t="shared" ref="DA58" si="2654">CZ58*$E58</f>
        <v>0</v>
      </c>
      <c r="DB58" s="123"/>
      <c r="DC58" s="124">
        <f t="shared" si="53"/>
        <v>0</v>
      </c>
      <c r="DD58" s="123"/>
      <c r="DE58" s="124">
        <f t="shared" si="53"/>
        <v>0</v>
      </c>
      <c r="DF58" s="27">
        <f t="shared" si="0"/>
        <v>0</v>
      </c>
      <c r="DG58" s="124">
        <f t="shared" si="54"/>
        <v>0</v>
      </c>
    </row>
    <row r="59" spans="1:111" ht="18" customHeight="1" x14ac:dyDescent="0.5">
      <c r="A59" s="117"/>
      <c r="B59" s="122"/>
      <c r="C59" s="122"/>
      <c r="D59" s="117"/>
      <c r="E59" s="117"/>
      <c r="F59" s="117"/>
      <c r="G59" s="117"/>
      <c r="H59" s="123"/>
      <c r="I59" s="124">
        <f t="shared" ref="I59" si="2655">H59*$E59</f>
        <v>0</v>
      </c>
      <c r="J59" s="123"/>
      <c r="K59" s="124">
        <f t="shared" ref="K59" si="2656">J59*$E59</f>
        <v>0</v>
      </c>
      <c r="L59" s="123"/>
      <c r="M59" s="124">
        <f t="shared" ref="M59" si="2657">L59*$E59</f>
        <v>0</v>
      </c>
      <c r="N59" s="123"/>
      <c r="O59" s="124">
        <f t="shared" ref="O59" si="2658">N59*$E59</f>
        <v>0</v>
      </c>
      <c r="P59" s="123"/>
      <c r="Q59" s="124">
        <f t="shared" ref="Q59" si="2659">P59*$E59</f>
        <v>0</v>
      </c>
      <c r="R59" s="123"/>
      <c r="S59" s="124">
        <f t="shared" ref="S59" si="2660">R59*$E59</f>
        <v>0</v>
      </c>
      <c r="T59" s="123"/>
      <c r="U59" s="124">
        <f t="shared" ref="U59" si="2661">T59*$E59</f>
        <v>0</v>
      </c>
      <c r="V59" s="123"/>
      <c r="W59" s="124">
        <f t="shared" ref="W59" si="2662">V59*$E59</f>
        <v>0</v>
      </c>
      <c r="X59" s="123"/>
      <c r="Y59" s="124">
        <f t="shared" ref="Y59" si="2663">X59*$E59</f>
        <v>0</v>
      </c>
      <c r="Z59" s="123"/>
      <c r="AA59" s="124">
        <f t="shared" ref="AA59" si="2664">Z59*$E59</f>
        <v>0</v>
      </c>
      <c r="AB59" s="123"/>
      <c r="AC59" s="124">
        <f t="shared" ref="AC59" si="2665">AB59*$E59</f>
        <v>0</v>
      </c>
      <c r="AD59" s="123"/>
      <c r="AE59" s="124">
        <f t="shared" ref="AE59" si="2666">AD59*$E59</f>
        <v>0</v>
      </c>
      <c r="AF59" s="125">
        <f t="shared" si="13"/>
        <v>0</v>
      </c>
      <c r="AG59" s="126">
        <f t="shared" ref="AG59" si="2667">AF59*$E59</f>
        <v>0</v>
      </c>
      <c r="AH59" s="11"/>
      <c r="AI59" s="124">
        <f t="shared" ref="AI59" si="2668">AH59*$E59</f>
        <v>0</v>
      </c>
      <c r="AJ59" s="15"/>
      <c r="AK59" s="124">
        <f t="shared" ref="AK59" si="2669">AJ59*$E59</f>
        <v>0</v>
      </c>
      <c r="AL59" s="15"/>
      <c r="AM59" s="124">
        <f t="shared" ref="AM59" si="2670">AL59*$E59</f>
        <v>0</v>
      </c>
      <c r="AN59" s="16"/>
      <c r="AO59" s="124">
        <f t="shared" ref="AO59" si="2671">AN59*$E59</f>
        <v>0</v>
      </c>
      <c r="AP59" s="15"/>
      <c r="AQ59" s="124">
        <f t="shared" ref="AQ59" si="2672">AP59*$E59</f>
        <v>0</v>
      </c>
      <c r="AR59" s="15"/>
      <c r="AS59" s="124">
        <f t="shared" ref="AS59" si="2673">AR59*$E59</f>
        <v>0</v>
      </c>
      <c r="AT59" s="17"/>
      <c r="AU59" s="124">
        <f t="shared" ref="AU59" si="2674">AT59*$E59</f>
        <v>0</v>
      </c>
      <c r="AV59" s="15"/>
      <c r="AW59" s="124">
        <f t="shared" ref="AW59" si="2675">AV59*$E59</f>
        <v>0</v>
      </c>
      <c r="AX59" s="15"/>
      <c r="AY59" s="124">
        <f t="shared" ref="AY59" si="2676">AX59*$E59</f>
        <v>0</v>
      </c>
      <c r="AZ59" s="17"/>
      <c r="BA59" s="124">
        <f t="shared" ref="BA59" si="2677">AZ59*$E59</f>
        <v>0</v>
      </c>
      <c r="BB59" s="33"/>
      <c r="BC59" s="124">
        <f t="shared" ref="BC59" si="2678">BB59*$E59</f>
        <v>0</v>
      </c>
      <c r="BD59" s="33"/>
      <c r="BE59" s="124">
        <f t="shared" ref="BE59" si="2679">BD59*$E59</f>
        <v>0</v>
      </c>
      <c r="BF59" s="125">
        <f t="shared" si="27"/>
        <v>0</v>
      </c>
      <c r="BG59" s="126">
        <f t="shared" ref="BG59" si="2680">BF59*$E59</f>
        <v>0</v>
      </c>
      <c r="BH59" s="123"/>
      <c r="BI59" s="124">
        <f t="shared" ref="BI59" si="2681">BH59*$E59</f>
        <v>0</v>
      </c>
      <c r="BJ59" s="123"/>
      <c r="BK59" s="124">
        <f t="shared" ref="BK59" si="2682">BJ59*$E59</f>
        <v>0</v>
      </c>
      <c r="BL59" s="123"/>
      <c r="BM59" s="124">
        <f t="shared" ref="BM59" si="2683">BL59*$E59</f>
        <v>0</v>
      </c>
      <c r="BN59" s="123"/>
      <c r="BO59" s="124">
        <f t="shared" ref="BO59" si="2684">BN59*$E59</f>
        <v>0</v>
      </c>
      <c r="BP59" s="123"/>
      <c r="BQ59" s="124">
        <f t="shared" ref="BQ59" si="2685">BP59*$E59</f>
        <v>0</v>
      </c>
      <c r="BR59" s="123"/>
      <c r="BS59" s="124">
        <f t="shared" ref="BS59" si="2686">BR59*$E59</f>
        <v>0</v>
      </c>
      <c r="BT59" s="123"/>
      <c r="BU59" s="124">
        <f t="shared" ref="BU59" si="2687">BT59*$E59</f>
        <v>0</v>
      </c>
      <c r="BV59" s="123"/>
      <c r="BW59" s="124">
        <f t="shared" ref="BW59" si="2688">BV59*$E59</f>
        <v>0</v>
      </c>
      <c r="BX59" s="123"/>
      <c r="BY59" s="124">
        <f t="shared" ref="BY59" si="2689">BX59*$E59</f>
        <v>0</v>
      </c>
      <c r="BZ59" s="123"/>
      <c r="CA59" s="124">
        <f t="shared" ref="CA59" si="2690">BZ59*$E59</f>
        <v>0</v>
      </c>
      <c r="CB59" s="123"/>
      <c r="CC59" s="124">
        <f t="shared" ref="CC59" si="2691">CB59*$E59</f>
        <v>0</v>
      </c>
      <c r="CD59" s="123"/>
      <c r="CE59" s="124">
        <f t="shared" ref="CE59" si="2692">CD59*$E59</f>
        <v>0</v>
      </c>
      <c r="CF59" s="125">
        <f t="shared" si="41"/>
        <v>0</v>
      </c>
      <c r="CG59" s="126">
        <f t="shared" ref="CG59" si="2693">CF59*$E59</f>
        <v>0</v>
      </c>
      <c r="CH59" s="123"/>
      <c r="CI59" s="124">
        <f t="shared" ref="CI59" si="2694">CH59*$E59</f>
        <v>0</v>
      </c>
      <c r="CJ59" s="123"/>
      <c r="CK59" s="124">
        <f t="shared" ref="CK59" si="2695">CJ59*$E59</f>
        <v>0</v>
      </c>
      <c r="CL59" s="123"/>
      <c r="CM59" s="124">
        <f t="shared" ref="CM59" si="2696">CL59*$E59</f>
        <v>0</v>
      </c>
      <c r="CN59" s="123"/>
      <c r="CO59" s="124">
        <f t="shared" ref="CO59" si="2697">CN59*$E59</f>
        <v>0</v>
      </c>
      <c r="CP59" s="123"/>
      <c r="CQ59" s="124">
        <f t="shared" ref="CQ59" si="2698">CP59*$E59</f>
        <v>0</v>
      </c>
      <c r="CR59" s="123"/>
      <c r="CS59" s="124">
        <f t="shared" ref="CS59" si="2699">CR59*$E59</f>
        <v>0</v>
      </c>
      <c r="CT59" s="123"/>
      <c r="CU59" s="124">
        <f t="shared" ref="CU59" si="2700">CT59*$E59</f>
        <v>0</v>
      </c>
      <c r="CV59" s="123"/>
      <c r="CW59" s="124">
        <f t="shared" ref="CW59" si="2701">CV59*$E59</f>
        <v>0</v>
      </c>
      <c r="CX59" s="123"/>
      <c r="CY59" s="124">
        <f t="shared" ref="CY59" si="2702">CX59*$E59</f>
        <v>0</v>
      </c>
      <c r="CZ59" s="123"/>
      <c r="DA59" s="124">
        <f t="shared" ref="DA59" si="2703">CZ59*$E59</f>
        <v>0</v>
      </c>
      <c r="DB59" s="123"/>
      <c r="DC59" s="124">
        <f t="shared" si="53"/>
        <v>0</v>
      </c>
      <c r="DD59" s="123"/>
      <c r="DE59" s="124">
        <f t="shared" si="53"/>
        <v>0</v>
      </c>
      <c r="DF59" s="27">
        <f t="shared" si="0"/>
        <v>0</v>
      </c>
      <c r="DG59" s="124">
        <f t="shared" si="54"/>
        <v>0</v>
      </c>
    </row>
    <row r="60" spans="1:111" ht="18" customHeight="1" x14ac:dyDescent="0.5">
      <c r="A60" s="117">
        <v>49</v>
      </c>
      <c r="B60" s="122" t="s">
        <v>169</v>
      </c>
      <c r="C60" s="122" t="s">
        <v>233</v>
      </c>
      <c r="D60" s="117">
        <f>RANK(DF60,$DF$4:$DF$141)</f>
        <v>15</v>
      </c>
      <c r="E60" s="117">
        <v>1</v>
      </c>
      <c r="F60" s="117" t="s">
        <v>232</v>
      </c>
      <c r="G60" s="117">
        <v>1600</v>
      </c>
      <c r="H60" s="123"/>
      <c r="I60" s="124">
        <f t="shared" ref="I60" si="2704">H60*$E60</f>
        <v>0</v>
      </c>
      <c r="J60" s="123"/>
      <c r="K60" s="124">
        <f t="shared" ref="K60" si="2705">J60*$E60</f>
        <v>0</v>
      </c>
      <c r="L60" s="123"/>
      <c r="M60" s="124">
        <f t="shared" ref="M60" si="2706">L60*$E60</f>
        <v>0</v>
      </c>
      <c r="N60" s="123"/>
      <c r="O60" s="124">
        <f t="shared" ref="O60" si="2707">N60*$E60</f>
        <v>0</v>
      </c>
      <c r="P60" s="123"/>
      <c r="Q60" s="124">
        <f t="shared" ref="Q60" si="2708">P60*$E60</f>
        <v>0</v>
      </c>
      <c r="R60" s="123"/>
      <c r="S60" s="124">
        <f t="shared" ref="S60" si="2709">R60*$E60</f>
        <v>0</v>
      </c>
      <c r="T60" s="123"/>
      <c r="U60" s="124">
        <f t="shared" ref="U60" si="2710">T60*$E60</f>
        <v>0</v>
      </c>
      <c r="V60" s="123"/>
      <c r="W60" s="124">
        <f t="shared" ref="W60" si="2711">V60*$E60</f>
        <v>0</v>
      </c>
      <c r="X60" s="123"/>
      <c r="Y60" s="124">
        <f t="shared" ref="Y60" si="2712">X60*$E60</f>
        <v>0</v>
      </c>
      <c r="Z60" s="123"/>
      <c r="AA60" s="124">
        <f t="shared" ref="AA60" si="2713">Z60*$E60</f>
        <v>0</v>
      </c>
      <c r="AB60" s="123"/>
      <c r="AC60" s="124">
        <f t="shared" ref="AC60" si="2714">AB60*$E60</f>
        <v>0</v>
      </c>
      <c r="AD60" s="123">
        <v>842</v>
      </c>
      <c r="AE60" s="124">
        <f t="shared" ref="AE60" si="2715">AD60*$E60</f>
        <v>842</v>
      </c>
      <c r="AF60" s="125">
        <f t="shared" si="13"/>
        <v>842</v>
      </c>
      <c r="AG60" s="126">
        <f t="shared" ref="AG60" si="2716">AF60*$E60</f>
        <v>842</v>
      </c>
      <c r="AH60" s="11">
        <v>756</v>
      </c>
      <c r="AI60" s="124">
        <f t="shared" ref="AI60" si="2717">AH60*$E60</f>
        <v>756</v>
      </c>
      <c r="AJ60" s="15">
        <v>574</v>
      </c>
      <c r="AK60" s="124">
        <f t="shared" ref="AK60" si="2718">AJ60*$E60</f>
        <v>574</v>
      </c>
      <c r="AL60" s="15">
        <v>540</v>
      </c>
      <c r="AM60" s="124">
        <f t="shared" ref="AM60" si="2719">AL60*$E60</f>
        <v>540</v>
      </c>
      <c r="AN60" s="16">
        <v>204</v>
      </c>
      <c r="AO60" s="124">
        <f t="shared" ref="AO60" si="2720">AN60*$E60</f>
        <v>204</v>
      </c>
      <c r="AP60" s="15">
        <v>912</v>
      </c>
      <c r="AQ60" s="124">
        <f t="shared" ref="AQ60" si="2721">AP60*$E60</f>
        <v>912</v>
      </c>
      <c r="AR60" s="15">
        <v>108</v>
      </c>
      <c r="AS60" s="124">
        <f t="shared" ref="AS60" si="2722">AR60*$E60</f>
        <v>108</v>
      </c>
      <c r="AT60" s="17"/>
      <c r="AU60" s="124">
        <f t="shared" ref="AU60" si="2723">AT60*$E60</f>
        <v>0</v>
      </c>
      <c r="AV60" s="15">
        <v>108</v>
      </c>
      <c r="AW60" s="124">
        <f t="shared" ref="AW60" si="2724">AV60*$E60</f>
        <v>108</v>
      </c>
      <c r="AX60" s="15">
        <v>264</v>
      </c>
      <c r="AY60" s="124">
        <f t="shared" ref="AY60" si="2725">AX60*$E60</f>
        <v>264</v>
      </c>
      <c r="AZ60" s="17">
        <v>252</v>
      </c>
      <c r="BA60" s="124">
        <f t="shared" ref="BA60" si="2726">AZ60*$E60</f>
        <v>252</v>
      </c>
      <c r="BB60" s="33">
        <v>180</v>
      </c>
      <c r="BC60" s="124">
        <f t="shared" ref="BC60" si="2727">BB60*$E60</f>
        <v>180</v>
      </c>
      <c r="BD60" s="33">
        <v>204</v>
      </c>
      <c r="BE60" s="124">
        <f t="shared" ref="BE60" si="2728">BD60*$E60</f>
        <v>204</v>
      </c>
      <c r="BF60" s="125">
        <f t="shared" si="27"/>
        <v>4102</v>
      </c>
      <c r="BG60" s="126">
        <f t="shared" ref="BG60" si="2729">BF60*$E60</f>
        <v>4102</v>
      </c>
      <c r="BH60" s="64">
        <v>24</v>
      </c>
      <c r="BI60" s="124">
        <f t="shared" ref="BI60" si="2730">BH60*$E60</f>
        <v>24</v>
      </c>
      <c r="BJ60" s="64">
        <v>252</v>
      </c>
      <c r="BK60" s="124">
        <f t="shared" ref="BK60" si="2731">BJ60*$E60</f>
        <v>252</v>
      </c>
      <c r="BL60" s="64">
        <v>24</v>
      </c>
      <c r="BM60" s="124">
        <f t="shared" ref="BM60" si="2732">BL60*$E60</f>
        <v>24</v>
      </c>
      <c r="BN60" s="64">
        <v>108</v>
      </c>
      <c r="BO60" s="124">
        <f t="shared" ref="BO60" si="2733">BN60*$E60</f>
        <v>108</v>
      </c>
      <c r="BP60" s="64">
        <v>24</v>
      </c>
      <c r="BQ60" s="124">
        <f t="shared" ref="BQ60" si="2734">BP60*$E60</f>
        <v>24</v>
      </c>
      <c r="BR60" s="65">
        <v>156</v>
      </c>
      <c r="BS60" s="124">
        <f t="shared" ref="BS60" si="2735">BR60*$E60</f>
        <v>156</v>
      </c>
      <c r="BT60" s="64">
        <v>24</v>
      </c>
      <c r="BU60" s="124">
        <f t="shared" ref="BU60" si="2736">BT60*$E60</f>
        <v>24</v>
      </c>
      <c r="BV60" s="75">
        <v>216</v>
      </c>
      <c r="BW60" s="124">
        <f t="shared" ref="BW60" si="2737">BV60*$E60</f>
        <v>216</v>
      </c>
      <c r="BX60" s="67">
        <v>120</v>
      </c>
      <c r="BY60" s="124">
        <f t="shared" ref="BY60" si="2738">BX60*$E60</f>
        <v>120</v>
      </c>
      <c r="BZ60" s="67">
        <v>180</v>
      </c>
      <c r="CA60" s="124">
        <f t="shared" ref="CA60" si="2739">BZ60*$E60</f>
        <v>180</v>
      </c>
      <c r="CB60" s="67">
        <v>132</v>
      </c>
      <c r="CC60" s="124">
        <f t="shared" ref="CC60" si="2740">CB60*$E60</f>
        <v>132</v>
      </c>
      <c r="CD60" s="67">
        <v>420</v>
      </c>
      <c r="CE60" s="124">
        <f t="shared" ref="CE60" si="2741">CD60*$E60</f>
        <v>420</v>
      </c>
      <c r="CF60" s="125">
        <f t="shared" si="41"/>
        <v>1680</v>
      </c>
      <c r="CG60" s="126">
        <f t="shared" ref="CG60" si="2742">CF60*$E60</f>
        <v>1680</v>
      </c>
      <c r="CH60" s="123">
        <v>84</v>
      </c>
      <c r="CI60" s="124">
        <f t="shared" ref="CI60" si="2743">CH60*$E60</f>
        <v>84</v>
      </c>
      <c r="CJ60" s="123">
        <v>36</v>
      </c>
      <c r="CK60" s="124">
        <f t="shared" ref="CK60" si="2744">CJ60*$E60</f>
        <v>36</v>
      </c>
      <c r="CL60" s="123">
        <v>60</v>
      </c>
      <c r="CM60" s="124">
        <f t="shared" ref="CM60" si="2745">CL60*$E60</f>
        <v>60</v>
      </c>
      <c r="CN60" s="123">
        <v>96</v>
      </c>
      <c r="CO60" s="124">
        <f t="shared" ref="CO60" si="2746">CN60*$E60</f>
        <v>96</v>
      </c>
      <c r="CP60" s="123">
        <v>360</v>
      </c>
      <c r="CQ60" s="124">
        <f t="shared" ref="CQ60" si="2747">CP60*$E60</f>
        <v>360</v>
      </c>
      <c r="CR60" s="123">
        <v>72</v>
      </c>
      <c r="CS60" s="124">
        <f t="shared" ref="CS60" si="2748">CR60*$E60</f>
        <v>72</v>
      </c>
      <c r="CT60" s="123">
        <v>336</v>
      </c>
      <c r="CU60" s="124">
        <f t="shared" ref="CU60" si="2749">CT60*$E60</f>
        <v>336</v>
      </c>
      <c r="CV60" s="123">
        <v>264</v>
      </c>
      <c r="CW60" s="124">
        <f t="shared" ref="CW60" si="2750">CV60*$E60</f>
        <v>264</v>
      </c>
      <c r="CX60" s="123">
        <v>228</v>
      </c>
      <c r="CY60" s="124">
        <f t="shared" ref="CY60" si="2751">CX60*$E60</f>
        <v>228</v>
      </c>
      <c r="CZ60" s="123">
        <v>168</v>
      </c>
      <c r="DA60" s="124">
        <f t="shared" ref="DA60" si="2752">CZ60*$E60</f>
        <v>168</v>
      </c>
      <c r="DB60" s="123">
        <v>84</v>
      </c>
      <c r="DC60" s="124">
        <f t="shared" si="53"/>
        <v>84</v>
      </c>
      <c r="DD60" s="123">
        <v>84</v>
      </c>
      <c r="DE60" s="124">
        <f t="shared" si="53"/>
        <v>84</v>
      </c>
      <c r="DF60" s="27">
        <f t="shared" si="0"/>
        <v>1872</v>
      </c>
      <c r="DG60" s="124">
        <f t="shared" si="54"/>
        <v>1872</v>
      </c>
    </row>
    <row r="61" spans="1:111" ht="18" customHeight="1" x14ac:dyDescent="0.5">
      <c r="A61" s="117">
        <v>50</v>
      </c>
      <c r="B61" s="128" t="s">
        <v>238</v>
      </c>
      <c r="C61" s="117"/>
      <c r="D61" s="117"/>
      <c r="E61" s="117">
        <v>0.6</v>
      </c>
      <c r="F61" s="117"/>
      <c r="G61" s="117"/>
      <c r="H61" s="123"/>
      <c r="I61" s="124">
        <f t="shared" ref="I61" si="2753">H61*$E61</f>
        <v>0</v>
      </c>
      <c r="J61" s="123"/>
      <c r="K61" s="124">
        <f t="shared" ref="K61" si="2754">J61*$E61</f>
        <v>0</v>
      </c>
      <c r="L61" s="123"/>
      <c r="M61" s="124">
        <f t="shared" ref="M61" si="2755">L61*$E61</f>
        <v>0</v>
      </c>
      <c r="N61" s="123"/>
      <c r="O61" s="124">
        <f t="shared" ref="O61" si="2756">N61*$E61</f>
        <v>0</v>
      </c>
      <c r="P61" s="123"/>
      <c r="Q61" s="124">
        <f t="shared" ref="Q61" si="2757">P61*$E61</f>
        <v>0</v>
      </c>
      <c r="R61" s="123"/>
      <c r="S61" s="124">
        <f t="shared" ref="S61" si="2758">R61*$E61</f>
        <v>0</v>
      </c>
      <c r="T61" s="123"/>
      <c r="U61" s="124">
        <f t="shared" ref="U61" si="2759">T61*$E61</f>
        <v>0</v>
      </c>
      <c r="V61" s="123"/>
      <c r="W61" s="124">
        <f t="shared" ref="W61" si="2760">V61*$E61</f>
        <v>0</v>
      </c>
      <c r="X61" s="123"/>
      <c r="Y61" s="124">
        <f t="shared" ref="Y61" si="2761">X61*$E61</f>
        <v>0</v>
      </c>
      <c r="Z61" s="123"/>
      <c r="AA61" s="124">
        <f t="shared" ref="AA61" si="2762">Z61*$E61</f>
        <v>0</v>
      </c>
      <c r="AB61" s="123"/>
      <c r="AC61" s="124">
        <f t="shared" ref="AC61" si="2763">AB61*$E61</f>
        <v>0</v>
      </c>
      <c r="AD61" s="123"/>
      <c r="AE61" s="124">
        <f t="shared" ref="AE61" si="2764">AD61*$E61</f>
        <v>0</v>
      </c>
      <c r="AF61" s="125">
        <f t="shared" si="13"/>
        <v>0</v>
      </c>
      <c r="AG61" s="126">
        <f t="shared" ref="AG61" si="2765">AF61*$E61</f>
        <v>0</v>
      </c>
      <c r="AH61" s="11"/>
      <c r="AI61" s="124">
        <f t="shared" ref="AI61" si="2766">AH61*$E61</f>
        <v>0</v>
      </c>
      <c r="AJ61" s="15"/>
      <c r="AK61" s="124">
        <f t="shared" ref="AK61" si="2767">AJ61*$E61</f>
        <v>0</v>
      </c>
      <c r="AL61" s="15"/>
      <c r="AM61" s="124">
        <f t="shared" ref="AM61" si="2768">AL61*$E61</f>
        <v>0</v>
      </c>
      <c r="AN61" s="16"/>
      <c r="AO61" s="124">
        <f t="shared" ref="AO61" si="2769">AN61*$E61</f>
        <v>0</v>
      </c>
      <c r="AP61" s="15"/>
      <c r="AQ61" s="124">
        <f t="shared" ref="AQ61" si="2770">AP61*$E61</f>
        <v>0</v>
      </c>
      <c r="AR61" s="15"/>
      <c r="AS61" s="124">
        <f t="shared" ref="AS61" si="2771">AR61*$E61</f>
        <v>0</v>
      </c>
      <c r="AT61" s="17"/>
      <c r="AU61" s="124">
        <f t="shared" ref="AU61" si="2772">AT61*$E61</f>
        <v>0</v>
      </c>
      <c r="AV61" s="15"/>
      <c r="AW61" s="124">
        <f t="shared" ref="AW61" si="2773">AV61*$E61</f>
        <v>0</v>
      </c>
      <c r="AX61" s="15"/>
      <c r="AY61" s="124">
        <f t="shared" ref="AY61" si="2774">AX61*$E61</f>
        <v>0</v>
      </c>
      <c r="AZ61" s="17"/>
      <c r="BA61" s="124">
        <f t="shared" ref="BA61" si="2775">AZ61*$E61</f>
        <v>0</v>
      </c>
      <c r="BB61" s="33"/>
      <c r="BC61" s="124">
        <f t="shared" ref="BC61" si="2776">BB61*$E61</f>
        <v>0</v>
      </c>
      <c r="BD61" s="33"/>
      <c r="BE61" s="124">
        <f t="shared" ref="BE61" si="2777">BD61*$E61</f>
        <v>0</v>
      </c>
      <c r="BF61" s="125">
        <f t="shared" si="27"/>
        <v>0</v>
      </c>
      <c r="BG61" s="126">
        <f t="shared" ref="BG61" si="2778">BF61*$E61</f>
        <v>0</v>
      </c>
      <c r="BH61" s="123"/>
      <c r="BI61" s="124">
        <f t="shared" ref="BI61" si="2779">BH61*$E61</f>
        <v>0</v>
      </c>
      <c r="BJ61" s="123"/>
      <c r="BK61" s="124">
        <f t="shared" ref="BK61" si="2780">BJ61*$E61</f>
        <v>0</v>
      </c>
      <c r="BL61" s="123"/>
      <c r="BM61" s="124">
        <f t="shared" ref="BM61" si="2781">BL61*$E61</f>
        <v>0</v>
      </c>
      <c r="BN61" s="123"/>
      <c r="BO61" s="124">
        <f t="shared" ref="BO61" si="2782">BN61*$E61</f>
        <v>0</v>
      </c>
      <c r="BP61" s="123"/>
      <c r="BQ61" s="124">
        <f t="shared" ref="BQ61" si="2783">BP61*$E61</f>
        <v>0</v>
      </c>
      <c r="BR61" s="123"/>
      <c r="BS61" s="124">
        <f t="shared" ref="BS61" si="2784">BR61*$E61</f>
        <v>0</v>
      </c>
      <c r="BT61" s="123"/>
      <c r="BU61" s="124">
        <f t="shared" ref="BU61" si="2785">BT61*$E61</f>
        <v>0</v>
      </c>
      <c r="BV61" s="123"/>
      <c r="BW61" s="124">
        <f t="shared" ref="BW61" si="2786">BV61*$E61</f>
        <v>0</v>
      </c>
      <c r="BX61" s="123"/>
      <c r="BY61" s="124">
        <f t="shared" ref="BY61" si="2787">BX61*$E61</f>
        <v>0</v>
      </c>
      <c r="BZ61" s="123"/>
      <c r="CA61" s="124">
        <f t="shared" ref="CA61" si="2788">BZ61*$E61</f>
        <v>0</v>
      </c>
      <c r="CB61" s="123"/>
      <c r="CC61" s="124">
        <f t="shared" ref="CC61" si="2789">CB61*$E61</f>
        <v>0</v>
      </c>
      <c r="CD61" s="123"/>
      <c r="CE61" s="124">
        <f t="shared" ref="CE61" si="2790">CD61*$E61</f>
        <v>0</v>
      </c>
      <c r="CF61" s="125">
        <f t="shared" si="41"/>
        <v>0</v>
      </c>
      <c r="CG61" s="126">
        <f t="shared" ref="CG61" si="2791">CF61*$E61</f>
        <v>0</v>
      </c>
      <c r="CH61" s="123"/>
      <c r="CI61" s="124">
        <f t="shared" ref="CI61" si="2792">CH61*$E61</f>
        <v>0</v>
      </c>
      <c r="CJ61" s="123"/>
      <c r="CK61" s="124">
        <f t="shared" ref="CK61" si="2793">CJ61*$E61</f>
        <v>0</v>
      </c>
      <c r="CL61" s="123"/>
      <c r="CM61" s="124">
        <f t="shared" ref="CM61" si="2794">CL61*$E61</f>
        <v>0</v>
      </c>
      <c r="CN61" s="123"/>
      <c r="CO61" s="124">
        <f t="shared" ref="CO61" si="2795">CN61*$E61</f>
        <v>0</v>
      </c>
      <c r="CP61" s="123"/>
      <c r="CQ61" s="124">
        <f t="shared" ref="CQ61" si="2796">CP61*$E61</f>
        <v>0</v>
      </c>
      <c r="CR61" s="123"/>
      <c r="CS61" s="124">
        <f t="shared" ref="CS61" si="2797">CR61*$E61</f>
        <v>0</v>
      </c>
      <c r="CT61" s="123"/>
      <c r="CU61" s="124">
        <f t="shared" ref="CU61" si="2798">CT61*$E61</f>
        <v>0</v>
      </c>
      <c r="CV61" s="123"/>
      <c r="CW61" s="124">
        <f t="shared" ref="CW61" si="2799">CV61*$E61</f>
        <v>0</v>
      </c>
      <c r="CX61" s="123"/>
      <c r="CY61" s="124">
        <f t="shared" ref="CY61" si="2800">CX61*$E61</f>
        <v>0</v>
      </c>
      <c r="CZ61" s="123"/>
      <c r="DA61" s="124">
        <f t="shared" ref="DA61" si="2801">CZ61*$E61</f>
        <v>0</v>
      </c>
      <c r="DB61" s="123"/>
      <c r="DC61" s="124">
        <f t="shared" si="53"/>
        <v>0</v>
      </c>
      <c r="DD61" s="123"/>
      <c r="DE61" s="124">
        <f t="shared" si="53"/>
        <v>0</v>
      </c>
      <c r="DF61" s="27">
        <f t="shared" si="0"/>
        <v>0</v>
      </c>
      <c r="DG61" s="124">
        <f t="shared" si="54"/>
        <v>0</v>
      </c>
    </row>
    <row r="62" spans="1:111" ht="18" customHeight="1" x14ac:dyDescent="0.5">
      <c r="A62" s="117">
        <v>51</v>
      </c>
      <c r="B62" s="122" t="s">
        <v>170</v>
      </c>
      <c r="C62" s="122" t="s">
        <v>233</v>
      </c>
      <c r="D62" s="117">
        <f>RANK(DF62,$DF$4:$DF$141)</f>
        <v>21</v>
      </c>
      <c r="E62" s="117">
        <v>0.35</v>
      </c>
      <c r="F62" s="117" t="s">
        <v>234</v>
      </c>
      <c r="G62" s="117"/>
      <c r="H62" s="123"/>
      <c r="I62" s="124">
        <f t="shared" ref="I62" si="2802">H62*$E62</f>
        <v>0</v>
      </c>
      <c r="J62" s="123"/>
      <c r="K62" s="124">
        <f t="shared" ref="K62" si="2803">J62*$E62</f>
        <v>0</v>
      </c>
      <c r="L62" s="123"/>
      <c r="M62" s="124">
        <f t="shared" ref="M62" si="2804">L62*$E62</f>
        <v>0</v>
      </c>
      <c r="N62" s="123"/>
      <c r="O62" s="124">
        <f t="shared" ref="O62" si="2805">N62*$E62</f>
        <v>0</v>
      </c>
      <c r="P62" s="123"/>
      <c r="Q62" s="124">
        <f t="shared" ref="Q62" si="2806">P62*$E62</f>
        <v>0</v>
      </c>
      <c r="R62" s="123"/>
      <c r="S62" s="124">
        <f t="shared" ref="S62" si="2807">R62*$E62</f>
        <v>0</v>
      </c>
      <c r="T62" s="123"/>
      <c r="U62" s="124">
        <f t="shared" ref="U62" si="2808">T62*$E62</f>
        <v>0</v>
      </c>
      <c r="V62" s="123"/>
      <c r="W62" s="124">
        <f t="shared" ref="W62" si="2809">V62*$E62</f>
        <v>0</v>
      </c>
      <c r="X62" s="123"/>
      <c r="Y62" s="124">
        <f t="shared" ref="Y62" si="2810">X62*$E62</f>
        <v>0</v>
      </c>
      <c r="Z62" s="123"/>
      <c r="AA62" s="124">
        <f t="shared" ref="AA62" si="2811">Z62*$E62</f>
        <v>0</v>
      </c>
      <c r="AB62" s="123"/>
      <c r="AC62" s="124">
        <f t="shared" ref="AC62" si="2812">AB62*$E62</f>
        <v>0</v>
      </c>
      <c r="AD62" s="123"/>
      <c r="AE62" s="124">
        <f t="shared" ref="AE62" si="2813">AD62*$E62</f>
        <v>0</v>
      </c>
      <c r="AF62" s="125">
        <f t="shared" si="13"/>
        <v>0</v>
      </c>
      <c r="AG62" s="126">
        <f t="shared" ref="AG62" si="2814">AF62*$E62</f>
        <v>0</v>
      </c>
      <c r="AH62" s="11"/>
      <c r="AI62" s="124">
        <f t="shared" ref="AI62" si="2815">AH62*$E62</f>
        <v>0</v>
      </c>
      <c r="AJ62" s="15"/>
      <c r="AK62" s="124">
        <f t="shared" ref="AK62" si="2816">AJ62*$E62</f>
        <v>0</v>
      </c>
      <c r="AL62" s="15"/>
      <c r="AM62" s="124">
        <f t="shared" ref="AM62" si="2817">AL62*$E62</f>
        <v>0</v>
      </c>
      <c r="AN62" s="16"/>
      <c r="AO62" s="124">
        <f t="shared" ref="AO62" si="2818">AN62*$E62</f>
        <v>0</v>
      </c>
      <c r="AP62" s="15"/>
      <c r="AQ62" s="124">
        <f t="shared" ref="AQ62" si="2819">AP62*$E62</f>
        <v>0</v>
      </c>
      <c r="AR62" s="15"/>
      <c r="AS62" s="124">
        <f t="shared" ref="AS62" si="2820">AR62*$E62</f>
        <v>0</v>
      </c>
      <c r="AT62" s="17"/>
      <c r="AU62" s="124">
        <f t="shared" ref="AU62" si="2821">AT62*$E62</f>
        <v>0</v>
      </c>
      <c r="AV62" s="15"/>
      <c r="AW62" s="124">
        <f t="shared" ref="AW62" si="2822">AV62*$E62</f>
        <v>0</v>
      </c>
      <c r="AX62" s="15"/>
      <c r="AY62" s="124">
        <f t="shared" ref="AY62" si="2823">AX62*$E62</f>
        <v>0</v>
      </c>
      <c r="AZ62" s="17"/>
      <c r="BA62" s="124">
        <f t="shared" ref="BA62" si="2824">AZ62*$E62</f>
        <v>0</v>
      </c>
      <c r="BB62" s="33"/>
      <c r="BC62" s="124">
        <f t="shared" ref="BC62" si="2825">BB62*$E62</f>
        <v>0</v>
      </c>
      <c r="BD62" s="33"/>
      <c r="BE62" s="124">
        <f t="shared" ref="BE62" si="2826">BD62*$E62</f>
        <v>0</v>
      </c>
      <c r="BF62" s="125">
        <f t="shared" si="27"/>
        <v>0</v>
      </c>
      <c r="BG62" s="126">
        <f t="shared" ref="BG62" si="2827">BF62*$E62</f>
        <v>0</v>
      </c>
      <c r="BH62" s="123"/>
      <c r="BI62" s="124">
        <f t="shared" ref="BI62" si="2828">BH62*$E62</f>
        <v>0</v>
      </c>
      <c r="BJ62" s="123"/>
      <c r="BK62" s="124">
        <f t="shared" ref="BK62" si="2829">BJ62*$E62</f>
        <v>0</v>
      </c>
      <c r="BL62" s="123"/>
      <c r="BM62" s="124">
        <f t="shared" ref="BM62" si="2830">BL62*$E62</f>
        <v>0</v>
      </c>
      <c r="BN62" s="123"/>
      <c r="BO62" s="124">
        <f t="shared" ref="BO62" si="2831">BN62*$E62</f>
        <v>0</v>
      </c>
      <c r="BP62" s="123"/>
      <c r="BQ62" s="124">
        <f t="shared" ref="BQ62" si="2832">BP62*$E62</f>
        <v>0</v>
      </c>
      <c r="BR62" s="123"/>
      <c r="BS62" s="124">
        <f t="shared" ref="BS62" si="2833">BR62*$E62</f>
        <v>0</v>
      </c>
      <c r="BT62" s="123"/>
      <c r="BU62" s="124">
        <f t="shared" ref="BU62" si="2834">BT62*$E62</f>
        <v>0</v>
      </c>
      <c r="BV62" s="123"/>
      <c r="BW62" s="124">
        <f t="shared" ref="BW62" si="2835">BV62*$E62</f>
        <v>0</v>
      </c>
      <c r="BX62" s="123"/>
      <c r="BY62" s="124">
        <f t="shared" ref="BY62" si="2836">BX62*$E62</f>
        <v>0</v>
      </c>
      <c r="BZ62" s="123"/>
      <c r="CA62" s="124">
        <f t="shared" ref="CA62" si="2837">BZ62*$E62</f>
        <v>0</v>
      </c>
      <c r="CB62" s="123"/>
      <c r="CC62" s="124">
        <f t="shared" ref="CC62" si="2838">CB62*$E62</f>
        <v>0</v>
      </c>
      <c r="CD62" s="123"/>
      <c r="CE62" s="124">
        <f t="shared" ref="CE62" si="2839">CD62*$E62</f>
        <v>0</v>
      </c>
      <c r="CF62" s="125">
        <f t="shared" si="41"/>
        <v>0</v>
      </c>
      <c r="CG62" s="126">
        <f t="shared" ref="CG62" si="2840">CF62*$E62</f>
        <v>0</v>
      </c>
      <c r="CH62" s="123"/>
      <c r="CI62" s="124">
        <f t="shared" ref="CI62" si="2841">CH62*$E62</f>
        <v>0</v>
      </c>
      <c r="CJ62" s="123"/>
      <c r="CK62" s="124">
        <f t="shared" ref="CK62" si="2842">CJ62*$E62</f>
        <v>0</v>
      </c>
      <c r="CL62" s="123"/>
      <c r="CM62" s="124">
        <f t="shared" ref="CM62" si="2843">CL62*$E62</f>
        <v>0</v>
      </c>
      <c r="CN62" s="123"/>
      <c r="CO62" s="124">
        <f t="shared" ref="CO62" si="2844">CN62*$E62</f>
        <v>0</v>
      </c>
      <c r="CP62" s="123"/>
      <c r="CQ62" s="124">
        <f t="shared" ref="CQ62" si="2845">CP62*$E62</f>
        <v>0</v>
      </c>
      <c r="CR62" s="123"/>
      <c r="CS62" s="124">
        <f t="shared" ref="CS62" si="2846">CR62*$E62</f>
        <v>0</v>
      </c>
      <c r="CT62" s="123"/>
      <c r="CU62" s="124">
        <f t="shared" ref="CU62" si="2847">CT62*$E62</f>
        <v>0</v>
      </c>
      <c r="CV62" s="123"/>
      <c r="CW62" s="124">
        <f t="shared" ref="CW62" si="2848">CV62*$E62</f>
        <v>0</v>
      </c>
      <c r="CX62" s="123"/>
      <c r="CY62" s="124">
        <f t="shared" ref="CY62" si="2849">CX62*$E62</f>
        <v>0</v>
      </c>
      <c r="CZ62" s="123"/>
      <c r="DA62" s="124">
        <f t="shared" ref="DA62" si="2850">CZ62*$E62</f>
        <v>0</v>
      </c>
      <c r="DB62" s="123"/>
      <c r="DC62" s="124">
        <f t="shared" si="53"/>
        <v>0</v>
      </c>
      <c r="DD62" s="123"/>
      <c r="DE62" s="124">
        <f t="shared" si="53"/>
        <v>0</v>
      </c>
      <c r="DF62" s="27">
        <f t="shared" si="0"/>
        <v>0</v>
      </c>
      <c r="DG62" s="124">
        <f t="shared" si="54"/>
        <v>0</v>
      </c>
    </row>
    <row r="63" spans="1:111" ht="18" customHeight="1" x14ac:dyDescent="0.5">
      <c r="A63" s="117">
        <v>52</v>
      </c>
      <c r="B63" s="122" t="s">
        <v>171</v>
      </c>
      <c r="C63" s="122" t="s">
        <v>231</v>
      </c>
      <c r="D63" s="117">
        <f>RANK(DF63,$DF$4:$DF$141)</f>
        <v>21</v>
      </c>
      <c r="E63" s="117">
        <v>0.64</v>
      </c>
      <c r="F63" s="117" t="s">
        <v>236</v>
      </c>
      <c r="G63" s="117"/>
      <c r="H63" s="123"/>
      <c r="I63" s="124">
        <f t="shared" ref="I63" si="2851">H63*$E63</f>
        <v>0</v>
      </c>
      <c r="J63" s="123"/>
      <c r="K63" s="124">
        <f t="shared" ref="K63" si="2852">J63*$E63</f>
        <v>0</v>
      </c>
      <c r="L63" s="123"/>
      <c r="M63" s="124">
        <f t="shared" ref="M63" si="2853">L63*$E63</f>
        <v>0</v>
      </c>
      <c r="N63" s="123"/>
      <c r="O63" s="124">
        <f t="shared" ref="O63" si="2854">N63*$E63</f>
        <v>0</v>
      </c>
      <c r="P63" s="123"/>
      <c r="Q63" s="124">
        <f t="shared" ref="Q63" si="2855">P63*$E63</f>
        <v>0</v>
      </c>
      <c r="R63" s="123"/>
      <c r="S63" s="124">
        <f t="shared" ref="S63" si="2856">R63*$E63</f>
        <v>0</v>
      </c>
      <c r="T63" s="123"/>
      <c r="U63" s="124">
        <f t="shared" ref="U63" si="2857">T63*$E63</f>
        <v>0</v>
      </c>
      <c r="V63" s="123"/>
      <c r="W63" s="124">
        <f t="shared" ref="W63" si="2858">V63*$E63</f>
        <v>0</v>
      </c>
      <c r="X63" s="123"/>
      <c r="Y63" s="124">
        <f t="shared" ref="Y63" si="2859">X63*$E63</f>
        <v>0</v>
      </c>
      <c r="Z63" s="123"/>
      <c r="AA63" s="124">
        <f t="shared" ref="AA63" si="2860">Z63*$E63</f>
        <v>0</v>
      </c>
      <c r="AB63" s="123"/>
      <c r="AC63" s="124">
        <f t="shared" ref="AC63" si="2861">AB63*$E63</f>
        <v>0</v>
      </c>
      <c r="AD63" s="123"/>
      <c r="AE63" s="124">
        <f t="shared" ref="AE63" si="2862">AD63*$E63</f>
        <v>0</v>
      </c>
      <c r="AF63" s="125">
        <f t="shared" si="13"/>
        <v>0</v>
      </c>
      <c r="AG63" s="126">
        <f t="shared" ref="AG63" si="2863">AF63*$E63</f>
        <v>0</v>
      </c>
      <c r="AH63" s="11"/>
      <c r="AI63" s="124">
        <f t="shared" ref="AI63" si="2864">AH63*$E63</f>
        <v>0</v>
      </c>
      <c r="AJ63" s="15"/>
      <c r="AK63" s="124">
        <f t="shared" ref="AK63" si="2865">AJ63*$E63</f>
        <v>0</v>
      </c>
      <c r="AL63" s="15"/>
      <c r="AM63" s="124">
        <f t="shared" ref="AM63" si="2866">AL63*$E63</f>
        <v>0</v>
      </c>
      <c r="AN63" s="16"/>
      <c r="AO63" s="124">
        <f t="shared" ref="AO63" si="2867">AN63*$E63</f>
        <v>0</v>
      </c>
      <c r="AP63" s="15"/>
      <c r="AQ63" s="124">
        <f t="shared" ref="AQ63" si="2868">AP63*$E63</f>
        <v>0</v>
      </c>
      <c r="AR63" s="15"/>
      <c r="AS63" s="124">
        <f t="shared" ref="AS63" si="2869">AR63*$E63</f>
        <v>0</v>
      </c>
      <c r="AT63" s="17"/>
      <c r="AU63" s="124">
        <f t="shared" ref="AU63" si="2870">AT63*$E63</f>
        <v>0</v>
      </c>
      <c r="AV63" s="15"/>
      <c r="AW63" s="124">
        <f t="shared" ref="AW63" si="2871">AV63*$E63</f>
        <v>0</v>
      </c>
      <c r="AX63" s="15"/>
      <c r="AY63" s="124">
        <f t="shared" ref="AY63" si="2872">AX63*$E63</f>
        <v>0</v>
      </c>
      <c r="AZ63" s="17"/>
      <c r="BA63" s="124">
        <f t="shared" ref="BA63" si="2873">AZ63*$E63</f>
        <v>0</v>
      </c>
      <c r="BB63" s="33"/>
      <c r="BC63" s="124">
        <f t="shared" ref="BC63" si="2874">BB63*$E63</f>
        <v>0</v>
      </c>
      <c r="BD63" s="33"/>
      <c r="BE63" s="124">
        <f t="shared" ref="BE63" si="2875">BD63*$E63</f>
        <v>0</v>
      </c>
      <c r="BF63" s="125">
        <f t="shared" si="27"/>
        <v>0</v>
      </c>
      <c r="BG63" s="126">
        <f t="shared" ref="BG63" si="2876">BF63*$E63</f>
        <v>0</v>
      </c>
      <c r="BH63" s="123"/>
      <c r="BI63" s="124">
        <f t="shared" ref="BI63" si="2877">BH63*$E63</f>
        <v>0</v>
      </c>
      <c r="BJ63" s="123"/>
      <c r="BK63" s="124">
        <f t="shared" ref="BK63" si="2878">BJ63*$E63</f>
        <v>0</v>
      </c>
      <c r="BL63" s="123"/>
      <c r="BM63" s="124">
        <f t="shared" ref="BM63" si="2879">BL63*$E63</f>
        <v>0</v>
      </c>
      <c r="BN63" s="123"/>
      <c r="BO63" s="124">
        <f t="shared" ref="BO63" si="2880">BN63*$E63</f>
        <v>0</v>
      </c>
      <c r="BP63" s="123"/>
      <c r="BQ63" s="124">
        <f t="shared" ref="BQ63" si="2881">BP63*$E63</f>
        <v>0</v>
      </c>
      <c r="BR63" s="123"/>
      <c r="BS63" s="124">
        <f t="shared" ref="BS63" si="2882">BR63*$E63</f>
        <v>0</v>
      </c>
      <c r="BT63" s="123"/>
      <c r="BU63" s="124">
        <f t="shared" ref="BU63" si="2883">BT63*$E63</f>
        <v>0</v>
      </c>
      <c r="BV63" s="123"/>
      <c r="BW63" s="124">
        <f t="shared" ref="BW63" si="2884">BV63*$E63</f>
        <v>0</v>
      </c>
      <c r="BX63" s="123"/>
      <c r="BY63" s="124">
        <f t="shared" ref="BY63" si="2885">BX63*$E63</f>
        <v>0</v>
      </c>
      <c r="BZ63" s="123"/>
      <c r="CA63" s="124">
        <f t="shared" ref="CA63" si="2886">BZ63*$E63</f>
        <v>0</v>
      </c>
      <c r="CB63" s="123"/>
      <c r="CC63" s="124">
        <f t="shared" ref="CC63" si="2887">CB63*$E63</f>
        <v>0</v>
      </c>
      <c r="CD63" s="123"/>
      <c r="CE63" s="124">
        <f t="shared" ref="CE63" si="2888">CD63*$E63</f>
        <v>0</v>
      </c>
      <c r="CF63" s="125">
        <f t="shared" si="41"/>
        <v>0</v>
      </c>
      <c r="CG63" s="126">
        <f t="shared" ref="CG63" si="2889">CF63*$E63</f>
        <v>0</v>
      </c>
      <c r="CH63" s="123"/>
      <c r="CI63" s="124">
        <f t="shared" ref="CI63" si="2890">CH63*$E63</f>
        <v>0</v>
      </c>
      <c r="CJ63" s="123"/>
      <c r="CK63" s="124">
        <f t="shared" ref="CK63" si="2891">CJ63*$E63</f>
        <v>0</v>
      </c>
      <c r="CL63" s="123"/>
      <c r="CM63" s="124">
        <f t="shared" ref="CM63" si="2892">CL63*$E63</f>
        <v>0</v>
      </c>
      <c r="CN63" s="123"/>
      <c r="CO63" s="124">
        <f t="shared" ref="CO63" si="2893">CN63*$E63</f>
        <v>0</v>
      </c>
      <c r="CP63" s="123"/>
      <c r="CQ63" s="124">
        <f t="shared" ref="CQ63" si="2894">CP63*$E63</f>
        <v>0</v>
      </c>
      <c r="CR63" s="123"/>
      <c r="CS63" s="124">
        <f t="shared" ref="CS63" si="2895">CR63*$E63</f>
        <v>0</v>
      </c>
      <c r="CT63" s="123"/>
      <c r="CU63" s="124">
        <f t="shared" ref="CU63" si="2896">CT63*$E63</f>
        <v>0</v>
      </c>
      <c r="CV63" s="123"/>
      <c r="CW63" s="124">
        <f t="shared" ref="CW63" si="2897">CV63*$E63</f>
        <v>0</v>
      </c>
      <c r="CX63" s="123"/>
      <c r="CY63" s="124">
        <f t="shared" ref="CY63" si="2898">CX63*$E63</f>
        <v>0</v>
      </c>
      <c r="CZ63" s="123"/>
      <c r="DA63" s="124">
        <f t="shared" ref="DA63" si="2899">CZ63*$E63</f>
        <v>0</v>
      </c>
      <c r="DB63" s="123"/>
      <c r="DC63" s="124">
        <f t="shared" si="53"/>
        <v>0</v>
      </c>
      <c r="DD63" s="123"/>
      <c r="DE63" s="124">
        <f t="shared" si="53"/>
        <v>0</v>
      </c>
      <c r="DF63" s="27">
        <f t="shared" si="0"/>
        <v>0</v>
      </c>
      <c r="DG63" s="124">
        <f t="shared" si="54"/>
        <v>0</v>
      </c>
    </row>
    <row r="64" spans="1:111" ht="18" customHeight="1" x14ac:dyDescent="0.5">
      <c r="A64" s="117">
        <v>53</v>
      </c>
      <c r="B64" s="122" t="s">
        <v>172</v>
      </c>
      <c r="C64" s="122" t="s">
        <v>231</v>
      </c>
      <c r="D64" s="117">
        <f>RANK(DF64,$DF$4:$DF$141)</f>
        <v>21</v>
      </c>
      <c r="E64" s="117">
        <v>0.64</v>
      </c>
      <c r="F64" s="117" t="s">
        <v>236</v>
      </c>
      <c r="G64" s="117"/>
      <c r="H64" s="123"/>
      <c r="I64" s="124">
        <f t="shared" ref="I64" si="2900">H64*$E64</f>
        <v>0</v>
      </c>
      <c r="J64" s="123"/>
      <c r="K64" s="124">
        <f t="shared" ref="K64" si="2901">J64*$E64</f>
        <v>0</v>
      </c>
      <c r="L64" s="123"/>
      <c r="M64" s="124">
        <f t="shared" ref="M64" si="2902">L64*$E64</f>
        <v>0</v>
      </c>
      <c r="N64" s="123"/>
      <c r="O64" s="124">
        <f t="shared" ref="O64" si="2903">N64*$E64</f>
        <v>0</v>
      </c>
      <c r="P64" s="123"/>
      <c r="Q64" s="124">
        <f t="shared" ref="Q64" si="2904">P64*$E64</f>
        <v>0</v>
      </c>
      <c r="R64" s="123"/>
      <c r="S64" s="124">
        <f t="shared" ref="S64" si="2905">R64*$E64</f>
        <v>0</v>
      </c>
      <c r="T64" s="123"/>
      <c r="U64" s="124">
        <f t="shared" ref="U64" si="2906">T64*$E64</f>
        <v>0</v>
      </c>
      <c r="V64" s="123"/>
      <c r="W64" s="124">
        <f t="shared" ref="W64" si="2907">V64*$E64</f>
        <v>0</v>
      </c>
      <c r="X64" s="123"/>
      <c r="Y64" s="124">
        <f t="shared" ref="Y64" si="2908">X64*$E64</f>
        <v>0</v>
      </c>
      <c r="Z64" s="123"/>
      <c r="AA64" s="124">
        <f t="shared" ref="AA64" si="2909">Z64*$E64</f>
        <v>0</v>
      </c>
      <c r="AB64" s="123"/>
      <c r="AC64" s="124">
        <f t="shared" ref="AC64" si="2910">AB64*$E64</f>
        <v>0</v>
      </c>
      <c r="AD64" s="123"/>
      <c r="AE64" s="124">
        <f t="shared" ref="AE64" si="2911">AD64*$E64</f>
        <v>0</v>
      </c>
      <c r="AF64" s="125">
        <f t="shared" si="13"/>
        <v>0</v>
      </c>
      <c r="AG64" s="126">
        <f t="shared" ref="AG64" si="2912">AF64*$E64</f>
        <v>0</v>
      </c>
      <c r="AH64" s="11">
        <v>1596</v>
      </c>
      <c r="AI64" s="124">
        <f t="shared" ref="AI64" si="2913">AH64*$E64</f>
        <v>1021.44</v>
      </c>
      <c r="AJ64" s="15"/>
      <c r="AK64" s="124">
        <f t="shared" ref="AK64" si="2914">AJ64*$E64</f>
        <v>0</v>
      </c>
      <c r="AL64" s="15"/>
      <c r="AM64" s="124">
        <f t="shared" ref="AM64" si="2915">AL64*$E64</f>
        <v>0</v>
      </c>
      <c r="AN64" s="16"/>
      <c r="AO64" s="124">
        <f t="shared" ref="AO64" si="2916">AN64*$E64</f>
        <v>0</v>
      </c>
      <c r="AP64" s="15"/>
      <c r="AQ64" s="124">
        <f t="shared" ref="AQ64" si="2917">AP64*$E64</f>
        <v>0</v>
      </c>
      <c r="AR64" s="15"/>
      <c r="AS64" s="124">
        <f t="shared" ref="AS64" si="2918">AR64*$E64</f>
        <v>0</v>
      </c>
      <c r="AT64" s="17"/>
      <c r="AU64" s="124">
        <f t="shared" ref="AU64" si="2919">AT64*$E64</f>
        <v>0</v>
      </c>
      <c r="AV64" s="15"/>
      <c r="AW64" s="124">
        <f t="shared" ref="AW64" si="2920">AV64*$E64</f>
        <v>0</v>
      </c>
      <c r="AX64" s="15"/>
      <c r="AY64" s="124">
        <f t="shared" ref="AY64" si="2921">AX64*$E64</f>
        <v>0</v>
      </c>
      <c r="AZ64" s="17"/>
      <c r="BA64" s="124">
        <f t="shared" ref="BA64" si="2922">AZ64*$E64</f>
        <v>0</v>
      </c>
      <c r="BB64" s="33"/>
      <c r="BC64" s="124">
        <f t="shared" ref="BC64" si="2923">BB64*$E64</f>
        <v>0</v>
      </c>
      <c r="BD64" s="33"/>
      <c r="BE64" s="124">
        <f t="shared" ref="BE64" si="2924">BD64*$E64</f>
        <v>0</v>
      </c>
      <c r="BF64" s="125">
        <f t="shared" si="27"/>
        <v>1596</v>
      </c>
      <c r="BG64" s="126">
        <f t="shared" ref="BG64" si="2925">BF64*$E64</f>
        <v>1021.44</v>
      </c>
      <c r="BH64" s="123"/>
      <c r="BI64" s="124">
        <f t="shared" ref="BI64" si="2926">BH64*$E64</f>
        <v>0</v>
      </c>
      <c r="BJ64" s="123"/>
      <c r="BK64" s="124">
        <f t="shared" ref="BK64" si="2927">BJ64*$E64</f>
        <v>0</v>
      </c>
      <c r="BL64" s="123"/>
      <c r="BM64" s="124">
        <f t="shared" ref="BM64" si="2928">BL64*$E64</f>
        <v>0</v>
      </c>
      <c r="BN64" s="123"/>
      <c r="BO64" s="124">
        <f t="shared" ref="BO64" si="2929">BN64*$E64</f>
        <v>0</v>
      </c>
      <c r="BP64" s="123"/>
      <c r="BQ64" s="124">
        <f t="shared" ref="BQ64" si="2930">BP64*$E64</f>
        <v>0</v>
      </c>
      <c r="BR64" s="123"/>
      <c r="BS64" s="124">
        <f t="shared" ref="BS64" si="2931">BR64*$E64</f>
        <v>0</v>
      </c>
      <c r="BT64" s="123"/>
      <c r="BU64" s="124">
        <f t="shared" ref="BU64" si="2932">BT64*$E64</f>
        <v>0</v>
      </c>
      <c r="BV64" s="123"/>
      <c r="BW64" s="124">
        <f t="shared" ref="BW64" si="2933">BV64*$E64</f>
        <v>0</v>
      </c>
      <c r="BX64" s="123"/>
      <c r="BY64" s="124">
        <f t="shared" ref="BY64" si="2934">BX64*$E64</f>
        <v>0</v>
      </c>
      <c r="BZ64" s="123"/>
      <c r="CA64" s="124">
        <f t="shared" ref="CA64" si="2935">BZ64*$E64</f>
        <v>0</v>
      </c>
      <c r="CB64" s="123"/>
      <c r="CC64" s="124">
        <f t="shared" ref="CC64" si="2936">CB64*$E64</f>
        <v>0</v>
      </c>
      <c r="CD64" s="123"/>
      <c r="CE64" s="124">
        <f t="shared" ref="CE64" si="2937">CD64*$E64</f>
        <v>0</v>
      </c>
      <c r="CF64" s="125">
        <f t="shared" si="41"/>
        <v>0</v>
      </c>
      <c r="CG64" s="126">
        <f t="shared" ref="CG64" si="2938">CF64*$E64</f>
        <v>0</v>
      </c>
      <c r="CH64" s="123"/>
      <c r="CI64" s="124">
        <f t="shared" ref="CI64" si="2939">CH64*$E64</f>
        <v>0</v>
      </c>
      <c r="CJ64" s="123"/>
      <c r="CK64" s="124">
        <f t="shared" ref="CK64" si="2940">CJ64*$E64</f>
        <v>0</v>
      </c>
      <c r="CL64" s="123"/>
      <c r="CM64" s="124">
        <f t="shared" ref="CM64" si="2941">CL64*$E64</f>
        <v>0</v>
      </c>
      <c r="CN64" s="123"/>
      <c r="CO64" s="124">
        <f t="shared" ref="CO64" si="2942">CN64*$E64</f>
        <v>0</v>
      </c>
      <c r="CP64" s="123"/>
      <c r="CQ64" s="124">
        <f t="shared" ref="CQ64" si="2943">CP64*$E64</f>
        <v>0</v>
      </c>
      <c r="CR64" s="123"/>
      <c r="CS64" s="124">
        <f t="shared" ref="CS64" si="2944">CR64*$E64</f>
        <v>0</v>
      </c>
      <c r="CT64" s="123"/>
      <c r="CU64" s="124">
        <f t="shared" ref="CU64" si="2945">CT64*$E64</f>
        <v>0</v>
      </c>
      <c r="CV64" s="123"/>
      <c r="CW64" s="124">
        <f t="shared" ref="CW64" si="2946">CV64*$E64</f>
        <v>0</v>
      </c>
      <c r="CX64" s="123"/>
      <c r="CY64" s="124">
        <f t="shared" ref="CY64" si="2947">CX64*$E64</f>
        <v>0</v>
      </c>
      <c r="CZ64" s="123"/>
      <c r="DA64" s="124">
        <f t="shared" ref="DA64" si="2948">CZ64*$E64</f>
        <v>0</v>
      </c>
      <c r="DB64" s="123"/>
      <c r="DC64" s="124">
        <f t="shared" si="53"/>
        <v>0</v>
      </c>
      <c r="DD64" s="123"/>
      <c r="DE64" s="124">
        <f t="shared" si="53"/>
        <v>0</v>
      </c>
      <c r="DF64" s="27">
        <f t="shared" si="0"/>
        <v>0</v>
      </c>
      <c r="DG64" s="124">
        <f t="shared" si="54"/>
        <v>0</v>
      </c>
    </row>
    <row r="65" spans="1:111" ht="18" customHeight="1" x14ac:dyDescent="0.5">
      <c r="A65" s="117"/>
      <c r="B65" s="122"/>
      <c r="C65" s="122"/>
      <c r="D65" s="117"/>
      <c r="E65" s="117"/>
      <c r="F65" s="117"/>
      <c r="G65" s="117"/>
      <c r="H65" s="123"/>
      <c r="I65" s="124">
        <f t="shared" ref="I65" si="2949">H65*$E65</f>
        <v>0</v>
      </c>
      <c r="J65" s="123"/>
      <c r="K65" s="124">
        <f t="shared" ref="K65" si="2950">J65*$E65</f>
        <v>0</v>
      </c>
      <c r="L65" s="123"/>
      <c r="M65" s="124">
        <f t="shared" ref="M65" si="2951">L65*$E65</f>
        <v>0</v>
      </c>
      <c r="N65" s="123"/>
      <c r="O65" s="124">
        <f t="shared" ref="O65" si="2952">N65*$E65</f>
        <v>0</v>
      </c>
      <c r="P65" s="123"/>
      <c r="Q65" s="124">
        <f t="shared" ref="Q65" si="2953">P65*$E65</f>
        <v>0</v>
      </c>
      <c r="R65" s="123"/>
      <c r="S65" s="124">
        <f t="shared" ref="S65" si="2954">R65*$E65</f>
        <v>0</v>
      </c>
      <c r="T65" s="123"/>
      <c r="U65" s="124">
        <f t="shared" ref="U65" si="2955">T65*$E65</f>
        <v>0</v>
      </c>
      <c r="V65" s="123"/>
      <c r="W65" s="124">
        <f t="shared" ref="W65" si="2956">V65*$E65</f>
        <v>0</v>
      </c>
      <c r="X65" s="123"/>
      <c r="Y65" s="124">
        <f t="shared" ref="Y65" si="2957">X65*$E65</f>
        <v>0</v>
      </c>
      <c r="Z65" s="123"/>
      <c r="AA65" s="124">
        <f t="shared" ref="AA65" si="2958">Z65*$E65</f>
        <v>0</v>
      </c>
      <c r="AB65" s="123"/>
      <c r="AC65" s="124">
        <f t="shared" ref="AC65" si="2959">AB65*$E65</f>
        <v>0</v>
      </c>
      <c r="AD65" s="123"/>
      <c r="AE65" s="124">
        <f t="shared" ref="AE65" si="2960">AD65*$E65</f>
        <v>0</v>
      </c>
      <c r="AF65" s="125">
        <f t="shared" si="13"/>
        <v>0</v>
      </c>
      <c r="AG65" s="126">
        <f t="shared" ref="AG65" si="2961">AF65*$E65</f>
        <v>0</v>
      </c>
      <c r="AH65" s="11"/>
      <c r="AI65" s="124">
        <f t="shared" ref="AI65" si="2962">AH65*$E65</f>
        <v>0</v>
      </c>
      <c r="AJ65" s="15"/>
      <c r="AK65" s="124">
        <f t="shared" ref="AK65" si="2963">AJ65*$E65</f>
        <v>0</v>
      </c>
      <c r="AL65" s="15"/>
      <c r="AM65" s="124">
        <f t="shared" ref="AM65" si="2964">AL65*$E65</f>
        <v>0</v>
      </c>
      <c r="AN65" s="16"/>
      <c r="AO65" s="124">
        <f t="shared" ref="AO65" si="2965">AN65*$E65</f>
        <v>0</v>
      </c>
      <c r="AP65" s="15"/>
      <c r="AQ65" s="124">
        <f t="shared" ref="AQ65" si="2966">AP65*$E65</f>
        <v>0</v>
      </c>
      <c r="AR65" s="15"/>
      <c r="AS65" s="124">
        <f t="shared" ref="AS65" si="2967">AR65*$E65</f>
        <v>0</v>
      </c>
      <c r="AT65" s="17"/>
      <c r="AU65" s="124">
        <f t="shared" ref="AU65" si="2968">AT65*$E65</f>
        <v>0</v>
      </c>
      <c r="AV65" s="15"/>
      <c r="AW65" s="124">
        <f t="shared" ref="AW65" si="2969">AV65*$E65</f>
        <v>0</v>
      </c>
      <c r="AX65" s="15"/>
      <c r="AY65" s="124">
        <f t="shared" ref="AY65" si="2970">AX65*$E65</f>
        <v>0</v>
      </c>
      <c r="AZ65" s="17"/>
      <c r="BA65" s="124">
        <f t="shared" ref="BA65" si="2971">AZ65*$E65</f>
        <v>0</v>
      </c>
      <c r="BB65" s="33"/>
      <c r="BC65" s="124">
        <f t="shared" ref="BC65" si="2972">BB65*$E65</f>
        <v>0</v>
      </c>
      <c r="BD65" s="33"/>
      <c r="BE65" s="124">
        <f t="shared" ref="BE65" si="2973">BD65*$E65</f>
        <v>0</v>
      </c>
      <c r="BF65" s="125">
        <f t="shared" si="27"/>
        <v>0</v>
      </c>
      <c r="BG65" s="126">
        <f t="shared" ref="BG65" si="2974">BF65*$E65</f>
        <v>0</v>
      </c>
      <c r="BH65" s="123"/>
      <c r="BI65" s="124">
        <f t="shared" ref="BI65" si="2975">BH65*$E65</f>
        <v>0</v>
      </c>
      <c r="BJ65" s="123"/>
      <c r="BK65" s="124">
        <f t="shared" ref="BK65" si="2976">BJ65*$E65</f>
        <v>0</v>
      </c>
      <c r="BL65" s="123"/>
      <c r="BM65" s="124">
        <f t="shared" ref="BM65" si="2977">BL65*$E65</f>
        <v>0</v>
      </c>
      <c r="BN65" s="123"/>
      <c r="BO65" s="124">
        <f t="shared" ref="BO65" si="2978">BN65*$E65</f>
        <v>0</v>
      </c>
      <c r="BP65" s="123"/>
      <c r="BQ65" s="124">
        <f t="shared" ref="BQ65" si="2979">BP65*$E65</f>
        <v>0</v>
      </c>
      <c r="BR65" s="123"/>
      <c r="BS65" s="124">
        <f t="shared" ref="BS65" si="2980">BR65*$E65</f>
        <v>0</v>
      </c>
      <c r="BT65" s="123"/>
      <c r="BU65" s="124">
        <f t="shared" ref="BU65" si="2981">BT65*$E65</f>
        <v>0</v>
      </c>
      <c r="BV65" s="123"/>
      <c r="BW65" s="124">
        <f t="shared" ref="BW65" si="2982">BV65*$E65</f>
        <v>0</v>
      </c>
      <c r="BX65" s="123"/>
      <c r="BY65" s="124">
        <f t="shared" ref="BY65" si="2983">BX65*$E65</f>
        <v>0</v>
      </c>
      <c r="BZ65" s="123"/>
      <c r="CA65" s="124">
        <f t="shared" ref="CA65" si="2984">BZ65*$E65</f>
        <v>0</v>
      </c>
      <c r="CB65" s="123"/>
      <c r="CC65" s="124">
        <f t="shared" ref="CC65" si="2985">CB65*$E65</f>
        <v>0</v>
      </c>
      <c r="CD65" s="123"/>
      <c r="CE65" s="124">
        <f t="shared" ref="CE65" si="2986">CD65*$E65</f>
        <v>0</v>
      </c>
      <c r="CF65" s="125">
        <f t="shared" si="41"/>
        <v>0</v>
      </c>
      <c r="CG65" s="126">
        <f t="shared" ref="CG65" si="2987">CF65*$E65</f>
        <v>0</v>
      </c>
      <c r="CH65" s="123"/>
      <c r="CI65" s="124">
        <f t="shared" ref="CI65" si="2988">CH65*$E65</f>
        <v>0</v>
      </c>
      <c r="CJ65" s="123"/>
      <c r="CK65" s="124">
        <f t="shared" ref="CK65" si="2989">CJ65*$E65</f>
        <v>0</v>
      </c>
      <c r="CL65" s="123"/>
      <c r="CM65" s="124">
        <f t="shared" ref="CM65" si="2990">CL65*$E65</f>
        <v>0</v>
      </c>
      <c r="CN65" s="123"/>
      <c r="CO65" s="124">
        <f t="shared" ref="CO65" si="2991">CN65*$E65</f>
        <v>0</v>
      </c>
      <c r="CP65" s="123"/>
      <c r="CQ65" s="124">
        <f t="shared" ref="CQ65" si="2992">CP65*$E65</f>
        <v>0</v>
      </c>
      <c r="CR65" s="123"/>
      <c r="CS65" s="124">
        <f t="shared" ref="CS65" si="2993">CR65*$E65</f>
        <v>0</v>
      </c>
      <c r="CT65" s="123"/>
      <c r="CU65" s="124">
        <f t="shared" ref="CU65" si="2994">CT65*$E65</f>
        <v>0</v>
      </c>
      <c r="CV65" s="123"/>
      <c r="CW65" s="124">
        <f t="shared" ref="CW65" si="2995">CV65*$E65</f>
        <v>0</v>
      </c>
      <c r="CX65" s="123"/>
      <c r="CY65" s="124">
        <f t="shared" ref="CY65" si="2996">CX65*$E65</f>
        <v>0</v>
      </c>
      <c r="CZ65" s="123"/>
      <c r="DA65" s="124">
        <f t="shared" ref="DA65" si="2997">CZ65*$E65</f>
        <v>0</v>
      </c>
      <c r="DB65" s="123"/>
      <c r="DC65" s="124">
        <f t="shared" si="53"/>
        <v>0</v>
      </c>
      <c r="DD65" s="123"/>
      <c r="DE65" s="124">
        <f t="shared" si="53"/>
        <v>0</v>
      </c>
      <c r="DF65" s="27">
        <f t="shared" si="0"/>
        <v>0</v>
      </c>
      <c r="DG65" s="124">
        <f t="shared" si="54"/>
        <v>0</v>
      </c>
    </row>
    <row r="66" spans="1:111" ht="18" customHeight="1" x14ac:dyDescent="0.5">
      <c r="A66" s="117">
        <v>54</v>
      </c>
      <c r="B66" s="122" t="s">
        <v>173</v>
      </c>
      <c r="C66" s="122" t="s">
        <v>233</v>
      </c>
      <c r="D66" s="117">
        <f>RANK(DF66,$DF$4:$DF$141)</f>
        <v>21</v>
      </c>
      <c r="E66" s="117">
        <v>1</v>
      </c>
      <c r="F66" s="117" t="s">
        <v>232</v>
      </c>
      <c r="G66" s="117"/>
      <c r="H66" s="123"/>
      <c r="I66" s="124">
        <f t="shared" ref="I66" si="2998">H66*$E66</f>
        <v>0</v>
      </c>
      <c r="J66" s="123"/>
      <c r="K66" s="124">
        <f t="shared" ref="K66" si="2999">J66*$E66</f>
        <v>0</v>
      </c>
      <c r="L66" s="123"/>
      <c r="M66" s="124">
        <f t="shared" ref="M66" si="3000">L66*$E66</f>
        <v>0</v>
      </c>
      <c r="N66" s="123"/>
      <c r="O66" s="124">
        <f t="shared" ref="O66" si="3001">N66*$E66</f>
        <v>0</v>
      </c>
      <c r="P66" s="123"/>
      <c r="Q66" s="124">
        <f t="shared" ref="Q66" si="3002">P66*$E66</f>
        <v>0</v>
      </c>
      <c r="R66" s="123"/>
      <c r="S66" s="124">
        <f t="shared" ref="S66" si="3003">R66*$E66</f>
        <v>0</v>
      </c>
      <c r="T66" s="123"/>
      <c r="U66" s="124">
        <f t="shared" ref="U66" si="3004">T66*$E66</f>
        <v>0</v>
      </c>
      <c r="V66" s="123"/>
      <c r="W66" s="124">
        <f t="shared" ref="W66" si="3005">V66*$E66</f>
        <v>0</v>
      </c>
      <c r="X66" s="123"/>
      <c r="Y66" s="124">
        <f t="shared" ref="Y66" si="3006">X66*$E66</f>
        <v>0</v>
      </c>
      <c r="Z66" s="123"/>
      <c r="AA66" s="124">
        <f t="shared" ref="AA66" si="3007">Z66*$E66</f>
        <v>0</v>
      </c>
      <c r="AB66" s="123"/>
      <c r="AC66" s="124">
        <f t="shared" ref="AC66" si="3008">AB66*$E66</f>
        <v>0</v>
      </c>
      <c r="AD66" s="123"/>
      <c r="AE66" s="124">
        <f t="shared" ref="AE66" si="3009">AD66*$E66</f>
        <v>0</v>
      </c>
      <c r="AF66" s="125">
        <f t="shared" si="13"/>
        <v>0</v>
      </c>
      <c r="AG66" s="126">
        <f t="shared" ref="AG66" si="3010">AF66*$E66</f>
        <v>0</v>
      </c>
      <c r="AH66" s="11"/>
      <c r="AI66" s="124">
        <f t="shared" ref="AI66" si="3011">AH66*$E66</f>
        <v>0</v>
      </c>
      <c r="AJ66" s="15"/>
      <c r="AK66" s="124">
        <f t="shared" ref="AK66" si="3012">AJ66*$E66</f>
        <v>0</v>
      </c>
      <c r="AL66" s="15"/>
      <c r="AM66" s="124">
        <f t="shared" ref="AM66" si="3013">AL66*$E66</f>
        <v>0</v>
      </c>
      <c r="AN66" s="16"/>
      <c r="AO66" s="124">
        <f t="shared" ref="AO66" si="3014">AN66*$E66</f>
        <v>0</v>
      </c>
      <c r="AP66" s="15"/>
      <c r="AQ66" s="124">
        <f t="shared" ref="AQ66" si="3015">AP66*$E66</f>
        <v>0</v>
      </c>
      <c r="AR66" s="15"/>
      <c r="AS66" s="124">
        <f t="shared" ref="AS66" si="3016">AR66*$E66</f>
        <v>0</v>
      </c>
      <c r="AT66" s="17"/>
      <c r="AU66" s="124">
        <f t="shared" ref="AU66" si="3017">AT66*$E66</f>
        <v>0</v>
      </c>
      <c r="AV66" s="15"/>
      <c r="AW66" s="124">
        <f t="shared" ref="AW66" si="3018">AV66*$E66</f>
        <v>0</v>
      </c>
      <c r="AX66" s="15"/>
      <c r="AY66" s="124">
        <f t="shared" ref="AY66" si="3019">AX66*$E66</f>
        <v>0</v>
      </c>
      <c r="AZ66" s="17"/>
      <c r="BA66" s="124">
        <f t="shared" ref="BA66" si="3020">AZ66*$E66</f>
        <v>0</v>
      </c>
      <c r="BB66" s="33"/>
      <c r="BC66" s="124">
        <f t="shared" ref="BC66" si="3021">BB66*$E66</f>
        <v>0</v>
      </c>
      <c r="BD66" s="33"/>
      <c r="BE66" s="124">
        <f t="shared" ref="BE66" si="3022">BD66*$E66</f>
        <v>0</v>
      </c>
      <c r="BF66" s="125">
        <f t="shared" si="27"/>
        <v>0</v>
      </c>
      <c r="BG66" s="126">
        <f t="shared" ref="BG66" si="3023">BF66*$E66</f>
        <v>0</v>
      </c>
      <c r="BH66" s="123"/>
      <c r="BI66" s="124">
        <f t="shared" ref="BI66" si="3024">BH66*$E66</f>
        <v>0</v>
      </c>
      <c r="BJ66" s="123"/>
      <c r="BK66" s="124">
        <f t="shared" ref="BK66" si="3025">BJ66*$E66</f>
        <v>0</v>
      </c>
      <c r="BL66" s="123"/>
      <c r="BM66" s="124">
        <f t="shared" ref="BM66" si="3026">BL66*$E66</f>
        <v>0</v>
      </c>
      <c r="BN66" s="123"/>
      <c r="BO66" s="124">
        <f t="shared" ref="BO66" si="3027">BN66*$E66</f>
        <v>0</v>
      </c>
      <c r="BP66" s="123"/>
      <c r="BQ66" s="124">
        <f t="shared" ref="BQ66" si="3028">BP66*$E66</f>
        <v>0</v>
      </c>
      <c r="BR66" s="123"/>
      <c r="BS66" s="124">
        <f t="shared" ref="BS66" si="3029">BR66*$E66</f>
        <v>0</v>
      </c>
      <c r="BT66" s="123"/>
      <c r="BU66" s="124">
        <f t="shared" ref="BU66" si="3030">BT66*$E66</f>
        <v>0</v>
      </c>
      <c r="BV66" s="123"/>
      <c r="BW66" s="124">
        <f t="shared" ref="BW66" si="3031">BV66*$E66</f>
        <v>0</v>
      </c>
      <c r="BX66" s="123"/>
      <c r="BY66" s="124">
        <f t="shared" ref="BY66" si="3032">BX66*$E66</f>
        <v>0</v>
      </c>
      <c r="BZ66" s="123"/>
      <c r="CA66" s="124">
        <f t="shared" ref="CA66" si="3033">BZ66*$E66</f>
        <v>0</v>
      </c>
      <c r="CB66" s="123"/>
      <c r="CC66" s="124">
        <f t="shared" ref="CC66" si="3034">CB66*$E66</f>
        <v>0</v>
      </c>
      <c r="CD66" s="123"/>
      <c r="CE66" s="124">
        <f t="shared" ref="CE66" si="3035">CD66*$E66</f>
        <v>0</v>
      </c>
      <c r="CF66" s="125">
        <f t="shared" si="41"/>
        <v>0</v>
      </c>
      <c r="CG66" s="126">
        <f t="shared" ref="CG66" si="3036">CF66*$E66</f>
        <v>0</v>
      </c>
      <c r="CH66" s="123"/>
      <c r="CI66" s="124">
        <f t="shared" ref="CI66" si="3037">CH66*$E66</f>
        <v>0</v>
      </c>
      <c r="CJ66" s="123"/>
      <c r="CK66" s="124">
        <f t="shared" ref="CK66" si="3038">CJ66*$E66</f>
        <v>0</v>
      </c>
      <c r="CL66" s="123"/>
      <c r="CM66" s="124">
        <f t="shared" ref="CM66" si="3039">CL66*$E66</f>
        <v>0</v>
      </c>
      <c r="CN66" s="123"/>
      <c r="CO66" s="124">
        <f t="shared" ref="CO66" si="3040">CN66*$E66</f>
        <v>0</v>
      </c>
      <c r="CP66" s="123"/>
      <c r="CQ66" s="124">
        <f t="shared" ref="CQ66" si="3041">CP66*$E66</f>
        <v>0</v>
      </c>
      <c r="CR66" s="123"/>
      <c r="CS66" s="124">
        <f t="shared" ref="CS66" si="3042">CR66*$E66</f>
        <v>0</v>
      </c>
      <c r="CT66" s="123"/>
      <c r="CU66" s="124">
        <f t="shared" ref="CU66" si="3043">CT66*$E66</f>
        <v>0</v>
      </c>
      <c r="CV66" s="123"/>
      <c r="CW66" s="124">
        <f t="shared" ref="CW66" si="3044">CV66*$E66</f>
        <v>0</v>
      </c>
      <c r="CX66" s="123"/>
      <c r="CY66" s="124">
        <f t="shared" ref="CY66" si="3045">CX66*$E66</f>
        <v>0</v>
      </c>
      <c r="CZ66" s="123"/>
      <c r="DA66" s="124">
        <f t="shared" ref="DA66" si="3046">CZ66*$E66</f>
        <v>0</v>
      </c>
      <c r="DB66" s="123"/>
      <c r="DC66" s="124">
        <f t="shared" si="53"/>
        <v>0</v>
      </c>
      <c r="DD66" s="123"/>
      <c r="DE66" s="124">
        <f t="shared" si="53"/>
        <v>0</v>
      </c>
      <c r="DF66" s="27">
        <f t="shared" si="0"/>
        <v>0</v>
      </c>
      <c r="DG66" s="124">
        <f t="shared" si="54"/>
        <v>0</v>
      </c>
    </row>
    <row r="67" spans="1:111" ht="18" customHeight="1" x14ac:dyDescent="0.5">
      <c r="A67" s="117">
        <v>55</v>
      </c>
      <c r="B67" s="122" t="s">
        <v>174</v>
      </c>
      <c r="C67" s="122" t="s">
        <v>233</v>
      </c>
      <c r="D67" s="117">
        <f>RANK(DF67,$DF$4:$DF$141)</f>
        <v>21</v>
      </c>
      <c r="E67" s="117">
        <v>0.6</v>
      </c>
      <c r="F67" s="117" t="s">
        <v>232</v>
      </c>
      <c r="G67" s="117"/>
      <c r="H67" s="123"/>
      <c r="I67" s="124">
        <f t="shared" ref="I67" si="3047">H67*$E67</f>
        <v>0</v>
      </c>
      <c r="J67" s="123"/>
      <c r="K67" s="124">
        <f t="shared" ref="K67" si="3048">J67*$E67</f>
        <v>0</v>
      </c>
      <c r="L67" s="123"/>
      <c r="M67" s="124">
        <f t="shared" ref="M67" si="3049">L67*$E67</f>
        <v>0</v>
      </c>
      <c r="N67" s="123"/>
      <c r="O67" s="124">
        <f t="shared" ref="O67" si="3050">N67*$E67</f>
        <v>0</v>
      </c>
      <c r="P67" s="123"/>
      <c r="Q67" s="124">
        <f t="shared" ref="Q67" si="3051">P67*$E67</f>
        <v>0</v>
      </c>
      <c r="R67" s="123"/>
      <c r="S67" s="124">
        <f t="shared" ref="S67" si="3052">R67*$E67</f>
        <v>0</v>
      </c>
      <c r="T67" s="123"/>
      <c r="U67" s="124">
        <f t="shared" ref="U67" si="3053">T67*$E67</f>
        <v>0</v>
      </c>
      <c r="V67" s="123"/>
      <c r="W67" s="124">
        <f t="shared" ref="W67" si="3054">V67*$E67</f>
        <v>0</v>
      </c>
      <c r="X67" s="123"/>
      <c r="Y67" s="124">
        <f t="shared" ref="Y67" si="3055">X67*$E67</f>
        <v>0</v>
      </c>
      <c r="Z67" s="123"/>
      <c r="AA67" s="124">
        <f t="shared" ref="AA67" si="3056">Z67*$E67</f>
        <v>0</v>
      </c>
      <c r="AB67" s="123"/>
      <c r="AC67" s="124">
        <f t="shared" ref="AC67" si="3057">AB67*$E67</f>
        <v>0</v>
      </c>
      <c r="AD67" s="123"/>
      <c r="AE67" s="124">
        <f t="shared" ref="AE67" si="3058">AD67*$E67</f>
        <v>0</v>
      </c>
      <c r="AF67" s="125">
        <f t="shared" si="13"/>
        <v>0</v>
      </c>
      <c r="AG67" s="126">
        <f t="shared" ref="AG67" si="3059">AF67*$E67</f>
        <v>0</v>
      </c>
      <c r="AH67" s="11"/>
      <c r="AI67" s="124">
        <f t="shared" ref="AI67" si="3060">AH67*$E67</f>
        <v>0</v>
      </c>
      <c r="AJ67" s="15"/>
      <c r="AK67" s="124">
        <f t="shared" ref="AK67" si="3061">AJ67*$E67</f>
        <v>0</v>
      </c>
      <c r="AL67" s="15"/>
      <c r="AM67" s="124">
        <f t="shared" ref="AM67" si="3062">AL67*$E67</f>
        <v>0</v>
      </c>
      <c r="AN67" s="16"/>
      <c r="AO67" s="124">
        <f t="shared" ref="AO67" si="3063">AN67*$E67</f>
        <v>0</v>
      </c>
      <c r="AP67" s="15"/>
      <c r="AQ67" s="124">
        <f t="shared" ref="AQ67" si="3064">AP67*$E67</f>
        <v>0</v>
      </c>
      <c r="AR67" s="15"/>
      <c r="AS67" s="124">
        <f t="shared" ref="AS67" si="3065">AR67*$E67</f>
        <v>0</v>
      </c>
      <c r="AT67" s="17"/>
      <c r="AU67" s="124">
        <f t="shared" ref="AU67" si="3066">AT67*$E67</f>
        <v>0</v>
      </c>
      <c r="AV67" s="15"/>
      <c r="AW67" s="124">
        <f t="shared" ref="AW67" si="3067">AV67*$E67</f>
        <v>0</v>
      </c>
      <c r="AX67" s="15"/>
      <c r="AY67" s="124">
        <f t="shared" ref="AY67" si="3068">AX67*$E67</f>
        <v>0</v>
      </c>
      <c r="AZ67" s="17"/>
      <c r="BA67" s="124">
        <f t="shared" ref="BA67" si="3069">AZ67*$E67</f>
        <v>0</v>
      </c>
      <c r="BB67" s="33"/>
      <c r="BC67" s="124">
        <f t="shared" ref="BC67" si="3070">BB67*$E67</f>
        <v>0</v>
      </c>
      <c r="BD67" s="33"/>
      <c r="BE67" s="124">
        <f t="shared" ref="BE67" si="3071">BD67*$E67</f>
        <v>0</v>
      </c>
      <c r="BF67" s="125">
        <f t="shared" si="27"/>
        <v>0</v>
      </c>
      <c r="BG67" s="126">
        <f t="shared" ref="BG67" si="3072">BF67*$E67</f>
        <v>0</v>
      </c>
      <c r="BH67" s="123"/>
      <c r="BI67" s="124">
        <f t="shared" ref="BI67" si="3073">BH67*$E67</f>
        <v>0</v>
      </c>
      <c r="BJ67" s="123"/>
      <c r="BK67" s="124">
        <f t="shared" ref="BK67" si="3074">BJ67*$E67</f>
        <v>0</v>
      </c>
      <c r="BL67" s="123"/>
      <c r="BM67" s="124">
        <f t="shared" ref="BM67" si="3075">BL67*$E67</f>
        <v>0</v>
      </c>
      <c r="BN67" s="123"/>
      <c r="BO67" s="124">
        <f t="shared" ref="BO67" si="3076">BN67*$E67</f>
        <v>0</v>
      </c>
      <c r="BP67" s="123"/>
      <c r="BQ67" s="124">
        <f t="shared" ref="BQ67" si="3077">BP67*$E67</f>
        <v>0</v>
      </c>
      <c r="BR67" s="123"/>
      <c r="BS67" s="124">
        <f t="shared" ref="BS67" si="3078">BR67*$E67</f>
        <v>0</v>
      </c>
      <c r="BT67" s="123"/>
      <c r="BU67" s="124">
        <f t="shared" ref="BU67" si="3079">BT67*$E67</f>
        <v>0</v>
      </c>
      <c r="BV67" s="123"/>
      <c r="BW67" s="124">
        <f t="shared" ref="BW67" si="3080">BV67*$E67</f>
        <v>0</v>
      </c>
      <c r="BX67" s="123"/>
      <c r="BY67" s="124">
        <f t="shared" ref="BY67" si="3081">BX67*$E67</f>
        <v>0</v>
      </c>
      <c r="BZ67" s="123"/>
      <c r="CA67" s="124">
        <f t="shared" ref="CA67" si="3082">BZ67*$E67</f>
        <v>0</v>
      </c>
      <c r="CB67" s="123"/>
      <c r="CC67" s="124">
        <f t="shared" ref="CC67" si="3083">CB67*$E67</f>
        <v>0</v>
      </c>
      <c r="CD67" s="123"/>
      <c r="CE67" s="124">
        <f t="shared" ref="CE67" si="3084">CD67*$E67</f>
        <v>0</v>
      </c>
      <c r="CF67" s="125">
        <f t="shared" si="41"/>
        <v>0</v>
      </c>
      <c r="CG67" s="126">
        <f t="shared" ref="CG67" si="3085">CF67*$E67</f>
        <v>0</v>
      </c>
      <c r="CH67" s="123"/>
      <c r="CI67" s="124">
        <f t="shared" ref="CI67" si="3086">CH67*$E67</f>
        <v>0</v>
      </c>
      <c r="CJ67" s="123"/>
      <c r="CK67" s="124">
        <f t="shared" ref="CK67" si="3087">CJ67*$E67</f>
        <v>0</v>
      </c>
      <c r="CL67" s="123"/>
      <c r="CM67" s="124">
        <f t="shared" ref="CM67" si="3088">CL67*$E67</f>
        <v>0</v>
      </c>
      <c r="CN67" s="123"/>
      <c r="CO67" s="124">
        <f t="shared" ref="CO67" si="3089">CN67*$E67</f>
        <v>0</v>
      </c>
      <c r="CP67" s="123"/>
      <c r="CQ67" s="124">
        <f t="shared" ref="CQ67" si="3090">CP67*$E67</f>
        <v>0</v>
      </c>
      <c r="CR67" s="123"/>
      <c r="CS67" s="124">
        <f t="shared" ref="CS67" si="3091">CR67*$E67</f>
        <v>0</v>
      </c>
      <c r="CT67" s="123"/>
      <c r="CU67" s="124">
        <f t="shared" ref="CU67" si="3092">CT67*$E67</f>
        <v>0</v>
      </c>
      <c r="CV67" s="123"/>
      <c r="CW67" s="124">
        <f t="shared" ref="CW67" si="3093">CV67*$E67</f>
        <v>0</v>
      </c>
      <c r="CX67" s="123"/>
      <c r="CY67" s="124">
        <f t="shared" ref="CY67" si="3094">CX67*$E67</f>
        <v>0</v>
      </c>
      <c r="CZ67" s="123"/>
      <c r="DA67" s="124">
        <f t="shared" ref="DA67" si="3095">CZ67*$E67</f>
        <v>0</v>
      </c>
      <c r="DB67" s="123"/>
      <c r="DC67" s="124">
        <f t="shared" si="53"/>
        <v>0</v>
      </c>
      <c r="DD67" s="123"/>
      <c r="DE67" s="124">
        <f t="shared" si="53"/>
        <v>0</v>
      </c>
      <c r="DF67" s="27">
        <f t="shared" si="0"/>
        <v>0</v>
      </c>
      <c r="DG67" s="124">
        <f t="shared" si="54"/>
        <v>0</v>
      </c>
    </row>
    <row r="68" spans="1:111" ht="18" customHeight="1" x14ac:dyDescent="0.5">
      <c r="A68" s="117">
        <v>56</v>
      </c>
      <c r="B68" s="122" t="s">
        <v>175</v>
      </c>
      <c r="C68" s="122" t="s">
        <v>231</v>
      </c>
      <c r="D68" s="117">
        <f>RANK(DF68,$DF$4:$DF$141)</f>
        <v>21</v>
      </c>
      <c r="E68" s="117">
        <v>0.64</v>
      </c>
      <c r="F68" s="117" t="s">
        <v>236</v>
      </c>
      <c r="G68" s="117"/>
      <c r="H68" s="123"/>
      <c r="I68" s="124">
        <f t="shared" ref="I68" si="3096">H68*$E68</f>
        <v>0</v>
      </c>
      <c r="J68" s="123"/>
      <c r="K68" s="124">
        <f t="shared" ref="K68" si="3097">J68*$E68</f>
        <v>0</v>
      </c>
      <c r="L68" s="123"/>
      <c r="M68" s="124">
        <f t="shared" ref="M68" si="3098">L68*$E68</f>
        <v>0</v>
      </c>
      <c r="N68" s="123"/>
      <c r="O68" s="124">
        <f t="shared" ref="O68" si="3099">N68*$E68</f>
        <v>0</v>
      </c>
      <c r="P68" s="123"/>
      <c r="Q68" s="124">
        <f t="shared" ref="Q68" si="3100">P68*$E68</f>
        <v>0</v>
      </c>
      <c r="R68" s="123"/>
      <c r="S68" s="124">
        <f t="shared" ref="S68" si="3101">R68*$E68</f>
        <v>0</v>
      </c>
      <c r="T68" s="123"/>
      <c r="U68" s="124">
        <f t="shared" ref="U68" si="3102">T68*$E68</f>
        <v>0</v>
      </c>
      <c r="V68" s="123"/>
      <c r="W68" s="124">
        <f t="shared" ref="W68" si="3103">V68*$E68</f>
        <v>0</v>
      </c>
      <c r="X68" s="123"/>
      <c r="Y68" s="124">
        <f t="shared" ref="Y68" si="3104">X68*$E68</f>
        <v>0</v>
      </c>
      <c r="Z68" s="123"/>
      <c r="AA68" s="124">
        <f t="shared" ref="AA68" si="3105">Z68*$E68</f>
        <v>0</v>
      </c>
      <c r="AB68" s="123"/>
      <c r="AC68" s="124">
        <f t="shared" ref="AC68" si="3106">AB68*$E68</f>
        <v>0</v>
      </c>
      <c r="AD68" s="123"/>
      <c r="AE68" s="124">
        <f t="shared" ref="AE68" si="3107">AD68*$E68</f>
        <v>0</v>
      </c>
      <c r="AF68" s="125">
        <f t="shared" si="13"/>
        <v>0</v>
      </c>
      <c r="AG68" s="126">
        <f t="shared" ref="AG68" si="3108">AF68*$E68</f>
        <v>0</v>
      </c>
      <c r="AH68" s="11"/>
      <c r="AI68" s="124">
        <f t="shared" ref="AI68" si="3109">AH68*$E68</f>
        <v>0</v>
      </c>
      <c r="AJ68" s="15"/>
      <c r="AK68" s="124">
        <f t="shared" ref="AK68" si="3110">AJ68*$E68</f>
        <v>0</v>
      </c>
      <c r="AL68" s="15"/>
      <c r="AM68" s="124">
        <f t="shared" ref="AM68" si="3111">AL68*$E68</f>
        <v>0</v>
      </c>
      <c r="AN68" s="16"/>
      <c r="AO68" s="124">
        <f t="shared" ref="AO68" si="3112">AN68*$E68</f>
        <v>0</v>
      </c>
      <c r="AP68" s="15"/>
      <c r="AQ68" s="124">
        <f t="shared" ref="AQ68" si="3113">AP68*$E68</f>
        <v>0</v>
      </c>
      <c r="AR68" s="15"/>
      <c r="AS68" s="124">
        <f t="shared" ref="AS68" si="3114">AR68*$E68</f>
        <v>0</v>
      </c>
      <c r="AT68" s="17"/>
      <c r="AU68" s="124">
        <f t="shared" ref="AU68" si="3115">AT68*$E68</f>
        <v>0</v>
      </c>
      <c r="AV68" s="15"/>
      <c r="AW68" s="124">
        <f t="shared" ref="AW68" si="3116">AV68*$E68</f>
        <v>0</v>
      </c>
      <c r="AX68" s="15"/>
      <c r="AY68" s="124">
        <f t="shared" ref="AY68" si="3117">AX68*$E68</f>
        <v>0</v>
      </c>
      <c r="AZ68" s="17"/>
      <c r="BA68" s="124">
        <f t="shared" ref="BA68" si="3118">AZ68*$E68</f>
        <v>0</v>
      </c>
      <c r="BB68" s="33"/>
      <c r="BC68" s="124">
        <f t="shared" ref="BC68" si="3119">BB68*$E68</f>
        <v>0</v>
      </c>
      <c r="BD68" s="33"/>
      <c r="BE68" s="124">
        <f t="shared" ref="BE68" si="3120">BD68*$E68</f>
        <v>0</v>
      </c>
      <c r="BF68" s="125">
        <f t="shared" si="27"/>
        <v>0</v>
      </c>
      <c r="BG68" s="126">
        <f t="shared" ref="BG68" si="3121">BF68*$E68</f>
        <v>0</v>
      </c>
      <c r="BH68" s="123"/>
      <c r="BI68" s="124">
        <f t="shared" ref="BI68" si="3122">BH68*$E68</f>
        <v>0</v>
      </c>
      <c r="BJ68" s="123"/>
      <c r="BK68" s="124">
        <f t="shared" ref="BK68" si="3123">BJ68*$E68</f>
        <v>0</v>
      </c>
      <c r="BL68" s="123"/>
      <c r="BM68" s="124">
        <f t="shared" ref="BM68" si="3124">BL68*$E68</f>
        <v>0</v>
      </c>
      <c r="BN68" s="123"/>
      <c r="BO68" s="124">
        <f t="shared" ref="BO68" si="3125">BN68*$E68</f>
        <v>0</v>
      </c>
      <c r="BP68" s="123"/>
      <c r="BQ68" s="124">
        <f t="shared" ref="BQ68" si="3126">BP68*$E68</f>
        <v>0</v>
      </c>
      <c r="BR68" s="123"/>
      <c r="BS68" s="124">
        <f t="shared" ref="BS68" si="3127">BR68*$E68</f>
        <v>0</v>
      </c>
      <c r="BT68" s="123"/>
      <c r="BU68" s="124">
        <f t="shared" ref="BU68" si="3128">BT68*$E68</f>
        <v>0</v>
      </c>
      <c r="BV68" s="123"/>
      <c r="BW68" s="124">
        <f t="shared" ref="BW68" si="3129">BV68*$E68</f>
        <v>0</v>
      </c>
      <c r="BX68" s="123"/>
      <c r="BY68" s="124">
        <f t="shared" ref="BY68" si="3130">BX68*$E68</f>
        <v>0</v>
      </c>
      <c r="BZ68" s="123"/>
      <c r="CA68" s="124">
        <f t="shared" ref="CA68" si="3131">BZ68*$E68</f>
        <v>0</v>
      </c>
      <c r="CB68" s="123"/>
      <c r="CC68" s="124">
        <f t="shared" ref="CC68" si="3132">CB68*$E68</f>
        <v>0</v>
      </c>
      <c r="CD68" s="123"/>
      <c r="CE68" s="124">
        <f t="shared" ref="CE68" si="3133">CD68*$E68</f>
        <v>0</v>
      </c>
      <c r="CF68" s="125">
        <f t="shared" si="41"/>
        <v>0</v>
      </c>
      <c r="CG68" s="126">
        <f t="shared" ref="CG68" si="3134">CF68*$E68</f>
        <v>0</v>
      </c>
      <c r="CH68" s="123"/>
      <c r="CI68" s="124">
        <f t="shared" ref="CI68" si="3135">CH68*$E68</f>
        <v>0</v>
      </c>
      <c r="CJ68" s="123"/>
      <c r="CK68" s="124">
        <f t="shared" ref="CK68" si="3136">CJ68*$E68</f>
        <v>0</v>
      </c>
      <c r="CL68" s="123"/>
      <c r="CM68" s="124">
        <f t="shared" ref="CM68" si="3137">CL68*$E68</f>
        <v>0</v>
      </c>
      <c r="CN68" s="123"/>
      <c r="CO68" s="124">
        <f t="shared" ref="CO68" si="3138">CN68*$E68</f>
        <v>0</v>
      </c>
      <c r="CP68" s="123"/>
      <c r="CQ68" s="124">
        <f t="shared" ref="CQ68" si="3139">CP68*$E68</f>
        <v>0</v>
      </c>
      <c r="CR68" s="123"/>
      <c r="CS68" s="124">
        <f t="shared" ref="CS68" si="3140">CR68*$E68</f>
        <v>0</v>
      </c>
      <c r="CT68" s="123"/>
      <c r="CU68" s="124">
        <f t="shared" ref="CU68" si="3141">CT68*$E68</f>
        <v>0</v>
      </c>
      <c r="CV68" s="123"/>
      <c r="CW68" s="124">
        <f t="shared" ref="CW68" si="3142">CV68*$E68</f>
        <v>0</v>
      </c>
      <c r="CX68" s="123"/>
      <c r="CY68" s="124">
        <f t="shared" ref="CY68" si="3143">CX68*$E68</f>
        <v>0</v>
      </c>
      <c r="CZ68" s="123"/>
      <c r="DA68" s="124">
        <f t="shared" ref="DA68" si="3144">CZ68*$E68</f>
        <v>0</v>
      </c>
      <c r="DB68" s="123"/>
      <c r="DC68" s="124">
        <f t="shared" si="53"/>
        <v>0</v>
      </c>
      <c r="DD68" s="123"/>
      <c r="DE68" s="124">
        <f t="shared" si="53"/>
        <v>0</v>
      </c>
      <c r="DF68" s="27">
        <f t="shared" ref="DF68:DF136" si="3145">SUM(CH68,CJ68,CL68,CN68,CP68,CR68,CT68,CV68,CX68,CZ68,DB68,DD68)</f>
        <v>0</v>
      </c>
      <c r="DG68" s="124">
        <f t="shared" si="54"/>
        <v>0</v>
      </c>
    </row>
    <row r="69" spans="1:111" ht="18" customHeight="1" x14ac:dyDescent="0.5">
      <c r="A69" s="117"/>
      <c r="B69" s="122"/>
      <c r="C69" s="122"/>
      <c r="D69" s="117"/>
      <c r="E69" s="117"/>
      <c r="F69" s="117"/>
      <c r="G69" s="117"/>
      <c r="H69" s="123"/>
      <c r="I69" s="124">
        <f t="shared" ref="I69" si="3146">H69*$E69</f>
        <v>0</v>
      </c>
      <c r="J69" s="123"/>
      <c r="K69" s="124">
        <f t="shared" ref="K69" si="3147">J69*$E69</f>
        <v>0</v>
      </c>
      <c r="L69" s="123"/>
      <c r="M69" s="124">
        <f t="shared" ref="M69" si="3148">L69*$E69</f>
        <v>0</v>
      </c>
      <c r="N69" s="123"/>
      <c r="O69" s="124">
        <f t="shared" ref="O69" si="3149">N69*$E69</f>
        <v>0</v>
      </c>
      <c r="P69" s="123"/>
      <c r="Q69" s="124">
        <f t="shared" ref="Q69" si="3150">P69*$E69</f>
        <v>0</v>
      </c>
      <c r="R69" s="123"/>
      <c r="S69" s="124">
        <f t="shared" ref="S69" si="3151">R69*$E69</f>
        <v>0</v>
      </c>
      <c r="T69" s="123"/>
      <c r="U69" s="124">
        <f t="shared" ref="U69" si="3152">T69*$E69</f>
        <v>0</v>
      </c>
      <c r="V69" s="123"/>
      <c r="W69" s="124">
        <f t="shared" ref="W69" si="3153">V69*$E69</f>
        <v>0</v>
      </c>
      <c r="X69" s="123"/>
      <c r="Y69" s="124">
        <f t="shared" ref="Y69" si="3154">X69*$E69</f>
        <v>0</v>
      </c>
      <c r="Z69" s="123"/>
      <c r="AA69" s="124">
        <f t="shared" ref="AA69" si="3155">Z69*$E69</f>
        <v>0</v>
      </c>
      <c r="AB69" s="123"/>
      <c r="AC69" s="124">
        <f t="shared" ref="AC69" si="3156">AB69*$E69</f>
        <v>0</v>
      </c>
      <c r="AD69" s="123"/>
      <c r="AE69" s="124">
        <f t="shared" ref="AE69" si="3157">AD69*$E69</f>
        <v>0</v>
      </c>
      <c r="AF69" s="125">
        <f t="shared" ref="AF69:AF137" si="3158">(AD69+AB69+Z69+X69+V69+T69+R69+P69+N69+L69+J69+H69)/1</f>
        <v>0</v>
      </c>
      <c r="AG69" s="126">
        <f t="shared" ref="AG69" si="3159">AF69*$E69</f>
        <v>0</v>
      </c>
      <c r="AH69" s="11"/>
      <c r="AI69" s="124">
        <f t="shared" ref="AI69" si="3160">AH69*$E69</f>
        <v>0</v>
      </c>
      <c r="AJ69" s="15"/>
      <c r="AK69" s="124">
        <f t="shared" ref="AK69" si="3161">AJ69*$E69</f>
        <v>0</v>
      </c>
      <c r="AL69" s="15"/>
      <c r="AM69" s="124">
        <f t="shared" ref="AM69" si="3162">AL69*$E69</f>
        <v>0</v>
      </c>
      <c r="AN69" s="16"/>
      <c r="AO69" s="124">
        <f t="shared" ref="AO69" si="3163">AN69*$E69</f>
        <v>0</v>
      </c>
      <c r="AP69" s="15"/>
      <c r="AQ69" s="124">
        <f t="shared" ref="AQ69" si="3164">AP69*$E69</f>
        <v>0</v>
      </c>
      <c r="AR69" s="15"/>
      <c r="AS69" s="124">
        <f t="shared" ref="AS69" si="3165">AR69*$E69</f>
        <v>0</v>
      </c>
      <c r="AT69" s="17"/>
      <c r="AU69" s="124">
        <f t="shared" ref="AU69" si="3166">AT69*$E69</f>
        <v>0</v>
      </c>
      <c r="AV69" s="15"/>
      <c r="AW69" s="124">
        <f t="shared" ref="AW69" si="3167">AV69*$E69</f>
        <v>0</v>
      </c>
      <c r="AX69" s="15"/>
      <c r="AY69" s="124">
        <f t="shared" ref="AY69" si="3168">AX69*$E69</f>
        <v>0</v>
      </c>
      <c r="AZ69" s="17"/>
      <c r="BA69" s="124">
        <f t="shared" ref="BA69" si="3169">AZ69*$E69</f>
        <v>0</v>
      </c>
      <c r="BB69" s="33"/>
      <c r="BC69" s="124">
        <f t="shared" ref="BC69" si="3170">BB69*$E69</f>
        <v>0</v>
      </c>
      <c r="BD69" s="33"/>
      <c r="BE69" s="124">
        <f t="shared" ref="BE69" si="3171">BD69*$E69</f>
        <v>0</v>
      </c>
      <c r="BF69" s="125">
        <f t="shared" ref="BF69:BF137" si="3172">(BD69+BB69+AZ69+AX69+AV69+AT69+AR69+AP69+AN69+AL69+AJ69+AH69)/1</f>
        <v>0</v>
      </c>
      <c r="BG69" s="126">
        <f t="shared" ref="BG69" si="3173">BF69*$E69</f>
        <v>0</v>
      </c>
      <c r="BH69" s="123"/>
      <c r="BI69" s="124">
        <f t="shared" ref="BI69" si="3174">BH69*$E69</f>
        <v>0</v>
      </c>
      <c r="BJ69" s="123"/>
      <c r="BK69" s="124">
        <f t="shared" ref="BK69" si="3175">BJ69*$E69</f>
        <v>0</v>
      </c>
      <c r="BL69" s="123"/>
      <c r="BM69" s="124">
        <f t="shared" ref="BM69" si="3176">BL69*$E69</f>
        <v>0</v>
      </c>
      <c r="BN69" s="123"/>
      <c r="BO69" s="124">
        <f t="shared" ref="BO69" si="3177">BN69*$E69</f>
        <v>0</v>
      </c>
      <c r="BP69" s="123"/>
      <c r="BQ69" s="124">
        <f t="shared" ref="BQ69" si="3178">BP69*$E69</f>
        <v>0</v>
      </c>
      <c r="BR69" s="123"/>
      <c r="BS69" s="124">
        <f t="shared" ref="BS69" si="3179">BR69*$E69</f>
        <v>0</v>
      </c>
      <c r="BT69" s="123"/>
      <c r="BU69" s="124">
        <f t="shared" ref="BU69" si="3180">BT69*$E69</f>
        <v>0</v>
      </c>
      <c r="BV69" s="123"/>
      <c r="BW69" s="124">
        <f t="shared" ref="BW69" si="3181">BV69*$E69</f>
        <v>0</v>
      </c>
      <c r="BX69" s="123"/>
      <c r="BY69" s="124">
        <f t="shared" ref="BY69" si="3182">BX69*$E69</f>
        <v>0</v>
      </c>
      <c r="BZ69" s="123"/>
      <c r="CA69" s="124">
        <f t="shared" ref="CA69" si="3183">BZ69*$E69</f>
        <v>0</v>
      </c>
      <c r="CB69" s="123"/>
      <c r="CC69" s="124">
        <f t="shared" ref="CC69" si="3184">CB69*$E69</f>
        <v>0</v>
      </c>
      <c r="CD69" s="123"/>
      <c r="CE69" s="124">
        <f t="shared" ref="CE69" si="3185">CD69*$E69</f>
        <v>0</v>
      </c>
      <c r="CF69" s="125">
        <f t="shared" ref="CF69:CF137" si="3186">(CD69+CB69+BZ69+BX69+BV69+BT69+BR69+BP69+BN69+BL69+BJ69+BH69)/1</f>
        <v>0</v>
      </c>
      <c r="CG69" s="126">
        <f t="shared" ref="CG69" si="3187">CF69*$E69</f>
        <v>0</v>
      </c>
      <c r="CH69" s="123"/>
      <c r="CI69" s="124">
        <f t="shared" ref="CI69" si="3188">CH69*$E69</f>
        <v>0</v>
      </c>
      <c r="CJ69" s="123"/>
      <c r="CK69" s="124">
        <f t="shared" ref="CK69" si="3189">CJ69*$E69</f>
        <v>0</v>
      </c>
      <c r="CL69" s="123"/>
      <c r="CM69" s="124">
        <f t="shared" ref="CM69" si="3190">CL69*$E69</f>
        <v>0</v>
      </c>
      <c r="CN69" s="123"/>
      <c r="CO69" s="124">
        <f t="shared" ref="CO69" si="3191">CN69*$E69</f>
        <v>0</v>
      </c>
      <c r="CP69" s="123"/>
      <c r="CQ69" s="124">
        <f t="shared" ref="CQ69" si="3192">CP69*$E69</f>
        <v>0</v>
      </c>
      <c r="CR69" s="123"/>
      <c r="CS69" s="124">
        <f t="shared" ref="CS69" si="3193">CR69*$E69</f>
        <v>0</v>
      </c>
      <c r="CT69" s="123"/>
      <c r="CU69" s="124">
        <f t="shared" ref="CU69" si="3194">CT69*$E69</f>
        <v>0</v>
      </c>
      <c r="CV69" s="123"/>
      <c r="CW69" s="124">
        <f t="shared" ref="CW69" si="3195">CV69*$E69</f>
        <v>0</v>
      </c>
      <c r="CX69" s="123"/>
      <c r="CY69" s="124">
        <f t="shared" ref="CY69" si="3196">CX69*$E69</f>
        <v>0</v>
      </c>
      <c r="CZ69" s="123"/>
      <c r="DA69" s="124">
        <f t="shared" ref="DA69" si="3197">CZ69*$E69</f>
        <v>0</v>
      </c>
      <c r="DB69" s="123"/>
      <c r="DC69" s="124">
        <f t="shared" ref="DC69:DE137" si="3198">DB69*$E69</f>
        <v>0</v>
      </c>
      <c r="DD69" s="123"/>
      <c r="DE69" s="124">
        <f t="shared" si="3198"/>
        <v>0</v>
      </c>
      <c r="DF69" s="27">
        <f t="shared" si="3145"/>
        <v>0</v>
      </c>
      <c r="DG69" s="124">
        <f t="shared" ref="DG69:DG137" si="3199">DF69*$E69</f>
        <v>0</v>
      </c>
    </row>
    <row r="70" spans="1:111" ht="18" customHeight="1" x14ac:dyDescent="0.5">
      <c r="A70" s="117">
        <v>57</v>
      </c>
      <c r="B70" s="122" t="s">
        <v>176</v>
      </c>
      <c r="C70" s="122" t="s">
        <v>233</v>
      </c>
      <c r="D70" s="117">
        <f>RANK(DF70,$DF$4:$DF$141)</f>
        <v>21</v>
      </c>
      <c r="E70" s="117">
        <v>1</v>
      </c>
      <c r="F70" s="117" t="s">
        <v>232</v>
      </c>
      <c r="G70" s="117"/>
      <c r="H70" s="123"/>
      <c r="I70" s="124">
        <f t="shared" ref="I70" si="3200">H70*$E70</f>
        <v>0</v>
      </c>
      <c r="J70" s="123"/>
      <c r="K70" s="124">
        <f t="shared" ref="K70" si="3201">J70*$E70</f>
        <v>0</v>
      </c>
      <c r="L70" s="123"/>
      <c r="M70" s="124">
        <f t="shared" ref="M70" si="3202">L70*$E70</f>
        <v>0</v>
      </c>
      <c r="N70" s="123"/>
      <c r="O70" s="124">
        <f t="shared" ref="O70" si="3203">N70*$E70</f>
        <v>0</v>
      </c>
      <c r="P70" s="123"/>
      <c r="Q70" s="124">
        <f t="shared" ref="Q70" si="3204">P70*$E70</f>
        <v>0</v>
      </c>
      <c r="R70" s="123"/>
      <c r="S70" s="124">
        <f t="shared" ref="S70" si="3205">R70*$E70</f>
        <v>0</v>
      </c>
      <c r="T70" s="123"/>
      <c r="U70" s="124">
        <f t="shared" ref="U70" si="3206">T70*$E70</f>
        <v>0</v>
      </c>
      <c r="V70" s="123"/>
      <c r="W70" s="124">
        <f t="shared" ref="W70" si="3207">V70*$E70</f>
        <v>0</v>
      </c>
      <c r="X70" s="123"/>
      <c r="Y70" s="124">
        <f t="shared" ref="Y70" si="3208">X70*$E70</f>
        <v>0</v>
      </c>
      <c r="Z70" s="123"/>
      <c r="AA70" s="124">
        <f t="shared" ref="AA70" si="3209">Z70*$E70</f>
        <v>0</v>
      </c>
      <c r="AB70" s="123"/>
      <c r="AC70" s="124">
        <f t="shared" ref="AC70" si="3210">AB70*$E70</f>
        <v>0</v>
      </c>
      <c r="AD70" s="123"/>
      <c r="AE70" s="124">
        <f t="shared" ref="AE70" si="3211">AD70*$E70</f>
        <v>0</v>
      </c>
      <c r="AF70" s="125">
        <f t="shared" si="3158"/>
        <v>0</v>
      </c>
      <c r="AG70" s="126">
        <f t="shared" ref="AG70" si="3212">AF70*$E70</f>
        <v>0</v>
      </c>
      <c r="AH70" s="11"/>
      <c r="AI70" s="124">
        <f t="shared" ref="AI70" si="3213">AH70*$E70</f>
        <v>0</v>
      </c>
      <c r="AJ70" s="15"/>
      <c r="AK70" s="124">
        <f t="shared" ref="AK70" si="3214">AJ70*$E70</f>
        <v>0</v>
      </c>
      <c r="AL70" s="15"/>
      <c r="AM70" s="124">
        <f t="shared" ref="AM70" si="3215">AL70*$E70</f>
        <v>0</v>
      </c>
      <c r="AN70" s="16"/>
      <c r="AO70" s="124">
        <f t="shared" ref="AO70" si="3216">AN70*$E70</f>
        <v>0</v>
      </c>
      <c r="AP70" s="15"/>
      <c r="AQ70" s="124">
        <f t="shared" ref="AQ70" si="3217">AP70*$E70</f>
        <v>0</v>
      </c>
      <c r="AR70" s="15"/>
      <c r="AS70" s="124">
        <f t="shared" ref="AS70" si="3218">AR70*$E70</f>
        <v>0</v>
      </c>
      <c r="AT70" s="17"/>
      <c r="AU70" s="124">
        <f t="shared" ref="AU70" si="3219">AT70*$E70</f>
        <v>0</v>
      </c>
      <c r="AV70" s="15"/>
      <c r="AW70" s="124">
        <f t="shared" ref="AW70" si="3220">AV70*$E70</f>
        <v>0</v>
      </c>
      <c r="AX70" s="15"/>
      <c r="AY70" s="124">
        <f t="shared" ref="AY70" si="3221">AX70*$E70</f>
        <v>0</v>
      </c>
      <c r="AZ70" s="17"/>
      <c r="BA70" s="124">
        <f t="shared" ref="BA70" si="3222">AZ70*$E70</f>
        <v>0</v>
      </c>
      <c r="BB70" s="33"/>
      <c r="BC70" s="124">
        <f t="shared" ref="BC70" si="3223">BB70*$E70</f>
        <v>0</v>
      </c>
      <c r="BD70" s="33"/>
      <c r="BE70" s="124">
        <f t="shared" ref="BE70" si="3224">BD70*$E70</f>
        <v>0</v>
      </c>
      <c r="BF70" s="125">
        <f t="shared" si="3172"/>
        <v>0</v>
      </c>
      <c r="BG70" s="126">
        <f t="shared" ref="BG70" si="3225">BF70*$E70</f>
        <v>0</v>
      </c>
      <c r="BH70" s="123"/>
      <c r="BI70" s="124">
        <f t="shared" ref="BI70" si="3226">BH70*$E70</f>
        <v>0</v>
      </c>
      <c r="BJ70" s="123"/>
      <c r="BK70" s="124">
        <f t="shared" ref="BK70" si="3227">BJ70*$E70</f>
        <v>0</v>
      </c>
      <c r="BL70" s="123"/>
      <c r="BM70" s="124">
        <f t="shared" ref="BM70" si="3228">BL70*$E70</f>
        <v>0</v>
      </c>
      <c r="BN70" s="123"/>
      <c r="BO70" s="124">
        <f t="shared" ref="BO70" si="3229">BN70*$E70</f>
        <v>0</v>
      </c>
      <c r="BP70" s="123"/>
      <c r="BQ70" s="124">
        <f t="shared" ref="BQ70" si="3230">BP70*$E70</f>
        <v>0</v>
      </c>
      <c r="BR70" s="123"/>
      <c r="BS70" s="124">
        <f t="shared" ref="BS70" si="3231">BR70*$E70</f>
        <v>0</v>
      </c>
      <c r="BT70" s="123"/>
      <c r="BU70" s="124">
        <f t="shared" ref="BU70" si="3232">BT70*$E70</f>
        <v>0</v>
      </c>
      <c r="BV70" s="123"/>
      <c r="BW70" s="124">
        <f t="shared" ref="BW70" si="3233">BV70*$E70</f>
        <v>0</v>
      </c>
      <c r="BX70" s="123"/>
      <c r="BY70" s="124">
        <f t="shared" ref="BY70" si="3234">BX70*$E70</f>
        <v>0</v>
      </c>
      <c r="BZ70" s="123"/>
      <c r="CA70" s="124">
        <f t="shared" ref="CA70" si="3235">BZ70*$E70</f>
        <v>0</v>
      </c>
      <c r="CB70" s="123"/>
      <c r="CC70" s="124">
        <f t="shared" ref="CC70" si="3236">CB70*$E70</f>
        <v>0</v>
      </c>
      <c r="CD70" s="123"/>
      <c r="CE70" s="124">
        <f t="shared" ref="CE70" si="3237">CD70*$E70</f>
        <v>0</v>
      </c>
      <c r="CF70" s="125">
        <f t="shared" si="3186"/>
        <v>0</v>
      </c>
      <c r="CG70" s="126">
        <f t="shared" ref="CG70" si="3238">CF70*$E70</f>
        <v>0</v>
      </c>
      <c r="CH70" s="123"/>
      <c r="CI70" s="124">
        <f t="shared" ref="CI70" si="3239">CH70*$E70</f>
        <v>0</v>
      </c>
      <c r="CJ70" s="123"/>
      <c r="CK70" s="124">
        <f t="shared" ref="CK70" si="3240">CJ70*$E70</f>
        <v>0</v>
      </c>
      <c r="CL70" s="123"/>
      <c r="CM70" s="124">
        <f t="shared" ref="CM70" si="3241">CL70*$E70</f>
        <v>0</v>
      </c>
      <c r="CN70" s="123"/>
      <c r="CO70" s="124">
        <f t="shared" ref="CO70" si="3242">CN70*$E70</f>
        <v>0</v>
      </c>
      <c r="CP70" s="123"/>
      <c r="CQ70" s="124">
        <f t="shared" ref="CQ70" si="3243">CP70*$E70</f>
        <v>0</v>
      </c>
      <c r="CR70" s="123"/>
      <c r="CS70" s="124">
        <f t="shared" ref="CS70" si="3244">CR70*$E70</f>
        <v>0</v>
      </c>
      <c r="CT70" s="123"/>
      <c r="CU70" s="124">
        <f t="shared" ref="CU70" si="3245">CT70*$E70</f>
        <v>0</v>
      </c>
      <c r="CV70" s="123"/>
      <c r="CW70" s="124">
        <f t="shared" ref="CW70" si="3246">CV70*$E70</f>
        <v>0</v>
      </c>
      <c r="CX70" s="123"/>
      <c r="CY70" s="124">
        <f t="shared" ref="CY70" si="3247">CX70*$E70</f>
        <v>0</v>
      </c>
      <c r="CZ70" s="123"/>
      <c r="DA70" s="124">
        <f t="shared" ref="DA70" si="3248">CZ70*$E70</f>
        <v>0</v>
      </c>
      <c r="DB70" s="123"/>
      <c r="DC70" s="124">
        <f t="shared" si="3198"/>
        <v>0</v>
      </c>
      <c r="DD70" s="123"/>
      <c r="DE70" s="124">
        <f t="shared" si="3198"/>
        <v>0</v>
      </c>
      <c r="DF70" s="27">
        <f t="shared" si="3145"/>
        <v>0</v>
      </c>
      <c r="DG70" s="124">
        <f t="shared" si="3199"/>
        <v>0</v>
      </c>
    </row>
    <row r="71" spans="1:111" ht="18" customHeight="1" x14ac:dyDescent="0.5">
      <c r="A71" s="117">
        <v>58</v>
      </c>
      <c r="B71" s="122" t="s">
        <v>177</v>
      </c>
      <c r="C71" s="122" t="s">
        <v>233</v>
      </c>
      <c r="D71" s="117">
        <f>RANK(DF71,$DF$4:$DF$141)</f>
        <v>21</v>
      </c>
      <c r="E71" s="117">
        <v>0.6</v>
      </c>
      <c r="F71" s="117" t="s">
        <v>232</v>
      </c>
      <c r="G71" s="117"/>
      <c r="H71" s="123"/>
      <c r="I71" s="124">
        <f t="shared" ref="I71" si="3249">H71*$E71</f>
        <v>0</v>
      </c>
      <c r="J71" s="123"/>
      <c r="K71" s="124">
        <f t="shared" ref="K71" si="3250">J71*$E71</f>
        <v>0</v>
      </c>
      <c r="L71" s="123"/>
      <c r="M71" s="124">
        <f t="shared" ref="M71" si="3251">L71*$E71</f>
        <v>0</v>
      </c>
      <c r="N71" s="123"/>
      <c r="O71" s="124">
        <f t="shared" ref="O71" si="3252">N71*$E71</f>
        <v>0</v>
      </c>
      <c r="P71" s="123"/>
      <c r="Q71" s="124">
        <f t="shared" ref="Q71" si="3253">P71*$E71</f>
        <v>0</v>
      </c>
      <c r="R71" s="123"/>
      <c r="S71" s="124">
        <f t="shared" ref="S71" si="3254">R71*$E71</f>
        <v>0</v>
      </c>
      <c r="T71" s="123"/>
      <c r="U71" s="124">
        <f t="shared" ref="U71" si="3255">T71*$E71</f>
        <v>0</v>
      </c>
      <c r="V71" s="123"/>
      <c r="W71" s="124">
        <f t="shared" ref="W71" si="3256">V71*$E71</f>
        <v>0</v>
      </c>
      <c r="X71" s="123"/>
      <c r="Y71" s="124">
        <f t="shared" ref="Y71" si="3257">X71*$E71</f>
        <v>0</v>
      </c>
      <c r="Z71" s="123"/>
      <c r="AA71" s="124">
        <f t="shared" ref="AA71" si="3258">Z71*$E71</f>
        <v>0</v>
      </c>
      <c r="AB71" s="123"/>
      <c r="AC71" s="124">
        <f t="shared" ref="AC71" si="3259">AB71*$E71</f>
        <v>0</v>
      </c>
      <c r="AD71" s="123"/>
      <c r="AE71" s="124">
        <f t="shared" ref="AE71" si="3260">AD71*$E71</f>
        <v>0</v>
      </c>
      <c r="AF71" s="125">
        <f t="shared" si="3158"/>
        <v>0</v>
      </c>
      <c r="AG71" s="126">
        <f t="shared" ref="AG71" si="3261">AF71*$E71</f>
        <v>0</v>
      </c>
      <c r="AH71" s="11"/>
      <c r="AI71" s="124">
        <f t="shared" ref="AI71" si="3262">AH71*$E71</f>
        <v>0</v>
      </c>
      <c r="AJ71" s="15"/>
      <c r="AK71" s="124">
        <f t="shared" ref="AK71" si="3263">AJ71*$E71</f>
        <v>0</v>
      </c>
      <c r="AL71" s="15"/>
      <c r="AM71" s="124">
        <f t="shared" ref="AM71" si="3264">AL71*$E71</f>
        <v>0</v>
      </c>
      <c r="AN71" s="16"/>
      <c r="AO71" s="124">
        <f t="shared" ref="AO71" si="3265">AN71*$E71</f>
        <v>0</v>
      </c>
      <c r="AP71" s="15"/>
      <c r="AQ71" s="124">
        <f t="shared" ref="AQ71" si="3266">AP71*$E71</f>
        <v>0</v>
      </c>
      <c r="AR71" s="15"/>
      <c r="AS71" s="124">
        <f t="shared" ref="AS71" si="3267">AR71*$E71</f>
        <v>0</v>
      </c>
      <c r="AT71" s="17"/>
      <c r="AU71" s="124">
        <f t="shared" ref="AU71" si="3268">AT71*$E71</f>
        <v>0</v>
      </c>
      <c r="AV71" s="15"/>
      <c r="AW71" s="124">
        <f t="shared" ref="AW71" si="3269">AV71*$E71</f>
        <v>0</v>
      </c>
      <c r="AX71" s="15"/>
      <c r="AY71" s="124">
        <f t="shared" ref="AY71" si="3270">AX71*$E71</f>
        <v>0</v>
      </c>
      <c r="AZ71" s="17"/>
      <c r="BA71" s="124">
        <f t="shared" ref="BA71" si="3271">AZ71*$E71</f>
        <v>0</v>
      </c>
      <c r="BB71" s="33"/>
      <c r="BC71" s="124">
        <f t="shared" ref="BC71" si="3272">BB71*$E71</f>
        <v>0</v>
      </c>
      <c r="BD71" s="33"/>
      <c r="BE71" s="124">
        <f t="shared" ref="BE71" si="3273">BD71*$E71</f>
        <v>0</v>
      </c>
      <c r="BF71" s="125">
        <f t="shared" si="3172"/>
        <v>0</v>
      </c>
      <c r="BG71" s="126">
        <f t="shared" ref="BG71" si="3274">BF71*$E71</f>
        <v>0</v>
      </c>
      <c r="BH71" s="123"/>
      <c r="BI71" s="124">
        <f t="shared" ref="BI71" si="3275">BH71*$E71</f>
        <v>0</v>
      </c>
      <c r="BJ71" s="123"/>
      <c r="BK71" s="124">
        <f t="shared" ref="BK71" si="3276">BJ71*$E71</f>
        <v>0</v>
      </c>
      <c r="BL71" s="123"/>
      <c r="BM71" s="124">
        <f t="shared" ref="BM71" si="3277">BL71*$E71</f>
        <v>0</v>
      </c>
      <c r="BN71" s="123"/>
      <c r="BO71" s="124">
        <f t="shared" ref="BO71" si="3278">BN71*$E71</f>
        <v>0</v>
      </c>
      <c r="BP71" s="123"/>
      <c r="BQ71" s="124">
        <f t="shared" ref="BQ71" si="3279">BP71*$E71</f>
        <v>0</v>
      </c>
      <c r="BR71" s="123"/>
      <c r="BS71" s="124">
        <f t="shared" ref="BS71" si="3280">BR71*$E71</f>
        <v>0</v>
      </c>
      <c r="BT71" s="123"/>
      <c r="BU71" s="124">
        <f t="shared" ref="BU71" si="3281">BT71*$E71</f>
        <v>0</v>
      </c>
      <c r="BV71" s="123"/>
      <c r="BW71" s="124">
        <f t="shared" ref="BW71" si="3282">BV71*$E71</f>
        <v>0</v>
      </c>
      <c r="BX71" s="123"/>
      <c r="BY71" s="124">
        <f t="shared" ref="BY71" si="3283">BX71*$E71</f>
        <v>0</v>
      </c>
      <c r="BZ71" s="123"/>
      <c r="CA71" s="124">
        <f t="shared" ref="CA71" si="3284">BZ71*$E71</f>
        <v>0</v>
      </c>
      <c r="CB71" s="123"/>
      <c r="CC71" s="124">
        <f t="shared" ref="CC71" si="3285">CB71*$E71</f>
        <v>0</v>
      </c>
      <c r="CD71" s="123"/>
      <c r="CE71" s="124">
        <f t="shared" ref="CE71" si="3286">CD71*$E71</f>
        <v>0</v>
      </c>
      <c r="CF71" s="125">
        <f t="shared" si="3186"/>
        <v>0</v>
      </c>
      <c r="CG71" s="126">
        <f t="shared" ref="CG71" si="3287">CF71*$E71</f>
        <v>0</v>
      </c>
      <c r="CH71" s="123"/>
      <c r="CI71" s="124">
        <f t="shared" ref="CI71" si="3288">CH71*$E71</f>
        <v>0</v>
      </c>
      <c r="CJ71" s="123"/>
      <c r="CK71" s="124">
        <f t="shared" ref="CK71" si="3289">CJ71*$E71</f>
        <v>0</v>
      </c>
      <c r="CL71" s="123"/>
      <c r="CM71" s="124">
        <f t="shared" ref="CM71" si="3290">CL71*$E71</f>
        <v>0</v>
      </c>
      <c r="CN71" s="123"/>
      <c r="CO71" s="124">
        <f t="shared" ref="CO71" si="3291">CN71*$E71</f>
        <v>0</v>
      </c>
      <c r="CP71" s="123"/>
      <c r="CQ71" s="124">
        <f t="shared" ref="CQ71" si="3292">CP71*$E71</f>
        <v>0</v>
      </c>
      <c r="CR71" s="123"/>
      <c r="CS71" s="124">
        <f t="shared" ref="CS71" si="3293">CR71*$E71</f>
        <v>0</v>
      </c>
      <c r="CT71" s="123"/>
      <c r="CU71" s="124">
        <f t="shared" ref="CU71" si="3294">CT71*$E71</f>
        <v>0</v>
      </c>
      <c r="CV71" s="123"/>
      <c r="CW71" s="124">
        <f t="shared" ref="CW71" si="3295">CV71*$E71</f>
        <v>0</v>
      </c>
      <c r="CX71" s="123"/>
      <c r="CY71" s="124">
        <f t="shared" ref="CY71" si="3296">CX71*$E71</f>
        <v>0</v>
      </c>
      <c r="CZ71" s="123"/>
      <c r="DA71" s="124">
        <f t="shared" ref="DA71" si="3297">CZ71*$E71</f>
        <v>0</v>
      </c>
      <c r="DB71" s="123"/>
      <c r="DC71" s="124">
        <f t="shared" si="3198"/>
        <v>0</v>
      </c>
      <c r="DD71" s="123"/>
      <c r="DE71" s="124">
        <f t="shared" si="3198"/>
        <v>0</v>
      </c>
      <c r="DF71" s="27">
        <f t="shared" si="3145"/>
        <v>0</v>
      </c>
      <c r="DG71" s="124">
        <f t="shared" si="3199"/>
        <v>0</v>
      </c>
    </row>
    <row r="72" spans="1:111" ht="18" customHeight="1" x14ac:dyDescent="0.5">
      <c r="A72" s="117">
        <v>59</v>
      </c>
      <c r="B72" s="122" t="s">
        <v>178</v>
      </c>
      <c r="C72" s="122" t="s">
        <v>231</v>
      </c>
      <c r="D72" s="117">
        <f>RANK(DF72,$DF$4:$DF$141)</f>
        <v>21</v>
      </c>
      <c r="E72" s="117">
        <v>0.64</v>
      </c>
      <c r="F72" s="117" t="s">
        <v>236</v>
      </c>
      <c r="G72" s="117"/>
      <c r="H72" s="123"/>
      <c r="I72" s="124">
        <f t="shared" ref="I72" si="3298">H72*$E72</f>
        <v>0</v>
      </c>
      <c r="J72" s="123"/>
      <c r="K72" s="124">
        <f t="shared" ref="K72" si="3299">J72*$E72</f>
        <v>0</v>
      </c>
      <c r="L72" s="123"/>
      <c r="M72" s="124">
        <f t="shared" ref="M72" si="3300">L72*$E72</f>
        <v>0</v>
      </c>
      <c r="N72" s="123"/>
      <c r="O72" s="124">
        <f t="shared" ref="O72" si="3301">N72*$E72</f>
        <v>0</v>
      </c>
      <c r="P72" s="123"/>
      <c r="Q72" s="124">
        <f t="shared" ref="Q72" si="3302">P72*$E72</f>
        <v>0</v>
      </c>
      <c r="R72" s="123"/>
      <c r="S72" s="124">
        <f t="shared" ref="S72" si="3303">R72*$E72</f>
        <v>0</v>
      </c>
      <c r="T72" s="123"/>
      <c r="U72" s="124">
        <f t="shared" ref="U72" si="3304">T72*$E72</f>
        <v>0</v>
      </c>
      <c r="V72" s="123"/>
      <c r="W72" s="124">
        <f t="shared" ref="W72" si="3305">V72*$E72</f>
        <v>0</v>
      </c>
      <c r="X72" s="123"/>
      <c r="Y72" s="124">
        <f t="shared" ref="Y72" si="3306">X72*$E72</f>
        <v>0</v>
      </c>
      <c r="Z72" s="123"/>
      <c r="AA72" s="124">
        <f t="shared" ref="AA72" si="3307">Z72*$E72</f>
        <v>0</v>
      </c>
      <c r="AB72" s="123"/>
      <c r="AC72" s="124">
        <f t="shared" ref="AC72" si="3308">AB72*$E72</f>
        <v>0</v>
      </c>
      <c r="AD72" s="123"/>
      <c r="AE72" s="124">
        <f t="shared" ref="AE72" si="3309">AD72*$E72</f>
        <v>0</v>
      </c>
      <c r="AF72" s="125">
        <f t="shared" si="3158"/>
        <v>0</v>
      </c>
      <c r="AG72" s="126">
        <f t="shared" ref="AG72" si="3310">AF72*$E72</f>
        <v>0</v>
      </c>
      <c r="AH72" s="11"/>
      <c r="AI72" s="124">
        <f t="shared" ref="AI72" si="3311">AH72*$E72</f>
        <v>0</v>
      </c>
      <c r="AJ72" s="15"/>
      <c r="AK72" s="124">
        <f t="shared" ref="AK72" si="3312">AJ72*$E72</f>
        <v>0</v>
      </c>
      <c r="AL72" s="15"/>
      <c r="AM72" s="124">
        <f t="shared" ref="AM72" si="3313">AL72*$E72</f>
        <v>0</v>
      </c>
      <c r="AN72" s="16"/>
      <c r="AO72" s="124">
        <f t="shared" ref="AO72" si="3314">AN72*$E72</f>
        <v>0</v>
      </c>
      <c r="AP72" s="15"/>
      <c r="AQ72" s="124">
        <f t="shared" ref="AQ72" si="3315">AP72*$E72</f>
        <v>0</v>
      </c>
      <c r="AR72" s="15"/>
      <c r="AS72" s="124">
        <f t="shared" ref="AS72" si="3316">AR72*$E72</f>
        <v>0</v>
      </c>
      <c r="AT72" s="17"/>
      <c r="AU72" s="124">
        <f t="shared" ref="AU72" si="3317">AT72*$E72</f>
        <v>0</v>
      </c>
      <c r="AV72" s="15"/>
      <c r="AW72" s="124">
        <f t="shared" ref="AW72" si="3318">AV72*$E72</f>
        <v>0</v>
      </c>
      <c r="AX72" s="15"/>
      <c r="AY72" s="124">
        <f t="shared" ref="AY72" si="3319">AX72*$E72</f>
        <v>0</v>
      </c>
      <c r="AZ72" s="17"/>
      <c r="BA72" s="124">
        <f t="shared" ref="BA72" si="3320">AZ72*$E72</f>
        <v>0</v>
      </c>
      <c r="BB72" s="33"/>
      <c r="BC72" s="124">
        <f t="shared" ref="BC72" si="3321">BB72*$E72</f>
        <v>0</v>
      </c>
      <c r="BD72" s="33"/>
      <c r="BE72" s="124">
        <f t="shared" ref="BE72" si="3322">BD72*$E72</f>
        <v>0</v>
      </c>
      <c r="BF72" s="125">
        <f t="shared" si="3172"/>
        <v>0</v>
      </c>
      <c r="BG72" s="126">
        <f t="shared" ref="BG72" si="3323">BF72*$E72</f>
        <v>0</v>
      </c>
      <c r="BH72" s="123"/>
      <c r="BI72" s="124">
        <f t="shared" ref="BI72" si="3324">BH72*$E72</f>
        <v>0</v>
      </c>
      <c r="BJ72" s="123"/>
      <c r="BK72" s="124">
        <f t="shared" ref="BK72" si="3325">BJ72*$E72</f>
        <v>0</v>
      </c>
      <c r="BL72" s="123"/>
      <c r="BM72" s="124">
        <f t="shared" ref="BM72" si="3326">BL72*$E72</f>
        <v>0</v>
      </c>
      <c r="BN72" s="123"/>
      <c r="BO72" s="124">
        <f t="shared" ref="BO72" si="3327">BN72*$E72</f>
        <v>0</v>
      </c>
      <c r="BP72" s="123"/>
      <c r="BQ72" s="124">
        <f t="shared" ref="BQ72" si="3328">BP72*$E72</f>
        <v>0</v>
      </c>
      <c r="BR72" s="123"/>
      <c r="BS72" s="124">
        <f t="shared" ref="BS72" si="3329">BR72*$E72</f>
        <v>0</v>
      </c>
      <c r="BT72" s="123"/>
      <c r="BU72" s="124">
        <f t="shared" ref="BU72" si="3330">BT72*$E72</f>
        <v>0</v>
      </c>
      <c r="BV72" s="123"/>
      <c r="BW72" s="124">
        <f t="shared" ref="BW72" si="3331">BV72*$E72</f>
        <v>0</v>
      </c>
      <c r="BX72" s="123"/>
      <c r="BY72" s="124">
        <f t="shared" ref="BY72" si="3332">BX72*$E72</f>
        <v>0</v>
      </c>
      <c r="BZ72" s="123"/>
      <c r="CA72" s="124">
        <f t="shared" ref="CA72" si="3333">BZ72*$E72</f>
        <v>0</v>
      </c>
      <c r="CB72" s="123"/>
      <c r="CC72" s="124">
        <f t="shared" ref="CC72" si="3334">CB72*$E72</f>
        <v>0</v>
      </c>
      <c r="CD72" s="123"/>
      <c r="CE72" s="124">
        <f t="shared" ref="CE72" si="3335">CD72*$E72</f>
        <v>0</v>
      </c>
      <c r="CF72" s="125">
        <f t="shared" si="3186"/>
        <v>0</v>
      </c>
      <c r="CG72" s="126">
        <f t="shared" ref="CG72" si="3336">CF72*$E72</f>
        <v>0</v>
      </c>
      <c r="CH72" s="123"/>
      <c r="CI72" s="124">
        <f t="shared" ref="CI72" si="3337">CH72*$E72</f>
        <v>0</v>
      </c>
      <c r="CJ72" s="123"/>
      <c r="CK72" s="124">
        <f t="shared" ref="CK72" si="3338">CJ72*$E72</f>
        <v>0</v>
      </c>
      <c r="CL72" s="123"/>
      <c r="CM72" s="124">
        <f t="shared" ref="CM72" si="3339">CL72*$E72</f>
        <v>0</v>
      </c>
      <c r="CN72" s="123"/>
      <c r="CO72" s="124">
        <f t="shared" ref="CO72" si="3340">CN72*$E72</f>
        <v>0</v>
      </c>
      <c r="CP72" s="123"/>
      <c r="CQ72" s="124">
        <f t="shared" ref="CQ72" si="3341">CP72*$E72</f>
        <v>0</v>
      </c>
      <c r="CR72" s="123"/>
      <c r="CS72" s="124">
        <f t="shared" ref="CS72" si="3342">CR72*$E72</f>
        <v>0</v>
      </c>
      <c r="CT72" s="123"/>
      <c r="CU72" s="124">
        <f t="shared" ref="CU72" si="3343">CT72*$E72</f>
        <v>0</v>
      </c>
      <c r="CV72" s="123"/>
      <c r="CW72" s="124">
        <f t="shared" ref="CW72" si="3344">CV72*$E72</f>
        <v>0</v>
      </c>
      <c r="CX72" s="123"/>
      <c r="CY72" s="124">
        <f t="shared" ref="CY72" si="3345">CX72*$E72</f>
        <v>0</v>
      </c>
      <c r="CZ72" s="123"/>
      <c r="DA72" s="124">
        <f t="shared" ref="DA72" si="3346">CZ72*$E72</f>
        <v>0</v>
      </c>
      <c r="DB72" s="123"/>
      <c r="DC72" s="124">
        <f t="shared" si="3198"/>
        <v>0</v>
      </c>
      <c r="DD72" s="123"/>
      <c r="DE72" s="124">
        <f t="shared" si="3198"/>
        <v>0</v>
      </c>
      <c r="DF72" s="27">
        <f t="shared" si="3145"/>
        <v>0</v>
      </c>
      <c r="DG72" s="124">
        <f t="shared" si="3199"/>
        <v>0</v>
      </c>
    </row>
    <row r="73" spans="1:111" ht="18" customHeight="1" x14ac:dyDescent="0.5">
      <c r="A73" s="117"/>
      <c r="B73" s="122"/>
      <c r="C73" s="122"/>
      <c r="D73" s="117"/>
      <c r="E73" s="117"/>
      <c r="F73" s="117"/>
      <c r="G73" s="117"/>
      <c r="H73" s="123"/>
      <c r="I73" s="124">
        <f t="shared" ref="I73" si="3347">H73*$E73</f>
        <v>0</v>
      </c>
      <c r="J73" s="123"/>
      <c r="K73" s="124">
        <f t="shared" ref="K73" si="3348">J73*$E73</f>
        <v>0</v>
      </c>
      <c r="L73" s="123"/>
      <c r="M73" s="124">
        <f t="shared" ref="M73" si="3349">L73*$E73</f>
        <v>0</v>
      </c>
      <c r="N73" s="123"/>
      <c r="O73" s="124">
        <f t="shared" ref="O73" si="3350">N73*$E73</f>
        <v>0</v>
      </c>
      <c r="P73" s="123"/>
      <c r="Q73" s="124">
        <f t="shared" ref="Q73" si="3351">P73*$E73</f>
        <v>0</v>
      </c>
      <c r="R73" s="123"/>
      <c r="S73" s="124">
        <f t="shared" ref="S73" si="3352">R73*$E73</f>
        <v>0</v>
      </c>
      <c r="T73" s="123"/>
      <c r="U73" s="124">
        <f t="shared" ref="U73" si="3353">T73*$E73</f>
        <v>0</v>
      </c>
      <c r="V73" s="123"/>
      <c r="W73" s="124">
        <f t="shared" ref="W73" si="3354">V73*$E73</f>
        <v>0</v>
      </c>
      <c r="X73" s="123"/>
      <c r="Y73" s="124">
        <f t="shared" ref="Y73" si="3355">X73*$E73</f>
        <v>0</v>
      </c>
      <c r="Z73" s="123"/>
      <c r="AA73" s="124">
        <f t="shared" ref="AA73" si="3356">Z73*$E73</f>
        <v>0</v>
      </c>
      <c r="AB73" s="123"/>
      <c r="AC73" s="124">
        <f t="shared" ref="AC73" si="3357">AB73*$E73</f>
        <v>0</v>
      </c>
      <c r="AD73" s="123"/>
      <c r="AE73" s="124">
        <f t="shared" ref="AE73" si="3358">AD73*$E73</f>
        <v>0</v>
      </c>
      <c r="AF73" s="125">
        <f t="shared" si="3158"/>
        <v>0</v>
      </c>
      <c r="AG73" s="126">
        <f t="shared" ref="AG73" si="3359">AF73*$E73</f>
        <v>0</v>
      </c>
      <c r="AH73" s="11"/>
      <c r="AI73" s="124">
        <f t="shared" ref="AI73" si="3360">AH73*$E73</f>
        <v>0</v>
      </c>
      <c r="AJ73" s="15"/>
      <c r="AK73" s="124">
        <f t="shared" ref="AK73" si="3361">AJ73*$E73</f>
        <v>0</v>
      </c>
      <c r="AL73" s="15"/>
      <c r="AM73" s="124">
        <f t="shared" ref="AM73" si="3362">AL73*$E73</f>
        <v>0</v>
      </c>
      <c r="AN73" s="16"/>
      <c r="AO73" s="124">
        <f t="shared" ref="AO73" si="3363">AN73*$E73</f>
        <v>0</v>
      </c>
      <c r="AP73" s="15"/>
      <c r="AQ73" s="124">
        <f t="shared" ref="AQ73" si="3364">AP73*$E73</f>
        <v>0</v>
      </c>
      <c r="AR73" s="15"/>
      <c r="AS73" s="124">
        <f t="shared" ref="AS73" si="3365">AR73*$E73</f>
        <v>0</v>
      </c>
      <c r="AT73" s="17"/>
      <c r="AU73" s="124">
        <f t="shared" ref="AU73" si="3366">AT73*$E73</f>
        <v>0</v>
      </c>
      <c r="AV73" s="15"/>
      <c r="AW73" s="124">
        <f t="shared" ref="AW73" si="3367">AV73*$E73</f>
        <v>0</v>
      </c>
      <c r="AX73" s="15"/>
      <c r="AY73" s="124">
        <f t="shared" ref="AY73" si="3368">AX73*$E73</f>
        <v>0</v>
      </c>
      <c r="AZ73" s="17"/>
      <c r="BA73" s="124">
        <f t="shared" ref="BA73" si="3369">AZ73*$E73</f>
        <v>0</v>
      </c>
      <c r="BB73" s="33"/>
      <c r="BC73" s="124">
        <f t="shared" ref="BC73" si="3370">BB73*$E73</f>
        <v>0</v>
      </c>
      <c r="BD73" s="33"/>
      <c r="BE73" s="124">
        <f t="shared" ref="BE73" si="3371">BD73*$E73</f>
        <v>0</v>
      </c>
      <c r="BF73" s="125">
        <f t="shared" si="3172"/>
        <v>0</v>
      </c>
      <c r="BG73" s="126">
        <f t="shared" ref="BG73" si="3372">BF73*$E73</f>
        <v>0</v>
      </c>
      <c r="BH73" s="123"/>
      <c r="BI73" s="124">
        <f t="shared" ref="BI73" si="3373">BH73*$E73</f>
        <v>0</v>
      </c>
      <c r="BJ73" s="123"/>
      <c r="BK73" s="124">
        <f t="shared" ref="BK73" si="3374">BJ73*$E73</f>
        <v>0</v>
      </c>
      <c r="BL73" s="123"/>
      <c r="BM73" s="124">
        <f t="shared" ref="BM73" si="3375">BL73*$E73</f>
        <v>0</v>
      </c>
      <c r="BN73" s="123"/>
      <c r="BO73" s="124">
        <f t="shared" ref="BO73" si="3376">BN73*$E73</f>
        <v>0</v>
      </c>
      <c r="BP73" s="123"/>
      <c r="BQ73" s="124">
        <f t="shared" ref="BQ73" si="3377">BP73*$E73</f>
        <v>0</v>
      </c>
      <c r="BR73" s="123"/>
      <c r="BS73" s="124">
        <f t="shared" ref="BS73" si="3378">BR73*$E73</f>
        <v>0</v>
      </c>
      <c r="BT73" s="123"/>
      <c r="BU73" s="124">
        <f t="shared" ref="BU73" si="3379">BT73*$E73</f>
        <v>0</v>
      </c>
      <c r="BV73" s="123"/>
      <c r="BW73" s="124">
        <f t="shared" ref="BW73" si="3380">BV73*$E73</f>
        <v>0</v>
      </c>
      <c r="BX73" s="123"/>
      <c r="BY73" s="124">
        <f t="shared" ref="BY73" si="3381">BX73*$E73</f>
        <v>0</v>
      </c>
      <c r="BZ73" s="123"/>
      <c r="CA73" s="124">
        <f t="shared" ref="CA73" si="3382">BZ73*$E73</f>
        <v>0</v>
      </c>
      <c r="CB73" s="123"/>
      <c r="CC73" s="124">
        <f t="shared" ref="CC73" si="3383">CB73*$E73</f>
        <v>0</v>
      </c>
      <c r="CD73" s="123"/>
      <c r="CE73" s="124">
        <f t="shared" ref="CE73" si="3384">CD73*$E73</f>
        <v>0</v>
      </c>
      <c r="CF73" s="125">
        <f t="shared" si="3186"/>
        <v>0</v>
      </c>
      <c r="CG73" s="126">
        <f t="shared" ref="CG73" si="3385">CF73*$E73</f>
        <v>0</v>
      </c>
      <c r="CH73" s="123"/>
      <c r="CI73" s="124">
        <f t="shared" ref="CI73" si="3386">CH73*$E73</f>
        <v>0</v>
      </c>
      <c r="CJ73" s="123"/>
      <c r="CK73" s="124">
        <f t="shared" ref="CK73" si="3387">CJ73*$E73</f>
        <v>0</v>
      </c>
      <c r="CL73" s="123"/>
      <c r="CM73" s="124">
        <f t="shared" ref="CM73" si="3388">CL73*$E73</f>
        <v>0</v>
      </c>
      <c r="CN73" s="123"/>
      <c r="CO73" s="124">
        <f t="shared" ref="CO73" si="3389">CN73*$E73</f>
        <v>0</v>
      </c>
      <c r="CP73" s="123"/>
      <c r="CQ73" s="124">
        <f t="shared" ref="CQ73" si="3390">CP73*$E73</f>
        <v>0</v>
      </c>
      <c r="CR73" s="123"/>
      <c r="CS73" s="124">
        <f t="shared" ref="CS73" si="3391">CR73*$E73</f>
        <v>0</v>
      </c>
      <c r="CT73" s="123"/>
      <c r="CU73" s="124">
        <f t="shared" ref="CU73" si="3392">CT73*$E73</f>
        <v>0</v>
      </c>
      <c r="CV73" s="123"/>
      <c r="CW73" s="124">
        <f t="shared" ref="CW73" si="3393">CV73*$E73</f>
        <v>0</v>
      </c>
      <c r="CX73" s="123"/>
      <c r="CY73" s="124">
        <f t="shared" ref="CY73" si="3394">CX73*$E73</f>
        <v>0</v>
      </c>
      <c r="CZ73" s="123"/>
      <c r="DA73" s="124">
        <f t="shared" ref="DA73" si="3395">CZ73*$E73</f>
        <v>0</v>
      </c>
      <c r="DB73" s="123"/>
      <c r="DC73" s="124">
        <f t="shared" si="3198"/>
        <v>0</v>
      </c>
      <c r="DD73" s="123"/>
      <c r="DE73" s="124">
        <f t="shared" si="3198"/>
        <v>0</v>
      </c>
      <c r="DF73" s="27">
        <f t="shared" si="3145"/>
        <v>0</v>
      </c>
      <c r="DG73" s="124">
        <f t="shared" si="3199"/>
        <v>0</v>
      </c>
    </row>
    <row r="74" spans="1:111" ht="18" customHeight="1" x14ac:dyDescent="0.5">
      <c r="A74" s="117">
        <v>60</v>
      </c>
      <c r="B74" s="122" t="s">
        <v>179</v>
      </c>
      <c r="C74" s="122" t="s">
        <v>231</v>
      </c>
      <c r="D74" s="117">
        <f>RANK(DF74,$DF$4:$DF$141)</f>
        <v>13</v>
      </c>
      <c r="E74" s="117">
        <v>0.64</v>
      </c>
      <c r="F74" s="117" t="s">
        <v>236</v>
      </c>
      <c r="G74" s="117">
        <v>1350</v>
      </c>
      <c r="H74" s="123">
        <v>360</v>
      </c>
      <c r="I74" s="124">
        <f t="shared" ref="I74" si="3396">H74*$E74</f>
        <v>230.4</v>
      </c>
      <c r="J74" s="123">
        <v>480</v>
      </c>
      <c r="K74" s="124">
        <f t="shared" ref="K74" si="3397">J74*$E74</f>
        <v>307.2</v>
      </c>
      <c r="L74" s="123">
        <v>1200</v>
      </c>
      <c r="M74" s="124">
        <f t="shared" ref="M74" si="3398">L74*$E74</f>
        <v>768</v>
      </c>
      <c r="N74" s="123">
        <v>840</v>
      </c>
      <c r="O74" s="124">
        <f t="shared" ref="O74" si="3399">N74*$E74</f>
        <v>537.6</v>
      </c>
      <c r="P74" s="123">
        <v>840</v>
      </c>
      <c r="Q74" s="124">
        <f t="shared" ref="Q74" si="3400">P74*$E74</f>
        <v>537.6</v>
      </c>
      <c r="R74" s="123">
        <v>744</v>
      </c>
      <c r="S74" s="124">
        <f t="shared" ref="S74" si="3401">R74*$E74</f>
        <v>476.16</v>
      </c>
      <c r="T74" s="123">
        <v>120</v>
      </c>
      <c r="U74" s="124">
        <f t="shared" ref="U74" si="3402">T74*$E74</f>
        <v>76.8</v>
      </c>
      <c r="V74" s="123">
        <v>1560</v>
      </c>
      <c r="W74" s="124">
        <f t="shared" ref="W74" si="3403">V74*$E74</f>
        <v>998.4</v>
      </c>
      <c r="X74" s="123">
        <v>360</v>
      </c>
      <c r="Y74" s="124">
        <f t="shared" ref="Y74" si="3404">X74*$E74</f>
        <v>230.4</v>
      </c>
      <c r="Z74" s="123">
        <v>1272</v>
      </c>
      <c r="AA74" s="124">
        <f t="shared" ref="AA74" si="3405">Z74*$E74</f>
        <v>814.08</v>
      </c>
      <c r="AB74" s="123">
        <v>360</v>
      </c>
      <c r="AC74" s="124">
        <f t="shared" ref="AC74" si="3406">AB74*$E74</f>
        <v>230.4</v>
      </c>
      <c r="AD74" s="123">
        <v>600</v>
      </c>
      <c r="AE74" s="124">
        <f t="shared" ref="AE74" si="3407">AD74*$E74</f>
        <v>384</v>
      </c>
      <c r="AF74" s="125">
        <f t="shared" si="3158"/>
        <v>8736</v>
      </c>
      <c r="AG74" s="126">
        <f t="shared" ref="AG74" si="3408">AF74*$E74</f>
        <v>5591.04</v>
      </c>
      <c r="AH74" s="11">
        <v>360</v>
      </c>
      <c r="AI74" s="124">
        <f t="shared" ref="AI74" si="3409">AH74*$E74</f>
        <v>230.4</v>
      </c>
      <c r="AJ74" s="15">
        <v>360</v>
      </c>
      <c r="AK74" s="124">
        <f t="shared" ref="AK74" si="3410">AJ74*$E74</f>
        <v>230.4</v>
      </c>
      <c r="AL74" s="15">
        <v>1200</v>
      </c>
      <c r="AM74" s="124">
        <f t="shared" ref="AM74" si="3411">AL74*$E74</f>
        <v>768</v>
      </c>
      <c r="AN74" s="16">
        <v>360</v>
      </c>
      <c r="AO74" s="124">
        <f t="shared" ref="AO74" si="3412">AN74*$E74</f>
        <v>230.4</v>
      </c>
      <c r="AP74" s="15">
        <v>840</v>
      </c>
      <c r="AQ74" s="124">
        <f t="shared" ref="AQ74" si="3413">AP74*$E74</f>
        <v>537.6</v>
      </c>
      <c r="AR74" s="15">
        <v>360</v>
      </c>
      <c r="AS74" s="124">
        <f t="shared" ref="AS74" si="3414">AR74*$E74</f>
        <v>230.4</v>
      </c>
      <c r="AT74" s="17">
        <v>384</v>
      </c>
      <c r="AU74" s="124">
        <f t="shared" ref="AU74" si="3415">AT74*$E74</f>
        <v>245.76</v>
      </c>
      <c r="AV74" s="15">
        <v>242</v>
      </c>
      <c r="AW74" s="124">
        <f t="shared" ref="AW74" si="3416">AV74*$E74</f>
        <v>154.88</v>
      </c>
      <c r="AX74" s="15">
        <v>1968</v>
      </c>
      <c r="AY74" s="124">
        <f t="shared" ref="AY74" si="3417">AX74*$E74</f>
        <v>1259.52</v>
      </c>
      <c r="AZ74" s="17">
        <v>238</v>
      </c>
      <c r="BA74" s="124">
        <f t="shared" ref="BA74" si="3418">AZ74*$E74</f>
        <v>152.32</v>
      </c>
      <c r="BB74" s="33">
        <v>112</v>
      </c>
      <c r="BC74" s="124">
        <f t="shared" ref="BC74" si="3419">BB74*$E74</f>
        <v>71.680000000000007</v>
      </c>
      <c r="BD74" s="33">
        <v>588</v>
      </c>
      <c r="BE74" s="124">
        <f t="shared" ref="BE74" si="3420">BD74*$E74</f>
        <v>376.32</v>
      </c>
      <c r="BF74" s="125">
        <f t="shared" si="3172"/>
        <v>7012</v>
      </c>
      <c r="BG74" s="126">
        <f t="shared" ref="BG74" si="3421">BF74*$E74</f>
        <v>4487.68</v>
      </c>
      <c r="BH74" s="64">
        <v>434</v>
      </c>
      <c r="BI74" s="124">
        <f t="shared" ref="BI74" si="3422">BH74*$E74</f>
        <v>277.76</v>
      </c>
      <c r="BJ74" s="64">
        <v>322</v>
      </c>
      <c r="BK74" s="124">
        <f t="shared" ref="BK74" si="3423">BJ74*$E74</f>
        <v>206.08</v>
      </c>
      <c r="BL74" s="64">
        <v>336</v>
      </c>
      <c r="BM74" s="124">
        <f t="shared" ref="BM74" si="3424">BL74*$E74</f>
        <v>215.04</v>
      </c>
      <c r="BN74" s="64">
        <v>546</v>
      </c>
      <c r="BO74" s="124">
        <f t="shared" ref="BO74" si="3425">BN74*$E74</f>
        <v>349.44</v>
      </c>
      <c r="BP74" s="64">
        <v>280</v>
      </c>
      <c r="BQ74" s="124">
        <f t="shared" ref="BQ74" si="3426">BP74*$E74</f>
        <v>179.20000000000002</v>
      </c>
      <c r="BR74" s="65">
        <v>504</v>
      </c>
      <c r="BS74" s="124">
        <f t="shared" ref="BS74" si="3427">BR74*$E74</f>
        <v>322.56</v>
      </c>
      <c r="BT74" s="71">
        <v>588</v>
      </c>
      <c r="BU74" s="124">
        <f t="shared" ref="BU74" si="3428">BT74*$E74</f>
        <v>376.32</v>
      </c>
      <c r="BV74" s="67"/>
      <c r="BW74" s="124">
        <f t="shared" ref="BW74" si="3429">BV74*$E74</f>
        <v>0</v>
      </c>
      <c r="BX74" s="67">
        <v>154</v>
      </c>
      <c r="BY74" s="124">
        <f t="shared" ref="BY74" si="3430">BX74*$E74</f>
        <v>98.56</v>
      </c>
      <c r="BZ74" s="69">
        <v>196</v>
      </c>
      <c r="CA74" s="124">
        <f t="shared" ref="CA74" si="3431">BZ74*$E74</f>
        <v>125.44</v>
      </c>
      <c r="CB74" s="69">
        <v>434</v>
      </c>
      <c r="CC74" s="124">
        <f t="shared" ref="CC74" si="3432">CB74*$E74</f>
        <v>277.76</v>
      </c>
      <c r="CD74" s="69">
        <v>140</v>
      </c>
      <c r="CE74" s="124">
        <f t="shared" ref="CE74" si="3433">CD74*$E74</f>
        <v>89.600000000000009</v>
      </c>
      <c r="CF74" s="125">
        <f t="shared" si="3186"/>
        <v>3934</v>
      </c>
      <c r="CG74" s="126">
        <f t="shared" ref="CG74" si="3434">CF74*$E74</f>
        <v>2517.7600000000002</v>
      </c>
      <c r="CH74" s="123">
        <v>350</v>
      </c>
      <c r="CI74" s="124">
        <f t="shared" ref="CI74" si="3435">CH74*$E74</f>
        <v>224</v>
      </c>
      <c r="CJ74" s="123">
        <v>70</v>
      </c>
      <c r="CK74" s="124">
        <f t="shared" ref="CK74" si="3436">CJ74*$E74</f>
        <v>44.800000000000004</v>
      </c>
      <c r="CL74" s="123">
        <v>210</v>
      </c>
      <c r="CM74" s="124">
        <f t="shared" ref="CM74" si="3437">CL74*$E74</f>
        <v>134.4</v>
      </c>
      <c r="CN74" s="123">
        <v>518</v>
      </c>
      <c r="CO74" s="124">
        <f t="shared" ref="CO74" si="3438">CN74*$E74</f>
        <v>331.52</v>
      </c>
      <c r="CP74" s="123">
        <v>70</v>
      </c>
      <c r="CQ74" s="124">
        <f t="shared" ref="CQ74" si="3439">CP74*$E74</f>
        <v>44.800000000000004</v>
      </c>
      <c r="CR74" s="123">
        <v>140</v>
      </c>
      <c r="CS74" s="124">
        <f t="shared" ref="CS74" si="3440">CR74*$E74</f>
        <v>89.600000000000009</v>
      </c>
      <c r="CT74" s="123">
        <v>42</v>
      </c>
      <c r="CU74" s="124">
        <f t="shared" ref="CU74" si="3441">CT74*$E74</f>
        <v>26.88</v>
      </c>
      <c r="CV74" s="123">
        <v>98</v>
      </c>
      <c r="CW74" s="124">
        <f t="shared" ref="CW74" si="3442">CV74*$E74</f>
        <v>62.72</v>
      </c>
      <c r="CX74" s="123">
        <v>210</v>
      </c>
      <c r="CY74" s="124">
        <f t="shared" ref="CY74" si="3443">CX74*$E74</f>
        <v>134.4</v>
      </c>
      <c r="CZ74" s="123">
        <v>308</v>
      </c>
      <c r="DA74" s="124">
        <f t="shared" ref="DA74" si="3444">CZ74*$E74</f>
        <v>197.12</v>
      </c>
      <c r="DB74" s="123">
        <v>336</v>
      </c>
      <c r="DC74" s="124">
        <f t="shared" si="3198"/>
        <v>215.04</v>
      </c>
      <c r="DD74" s="123">
        <v>210</v>
      </c>
      <c r="DE74" s="124">
        <f t="shared" si="3198"/>
        <v>134.4</v>
      </c>
      <c r="DF74" s="27">
        <f t="shared" si="3145"/>
        <v>2562</v>
      </c>
      <c r="DG74" s="124">
        <f t="shared" si="3199"/>
        <v>1639.68</v>
      </c>
    </row>
    <row r="75" spans="1:111" ht="18" customHeight="1" x14ac:dyDescent="0.5">
      <c r="A75" s="117">
        <v>61</v>
      </c>
      <c r="B75" s="122" t="s">
        <v>179</v>
      </c>
      <c r="C75" s="122" t="s">
        <v>231</v>
      </c>
      <c r="D75" s="117">
        <f>RANK(DF75,$DF$4:$DF$141)</f>
        <v>21</v>
      </c>
      <c r="E75" s="117">
        <v>0.64</v>
      </c>
      <c r="F75" s="117" t="s">
        <v>235</v>
      </c>
      <c r="G75" s="117">
        <v>1350</v>
      </c>
      <c r="H75" s="123"/>
      <c r="I75" s="124">
        <f t="shared" ref="I75" si="3445">H75*$E75</f>
        <v>0</v>
      </c>
      <c r="J75" s="123"/>
      <c r="K75" s="124">
        <f t="shared" ref="K75" si="3446">J75*$E75</f>
        <v>0</v>
      </c>
      <c r="L75" s="123"/>
      <c r="M75" s="124">
        <f t="shared" ref="M75" si="3447">L75*$E75</f>
        <v>0</v>
      </c>
      <c r="N75" s="123"/>
      <c r="O75" s="124">
        <f t="shared" ref="O75" si="3448">N75*$E75</f>
        <v>0</v>
      </c>
      <c r="P75" s="123"/>
      <c r="Q75" s="124">
        <f t="shared" ref="Q75" si="3449">P75*$E75</f>
        <v>0</v>
      </c>
      <c r="R75" s="123"/>
      <c r="S75" s="124">
        <f t="shared" ref="S75" si="3450">R75*$E75</f>
        <v>0</v>
      </c>
      <c r="T75" s="123"/>
      <c r="U75" s="124">
        <f t="shared" ref="U75" si="3451">T75*$E75</f>
        <v>0</v>
      </c>
      <c r="V75" s="123"/>
      <c r="W75" s="124">
        <f t="shared" ref="W75" si="3452">V75*$E75</f>
        <v>0</v>
      </c>
      <c r="X75" s="123"/>
      <c r="Y75" s="124">
        <f t="shared" ref="Y75" si="3453">X75*$E75</f>
        <v>0</v>
      </c>
      <c r="Z75" s="123"/>
      <c r="AA75" s="124">
        <f t="shared" ref="AA75" si="3454">Z75*$E75</f>
        <v>0</v>
      </c>
      <c r="AB75" s="123"/>
      <c r="AC75" s="124">
        <f t="shared" ref="AC75" si="3455">AB75*$E75</f>
        <v>0</v>
      </c>
      <c r="AD75" s="123"/>
      <c r="AE75" s="124">
        <f t="shared" ref="AE75" si="3456">AD75*$E75</f>
        <v>0</v>
      </c>
      <c r="AF75" s="125">
        <f t="shared" si="3158"/>
        <v>0</v>
      </c>
      <c r="AG75" s="126">
        <f t="shared" ref="AG75" si="3457">AF75*$E75</f>
        <v>0</v>
      </c>
      <c r="AH75" s="11"/>
      <c r="AI75" s="124">
        <f t="shared" ref="AI75" si="3458">AH75*$E75</f>
        <v>0</v>
      </c>
      <c r="AJ75" s="15"/>
      <c r="AK75" s="124">
        <f t="shared" ref="AK75" si="3459">AJ75*$E75</f>
        <v>0</v>
      </c>
      <c r="AL75" s="15"/>
      <c r="AM75" s="124">
        <f t="shared" ref="AM75" si="3460">AL75*$E75</f>
        <v>0</v>
      </c>
      <c r="AN75" s="16"/>
      <c r="AO75" s="124">
        <f t="shared" ref="AO75" si="3461">AN75*$E75</f>
        <v>0</v>
      </c>
      <c r="AP75" s="15"/>
      <c r="AQ75" s="124">
        <f t="shared" ref="AQ75" si="3462">AP75*$E75</f>
        <v>0</v>
      </c>
      <c r="AR75" s="15"/>
      <c r="AS75" s="124">
        <f t="shared" ref="AS75" si="3463">AR75*$E75</f>
        <v>0</v>
      </c>
      <c r="AT75" s="17"/>
      <c r="AU75" s="124">
        <f t="shared" ref="AU75" si="3464">AT75*$E75</f>
        <v>0</v>
      </c>
      <c r="AV75" s="15"/>
      <c r="AW75" s="124">
        <f t="shared" ref="AW75" si="3465">AV75*$E75</f>
        <v>0</v>
      </c>
      <c r="AX75" s="15"/>
      <c r="AY75" s="124">
        <f t="shared" ref="AY75" si="3466">AX75*$E75</f>
        <v>0</v>
      </c>
      <c r="AZ75" s="17">
        <v>216</v>
      </c>
      <c r="BA75" s="124">
        <f t="shared" ref="BA75" si="3467">AZ75*$E75</f>
        <v>138.24</v>
      </c>
      <c r="BB75" s="33">
        <v>552</v>
      </c>
      <c r="BC75" s="124">
        <f t="shared" ref="BC75" si="3468">BB75*$E75</f>
        <v>353.28000000000003</v>
      </c>
      <c r="BD75" s="33">
        <v>120</v>
      </c>
      <c r="BE75" s="124">
        <f t="shared" ref="BE75" si="3469">BD75*$E75</f>
        <v>76.8</v>
      </c>
      <c r="BF75" s="125">
        <f t="shared" si="3172"/>
        <v>888</v>
      </c>
      <c r="BG75" s="126">
        <f t="shared" ref="BG75" si="3470">BF75*$E75</f>
        <v>568.32000000000005</v>
      </c>
      <c r="BH75" s="64">
        <v>18648</v>
      </c>
      <c r="BI75" s="124">
        <f t="shared" ref="BI75" si="3471">BH75*$E75</f>
        <v>11934.72</v>
      </c>
      <c r="BJ75" s="77"/>
      <c r="BK75" s="124">
        <f t="shared" ref="BK75" si="3472">BJ75*$E75</f>
        <v>0</v>
      </c>
      <c r="BL75" s="77"/>
      <c r="BM75" s="124">
        <f t="shared" ref="BM75" si="3473">BL75*$E75</f>
        <v>0</v>
      </c>
      <c r="BN75" s="78"/>
      <c r="BO75" s="124">
        <f t="shared" ref="BO75" si="3474">BN75*$E75</f>
        <v>0</v>
      </c>
      <c r="BP75" s="67"/>
      <c r="BQ75" s="124">
        <f t="shared" ref="BQ75" si="3475">BP75*$E75</f>
        <v>0</v>
      </c>
      <c r="BR75" s="65"/>
      <c r="BS75" s="124">
        <f t="shared" ref="BS75" si="3476">BR75*$E75</f>
        <v>0</v>
      </c>
      <c r="BT75" s="67"/>
      <c r="BU75" s="124">
        <f t="shared" ref="BU75" si="3477">BT75*$E75</f>
        <v>0</v>
      </c>
      <c r="BV75" s="67"/>
      <c r="BW75" s="124">
        <f t="shared" ref="BW75" si="3478">BV75*$E75</f>
        <v>0</v>
      </c>
      <c r="BX75" s="67"/>
      <c r="BY75" s="124">
        <f t="shared" ref="BY75" si="3479">BX75*$E75</f>
        <v>0</v>
      </c>
      <c r="BZ75" s="69"/>
      <c r="CA75" s="124">
        <f t="shared" ref="CA75" si="3480">BZ75*$E75</f>
        <v>0</v>
      </c>
      <c r="CB75" s="67"/>
      <c r="CC75" s="124">
        <f t="shared" ref="CC75" si="3481">CB75*$E75</f>
        <v>0</v>
      </c>
      <c r="CD75" s="67"/>
      <c r="CE75" s="124">
        <f t="shared" ref="CE75" si="3482">CD75*$E75</f>
        <v>0</v>
      </c>
      <c r="CF75" s="125">
        <f t="shared" si="3186"/>
        <v>18648</v>
      </c>
      <c r="CG75" s="126">
        <f t="shared" ref="CG75" si="3483">CF75*$E75</f>
        <v>11934.72</v>
      </c>
      <c r="CH75" s="123"/>
      <c r="CI75" s="124">
        <f t="shared" ref="CI75" si="3484">CH75*$E75</f>
        <v>0</v>
      </c>
      <c r="CJ75" s="123"/>
      <c r="CK75" s="124">
        <f t="shared" ref="CK75" si="3485">CJ75*$E75</f>
        <v>0</v>
      </c>
      <c r="CL75" s="123"/>
      <c r="CM75" s="124">
        <f t="shared" ref="CM75" si="3486">CL75*$E75</f>
        <v>0</v>
      </c>
      <c r="CN75" s="123"/>
      <c r="CO75" s="124">
        <f t="shared" ref="CO75" si="3487">CN75*$E75</f>
        <v>0</v>
      </c>
      <c r="CP75" s="123"/>
      <c r="CQ75" s="124">
        <f t="shared" ref="CQ75" si="3488">CP75*$E75</f>
        <v>0</v>
      </c>
      <c r="CR75" s="123"/>
      <c r="CS75" s="124">
        <f t="shared" ref="CS75" si="3489">CR75*$E75</f>
        <v>0</v>
      </c>
      <c r="CT75" s="123"/>
      <c r="CU75" s="124">
        <f t="shared" ref="CU75" si="3490">CT75*$E75</f>
        <v>0</v>
      </c>
      <c r="CV75" s="123"/>
      <c r="CW75" s="124">
        <f t="shared" ref="CW75" si="3491">CV75*$E75</f>
        <v>0</v>
      </c>
      <c r="CX75" s="123"/>
      <c r="CY75" s="124">
        <f t="shared" ref="CY75" si="3492">CX75*$E75</f>
        <v>0</v>
      </c>
      <c r="CZ75" s="123"/>
      <c r="DA75" s="124">
        <f t="shared" ref="DA75" si="3493">CZ75*$E75</f>
        <v>0</v>
      </c>
      <c r="DB75" s="123"/>
      <c r="DC75" s="124">
        <f t="shared" si="3198"/>
        <v>0</v>
      </c>
      <c r="DD75" s="123"/>
      <c r="DE75" s="124">
        <f t="shared" si="3198"/>
        <v>0</v>
      </c>
      <c r="DF75" s="27">
        <f t="shared" si="3145"/>
        <v>0</v>
      </c>
      <c r="DG75" s="124">
        <f t="shared" si="3199"/>
        <v>0</v>
      </c>
    </row>
    <row r="76" spans="1:111" ht="18" customHeight="1" x14ac:dyDescent="0.5">
      <c r="A76" s="117"/>
      <c r="B76" s="122"/>
      <c r="C76" s="122"/>
      <c r="D76" s="117"/>
      <c r="E76" s="117"/>
      <c r="F76" s="117"/>
      <c r="G76" s="117"/>
      <c r="H76" s="123"/>
      <c r="I76" s="124">
        <f t="shared" ref="I76" si="3494">H76*$E76</f>
        <v>0</v>
      </c>
      <c r="J76" s="123"/>
      <c r="K76" s="124">
        <f t="shared" ref="K76" si="3495">J76*$E76</f>
        <v>0</v>
      </c>
      <c r="L76" s="123"/>
      <c r="M76" s="124">
        <f t="shared" ref="M76" si="3496">L76*$E76</f>
        <v>0</v>
      </c>
      <c r="N76" s="123"/>
      <c r="O76" s="124">
        <f t="shared" ref="O76" si="3497">N76*$E76</f>
        <v>0</v>
      </c>
      <c r="P76" s="123"/>
      <c r="Q76" s="124">
        <f t="shared" ref="Q76" si="3498">P76*$E76</f>
        <v>0</v>
      </c>
      <c r="R76" s="123"/>
      <c r="S76" s="124">
        <f t="shared" ref="S76" si="3499">R76*$E76</f>
        <v>0</v>
      </c>
      <c r="T76" s="123"/>
      <c r="U76" s="124">
        <f t="shared" ref="U76" si="3500">T76*$E76</f>
        <v>0</v>
      </c>
      <c r="V76" s="123"/>
      <c r="W76" s="124">
        <f t="shared" ref="W76" si="3501">V76*$E76</f>
        <v>0</v>
      </c>
      <c r="X76" s="123"/>
      <c r="Y76" s="124">
        <f t="shared" ref="Y76" si="3502">X76*$E76</f>
        <v>0</v>
      </c>
      <c r="Z76" s="123"/>
      <c r="AA76" s="124">
        <f t="shared" ref="AA76" si="3503">Z76*$E76</f>
        <v>0</v>
      </c>
      <c r="AB76" s="123"/>
      <c r="AC76" s="124">
        <f t="shared" ref="AC76" si="3504">AB76*$E76</f>
        <v>0</v>
      </c>
      <c r="AD76" s="123"/>
      <c r="AE76" s="124">
        <f t="shared" ref="AE76" si="3505">AD76*$E76</f>
        <v>0</v>
      </c>
      <c r="AF76" s="125">
        <f t="shared" si="3158"/>
        <v>0</v>
      </c>
      <c r="AG76" s="126">
        <f t="shared" ref="AG76" si="3506">AF76*$E76</f>
        <v>0</v>
      </c>
      <c r="AH76" s="11"/>
      <c r="AI76" s="124">
        <f t="shared" ref="AI76" si="3507">AH76*$E76</f>
        <v>0</v>
      </c>
      <c r="AJ76" s="15"/>
      <c r="AK76" s="124">
        <f t="shared" ref="AK76" si="3508">AJ76*$E76</f>
        <v>0</v>
      </c>
      <c r="AL76" s="15"/>
      <c r="AM76" s="124">
        <f t="shared" ref="AM76" si="3509">AL76*$E76</f>
        <v>0</v>
      </c>
      <c r="AN76" s="16"/>
      <c r="AO76" s="124">
        <f t="shared" ref="AO76" si="3510">AN76*$E76</f>
        <v>0</v>
      </c>
      <c r="AP76" s="15"/>
      <c r="AQ76" s="124">
        <f t="shared" ref="AQ76" si="3511">AP76*$E76</f>
        <v>0</v>
      </c>
      <c r="AR76" s="15"/>
      <c r="AS76" s="124">
        <f t="shared" ref="AS76" si="3512">AR76*$E76</f>
        <v>0</v>
      </c>
      <c r="AT76" s="17"/>
      <c r="AU76" s="124">
        <f t="shared" ref="AU76" si="3513">AT76*$E76</f>
        <v>0</v>
      </c>
      <c r="AV76" s="15"/>
      <c r="AW76" s="124">
        <f t="shared" ref="AW76" si="3514">AV76*$E76</f>
        <v>0</v>
      </c>
      <c r="AX76" s="15"/>
      <c r="AY76" s="124">
        <f t="shared" ref="AY76" si="3515">AX76*$E76</f>
        <v>0</v>
      </c>
      <c r="AZ76" s="17"/>
      <c r="BA76" s="124">
        <f t="shared" ref="BA76" si="3516">AZ76*$E76</f>
        <v>0</v>
      </c>
      <c r="BB76" s="33"/>
      <c r="BC76" s="124">
        <f t="shared" ref="BC76" si="3517">BB76*$E76</f>
        <v>0</v>
      </c>
      <c r="BD76" s="33"/>
      <c r="BE76" s="124">
        <f t="shared" ref="BE76" si="3518">BD76*$E76</f>
        <v>0</v>
      </c>
      <c r="BF76" s="125">
        <f t="shared" si="3172"/>
        <v>0</v>
      </c>
      <c r="BG76" s="126">
        <f t="shared" ref="BG76" si="3519">BF76*$E76</f>
        <v>0</v>
      </c>
      <c r="BH76" s="123"/>
      <c r="BI76" s="124">
        <f t="shared" ref="BI76" si="3520">BH76*$E76</f>
        <v>0</v>
      </c>
      <c r="BJ76" s="123"/>
      <c r="BK76" s="124">
        <f t="shared" ref="BK76" si="3521">BJ76*$E76</f>
        <v>0</v>
      </c>
      <c r="BL76" s="123"/>
      <c r="BM76" s="124">
        <f t="shared" ref="BM76" si="3522">BL76*$E76</f>
        <v>0</v>
      </c>
      <c r="BN76" s="123"/>
      <c r="BO76" s="124">
        <f t="shared" ref="BO76" si="3523">BN76*$E76</f>
        <v>0</v>
      </c>
      <c r="BP76" s="123"/>
      <c r="BQ76" s="124">
        <f t="shared" ref="BQ76" si="3524">BP76*$E76</f>
        <v>0</v>
      </c>
      <c r="BR76" s="123"/>
      <c r="BS76" s="124">
        <f t="shared" ref="BS76" si="3525">BR76*$E76</f>
        <v>0</v>
      </c>
      <c r="BT76" s="123"/>
      <c r="BU76" s="124">
        <f t="shared" ref="BU76" si="3526">BT76*$E76</f>
        <v>0</v>
      </c>
      <c r="BV76" s="123"/>
      <c r="BW76" s="124">
        <f t="shared" ref="BW76" si="3527">BV76*$E76</f>
        <v>0</v>
      </c>
      <c r="BX76" s="123"/>
      <c r="BY76" s="124">
        <f t="shared" ref="BY76" si="3528">BX76*$E76</f>
        <v>0</v>
      </c>
      <c r="BZ76" s="123"/>
      <c r="CA76" s="124">
        <f t="shared" ref="CA76" si="3529">BZ76*$E76</f>
        <v>0</v>
      </c>
      <c r="CB76" s="123"/>
      <c r="CC76" s="124">
        <f t="shared" ref="CC76" si="3530">CB76*$E76</f>
        <v>0</v>
      </c>
      <c r="CD76" s="123"/>
      <c r="CE76" s="124">
        <f t="shared" ref="CE76" si="3531">CD76*$E76</f>
        <v>0</v>
      </c>
      <c r="CF76" s="125">
        <f t="shared" si="3186"/>
        <v>0</v>
      </c>
      <c r="CG76" s="126">
        <f t="shared" ref="CG76" si="3532">CF76*$E76</f>
        <v>0</v>
      </c>
      <c r="CH76" s="123"/>
      <c r="CI76" s="124">
        <f t="shared" ref="CI76" si="3533">CH76*$E76</f>
        <v>0</v>
      </c>
      <c r="CJ76" s="123"/>
      <c r="CK76" s="124">
        <f t="shared" ref="CK76" si="3534">CJ76*$E76</f>
        <v>0</v>
      </c>
      <c r="CL76" s="123"/>
      <c r="CM76" s="124">
        <f t="shared" ref="CM76" si="3535">CL76*$E76</f>
        <v>0</v>
      </c>
      <c r="CN76" s="123"/>
      <c r="CO76" s="124">
        <f t="shared" ref="CO76" si="3536">CN76*$E76</f>
        <v>0</v>
      </c>
      <c r="CP76" s="123"/>
      <c r="CQ76" s="124">
        <f t="shared" ref="CQ76" si="3537">CP76*$E76</f>
        <v>0</v>
      </c>
      <c r="CR76" s="123"/>
      <c r="CS76" s="124">
        <f t="shared" ref="CS76" si="3538">CR76*$E76</f>
        <v>0</v>
      </c>
      <c r="CT76" s="123"/>
      <c r="CU76" s="124">
        <f t="shared" ref="CU76" si="3539">CT76*$E76</f>
        <v>0</v>
      </c>
      <c r="CV76" s="123"/>
      <c r="CW76" s="124">
        <f t="shared" ref="CW76" si="3540">CV76*$E76</f>
        <v>0</v>
      </c>
      <c r="CX76" s="123"/>
      <c r="CY76" s="124">
        <f t="shared" ref="CY76" si="3541">CX76*$E76</f>
        <v>0</v>
      </c>
      <c r="CZ76" s="123"/>
      <c r="DA76" s="124">
        <f t="shared" ref="DA76" si="3542">CZ76*$E76</f>
        <v>0</v>
      </c>
      <c r="DB76" s="123"/>
      <c r="DC76" s="124">
        <f t="shared" si="3198"/>
        <v>0</v>
      </c>
      <c r="DD76" s="123"/>
      <c r="DE76" s="124">
        <f t="shared" si="3198"/>
        <v>0</v>
      </c>
      <c r="DF76" s="27">
        <f t="shared" si="3145"/>
        <v>0</v>
      </c>
      <c r="DG76" s="124">
        <f t="shared" si="3199"/>
        <v>0</v>
      </c>
    </row>
    <row r="77" spans="1:111" ht="18" customHeight="1" x14ac:dyDescent="0.5">
      <c r="A77" s="117">
        <v>62</v>
      </c>
      <c r="B77" s="122" t="s">
        <v>180</v>
      </c>
      <c r="C77" s="122" t="s">
        <v>231</v>
      </c>
      <c r="D77" s="117">
        <f>RANK(DF77,$DF$4:$DF$141)</f>
        <v>21</v>
      </c>
      <c r="E77" s="117">
        <v>0.64</v>
      </c>
      <c r="F77" s="117" t="s">
        <v>236</v>
      </c>
      <c r="G77" s="117"/>
      <c r="H77" s="123"/>
      <c r="I77" s="124">
        <f t="shared" ref="I77" si="3543">H77*$E77</f>
        <v>0</v>
      </c>
      <c r="J77" s="123"/>
      <c r="K77" s="124">
        <f t="shared" ref="K77" si="3544">J77*$E77</f>
        <v>0</v>
      </c>
      <c r="L77" s="123"/>
      <c r="M77" s="124">
        <f t="shared" ref="M77" si="3545">L77*$E77</f>
        <v>0</v>
      </c>
      <c r="N77" s="123"/>
      <c r="O77" s="124">
        <f t="shared" ref="O77" si="3546">N77*$E77</f>
        <v>0</v>
      </c>
      <c r="P77" s="123"/>
      <c r="Q77" s="124">
        <f t="shared" ref="Q77" si="3547">P77*$E77</f>
        <v>0</v>
      </c>
      <c r="R77" s="123"/>
      <c r="S77" s="124">
        <f t="shared" ref="S77" si="3548">R77*$E77</f>
        <v>0</v>
      </c>
      <c r="T77" s="123"/>
      <c r="U77" s="124">
        <f t="shared" ref="U77" si="3549">T77*$E77</f>
        <v>0</v>
      </c>
      <c r="V77" s="123"/>
      <c r="W77" s="124">
        <f t="shared" ref="W77" si="3550">V77*$E77</f>
        <v>0</v>
      </c>
      <c r="X77" s="123"/>
      <c r="Y77" s="124">
        <f t="shared" ref="Y77" si="3551">X77*$E77</f>
        <v>0</v>
      </c>
      <c r="Z77" s="123"/>
      <c r="AA77" s="124">
        <f t="shared" ref="AA77" si="3552">Z77*$E77</f>
        <v>0</v>
      </c>
      <c r="AB77" s="123"/>
      <c r="AC77" s="124">
        <f t="shared" ref="AC77" si="3553">AB77*$E77</f>
        <v>0</v>
      </c>
      <c r="AD77" s="123"/>
      <c r="AE77" s="124">
        <f t="shared" ref="AE77" si="3554">AD77*$E77</f>
        <v>0</v>
      </c>
      <c r="AF77" s="125">
        <f t="shared" si="3158"/>
        <v>0</v>
      </c>
      <c r="AG77" s="126">
        <f t="shared" ref="AG77" si="3555">AF77*$E77</f>
        <v>0</v>
      </c>
      <c r="AH77" s="11"/>
      <c r="AI77" s="124">
        <f t="shared" ref="AI77" si="3556">AH77*$E77</f>
        <v>0</v>
      </c>
      <c r="AJ77" s="15"/>
      <c r="AK77" s="124">
        <f t="shared" ref="AK77" si="3557">AJ77*$E77</f>
        <v>0</v>
      </c>
      <c r="AL77" s="15"/>
      <c r="AM77" s="124">
        <f t="shared" ref="AM77" si="3558">AL77*$E77</f>
        <v>0</v>
      </c>
      <c r="AN77" s="16"/>
      <c r="AO77" s="124">
        <f t="shared" ref="AO77" si="3559">AN77*$E77</f>
        <v>0</v>
      </c>
      <c r="AP77" s="15"/>
      <c r="AQ77" s="124">
        <f t="shared" ref="AQ77" si="3560">AP77*$E77</f>
        <v>0</v>
      </c>
      <c r="AR77" s="15"/>
      <c r="AS77" s="124">
        <f t="shared" ref="AS77" si="3561">AR77*$E77</f>
        <v>0</v>
      </c>
      <c r="AT77" s="17"/>
      <c r="AU77" s="124">
        <f t="shared" ref="AU77" si="3562">AT77*$E77</f>
        <v>0</v>
      </c>
      <c r="AV77" s="15"/>
      <c r="AW77" s="124">
        <f t="shared" ref="AW77" si="3563">AV77*$E77</f>
        <v>0</v>
      </c>
      <c r="AX77" s="15"/>
      <c r="AY77" s="124">
        <f t="shared" ref="AY77" si="3564">AX77*$E77</f>
        <v>0</v>
      </c>
      <c r="AZ77" s="17"/>
      <c r="BA77" s="124">
        <f t="shared" ref="BA77" si="3565">AZ77*$E77</f>
        <v>0</v>
      </c>
      <c r="BB77" s="33"/>
      <c r="BC77" s="124">
        <f t="shared" ref="BC77" si="3566">BB77*$E77</f>
        <v>0</v>
      </c>
      <c r="BD77" s="33"/>
      <c r="BE77" s="124">
        <f t="shared" ref="BE77" si="3567">BD77*$E77</f>
        <v>0</v>
      </c>
      <c r="BF77" s="125">
        <f t="shared" si="3172"/>
        <v>0</v>
      </c>
      <c r="BG77" s="126">
        <f t="shared" ref="BG77" si="3568">BF77*$E77</f>
        <v>0</v>
      </c>
      <c r="BH77" s="123"/>
      <c r="BI77" s="124">
        <f t="shared" ref="BI77" si="3569">BH77*$E77</f>
        <v>0</v>
      </c>
      <c r="BJ77" s="123"/>
      <c r="BK77" s="124">
        <f t="shared" ref="BK77" si="3570">BJ77*$E77</f>
        <v>0</v>
      </c>
      <c r="BL77" s="123"/>
      <c r="BM77" s="124">
        <f t="shared" ref="BM77" si="3571">BL77*$E77</f>
        <v>0</v>
      </c>
      <c r="BN77" s="123"/>
      <c r="BO77" s="124">
        <f t="shared" ref="BO77" si="3572">BN77*$E77</f>
        <v>0</v>
      </c>
      <c r="BP77" s="123"/>
      <c r="BQ77" s="124">
        <f t="shared" ref="BQ77" si="3573">BP77*$E77</f>
        <v>0</v>
      </c>
      <c r="BR77" s="123"/>
      <c r="BS77" s="124">
        <f t="shared" ref="BS77" si="3574">BR77*$E77</f>
        <v>0</v>
      </c>
      <c r="BT77" s="123"/>
      <c r="BU77" s="124">
        <f t="shared" ref="BU77" si="3575">BT77*$E77</f>
        <v>0</v>
      </c>
      <c r="BV77" s="123"/>
      <c r="BW77" s="124">
        <f t="shared" ref="BW77" si="3576">BV77*$E77</f>
        <v>0</v>
      </c>
      <c r="BX77" s="123"/>
      <c r="BY77" s="124">
        <f t="shared" ref="BY77" si="3577">BX77*$E77</f>
        <v>0</v>
      </c>
      <c r="BZ77" s="123"/>
      <c r="CA77" s="124">
        <f t="shared" ref="CA77" si="3578">BZ77*$E77</f>
        <v>0</v>
      </c>
      <c r="CB77" s="123"/>
      <c r="CC77" s="124">
        <f t="shared" ref="CC77" si="3579">CB77*$E77</f>
        <v>0</v>
      </c>
      <c r="CD77" s="123"/>
      <c r="CE77" s="124">
        <f t="shared" ref="CE77" si="3580">CD77*$E77</f>
        <v>0</v>
      </c>
      <c r="CF77" s="125">
        <f t="shared" si="3186"/>
        <v>0</v>
      </c>
      <c r="CG77" s="126">
        <f t="shared" ref="CG77" si="3581">CF77*$E77</f>
        <v>0</v>
      </c>
      <c r="CH77" s="123"/>
      <c r="CI77" s="124">
        <f t="shared" ref="CI77" si="3582">CH77*$E77</f>
        <v>0</v>
      </c>
      <c r="CJ77" s="123"/>
      <c r="CK77" s="124">
        <f t="shared" ref="CK77" si="3583">CJ77*$E77</f>
        <v>0</v>
      </c>
      <c r="CL77" s="123"/>
      <c r="CM77" s="124">
        <f t="shared" ref="CM77" si="3584">CL77*$E77</f>
        <v>0</v>
      </c>
      <c r="CN77" s="123"/>
      <c r="CO77" s="124">
        <f t="shared" ref="CO77" si="3585">CN77*$E77</f>
        <v>0</v>
      </c>
      <c r="CP77" s="123"/>
      <c r="CQ77" s="124">
        <f t="shared" ref="CQ77" si="3586">CP77*$E77</f>
        <v>0</v>
      </c>
      <c r="CR77" s="123"/>
      <c r="CS77" s="124">
        <f t="shared" ref="CS77" si="3587">CR77*$E77</f>
        <v>0</v>
      </c>
      <c r="CT77" s="123"/>
      <c r="CU77" s="124">
        <f t="shared" ref="CU77" si="3588">CT77*$E77</f>
        <v>0</v>
      </c>
      <c r="CV77" s="123"/>
      <c r="CW77" s="124">
        <f t="shared" ref="CW77" si="3589">CV77*$E77</f>
        <v>0</v>
      </c>
      <c r="CX77" s="123"/>
      <c r="CY77" s="124">
        <f t="shared" ref="CY77" si="3590">CX77*$E77</f>
        <v>0</v>
      </c>
      <c r="CZ77" s="123"/>
      <c r="DA77" s="124">
        <f t="shared" ref="DA77" si="3591">CZ77*$E77</f>
        <v>0</v>
      </c>
      <c r="DB77" s="123"/>
      <c r="DC77" s="124">
        <f t="shared" si="3198"/>
        <v>0</v>
      </c>
      <c r="DD77" s="123"/>
      <c r="DE77" s="124">
        <f t="shared" si="3198"/>
        <v>0</v>
      </c>
      <c r="DF77" s="27">
        <f t="shared" si="3145"/>
        <v>0</v>
      </c>
      <c r="DG77" s="124">
        <f t="shared" si="3199"/>
        <v>0</v>
      </c>
    </row>
    <row r="78" spans="1:111" ht="18" customHeight="1" x14ac:dyDescent="0.5">
      <c r="A78" s="117">
        <v>63</v>
      </c>
      <c r="B78" s="122" t="s">
        <v>180</v>
      </c>
      <c r="C78" s="122" t="s">
        <v>231</v>
      </c>
      <c r="D78" s="117">
        <f>RANK(DF78,$DF$4:$DF$141)</f>
        <v>21</v>
      </c>
      <c r="E78" s="117">
        <v>0.64</v>
      </c>
      <c r="F78" s="117" t="s">
        <v>235</v>
      </c>
      <c r="G78" s="117"/>
      <c r="H78" s="123"/>
      <c r="I78" s="124">
        <f t="shared" ref="I78" si="3592">H78*$E78</f>
        <v>0</v>
      </c>
      <c r="J78" s="123"/>
      <c r="K78" s="124">
        <f t="shared" ref="K78" si="3593">J78*$E78</f>
        <v>0</v>
      </c>
      <c r="L78" s="123"/>
      <c r="M78" s="124">
        <f t="shared" ref="M78" si="3594">L78*$E78</f>
        <v>0</v>
      </c>
      <c r="N78" s="123"/>
      <c r="O78" s="124">
        <f t="shared" ref="O78" si="3595">N78*$E78</f>
        <v>0</v>
      </c>
      <c r="P78" s="123"/>
      <c r="Q78" s="124">
        <f t="shared" ref="Q78" si="3596">P78*$E78</f>
        <v>0</v>
      </c>
      <c r="R78" s="123"/>
      <c r="S78" s="124">
        <f t="shared" ref="S78" si="3597">R78*$E78</f>
        <v>0</v>
      </c>
      <c r="T78" s="123"/>
      <c r="U78" s="124">
        <f t="shared" ref="U78" si="3598">T78*$E78</f>
        <v>0</v>
      </c>
      <c r="V78" s="123"/>
      <c r="W78" s="124">
        <f t="shared" ref="W78" si="3599">V78*$E78</f>
        <v>0</v>
      </c>
      <c r="X78" s="123"/>
      <c r="Y78" s="124">
        <f t="shared" ref="Y78" si="3600">X78*$E78</f>
        <v>0</v>
      </c>
      <c r="Z78" s="123"/>
      <c r="AA78" s="124">
        <f t="shared" ref="AA78" si="3601">Z78*$E78</f>
        <v>0</v>
      </c>
      <c r="AB78" s="123"/>
      <c r="AC78" s="124">
        <f t="shared" ref="AC78" si="3602">AB78*$E78</f>
        <v>0</v>
      </c>
      <c r="AD78" s="123"/>
      <c r="AE78" s="124">
        <f t="shared" ref="AE78" si="3603">AD78*$E78</f>
        <v>0</v>
      </c>
      <c r="AF78" s="125">
        <f t="shared" si="3158"/>
        <v>0</v>
      </c>
      <c r="AG78" s="126">
        <f t="shared" ref="AG78" si="3604">AF78*$E78</f>
        <v>0</v>
      </c>
      <c r="AH78" s="11"/>
      <c r="AI78" s="124">
        <f t="shared" ref="AI78" si="3605">AH78*$E78</f>
        <v>0</v>
      </c>
      <c r="AJ78" s="15"/>
      <c r="AK78" s="124">
        <f t="shared" ref="AK78" si="3606">AJ78*$E78</f>
        <v>0</v>
      </c>
      <c r="AL78" s="15"/>
      <c r="AM78" s="124">
        <f t="shared" ref="AM78" si="3607">AL78*$E78</f>
        <v>0</v>
      </c>
      <c r="AN78" s="16"/>
      <c r="AO78" s="124">
        <f t="shared" ref="AO78" si="3608">AN78*$E78</f>
        <v>0</v>
      </c>
      <c r="AP78" s="15"/>
      <c r="AQ78" s="124">
        <f t="shared" ref="AQ78" si="3609">AP78*$E78</f>
        <v>0</v>
      </c>
      <c r="AR78" s="15"/>
      <c r="AS78" s="124">
        <f t="shared" ref="AS78" si="3610">AR78*$E78</f>
        <v>0</v>
      </c>
      <c r="AT78" s="17"/>
      <c r="AU78" s="124">
        <f t="shared" ref="AU78" si="3611">AT78*$E78</f>
        <v>0</v>
      </c>
      <c r="AV78" s="15"/>
      <c r="AW78" s="124">
        <f t="shared" ref="AW78" si="3612">AV78*$E78</f>
        <v>0</v>
      </c>
      <c r="AX78" s="15"/>
      <c r="AY78" s="124">
        <f t="shared" ref="AY78" si="3613">AX78*$E78</f>
        <v>0</v>
      </c>
      <c r="AZ78" s="17"/>
      <c r="BA78" s="124">
        <f t="shared" ref="BA78" si="3614">AZ78*$E78</f>
        <v>0</v>
      </c>
      <c r="BB78" s="33"/>
      <c r="BC78" s="124">
        <f t="shared" ref="BC78" si="3615">BB78*$E78</f>
        <v>0</v>
      </c>
      <c r="BD78" s="33"/>
      <c r="BE78" s="124">
        <f t="shared" ref="BE78" si="3616">BD78*$E78</f>
        <v>0</v>
      </c>
      <c r="BF78" s="125">
        <f t="shared" si="3172"/>
        <v>0</v>
      </c>
      <c r="BG78" s="126">
        <f t="shared" ref="BG78" si="3617">BF78*$E78</f>
        <v>0</v>
      </c>
      <c r="BH78" s="123"/>
      <c r="BI78" s="124">
        <f t="shared" ref="BI78" si="3618">BH78*$E78</f>
        <v>0</v>
      </c>
      <c r="BJ78" s="123"/>
      <c r="BK78" s="124">
        <f t="shared" ref="BK78" si="3619">BJ78*$E78</f>
        <v>0</v>
      </c>
      <c r="BL78" s="123"/>
      <c r="BM78" s="124">
        <f t="shared" ref="BM78" si="3620">BL78*$E78</f>
        <v>0</v>
      </c>
      <c r="BN78" s="123"/>
      <c r="BO78" s="124">
        <f t="shared" ref="BO78" si="3621">BN78*$E78</f>
        <v>0</v>
      </c>
      <c r="BP78" s="123"/>
      <c r="BQ78" s="124">
        <f t="shared" ref="BQ78" si="3622">BP78*$E78</f>
        <v>0</v>
      </c>
      <c r="BR78" s="123"/>
      <c r="BS78" s="124">
        <f t="shared" ref="BS78" si="3623">BR78*$E78</f>
        <v>0</v>
      </c>
      <c r="BT78" s="123"/>
      <c r="BU78" s="124">
        <f t="shared" ref="BU78" si="3624">BT78*$E78</f>
        <v>0</v>
      </c>
      <c r="BV78" s="123"/>
      <c r="BW78" s="124">
        <f t="shared" ref="BW78" si="3625">BV78*$E78</f>
        <v>0</v>
      </c>
      <c r="BX78" s="123"/>
      <c r="BY78" s="124">
        <f t="shared" ref="BY78" si="3626">BX78*$E78</f>
        <v>0</v>
      </c>
      <c r="BZ78" s="123"/>
      <c r="CA78" s="124">
        <f t="shared" ref="CA78" si="3627">BZ78*$E78</f>
        <v>0</v>
      </c>
      <c r="CB78" s="123"/>
      <c r="CC78" s="124">
        <f t="shared" ref="CC78" si="3628">CB78*$E78</f>
        <v>0</v>
      </c>
      <c r="CD78" s="123"/>
      <c r="CE78" s="124">
        <f t="shared" ref="CE78" si="3629">CD78*$E78</f>
        <v>0</v>
      </c>
      <c r="CF78" s="125">
        <f t="shared" si="3186"/>
        <v>0</v>
      </c>
      <c r="CG78" s="126">
        <f t="shared" ref="CG78" si="3630">CF78*$E78</f>
        <v>0</v>
      </c>
      <c r="CH78" s="123"/>
      <c r="CI78" s="124">
        <f t="shared" ref="CI78" si="3631">CH78*$E78</f>
        <v>0</v>
      </c>
      <c r="CJ78" s="123"/>
      <c r="CK78" s="124">
        <f t="shared" ref="CK78" si="3632">CJ78*$E78</f>
        <v>0</v>
      </c>
      <c r="CL78" s="123"/>
      <c r="CM78" s="124">
        <f t="shared" ref="CM78" si="3633">CL78*$E78</f>
        <v>0</v>
      </c>
      <c r="CN78" s="123"/>
      <c r="CO78" s="124">
        <f t="shared" ref="CO78" si="3634">CN78*$E78</f>
        <v>0</v>
      </c>
      <c r="CP78" s="123"/>
      <c r="CQ78" s="124">
        <f t="shared" ref="CQ78" si="3635">CP78*$E78</f>
        <v>0</v>
      </c>
      <c r="CR78" s="123"/>
      <c r="CS78" s="124">
        <f t="shared" ref="CS78" si="3636">CR78*$E78</f>
        <v>0</v>
      </c>
      <c r="CT78" s="123"/>
      <c r="CU78" s="124">
        <f t="shared" ref="CU78" si="3637">CT78*$E78</f>
        <v>0</v>
      </c>
      <c r="CV78" s="123"/>
      <c r="CW78" s="124">
        <f t="shared" ref="CW78" si="3638">CV78*$E78</f>
        <v>0</v>
      </c>
      <c r="CX78" s="123"/>
      <c r="CY78" s="124">
        <f t="shared" ref="CY78" si="3639">CX78*$E78</f>
        <v>0</v>
      </c>
      <c r="CZ78" s="123"/>
      <c r="DA78" s="124">
        <f t="shared" ref="DA78" si="3640">CZ78*$E78</f>
        <v>0</v>
      </c>
      <c r="DB78" s="123"/>
      <c r="DC78" s="124">
        <f t="shared" si="3198"/>
        <v>0</v>
      </c>
      <c r="DD78" s="123"/>
      <c r="DE78" s="124">
        <f t="shared" si="3198"/>
        <v>0</v>
      </c>
      <c r="DF78" s="27">
        <f t="shared" si="3145"/>
        <v>0</v>
      </c>
      <c r="DG78" s="124">
        <f t="shared" si="3199"/>
        <v>0</v>
      </c>
    </row>
    <row r="79" spans="1:111" ht="18" customHeight="1" x14ac:dyDescent="0.5">
      <c r="A79" s="117"/>
      <c r="B79" s="122"/>
      <c r="C79" s="122"/>
      <c r="D79" s="117"/>
      <c r="E79" s="117"/>
      <c r="F79" s="117"/>
      <c r="G79" s="117"/>
      <c r="H79" s="123"/>
      <c r="I79" s="124">
        <f t="shared" ref="I79" si="3641">H79*$E79</f>
        <v>0</v>
      </c>
      <c r="J79" s="123"/>
      <c r="K79" s="124">
        <f t="shared" ref="K79" si="3642">J79*$E79</f>
        <v>0</v>
      </c>
      <c r="L79" s="123"/>
      <c r="M79" s="124">
        <f t="shared" ref="M79" si="3643">L79*$E79</f>
        <v>0</v>
      </c>
      <c r="N79" s="123"/>
      <c r="O79" s="124">
        <f t="shared" ref="O79" si="3644">N79*$E79</f>
        <v>0</v>
      </c>
      <c r="P79" s="123"/>
      <c r="Q79" s="124">
        <f t="shared" ref="Q79" si="3645">P79*$E79</f>
        <v>0</v>
      </c>
      <c r="R79" s="123"/>
      <c r="S79" s="124">
        <f t="shared" ref="S79" si="3646">R79*$E79</f>
        <v>0</v>
      </c>
      <c r="T79" s="123"/>
      <c r="U79" s="124">
        <f t="shared" ref="U79" si="3647">T79*$E79</f>
        <v>0</v>
      </c>
      <c r="V79" s="123"/>
      <c r="W79" s="124">
        <f t="shared" ref="W79" si="3648">V79*$E79</f>
        <v>0</v>
      </c>
      <c r="X79" s="123"/>
      <c r="Y79" s="124">
        <f t="shared" ref="Y79" si="3649">X79*$E79</f>
        <v>0</v>
      </c>
      <c r="Z79" s="123"/>
      <c r="AA79" s="124">
        <f t="shared" ref="AA79" si="3650">Z79*$E79</f>
        <v>0</v>
      </c>
      <c r="AB79" s="123"/>
      <c r="AC79" s="124">
        <f t="shared" ref="AC79" si="3651">AB79*$E79</f>
        <v>0</v>
      </c>
      <c r="AD79" s="123"/>
      <c r="AE79" s="124">
        <f t="shared" ref="AE79" si="3652">AD79*$E79</f>
        <v>0</v>
      </c>
      <c r="AF79" s="125">
        <f t="shared" si="3158"/>
        <v>0</v>
      </c>
      <c r="AG79" s="126">
        <f t="shared" ref="AG79" si="3653">AF79*$E79</f>
        <v>0</v>
      </c>
      <c r="AH79" s="11"/>
      <c r="AI79" s="124">
        <f t="shared" ref="AI79" si="3654">AH79*$E79</f>
        <v>0</v>
      </c>
      <c r="AJ79" s="15"/>
      <c r="AK79" s="124">
        <f t="shared" ref="AK79" si="3655">AJ79*$E79</f>
        <v>0</v>
      </c>
      <c r="AL79" s="15"/>
      <c r="AM79" s="124">
        <f t="shared" ref="AM79" si="3656">AL79*$E79</f>
        <v>0</v>
      </c>
      <c r="AN79" s="16"/>
      <c r="AO79" s="124">
        <f t="shared" ref="AO79" si="3657">AN79*$E79</f>
        <v>0</v>
      </c>
      <c r="AP79" s="15"/>
      <c r="AQ79" s="124">
        <f t="shared" ref="AQ79" si="3658">AP79*$E79</f>
        <v>0</v>
      </c>
      <c r="AR79" s="15"/>
      <c r="AS79" s="124">
        <f t="shared" ref="AS79" si="3659">AR79*$E79</f>
        <v>0</v>
      </c>
      <c r="AT79" s="17"/>
      <c r="AU79" s="124">
        <f t="shared" ref="AU79" si="3660">AT79*$E79</f>
        <v>0</v>
      </c>
      <c r="AV79" s="15"/>
      <c r="AW79" s="124">
        <f t="shared" ref="AW79" si="3661">AV79*$E79</f>
        <v>0</v>
      </c>
      <c r="AX79" s="15"/>
      <c r="AY79" s="124">
        <f t="shared" ref="AY79" si="3662">AX79*$E79</f>
        <v>0</v>
      </c>
      <c r="AZ79" s="17"/>
      <c r="BA79" s="124">
        <f t="shared" ref="BA79" si="3663">AZ79*$E79</f>
        <v>0</v>
      </c>
      <c r="BB79" s="33"/>
      <c r="BC79" s="124">
        <f t="shared" ref="BC79" si="3664">BB79*$E79</f>
        <v>0</v>
      </c>
      <c r="BD79" s="33"/>
      <c r="BE79" s="124">
        <f t="shared" ref="BE79" si="3665">BD79*$E79</f>
        <v>0</v>
      </c>
      <c r="BF79" s="125">
        <f t="shared" si="3172"/>
        <v>0</v>
      </c>
      <c r="BG79" s="126">
        <f t="shared" ref="BG79" si="3666">BF79*$E79</f>
        <v>0</v>
      </c>
      <c r="BH79" s="123"/>
      <c r="BI79" s="124">
        <f t="shared" ref="BI79" si="3667">BH79*$E79</f>
        <v>0</v>
      </c>
      <c r="BJ79" s="123"/>
      <c r="BK79" s="124">
        <f t="shared" ref="BK79" si="3668">BJ79*$E79</f>
        <v>0</v>
      </c>
      <c r="BL79" s="123"/>
      <c r="BM79" s="124">
        <f t="shared" ref="BM79" si="3669">BL79*$E79</f>
        <v>0</v>
      </c>
      <c r="BN79" s="123"/>
      <c r="BO79" s="124">
        <f t="shared" ref="BO79" si="3670">BN79*$E79</f>
        <v>0</v>
      </c>
      <c r="BP79" s="123"/>
      <c r="BQ79" s="124">
        <f t="shared" ref="BQ79" si="3671">BP79*$E79</f>
        <v>0</v>
      </c>
      <c r="BR79" s="123"/>
      <c r="BS79" s="124">
        <f t="shared" ref="BS79" si="3672">BR79*$E79</f>
        <v>0</v>
      </c>
      <c r="BT79" s="123"/>
      <c r="BU79" s="124">
        <f t="shared" ref="BU79" si="3673">BT79*$E79</f>
        <v>0</v>
      </c>
      <c r="BV79" s="123"/>
      <c r="BW79" s="124">
        <f t="shared" ref="BW79" si="3674">BV79*$E79</f>
        <v>0</v>
      </c>
      <c r="BX79" s="123"/>
      <c r="BY79" s="124">
        <f t="shared" ref="BY79" si="3675">BX79*$E79</f>
        <v>0</v>
      </c>
      <c r="BZ79" s="123"/>
      <c r="CA79" s="124">
        <f t="shared" ref="CA79" si="3676">BZ79*$E79</f>
        <v>0</v>
      </c>
      <c r="CB79" s="123"/>
      <c r="CC79" s="124">
        <f t="shared" ref="CC79" si="3677">CB79*$E79</f>
        <v>0</v>
      </c>
      <c r="CD79" s="123"/>
      <c r="CE79" s="124">
        <f t="shared" ref="CE79" si="3678">CD79*$E79</f>
        <v>0</v>
      </c>
      <c r="CF79" s="125">
        <f t="shared" si="3186"/>
        <v>0</v>
      </c>
      <c r="CG79" s="126">
        <f t="shared" ref="CG79" si="3679">CF79*$E79</f>
        <v>0</v>
      </c>
      <c r="CH79" s="123"/>
      <c r="CI79" s="124">
        <f t="shared" ref="CI79" si="3680">CH79*$E79</f>
        <v>0</v>
      </c>
      <c r="CJ79" s="123"/>
      <c r="CK79" s="124">
        <f t="shared" ref="CK79" si="3681">CJ79*$E79</f>
        <v>0</v>
      </c>
      <c r="CL79" s="123"/>
      <c r="CM79" s="124">
        <f t="shared" ref="CM79" si="3682">CL79*$E79</f>
        <v>0</v>
      </c>
      <c r="CN79" s="123"/>
      <c r="CO79" s="124">
        <f t="shared" ref="CO79" si="3683">CN79*$E79</f>
        <v>0</v>
      </c>
      <c r="CP79" s="123"/>
      <c r="CQ79" s="124">
        <f t="shared" ref="CQ79" si="3684">CP79*$E79</f>
        <v>0</v>
      </c>
      <c r="CR79" s="123"/>
      <c r="CS79" s="124">
        <f t="shared" ref="CS79" si="3685">CR79*$E79</f>
        <v>0</v>
      </c>
      <c r="CT79" s="123"/>
      <c r="CU79" s="124">
        <f t="shared" ref="CU79" si="3686">CT79*$E79</f>
        <v>0</v>
      </c>
      <c r="CV79" s="123"/>
      <c r="CW79" s="124">
        <f t="shared" ref="CW79" si="3687">CV79*$E79</f>
        <v>0</v>
      </c>
      <c r="CX79" s="123"/>
      <c r="CY79" s="124">
        <f t="shared" ref="CY79" si="3688">CX79*$E79</f>
        <v>0</v>
      </c>
      <c r="CZ79" s="123"/>
      <c r="DA79" s="124">
        <f t="shared" ref="DA79" si="3689">CZ79*$E79</f>
        <v>0</v>
      </c>
      <c r="DB79" s="123"/>
      <c r="DC79" s="124">
        <f t="shared" si="3198"/>
        <v>0</v>
      </c>
      <c r="DD79" s="123"/>
      <c r="DE79" s="124">
        <f t="shared" si="3198"/>
        <v>0</v>
      </c>
      <c r="DF79" s="27">
        <f t="shared" si="3145"/>
        <v>0</v>
      </c>
      <c r="DG79" s="124">
        <f t="shared" si="3199"/>
        <v>0</v>
      </c>
    </row>
    <row r="80" spans="1:111" ht="18" customHeight="1" x14ac:dyDescent="0.5">
      <c r="A80" s="117">
        <v>64</v>
      </c>
      <c r="B80" s="122" t="s">
        <v>181</v>
      </c>
      <c r="C80" s="122" t="s">
        <v>231</v>
      </c>
      <c r="D80" s="117">
        <f>RANK(DF80,$DF$4:$DF$141)</f>
        <v>21</v>
      </c>
      <c r="E80" s="117">
        <v>0.64</v>
      </c>
      <c r="F80" s="117" t="s">
        <v>235</v>
      </c>
      <c r="G80" s="117"/>
      <c r="H80" s="123"/>
      <c r="I80" s="124">
        <f t="shared" ref="I80" si="3690">H80*$E80</f>
        <v>0</v>
      </c>
      <c r="J80" s="123"/>
      <c r="K80" s="124">
        <f t="shared" ref="K80" si="3691">J80*$E80</f>
        <v>0</v>
      </c>
      <c r="L80" s="123"/>
      <c r="M80" s="124">
        <f t="shared" ref="M80" si="3692">L80*$E80</f>
        <v>0</v>
      </c>
      <c r="N80" s="123"/>
      <c r="O80" s="124">
        <f t="shared" ref="O80" si="3693">N80*$E80</f>
        <v>0</v>
      </c>
      <c r="P80" s="123"/>
      <c r="Q80" s="124">
        <f t="shared" ref="Q80" si="3694">P80*$E80</f>
        <v>0</v>
      </c>
      <c r="R80" s="123"/>
      <c r="S80" s="124">
        <f t="shared" ref="S80" si="3695">R80*$E80</f>
        <v>0</v>
      </c>
      <c r="T80" s="123"/>
      <c r="U80" s="124">
        <f t="shared" ref="U80" si="3696">T80*$E80</f>
        <v>0</v>
      </c>
      <c r="V80" s="123"/>
      <c r="W80" s="124">
        <f t="shared" ref="W80" si="3697">V80*$E80</f>
        <v>0</v>
      </c>
      <c r="X80" s="123"/>
      <c r="Y80" s="124">
        <f t="shared" ref="Y80" si="3698">X80*$E80</f>
        <v>0</v>
      </c>
      <c r="Z80" s="123"/>
      <c r="AA80" s="124">
        <f t="shared" ref="AA80" si="3699">Z80*$E80</f>
        <v>0</v>
      </c>
      <c r="AB80" s="123"/>
      <c r="AC80" s="124">
        <f t="shared" ref="AC80" si="3700">AB80*$E80</f>
        <v>0</v>
      </c>
      <c r="AD80" s="123"/>
      <c r="AE80" s="124">
        <f t="shared" ref="AE80" si="3701">AD80*$E80</f>
        <v>0</v>
      </c>
      <c r="AF80" s="125">
        <f t="shared" si="3158"/>
        <v>0</v>
      </c>
      <c r="AG80" s="126">
        <f t="shared" ref="AG80" si="3702">AF80*$E80</f>
        <v>0</v>
      </c>
      <c r="AH80" s="11"/>
      <c r="AI80" s="124">
        <f t="shared" ref="AI80" si="3703">AH80*$E80</f>
        <v>0</v>
      </c>
      <c r="AJ80" s="15"/>
      <c r="AK80" s="124">
        <f t="shared" ref="AK80" si="3704">AJ80*$E80</f>
        <v>0</v>
      </c>
      <c r="AL80" s="15"/>
      <c r="AM80" s="124">
        <f t="shared" ref="AM80" si="3705">AL80*$E80</f>
        <v>0</v>
      </c>
      <c r="AN80" s="16"/>
      <c r="AO80" s="124">
        <f t="shared" ref="AO80" si="3706">AN80*$E80</f>
        <v>0</v>
      </c>
      <c r="AP80" s="15"/>
      <c r="AQ80" s="124">
        <f t="shared" ref="AQ80" si="3707">AP80*$E80</f>
        <v>0</v>
      </c>
      <c r="AR80" s="15"/>
      <c r="AS80" s="124">
        <f t="shared" ref="AS80" si="3708">AR80*$E80</f>
        <v>0</v>
      </c>
      <c r="AT80" s="17"/>
      <c r="AU80" s="124">
        <f t="shared" ref="AU80" si="3709">AT80*$E80</f>
        <v>0</v>
      </c>
      <c r="AV80" s="15"/>
      <c r="AW80" s="124">
        <f t="shared" ref="AW80" si="3710">AV80*$E80</f>
        <v>0</v>
      </c>
      <c r="AX80" s="15"/>
      <c r="AY80" s="124">
        <f t="shared" ref="AY80" si="3711">AX80*$E80</f>
        <v>0</v>
      </c>
      <c r="AZ80" s="17"/>
      <c r="BA80" s="124">
        <f t="shared" ref="BA80" si="3712">AZ80*$E80</f>
        <v>0</v>
      </c>
      <c r="BB80" s="33"/>
      <c r="BC80" s="124">
        <f t="shared" ref="BC80" si="3713">BB80*$E80</f>
        <v>0</v>
      </c>
      <c r="BD80" s="33"/>
      <c r="BE80" s="124">
        <f t="shared" ref="BE80" si="3714">BD80*$E80</f>
        <v>0</v>
      </c>
      <c r="BF80" s="125">
        <f t="shared" si="3172"/>
        <v>0</v>
      </c>
      <c r="BG80" s="126">
        <f t="shared" ref="BG80" si="3715">BF80*$E80</f>
        <v>0</v>
      </c>
      <c r="BH80" s="123"/>
      <c r="BI80" s="124">
        <f t="shared" ref="BI80" si="3716">BH80*$E80</f>
        <v>0</v>
      </c>
      <c r="BJ80" s="123"/>
      <c r="BK80" s="124">
        <f t="shared" ref="BK80" si="3717">BJ80*$E80</f>
        <v>0</v>
      </c>
      <c r="BL80" s="123"/>
      <c r="BM80" s="124">
        <f t="shared" ref="BM80" si="3718">BL80*$E80</f>
        <v>0</v>
      </c>
      <c r="BN80" s="123"/>
      <c r="BO80" s="124">
        <f t="shared" ref="BO80" si="3719">BN80*$E80</f>
        <v>0</v>
      </c>
      <c r="BP80" s="123"/>
      <c r="BQ80" s="124">
        <f t="shared" ref="BQ80" si="3720">BP80*$E80</f>
        <v>0</v>
      </c>
      <c r="BR80" s="123"/>
      <c r="BS80" s="124">
        <f t="shared" ref="BS80" si="3721">BR80*$E80</f>
        <v>0</v>
      </c>
      <c r="BT80" s="123"/>
      <c r="BU80" s="124">
        <f t="shared" ref="BU80" si="3722">BT80*$E80</f>
        <v>0</v>
      </c>
      <c r="BV80" s="123"/>
      <c r="BW80" s="124">
        <f t="shared" ref="BW80" si="3723">BV80*$E80</f>
        <v>0</v>
      </c>
      <c r="BX80" s="123"/>
      <c r="BY80" s="124">
        <f t="shared" ref="BY80" si="3724">BX80*$E80</f>
        <v>0</v>
      </c>
      <c r="BZ80" s="123"/>
      <c r="CA80" s="124">
        <f t="shared" ref="CA80" si="3725">BZ80*$E80</f>
        <v>0</v>
      </c>
      <c r="CB80" s="123"/>
      <c r="CC80" s="124">
        <f t="shared" ref="CC80" si="3726">CB80*$E80</f>
        <v>0</v>
      </c>
      <c r="CD80" s="123"/>
      <c r="CE80" s="124">
        <f t="shared" ref="CE80" si="3727">CD80*$E80</f>
        <v>0</v>
      </c>
      <c r="CF80" s="125">
        <f t="shared" si="3186"/>
        <v>0</v>
      </c>
      <c r="CG80" s="126">
        <f t="shared" ref="CG80" si="3728">CF80*$E80</f>
        <v>0</v>
      </c>
      <c r="CH80" s="123"/>
      <c r="CI80" s="124">
        <f t="shared" ref="CI80" si="3729">CH80*$E80</f>
        <v>0</v>
      </c>
      <c r="CJ80" s="123"/>
      <c r="CK80" s="124">
        <f t="shared" ref="CK80" si="3730">CJ80*$E80</f>
        <v>0</v>
      </c>
      <c r="CL80" s="123"/>
      <c r="CM80" s="124">
        <f t="shared" ref="CM80" si="3731">CL80*$E80</f>
        <v>0</v>
      </c>
      <c r="CN80" s="123"/>
      <c r="CO80" s="124">
        <f t="shared" ref="CO80" si="3732">CN80*$E80</f>
        <v>0</v>
      </c>
      <c r="CP80" s="123"/>
      <c r="CQ80" s="124">
        <f t="shared" ref="CQ80" si="3733">CP80*$E80</f>
        <v>0</v>
      </c>
      <c r="CR80" s="123"/>
      <c r="CS80" s="124">
        <f t="shared" ref="CS80" si="3734">CR80*$E80</f>
        <v>0</v>
      </c>
      <c r="CT80" s="123"/>
      <c r="CU80" s="124">
        <f t="shared" ref="CU80" si="3735">CT80*$E80</f>
        <v>0</v>
      </c>
      <c r="CV80" s="123"/>
      <c r="CW80" s="124">
        <f t="shared" ref="CW80" si="3736">CV80*$E80</f>
        <v>0</v>
      </c>
      <c r="CX80" s="123"/>
      <c r="CY80" s="124">
        <f t="shared" ref="CY80" si="3737">CX80*$E80</f>
        <v>0</v>
      </c>
      <c r="CZ80" s="123"/>
      <c r="DA80" s="124">
        <f t="shared" ref="DA80" si="3738">CZ80*$E80</f>
        <v>0</v>
      </c>
      <c r="DB80" s="123"/>
      <c r="DC80" s="124">
        <f t="shared" si="3198"/>
        <v>0</v>
      </c>
      <c r="DD80" s="123"/>
      <c r="DE80" s="124">
        <f t="shared" si="3198"/>
        <v>0</v>
      </c>
      <c r="DF80" s="27">
        <f t="shared" si="3145"/>
        <v>0</v>
      </c>
      <c r="DG80" s="124">
        <f t="shared" si="3199"/>
        <v>0</v>
      </c>
    </row>
    <row r="81" spans="1:111" ht="18" customHeight="1" x14ac:dyDescent="0.5">
      <c r="A81" s="117">
        <v>65</v>
      </c>
      <c r="B81" s="122" t="s">
        <v>182</v>
      </c>
      <c r="C81" s="122" t="s">
        <v>231</v>
      </c>
      <c r="D81" s="117">
        <f>RANK(DF81,$DF$4:$DF$141)</f>
        <v>21</v>
      </c>
      <c r="E81" s="117">
        <v>0.64</v>
      </c>
      <c r="F81" s="117" t="s">
        <v>232</v>
      </c>
      <c r="G81" s="117"/>
      <c r="H81" s="123"/>
      <c r="I81" s="124">
        <f t="shared" ref="I81" si="3739">H81*$E81</f>
        <v>0</v>
      </c>
      <c r="J81" s="123"/>
      <c r="K81" s="124">
        <f t="shared" ref="K81" si="3740">J81*$E81</f>
        <v>0</v>
      </c>
      <c r="L81" s="123"/>
      <c r="M81" s="124">
        <f t="shared" ref="M81" si="3741">L81*$E81</f>
        <v>0</v>
      </c>
      <c r="N81" s="123"/>
      <c r="O81" s="124">
        <f t="shared" ref="O81" si="3742">N81*$E81</f>
        <v>0</v>
      </c>
      <c r="P81" s="123"/>
      <c r="Q81" s="124">
        <f t="shared" ref="Q81" si="3743">P81*$E81</f>
        <v>0</v>
      </c>
      <c r="R81" s="123"/>
      <c r="S81" s="124">
        <f t="shared" ref="S81" si="3744">R81*$E81</f>
        <v>0</v>
      </c>
      <c r="T81" s="123"/>
      <c r="U81" s="124">
        <f t="shared" ref="U81" si="3745">T81*$E81</f>
        <v>0</v>
      </c>
      <c r="V81" s="123"/>
      <c r="W81" s="124">
        <f t="shared" ref="W81" si="3746">V81*$E81</f>
        <v>0</v>
      </c>
      <c r="X81" s="123"/>
      <c r="Y81" s="124">
        <f t="shared" ref="Y81" si="3747">X81*$E81</f>
        <v>0</v>
      </c>
      <c r="Z81" s="123"/>
      <c r="AA81" s="124">
        <f t="shared" ref="AA81" si="3748">Z81*$E81</f>
        <v>0</v>
      </c>
      <c r="AB81" s="123"/>
      <c r="AC81" s="124">
        <f t="shared" ref="AC81" si="3749">AB81*$E81</f>
        <v>0</v>
      </c>
      <c r="AD81" s="123"/>
      <c r="AE81" s="124">
        <f t="shared" ref="AE81" si="3750">AD81*$E81</f>
        <v>0</v>
      </c>
      <c r="AF81" s="125">
        <f t="shared" si="3158"/>
        <v>0</v>
      </c>
      <c r="AG81" s="126">
        <f t="shared" ref="AG81" si="3751">AF81*$E81</f>
        <v>0</v>
      </c>
      <c r="AH81" s="11"/>
      <c r="AI81" s="124">
        <f t="shared" ref="AI81" si="3752">AH81*$E81</f>
        <v>0</v>
      </c>
      <c r="AJ81" s="15"/>
      <c r="AK81" s="124">
        <f t="shared" ref="AK81" si="3753">AJ81*$E81</f>
        <v>0</v>
      </c>
      <c r="AL81" s="15"/>
      <c r="AM81" s="124">
        <f t="shared" ref="AM81" si="3754">AL81*$E81</f>
        <v>0</v>
      </c>
      <c r="AN81" s="16"/>
      <c r="AO81" s="124">
        <f t="shared" ref="AO81" si="3755">AN81*$E81</f>
        <v>0</v>
      </c>
      <c r="AP81" s="15"/>
      <c r="AQ81" s="124">
        <f t="shared" ref="AQ81" si="3756">AP81*$E81</f>
        <v>0</v>
      </c>
      <c r="AR81" s="15"/>
      <c r="AS81" s="124">
        <f t="shared" ref="AS81" si="3757">AR81*$E81</f>
        <v>0</v>
      </c>
      <c r="AT81" s="17"/>
      <c r="AU81" s="124">
        <f t="shared" ref="AU81" si="3758">AT81*$E81</f>
        <v>0</v>
      </c>
      <c r="AV81" s="15"/>
      <c r="AW81" s="124">
        <f t="shared" ref="AW81" si="3759">AV81*$E81</f>
        <v>0</v>
      </c>
      <c r="AX81" s="15"/>
      <c r="AY81" s="124">
        <f t="shared" ref="AY81" si="3760">AX81*$E81</f>
        <v>0</v>
      </c>
      <c r="AZ81" s="17"/>
      <c r="BA81" s="124">
        <f t="shared" ref="BA81" si="3761">AZ81*$E81</f>
        <v>0</v>
      </c>
      <c r="BB81" s="33"/>
      <c r="BC81" s="124">
        <f t="shared" ref="BC81" si="3762">BB81*$E81</f>
        <v>0</v>
      </c>
      <c r="BD81" s="33"/>
      <c r="BE81" s="124">
        <f t="shared" ref="BE81" si="3763">BD81*$E81</f>
        <v>0</v>
      </c>
      <c r="BF81" s="125">
        <f t="shared" si="3172"/>
        <v>0</v>
      </c>
      <c r="BG81" s="126">
        <f t="shared" ref="BG81" si="3764">BF81*$E81</f>
        <v>0</v>
      </c>
      <c r="BH81" s="123"/>
      <c r="BI81" s="124">
        <f t="shared" ref="BI81" si="3765">BH81*$E81</f>
        <v>0</v>
      </c>
      <c r="BJ81" s="123"/>
      <c r="BK81" s="124">
        <f t="shared" ref="BK81" si="3766">BJ81*$E81</f>
        <v>0</v>
      </c>
      <c r="BL81" s="123"/>
      <c r="BM81" s="124">
        <f t="shared" ref="BM81" si="3767">BL81*$E81</f>
        <v>0</v>
      </c>
      <c r="BN81" s="123"/>
      <c r="BO81" s="124">
        <f t="shared" ref="BO81" si="3768">BN81*$E81</f>
        <v>0</v>
      </c>
      <c r="BP81" s="123"/>
      <c r="BQ81" s="124">
        <f t="shared" ref="BQ81" si="3769">BP81*$E81</f>
        <v>0</v>
      </c>
      <c r="BR81" s="123"/>
      <c r="BS81" s="124">
        <f t="shared" ref="BS81" si="3770">BR81*$E81</f>
        <v>0</v>
      </c>
      <c r="BT81" s="123"/>
      <c r="BU81" s="124">
        <f t="shared" ref="BU81" si="3771">BT81*$E81</f>
        <v>0</v>
      </c>
      <c r="BV81" s="123"/>
      <c r="BW81" s="124">
        <f t="shared" ref="BW81" si="3772">BV81*$E81</f>
        <v>0</v>
      </c>
      <c r="BX81" s="123"/>
      <c r="BY81" s="124">
        <f t="shared" ref="BY81" si="3773">BX81*$E81</f>
        <v>0</v>
      </c>
      <c r="BZ81" s="123"/>
      <c r="CA81" s="124">
        <f t="shared" ref="CA81" si="3774">BZ81*$E81</f>
        <v>0</v>
      </c>
      <c r="CB81" s="123"/>
      <c r="CC81" s="124">
        <f t="shared" ref="CC81" si="3775">CB81*$E81</f>
        <v>0</v>
      </c>
      <c r="CD81" s="123"/>
      <c r="CE81" s="124">
        <f t="shared" ref="CE81" si="3776">CD81*$E81</f>
        <v>0</v>
      </c>
      <c r="CF81" s="125">
        <f t="shared" si="3186"/>
        <v>0</v>
      </c>
      <c r="CG81" s="126">
        <f t="shared" ref="CG81" si="3777">CF81*$E81</f>
        <v>0</v>
      </c>
      <c r="CH81" s="123"/>
      <c r="CI81" s="124">
        <f t="shared" ref="CI81" si="3778">CH81*$E81</f>
        <v>0</v>
      </c>
      <c r="CJ81" s="123"/>
      <c r="CK81" s="124">
        <f t="shared" ref="CK81" si="3779">CJ81*$E81</f>
        <v>0</v>
      </c>
      <c r="CL81" s="123"/>
      <c r="CM81" s="124">
        <f t="shared" ref="CM81" si="3780">CL81*$E81</f>
        <v>0</v>
      </c>
      <c r="CN81" s="123"/>
      <c r="CO81" s="124">
        <f t="shared" ref="CO81" si="3781">CN81*$E81</f>
        <v>0</v>
      </c>
      <c r="CP81" s="123"/>
      <c r="CQ81" s="124">
        <f t="shared" ref="CQ81" si="3782">CP81*$E81</f>
        <v>0</v>
      </c>
      <c r="CR81" s="123"/>
      <c r="CS81" s="124">
        <f t="shared" ref="CS81" si="3783">CR81*$E81</f>
        <v>0</v>
      </c>
      <c r="CT81" s="123"/>
      <c r="CU81" s="124">
        <f t="shared" ref="CU81" si="3784">CT81*$E81</f>
        <v>0</v>
      </c>
      <c r="CV81" s="123"/>
      <c r="CW81" s="124">
        <f t="shared" ref="CW81" si="3785">CV81*$E81</f>
        <v>0</v>
      </c>
      <c r="CX81" s="123"/>
      <c r="CY81" s="124">
        <f t="shared" ref="CY81" si="3786">CX81*$E81</f>
        <v>0</v>
      </c>
      <c r="CZ81" s="123"/>
      <c r="DA81" s="124">
        <f t="shared" ref="DA81" si="3787">CZ81*$E81</f>
        <v>0</v>
      </c>
      <c r="DB81" s="123"/>
      <c r="DC81" s="124">
        <f t="shared" si="3198"/>
        <v>0</v>
      </c>
      <c r="DD81" s="123"/>
      <c r="DE81" s="124">
        <f t="shared" si="3198"/>
        <v>0</v>
      </c>
      <c r="DF81" s="27">
        <f t="shared" si="3145"/>
        <v>0</v>
      </c>
      <c r="DG81" s="124">
        <f t="shared" si="3199"/>
        <v>0</v>
      </c>
    </row>
    <row r="82" spans="1:111" ht="18" customHeight="1" x14ac:dyDescent="0.5">
      <c r="A82" s="117">
        <v>66</v>
      </c>
      <c r="B82" s="122" t="s">
        <v>250</v>
      </c>
      <c r="C82" s="122" t="s">
        <v>231</v>
      </c>
      <c r="D82" s="117"/>
      <c r="E82" s="117">
        <v>0.64</v>
      </c>
      <c r="F82" s="117" t="s">
        <v>236</v>
      </c>
      <c r="G82" s="117"/>
      <c r="H82" s="123"/>
      <c r="I82" s="124">
        <f t="shared" ref="I82" si="3788">H82*$E82</f>
        <v>0</v>
      </c>
      <c r="J82" s="123"/>
      <c r="K82" s="124">
        <f t="shared" ref="K82" si="3789">J82*$E82</f>
        <v>0</v>
      </c>
      <c r="L82" s="123"/>
      <c r="M82" s="124">
        <f t="shared" ref="M82" si="3790">L82*$E82</f>
        <v>0</v>
      </c>
      <c r="N82" s="123"/>
      <c r="O82" s="124">
        <f t="shared" ref="O82" si="3791">N82*$E82</f>
        <v>0</v>
      </c>
      <c r="P82" s="123"/>
      <c r="Q82" s="124">
        <f t="shared" ref="Q82" si="3792">P82*$E82</f>
        <v>0</v>
      </c>
      <c r="R82" s="123"/>
      <c r="S82" s="124">
        <f t="shared" ref="S82" si="3793">R82*$E82</f>
        <v>0</v>
      </c>
      <c r="T82" s="123"/>
      <c r="U82" s="124">
        <f t="shared" ref="U82" si="3794">T82*$E82</f>
        <v>0</v>
      </c>
      <c r="V82" s="123"/>
      <c r="W82" s="124">
        <f t="shared" ref="W82" si="3795">V82*$E82</f>
        <v>0</v>
      </c>
      <c r="X82" s="123"/>
      <c r="Y82" s="124">
        <f t="shared" ref="Y82" si="3796">X82*$E82</f>
        <v>0</v>
      </c>
      <c r="Z82" s="123"/>
      <c r="AA82" s="124">
        <f t="shared" ref="AA82" si="3797">Z82*$E82</f>
        <v>0</v>
      </c>
      <c r="AB82" s="123"/>
      <c r="AC82" s="124">
        <f t="shared" ref="AC82" si="3798">AB82*$E82</f>
        <v>0</v>
      </c>
      <c r="AD82" s="123"/>
      <c r="AE82" s="124">
        <f t="shared" ref="AE82" si="3799">AD82*$E82</f>
        <v>0</v>
      </c>
      <c r="AF82" s="125">
        <f t="shared" si="3158"/>
        <v>0</v>
      </c>
      <c r="AG82" s="126">
        <f t="shared" ref="AG82" si="3800">AF82*$E82</f>
        <v>0</v>
      </c>
      <c r="AH82" s="11"/>
      <c r="AI82" s="124">
        <f t="shared" ref="AI82" si="3801">AH82*$E82</f>
        <v>0</v>
      </c>
      <c r="AJ82" s="15"/>
      <c r="AK82" s="124">
        <f t="shared" ref="AK82" si="3802">AJ82*$E82</f>
        <v>0</v>
      </c>
      <c r="AL82" s="15"/>
      <c r="AM82" s="124">
        <f t="shared" ref="AM82" si="3803">AL82*$E82</f>
        <v>0</v>
      </c>
      <c r="AN82" s="16"/>
      <c r="AO82" s="124">
        <f t="shared" ref="AO82" si="3804">AN82*$E82</f>
        <v>0</v>
      </c>
      <c r="AP82" s="15"/>
      <c r="AQ82" s="124">
        <f t="shared" ref="AQ82" si="3805">AP82*$E82</f>
        <v>0</v>
      </c>
      <c r="AR82" s="15"/>
      <c r="AS82" s="124">
        <f t="shared" ref="AS82" si="3806">AR82*$E82</f>
        <v>0</v>
      </c>
      <c r="AT82" s="17"/>
      <c r="AU82" s="124">
        <f t="shared" ref="AU82" si="3807">AT82*$E82</f>
        <v>0</v>
      </c>
      <c r="AV82" s="15"/>
      <c r="AW82" s="124">
        <f t="shared" ref="AW82" si="3808">AV82*$E82</f>
        <v>0</v>
      </c>
      <c r="AX82" s="15"/>
      <c r="AY82" s="124">
        <f t="shared" ref="AY82" si="3809">AX82*$E82</f>
        <v>0</v>
      </c>
      <c r="AZ82" s="17"/>
      <c r="BA82" s="124">
        <f t="shared" ref="BA82" si="3810">AZ82*$E82</f>
        <v>0</v>
      </c>
      <c r="BB82" s="33"/>
      <c r="BC82" s="124">
        <f t="shared" ref="BC82" si="3811">BB82*$E82</f>
        <v>0</v>
      </c>
      <c r="BD82" s="33"/>
      <c r="BE82" s="124">
        <f t="shared" ref="BE82" si="3812">BD82*$E82</f>
        <v>0</v>
      </c>
      <c r="BF82" s="125">
        <f t="shared" si="3172"/>
        <v>0</v>
      </c>
      <c r="BG82" s="126">
        <f t="shared" ref="BG82" si="3813">BF82*$E82</f>
        <v>0</v>
      </c>
      <c r="BH82" s="123"/>
      <c r="BI82" s="124">
        <f t="shared" ref="BI82" si="3814">BH82*$E82</f>
        <v>0</v>
      </c>
      <c r="BJ82" s="123"/>
      <c r="BK82" s="124">
        <f t="shared" ref="BK82" si="3815">BJ82*$E82</f>
        <v>0</v>
      </c>
      <c r="BL82" s="123"/>
      <c r="BM82" s="124">
        <f t="shared" ref="BM82" si="3816">BL82*$E82</f>
        <v>0</v>
      </c>
      <c r="BN82" s="123"/>
      <c r="BO82" s="124">
        <f t="shared" ref="BO82" si="3817">BN82*$E82</f>
        <v>0</v>
      </c>
      <c r="BP82" s="123"/>
      <c r="BQ82" s="124">
        <f t="shared" ref="BQ82" si="3818">BP82*$E82</f>
        <v>0</v>
      </c>
      <c r="BR82" s="123"/>
      <c r="BS82" s="124">
        <f t="shared" ref="BS82" si="3819">BR82*$E82</f>
        <v>0</v>
      </c>
      <c r="BT82" s="123"/>
      <c r="BU82" s="124">
        <f t="shared" ref="BU82" si="3820">BT82*$E82</f>
        <v>0</v>
      </c>
      <c r="BV82" s="123"/>
      <c r="BW82" s="124">
        <f t="shared" ref="BW82" si="3821">BV82*$E82</f>
        <v>0</v>
      </c>
      <c r="BX82" s="123"/>
      <c r="BY82" s="124">
        <f t="shared" ref="BY82" si="3822">BX82*$E82</f>
        <v>0</v>
      </c>
      <c r="BZ82" s="123"/>
      <c r="CA82" s="124">
        <f t="shared" ref="CA82" si="3823">BZ82*$E82</f>
        <v>0</v>
      </c>
      <c r="CB82" s="123"/>
      <c r="CC82" s="124">
        <f t="shared" ref="CC82" si="3824">CB82*$E82</f>
        <v>0</v>
      </c>
      <c r="CD82" s="123"/>
      <c r="CE82" s="124">
        <f t="shared" ref="CE82" si="3825">CD82*$E82</f>
        <v>0</v>
      </c>
      <c r="CF82" s="125">
        <f t="shared" si="3186"/>
        <v>0</v>
      </c>
      <c r="CG82" s="126">
        <f t="shared" ref="CG82" si="3826">CF82*$E82</f>
        <v>0</v>
      </c>
      <c r="CH82" s="123"/>
      <c r="CI82" s="124">
        <f t="shared" ref="CI82" si="3827">CH82*$E82</f>
        <v>0</v>
      </c>
      <c r="CJ82" s="123"/>
      <c r="CK82" s="124">
        <f t="shared" ref="CK82" si="3828">CJ82*$E82</f>
        <v>0</v>
      </c>
      <c r="CL82" s="123"/>
      <c r="CM82" s="124">
        <f t="shared" ref="CM82" si="3829">CL82*$E82</f>
        <v>0</v>
      </c>
      <c r="CN82" s="123"/>
      <c r="CO82" s="124">
        <f t="shared" ref="CO82" si="3830">CN82*$E82</f>
        <v>0</v>
      </c>
      <c r="CP82" s="123"/>
      <c r="CQ82" s="124">
        <f t="shared" ref="CQ82" si="3831">CP82*$E82</f>
        <v>0</v>
      </c>
      <c r="CR82" s="123"/>
      <c r="CS82" s="124">
        <f t="shared" ref="CS82" si="3832">CR82*$E82</f>
        <v>0</v>
      </c>
      <c r="CT82" s="123"/>
      <c r="CU82" s="124">
        <f t="shared" ref="CU82" si="3833">CT82*$E82</f>
        <v>0</v>
      </c>
      <c r="CV82" s="123"/>
      <c r="CW82" s="124">
        <f t="shared" ref="CW82" si="3834">CV82*$E82</f>
        <v>0</v>
      </c>
      <c r="CX82" s="123"/>
      <c r="CY82" s="124">
        <f t="shared" ref="CY82" si="3835">CX82*$E82</f>
        <v>0</v>
      </c>
      <c r="CZ82" s="123"/>
      <c r="DA82" s="124">
        <f t="shared" ref="DA82" si="3836">CZ82*$E82</f>
        <v>0</v>
      </c>
      <c r="DB82" s="123"/>
      <c r="DC82" s="124">
        <f t="shared" si="3198"/>
        <v>0</v>
      </c>
      <c r="DD82" s="123"/>
      <c r="DE82" s="124">
        <f t="shared" si="3198"/>
        <v>0</v>
      </c>
      <c r="DF82" s="27">
        <f t="shared" si="3145"/>
        <v>0</v>
      </c>
      <c r="DG82" s="124">
        <f t="shared" si="3199"/>
        <v>0</v>
      </c>
    </row>
    <row r="83" spans="1:111" ht="18" customHeight="1" x14ac:dyDescent="0.5">
      <c r="A83" s="117">
        <v>67</v>
      </c>
      <c r="B83" s="122" t="s">
        <v>250</v>
      </c>
      <c r="C83" s="122" t="s">
        <v>233</v>
      </c>
      <c r="D83" s="117"/>
      <c r="E83" s="117">
        <v>1</v>
      </c>
      <c r="F83" s="117" t="s">
        <v>232</v>
      </c>
      <c r="G83" s="117"/>
      <c r="H83" s="123"/>
      <c r="I83" s="124">
        <f t="shared" ref="I83" si="3837">H83*$E83</f>
        <v>0</v>
      </c>
      <c r="J83" s="123"/>
      <c r="K83" s="124">
        <f t="shared" ref="K83" si="3838">J83*$E83</f>
        <v>0</v>
      </c>
      <c r="L83" s="123"/>
      <c r="M83" s="124">
        <f t="shared" ref="M83" si="3839">L83*$E83</f>
        <v>0</v>
      </c>
      <c r="N83" s="123"/>
      <c r="O83" s="124">
        <f t="shared" ref="O83" si="3840">N83*$E83</f>
        <v>0</v>
      </c>
      <c r="P83" s="123"/>
      <c r="Q83" s="124">
        <f t="shared" ref="Q83" si="3841">P83*$E83</f>
        <v>0</v>
      </c>
      <c r="R83" s="123"/>
      <c r="S83" s="124">
        <f t="shared" ref="S83" si="3842">R83*$E83</f>
        <v>0</v>
      </c>
      <c r="T83" s="123"/>
      <c r="U83" s="124">
        <f t="shared" ref="U83" si="3843">T83*$E83</f>
        <v>0</v>
      </c>
      <c r="V83" s="123"/>
      <c r="W83" s="124">
        <f t="shared" ref="W83" si="3844">V83*$E83</f>
        <v>0</v>
      </c>
      <c r="X83" s="123"/>
      <c r="Y83" s="124">
        <f t="shared" ref="Y83" si="3845">X83*$E83</f>
        <v>0</v>
      </c>
      <c r="Z83" s="123"/>
      <c r="AA83" s="124">
        <f t="shared" ref="AA83" si="3846">Z83*$E83</f>
        <v>0</v>
      </c>
      <c r="AB83" s="123"/>
      <c r="AC83" s="124">
        <f t="shared" ref="AC83" si="3847">AB83*$E83</f>
        <v>0</v>
      </c>
      <c r="AD83" s="123"/>
      <c r="AE83" s="124">
        <f t="shared" ref="AE83" si="3848">AD83*$E83</f>
        <v>0</v>
      </c>
      <c r="AF83" s="125">
        <f t="shared" si="3158"/>
        <v>0</v>
      </c>
      <c r="AG83" s="126">
        <f t="shared" ref="AG83" si="3849">AF83*$E83</f>
        <v>0</v>
      </c>
      <c r="AH83" s="11"/>
      <c r="AI83" s="124">
        <f t="shared" ref="AI83" si="3850">AH83*$E83</f>
        <v>0</v>
      </c>
      <c r="AJ83" s="15"/>
      <c r="AK83" s="124">
        <f t="shared" ref="AK83" si="3851">AJ83*$E83</f>
        <v>0</v>
      </c>
      <c r="AL83" s="15"/>
      <c r="AM83" s="124">
        <f t="shared" ref="AM83" si="3852">AL83*$E83</f>
        <v>0</v>
      </c>
      <c r="AN83" s="16"/>
      <c r="AO83" s="124">
        <f t="shared" ref="AO83" si="3853">AN83*$E83</f>
        <v>0</v>
      </c>
      <c r="AP83" s="15"/>
      <c r="AQ83" s="124">
        <f t="shared" ref="AQ83" si="3854">AP83*$E83</f>
        <v>0</v>
      </c>
      <c r="AR83" s="15"/>
      <c r="AS83" s="124">
        <f t="shared" ref="AS83" si="3855">AR83*$E83</f>
        <v>0</v>
      </c>
      <c r="AT83" s="17"/>
      <c r="AU83" s="124">
        <f t="shared" ref="AU83" si="3856">AT83*$E83</f>
        <v>0</v>
      </c>
      <c r="AV83" s="15"/>
      <c r="AW83" s="124">
        <f t="shared" ref="AW83" si="3857">AV83*$E83</f>
        <v>0</v>
      </c>
      <c r="AX83" s="15"/>
      <c r="AY83" s="124">
        <f t="shared" ref="AY83" si="3858">AX83*$E83</f>
        <v>0</v>
      </c>
      <c r="AZ83" s="17"/>
      <c r="BA83" s="124">
        <f t="shared" ref="BA83" si="3859">AZ83*$E83</f>
        <v>0</v>
      </c>
      <c r="BB83" s="33"/>
      <c r="BC83" s="124">
        <f t="shared" ref="BC83" si="3860">BB83*$E83</f>
        <v>0</v>
      </c>
      <c r="BD83" s="33"/>
      <c r="BE83" s="124">
        <f t="shared" ref="BE83" si="3861">BD83*$E83</f>
        <v>0</v>
      </c>
      <c r="BF83" s="125">
        <f t="shared" si="3172"/>
        <v>0</v>
      </c>
      <c r="BG83" s="126">
        <f t="shared" ref="BG83" si="3862">BF83*$E83</f>
        <v>0</v>
      </c>
      <c r="BH83" s="123"/>
      <c r="BI83" s="124">
        <f t="shared" ref="BI83" si="3863">BH83*$E83</f>
        <v>0</v>
      </c>
      <c r="BJ83" s="123"/>
      <c r="BK83" s="124">
        <f t="shared" ref="BK83" si="3864">BJ83*$E83</f>
        <v>0</v>
      </c>
      <c r="BL83" s="123"/>
      <c r="BM83" s="124">
        <f t="shared" ref="BM83" si="3865">BL83*$E83</f>
        <v>0</v>
      </c>
      <c r="BN83" s="123"/>
      <c r="BO83" s="124">
        <f t="shared" ref="BO83" si="3866">BN83*$E83</f>
        <v>0</v>
      </c>
      <c r="BP83" s="123"/>
      <c r="BQ83" s="124">
        <f t="shared" ref="BQ83" si="3867">BP83*$E83</f>
        <v>0</v>
      </c>
      <c r="BR83" s="123"/>
      <c r="BS83" s="124">
        <f t="shared" ref="BS83" si="3868">BR83*$E83</f>
        <v>0</v>
      </c>
      <c r="BT83" s="123"/>
      <c r="BU83" s="124">
        <f t="shared" ref="BU83" si="3869">BT83*$E83</f>
        <v>0</v>
      </c>
      <c r="BV83" s="123"/>
      <c r="BW83" s="124">
        <f t="shared" ref="BW83" si="3870">BV83*$E83</f>
        <v>0</v>
      </c>
      <c r="BX83" s="123"/>
      <c r="BY83" s="124">
        <f t="shared" ref="BY83" si="3871">BX83*$E83</f>
        <v>0</v>
      </c>
      <c r="BZ83" s="123"/>
      <c r="CA83" s="124">
        <f t="shared" ref="CA83" si="3872">BZ83*$E83</f>
        <v>0</v>
      </c>
      <c r="CB83" s="123"/>
      <c r="CC83" s="124">
        <f t="shared" ref="CC83" si="3873">CB83*$E83</f>
        <v>0</v>
      </c>
      <c r="CD83" s="123"/>
      <c r="CE83" s="124">
        <f t="shared" ref="CE83" si="3874">CD83*$E83</f>
        <v>0</v>
      </c>
      <c r="CF83" s="125">
        <f t="shared" si="3186"/>
        <v>0</v>
      </c>
      <c r="CG83" s="126">
        <f t="shared" ref="CG83" si="3875">CF83*$E83</f>
        <v>0</v>
      </c>
      <c r="CH83" s="123"/>
      <c r="CI83" s="124">
        <f t="shared" ref="CI83" si="3876">CH83*$E83</f>
        <v>0</v>
      </c>
      <c r="CJ83" s="123"/>
      <c r="CK83" s="124">
        <f t="shared" ref="CK83" si="3877">CJ83*$E83</f>
        <v>0</v>
      </c>
      <c r="CL83" s="123"/>
      <c r="CM83" s="124">
        <f t="shared" ref="CM83" si="3878">CL83*$E83</f>
        <v>0</v>
      </c>
      <c r="CN83" s="123"/>
      <c r="CO83" s="124">
        <f t="shared" ref="CO83" si="3879">CN83*$E83</f>
        <v>0</v>
      </c>
      <c r="CP83" s="123"/>
      <c r="CQ83" s="124">
        <f t="shared" ref="CQ83" si="3880">CP83*$E83</f>
        <v>0</v>
      </c>
      <c r="CR83" s="123"/>
      <c r="CS83" s="124">
        <f t="shared" ref="CS83" si="3881">CR83*$E83</f>
        <v>0</v>
      </c>
      <c r="CT83" s="123"/>
      <c r="CU83" s="124">
        <f t="shared" ref="CU83" si="3882">CT83*$E83</f>
        <v>0</v>
      </c>
      <c r="CV83" s="123"/>
      <c r="CW83" s="124">
        <f t="shared" ref="CW83" si="3883">CV83*$E83</f>
        <v>0</v>
      </c>
      <c r="CX83" s="123"/>
      <c r="CY83" s="124">
        <f t="shared" ref="CY83" si="3884">CX83*$E83</f>
        <v>0</v>
      </c>
      <c r="CZ83" s="123"/>
      <c r="DA83" s="124">
        <f t="shared" ref="DA83" si="3885">CZ83*$E83</f>
        <v>0</v>
      </c>
      <c r="DB83" s="123"/>
      <c r="DC83" s="124">
        <f t="shared" si="3198"/>
        <v>0</v>
      </c>
      <c r="DD83" s="123"/>
      <c r="DE83" s="124">
        <f t="shared" si="3198"/>
        <v>0</v>
      </c>
      <c r="DF83" s="27">
        <f t="shared" si="3145"/>
        <v>0</v>
      </c>
      <c r="DG83" s="124">
        <f t="shared" si="3199"/>
        <v>0</v>
      </c>
    </row>
    <row r="84" spans="1:111" ht="18" customHeight="1" x14ac:dyDescent="0.5">
      <c r="A84" s="117">
        <v>68</v>
      </c>
      <c r="B84" s="122" t="s">
        <v>191</v>
      </c>
      <c r="C84" s="122" t="s">
        <v>233</v>
      </c>
      <c r="D84" s="117">
        <f>RANK(DF84,$DF$4:$DF$141)</f>
        <v>21</v>
      </c>
      <c r="E84" s="117">
        <v>1</v>
      </c>
      <c r="F84" s="117" t="s">
        <v>232</v>
      </c>
      <c r="G84" s="117"/>
      <c r="H84" s="123"/>
      <c r="I84" s="124">
        <f t="shared" ref="I84" si="3886">H84*$E84</f>
        <v>0</v>
      </c>
      <c r="J84" s="123"/>
      <c r="K84" s="124">
        <f t="shared" ref="K84" si="3887">J84*$E84</f>
        <v>0</v>
      </c>
      <c r="L84" s="123"/>
      <c r="M84" s="124">
        <f t="shared" ref="M84" si="3888">L84*$E84</f>
        <v>0</v>
      </c>
      <c r="N84" s="123"/>
      <c r="O84" s="124">
        <f t="shared" ref="O84" si="3889">N84*$E84</f>
        <v>0</v>
      </c>
      <c r="P84" s="123"/>
      <c r="Q84" s="124">
        <f t="shared" ref="Q84" si="3890">P84*$E84</f>
        <v>0</v>
      </c>
      <c r="R84" s="123"/>
      <c r="S84" s="124">
        <f t="shared" ref="S84" si="3891">R84*$E84</f>
        <v>0</v>
      </c>
      <c r="T84" s="123"/>
      <c r="U84" s="124">
        <f t="shared" ref="U84" si="3892">T84*$E84</f>
        <v>0</v>
      </c>
      <c r="V84" s="123"/>
      <c r="W84" s="124">
        <f t="shared" ref="W84" si="3893">V84*$E84</f>
        <v>0</v>
      </c>
      <c r="X84" s="123"/>
      <c r="Y84" s="124">
        <f t="shared" ref="Y84" si="3894">X84*$E84</f>
        <v>0</v>
      </c>
      <c r="Z84" s="123"/>
      <c r="AA84" s="124">
        <f t="shared" ref="AA84" si="3895">Z84*$E84</f>
        <v>0</v>
      </c>
      <c r="AB84" s="123"/>
      <c r="AC84" s="124">
        <f t="shared" ref="AC84" si="3896">AB84*$E84</f>
        <v>0</v>
      </c>
      <c r="AD84" s="123"/>
      <c r="AE84" s="124">
        <f t="shared" ref="AE84" si="3897">AD84*$E84</f>
        <v>0</v>
      </c>
      <c r="AF84" s="125">
        <f t="shared" si="3158"/>
        <v>0</v>
      </c>
      <c r="AG84" s="126">
        <f t="shared" ref="AG84" si="3898">AF84*$E84</f>
        <v>0</v>
      </c>
      <c r="AH84" s="11"/>
      <c r="AI84" s="124">
        <f t="shared" ref="AI84" si="3899">AH84*$E84</f>
        <v>0</v>
      </c>
      <c r="AJ84" s="15"/>
      <c r="AK84" s="124">
        <f t="shared" ref="AK84" si="3900">AJ84*$E84</f>
        <v>0</v>
      </c>
      <c r="AL84" s="15"/>
      <c r="AM84" s="124">
        <f t="shared" ref="AM84" si="3901">AL84*$E84</f>
        <v>0</v>
      </c>
      <c r="AN84" s="16"/>
      <c r="AO84" s="124">
        <f t="shared" ref="AO84" si="3902">AN84*$E84</f>
        <v>0</v>
      </c>
      <c r="AP84" s="15"/>
      <c r="AQ84" s="124">
        <f t="shared" ref="AQ84" si="3903">AP84*$E84</f>
        <v>0</v>
      </c>
      <c r="AR84" s="15"/>
      <c r="AS84" s="124">
        <f t="shared" ref="AS84" si="3904">AR84*$E84</f>
        <v>0</v>
      </c>
      <c r="AT84" s="17"/>
      <c r="AU84" s="124">
        <f t="shared" ref="AU84" si="3905">AT84*$E84</f>
        <v>0</v>
      </c>
      <c r="AV84" s="15"/>
      <c r="AW84" s="124">
        <f t="shared" ref="AW84" si="3906">AV84*$E84</f>
        <v>0</v>
      </c>
      <c r="AX84" s="15"/>
      <c r="AY84" s="124">
        <f t="shared" ref="AY84" si="3907">AX84*$E84</f>
        <v>0</v>
      </c>
      <c r="AZ84" s="17"/>
      <c r="BA84" s="124">
        <f t="shared" ref="BA84" si="3908">AZ84*$E84</f>
        <v>0</v>
      </c>
      <c r="BB84" s="33"/>
      <c r="BC84" s="124">
        <f t="shared" ref="BC84" si="3909">BB84*$E84</f>
        <v>0</v>
      </c>
      <c r="BD84" s="33"/>
      <c r="BE84" s="124">
        <f t="shared" ref="BE84" si="3910">BD84*$E84</f>
        <v>0</v>
      </c>
      <c r="BF84" s="125">
        <f t="shared" si="3172"/>
        <v>0</v>
      </c>
      <c r="BG84" s="126">
        <f t="shared" ref="BG84" si="3911">BF84*$E84</f>
        <v>0</v>
      </c>
      <c r="BH84" s="123"/>
      <c r="BI84" s="124">
        <f t="shared" ref="BI84" si="3912">BH84*$E84</f>
        <v>0</v>
      </c>
      <c r="BJ84" s="123"/>
      <c r="BK84" s="124">
        <f t="shared" ref="BK84" si="3913">BJ84*$E84</f>
        <v>0</v>
      </c>
      <c r="BL84" s="123"/>
      <c r="BM84" s="124">
        <f t="shared" ref="BM84" si="3914">BL84*$E84</f>
        <v>0</v>
      </c>
      <c r="BN84" s="123"/>
      <c r="BO84" s="124">
        <f t="shared" ref="BO84" si="3915">BN84*$E84</f>
        <v>0</v>
      </c>
      <c r="BP84" s="123"/>
      <c r="BQ84" s="124">
        <f t="shared" ref="BQ84" si="3916">BP84*$E84</f>
        <v>0</v>
      </c>
      <c r="BR84" s="123"/>
      <c r="BS84" s="124">
        <f t="shared" ref="BS84" si="3917">BR84*$E84</f>
        <v>0</v>
      </c>
      <c r="BT84" s="123"/>
      <c r="BU84" s="124">
        <f t="shared" ref="BU84" si="3918">BT84*$E84</f>
        <v>0</v>
      </c>
      <c r="BV84" s="123"/>
      <c r="BW84" s="124">
        <f t="shared" ref="BW84" si="3919">BV84*$E84</f>
        <v>0</v>
      </c>
      <c r="BX84" s="123"/>
      <c r="BY84" s="124">
        <f t="shared" ref="BY84" si="3920">BX84*$E84</f>
        <v>0</v>
      </c>
      <c r="BZ84" s="123"/>
      <c r="CA84" s="124">
        <f t="shared" ref="CA84" si="3921">BZ84*$E84</f>
        <v>0</v>
      </c>
      <c r="CB84" s="123"/>
      <c r="CC84" s="124">
        <f t="shared" ref="CC84" si="3922">CB84*$E84</f>
        <v>0</v>
      </c>
      <c r="CD84" s="123"/>
      <c r="CE84" s="124">
        <f t="shared" ref="CE84" si="3923">CD84*$E84</f>
        <v>0</v>
      </c>
      <c r="CF84" s="125">
        <f t="shared" si="3186"/>
        <v>0</v>
      </c>
      <c r="CG84" s="126">
        <f t="shared" ref="CG84" si="3924">CF84*$E84</f>
        <v>0</v>
      </c>
      <c r="CH84" s="123"/>
      <c r="CI84" s="124">
        <f t="shared" ref="CI84" si="3925">CH84*$E84</f>
        <v>0</v>
      </c>
      <c r="CJ84" s="123"/>
      <c r="CK84" s="124">
        <f t="shared" ref="CK84" si="3926">CJ84*$E84</f>
        <v>0</v>
      </c>
      <c r="CL84" s="123"/>
      <c r="CM84" s="124">
        <f t="shared" ref="CM84" si="3927">CL84*$E84</f>
        <v>0</v>
      </c>
      <c r="CN84" s="123"/>
      <c r="CO84" s="124">
        <f t="shared" ref="CO84" si="3928">CN84*$E84</f>
        <v>0</v>
      </c>
      <c r="CP84" s="123"/>
      <c r="CQ84" s="124">
        <f t="shared" ref="CQ84" si="3929">CP84*$E84</f>
        <v>0</v>
      </c>
      <c r="CR84" s="123"/>
      <c r="CS84" s="124">
        <f t="shared" ref="CS84" si="3930">CR84*$E84</f>
        <v>0</v>
      </c>
      <c r="CT84" s="123"/>
      <c r="CU84" s="124">
        <f t="shared" ref="CU84" si="3931">CT84*$E84</f>
        <v>0</v>
      </c>
      <c r="CV84" s="123"/>
      <c r="CW84" s="124">
        <f t="shared" ref="CW84" si="3932">CV84*$E84</f>
        <v>0</v>
      </c>
      <c r="CX84" s="123"/>
      <c r="CY84" s="124">
        <f t="shared" ref="CY84" si="3933">CX84*$E84</f>
        <v>0</v>
      </c>
      <c r="CZ84" s="123"/>
      <c r="DA84" s="124">
        <f t="shared" ref="DA84" si="3934">CZ84*$E84</f>
        <v>0</v>
      </c>
      <c r="DB84" s="123"/>
      <c r="DC84" s="124">
        <f t="shared" si="3198"/>
        <v>0</v>
      </c>
      <c r="DD84" s="123"/>
      <c r="DE84" s="124">
        <f t="shared" si="3198"/>
        <v>0</v>
      </c>
      <c r="DF84" s="27">
        <f t="shared" si="3145"/>
        <v>0</v>
      </c>
      <c r="DG84" s="124">
        <f t="shared" si="3199"/>
        <v>0</v>
      </c>
    </row>
    <row r="85" spans="1:111" ht="18" customHeight="1" x14ac:dyDescent="0.5">
      <c r="A85" s="117"/>
      <c r="B85" s="122"/>
      <c r="C85" s="122"/>
      <c r="D85" s="117"/>
      <c r="E85" s="117"/>
      <c r="F85" s="117"/>
      <c r="G85" s="117"/>
      <c r="H85" s="123"/>
      <c r="I85" s="124">
        <f t="shared" ref="I85" si="3935">H85*$E85</f>
        <v>0</v>
      </c>
      <c r="J85" s="123"/>
      <c r="K85" s="124">
        <f t="shared" ref="K85" si="3936">J85*$E85</f>
        <v>0</v>
      </c>
      <c r="L85" s="123"/>
      <c r="M85" s="124">
        <f t="shared" ref="M85" si="3937">L85*$E85</f>
        <v>0</v>
      </c>
      <c r="N85" s="123"/>
      <c r="O85" s="124">
        <f t="shared" ref="O85" si="3938">N85*$E85</f>
        <v>0</v>
      </c>
      <c r="P85" s="123"/>
      <c r="Q85" s="124">
        <f t="shared" ref="Q85" si="3939">P85*$E85</f>
        <v>0</v>
      </c>
      <c r="R85" s="123"/>
      <c r="S85" s="124">
        <f t="shared" ref="S85" si="3940">R85*$E85</f>
        <v>0</v>
      </c>
      <c r="T85" s="123"/>
      <c r="U85" s="124">
        <f t="shared" ref="U85" si="3941">T85*$E85</f>
        <v>0</v>
      </c>
      <c r="V85" s="123"/>
      <c r="W85" s="124">
        <f t="shared" ref="W85" si="3942">V85*$E85</f>
        <v>0</v>
      </c>
      <c r="X85" s="123"/>
      <c r="Y85" s="124">
        <f t="shared" ref="Y85" si="3943">X85*$E85</f>
        <v>0</v>
      </c>
      <c r="Z85" s="123"/>
      <c r="AA85" s="124">
        <f t="shared" ref="AA85" si="3944">Z85*$E85</f>
        <v>0</v>
      </c>
      <c r="AB85" s="123"/>
      <c r="AC85" s="124">
        <f t="shared" ref="AC85" si="3945">AB85*$E85</f>
        <v>0</v>
      </c>
      <c r="AD85" s="123"/>
      <c r="AE85" s="124">
        <f t="shared" ref="AE85" si="3946">AD85*$E85</f>
        <v>0</v>
      </c>
      <c r="AF85" s="125">
        <f t="shared" si="3158"/>
        <v>0</v>
      </c>
      <c r="AG85" s="126">
        <f t="shared" ref="AG85" si="3947">AF85*$E85</f>
        <v>0</v>
      </c>
      <c r="AH85" s="11"/>
      <c r="AI85" s="124">
        <f t="shared" ref="AI85" si="3948">AH85*$E85</f>
        <v>0</v>
      </c>
      <c r="AJ85" s="15"/>
      <c r="AK85" s="124">
        <f t="shared" ref="AK85" si="3949">AJ85*$E85</f>
        <v>0</v>
      </c>
      <c r="AL85" s="15"/>
      <c r="AM85" s="124">
        <f t="shared" ref="AM85" si="3950">AL85*$E85</f>
        <v>0</v>
      </c>
      <c r="AN85" s="16"/>
      <c r="AO85" s="124">
        <f t="shared" ref="AO85" si="3951">AN85*$E85</f>
        <v>0</v>
      </c>
      <c r="AP85" s="15"/>
      <c r="AQ85" s="124">
        <f t="shared" ref="AQ85" si="3952">AP85*$E85</f>
        <v>0</v>
      </c>
      <c r="AR85" s="15"/>
      <c r="AS85" s="124">
        <f t="shared" ref="AS85" si="3953">AR85*$E85</f>
        <v>0</v>
      </c>
      <c r="AT85" s="17"/>
      <c r="AU85" s="124">
        <f t="shared" ref="AU85" si="3954">AT85*$E85</f>
        <v>0</v>
      </c>
      <c r="AV85" s="15"/>
      <c r="AW85" s="124">
        <f t="shared" ref="AW85" si="3955">AV85*$E85</f>
        <v>0</v>
      </c>
      <c r="AX85" s="15"/>
      <c r="AY85" s="124">
        <f t="shared" ref="AY85" si="3956">AX85*$E85</f>
        <v>0</v>
      </c>
      <c r="AZ85" s="17"/>
      <c r="BA85" s="124">
        <f t="shared" ref="BA85" si="3957">AZ85*$E85</f>
        <v>0</v>
      </c>
      <c r="BB85" s="33"/>
      <c r="BC85" s="124">
        <f t="shared" ref="BC85" si="3958">BB85*$E85</f>
        <v>0</v>
      </c>
      <c r="BD85" s="33"/>
      <c r="BE85" s="124">
        <f t="shared" ref="BE85" si="3959">BD85*$E85</f>
        <v>0</v>
      </c>
      <c r="BF85" s="125">
        <f t="shared" si="3172"/>
        <v>0</v>
      </c>
      <c r="BG85" s="126">
        <f t="shared" ref="BG85" si="3960">BF85*$E85</f>
        <v>0</v>
      </c>
      <c r="BH85" s="123"/>
      <c r="BI85" s="124">
        <f t="shared" ref="BI85" si="3961">BH85*$E85</f>
        <v>0</v>
      </c>
      <c r="BJ85" s="123"/>
      <c r="BK85" s="124">
        <f t="shared" ref="BK85" si="3962">BJ85*$E85</f>
        <v>0</v>
      </c>
      <c r="BL85" s="123"/>
      <c r="BM85" s="124">
        <f t="shared" ref="BM85" si="3963">BL85*$E85</f>
        <v>0</v>
      </c>
      <c r="BN85" s="123"/>
      <c r="BO85" s="124">
        <f t="shared" ref="BO85" si="3964">BN85*$E85</f>
        <v>0</v>
      </c>
      <c r="BP85" s="123"/>
      <c r="BQ85" s="124">
        <f t="shared" ref="BQ85" si="3965">BP85*$E85</f>
        <v>0</v>
      </c>
      <c r="BR85" s="123"/>
      <c r="BS85" s="124">
        <f t="shared" ref="BS85" si="3966">BR85*$E85</f>
        <v>0</v>
      </c>
      <c r="BT85" s="123"/>
      <c r="BU85" s="124">
        <f t="shared" ref="BU85" si="3967">BT85*$E85</f>
        <v>0</v>
      </c>
      <c r="BV85" s="123"/>
      <c r="BW85" s="124">
        <f t="shared" ref="BW85" si="3968">BV85*$E85</f>
        <v>0</v>
      </c>
      <c r="BX85" s="123"/>
      <c r="BY85" s="124">
        <f t="shared" ref="BY85" si="3969">BX85*$E85</f>
        <v>0</v>
      </c>
      <c r="BZ85" s="123"/>
      <c r="CA85" s="124">
        <f t="shared" ref="CA85" si="3970">BZ85*$E85</f>
        <v>0</v>
      </c>
      <c r="CB85" s="123"/>
      <c r="CC85" s="124">
        <f t="shared" ref="CC85" si="3971">CB85*$E85</f>
        <v>0</v>
      </c>
      <c r="CD85" s="123"/>
      <c r="CE85" s="124">
        <f t="shared" ref="CE85" si="3972">CD85*$E85</f>
        <v>0</v>
      </c>
      <c r="CF85" s="125">
        <f t="shared" si="3186"/>
        <v>0</v>
      </c>
      <c r="CG85" s="126">
        <f t="shared" ref="CG85" si="3973">CF85*$E85</f>
        <v>0</v>
      </c>
      <c r="CH85" s="123"/>
      <c r="CI85" s="124">
        <f t="shared" ref="CI85" si="3974">CH85*$E85</f>
        <v>0</v>
      </c>
      <c r="CJ85" s="123"/>
      <c r="CK85" s="124">
        <f t="shared" ref="CK85" si="3975">CJ85*$E85</f>
        <v>0</v>
      </c>
      <c r="CL85" s="123"/>
      <c r="CM85" s="124">
        <f t="shared" ref="CM85" si="3976">CL85*$E85</f>
        <v>0</v>
      </c>
      <c r="CN85" s="123"/>
      <c r="CO85" s="124">
        <f t="shared" ref="CO85" si="3977">CN85*$E85</f>
        <v>0</v>
      </c>
      <c r="CP85" s="123"/>
      <c r="CQ85" s="124">
        <f t="shared" ref="CQ85" si="3978">CP85*$E85</f>
        <v>0</v>
      </c>
      <c r="CR85" s="123"/>
      <c r="CS85" s="124">
        <f t="shared" ref="CS85" si="3979">CR85*$E85</f>
        <v>0</v>
      </c>
      <c r="CT85" s="123"/>
      <c r="CU85" s="124">
        <f t="shared" ref="CU85" si="3980">CT85*$E85</f>
        <v>0</v>
      </c>
      <c r="CV85" s="123"/>
      <c r="CW85" s="124">
        <f t="shared" ref="CW85" si="3981">CV85*$E85</f>
        <v>0</v>
      </c>
      <c r="CX85" s="123"/>
      <c r="CY85" s="124">
        <f t="shared" ref="CY85" si="3982">CX85*$E85</f>
        <v>0</v>
      </c>
      <c r="CZ85" s="123"/>
      <c r="DA85" s="124">
        <f t="shared" ref="DA85" si="3983">CZ85*$E85</f>
        <v>0</v>
      </c>
      <c r="DB85" s="123"/>
      <c r="DC85" s="124">
        <f t="shared" si="3198"/>
        <v>0</v>
      </c>
      <c r="DD85" s="123"/>
      <c r="DE85" s="124">
        <f t="shared" si="3198"/>
        <v>0</v>
      </c>
      <c r="DF85" s="27">
        <f t="shared" si="3145"/>
        <v>0</v>
      </c>
      <c r="DG85" s="124">
        <f t="shared" si="3199"/>
        <v>0</v>
      </c>
    </row>
    <row r="86" spans="1:111" ht="18" customHeight="1" x14ac:dyDescent="0.5">
      <c r="A86" s="117">
        <v>69</v>
      </c>
      <c r="B86" s="122" t="s">
        <v>183</v>
      </c>
      <c r="C86" s="122" t="s">
        <v>233</v>
      </c>
      <c r="D86" s="117">
        <f>RANK(DF86,$DF$4:$DF$141)</f>
        <v>21</v>
      </c>
      <c r="E86" s="117">
        <v>1</v>
      </c>
      <c r="F86" s="117" t="s">
        <v>235</v>
      </c>
      <c r="G86" s="117"/>
      <c r="H86" s="123"/>
      <c r="I86" s="124">
        <f t="shared" ref="I86" si="3984">H86*$E86</f>
        <v>0</v>
      </c>
      <c r="J86" s="123"/>
      <c r="K86" s="124">
        <f t="shared" ref="K86" si="3985">J86*$E86</f>
        <v>0</v>
      </c>
      <c r="L86" s="123"/>
      <c r="M86" s="124">
        <f t="shared" ref="M86" si="3986">L86*$E86</f>
        <v>0</v>
      </c>
      <c r="N86" s="123"/>
      <c r="O86" s="124">
        <f t="shared" ref="O86" si="3987">N86*$E86</f>
        <v>0</v>
      </c>
      <c r="P86" s="123"/>
      <c r="Q86" s="124">
        <f t="shared" ref="Q86" si="3988">P86*$E86</f>
        <v>0</v>
      </c>
      <c r="R86" s="123"/>
      <c r="S86" s="124">
        <f t="shared" ref="S86" si="3989">R86*$E86</f>
        <v>0</v>
      </c>
      <c r="T86" s="123"/>
      <c r="U86" s="124">
        <f t="shared" ref="U86" si="3990">T86*$E86</f>
        <v>0</v>
      </c>
      <c r="V86" s="123"/>
      <c r="W86" s="124">
        <f t="shared" ref="W86" si="3991">V86*$E86</f>
        <v>0</v>
      </c>
      <c r="X86" s="123"/>
      <c r="Y86" s="124">
        <f t="shared" ref="Y86" si="3992">X86*$E86</f>
        <v>0</v>
      </c>
      <c r="Z86" s="123"/>
      <c r="AA86" s="124">
        <f t="shared" ref="AA86" si="3993">Z86*$E86</f>
        <v>0</v>
      </c>
      <c r="AB86" s="123"/>
      <c r="AC86" s="124">
        <f t="shared" ref="AC86" si="3994">AB86*$E86</f>
        <v>0</v>
      </c>
      <c r="AD86" s="123"/>
      <c r="AE86" s="124">
        <f t="shared" ref="AE86" si="3995">AD86*$E86</f>
        <v>0</v>
      </c>
      <c r="AF86" s="125">
        <f t="shared" si="3158"/>
        <v>0</v>
      </c>
      <c r="AG86" s="126">
        <f t="shared" ref="AG86" si="3996">AF86*$E86</f>
        <v>0</v>
      </c>
      <c r="AH86" s="11"/>
      <c r="AI86" s="124">
        <f t="shared" ref="AI86" si="3997">AH86*$E86</f>
        <v>0</v>
      </c>
      <c r="AJ86" s="15"/>
      <c r="AK86" s="124">
        <f t="shared" ref="AK86" si="3998">AJ86*$E86</f>
        <v>0</v>
      </c>
      <c r="AL86" s="15"/>
      <c r="AM86" s="124">
        <f t="shared" ref="AM86" si="3999">AL86*$E86</f>
        <v>0</v>
      </c>
      <c r="AN86" s="16"/>
      <c r="AO86" s="124">
        <f t="shared" ref="AO86" si="4000">AN86*$E86</f>
        <v>0</v>
      </c>
      <c r="AP86" s="15"/>
      <c r="AQ86" s="124">
        <f t="shared" ref="AQ86" si="4001">AP86*$E86</f>
        <v>0</v>
      </c>
      <c r="AR86" s="15"/>
      <c r="AS86" s="124">
        <f t="shared" ref="AS86" si="4002">AR86*$E86</f>
        <v>0</v>
      </c>
      <c r="AT86" s="17"/>
      <c r="AU86" s="124">
        <f t="shared" ref="AU86" si="4003">AT86*$E86</f>
        <v>0</v>
      </c>
      <c r="AV86" s="15"/>
      <c r="AW86" s="124">
        <f t="shared" ref="AW86" si="4004">AV86*$E86</f>
        <v>0</v>
      </c>
      <c r="AX86" s="15"/>
      <c r="AY86" s="124">
        <f t="shared" ref="AY86" si="4005">AX86*$E86</f>
        <v>0</v>
      </c>
      <c r="AZ86" s="17"/>
      <c r="BA86" s="124">
        <f t="shared" ref="BA86" si="4006">AZ86*$E86</f>
        <v>0</v>
      </c>
      <c r="BB86" s="33"/>
      <c r="BC86" s="124">
        <f t="shared" ref="BC86" si="4007">BB86*$E86</f>
        <v>0</v>
      </c>
      <c r="BD86" s="33"/>
      <c r="BE86" s="124">
        <f t="shared" ref="BE86" si="4008">BD86*$E86</f>
        <v>0</v>
      </c>
      <c r="BF86" s="125">
        <f t="shared" si="3172"/>
        <v>0</v>
      </c>
      <c r="BG86" s="126">
        <f t="shared" ref="BG86" si="4009">BF86*$E86</f>
        <v>0</v>
      </c>
      <c r="BH86" s="123"/>
      <c r="BI86" s="124">
        <f t="shared" ref="BI86" si="4010">BH86*$E86</f>
        <v>0</v>
      </c>
      <c r="BJ86" s="123"/>
      <c r="BK86" s="124">
        <f t="shared" ref="BK86" si="4011">BJ86*$E86</f>
        <v>0</v>
      </c>
      <c r="BL86" s="123"/>
      <c r="BM86" s="124">
        <f t="shared" ref="BM86" si="4012">BL86*$E86</f>
        <v>0</v>
      </c>
      <c r="BN86" s="123"/>
      <c r="BO86" s="124">
        <f t="shared" ref="BO86" si="4013">BN86*$E86</f>
        <v>0</v>
      </c>
      <c r="BP86" s="123"/>
      <c r="BQ86" s="124">
        <f t="shared" ref="BQ86" si="4014">BP86*$E86</f>
        <v>0</v>
      </c>
      <c r="BR86" s="123"/>
      <c r="BS86" s="124">
        <f t="shared" ref="BS86" si="4015">BR86*$E86</f>
        <v>0</v>
      </c>
      <c r="BT86" s="123"/>
      <c r="BU86" s="124">
        <f t="shared" ref="BU86" si="4016">BT86*$E86</f>
        <v>0</v>
      </c>
      <c r="BV86" s="123"/>
      <c r="BW86" s="124">
        <f t="shared" ref="BW86" si="4017">BV86*$E86</f>
        <v>0</v>
      </c>
      <c r="BX86" s="123"/>
      <c r="BY86" s="124">
        <f t="shared" ref="BY86" si="4018">BX86*$E86</f>
        <v>0</v>
      </c>
      <c r="BZ86" s="123"/>
      <c r="CA86" s="124">
        <f t="shared" ref="CA86" si="4019">BZ86*$E86</f>
        <v>0</v>
      </c>
      <c r="CB86" s="123"/>
      <c r="CC86" s="124">
        <f t="shared" ref="CC86" si="4020">CB86*$E86</f>
        <v>0</v>
      </c>
      <c r="CD86" s="123"/>
      <c r="CE86" s="124">
        <f t="shared" ref="CE86" si="4021">CD86*$E86</f>
        <v>0</v>
      </c>
      <c r="CF86" s="125">
        <f t="shared" si="3186"/>
        <v>0</v>
      </c>
      <c r="CG86" s="126">
        <f t="shared" ref="CG86" si="4022">CF86*$E86</f>
        <v>0</v>
      </c>
      <c r="CH86" s="123"/>
      <c r="CI86" s="124">
        <f t="shared" ref="CI86" si="4023">CH86*$E86</f>
        <v>0</v>
      </c>
      <c r="CJ86" s="123"/>
      <c r="CK86" s="124">
        <f t="shared" ref="CK86" si="4024">CJ86*$E86</f>
        <v>0</v>
      </c>
      <c r="CL86" s="123"/>
      <c r="CM86" s="124">
        <f t="shared" ref="CM86" si="4025">CL86*$E86</f>
        <v>0</v>
      </c>
      <c r="CN86" s="123"/>
      <c r="CO86" s="124">
        <f t="shared" ref="CO86" si="4026">CN86*$E86</f>
        <v>0</v>
      </c>
      <c r="CP86" s="123"/>
      <c r="CQ86" s="124">
        <f t="shared" ref="CQ86" si="4027">CP86*$E86</f>
        <v>0</v>
      </c>
      <c r="CR86" s="123"/>
      <c r="CS86" s="124">
        <f t="shared" ref="CS86" si="4028">CR86*$E86</f>
        <v>0</v>
      </c>
      <c r="CT86" s="123"/>
      <c r="CU86" s="124">
        <f t="shared" ref="CU86" si="4029">CT86*$E86</f>
        <v>0</v>
      </c>
      <c r="CV86" s="123"/>
      <c r="CW86" s="124">
        <f t="shared" ref="CW86" si="4030">CV86*$E86</f>
        <v>0</v>
      </c>
      <c r="CX86" s="123"/>
      <c r="CY86" s="124">
        <f t="shared" ref="CY86" si="4031">CX86*$E86</f>
        <v>0</v>
      </c>
      <c r="CZ86" s="123"/>
      <c r="DA86" s="124">
        <f t="shared" ref="DA86" si="4032">CZ86*$E86</f>
        <v>0</v>
      </c>
      <c r="DB86" s="123"/>
      <c r="DC86" s="124">
        <f t="shared" si="3198"/>
        <v>0</v>
      </c>
      <c r="DD86" s="123"/>
      <c r="DE86" s="124">
        <f t="shared" si="3198"/>
        <v>0</v>
      </c>
      <c r="DF86" s="27">
        <f t="shared" si="3145"/>
        <v>0</v>
      </c>
      <c r="DG86" s="124">
        <f t="shared" si="3199"/>
        <v>0</v>
      </c>
    </row>
    <row r="87" spans="1:111" ht="18" customHeight="1" x14ac:dyDescent="0.5">
      <c r="A87" s="117">
        <v>70</v>
      </c>
      <c r="B87" s="122" t="s">
        <v>184</v>
      </c>
      <c r="C87" s="122" t="s">
        <v>233</v>
      </c>
      <c r="D87" s="117">
        <f>RANK(DF87,$DF$4:$DF$141)</f>
        <v>21</v>
      </c>
      <c r="E87" s="117">
        <v>1</v>
      </c>
      <c r="F87" s="117" t="s">
        <v>235</v>
      </c>
      <c r="G87" s="117"/>
      <c r="H87" s="123"/>
      <c r="I87" s="124">
        <f t="shared" ref="I87" si="4033">H87*$E87</f>
        <v>0</v>
      </c>
      <c r="J87" s="123"/>
      <c r="K87" s="124">
        <f t="shared" ref="K87" si="4034">J87*$E87</f>
        <v>0</v>
      </c>
      <c r="L87" s="123"/>
      <c r="M87" s="124">
        <f t="shared" ref="M87" si="4035">L87*$E87</f>
        <v>0</v>
      </c>
      <c r="N87" s="123"/>
      <c r="O87" s="124">
        <f t="shared" ref="O87" si="4036">N87*$E87</f>
        <v>0</v>
      </c>
      <c r="P87" s="123"/>
      <c r="Q87" s="124">
        <f t="shared" ref="Q87" si="4037">P87*$E87</f>
        <v>0</v>
      </c>
      <c r="R87" s="123"/>
      <c r="S87" s="124">
        <f t="shared" ref="S87" si="4038">R87*$E87</f>
        <v>0</v>
      </c>
      <c r="T87" s="123"/>
      <c r="U87" s="124">
        <f t="shared" ref="U87" si="4039">T87*$E87</f>
        <v>0</v>
      </c>
      <c r="V87" s="123"/>
      <c r="W87" s="124">
        <f t="shared" ref="W87" si="4040">V87*$E87</f>
        <v>0</v>
      </c>
      <c r="X87" s="123"/>
      <c r="Y87" s="124">
        <f t="shared" ref="Y87" si="4041">X87*$E87</f>
        <v>0</v>
      </c>
      <c r="Z87" s="123"/>
      <c r="AA87" s="124">
        <f t="shared" ref="AA87" si="4042">Z87*$E87</f>
        <v>0</v>
      </c>
      <c r="AB87" s="123"/>
      <c r="AC87" s="124">
        <f t="shared" ref="AC87" si="4043">AB87*$E87</f>
        <v>0</v>
      </c>
      <c r="AD87" s="123"/>
      <c r="AE87" s="124">
        <f t="shared" ref="AE87" si="4044">AD87*$E87</f>
        <v>0</v>
      </c>
      <c r="AF87" s="125">
        <f t="shared" si="3158"/>
        <v>0</v>
      </c>
      <c r="AG87" s="126">
        <f t="shared" ref="AG87" si="4045">AF87*$E87</f>
        <v>0</v>
      </c>
      <c r="AH87" s="11"/>
      <c r="AI87" s="124">
        <f t="shared" ref="AI87" si="4046">AH87*$E87</f>
        <v>0</v>
      </c>
      <c r="AJ87" s="15"/>
      <c r="AK87" s="124">
        <f t="shared" ref="AK87" si="4047">AJ87*$E87</f>
        <v>0</v>
      </c>
      <c r="AL87" s="15"/>
      <c r="AM87" s="124">
        <f t="shared" ref="AM87" si="4048">AL87*$E87</f>
        <v>0</v>
      </c>
      <c r="AN87" s="16"/>
      <c r="AO87" s="124">
        <f t="shared" ref="AO87" si="4049">AN87*$E87</f>
        <v>0</v>
      </c>
      <c r="AP87" s="15"/>
      <c r="AQ87" s="124">
        <f t="shared" ref="AQ87" si="4050">AP87*$E87</f>
        <v>0</v>
      </c>
      <c r="AR87" s="15"/>
      <c r="AS87" s="124">
        <f t="shared" ref="AS87" si="4051">AR87*$E87</f>
        <v>0</v>
      </c>
      <c r="AT87" s="17"/>
      <c r="AU87" s="124">
        <f t="shared" ref="AU87" si="4052">AT87*$E87</f>
        <v>0</v>
      </c>
      <c r="AV87" s="15"/>
      <c r="AW87" s="124">
        <f t="shared" ref="AW87" si="4053">AV87*$E87</f>
        <v>0</v>
      </c>
      <c r="AX87" s="15"/>
      <c r="AY87" s="124">
        <f t="shared" ref="AY87" si="4054">AX87*$E87</f>
        <v>0</v>
      </c>
      <c r="AZ87" s="17"/>
      <c r="BA87" s="124">
        <f t="shared" ref="BA87" si="4055">AZ87*$E87</f>
        <v>0</v>
      </c>
      <c r="BB87" s="33"/>
      <c r="BC87" s="124">
        <f t="shared" ref="BC87" si="4056">BB87*$E87</f>
        <v>0</v>
      </c>
      <c r="BD87" s="33"/>
      <c r="BE87" s="124">
        <f t="shared" ref="BE87" si="4057">BD87*$E87</f>
        <v>0</v>
      </c>
      <c r="BF87" s="125">
        <f t="shared" si="3172"/>
        <v>0</v>
      </c>
      <c r="BG87" s="126">
        <f t="shared" ref="BG87" si="4058">BF87*$E87</f>
        <v>0</v>
      </c>
      <c r="BH87" s="123"/>
      <c r="BI87" s="124">
        <f t="shared" ref="BI87" si="4059">BH87*$E87</f>
        <v>0</v>
      </c>
      <c r="BJ87" s="123"/>
      <c r="BK87" s="124">
        <f t="shared" ref="BK87" si="4060">BJ87*$E87</f>
        <v>0</v>
      </c>
      <c r="BL87" s="123"/>
      <c r="BM87" s="124">
        <f t="shared" ref="BM87" si="4061">BL87*$E87</f>
        <v>0</v>
      </c>
      <c r="BN87" s="123"/>
      <c r="BO87" s="124">
        <f t="shared" ref="BO87" si="4062">BN87*$E87</f>
        <v>0</v>
      </c>
      <c r="BP87" s="123"/>
      <c r="BQ87" s="124">
        <f t="shared" ref="BQ87" si="4063">BP87*$E87</f>
        <v>0</v>
      </c>
      <c r="BR87" s="123"/>
      <c r="BS87" s="124">
        <f t="shared" ref="BS87" si="4064">BR87*$E87</f>
        <v>0</v>
      </c>
      <c r="BT87" s="123"/>
      <c r="BU87" s="124">
        <f t="shared" ref="BU87" si="4065">BT87*$E87</f>
        <v>0</v>
      </c>
      <c r="BV87" s="123"/>
      <c r="BW87" s="124">
        <f t="shared" ref="BW87" si="4066">BV87*$E87</f>
        <v>0</v>
      </c>
      <c r="BX87" s="123"/>
      <c r="BY87" s="124">
        <f t="shared" ref="BY87" si="4067">BX87*$E87</f>
        <v>0</v>
      </c>
      <c r="BZ87" s="123"/>
      <c r="CA87" s="124">
        <f t="shared" ref="CA87" si="4068">BZ87*$E87</f>
        <v>0</v>
      </c>
      <c r="CB87" s="123"/>
      <c r="CC87" s="124">
        <f t="shared" ref="CC87" si="4069">CB87*$E87</f>
        <v>0</v>
      </c>
      <c r="CD87" s="123"/>
      <c r="CE87" s="124">
        <f t="shared" ref="CE87" si="4070">CD87*$E87</f>
        <v>0</v>
      </c>
      <c r="CF87" s="125">
        <f t="shared" si="3186"/>
        <v>0</v>
      </c>
      <c r="CG87" s="126">
        <f t="shared" ref="CG87" si="4071">CF87*$E87</f>
        <v>0</v>
      </c>
      <c r="CH87" s="123"/>
      <c r="CI87" s="124">
        <f t="shared" ref="CI87" si="4072">CH87*$E87</f>
        <v>0</v>
      </c>
      <c r="CJ87" s="123"/>
      <c r="CK87" s="124">
        <f t="shared" ref="CK87" si="4073">CJ87*$E87</f>
        <v>0</v>
      </c>
      <c r="CL87" s="123"/>
      <c r="CM87" s="124">
        <f t="shared" ref="CM87" si="4074">CL87*$E87</f>
        <v>0</v>
      </c>
      <c r="CN87" s="123"/>
      <c r="CO87" s="124">
        <f t="shared" ref="CO87" si="4075">CN87*$E87</f>
        <v>0</v>
      </c>
      <c r="CP87" s="123"/>
      <c r="CQ87" s="124">
        <f t="shared" ref="CQ87" si="4076">CP87*$E87</f>
        <v>0</v>
      </c>
      <c r="CR87" s="123"/>
      <c r="CS87" s="124">
        <f t="shared" ref="CS87" si="4077">CR87*$E87</f>
        <v>0</v>
      </c>
      <c r="CT87" s="123"/>
      <c r="CU87" s="124">
        <f t="shared" ref="CU87" si="4078">CT87*$E87</f>
        <v>0</v>
      </c>
      <c r="CV87" s="123"/>
      <c r="CW87" s="124">
        <f t="shared" ref="CW87" si="4079">CV87*$E87</f>
        <v>0</v>
      </c>
      <c r="CX87" s="123"/>
      <c r="CY87" s="124">
        <f t="shared" ref="CY87" si="4080">CX87*$E87</f>
        <v>0</v>
      </c>
      <c r="CZ87" s="123"/>
      <c r="DA87" s="124">
        <f t="shared" ref="DA87" si="4081">CZ87*$E87</f>
        <v>0</v>
      </c>
      <c r="DB87" s="123"/>
      <c r="DC87" s="124">
        <f t="shared" si="3198"/>
        <v>0</v>
      </c>
      <c r="DD87" s="123"/>
      <c r="DE87" s="124">
        <f t="shared" si="3198"/>
        <v>0</v>
      </c>
      <c r="DF87" s="27">
        <f t="shared" si="3145"/>
        <v>0</v>
      </c>
      <c r="DG87" s="124">
        <f t="shared" si="3199"/>
        <v>0</v>
      </c>
    </row>
    <row r="88" spans="1:111" ht="18" customHeight="1" x14ac:dyDescent="0.5">
      <c r="A88" s="117">
        <v>71</v>
      </c>
      <c r="B88" s="122" t="s">
        <v>185</v>
      </c>
      <c r="C88" s="122" t="s">
        <v>233</v>
      </c>
      <c r="D88" s="117">
        <f>RANK(DF88,$DF$4:$DF$141)</f>
        <v>21</v>
      </c>
      <c r="E88" s="117">
        <v>1</v>
      </c>
      <c r="F88" s="117" t="s">
        <v>232</v>
      </c>
      <c r="G88" s="117"/>
      <c r="H88" s="123"/>
      <c r="I88" s="124">
        <f t="shared" ref="I88" si="4082">H88*$E88</f>
        <v>0</v>
      </c>
      <c r="J88" s="123"/>
      <c r="K88" s="124">
        <f t="shared" ref="K88" si="4083">J88*$E88</f>
        <v>0</v>
      </c>
      <c r="L88" s="123"/>
      <c r="M88" s="124">
        <f t="shared" ref="M88" si="4084">L88*$E88</f>
        <v>0</v>
      </c>
      <c r="N88" s="123"/>
      <c r="O88" s="124">
        <f t="shared" ref="O88" si="4085">N88*$E88</f>
        <v>0</v>
      </c>
      <c r="P88" s="123"/>
      <c r="Q88" s="124">
        <f t="shared" ref="Q88" si="4086">P88*$E88</f>
        <v>0</v>
      </c>
      <c r="R88" s="123"/>
      <c r="S88" s="124">
        <f t="shared" ref="S88" si="4087">R88*$E88</f>
        <v>0</v>
      </c>
      <c r="T88" s="123"/>
      <c r="U88" s="124">
        <f t="shared" ref="U88" si="4088">T88*$E88</f>
        <v>0</v>
      </c>
      <c r="V88" s="123"/>
      <c r="W88" s="124">
        <f t="shared" ref="W88" si="4089">V88*$E88</f>
        <v>0</v>
      </c>
      <c r="X88" s="123"/>
      <c r="Y88" s="124">
        <f t="shared" ref="Y88" si="4090">X88*$E88</f>
        <v>0</v>
      </c>
      <c r="Z88" s="123"/>
      <c r="AA88" s="124">
        <f t="shared" ref="AA88" si="4091">Z88*$E88</f>
        <v>0</v>
      </c>
      <c r="AB88" s="123"/>
      <c r="AC88" s="124">
        <f t="shared" ref="AC88" si="4092">AB88*$E88</f>
        <v>0</v>
      </c>
      <c r="AD88" s="123"/>
      <c r="AE88" s="124">
        <f t="shared" ref="AE88" si="4093">AD88*$E88</f>
        <v>0</v>
      </c>
      <c r="AF88" s="125">
        <f t="shared" si="3158"/>
        <v>0</v>
      </c>
      <c r="AG88" s="126">
        <f t="shared" ref="AG88" si="4094">AF88*$E88</f>
        <v>0</v>
      </c>
      <c r="AH88" s="11"/>
      <c r="AI88" s="124">
        <f t="shared" ref="AI88" si="4095">AH88*$E88</f>
        <v>0</v>
      </c>
      <c r="AJ88" s="15"/>
      <c r="AK88" s="124">
        <f t="shared" ref="AK88" si="4096">AJ88*$E88</f>
        <v>0</v>
      </c>
      <c r="AL88" s="15"/>
      <c r="AM88" s="124">
        <f t="shared" ref="AM88" si="4097">AL88*$E88</f>
        <v>0</v>
      </c>
      <c r="AN88" s="16"/>
      <c r="AO88" s="124">
        <f t="shared" ref="AO88" si="4098">AN88*$E88</f>
        <v>0</v>
      </c>
      <c r="AP88" s="15"/>
      <c r="AQ88" s="124">
        <f t="shared" ref="AQ88" si="4099">AP88*$E88</f>
        <v>0</v>
      </c>
      <c r="AR88" s="15"/>
      <c r="AS88" s="124">
        <f t="shared" ref="AS88" si="4100">AR88*$E88</f>
        <v>0</v>
      </c>
      <c r="AT88" s="17"/>
      <c r="AU88" s="124">
        <f t="shared" ref="AU88" si="4101">AT88*$E88</f>
        <v>0</v>
      </c>
      <c r="AV88" s="15"/>
      <c r="AW88" s="124">
        <f t="shared" ref="AW88" si="4102">AV88*$E88</f>
        <v>0</v>
      </c>
      <c r="AX88" s="15"/>
      <c r="AY88" s="124">
        <f t="shared" ref="AY88" si="4103">AX88*$E88</f>
        <v>0</v>
      </c>
      <c r="AZ88" s="17"/>
      <c r="BA88" s="124">
        <f t="shared" ref="BA88" si="4104">AZ88*$E88</f>
        <v>0</v>
      </c>
      <c r="BB88" s="33"/>
      <c r="BC88" s="124">
        <f t="shared" ref="BC88" si="4105">BB88*$E88</f>
        <v>0</v>
      </c>
      <c r="BD88" s="33"/>
      <c r="BE88" s="124">
        <f t="shared" ref="BE88" si="4106">BD88*$E88</f>
        <v>0</v>
      </c>
      <c r="BF88" s="125">
        <f t="shared" si="3172"/>
        <v>0</v>
      </c>
      <c r="BG88" s="126">
        <f t="shared" ref="BG88" si="4107">BF88*$E88</f>
        <v>0</v>
      </c>
      <c r="BH88" s="123"/>
      <c r="BI88" s="124">
        <f t="shared" ref="BI88" si="4108">BH88*$E88</f>
        <v>0</v>
      </c>
      <c r="BJ88" s="123"/>
      <c r="BK88" s="124">
        <f t="shared" ref="BK88" si="4109">BJ88*$E88</f>
        <v>0</v>
      </c>
      <c r="BL88" s="123"/>
      <c r="BM88" s="124">
        <f t="shared" ref="BM88" si="4110">BL88*$E88</f>
        <v>0</v>
      </c>
      <c r="BN88" s="123"/>
      <c r="BO88" s="124">
        <f t="shared" ref="BO88" si="4111">BN88*$E88</f>
        <v>0</v>
      </c>
      <c r="BP88" s="123"/>
      <c r="BQ88" s="124">
        <f t="shared" ref="BQ88" si="4112">BP88*$E88</f>
        <v>0</v>
      </c>
      <c r="BR88" s="123"/>
      <c r="BS88" s="124">
        <f t="shared" ref="BS88" si="4113">BR88*$E88</f>
        <v>0</v>
      </c>
      <c r="BT88" s="123"/>
      <c r="BU88" s="124">
        <f t="shared" ref="BU88" si="4114">BT88*$E88</f>
        <v>0</v>
      </c>
      <c r="BV88" s="123"/>
      <c r="BW88" s="124">
        <f t="shared" ref="BW88" si="4115">BV88*$E88</f>
        <v>0</v>
      </c>
      <c r="BX88" s="123"/>
      <c r="BY88" s="124">
        <f t="shared" ref="BY88" si="4116">BX88*$E88</f>
        <v>0</v>
      </c>
      <c r="BZ88" s="123"/>
      <c r="CA88" s="124">
        <f t="shared" ref="CA88" si="4117">BZ88*$E88</f>
        <v>0</v>
      </c>
      <c r="CB88" s="123"/>
      <c r="CC88" s="124">
        <f t="shared" ref="CC88" si="4118">CB88*$E88</f>
        <v>0</v>
      </c>
      <c r="CD88" s="123"/>
      <c r="CE88" s="124">
        <f t="shared" ref="CE88" si="4119">CD88*$E88</f>
        <v>0</v>
      </c>
      <c r="CF88" s="125">
        <f t="shared" si="3186"/>
        <v>0</v>
      </c>
      <c r="CG88" s="126">
        <f t="shared" ref="CG88" si="4120">CF88*$E88</f>
        <v>0</v>
      </c>
      <c r="CH88" s="123"/>
      <c r="CI88" s="124">
        <f t="shared" ref="CI88" si="4121">CH88*$E88</f>
        <v>0</v>
      </c>
      <c r="CJ88" s="123"/>
      <c r="CK88" s="124">
        <f t="shared" ref="CK88" si="4122">CJ88*$E88</f>
        <v>0</v>
      </c>
      <c r="CL88" s="123"/>
      <c r="CM88" s="124">
        <f t="shared" ref="CM88" si="4123">CL88*$E88</f>
        <v>0</v>
      </c>
      <c r="CN88" s="123"/>
      <c r="CO88" s="124">
        <f t="shared" ref="CO88" si="4124">CN88*$E88</f>
        <v>0</v>
      </c>
      <c r="CP88" s="123"/>
      <c r="CQ88" s="124">
        <f t="shared" ref="CQ88" si="4125">CP88*$E88</f>
        <v>0</v>
      </c>
      <c r="CR88" s="123"/>
      <c r="CS88" s="124">
        <f t="shared" ref="CS88" si="4126">CR88*$E88</f>
        <v>0</v>
      </c>
      <c r="CT88" s="123"/>
      <c r="CU88" s="124">
        <f t="shared" ref="CU88" si="4127">CT88*$E88</f>
        <v>0</v>
      </c>
      <c r="CV88" s="123"/>
      <c r="CW88" s="124">
        <f t="shared" ref="CW88" si="4128">CV88*$E88</f>
        <v>0</v>
      </c>
      <c r="CX88" s="123"/>
      <c r="CY88" s="124">
        <f t="shared" ref="CY88" si="4129">CX88*$E88</f>
        <v>0</v>
      </c>
      <c r="CZ88" s="123"/>
      <c r="DA88" s="124">
        <f t="shared" ref="DA88" si="4130">CZ88*$E88</f>
        <v>0</v>
      </c>
      <c r="DB88" s="123"/>
      <c r="DC88" s="124">
        <f t="shared" si="3198"/>
        <v>0</v>
      </c>
      <c r="DD88" s="123"/>
      <c r="DE88" s="124">
        <f t="shared" si="3198"/>
        <v>0</v>
      </c>
      <c r="DF88" s="27">
        <f t="shared" si="3145"/>
        <v>0</v>
      </c>
      <c r="DG88" s="124">
        <f t="shared" si="3199"/>
        <v>0</v>
      </c>
    </row>
    <row r="89" spans="1:111" ht="18" customHeight="1" x14ac:dyDescent="0.5">
      <c r="A89" s="117">
        <v>72</v>
      </c>
      <c r="B89" s="122" t="s">
        <v>186</v>
      </c>
      <c r="C89" s="122" t="s">
        <v>233</v>
      </c>
      <c r="D89" s="117">
        <f>RANK(DF89,$DF$4:$DF$141)</f>
        <v>21</v>
      </c>
      <c r="E89" s="117">
        <v>0.6</v>
      </c>
      <c r="F89" s="117" t="s">
        <v>235</v>
      </c>
      <c r="G89" s="117"/>
      <c r="H89" s="123"/>
      <c r="I89" s="124">
        <f t="shared" ref="I89" si="4131">H89*$E89</f>
        <v>0</v>
      </c>
      <c r="J89" s="123"/>
      <c r="K89" s="124">
        <f t="shared" ref="K89" si="4132">J89*$E89</f>
        <v>0</v>
      </c>
      <c r="L89" s="123"/>
      <c r="M89" s="124">
        <f t="shared" ref="M89" si="4133">L89*$E89</f>
        <v>0</v>
      </c>
      <c r="N89" s="123"/>
      <c r="O89" s="124">
        <f t="shared" ref="O89" si="4134">N89*$E89</f>
        <v>0</v>
      </c>
      <c r="P89" s="123"/>
      <c r="Q89" s="124">
        <f t="shared" ref="Q89" si="4135">P89*$E89</f>
        <v>0</v>
      </c>
      <c r="R89" s="123"/>
      <c r="S89" s="124">
        <f t="shared" ref="S89" si="4136">R89*$E89</f>
        <v>0</v>
      </c>
      <c r="T89" s="123"/>
      <c r="U89" s="124">
        <f t="shared" ref="U89" si="4137">T89*$E89</f>
        <v>0</v>
      </c>
      <c r="V89" s="123"/>
      <c r="W89" s="124">
        <f t="shared" ref="W89" si="4138">V89*$E89</f>
        <v>0</v>
      </c>
      <c r="X89" s="123"/>
      <c r="Y89" s="124">
        <f t="shared" ref="Y89" si="4139">X89*$E89</f>
        <v>0</v>
      </c>
      <c r="Z89" s="123"/>
      <c r="AA89" s="124">
        <f t="shared" ref="AA89" si="4140">Z89*$E89</f>
        <v>0</v>
      </c>
      <c r="AB89" s="123"/>
      <c r="AC89" s="124">
        <f t="shared" ref="AC89" si="4141">AB89*$E89</f>
        <v>0</v>
      </c>
      <c r="AD89" s="123"/>
      <c r="AE89" s="124">
        <f t="shared" ref="AE89" si="4142">AD89*$E89</f>
        <v>0</v>
      </c>
      <c r="AF89" s="125">
        <f t="shared" si="3158"/>
        <v>0</v>
      </c>
      <c r="AG89" s="126">
        <f t="shared" ref="AG89" si="4143">AF89*$E89</f>
        <v>0</v>
      </c>
      <c r="AH89" s="11"/>
      <c r="AI89" s="124">
        <f t="shared" ref="AI89" si="4144">AH89*$E89</f>
        <v>0</v>
      </c>
      <c r="AJ89" s="15"/>
      <c r="AK89" s="124">
        <f t="shared" ref="AK89" si="4145">AJ89*$E89</f>
        <v>0</v>
      </c>
      <c r="AL89" s="15"/>
      <c r="AM89" s="124">
        <f t="shared" ref="AM89" si="4146">AL89*$E89</f>
        <v>0</v>
      </c>
      <c r="AN89" s="16"/>
      <c r="AO89" s="124">
        <f t="shared" ref="AO89" si="4147">AN89*$E89</f>
        <v>0</v>
      </c>
      <c r="AP89" s="15"/>
      <c r="AQ89" s="124">
        <f t="shared" ref="AQ89" si="4148">AP89*$E89</f>
        <v>0</v>
      </c>
      <c r="AR89" s="15"/>
      <c r="AS89" s="124">
        <f t="shared" ref="AS89" si="4149">AR89*$E89</f>
        <v>0</v>
      </c>
      <c r="AT89" s="17"/>
      <c r="AU89" s="124">
        <f t="shared" ref="AU89" si="4150">AT89*$E89</f>
        <v>0</v>
      </c>
      <c r="AV89" s="15"/>
      <c r="AW89" s="124">
        <f t="shared" ref="AW89" si="4151">AV89*$E89</f>
        <v>0</v>
      </c>
      <c r="AX89" s="15"/>
      <c r="AY89" s="124">
        <f t="shared" ref="AY89" si="4152">AX89*$E89</f>
        <v>0</v>
      </c>
      <c r="AZ89" s="17"/>
      <c r="BA89" s="124">
        <f t="shared" ref="BA89" si="4153">AZ89*$E89</f>
        <v>0</v>
      </c>
      <c r="BB89" s="33"/>
      <c r="BC89" s="124">
        <f t="shared" ref="BC89" si="4154">BB89*$E89</f>
        <v>0</v>
      </c>
      <c r="BD89" s="33"/>
      <c r="BE89" s="124">
        <f t="shared" ref="BE89" si="4155">BD89*$E89</f>
        <v>0</v>
      </c>
      <c r="BF89" s="125">
        <f t="shared" si="3172"/>
        <v>0</v>
      </c>
      <c r="BG89" s="126">
        <f t="shared" ref="BG89" si="4156">BF89*$E89</f>
        <v>0</v>
      </c>
      <c r="BH89" s="123"/>
      <c r="BI89" s="124">
        <f t="shared" ref="BI89" si="4157">BH89*$E89</f>
        <v>0</v>
      </c>
      <c r="BJ89" s="123"/>
      <c r="BK89" s="124">
        <f t="shared" ref="BK89" si="4158">BJ89*$E89</f>
        <v>0</v>
      </c>
      <c r="BL89" s="123"/>
      <c r="BM89" s="124">
        <f t="shared" ref="BM89" si="4159">BL89*$E89</f>
        <v>0</v>
      </c>
      <c r="BN89" s="123"/>
      <c r="BO89" s="124">
        <f t="shared" ref="BO89" si="4160">BN89*$E89</f>
        <v>0</v>
      </c>
      <c r="BP89" s="123"/>
      <c r="BQ89" s="124">
        <f t="shared" ref="BQ89" si="4161">BP89*$E89</f>
        <v>0</v>
      </c>
      <c r="BR89" s="123"/>
      <c r="BS89" s="124">
        <f t="shared" ref="BS89" si="4162">BR89*$E89</f>
        <v>0</v>
      </c>
      <c r="BT89" s="123"/>
      <c r="BU89" s="124">
        <f t="shared" ref="BU89" si="4163">BT89*$E89</f>
        <v>0</v>
      </c>
      <c r="BV89" s="123"/>
      <c r="BW89" s="124">
        <f t="shared" ref="BW89" si="4164">BV89*$E89</f>
        <v>0</v>
      </c>
      <c r="BX89" s="123"/>
      <c r="BY89" s="124">
        <f t="shared" ref="BY89" si="4165">BX89*$E89</f>
        <v>0</v>
      </c>
      <c r="BZ89" s="123"/>
      <c r="CA89" s="124">
        <f t="shared" ref="CA89" si="4166">BZ89*$E89</f>
        <v>0</v>
      </c>
      <c r="CB89" s="123"/>
      <c r="CC89" s="124">
        <f t="shared" ref="CC89" si="4167">CB89*$E89</f>
        <v>0</v>
      </c>
      <c r="CD89" s="123"/>
      <c r="CE89" s="124">
        <f t="shared" ref="CE89" si="4168">CD89*$E89</f>
        <v>0</v>
      </c>
      <c r="CF89" s="125">
        <f t="shared" si="3186"/>
        <v>0</v>
      </c>
      <c r="CG89" s="126">
        <f t="shared" ref="CG89" si="4169">CF89*$E89</f>
        <v>0</v>
      </c>
      <c r="CH89" s="123"/>
      <c r="CI89" s="124">
        <f t="shared" ref="CI89" si="4170">CH89*$E89</f>
        <v>0</v>
      </c>
      <c r="CJ89" s="123"/>
      <c r="CK89" s="124">
        <f t="shared" ref="CK89" si="4171">CJ89*$E89</f>
        <v>0</v>
      </c>
      <c r="CL89" s="123"/>
      <c r="CM89" s="124">
        <f t="shared" ref="CM89" si="4172">CL89*$E89</f>
        <v>0</v>
      </c>
      <c r="CN89" s="123"/>
      <c r="CO89" s="124">
        <f t="shared" ref="CO89" si="4173">CN89*$E89</f>
        <v>0</v>
      </c>
      <c r="CP89" s="123"/>
      <c r="CQ89" s="124">
        <f t="shared" ref="CQ89" si="4174">CP89*$E89</f>
        <v>0</v>
      </c>
      <c r="CR89" s="123"/>
      <c r="CS89" s="124">
        <f t="shared" ref="CS89" si="4175">CR89*$E89</f>
        <v>0</v>
      </c>
      <c r="CT89" s="123"/>
      <c r="CU89" s="124">
        <f t="shared" ref="CU89" si="4176">CT89*$E89</f>
        <v>0</v>
      </c>
      <c r="CV89" s="123"/>
      <c r="CW89" s="124">
        <f t="shared" ref="CW89" si="4177">CV89*$E89</f>
        <v>0</v>
      </c>
      <c r="CX89" s="123"/>
      <c r="CY89" s="124">
        <f t="shared" ref="CY89" si="4178">CX89*$E89</f>
        <v>0</v>
      </c>
      <c r="CZ89" s="123"/>
      <c r="DA89" s="124">
        <f t="shared" ref="DA89" si="4179">CZ89*$E89</f>
        <v>0</v>
      </c>
      <c r="DB89" s="123"/>
      <c r="DC89" s="124">
        <f t="shared" si="3198"/>
        <v>0</v>
      </c>
      <c r="DD89" s="123"/>
      <c r="DE89" s="124">
        <f t="shared" si="3198"/>
        <v>0</v>
      </c>
      <c r="DF89" s="27">
        <f t="shared" si="3145"/>
        <v>0</v>
      </c>
      <c r="DG89" s="124">
        <f t="shared" si="3199"/>
        <v>0</v>
      </c>
    </row>
    <row r="90" spans="1:111" ht="18" customHeight="1" x14ac:dyDescent="0.5">
      <c r="A90" s="117">
        <v>73</v>
      </c>
      <c r="B90" s="122" t="s">
        <v>187</v>
      </c>
      <c r="C90" s="122" t="s">
        <v>231</v>
      </c>
      <c r="D90" s="117">
        <f>RANK(DF90,$DF$4:$DF$141)</f>
        <v>21</v>
      </c>
      <c r="E90" s="117">
        <v>0.64</v>
      </c>
      <c r="F90" s="117" t="s">
        <v>236</v>
      </c>
      <c r="G90" s="117"/>
      <c r="H90" s="123"/>
      <c r="I90" s="124">
        <f t="shared" ref="I90" si="4180">H90*$E90</f>
        <v>0</v>
      </c>
      <c r="J90" s="123"/>
      <c r="K90" s="124">
        <f t="shared" ref="K90" si="4181">J90*$E90</f>
        <v>0</v>
      </c>
      <c r="L90" s="123"/>
      <c r="M90" s="124">
        <f t="shared" ref="M90" si="4182">L90*$E90</f>
        <v>0</v>
      </c>
      <c r="N90" s="123"/>
      <c r="O90" s="124">
        <f t="shared" ref="O90" si="4183">N90*$E90</f>
        <v>0</v>
      </c>
      <c r="P90" s="123"/>
      <c r="Q90" s="124">
        <f t="shared" ref="Q90" si="4184">P90*$E90</f>
        <v>0</v>
      </c>
      <c r="R90" s="123"/>
      <c r="S90" s="124">
        <f t="shared" ref="S90" si="4185">R90*$E90</f>
        <v>0</v>
      </c>
      <c r="T90" s="123"/>
      <c r="U90" s="124">
        <f t="shared" ref="U90" si="4186">T90*$E90</f>
        <v>0</v>
      </c>
      <c r="V90" s="123"/>
      <c r="W90" s="124">
        <f t="shared" ref="W90" si="4187">V90*$E90</f>
        <v>0</v>
      </c>
      <c r="X90" s="123"/>
      <c r="Y90" s="124">
        <f t="shared" ref="Y90" si="4188">X90*$E90</f>
        <v>0</v>
      </c>
      <c r="Z90" s="123"/>
      <c r="AA90" s="124">
        <f t="shared" ref="AA90" si="4189">Z90*$E90</f>
        <v>0</v>
      </c>
      <c r="AB90" s="123"/>
      <c r="AC90" s="124">
        <f t="shared" ref="AC90" si="4190">AB90*$E90</f>
        <v>0</v>
      </c>
      <c r="AD90" s="123"/>
      <c r="AE90" s="124">
        <f t="shared" ref="AE90" si="4191">AD90*$E90</f>
        <v>0</v>
      </c>
      <c r="AF90" s="125">
        <f t="shared" si="3158"/>
        <v>0</v>
      </c>
      <c r="AG90" s="126">
        <f t="shared" ref="AG90" si="4192">AF90*$E90</f>
        <v>0</v>
      </c>
      <c r="AH90" s="11"/>
      <c r="AI90" s="124">
        <f t="shared" ref="AI90" si="4193">AH90*$E90</f>
        <v>0</v>
      </c>
      <c r="AJ90" s="15"/>
      <c r="AK90" s="124">
        <f t="shared" ref="AK90" si="4194">AJ90*$E90</f>
        <v>0</v>
      </c>
      <c r="AL90" s="15"/>
      <c r="AM90" s="124">
        <f t="shared" ref="AM90" si="4195">AL90*$E90</f>
        <v>0</v>
      </c>
      <c r="AN90" s="16"/>
      <c r="AO90" s="124">
        <f t="shared" ref="AO90" si="4196">AN90*$E90</f>
        <v>0</v>
      </c>
      <c r="AP90" s="15"/>
      <c r="AQ90" s="124">
        <f t="shared" ref="AQ90" si="4197">AP90*$E90</f>
        <v>0</v>
      </c>
      <c r="AR90" s="15"/>
      <c r="AS90" s="124">
        <f t="shared" ref="AS90" si="4198">AR90*$E90</f>
        <v>0</v>
      </c>
      <c r="AT90" s="17"/>
      <c r="AU90" s="124">
        <f t="shared" ref="AU90" si="4199">AT90*$E90</f>
        <v>0</v>
      </c>
      <c r="AV90" s="15"/>
      <c r="AW90" s="124">
        <f t="shared" ref="AW90" si="4200">AV90*$E90</f>
        <v>0</v>
      </c>
      <c r="AX90" s="15"/>
      <c r="AY90" s="124">
        <f t="shared" ref="AY90" si="4201">AX90*$E90</f>
        <v>0</v>
      </c>
      <c r="AZ90" s="17"/>
      <c r="BA90" s="124">
        <f t="shared" ref="BA90" si="4202">AZ90*$E90</f>
        <v>0</v>
      </c>
      <c r="BB90" s="33"/>
      <c r="BC90" s="124">
        <f t="shared" ref="BC90" si="4203">BB90*$E90</f>
        <v>0</v>
      </c>
      <c r="BD90" s="33"/>
      <c r="BE90" s="124">
        <f t="shared" ref="BE90" si="4204">BD90*$E90</f>
        <v>0</v>
      </c>
      <c r="BF90" s="125">
        <f t="shared" si="3172"/>
        <v>0</v>
      </c>
      <c r="BG90" s="126">
        <f t="shared" ref="BG90" si="4205">BF90*$E90</f>
        <v>0</v>
      </c>
      <c r="BH90" s="123"/>
      <c r="BI90" s="124">
        <f t="shared" ref="BI90" si="4206">BH90*$E90</f>
        <v>0</v>
      </c>
      <c r="BJ90" s="123"/>
      <c r="BK90" s="124">
        <f t="shared" ref="BK90" si="4207">BJ90*$E90</f>
        <v>0</v>
      </c>
      <c r="BL90" s="123"/>
      <c r="BM90" s="124">
        <f t="shared" ref="BM90" si="4208">BL90*$E90</f>
        <v>0</v>
      </c>
      <c r="BN90" s="123"/>
      <c r="BO90" s="124">
        <f t="shared" ref="BO90" si="4209">BN90*$E90</f>
        <v>0</v>
      </c>
      <c r="BP90" s="123"/>
      <c r="BQ90" s="124">
        <f t="shared" ref="BQ90" si="4210">BP90*$E90</f>
        <v>0</v>
      </c>
      <c r="BR90" s="123"/>
      <c r="BS90" s="124">
        <f t="shared" ref="BS90" si="4211">BR90*$E90</f>
        <v>0</v>
      </c>
      <c r="BT90" s="123"/>
      <c r="BU90" s="124">
        <f t="shared" ref="BU90" si="4212">BT90*$E90</f>
        <v>0</v>
      </c>
      <c r="BV90" s="123"/>
      <c r="BW90" s="124">
        <f t="shared" ref="BW90" si="4213">BV90*$E90</f>
        <v>0</v>
      </c>
      <c r="BX90" s="123"/>
      <c r="BY90" s="124">
        <f t="shared" ref="BY90" si="4214">BX90*$E90</f>
        <v>0</v>
      </c>
      <c r="BZ90" s="123"/>
      <c r="CA90" s="124">
        <f t="shared" ref="CA90" si="4215">BZ90*$E90</f>
        <v>0</v>
      </c>
      <c r="CB90" s="123"/>
      <c r="CC90" s="124">
        <f t="shared" ref="CC90" si="4216">CB90*$E90</f>
        <v>0</v>
      </c>
      <c r="CD90" s="123"/>
      <c r="CE90" s="124">
        <f t="shared" ref="CE90" si="4217">CD90*$E90</f>
        <v>0</v>
      </c>
      <c r="CF90" s="125">
        <f t="shared" si="3186"/>
        <v>0</v>
      </c>
      <c r="CG90" s="126">
        <f t="shared" ref="CG90" si="4218">CF90*$E90</f>
        <v>0</v>
      </c>
      <c r="CH90" s="123"/>
      <c r="CI90" s="124">
        <f t="shared" ref="CI90" si="4219">CH90*$E90</f>
        <v>0</v>
      </c>
      <c r="CJ90" s="123"/>
      <c r="CK90" s="124">
        <f t="shared" ref="CK90" si="4220">CJ90*$E90</f>
        <v>0</v>
      </c>
      <c r="CL90" s="123"/>
      <c r="CM90" s="124">
        <f t="shared" ref="CM90" si="4221">CL90*$E90</f>
        <v>0</v>
      </c>
      <c r="CN90" s="123"/>
      <c r="CO90" s="124">
        <f t="shared" ref="CO90" si="4222">CN90*$E90</f>
        <v>0</v>
      </c>
      <c r="CP90" s="123"/>
      <c r="CQ90" s="124">
        <f t="shared" ref="CQ90" si="4223">CP90*$E90</f>
        <v>0</v>
      </c>
      <c r="CR90" s="123"/>
      <c r="CS90" s="124">
        <f t="shared" ref="CS90" si="4224">CR90*$E90</f>
        <v>0</v>
      </c>
      <c r="CT90" s="123"/>
      <c r="CU90" s="124">
        <f t="shared" ref="CU90" si="4225">CT90*$E90</f>
        <v>0</v>
      </c>
      <c r="CV90" s="123"/>
      <c r="CW90" s="124">
        <f t="shared" ref="CW90" si="4226">CV90*$E90</f>
        <v>0</v>
      </c>
      <c r="CX90" s="123"/>
      <c r="CY90" s="124">
        <f t="shared" ref="CY90" si="4227">CX90*$E90</f>
        <v>0</v>
      </c>
      <c r="CZ90" s="123"/>
      <c r="DA90" s="124">
        <f t="shared" ref="DA90" si="4228">CZ90*$E90</f>
        <v>0</v>
      </c>
      <c r="DB90" s="123"/>
      <c r="DC90" s="124">
        <f t="shared" si="3198"/>
        <v>0</v>
      </c>
      <c r="DD90" s="123"/>
      <c r="DE90" s="124">
        <f t="shared" si="3198"/>
        <v>0</v>
      </c>
      <c r="DF90" s="27">
        <f t="shared" si="3145"/>
        <v>0</v>
      </c>
      <c r="DG90" s="124">
        <f t="shared" si="3199"/>
        <v>0</v>
      </c>
    </row>
    <row r="91" spans="1:111" ht="18" customHeight="1" x14ac:dyDescent="0.5">
      <c r="A91" s="117"/>
      <c r="B91" s="122"/>
      <c r="C91" s="122"/>
      <c r="D91" s="117"/>
      <c r="E91" s="117"/>
      <c r="F91" s="117"/>
      <c r="G91" s="117"/>
      <c r="H91" s="123"/>
      <c r="I91" s="124">
        <f t="shared" ref="I91" si="4229">H91*$E91</f>
        <v>0</v>
      </c>
      <c r="J91" s="123"/>
      <c r="K91" s="124">
        <f t="shared" ref="K91" si="4230">J91*$E91</f>
        <v>0</v>
      </c>
      <c r="L91" s="123"/>
      <c r="M91" s="124">
        <f t="shared" ref="M91" si="4231">L91*$E91</f>
        <v>0</v>
      </c>
      <c r="N91" s="123"/>
      <c r="O91" s="124">
        <f t="shared" ref="O91" si="4232">N91*$E91</f>
        <v>0</v>
      </c>
      <c r="P91" s="123"/>
      <c r="Q91" s="124">
        <f t="shared" ref="Q91" si="4233">P91*$E91</f>
        <v>0</v>
      </c>
      <c r="R91" s="123"/>
      <c r="S91" s="124">
        <f t="shared" ref="S91" si="4234">R91*$E91</f>
        <v>0</v>
      </c>
      <c r="T91" s="123"/>
      <c r="U91" s="124">
        <f t="shared" ref="U91" si="4235">T91*$E91</f>
        <v>0</v>
      </c>
      <c r="V91" s="123"/>
      <c r="W91" s="124">
        <f t="shared" ref="W91" si="4236">V91*$E91</f>
        <v>0</v>
      </c>
      <c r="X91" s="123"/>
      <c r="Y91" s="124">
        <f t="shared" ref="Y91" si="4237">X91*$E91</f>
        <v>0</v>
      </c>
      <c r="Z91" s="123"/>
      <c r="AA91" s="124">
        <f t="shared" ref="AA91" si="4238">Z91*$E91</f>
        <v>0</v>
      </c>
      <c r="AB91" s="123"/>
      <c r="AC91" s="124">
        <f t="shared" ref="AC91" si="4239">AB91*$E91</f>
        <v>0</v>
      </c>
      <c r="AD91" s="123"/>
      <c r="AE91" s="124">
        <f t="shared" ref="AE91" si="4240">AD91*$E91</f>
        <v>0</v>
      </c>
      <c r="AF91" s="125">
        <f t="shared" si="3158"/>
        <v>0</v>
      </c>
      <c r="AG91" s="126">
        <f t="shared" ref="AG91" si="4241">AF91*$E91</f>
        <v>0</v>
      </c>
      <c r="AH91" s="11"/>
      <c r="AI91" s="124">
        <f t="shared" ref="AI91" si="4242">AH91*$E91</f>
        <v>0</v>
      </c>
      <c r="AJ91" s="15"/>
      <c r="AK91" s="124">
        <f t="shared" ref="AK91" si="4243">AJ91*$E91</f>
        <v>0</v>
      </c>
      <c r="AL91" s="15"/>
      <c r="AM91" s="124">
        <f t="shared" ref="AM91" si="4244">AL91*$E91</f>
        <v>0</v>
      </c>
      <c r="AN91" s="16"/>
      <c r="AO91" s="124">
        <f t="shared" ref="AO91" si="4245">AN91*$E91</f>
        <v>0</v>
      </c>
      <c r="AP91" s="15"/>
      <c r="AQ91" s="124">
        <f t="shared" ref="AQ91" si="4246">AP91*$E91</f>
        <v>0</v>
      </c>
      <c r="AR91" s="15"/>
      <c r="AS91" s="124">
        <f t="shared" ref="AS91" si="4247">AR91*$E91</f>
        <v>0</v>
      </c>
      <c r="AT91" s="17"/>
      <c r="AU91" s="124">
        <f t="shared" ref="AU91" si="4248">AT91*$E91</f>
        <v>0</v>
      </c>
      <c r="AV91" s="15"/>
      <c r="AW91" s="124">
        <f t="shared" ref="AW91" si="4249">AV91*$E91</f>
        <v>0</v>
      </c>
      <c r="AX91" s="15"/>
      <c r="AY91" s="124">
        <f t="shared" ref="AY91" si="4250">AX91*$E91</f>
        <v>0</v>
      </c>
      <c r="AZ91" s="17"/>
      <c r="BA91" s="124">
        <f t="shared" ref="BA91" si="4251">AZ91*$E91</f>
        <v>0</v>
      </c>
      <c r="BB91" s="33"/>
      <c r="BC91" s="124">
        <f t="shared" ref="BC91" si="4252">BB91*$E91</f>
        <v>0</v>
      </c>
      <c r="BD91" s="33"/>
      <c r="BE91" s="124">
        <f t="shared" ref="BE91" si="4253">BD91*$E91</f>
        <v>0</v>
      </c>
      <c r="BF91" s="125">
        <f t="shared" si="3172"/>
        <v>0</v>
      </c>
      <c r="BG91" s="126">
        <f t="shared" ref="BG91" si="4254">BF91*$E91</f>
        <v>0</v>
      </c>
      <c r="BH91" s="123"/>
      <c r="BI91" s="124">
        <f t="shared" ref="BI91" si="4255">BH91*$E91</f>
        <v>0</v>
      </c>
      <c r="BJ91" s="123"/>
      <c r="BK91" s="124">
        <f t="shared" ref="BK91" si="4256">BJ91*$E91</f>
        <v>0</v>
      </c>
      <c r="BL91" s="123"/>
      <c r="BM91" s="124">
        <f t="shared" ref="BM91" si="4257">BL91*$E91</f>
        <v>0</v>
      </c>
      <c r="BN91" s="123"/>
      <c r="BO91" s="124">
        <f t="shared" ref="BO91" si="4258">BN91*$E91</f>
        <v>0</v>
      </c>
      <c r="BP91" s="123"/>
      <c r="BQ91" s="124">
        <f t="shared" ref="BQ91" si="4259">BP91*$E91</f>
        <v>0</v>
      </c>
      <c r="BR91" s="123"/>
      <c r="BS91" s="124">
        <f t="shared" ref="BS91" si="4260">BR91*$E91</f>
        <v>0</v>
      </c>
      <c r="BT91" s="123"/>
      <c r="BU91" s="124">
        <f t="shared" ref="BU91" si="4261">BT91*$E91</f>
        <v>0</v>
      </c>
      <c r="BV91" s="123"/>
      <c r="BW91" s="124">
        <f t="shared" ref="BW91" si="4262">BV91*$E91</f>
        <v>0</v>
      </c>
      <c r="BX91" s="123"/>
      <c r="BY91" s="124">
        <f t="shared" ref="BY91" si="4263">BX91*$E91</f>
        <v>0</v>
      </c>
      <c r="BZ91" s="123"/>
      <c r="CA91" s="124">
        <f t="shared" ref="CA91" si="4264">BZ91*$E91</f>
        <v>0</v>
      </c>
      <c r="CB91" s="123"/>
      <c r="CC91" s="124">
        <f t="shared" ref="CC91" si="4265">CB91*$E91</f>
        <v>0</v>
      </c>
      <c r="CD91" s="123"/>
      <c r="CE91" s="124">
        <f t="shared" ref="CE91" si="4266">CD91*$E91</f>
        <v>0</v>
      </c>
      <c r="CF91" s="125">
        <f t="shared" si="3186"/>
        <v>0</v>
      </c>
      <c r="CG91" s="126">
        <f t="shared" ref="CG91" si="4267">CF91*$E91</f>
        <v>0</v>
      </c>
      <c r="CH91" s="123"/>
      <c r="CI91" s="124">
        <f t="shared" ref="CI91" si="4268">CH91*$E91</f>
        <v>0</v>
      </c>
      <c r="CJ91" s="123"/>
      <c r="CK91" s="124">
        <f t="shared" ref="CK91" si="4269">CJ91*$E91</f>
        <v>0</v>
      </c>
      <c r="CL91" s="123"/>
      <c r="CM91" s="124">
        <f t="shared" ref="CM91" si="4270">CL91*$E91</f>
        <v>0</v>
      </c>
      <c r="CN91" s="123"/>
      <c r="CO91" s="124">
        <f t="shared" ref="CO91" si="4271">CN91*$E91</f>
        <v>0</v>
      </c>
      <c r="CP91" s="123"/>
      <c r="CQ91" s="124">
        <f t="shared" ref="CQ91" si="4272">CP91*$E91</f>
        <v>0</v>
      </c>
      <c r="CR91" s="123"/>
      <c r="CS91" s="124">
        <f t="shared" ref="CS91" si="4273">CR91*$E91</f>
        <v>0</v>
      </c>
      <c r="CT91" s="123"/>
      <c r="CU91" s="124">
        <f t="shared" ref="CU91" si="4274">CT91*$E91</f>
        <v>0</v>
      </c>
      <c r="CV91" s="123"/>
      <c r="CW91" s="124">
        <f t="shared" ref="CW91" si="4275">CV91*$E91</f>
        <v>0</v>
      </c>
      <c r="CX91" s="123"/>
      <c r="CY91" s="124">
        <f t="shared" ref="CY91" si="4276">CX91*$E91</f>
        <v>0</v>
      </c>
      <c r="CZ91" s="123"/>
      <c r="DA91" s="124">
        <f t="shared" ref="DA91" si="4277">CZ91*$E91</f>
        <v>0</v>
      </c>
      <c r="DB91" s="123"/>
      <c r="DC91" s="124">
        <f t="shared" si="3198"/>
        <v>0</v>
      </c>
      <c r="DD91" s="123"/>
      <c r="DE91" s="124">
        <f t="shared" si="3198"/>
        <v>0</v>
      </c>
      <c r="DF91" s="27">
        <f t="shared" si="3145"/>
        <v>0</v>
      </c>
      <c r="DG91" s="124">
        <f t="shared" si="3199"/>
        <v>0</v>
      </c>
    </row>
    <row r="92" spans="1:111" ht="18" customHeight="1" x14ac:dyDescent="0.5">
      <c r="A92" s="117">
        <v>74</v>
      </c>
      <c r="B92" s="122" t="s">
        <v>188</v>
      </c>
      <c r="C92" s="122" t="s">
        <v>233</v>
      </c>
      <c r="D92" s="117">
        <f>RANK(DF92,$DF$4:$DF$141)</f>
        <v>21</v>
      </c>
      <c r="E92" s="117">
        <v>1</v>
      </c>
      <c r="F92" s="117" t="s">
        <v>235</v>
      </c>
      <c r="G92" s="117"/>
      <c r="H92" s="123"/>
      <c r="I92" s="124">
        <f t="shared" ref="I92" si="4278">H92*$E92</f>
        <v>0</v>
      </c>
      <c r="J92" s="123"/>
      <c r="K92" s="124">
        <f t="shared" ref="K92" si="4279">J92*$E92</f>
        <v>0</v>
      </c>
      <c r="L92" s="123"/>
      <c r="M92" s="124">
        <f t="shared" ref="M92" si="4280">L92*$E92</f>
        <v>0</v>
      </c>
      <c r="N92" s="123"/>
      <c r="O92" s="124">
        <f t="shared" ref="O92" si="4281">N92*$E92</f>
        <v>0</v>
      </c>
      <c r="P92" s="123"/>
      <c r="Q92" s="124">
        <f t="shared" ref="Q92" si="4282">P92*$E92</f>
        <v>0</v>
      </c>
      <c r="R92" s="123"/>
      <c r="S92" s="124">
        <f t="shared" ref="S92" si="4283">R92*$E92</f>
        <v>0</v>
      </c>
      <c r="T92" s="123"/>
      <c r="U92" s="124">
        <f t="shared" ref="U92" si="4284">T92*$E92</f>
        <v>0</v>
      </c>
      <c r="V92" s="123"/>
      <c r="W92" s="124">
        <f t="shared" ref="W92" si="4285">V92*$E92</f>
        <v>0</v>
      </c>
      <c r="X92" s="123"/>
      <c r="Y92" s="124">
        <f t="shared" ref="Y92" si="4286">X92*$E92</f>
        <v>0</v>
      </c>
      <c r="Z92" s="123"/>
      <c r="AA92" s="124">
        <f t="shared" ref="AA92" si="4287">Z92*$E92</f>
        <v>0</v>
      </c>
      <c r="AB92" s="123"/>
      <c r="AC92" s="124">
        <f t="shared" ref="AC92" si="4288">AB92*$E92</f>
        <v>0</v>
      </c>
      <c r="AD92" s="123"/>
      <c r="AE92" s="124">
        <f t="shared" ref="AE92" si="4289">AD92*$E92</f>
        <v>0</v>
      </c>
      <c r="AF92" s="125">
        <f t="shared" si="3158"/>
        <v>0</v>
      </c>
      <c r="AG92" s="126">
        <f t="shared" ref="AG92" si="4290">AF92*$E92</f>
        <v>0</v>
      </c>
      <c r="AH92" s="11"/>
      <c r="AI92" s="124">
        <f t="shared" ref="AI92" si="4291">AH92*$E92</f>
        <v>0</v>
      </c>
      <c r="AJ92" s="15"/>
      <c r="AK92" s="124">
        <f t="shared" ref="AK92" si="4292">AJ92*$E92</f>
        <v>0</v>
      </c>
      <c r="AL92" s="15"/>
      <c r="AM92" s="124">
        <f t="shared" ref="AM92" si="4293">AL92*$E92</f>
        <v>0</v>
      </c>
      <c r="AN92" s="16"/>
      <c r="AO92" s="124">
        <f t="shared" ref="AO92" si="4294">AN92*$E92</f>
        <v>0</v>
      </c>
      <c r="AP92" s="15"/>
      <c r="AQ92" s="124">
        <f t="shared" ref="AQ92" si="4295">AP92*$E92</f>
        <v>0</v>
      </c>
      <c r="AR92" s="15"/>
      <c r="AS92" s="124">
        <f t="shared" ref="AS92" si="4296">AR92*$E92</f>
        <v>0</v>
      </c>
      <c r="AT92" s="17"/>
      <c r="AU92" s="124">
        <f t="shared" ref="AU92" si="4297">AT92*$E92</f>
        <v>0</v>
      </c>
      <c r="AV92" s="15"/>
      <c r="AW92" s="124">
        <f t="shared" ref="AW92" si="4298">AV92*$E92</f>
        <v>0</v>
      </c>
      <c r="AX92" s="15"/>
      <c r="AY92" s="124">
        <f t="shared" ref="AY92" si="4299">AX92*$E92</f>
        <v>0</v>
      </c>
      <c r="AZ92" s="17"/>
      <c r="BA92" s="124">
        <f t="shared" ref="BA92" si="4300">AZ92*$E92</f>
        <v>0</v>
      </c>
      <c r="BB92" s="33"/>
      <c r="BC92" s="124">
        <f t="shared" ref="BC92" si="4301">BB92*$E92</f>
        <v>0</v>
      </c>
      <c r="BD92" s="33"/>
      <c r="BE92" s="124">
        <f t="shared" ref="BE92" si="4302">BD92*$E92</f>
        <v>0</v>
      </c>
      <c r="BF92" s="125">
        <f t="shared" si="3172"/>
        <v>0</v>
      </c>
      <c r="BG92" s="126">
        <f t="shared" ref="BG92" si="4303">BF92*$E92</f>
        <v>0</v>
      </c>
      <c r="BH92" s="123"/>
      <c r="BI92" s="124">
        <f t="shared" ref="BI92" si="4304">BH92*$E92</f>
        <v>0</v>
      </c>
      <c r="BJ92" s="123"/>
      <c r="BK92" s="124">
        <f t="shared" ref="BK92" si="4305">BJ92*$E92</f>
        <v>0</v>
      </c>
      <c r="BL92" s="123"/>
      <c r="BM92" s="124">
        <f t="shared" ref="BM92" si="4306">BL92*$E92</f>
        <v>0</v>
      </c>
      <c r="BN92" s="123"/>
      <c r="BO92" s="124">
        <f t="shared" ref="BO92" si="4307">BN92*$E92</f>
        <v>0</v>
      </c>
      <c r="BP92" s="123"/>
      <c r="BQ92" s="124">
        <f t="shared" ref="BQ92" si="4308">BP92*$E92</f>
        <v>0</v>
      </c>
      <c r="BR92" s="123"/>
      <c r="BS92" s="124">
        <f t="shared" ref="BS92" si="4309">BR92*$E92</f>
        <v>0</v>
      </c>
      <c r="BT92" s="123"/>
      <c r="BU92" s="124">
        <f t="shared" ref="BU92" si="4310">BT92*$E92</f>
        <v>0</v>
      </c>
      <c r="BV92" s="123"/>
      <c r="BW92" s="124">
        <f t="shared" ref="BW92" si="4311">BV92*$E92</f>
        <v>0</v>
      </c>
      <c r="BX92" s="123"/>
      <c r="BY92" s="124">
        <f t="shared" ref="BY92" si="4312">BX92*$E92</f>
        <v>0</v>
      </c>
      <c r="BZ92" s="123"/>
      <c r="CA92" s="124">
        <f t="shared" ref="CA92" si="4313">BZ92*$E92</f>
        <v>0</v>
      </c>
      <c r="CB92" s="123"/>
      <c r="CC92" s="124">
        <f t="shared" ref="CC92" si="4314">CB92*$E92</f>
        <v>0</v>
      </c>
      <c r="CD92" s="123"/>
      <c r="CE92" s="124">
        <f t="shared" ref="CE92" si="4315">CD92*$E92</f>
        <v>0</v>
      </c>
      <c r="CF92" s="125">
        <f t="shared" si="3186"/>
        <v>0</v>
      </c>
      <c r="CG92" s="126">
        <f t="shared" ref="CG92" si="4316">CF92*$E92</f>
        <v>0</v>
      </c>
      <c r="CH92" s="123"/>
      <c r="CI92" s="124">
        <f t="shared" ref="CI92" si="4317">CH92*$E92</f>
        <v>0</v>
      </c>
      <c r="CJ92" s="123"/>
      <c r="CK92" s="124">
        <f t="shared" ref="CK92" si="4318">CJ92*$E92</f>
        <v>0</v>
      </c>
      <c r="CL92" s="123"/>
      <c r="CM92" s="124">
        <f t="shared" ref="CM92" si="4319">CL92*$E92</f>
        <v>0</v>
      </c>
      <c r="CN92" s="123"/>
      <c r="CO92" s="124">
        <f t="shared" ref="CO92" si="4320">CN92*$E92</f>
        <v>0</v>
      </c>
      <c r="CP92" s="123"/>
      <c r="CQ92" s="124">
        <f t="shared" ref="CQ92" si="4321">CP92*$E92</f>
        <v>0</v>
      </c>
      <c r="CR92" s="123"/>
      <c r="CS92" s="124">
        <f t="shared" ref="CS92" si="4322">CR92*$E92</f>
        <v>0</v>
      </c>
      <c r="CT92" s="123"/>
      <c r="CU92" s="124">
        <f t="shared" ref="CU92" si="4323">CT92*$E92</f>
        <v>0</v>
      </c>
      <c r="CV92" s="123"/>
      <c r="CW92" s="124">
        <f t="shared" ref="CW92" si="4324">CV92*$E92</f>
        <v>0</v>
      </c>
      <c r="CX92" s="123"/>
      <c r="CY92" s="124">
        <f t="shared" ref="CY92" si="4325">CX92*$E92</f>
        <v>0</v>
      </c>
      <c r="CZ92" s="123"/>
      <c r="DA92" s="124">
        <f t="shared" ref="DA92" si="4326">CZ92*$E92</f>
        <v>0</v>
      </c>
      <c r="DB92" s="123"/>
      <c r="DC92" s="124">
        <f t="shared" si="3198"/>
        <v>0</v>
      </c>
      <c r="DD92" s="123"/>
      <c r="DE92" s="124">
        <f t="shared" si="3198"/>
        <v>0</v>
      </c>
      <c r="DF92" s="27">
        <f t="shared" si="3145"/>
        <v>0</v>
      </c>
      <c r="DG92" s="124">
        <f t="shared" si="3199"/>
        <v>0</v>
      </c>
    </row>
    <row r="93" spans="1:111" ht="18" customHeight="1" x14ac:dyDescent="0.5">
      <c r="A93" s="117">
        <v>75</v>
      </c>
      <c r="B93" s="122" t="s">
        <v>188</v>
      </c>
      <c r="C93" s="122" t="s">
        <v>233</v>
      </c>
      <c r="D93" s="117">
        <f>RANK(DF93,$DF$4:$DF$141)</f>
        <v>21</v>
      </c>
      <c r="E93" s="117">
        <v>1</v>
      </c>
      <c r="F93" s="117" t="s">
        <v>232</v>
      </c>
      <c r="G93" s="117"/>
      <c r="H93" s="123"/>
      <c r="I93" s="124">
        <f t="shared" ref="I93" si="4327">H93*$E93</f>
        <v>0</v>
      </c>
      <c r="J93" s="123"/>
      <c r="K93" s="124">
        <f t="shared" ref="K93" si="4328">J93*$E93</f>
        <v>0</v>
      </c>
      <c r="L93" s="123"/>
      <c r="M93" s="124">
        <f t="shared" ref="M93" si="4329">L93*$E93</f>
        <v>0</v>
      </c>
      <c r="N93" s="123"/>
      <c r="O93" s="124">
        <f t="shared" ref="O93" si="4330">N93*$E93</f>
        <v>0</v>
      </c>
      <c r="P93" s="123"/>
      <c r="Q93" s="124">
        <f t="shared" ref="Q93" si="4331">P93*$E93</f>
        <v>0</v>
      </c>
      <c r="R93" s="123"/>
      <c r="S93" s="124">
        <f t="shared" ref="S93" si="4332">R93*$E93</f>
        <v>0</v>
      </c>
      <c r="T93" s="123"/>
      <c r="U93" s="124">
        <f t="shared" ref="U93" si="4333">T93*$E93</f>
        <v>0</v>
      </c>
      <c r="V93" s="123"/>
      <c r="W93" s="124">
        <f t="shared" ref="W93" si="4334">V93*$E93</f>
        <v>0</v>
      </c>
      <c r="X93" s="123"/>
      <c r="Y93" s="124">
        <f t="shared" ref="Y93" si="4335">X93*$E93</f>
        <v>0</v>
      </c>
      <c r="Z93" s="123"/>
      <c r="AA93" s="124">
        <f t="shared" ref="AA93" si="4336">Z93*$E93</f>
        <v>0</v>
      </c>
      <c r="AB93" s="123"/>
      <c r="AC93" s="124">
        <f t="shared" ref="AC93" si="4337">AB93*$E93</f>
        <v>0</v>
      </c>
      <c r="AD93" s="123"/>
      <c r="AE93" s="124">
        <f t="shared" ref="AE93" si="4338">AD93*$E93</f>
        <v>0</v>
      </c>
      <c r="AF93" s="125">
        <f t="shared" si="3158"/>
        <v>0</v>
      </c>
      <c r="AG93" s="126">
        <f t="shared" ref="AG93" si="4339">AF93*$E93</f>
        <v>0</v>
      </c>
      <c r="AH93" s="11"/>
      <c r="AI93" s="124">
        <f t="shared" ref="AI93" si="4340">AH93*$E93</f>
        <v>0</v>
      </c>
      <c r="AJ93" s="15"/>
      <c r="AK93" s="124">
        <f t="shared" ref="AK93" si="4341">AJ93*$E93</f>
        <v>0</v>
      </c>
      <c r="AL93" s="15"/>
      <c r="AM93" s="124">
        <f t="shared" ref="AM93" si="4342">AL93*$E93</f>
        <v>0</v>
      </c>
      <c r="AN93" s="16"/>
      <c r="AO93" s="124">
        <f t="shared" ref="AO93" si="4343">AN93*$E93</f>
        <v>0</v>
      </c>
      <c r="AP93" s="15"/>
      <c r="AQ93" s="124">
        <f t="shared" ref="AQ93" si="4344">AP93*$E93</f>
        <v>0</v>
      </c>
      <c r="AR93" s="15"/>
      <c r="AS93" s="124">
        <f t="shared" ref="AS93" si="4345">AR93*$E93</f>
        <v>0</v>
      </c>
      <c r="AT93" s="17"/>
      <c r="AU93" s="124">
        <f t="shared" ref="AU93" si="4346">AT93*$E93</f>
        <v>0</v>
      </c>
      <c r="AV93" s="15"/>
      <c r="AW93" s="124">
        <f t="shared" ref="AW93" si="4347">AV93*$E93</f>
        <v>0</v>
      </c>
      <c r="AX93" s="15"/>
      <c r="AY93" s="124">
        <f t="shared" ref="AY93" si="4348">AX93*$E93</f>
        <v>0</v>
      </c>
      <c r="AZ93" s="17"/>
      <c r="BA93" s="124">
        <f t="shared" ref="BA93" si="4349">AZ93*$E93</f>
        <v>0</v>
      </c>
      <c r="BB93" s="33"/>
      <c r="BC93" s="124">
        <f t="shared" ref="BC93" si="4350">BB93*$E93</f>
        <v>0</v>
      </c>
      <c r="BD93" s="33"/>
      <c r="BE93" s="124">
        <f t="shared" ref="BE93" si="4351">BD93*$E93</f>
        <v>0</v>
      </c>
      <c r="BF93" s="125">
        <f t="shared" si="3172"/>
        <v>0</v>
      </c>
      <c r="BG93" s="126">
        <f t="shared" ref="BG93" si="4352">BF93*$E93</f>
        <v>0</v>
      </c>
      <c r="BH93" s="123"/>
      <c r="BI93" s="124">
        <f t="shared" ref="BI93" si="4353">BH93*$E93</f>
        <v>0</v>
      </c>
      <c r="BJ93" s="123"/>
      <c r="BK93" s="124">
        <f t="shared" ref="BK93" si="4354">BJ93*$E93</f>
        <v>0</v>
      </c>
      <c r="BL93" s="123"/>
      <c r="BM93" s="124">
        <f t="shared" ref="BM93" si="4355">BL93*$E93</f>
        <v>0</v>
      </c>
      <c r="BN93" s="123"/>
      <c r="BO93" s="124">
        <f t="shared" ref="BO93" si="4356">BN93*$E93</f>
        <v>0</v>
      </c>
      <c r="BP93" s="123"/>
      <c r="BQ93" s="124">
        <f t="shared" ref="BQ93" si="4357">BP93*$E93</f>
        <v>0</v>
      </c>
      <c r="BR93" s="123"/>
      <c r="BS93" s="124">
        <f t="shared" ref="BS93" si="4358">BR93*$E93</f>
        <v>0</v>
      </c>
      <c r="BT93" s="123"/>
      <c r="BU93" s="124">
        <f t="shared" ref="BU93" si="4359">BT93*$E93</f>
        <v>0</v>
      </c>
      <c r="BV93" s="123"/>
      <c r="BW93" s="124">
        <f t="shared" ref="BW93" si="4360">BV93*$E93</f>
        <v>0</v>
      </c>
      <c r="BX93" s="123"/>
      <c r="BY93" s="124">
        <f t="shared" ref="BY93" si="4361">BX93*$E93</f>
        <v>0</v>
      </c>
      <c r="BZ93" s="123"/>
      <c r="CA93" s="124">
        <f t="shared" ref="CA93" si="4362">BZ93*$E93</f>
        <v>0</v>
      </c>
      <c r="CB93" s="123"/>
      <c r="CC93" s="124">
        <f t="shared" ref="CC93" si="4363">CB93*$E93</f>
        <v>0</v>
      </c>
      <c r="CD93" s="123"/>
      <c r="CE93" s="124">
        <f t="shared" ref="CE93" si="4364">CD93*$E93</f>
        <v>0</v>
      </c>
      <c r="CF93" s="125">
        <f t="shared" si="3186"/>
        <v>0</v>
      </c>
      <c r="CG93" s="126">
        <f t="shared" ref="CG93" si="4365">CF93*$E93</f>
        <v>0</v>
      </c>
      <c r="CH93" s="123"/>
      <c r="CI93" s="124">
        <f t="shared" ref="CI93" si="4366">CH93*$E93</f>
        <v>0</v>
      </c>
      <c r="CJ93" s="123"/>
      <c r="CK93" s="124">
        <f t="shared" ref="CK93" si="4367">CJ93*$E93</f>
        <v>0</v>
      </c>
      <c r="CL93" s="123"/>
      <c r="CM93" s="124">
        <f t="shared" ref="CM93" si="4368">CL93*$E93</f>
        <v>0</v>
      </c>
      <c r="CN93" s="123"/>
      <c r="CO93" s="124">
        <f t="shared" ref="CO93" si="4369">CN93*$E93</f>
        <v>0</v>
      </c>
      <c r="CP93" s="123"/>
      <c r="CQ93" s="124">
        <f t="shared" ref="CQ93" si="4370">CP93*$E93</f>
        <v>0</v>
      </c>
      <c r="CR93" s="123"/>
      <c r="CS93" s="124">
        <f t="shared" ref="CS93" si="4371">CR93*$E93</f>
        <v>0</v>
      </c>
      <c r="CT93" s="123"/>
      <c r="CU93" s="124">
        <f t="shared" ref="CU93" si="4372">CT93*$E93</f>
        <v>0</v>
      </c>
      <c r="CV93" s="123"/>
      <c r="CW93" s="124">
        <f t="shared" ref="CW93" si="4373">CV93*$E93</f>
        <v>0</v>
      </c>
      <c r="CX93" s="123"/>
      <c r="CY93" s="124">
        <f t="shared" ref="CY93" si="4374">CX93*$E93</f>
        <v>0</v>
      </c>
      <c r="CZ93" s="123"/>
      <c r="DA93" s="124">
        <f t="shared" ref="DA93" si="4375">CZ93*$E93</f>
        <v>0</v>
      </c>
      <c r="DB93" s="123"/>
      <c r="DC93" s="124">
        <f t="shared" si="3198"/>
        <v>0</v>
      </c>
      <c r="DD93" s="123"/>
      <c r="DE93" s="124">
        <f t="shared" si="3198"/>
        <v>0</v>
      </c>
      <c r="DF93" s="27">
        <f t="shared" si="3145"/>
        <v>0</v>
      </c>
      <c r="DG93" s="124">
        <f t="shared" si="3199"/>
        <v>0</v>
      </c>
    </row>
    <row r="94" spans="1:111" ht="18" customHeight="1" x14ac:dyDescent="0.5">
      <c r="A94" s="117">
        <v>76</v>
      </c>
      <c r="B94" s="122" t="s">
        <v>189</v>
      </c>
      <c r="C94" s="122" t="s">
        <v>233</v>
      </c>
      <c r="D94" s="117">
        <f>RANK(DF94,$DF$4:$DF$141)</f>
        <v>21</v>
      </c>
      <c r="E94" s="117">
        <v>0.6</v>
      </c>
      <c r="F94" s="117" t="s">
        <v>235</v>
      </c>
      <c r="G94" s="117"/>
      <c r="H94" s="123"/>
      <c r="I94" s="124">
        <f t="shared" ref="I94" si="4376">H94*$E94</f>
        <v>0</v>
      </c>
      <c r="J94" s="123"/>
      <c r="K94" s="124">
        <f t="shared" ref="K94" si="4377">J94*$E94</f>
        <v>0</v>
      </c>
      <c r="L94" s="123"/>
      <c r="M94" s="124">
        <f t="shared" ref="M94" si="4378">L94*$E94</f>
        <v>0</v>
      </c>
      <c r="N94" s="123"/>
      <c r="O94" s="124">
        <f t="shared" ref="O94" si="4379">N94*$E94</f>
        <v>0</v>
      </c>
      <c r="P94" s="123"/>
      <c r="Q94" s="124">
        <f t="shared" ref="Q94" si="4380">P94*$E94</f>
        <v>0</v>
      </c>
      <c r="R94" s="123"/>
      <c r="S94" s="124">
        <f t="shared" ref="S94" si="4381">R94*$E94</f>
        <v>0</v>
      </c>
      <c r="T94" s="123"/>
      <c r="U94" s="124">
        <f t="shared" ref="U94" si="4382">T94*$E94</f>
        <v>0</v>
      </c>
      <c r="V94" s="123"/>
      <c r="W94" s="124">
        <f t="shared" ref="W94" si="4383">V94*$E94</f>
        <v>0</v>
      </c>
      <c r="X94" s="123"/>
      <c r="Y94" s="124">
        <f t="shared" ref="Y94" si="4384">X94*$E94</f>
        <v>0</v>
      </c>
      <c r="Z94" s="123"/>
      <c r="AA94" s="124">
        <f t="shared" ref="AA94" si="4385">Z94*$E94</f>
        <v>0</v>
      </c>
      <c r="AB94" s="123"/>
      <c r="AC94" s="124">
        <f t="shared" ref="AC94" si="4386">AB94*$E94</f>
        <v>0</v>
      </c>
      <c r="AD94" s="123"/>
      <c r="AE94" s="124">
        <f t="shared" ref="AE94" si="4387">AD94*$E94</f>
        <v>0</v>
      </c>
      <c r="AF94" s="125">
        <f t="shared" si="3158"/>
        <v>0</v>
      </c>
      <c r="AG94" s="126">
        <f t="shared" ref="AG94" si="4388">AF94*$E94</f>
        <v>0</v>
      </c>
      <c r="AH94" s="11"/>
      <c r="AI94" s="124">
        <f t="shared" ref="AI94" si="4389">AH94*$E94</f>
        <v>0</v>
      </c>
      <c r="AJ94" s="15"/>
      <c r="AK94" s="124">
        <f t="shared" ref="AK94" si="4390">AJ94*$E94</f>
        <v>0</v>
      </c>
      <c r="AL94" s="15"/>
      <c r="AM94" s="124">
        <f t="shared" ref="AM94" si="4391">AL94*$E94</f>
        <v>0</v>
      </c>
      <c r="AN94" s="16"/>
      <c r="AO94" s="124">
        <f t="shared" ref="AO94" si="4392">AN94*$E94</f>
        <v>0</v>
      </c>
      <c r="AP94" s="15"/>
      <c r="AQ94" s="124">
        <f t="shared" ref="AQ94" si="4393">AP94*$E94</f>
        <v>0</v>
      </c>
      <c r="AR94" s="15"/>
      <c r="AS94" s="124">
        <f t="shared" ref="AS94" si="4394">AR94*$E94</f>
        <v>0</v>
      </c>
      <c r="AT94" s="17"/>
      <c r="AU94" s="124">
        <f t="shared" ref="AU94" si="4395">AT94*$E94</f>
        <v>0</v>
      </c>
      <c r="AV94" s="15"/>
      <c r="AW94" s="124">
        <f t="shared" ref="AW94" si="4396">AV94*$E94</f>
        <v>0</v>
      </c>
      <c r="AX94" s="15"/>
      <c r="AY94" s="124">
        <f t="shared" ref="AY94" si="4397">AX94*$E94</f>
        <v>0</v>
      </c>
      <c r="AZ94" s="17"/>
      <c r="BA94" s="124">
        <f t="shared" ref="BA94" si="4398">AZ94*$E94</f>
        <v>0</v>
      </c>
      <c r="BB94" s="33"/>
      <c r="BC94" s="124">
        <f t="shared" ref="BC94" si="4399">BB94*$E94</f>
        <v>0</v>
      </c>
      <c r="BD94" s="33"/>
      <c r="BE94" s="124">
        <f t="shared" ref="BE94" si="4400">BD94*$E94</f>
        <v>0</v>
      </c>
      <c r="BF94" s="125">
        <f t="shared" si="3172"/>
        <v>0</v>
      </c>
      <c r="BG94" s="126">
        <f t="shared" ref="BG94" si="4401">BF94*$E94</f>
        <v>0</v>
      </c>
      <c r="BH94" s="123"/>
      <c r="BI94" s="124">
        <f t="shared" ref="BI94" si="4402">BH94*$E94</f>
        <v>0</v>
      </c>
      <c r="BJ94" s="123"/>
      <c r="BK94" s="124">
        <f t="shared" ref="BK94" si="4403">BJ94*$E94</f>
        <v>0</v>
      </c>
      <c r="BL94" s="123"/>
      <c r="BM94" s="124">
        <f t="shared" ref="BM94" si="4404">BL94*$E94</f>
        <v>0</v>
      </c>
      <c r="BN94" s="123"/>
      <c r="BO94" s="124">
        <f t="shared" ref="BO94" si="4405">BN94*$E94</f>
        <v>0</v>
      </c>
      <c r="BP94" s="123"/>
      <c r="BQ94" s="124">
        <f t="shared" ref="BQ94" si="4406">BP94*$E94</f>
        <v>0</v>
      </c>
      <c r="BR94" s="123"/>
      <c r="BS94" s="124">
        <f t="shared" ref="BS94" si="4407">BR94*$E94</f>
        <v>0</v>
      </c>
      <c r="BT94" s="123"/>
      <c r="BU94" s="124">
        <f t="shared" ref="BU94" si="4408">BT94*$E94</f>
        <v>0</v>
      </c>
      <c r="BV94" s="123"/>
      <c r="BW94" s="124">
        <f t="shared" ref="BW94" si="4409">BV94*$E94</f>
        <v>0</v>
      </c>
      <c r="BX94" s="123"/>
      <c r="BY94" s="124">
        <f t="shared" ref="BY94" si="4410">BX94*$E94</f>
        <v>0</v>
      </c>
      <c r="BZ94" s="123"/>
      <c r="CA94" s="124">
        <f t="shared" ref="CA94" si="4411">BZ94*$E94</f>
        <v>0</v>
      </c>
      <c r="CB94" s="123"/>
      <c r="CC94" s="124">
        <f t="shared" ref="CC94" si="4412">CB94*$E94</f>
        <v>0</v>
      </c>
      <c r="CD94" s="123"/>
      <c r="CE94" s="124">
        <f t="shared" ref="CE94" si="4413">CD94*$E94</f>
        <v>0</v>
      </c>
      <c r="CF94" s="125">
        <f t="shared" si="3186"/>
        <v>0</v>
      </c>
      <c r="CG94" s="126">
        <f t="shared" ref="CG94" si="4414">CF94*$E94</f>
        <v>0</v>
      </c>
      <c r="CH94" s="123"/>
      <c r="CI94" s="124">
        <f t="shared" ref="CI94" si="4415">CH94*$E94</f>
        <v>0</v>
      </c>
      <c r="CJ94" s="123"/>
      <c r="CK94" s="124">
        <f t="shared" ref="CK94" si="4416">CJ94*$E94</f>
        <v>0</v>
      </c>
      <c r="CL94" s="123"/>
      <c r="CM94" s="124">
        <f t="shared" ref="CM94" si="4417">CL94*$E94</f>
        <v>0</v>
      </c>
      <c r="CN94" s="123"/>
      <c r="CO94" s="124">
        <f t="shared" ref="CO94" si="4418">CN94*$E94</f>
        <v>0</v>
      </c>
      <c r="CP94" s="123"/>
      <c r="CQ94" s="124">
        <f t="shared" ref="CQ94" si="4419">CP94*$E94</f>
        <v>0</v>
      </c>
      <c r="CR94" s="123"/>
      <c r="CS94" s="124">
        <f t="shared" ref="CS94" si="4420">CR94*$E94</f>
        <v>0</v>
      </c>
      <c r="CT94" s="123"/>
      <c r="CU94" s="124">
        <f t="shared" ref="CU94" si="4421">CT94*$E94</f>
        <v>0</v>
      </c>
      <c r="CV94" s="123"/>
      <c r="CW94" s="124">
        <f t="shared" ref="CW94" si="4422">CV94*$E94</f>
        <v>0</v>
      </c>
      <c r="CX94" s="123"/>
      <c r="CY94" s="124">
        <f t="shared" ref="CY94" si="4423">CX94*$E94</f>
        <v>0</v>
      </c>
      <c r="CZ94" s="123"/>
      <c r="DA94" s="124">
        <f t="shared" ref="DA94" si="4424">CZ94*$E94</f>
        <v>0</v>
      </c>
      <c r="DB94" s="123"/>
      <c r="DC94" s="124">
        <f t="shared" si="3198"/>
        <v>0</v>
      </c>
      <c r="DD94" s="123"/>
      <c r="DE94" s="124">
        <f t="shared" si="3198"/>
        <v>0</v>
      </c>
      <c r="DF94" s="27">
        <f t="shared" si="3145"/>
        <v>0</v>
      </c>
      <c r="DG94" s="124">
        <f t="shared" si="3199"/>
        <v>0</v>
      </c>
    </row>
    <row r="95" spans="1:111" ht="18" customHeight="1" x14ac:dyDescent="0.5">
      <c r="A95" s="117">
        <v>77</v>
      </c>
      <c r="B95" s="122" t="s">
        <v>190</v>
      </c>
      <c r="C95" s="122" t="s">
        <v>231</v>
      </c>
      <c r="D95" s="117">
        <f>RANK(DF95,$DF$4:$DF$141)</f>
        <v>21</v>
      </c>
      <c r="E95" s="117">
        <v>0.64</v>
      </c>
      <c r="F95" s="117" t="s">
        <v>236</v>
      </c>
      <c r="G95" s="117"/>
      <c r="H95" s="123"/>
      <c r="I95" s="124">
        <f t="shared" ref="I95" si="4425">H95*$E95</f>
        <v>0</v>
      </c>
      <c r="J95" s="123"/>
      <c r="K95" s="124">
        <f t="shared" ref="K95" si="4426">J95*$E95</f>
        <v>0</v>
      </c>
      <c r="L95" s="123"/>
      <c r="M95" s="124">
        <f t="shared" ref="M95" si="4427">L95*$E95</f>
        <v>0</v>
      </c>
      <c r="N95" s="123"/>
      <c r="O95" s="124">
        <f t="shared" ref="O95" si="4428">N95*$E95</f>
        <v>0</v>
      </c>
      <c r="P95" s="123"/>
      <c r="Q95" s="124">
        <f t="shared" ref="Q95" si="4429">P95*$E95</f>
        <v>0</v>
      </c>
      <c r="R95" s="123"/>
      <c r="S95" s="124">
        <f t="shared" ref="S95" si="4430">R95*$E95</f>
        <v>0</v>
      </c>
      <c r="T95" s="123"/>
      <c r="U95" s="124">
        <f t="shared" ref="U95" si="4431">T95*$E95</f>
        <v>0</v>
      </c>
      <c r="V95" s="123"/>
      <c r="W95" s="124">
        <f t="shared" ref="W95" si="4432">V95*$E95</f>
        <v>0</v>
      </c>
      <c r="X95" s="123"/>
      <c r="Y95" s="124">
        <f t="shared" ref="Y95" si="4433">X95*$E95</f>
        <v>0</v>
      </c>
      <c r="Z95" s="123"/>
      <c r="AA95" s="124">
        <f t="shared" ref="AA95" si="4434">Z95*$E95</f>
        <v>0</v>
      </c>
      <c r="AB95" s="123"/>
      <c r="AC95" s="124">
        <f t="shared" ref="AC95" si="4435">AB95*$E95</f>
        <v>0</v>
      </c>
      <c r="AD95" s="123"/>
      <c r="AE95" s="124">
        <f t="shared" ref="AE95" si="4436">AD95*$E95</f>
        <v>0</v>
      </c>
      <c r="AF95" s="125">
        <f t="shared" si="3158"/>
        <v>0</v>
      </c>
      <c r="AG95" s="126">
        <f t="shared" ref="AG95" si="4437">AF95*$E95</f>
        <v>0</v>
      </c>
      <c r="AH95" s="11"/>
      <c r="AI95" s="124">
        <f t="shared" ref="AI95" si="4438">AH95*$E95</f>
        <v>0</v>
      </c>
      <c r="AJ95" s="15"/>
      <c r="AK95" s="124">
        <f t="shared" ref="AK95" si="4439">AJ95*$E95</f>
        <v>0</v>
      </c>
      <c r="AL95" s="15"/>
      <c r="AM95" s="124">
        <f t="shared" ref="AM95" si="4440">AL95*$E95</f>
        <v>0</v>
      </c>
      <c r="AN95" s="16"/>
      <c r="AO95" s="124">
        <f t="shared" ref="AO95" si="4441">AN95*$E95</f>
        <v>0</v>
      </c>
      <c r="AP95" s="15"/>
      <c r="AQ95" s="124">
        <f t="shared" ref="AQ95" si="4442">AP95*$E95</f>
        <v>0</v>
      </c>
      <c r="AR95" s="15"/>
      <c r="AS95" s="124">
        <f t="shared" ref="AS95" si="4443">AR95*$E95</f>
        <v>0</v>
      </c>
      <c r="AT95" s="17"/>
      <c r="AU95" s="124">
        <f t="shared" ref="AU95" si="4444">AT95*$E95</f>
        <v>0</v>
      </c>
      <c r="AV95" s="15"/>
      <c r="AW95" s="124">
        <f t="shared" ref="AW95" si="4445">AV95*$E95</f>
        <v>0</v>
      </c>
      <c r="AX95" s="15"/>
      <c r="AY95" s="124">
        <f t="shared" ref="AY95" si="4446">AX95*$E95</f>
        <v>0</v>
      </c>
      <c r="AZ95" s="17"/>
      <c r="BA95" s="124">
        <f t="shared" ref="BA95" si="4447">AZ95*$E95</f>
        <v>0</v>
      </c>
      <c r="BB95" s="33"/>
      <c r="BC95" s="124">
        <f t="shared" ref="BC95" si="4448">BB95*$E95</f>
        <v>0</v>
      </c>
      <c r="BD95" s="33"/>
      <c r="BE95" s="124">
        <f t="shared" ref="BE95" si="4449">BD95*$E95</f>
        <v>0</v>
      </c>
      <c r="BF95" s="125">
        <f t="shared" si="3172"/>
        <v>0</v>
      </c>
      <c r="BG95" s="126">
        <f t="shared" ref="BG95" si="4450">BF95*$E95</f>
        <v>0</v>
      </c>
      <c r="BH95" s="123"/>
      <c r="BI95" s="124">
        <f t="shared" ref="BI95" si="4451">BH95*$E95</f>
        <v>0</v>
      </c>
      <c r="BJ95" s="123"/>
      <c r="BK95" s="124">
        <f t="shared" ref="BK95" si="4452">BJ95*$E95</f>
        <v>0</v>
      </c>
      <c r="BL95" s="123"/>
      <c r="BM95" s="124">
        <f t="shared" ref="BM95" si="4453">BL95*$E95</f>
        <v>0</v>
      </c>
      <c r="BN95" s="123"/>
      <c r="BO95" s="124">
        <f t="shared" ref="BO95" si="4454">BN95*$E95</f>
        <v>0</v>
      </c>
      <c r="BP95" s="123"/>
      <c r="BQ95" s="124">
        <f t="shared" ref="BQ95" si="4455">BP95*$E95</f>
        <v>0</v>
      </c>
      <c r="BR95" s="123"/>
      <c r="BS95" s="124">
        <f t="shared" ref="BS95" si="4456">BR95*$E95</f>
        <v>0</v>
      </c>
      <c r="BT95" s="123"/>
      <c r="BU95" s="124">
        <f t="shared" ref="BU95" si="4457">BT95*$E95</f>
        <v>0</v>
      </c>
      <c r="BV95" s="123"/>
      <c r="BW95" s="124">
        <f t="shared" ref="BW95" si="4458">BV95*$E95</f>
        <v>0</v>
      </c>
      <c r="BX95" s="123"/>
      <c r="BY95" s="124">
        <f t="shared" ref="BY95" si="4459">BX95*$E95</f>
        <v>0</v>
      </c>
      <c r="BZ95" s="123"/>
      <c r="CA95" s="124">
        <f t="shared" ref="CA95" si="4460">BZ95*$E95</f>
        <v>0</v>
      </c>
      <c r="CB95" s="123"/>
      <c r="CC95" s="124">
        <f t="shared" ref="CC95" si="4461">CB95*$E95</f>
        <v>0</v>
      </c>
      <c r="CD95" s="123"/>
      <c r="CE95" s="124">
        <f t="shared" ref="CE95" si="4462">CD95*$E95</f>
        <v>0</v>
      </c>
      <c r="CF95" s="125">
        <f t="shared" si="3186"/>
        <v>0</v>
      </c>
      <c r="CG95" s="126">
        <f t="shared" ref="CG95" si="4463">CF95*$E95</f>
        <v>0</v>
      </c>
      <c r="CH95" s="123"/>
      <c r="CI95" s="124">
        <f t="shared" ref="CI95" si="4464">CH95*$E95</f>
        <v>0</v>
      </c>
      <c r="CJ95" s="123"/>
      <c r="CK95" s="124">
        <f t="shared" ref="CK95" si="4465">CJ95*$E95</f>
        <v>0</v>
      </c>
      <c r="CL95" s="123"/>
      <c r="CM95" s="124">
        <f t="shared" ref="CM95" si="4466">CL95*$E95</f>
        <v>0</v>
      </c>
      <c r="CN95" s="123"/>
      <c r="CO95" s="124">
        <f t="shared" ref="CO95" si="4467">CN95*$E95</f>
        <v>0</v>
      </c>
      <c r="CP95" s="123"/>
      <c r="CQ95" s="124">
        <f t="shared" ref="CQ95" si="4468">CP95*$E95</f>
        <v>0</v>
      </c>
      <c r="CR95" s="123"/>
      <c r="CS95" s="124">
        <f t="shared" ref="CS95" si="4469">CR95*$E95</f>
        <v>0</v>
      </c>
      <c r="CT95" s="123"/>
      <c r="CU95" s="124">
        <f t="shared" ref="CU95" si="4470">CT95*$E95</f>
        <v>0</v>
      </c>
      <c r="CV95" s="123"/>
      <c r="CW95" s="124">
        <f t="shared" ref="CW95" si="4471">CV95*$E95</f>
        <v>0</v>
      </c>
      <c r="CX95" s="123"/>
      <c r="CY95" s="124">
        <f t="shared" ref="CY95" si="4472">CX95*$E95</f>
        <v>0</v>
      </c>
      <c r="CZ95" s="123"/>
      <c r="DA95" s="124">
        <f t="shared" ref="DA95" si="4473">CZ95*$E95</f>
        <v>0</v>
      </c>
      <c r="DB95" s="123"/>
      <c r="DC95" s="124">
        <f t="shared" si="3198"/>
        <v>0</v>
      </c>
      <c r="DD95" s="123"/>
      <c r="DE95" s="124">
        <f t="shared" si="3198"/>
        <v>0</v>
      </c>
      <c r="DF95" s="27">
        <f t="shared" si="3145"/>
        <v>0</v>
      </c>
      <c r="DG95" s="124">
        <f t="shared" si="3199"/>
        <v>0</v>
      </c>
    </row>
    <row r="96" spans="1:111" ht="18" customHeight="1" x14ac:dyDescent="0.5">
      <c r="A96" s="117"/>
      <c r="B96" s="122"/>
      <c r="C96" s="122"/>
      <c r="D96" s="117"/>
      <c r="E96" s="117"/>
      <c r="F96" s="117"/>
      <c r="G96" s="117"/>
      <c r="H96" s="123"/>
      <c r="I96" s="124">
        <f t="shared" ref="I96" si="4474">H96*$E96</f>
        <v>0</v>
      </c>
      <c r="J96" s="123"/>
      <c r="K96" s="124">
        <f t="shared" ref="K96" si="4475">J96*$E96</f>
        <v>0</v>
      </c>
      <c r="L96" s="123"/>
      <c r="M96" s="124">
        <f t="shared" ref="M96" si="4476">L96*$E96</f>
        <v>0</v>
      </c>
      <c r="N96" s="123"/>
      <c r="O96" s="124">
        <f t="shared" ref="O96" si="4477">N96*$E96</f>
        <v>0</v>
      </c>
      <c r="P96" s="123"/>
      <c r="Q96" s="124">
        <f t="shared" ref="Q96" si="4478">P96*$E96</f>
        <v>0</v>
      </c>
      <c r="R96" s="123"/>
      <c r="S96" s="124">
        <f t="shared" ref="S96" si="4479">R96*$E96</f>
        <v>0</v>
      </c>
      <c r="T96" s="123"/>
      <c r="U96" s="124">
        <f t="shared" ref="U96" si="4480">T96*$E96</f>
        <v>0</v>
      </c>
      <c r="V96" s="123"/>
      <c r="W96" s="124">
        <f t="shared" ref="W96" si="4481">V96*$E96</f>
        <v>0</v>
      </c>
      <c r="X96" s="123"/>
      <c r="Y96" s="124">
        <f t="shared" ref="Y96" si="4482">X96*$E96</f>
        <v>0</v>
      </c>
      <c r="Z96" s="123"/>
      <c r="AA96" s="124">
        <f t="shared" ref="AA96" si="4483">Z96*$E96</f>
        <v>0</v>
      </c>
      <c r="AB96" s="123"/>
      <c r="AC96" s="124">
        <f t="shared" ref="AC96" si="4484">AB96*$E96</f>
        <v>0</v>
      </c>
      <c r="AD96" s="123"/>
      <c r="AE96" s="124">
        <f t="shared" ref="AE96" si="4485">AD96*$E96</f>
        <v>0</v>
      </c>
      <c r="AF96" s="125">
        <f t="shared" si="3158"/>
        <v>0</v>
      </c>
      <c r="AG96" s="126">
        <f t="shared" ref="AG96" si="4486">AF96*$E96</f>
        <v>0</v>
      </c>
      <c r="AH96" s="11"/>
      <c r="AI96" s="124">
        <f t="shared" ref="AI96" si="4487">AH96*$E96</f>
        <v>0</v>
      </c>
      <c r="AJ96" s="15"/>
      <c r="AK96" s="124">
        <f t="shared" ref="AK96" si="4488">AJ96*$E96</f>
        <v>0</v>
      </c>
      <c r="AL96" s="15"/>
      <c r="AM96" s="124">
        <f t="shared" ref="AM96" si="4489">AL96*$E96</f>
        <v>0</v>
      </c>
      <c r="AN96" s="16"/>
      <c r="AO96" s="124">
        <f t="shared" ref="AO96" si="4490">AN96*$E96</f>
        <v>0</v>
      </c>
      <c r="AP96" s="15"/>
      <c r="AQ96" s="124">
        <f t="shared" ref="AQ96" si="4491">AP96*$E96</f>
        <v>0</v>
      </c>
      <c r="AR96" s="15"/>
      <c r="AS96" s="124">
        <f t="shared" ref="AS96" si="4492">AR96*$E96</f>
        <v>0</v>
      </c>
      <c r="AT96" s="17"/>
      <c r="AU96" s="124">
        <f t="shared" ref="AU96" si="4493">AT96*$E96</f>
        <v>0</v>
      </c>
      <c r="AV96" s="15"/>
      <c r="AW96" s="124">
        <f t="shared" ref="AW96" si="4494">AV96*$E96</f>
        <v>0</v>
      </c>
      <c r="AX96" s="15"/>
      <c r="AY96" s="124">
        <f t="shared" ref="AY96" si="4495">AX96*$E96</f>
        <v>0</v>
      </c>
      <c r="AZ96" s="17"/>
      <c r="BA96" s="124">
        <f t="shared" ref="BA96" si="4496">AZ96*$E96</f>
        <v>0</v>
      </c>
      <c r="BB96" s="33"/>
      <c r="BC96" s="124">
        <f t="shared" ref="BC96" si="4497">BB96*$E96</f>
        <v>0</v>
      </c>
      <c r="BD96" s="33"/>
      <c r="BE96" s="124">
        <f t="shared" ref="BE96" si="4498">BD96*$E96</f>
        <v>0</v>
      </c>
      <c r="BF96" s="125">
        <f t="shared" si="3172"/>
        <v>0</v>
      </c>
      <c r="BG96" s="126">
        <f t="shared" ref="BG96" si="4499">BF96*$E96</f>
        <v>0</v>
      </c>
      <c r="BH96" s="123"/>
      <c r="BI96" s="124">
        <f t="shared" ref="BI96" si="4500">BH96*$E96</f>
        <v>0</v>
      </c>
      <c r="BJ96" s="123"/>
      <c r="BK96" s="124">
        <f t="shared" ref="BK96" si="4501">BJ96*$E96</f>
        <v>0</v>
      </c>
      <c r="BL96" s="123"/>
      <c r="BM96" s="124">
        <f t="shared" ref="BM96" si="4502">BL96*$E96</f>
        <v>0</v>
      </c>
      <c r="BN96" s="123"/>
      <c r="BO96" s="124">
        <f t="shared" ref="BO96" si="4503">BN96*$E96</f>
        <v>0</v>
      </c>
      <c r="BP96" s="123"/>
      <c r="BQ96" s="124">
        <f t="shared" ref="BQ96" si="4504">BP96*$E96</f>
        <v>0</v>
      </c>
      <c r="BR96" s="123"/>
      <c r="BS96" s="124">
        <f t="shared" ref="BS96" si="4505">BR96*$E96</f>
        <v>0</v>
      </c>
      <c r="BT96" s="123"/>
      <c r="BU96" s="124">
        <f t="shared" ref="BU96" si="4506">BT96*$E96</f>
        <v>0</v>
      </c>
      <c r="BV96" s="123"/>
      <c r="BW96" s="124">
        <f t="shared" ref="BW96" si="4507">BV96*$E96</f>
        <v>0</v>
      </c>
      <c r="BX96" s="123"/>
      <c r="BY96" s="124">
        <f t="shared" ref="BY96" si="4508">BX96*$E96</f>
        <v>0</v>
      </c>
      <c r="BZ96" s="123"/>
      <c r="CA96" s="124">
        <f t="shared" ref="CA96" si="4509">BZ96*$E96</f>
        <v>0</v>
      </c>
      <c r="CB96" s="123"/>
      <c r="CC96" s="124">
        <f t="shared" ref="CC96" si="4510">CB96*$E96</f>
        <v>0</v>
      </c>
      <c r="CD96" s="123"/>
      <c r="CE96" s="124">
        <f t="shared" ref="CE96" si="4511">CD96*$E96</f>
        <v>0</v>
      </c>
      <c r="CF96" s="125">
        <f t="shared" si="3186"/>
        <v>0</v>
      </c>
      <c r="CG96" s="126">
        <f t="shared" ref="CG96" si="4512">CF96*$E96</f>
        <v>0</v>
      </c>
      <c r="CH96" s="123"/>
      <c r="CI96" s="124">
        <f t="shared" ref="CI96" si="4513">CH96*$E96</f>
        <v>0</v>
      </c>
      <c r="CJ96" s="123"/>
      <c r="CK96" s="124">
        <f t="shared" ref="CK96" si="4514">CJ96*$E96</f>
        <v>0</v>
      </c>
      <c r="CL96" s="123"/>
      <c r="CM96" s="124">
        <f t="shared" ref="CM96" si="4515">CL96*$E96</f>
        <v>0</v>
      </c>
      <c r="CN96" s="123"/>
      <c r="CO96" s="124">
        <f t="shared" ref="CO96" si="4516">CN96*$E96</f>
        <v>0</v>
      </c>
      <c r="CP96" s="123"/>
      <c r="CQ96" s="124">
        <f t="shared" ref="CQ96" si="4517">CP96*$E96</f>
        <v>0</v>
      </c>
      <c r="CR96" s="123"/>
      <c r="CS96" s="124">
        <f t="shared" ref="CS96" si="4518">CR96*$E96</f>
        <v>0</v>
      </c>
      <c r="CT96" s="123"/>
      <c r="CU96" s="124">
        <f t="shared" ref="CU96" si="4519">CT96*$E96</f>
        <v>0</v>
      </c>
      <c r="CV96" s="123"/>
      <c r="CW96" s="124">
        <f t="shared" ref="CW96" si="4520">CV96*$E96</f>
        <v>0</v>
      </c>
      <c r="CX96" s="123"/>
      <c r="CY96" s="124">
        <f t="shared" ref="CY96" si="4521">CX96*$E96</f>
        <v>0</v>
      </c>
      <c r="CZ96" s="123"/>
      <c r="DA96" s="124">
        <f t="shared" ref="DA96" si="4522">CZ96*$E96</f>
        <v>0</v>
      </c>
      <c r="DB96" s="123"/>
      <c r="DC96" s="124">
        <f t="shared" si="3198"/>
        <v>0</v>
      </c>
      <c r="DD96" s="123"/>
      <c r="DE96" s="124">
        <f t="shared" si="3198"/>
        <v>0</v>
      </c>
      <c r="DF96" s="27">
        <f t="shared" si="3145"/>
        <v>0</v>
      </c>
      <c r="DG96" s="124">
        <f t="shared" si="3199"/>
        <v>0</v>
      </c>
    </row>
    <row r="97" spans="1:111" ht="18" customHeight="1" x14ac:dyDescent="0.5">
      <c r="A97" s="117">
        <v>78</v>
      </c>
      <c r="B97" s="122" t="s">
        <v>194</v>
      </c>
      <c r="C97" s="122" t="s">
        <v>233</v>
      </c>
      <c r="D97" s="117"/>
      <c r="E97" s="117">
        <v>0.75</v>
      </c>
      <c r="F97" s="117"/>
      <c r="G97" s="117"/>
      <c r="H97" s="123"/>
      <c r="I97" s="124">
        <f t="shared" ref="I97" si="4523">H97*$E97</f>
        <v>0</v>
      </c>
      <c r="J97" s="123"/>
      <c r="K97" s="124">
        <f t="shared" ref="K97" si="4524">J97*$E97</f>
        <v>0</v>
      </c>
      <c r="L97" s="123"/>
      <c r="M97" s="124">
        <f t="shared" ref="M97" si="4525">L97*$E97</f>
        <v>0</v>
      </c>
      <c r="N97" s="123"/>
      <c r="O97" s="124">
        <f t="shared" ref="O97" si="4526">N97*$E97</f>
        <v>0</v>
      </c>
      <c r="P97" s="123"/>
      <c r="Q97" s="124">
        <f t="shared" ref="Q97" si="4527">P97*$E97</f>
        <v>0</v>
      </c>
      <c r="R97" s="123"/>
      <c r="S97" s="124">
        <f t="shared" ref="S97" si="4528">R97*$E97</f>
        <v>0</v>
      </c>
      <c r="T97" s="123"/>
      <c r="U97" s="124">
        <f t="shared" ref="U97" si="4529">T97*$E97</f>
        <v>0</v>
      </c>
      <c r="V97" s="123"/>
      <c r="W97" s="124">
        <f t="shared" ref="W97" si="4530">V97*$E97</f>
        <v>0</v>
      </c>
      <c r="X97" s="123"/>
      <c r="Y97" s="124">
        <f t="shared" ref="Y97" si="4531">X97*$E97</f>
        <v>0</v>
      </c>
      <c r="Z97" s="123"/>
      <c r="AA97" s="124">
        <f t="shared" ref="AA97" si="4532">Z97*$E97</f>
        <v>0</v>
      </c>
      <c r="AB97" s="123"/>
      <c r="AC97" s="124">
        <f t="shared" ref="AC97" si="4533">AB97*$E97</f>
        <v>0</v>
      </c>
      <c r="AD97" s="123"/>
      <c r="AE97" s="124">
        <f t="shared" ref="AE97" si="4534">AD97*$E97</f>
        <v>0</v>
      </c>
      <c r="AF97" s="125">
        <f t="shared" si="3158"/>
        <v>0</v>
      </c>
      <c r="AG97" s="126">
        <f t="shared" ref="AG97" si="4535">AF97*$E97</f>
        <v>0</v>
      </c>
      <c r="AH97" s="11"/>
      <c r="AI97" s="124">
        <f t="shared" ref="AI97" si="4536">AH97*$E97</f>
        <v>0</v>
      </c>
      <c r="AJ97" s="15"/>
      <c r="AK97" s="124">
        <f t="shared" ref="AK97" si="4537">AJ97*$E97</f>
        <v>0</v>
      </c>
      <c r="AL97" s="15"/>
      <c r="AM97" s="124">
        <f t="shared" ref="AM97" si="4538">AL97*$E97</f>
        <v>0</v>
      </c>
      <c r="AN97" s="16"/>
      <c r="AO97" s="124">
        <f t="shared" ref="AO97" si="4539">AN97*$E97</f>
        <v>0</v>
      </c>
      <c r="AP97" s="15"/>
      <c r="AQ97" s="124">
        <f t="shared" ref="AQ97" si="4540">AP97*$E97</f>
        <v>0</v>
      </c>
      <c r="AR97" s="15"/>
      <c r="AS97" s="124">
        <f t="shared" ref="AS97" si="4541">AR97*$E97</f>
        <v>0</v>
      </c>
      <c r="AT97" s="17"/>
      <c r="AU97" s="124">
        <f t="shared" ref="AU97" si="4542">AT97*$E97</f>
        <v>0</v>
      </c>
      <c r="AV97" s="15"/>
      <c r="AW97" s="124">
        <f t="shared" ref="AW97" si="4543">AV97*$E97</f>
        <v>0</v>
      </c>
      <c r="AX97" s="15"/>
      <c r="AY97" s="124">
        <f t="shared" ref="AY97" si="4544">AX97*$E97</f>
        <v>0</v>
      </c>
      <c r="AZ97" s="17"/>
      <c r="BA97" s="124">
        <f t="shared" ref="BA97" si="4545">AZ97*$E97</f>
        <v>0</v>
      </c>
      <c r="BB97" s="33"/>
      <c r="BC97" s="124">
        <f t="shared" ref="BC97" si="4546">BB97*$E97</f>
        <v>0</v>
      </c>
      <c r="BD97" s="33"/>
      <c r="BE97" s="124">
        <f t="shared" ref="BE97" si="4547">BD97*$E97</f>
        <v>0</v>
      </c>
      <c r="BF97" s="125">
        <f t="shared" si="3172"/>
        <v>0</v>
      </c>
      <c r="BG97" s="126">
        <f t="shared" ref="BG97" si="4548">BF97*$E97</f>
        <v>0</v>
      </c>
      <c r="BH97" s="123"/>
      <c r="BI97" s="124">
        <f t="shared" ref="BI97" si="4549">BH97*$E97</f>
        <v>0</v>
      </c>
      <c r="BJ97" s="123"/>
      <c r="BK97" s="124">
        <f t="shared" ref="BK97" si="4550">BJ97*$E97</f>
        <v>0</v>
      </c>
      <c r="BL97" s="123"/>
      <c r="BM97" s="124">
        <f t="shared" ref="BM97" si="4551">BL97*$E97</f>
        <v>0</v>
      </c>
      <c r="BN97" s="123"/>
      <c r="BO97" s="124">
        <f t="shared" ref="BO97" si="4552">BN97*$E97</f>
        <v>0</v>
      </c>
      <c r="BP97" s="123"/>
      <c r="BQ97" s="124">
        <f t="shared" ref="BQ97" si="4553">BP97*$E97</f>
        <v>0</v>
      </c>
      <c r="BR97" s="123"/>
      <c r="BS97" s="124">
        <f t="shared" ref="BS97" si="4554">BR97*$E97</f>
        <v>0</v>
      </c>
      <c r="BT97" s="123"/>
      <c r="BU97" s="124">
        <f t="shared" ref="BU97" si="4555">BT97*$E97</f>
        <v>0</v>
      </c>
      <c r="BV97" s="123"/>
      <c r="BW97" s="124">
        <f t="shared" ref="BW97" si="4556">BV97*$E97</f>
        <v>0</v>
      </c>
      <c r="BX97" s="123"/>
      <c r="BY97" s="124">
        <f t="shared" ref="BY97" si="4557">BX97*$E97</f>
        <v>0</v>
      </c>
      <c r="BZ97" s="123"/>
      <c r="CA97" s="124">
        <f t="shared" ref="CA97" si="4558">BZ97*$E97</f>
        <v>0</v>
      </c>
      <c r="CB97" s="123"/>
      <c r="CC97" s="124">
        <f t="shared" ref="CC97" si="4559">CB97*$E97</f>
        <v>0</v>
      </c>
      <c r="CD97" s="123"/>
      <c r="CE97" s="124">
        <f t="shared" ref="CE97" si="4560">CD97*$E97</f>
        <v>0</v>
      </c>
      <c r="CF97" s="125">
        <f t="shared" si="3186"/>
        <v>0</v>
      </c>
      <c r="CG97" s="126">
        <f t="shared" ref="CG97" si="4561">CF97*$E97</f>
        <v>0</v>
      </c>
      <c r="CH97" s="123"/>
      <c r="CI97" s="124">
        <f t="shared" ref="CI97" si="4562">CH97*$E97</f>
        <v>0</v>
      </c>
      <c r="CJ97" s="123"/>
      <c r="CK97" s="124">
        <f t="shared" ref="CK97" si="4563">CJ97*$E97</f>
        <v>0</v>
      </c>
      <c r="CL97" s="123"/>
      <c r="CM97" s="124">
        <f t="shared" ref="CM97" si="4564">CL97*$E97</f>
        <v>0</v>
      </c>
      <c r="CN97" s="123"/>
      <c r="CO97" s="124">
        <f t="shared" ref="CO97" si="4565">CN97*$E97</f>
        <v>0</v>
      </c>
      <c r="CP97" s="123"/>
      <c r="CQ97" s="124">
        <f t="shared" ref="CQ97" si="4566">CP97*$E97</f>
        <v>0</v>
      </c>
      <c r="CR97" s="123"/>
      <c r="CS97" s="124">
        <f t="shared" ref="CS97" si="4567">CR97*$E97</f>
        <v>0</v>
      </c>
      <c r="CT97" s="123"/>
      <c r="CU97" s="124">
        <f t="shared" ref="CU97" si="4568">CT97*$E97</f>
        <v>0</v>
      </c>
      <c r="CV97" s="123"/>
      <c r="CW97" s="124">
        <f t="shared" ref="CW97" si="4569">CV97*$E97</f>
        <v>0</v>
      </c>
      <c r="CX97" s="123"/>
      <c r="CY97" s="124">
        <f t="shared" ref="CY97" si="4570">CX97*$E97</f>
        <v>0</v>
      </c>
      <c r="CZ97" s="123"/>
      <c r="DA97" s="124">
        <f t="shared" ref="DA97" si="4571">CZ97*$E97</f>
        <v>0</v>
      </c>
      <c r="DB97" s="123"/>
      <c r="DC97" s="124">
        <f t="shared" si="3198"/>
        <v>0</v>
      </c>
      <c r="DD97" s="123"/>
      <c r="DE97" s="124">
        <f t="shared" si="3198"/>
        <v>0</v>
      </c>
      <c r="DF97" s="27">
        <f t="shared" si="3145"/>
        <v>0</v>
      </c>
      <c r="DG97" s="124">
        <f t="shared" si="3199"/>
        <v>0</v>
      </c>
    </row>
    <row r="98" spans="1:111" ht="18" customHeight="1" x14ac:dyDescent="0.5">
      <c r="A98" s="117">
        <v>79</v>
      </c>
      <c r="B98" s="122" t="s">
        <v>194</v>
      </c>
      <c r="C98" s="122" t="s">
        <v>231</v>
      </c>
      <c r="D98" s="117"/>
      <c r="E98" s="117">
        <v>0.6</v>
      </c>
      <c r="F98" s="117"/>
      <c r="G98" s="117"/>
      <c r="H98" s="123"/>
      <c r="I98" s="124">
        <f t="shared" ref="I98" si="4572">H98*$E98</f>
        <v>0</v>
      </c>
      <c r="J98" s="123"/>
      <c r="K98" s="124">
        <f t="shared" ref="K98" si="4573">J98*$E98</f>
        <v>0</v>
      </c>
      <c r="L98" s="123"/>
      <c r="M98" s="124">
        <f t="shared" ref="M98" si="4574">L98*$E98</f>
        <v>0</v>
      </c>
      <c r="N98" s="123"/>
      <c r="O98" s="124">
        <f t="shared" ref="O98" si="4575">N98*$E98</f>
        <v>0</v>
      </c>
      <c r="P98" s="123"/>
      <c r="Q98" s="124">
        <f t="shared" ref="Q98" si="4576">P98*$E98</f>
        <v>0</v>
      </c>
      <c r="R98" s="123"/>
      <c r="S98" s="124">
        <f t="shared" ref="S98" si="4577">R98*$E98</f>
        <v>0</v>
      </c>
      <c r="T98" s="123"/>
      <c r="U98" s="124">
        <f t="shared" ref="U98" si="4578">T98*$E98</f>
        <v>0</v>
      </c>
      <c r="V98" s="123"/>
      <c r="W98" s="124">
        <f t="shared" ref="W98" si="4579">V98*$E98</f>
        <v>0</v>
      </c>
      <c r="X98" s="123"/>
      <c r="Y98" s="124">
        <f t="shared" ref="Y98" si="4580">X98*$E98</f>
        <v>0</v>
      </c>
      <c r="Z98" s="123"/>
      <c r="AA98" s="124">
        <f t="shared" ref="AA98" si="4581">Z98*$E98</f>
        <v>0</v>
      </c>
      <c r="AB98" s="123"/>
      <c r="AC98" s="124">
        <f t="shared" ref="AC98" si="4582">AB98*$E98</f>
        <v>0</v>
      </c>
      <c r="AD98" s="123"/>
      <c r="AE98" s="124">
        <f t="shared" ref="AE98" si="4583">AD98*$E98</f>
        <v>0</v>
      </c>
      <c r="AF98" s="125">
        <f t="shared" si="3158"/>
        <v>0</v>
      </c>
      <c r="AG98" s="126">
        <f t="shared" ref="AG98" si="4584">AF98*$E98</f>
        <v>0</v>
      </c>
      <c r="AH98" s="11"/>
      <c r="AI98" s="124">
        <f t="shared" ref="AI98" si="4585">AH98*$E98</f>
        <v>0</v>
      </c>
      <c r="AJ98" s="15">
        <v>1572</v>
      </c>
      <c r="AK98" s="124">
        <f t="shared" ref="AK98" si="4586">AJ98*$E98</f>
        <v>943.19999999999993</v>
      </c>
      <c r="AL98" s="15">
        <v>4020</v>
      </c>
      <c r="AM98" s="124">
        <f t="shared" ref="AM98" si="4587">AL98*$E98</f>
        <v>2412</v>
      </c>
      <c r="AN98" s="16">
        <v>9740</v>
      </c>
      <c r="AO98" s="124">
        <f t="shared" ref="AO98" si="4588">AN98*$E98</f>
        <v>5844</v>
      </c>
      <c r="AP98" s="15">
        <v>11136</v>
      </c>
      <c r="AQ98" s="124">
        <f t="shared" ref="AQ98" si="4589">AP98*$E98</f>
        <v>6681.5999999999995</v>
      </c>
      <c r="AR98" s="15"/>
      <c r="AS98" s="124">
        <f t="shared" ref="AS98" si="4590">AR98*$E98</f>
        <v>0</v>
      </c>
      <c r="AT98" s="17"/>
      <c r="AU98" s="124">
        <f t="shared" ref="AU98" si="4591">AT98*$E98</f>
        <v>0</v>
      </c>
      <c r="AV98" s="15"/>
      <c r="AW98" s="124">
        <f t="shared" ref="AW98" si="4592">AV98*$E98</f>
        <v>0</v>
      </c>
      <c r="AX98" s="15"/>
      <c r="AY98" s="124">
        <f t="shared" ref="AY98" si="4593">AX98*$E98</f>
        <v>0</v>
      </c>
      <c r="AZ98" s="17"/>
      <c r="BA98" s="124">
        <f t="shared" ref="BA98" si="4594">AZ98*$E98</f>
        <v>0</v>
      </c>
      <c r="BB98" s="33"/>
      <c r="BC98" s="124">
        <f t="shared" ref="BC98" si="4595">BB98*$E98</f>
        <v>0</v>
      </c>
      <c r="BD98" s="33"/>
      <c r="BE98" s="124">
        <f t="shared" ref="BE98" si="4596">BD98*$E98</f>
        <v>0</v>
      </c>
      <c r="BF98" s="125">
        <f t="shared" si="3172"/>
        <v>26468</v>
      </c>
      <c r="BG98" s="126">
        <f t="shared" ref="BG98" si="4597">BF98*$E98</f>
        <v>15880.8</v>
      </c>
      <c r="BH98" s="123"/>
      <c r="BI98" s="124">
        <f t="shared" ref="BI98" si="4598">BH98*$E98</f>
        <v>0</v>
      </c>
      <c r="BJ98" s="123"/>
      <c r="BK98" s="124">
        <f t="shared" ref="BK98" si="4599">BJ98*$E98</f>
        <v>0</v>
      </c>
      <c r="BL98" s="123"/>
      <c r="BM98" s="124">
        <f t="shared" ref="BM98" si="4600">BL98*$E98</f>
        <v>0</v>
      </c>
      <c r="BN98" s="123"/>
      <c r="BO98" s="124">
        <f t="shared" ref="BO98" si="4601">BN98*$E98</f>
        <v>0</v>
      </c>
      <c r="BP98" s="123"/>
      <c r="BQ98" s="124">
        <f t="shared" ref="BQ98" si="4602">BP98*$E98</f>
        <v>0</v>
      </c>
      <c r="BR98" s="123"/>
      <c r="BS98" s="124">
        <f t="shared" ref="BS98" si="4603">BR98*$E98</f>
        <v>0</v>
      </c>
      <c r="BT98" s="123"/>
      <c r="BU98" s="124">
        <f t="shared" ref="BU98" si="4604">BT98*$E98</f>
        <v>0</v>
      </c>
      <c r="BV98" s="123"/>
      <c r="BW98" s="124">
        <f t="shared" ref="BW98" si="4605">BV98*$E98</f>
        <v>0</v>
      </c>
      <c r="BX98" s="123"/>
      <c r="BY98" s="124">
        <f t="shared" ref="BY98" si="4606">BX98*$E98</f>
        <v>0</v>
      </c>
      <c r="BZ98" s="123"/>
      <c r="CA98" s="124">
        <f t="shared" ref="CA98" si="4607">BZ98*$E98</f>
        <v>0</v>
      </c>
      <c r="CB98" s="123"/>
      <c r="CC98" s="124">
        <f t="shared" ref="CC98" si="4608">CB98*$E98</f>
        <v>0</v>
      </c>
      <c r="CD98" s="123"/>
      <c r="CE98" s="124">
        <f t="shared" ref="CE98" si="4609">CD98*$E98</f>
        <v>0</v>
      </c>
      <c r="CF98" s="125">
        <f t="shared" si="3186"/>
        <v>0</v>
      </c>
      <c r="CG98" s="126">
        <f t="shared" ref="CG98" si="4610">CF98*$E98</f>
        <v>0</v>
      </c>
      <c r="CH98" s="123"/>
      <c r="CI98" s="124">
        <f t="shared" ref="CI98" si="4611">CH98*$E98</f>
        <v>0</v>
      </c>
      <c r="CJ98" s="123"/>
      <c r="CK98" s="124">
        <f t="shared" ref="CK98" si="4612">CJ98*$E98</f>
        <v>0</v>
      </c>
      <c r="CL98" s="123"/>
      <c r="CM98" s="124">
        <f t="shared" ref="CM98" si="4613">CL98*$E98</f>
        <v>0</v>
      </c>
      <c r="CN98" s="123"/>
      <c r="CO98" s="124">
        <f t="shared" ref="CO98" si="4614">CN98*$E98</f>
        <v>0</v>
      </c>
      <c r="CP98" s="123"/>
      <c r="CQ98" s="124">
        <f t="shared" ref="CQ98" si="4615">CP98*$E98</f>
        <v>0</v>
      </c>
      <c r="CR98" s="123"/>
      <c r="CS98" s="124">
        <f t="shared" ref="CS98" si="4616">CR98*$E98</f>
        <v>0</v>
      </c>
      <c r="CT98" s="123"/>
      <c r="CU98" s="124">
        <f t="shared" ref="CU98" si="4617">CT98*$E98</f>
        <v>0</v>
      </c>
      <c r="CV98" s="123"/>
      <c r="CW98" s="124">
        <f t="shared" ref="CW98" si="4618">CV98*$E98</f>
        <v>0</v>
      </c>
      <c r="CX98" s="123"/>
      <c r="CY98" s="124">
        <f t="shared" ref="CY98" si="4619">CX98*$E98</f>
        <v>0</v>
      </c>
      <c r="CZ98" s="123"/>
      <c r="DA98" s="124">
        <f t="shared" ref="DA98" si="4620">CZ98*$E98</f>
        <v>0</v>
      </c>
      <c r="DB98" s="123"/>
      <c r="DC98" s="124">
        <f t="shared" si="3198"/>
        <v>0</v>
      </c>
      <c r="DD98" s="123"/>
      <c r="DE98" s="124">
        <f t="shared" si="3198"/>
        <v>0</v>
      </c>
      <c r="DF98" s="27">
        <f t="shared" si="3145"/>
        <v>0</v>
      </c>
      <c r="DG98" s="124">
        <f t="shared" si="3199"/>
        <v>0</v>
      </c>
    </row>
    <row r="99" spans="1:111" ht="18" customHeight="1" x14ac:dyDescent="0.5">
      <c r="A99" s="117">
        <v>80</v>
      </c>
      <c r="B99" s="122" t="s">
        <v>194</v>
      </c>
      <c r="C99" s="122" t="s">
        <v>231</v>
      </c>
      <c r="D99" s="117"/>
      <c r="E99" s="117">
        <v>0.64</v>
      </c>
      <c r="F99" s="117" t="s">
        <v>236</v>
      </c>
      <c r="G99" s="117"/>
      <c r="H99" s="123"/>
      <c r="I99" s="124">
        <f t="shared" ref="I99" si="4621">H99*$E99</f>
        <v>0</v>
      </c>
      <c r="J99" s="123"/>
      <c r="K99" s="124">
        <f t="shared" ref="K99" si="4622">J99*$E99</f>
        <v>0</v>
      </c>
      <c r="L99" s="123"/>
      <c r="M99" s="124">
        <f t="shared" ref="M99" si="4623">L99*$E99</f>
        <v>0</v>
      </c>
      <c r="N99" s="123"/>
      <c r="O99" s="124">
        <f t="shared" ref="O99" si="4624">N99*$E99</f>
        <v>0</v>
      </c>
      <c r="P99" s="123"/>
      <c r="Q99" s="124">
        <f t="shared" ref="Q99" si="4625">P99*$E99</f>
        <v>0</v>
      </c>
      <c r="R99" s="123"/>
      <c r="S99" s="124">
        <f t="shared" ref="S99" si="4626">R99*$E99</f>
        <v>0</v>
      </c>
      <c r="T99" s="123"/>
      <c r="U99" s="124">
        <f t="shared" ref="U99" si="4627">T99*$E99</f>
        <v>0</v>
      </c>
      <c r="V99" s="123"/>
      <c r="W99" s="124">
        <f t="shared" ref="W99" si="4628">V99*$E99</f>
        <v>0</v>
      </c>
      <c r="X99" s="123"/>
      <c r="Y99" s="124">
        <f t="shared" ref="Y99" si="4629">X99*$E99</f>
        <v>0</v>
      </c>
      <c r="Z99" s="123"/>
      <c r="AA99" s="124">
        <f t="shared" ref="AA99" si="4630">Z99*$E99</f>
        <v>0</v>
      </c>
      <c r="AB99" s="123"/>
      <c r="AC99" s="124">
        <f t="shared" ref="AC99" si="4631">AB99*$E99</f>
        <v>0</v>
      </c>
      <c r="AD99" s="123"/>
      <c r="AE99" s="124">
        <f t="shared" ref="AE99" si="4632">AD99*$E99</f>
        <v>0</v>
      </c>
      <c r="AF99" s="125">
        <f t="shared" si="3158"/>
        <v>0</v>
      </c>
      <c r="AG99" s="126">
        <f t="shared" ref="AG99" si="4633">AF99*$E99</f>
        <v>0</v>
      </c>
      <c r="AH99" s="11"/>
      <c r="AI99" s="124">
        <f t="shared" ref="AI99" si="4634">AH99*$E99</f>
        <v>0</v>
      </c>
      <c r="AJ99" s="15"/>
      <c r="AK99" s="124">
        <f t="shared" ref="AK99" si="4635">AJ99*$E99</f>
        <v>0</v>
      </c>
      <c r="AL99" s="15"/>
      <c r="AM99" s="124">
        <f t="shared" ref="AM99" si="4636">AL99*$E99</f>
        <v>0</v>
      </c>
      <c r="AN99" s="16"/>
      <c r="AO99" s="124">
        <f t="shared" ref="AO99" si="4637">AN99*$E99</f>
        <v>0</v>
      </c>
      <c r="AP99" s="15"/>
      <c r="AQ99" s="124">
        <f t="shared" ref="AQ99" si="4638">AP99*$E99</f>
        <v>0</v>
      </c>
      <c r="AR99" s="15"/>
      <c r="AS99" s="124">
        <f t="shared" ref="AS99" si="4639">AR99*$E99</f>
        <v>0</v>
      </c>
      <c r="AT99" s="17"/>
      <c r="AU99" s="124">
        <f t="shared" ref="AU99" si="4640">AT99*$E99</f>
        <v>0</v>
      </c>
      <c r="AV99" s="15"/>
      <c r="AW99" s="124">
        <f t="shared" ref="AW99" si="4641">AV99*$E99</f>
        <v>0</v>
      </c>
      <c r="AX99" s="15"/>
      <c r="AY99" s="124">
        <f t="shared" ref="AY99" si="4642">AX99*$E99</f>
        <v>0</v>
      </c>
      <c r="AZ99" s="17"/>
      <c r="BA99" s="124">
        <f t="shared" ref="BA99" si="4643">AZ99*$E99</f>
        <v>0</v>
      </c>
      <c r="BB99" s="33"/>
      <c r="BC99" s="124">
        <f t="shared" ref="BC99" si="4644">BB99*$E99</f>
        <v>0</v>
      </c>
      <c r="BD99" s="33"/>
      <c r="BE99" s="124">
        <f t="shared" ref="BE99" si="4645">BD99*$E99</f>
        <v>0</v>
      </c>
      <c r="BF99" s="125">
        <f t="shared" si="3172"/>
        <v>0</v>
      </c>
      <c r="BG99" s="126">
        <f t="shared" ref="BG99" si="4646">BF99*$E99</f>
        <v>0</v>
      </c>
      <c r="BH99" s="123"/>
      <c r="BI99" s="124">
        <f t="shared" ref="BI99" si="4647">BH99*$E99</f>
        <v>0</v>
      </c>
      <c r="BJ99" s="123"/>
      <c r="BK99" s="124">
        <f t="shared" ref="BK99" si="4648">BJ99*$E99</f>
        <v>0</v>
      </c>
      <c r="BL99" s="123"/>
      <c r="BM99" s="124">
        <f t="shared" ref="BM99" si="4649">BL99*$E99</f>
        <v>0</v>
      </c>
      <c r="BN99" s="123"/>
      <c r="BO99" s="124">
        <f t="shared" ref="BO99" si="4650">BN99*$E99</f>
        <v>0</v>
      </c>
      <c r="BP99" s="123"/>
      <c r="BQ99" s="124">
        <f t="shared" ref="BQ99" si="4651">BP99*$E99</f>
        <v>0</v>
      </c>
      <c r="BR99" s="123"/>
      <c r="BS99" s="124">
        <f t="shared" ref="BS99" si="4652">BR99*$E99</f>
        <v>0</v>
      </c>
      <c r="BT99" s="123"/>
      <c r="BU99" s="124">
        <f t="shared" ref="BU99" si="4653">BT99*$E99</f>
        <v>0</v>
      </c>
      <c r="BV99" s="123"/>
      <c r="BW99" s="124">
        <f t="shared" ref="BW99" si="4654">BV99*$E99</f>
        <v>0</v>
      </c>
      <c r="BX99" s="123"/>
      <c r="BY99" s="124">
        <f t="shared" ref="BY99" si="4655">BX99*$E99</f>
        <v>0</v>
      </c>
      <c r="BZ99" s="123"/>
      <c r="CA99" s="124">
        <f t="shared" ref="CA99" si="4656">BZ99*$E99</f>
        <v>0</v>
      </c>
      <c r="CB99" s="123"/>
      <c r="CC99" s="124">
        <f t="shared" ref="CC99" si="4657">CB99*$E99</f>
        <v>0</v>
      </c>
      <c r="CD99" s="123"/>
      <c r="CE99" s="124">
        <f t="shared" ref="CE99" si="4658">CD99*$E99</f>
        <v>0</v>
      </c>
      <c r="CF99" s="125">
        <f t="shared" si="3186"/>
        <v>0</v>
      </c>
      <c r="CG99" s="126">
        <f t="shared" ref="CG99" si="4659">CF99*$E99</f>
        <v>0</v>
      </c>
      <c r="CH99" s="123"/>
      <c r="CI99" s="124">
        <f t="shared" ref="CI99" si="4660">CH99*$E99</f>
        <v>0</v>
      </c>
      <c r="CJ99" s="123"/>
      <c r="CK99" s="124">
        <f t="shared" ref="CK99" si="4661">CJ99*$E99</f>
        <v>0</v>
      </c>
      <c r="CL99" s="123"/>
      <c r="CM99" s="124">
        <f t="shared" ref="CM99" si="4662">CL99*$E99</f>
        <v>0</v>
      </c>
      <c r="CN99" s="123"/>
      <c r="CO99" s="124">
        <f t="shared" ref="CO99" si="4663">CN99*$E99</f>
        <v>0</v>
      </c>
      <c r="CP99" s="123"/>
      <c r="CQ99" s="124">
        <f t="shared" ref="CQ99" si="4664">CP99*$E99</f>
        <v>0</v>
      </c>
      <c r="CR99" s="123"/>
      <c r="CS99" s="124">
        <f t="shared" ref="CS99" si="4665">CR99*$E99</f>
        <v>0</v>
      </c>
      <c r="CT99" s="123"/>
      <c r="CU99" s="124">
        <f t="shared" ref="CU99" si="4666">CT99*$E99</f>
        <v>0</v>
      </c>
      <c r="CV99" s="123"/>
      <c r="CW99" s="124">
        <f t="shared" ref="CW99" si="4667">CV99*$E99</f>
        <v>0</v>
      </c>
      <c r="CX99" s="123"/>
      <c r="CY99" s="124">
        <f t="shared" ref="CY99" si="4668">CX99*$E99</f>
        <v>0</v>
      </c>
      <c r="CZ99" s="123"/>
      <c r="DA99" s="124">
        <f t="shared" ref="DA99" si="4669">CZ99*$E99</f>
        <v>0</v>
      </c>
      <c r="DB99" s="123"/>
      <c r="DC99" s="124">
        <f t="shared" si="3198"/>
        <v>0</v>
      </c>
      <c r="DD99" s="123"/>
      <c r="DE99" s="124">
        <f t="shared" si="3198"/>
        <v>0</v>
      </c>
      <c r="DF99" s="27">
        <f t="shared" si="3145"/>
        <v>0</v>
      </c>
      <c r="DG99" s="124">
        <f t="shared" si="3199"/>
        <v>0</v>
      </c>
    </row>
    <row r="100" spans="1:111" ht="18" customHeight="1" x14ac:dyDescent="0.5">
      <c r="A100" s="117"/>
      <c r="B100" s="122"/>
      <c r="C100" s="122"/>
      <c r="D100" s="117"/>
      <c r="E100" s="117"/>
      <c r="F100" s="117"/>
      <c r="G100" s="117"/>
      <c r="H100" s="123"/>
      <c r="I100" s="124">
        <f t="shared" ref="I100" si="4670">H100*$E100</f>
        <v>0</v>
      </c>
      <c r="J100" s="123"/>
      <c r="K100" s="124">
        <f t="shared" ref="K100" si="4671">J100*$E100</f>
        <v>0</v>
      </c>
      <c r="L100" s="123"/>
      <c r="M100" s="124">
        <f t="shared" ref="M100" si="4672">L100*$E100</f>
        <v>0</v>
      </c>
      <c r="N100" s="123"/>
      <c r="O100" s="124">
        <f t="shared" ref="O100" si="4673">N100*$E100</f>
        <v>0</v>
      </c>
      <c r="P100" s="123"/>
      <c r="Q100" s="124">
        <f t="shared" ref="Q100" si="4674">P100*$E100</f>
        <v>0</v>
      </c>
      <c r="R100" s="123"/>
      <c r="S100" s="124">
        <f t="shared" ref="S100" si="4675">R100*$E100</f>
        <v>0</v>
      </c>
      <c r="T100" s="123"/>
      <c r="U100" s="124">
        <f t="shared" ref="U100" si="4676">T100*$E100</f>
        <v>0</v>
      </c>
      <c r="V100" s="123"/>
      <c r="W100" s="124">
        <f t="shared" ref="W100" si="4677">V100*$E100</f>
        <v>0</v>
      </c>
      <c r="X100" s="123"/>
      <c r="Y100" s="124">
        <f t="shared" ref="Y100" si="4678">X100*$E100</f>
        <v>0</v>
      </c>
      <c r="Z100" s="123"/>
      <c r="AA100" s="124">
        <f t="shared" ref="AA100" si="4679">Z100*$E100</f>
        <v>0</v>
      </c>
      <c r="AB100" s="123"/>
      <c r="AC100" s="124">
        <f t="shared" ref="AC100" si="4680">AB100*$E100</f>
        <v>0</v>
      </c>
      <c r="AD100" s="123"/>
      <c r="AE100" s="124">
        <f t="shared" ref="AE100" si="4681">AD100*$E100</f>
        <v>0</v>
      </c>
      <c r="AF100" s="125">
        <f t="shared" si="3158"/>
        <v>0</v>
      </c>
      <c r="AG100" s="126">
        <f t="shared" ref="AG100" si="4682">AF100*$E100</f>
        <v>0</v>
      </c>
      <c r="AH100" s="11"/>
      <c r="AI100" s="124">
        <f t="shared" ref="AI100" si="4683">AH100*$E100</f>
        <v>0</v>
      </c>
      <c r="AJ100" s="15"/>
      <c r="AK100" s="124">
        <f t="shared" ref="AK100" si="4684">AJ100*$E100</f>
        <v>0</v>
      </c>
      <c r="AL100" s="15"/>
      <c r="AM100" s="124">
        <f t="shared" ref="AM100" si="4685">AL100*$E100</f>
        <v>0</v>
      </c>
      <c r="AN100" s="16"/>
      <c r="AO100" s="124">
        <f t="shared" ref="AO100" si="4686">AN100*$E100</f>
        <v>0</v>
      </c>
      <c r="AP100" s="15"/>
      <c r="AQ100" s="124">
        <f t="shared" ref="AQ100" si="4687">AP100*$E100</f>
        <v>0</v>
      </c>
      <c r="AR100" s="15"/>
      <c r="AS100" s="124">
        <f t="shared" ref="AS100" si="4688">AR100*$E100</f>
        <v>0</v>
      </c>
      <c r="AT100" s="17"/>
      <c r="AU100" s="124">
        <f t="shared" ref="AU100" si="4689">AT100*$E100</f>
        <v>0</v>
      </c>
      <c r="AV100" s="15"/>
      <c r="AW100" s="124">
        <f t="shared" ref="AW100" si="4690">AV100*$E100</f>
        <v>0</v>
      </c>
      <c r="AX100" s="15"/>
      <c r="AY100" s="124">
        <f t="shared" ref="AY100" si="4691">AX100*$E100</f>
        <v>0</v>
      </c>
      <c r="AZ100" s="17"/>
      <c r="BA100" s="124">
        <f t="shared" ref="BA100" si="4692">AZ100*$E100</f>
        <v>0</v>
      </c>
      <c r="BB100" s="33"/>
      <c r="BC100" s="124">
        <f t="shared" ref="BC100" si="4693">BB100*$E100</f>
        <v>0</v>
      </c>
      <c r="BD100" s="33"/>
      <c r="BE100" s="124">
        <f t="shared" ref="BE100" si="4694">BD100*$E100</f>
        <v>0</v>
      </c>
      <c r="BF100" s="125">
        <f t="shared" si="3172"/>
        <v>0</v>
      </c>
      <c r="BG100" s="126">
        <f t="shared" ref="BG100" si="4695">BF100*$E100</f>
        <v>0</v>
      </c>
      <c r="BH100" s="123"/>
      <c r="BI100" s="124">
        <f t="shared" ref="BI100" si="4696">BH100*$E100</f>
        <v>0</v>
      </c>
      <c r="BJ100" s="123"/>
      <c r="BK100" s="124">
        <f t="shared" ref="BK100" si="4697">BJ100*$E100</f>
        <v>0</v>
      </c>
      <c r="BL100" s="123"/>
      <c r="BM100" s="124">
        <f t="shared" ref="BM100" si="4698">BL100*$E100</f>
        <v>0</v>
      </c>
      <c r="BN100" s="123"/>
      <c r="BO100" s="124">
        <f t="shared" ref="BO100" si="4699">BN100*$E100</f>
        <v>0</v>
      </c>
      <c r="BP100" s="123"/>
      <c r="BQ100" s="124">
        <f t="shared" ref="BQ100" si="4700">BP100*$E100</f>
        <v>0</v>
      </c>
      <c r="BR100" s="123"/>
      <c r="BS100" s="124">
        <f t="shared" ref="BS100" si="4701">BR100*$E100</f>
        <v>0</v>
      </c>
      <c r="BT100" s="123"/>
      <c r="BU100" s="124">
        <f t="shared" ref="BU100" si="4702">BT100*$E100</f>
        <v>0</v>
      </c>
      <c r="BV100" s="123"/>
      <c r="BW100" s="124">
        <f t="shared" ref="BW100" si="4703">BV100*$E100</f>
        <v>0</v>
      </c>
      <c r="BX100" s="123"/>
      <c r="BY100" s="124">
        <f t="shared" ref="BY100" si="4704">BX100*$E100</f>
        <v>0</v>
      </c>
      <c r="BZ100" s="123"/>
      <c r="CA100" s="124">
        <f t="shared" ref="CA100" si="4705">BZ100*$E100</f>
        <v>0</v>
      </c>
      <c r="CB100" s="123"/>
      <c r="CC100" s="124">
        <f t="shared" ref="CC100" si="4706">CB100*$E100</f>
        <v>0</v>
      </c>
      <c r="CD100" s="123"/>
      <c r="CE100" s="124">
        <f t="shared" ref="CE100" si="4707">CD100*$E100</f>
        <v>0</v>
      </c>
      <c r="CF100" s="125">
        <f t="shared" si="3186"/>
        <v>0</v>
      </c>
      <c r="CG100" s="126">
        <f t="shared" ref="CG100" si="4708">CF100*$E100</f>
        <v>0</v>
      </c>
      <c r="CH100" s="123"/>
      <c r="CI100" s="124">
        <f t="shared" ref="CI100" si="4709">CH100*$E100</f>
        <v>0</v>
      </c>
      <c r="CJ100" s="123"/>
      <c r="CK100" s="124">
        <f t="shared" ref="CK100" si="4710">CJ100*$E100</f>
        <v>0</v>
      </c>
      <c r="CL100" s="123"/>
      <c r="CM100" s="124">
        <f t="shared" ref="CM100" si="4711">CL100*$E100</f>
        <v>0</v>
      </c>
      <c r="CN100" s="123"/>
      <c r="CO100" s="124">
        <f t="shared" ref="CO100" si="4712">CN100*$E100</f>
        <v>0</v>
      </c>
      <c r="CP100" s="123"/>
      <c r="CQ100" s="124">
        <f t="shared" ref="CQ100" si="4713">CP100*$E100</f>
        <v>0</v>
      </c>
      <c r="CR100" s="123"/>
      <c r="CS100" s="124">
        <f t="shared" ref="CS100" si="4714">CR100*$E100</f>
        <v>0</v>
      </c>
      <c r="CT100" s="123"/>
      <c r="CU100" s="124">
        <f t="shared" ref="CU100" si="4715">CT100*$E100</f>
        <v>0</v>
      </c>
      <c r="CV100" s="123"/>
      <c r="CW100" s="124">
        <f t="shared" ref="CW100" si="4716">CV100*$E100</f>
        <v>0</v>
      </c>
      <c r="CX100" s="123"/>
      <c r="CY100" s="124">
        <f t="shared" ref="CY100" si="4717">CX100*$E100</f>
        <v>0</v>
      </c>
      <c r="CZ100" s="123"/>
      <c r="DA100" s="124">
        <f t="shared" ref="DA100" si="4718">CZ100*$E100</f>
        <v>0</v>
      </c>
      <c r="DB100" s="123"/>
      <c r="DC100" s="124">
        <f t="shared" si="3198"/>
        <v>0</v>
      </c>
      <c r="DD100" s="123"/>
      <c r="DE100" s="124">
        <f t="shared" si="3198"/>
        <v>0</v>
      </c>
      <c r="DF100" s="27">
        <f t="shared" si="3145"/>
        <v>0</v>
      </c>
      <c r="DG100" s="124">
        <f t="shared" si="3199"/>
        <v>0</v>
      </c>
    </row>
    <row r="101" spans="1:111" ht="18" customHeight="1" x14ac:dyDescent="0.5">
      <c r="A101" s="117">
        <v>81</v>
      </c>
      <c r="B101" s="122" t="s">
        <v>196</v>
      </c>
      <c r="C101" s="122" t="s">
        <v>231</v>
      </c>
      <c r="D101" s="117"/>
      <c r="E101" s="117">
        <v>0.64</v>
      </c>
      <c r="F101" s="117" t="s">
        <v>239</v>
      </c>
      <c r="G101" s="117"/>
      <c r="H101" s="123"/>
      <c r="I101" s="124">
        <f t="shared" ref="I101" si="4719">H101*$E101</f>
        <v>0</v>
      </c>
      <c r="J101" s="123"/>
      <c r="K101" s="124">
        <f t="shared" ref="K101" si="4720">J101*$E101</f>
        <v>0</v>
      </c>
      <c r="L101" s="123"/>
      <c r="M101" s="124">
        <f t="shared" ref="M101" si="4721">L101*$E101</f>
        <v>0</v>
      </c>
      <c r="N101" s="123"/>
      <c r="O101" s="124">
        <f t="shared" ref="O101" si="4722">N101*$E101</f>
        <v>0</v>
      </c>
      <c r="P101" s="123"/>
      <c r="Q101" s="124">
        <f t="shared" ref="Q101" si="4723">P101*$E101</f>
        <v>0</v>
      </c>
      <c r="R101" s="123"/>
      <c r="S101" s="124">
        <f t="shared" ref="S101" si="4724">R101*$E101</f>
        <v>0</v>
      </c>
      <c r="T101" s="123"/>
      <c r="U101" s="124">
        <f t="shared" ref="U101" si="4725">T101*$E101</f>
        <v>0</v>
      </c>
      <c r="V101" s="123"/>
      <c r="W101" s="124">
        <f t="shared" ref="W101" si="4726">V101*$E101</f>
        <v>0</v>
      </c>
      <c r="X101" s="123"/>
      <c r="Y101" s="124">
        <f t="shared" ref="Y101" si="4727">X101*$E101</f>
        <v>0</v>
      </c>
      <c r="Z101" s="123"/>
      <c r="AA101" s="124">
        <f t="shared" ref="AA101" si="4728">Z101*$E101</f>
        <v>0</v>
      </c>
      <c r="AB101" s="123"/>
      <c r="AC101" s="124">
        <f t="shared" ref="AC101" si="4729">AB101*$E101</f>
        <v>0</v>
      </c>
      <c r="AD101" s="123"/>
      <c r="AE101" s="124">
        <f t="shared" ref="AE101" si="4730">AD101*$E101</f>
        <v>0</v>
      </c>
      <c r="AF101" s="125">
        <f t="shared" si="3158"/>
        <v>0</v>
      </c>
      <c r="AG101" s="126">
        <f t="shared" ref="AG101" si="4731">AF101*$E101</f>
        <v>0</v>
      </c>
      <c r="AH101" s="11"/>
      <c r="AI101" s="124">
        <f t="shared" ref="AI101" si="4732">AH101*$E101</f>
        <v>0</v>
      </c>
      <c r="AJ101" s="15"/>
      <c r="AK101" s="124">
        <f t="shared" ref="AK101" si="4733">AJ101*$E101</f>
        <v>0</v>
      </c>
      <c r="AL101" s="15"/>
      <c r="AM101" s="124">
        <f t="shared" ref="AM101" si="4734">AL101*$E101</f>
        <v>0</v>
      </c>
      <c r="AN101" s="16"/>
      <c r="AO101" s="124">
        <f t="shared" ref="AO101" si="4735">AN101*$E101</f>
        <v>0</v>
      </c>
      <c r="AP101" s="15"/>
      <c r="AQ101" s="124">
        <f t="shared" ref="AQ101" si="4736">AP101*$E101</f>
        <v>0</v>
      </c>
      <c r="AR101" s="15"/>
      <c r="AS101" s="124">
        <f t="shared" ref="AS101" si="4737">AR101*$E101</f>
        <v>0</v>
      </c>
      <c r="AT101" s="17"/>
      <c r="AU101" s="124">
        <f t="shared" ref="AU101" si="4738">AT101*$E101</f>
        <v>0</v>
      </c>
      <c r="AV101" s="15"/>
      <c r="AW101" s="124">
        <f t="shared" ref="AW101" si="4739">AV101*$E101</f>
        <v>0</v>
      </c>
      <c r="AX101" s="15"/>
      <c r="AY101" s="124">
        <f t="shared" ref="AY101" si="4740">AX101*$E101</f>
        <v>0</v>
      </c>
      <c r="AZ101" s="17"/>
      <c r="BA101" s="124">
        <f t="shared" ref="BA101" si="4741">AZ101*$E101</f>
        <v>0</v>
      </c>
      <c r="BB101" s="33"/>
      <c r="BC101" s="124">
        <f t="shared" ref="BC101" si="4742">BB101*$E101</f>
        <v>0</v>
      </c>
      <c r="BD101" s="33"/>
      <c r="BE101" s="124">
        <f t="shared" ref="BE101" si="4743">BD101*$E101</f>
        <v>0</v>
      </c>
      <c r="BF101" s="125">
        <f t="shared" si="3172"/>
        <v>0</v>
      </c>
      <c r="BG101" s="126">
        <f t="shared" ref="BG101" si="4744">BF101*$E101</f>
        <v>0</v>
      </c>
      <c r="BH101" s="123"/>
      <c r="BI101" s="124">
        <f t="shared" ref="BI101" si="4745">BH101*$E101</f>
        <v>0</v>
      </c>
      <c r="BJ101" s="123"/>
      <c r="BK101" s="124">
        <f t="shared" ref="BK101" si="4746">BJ101*$E101</f>
        <v>0</v>
      </c>
      <c r="BL101" s="123"/>
      <c r="BM101" s="124">
        <f t="shared" ref="BM101" si="4747">BL101*$E101</f>
        <v>0</v>
      </c>
      <c r="BN101" s="123"/>
      <c r="BO101" s="124">
        <f t="shared" ref="BO101" si="4748">BN101*$E101</f>
        <v>0</v>
      </c>
      <c r="BP101" s="123"/>
      <c r="BQ101" s="124">
        <f t="shared" ref="BQ101" si="4749">BP101*$E101</f>
        <v>0</v>
      </c>
      <c r="BR101" s="123"/>
      <c r="BS101" s="124">
        <f t="shared" ref="BS101" si="4750">BR101*$E101</f>
        <v>0</v>
      </c>
      <c r="BT101" s="123"/>
      <c r="BU101" s="124">
        <f t="shared" ref="BU101" si="4751">BT101*$E101</f>
        <v>0</v>
      </c>
      <c r="BV101" s="123"/>
      <c r="BW101" s="124">
        <f t="shared" ref="BW101" si="4752">BV101*$E101</f>
        <v>0</v>
      </c>
      <c r="BX101" s="123"/>
      <c r="BY101" s="124">
        <f t="shared" ref="BY101" si="4753">BX101*$E101</f>
        <v>0</v>
      </c>
      <c r="BZ101" s="123"/>
      <c r="CA101" s="124">
        <f t="shared" ref="CA101" si="4754">BZ101*$E101</f>
        <v>0</v>
      </c>
      <c r="CB101" s="123"/>
      <c r="CC101" s="124">
        <f t="shared" ref="CC101" si="4755">CB101*$E101</f>
        <v>0</v>
      </c>
      <c r="CD101" s="123"/>
      <c r="CE101" s="124">
        <f t="shared" ref="CE101" si="4756">CD101*$E101</f>
        <v>0</v>
      </c>
      <c r="CF101" s="125">
        <f t="shared" si="3186"/>
        <v>0</v>
      </c>
      <c r="CG101" s="126">
        <f t="shared" ref="CG101" si="4757">CF101*$E101</f>
        <v>0</v>
      </c>
      <c r="CH101" s="123"/>
      <c r="CI101" s="124">
        <f t="shared" ref="CI101" si="4758">CH101*$E101</f>
        <v>0</v>
      </c>
      <c r="CJ101" s="123"/>
      <c r="CK101" s="124">
        <f t="shared" ref="CK101" si="4759">CJ101*$E101</f>
        <v>0</v>
      </c>
      <c r="CL101" s="123"/>
      <c r="CM101" s="124">
        <f t="shared" ref="CM101" si="4760">CL101*$E101</f>
        <v>0</v>
      </c>
      <c r="CN101" s="123"/>
      <c r="CO101" s="124">
        <f t="shared" ref="CO101" si="4761">CN101*$E101</f>
        <v>0</v>
      </c>
      <c r="CP101" s="123"/>
      <c r="CQ101" s="124">
        <f t="shared" ref="CQ101" si="4762">CP101*$E101</f>
        <v>0</v>
      </c>
      <c r="CR101" s="123"/>
      <c r="CS101" s="124">
        <f t="shared" ref="CS101" si="4763">CR101*$E101</f>
        <v>0</v>
      </c>
      <c r="CT101" s="123"/>
      <c r="CU101" s="124">
        <f t="shared" ref="CU101" si="4764">CT101*$E101</f>
        <v>0</v>
      </c>
      <c r="CV101" s="123"/>
      <c r="CW101" s="124">
        <f t="shared" ref="CW101" si="4765">CV101*$E101</f>
        <v>0</v>
      </c>
      <c r="CX101" s="123"/>
      <c r="CY101" s="124">
        <f t="shared" ref="CY101" si="4766">CX101*$E101</f>
        <v>0</v>
      </c>
      <c r="CZ101" s="123"/>
      <c r="DA101" s="124">
        <f t="shared" ref="DA101" si="4767">CZ101*$E101</f>
        <v>0</v>
      </c>
      <c r="DB101" s="123"/>
      <c r="DC101" s="124">
        <f t="shared" si="3198"/>
        <v>0</v>
      </c>
      <c r="DD101" s="123"/>
      <c r="DE101" s="124">
        <f t="shared" si="3198"/>
        <v>0</v>
      </c>
      <c r="DF101" s="27">
        <f t="shared" si="3145"/>
        <v>0</v>
      </c>
      <c r="DG101" s="124">
        <f t="shared" si="3199"/>
        <v>0</v>
      </c>
    </row>
    <row r="102" spans="1:111" x14ac:dyDescent="0.5">
      <c r="A102" s="117">
        <v>82</v>
      </c>
      <c r="B102" s="122" t="s">
        <v>240</v>
      </c>
      <c r="C102" s="122" t="s">
        <v>233</v>
      </c>
      <c r="D102" s="117"/>
      <c r="E102" s="117">
        <v>1</v>
      </c>
      <c r="F102" s="117" t="s">
        <v>237</v>
      </c>
      <c r="G102" s="117"/>
      <c r="H102" s="123"/>
      <c r="I102" s="124">
        <f t="shared" ref="I102" si="4768">H102*$E102</f>
        <v>0</v>
      </c>
      <c r="J102" s="123"/>
      <c r="K102" s="124">
        <f t="shared" ref="K102" si="4769">J102*$E102</f>
        <v>0</v>
      </c>
      <c r="L102" s="123"/>
      <c r="M102" s="124">
        <f t="shared" ref="M102" si="4770">L102*$E102</f>
        <v>0</v>
      </c>
      <c r="N102" s="123"/>
      <c r="O102" s="124">
        <f t="shared" ref="O102" si="4771">N102*$E102</f>
        <v>0</v>
      </c>
      <c r="P102" s="123"/>
      <c r="Q102" s="124">
        <f t="shared" ref="Q102" si="4772">P102*$E102</f>
        <v>0</v>
      </c>
      <c r="R102" s="123"/>
      <c r="S102" s="124">
        <f t="shared" ref="S102" si="4773">R102*$E102</f>
        <v>0</v>
      </c>
      <c r="T102" s="123"/>
      <c r="U102" s="124">
        <f t="shared" ref="U102" si="4774">T102*$E102</f>
        <v>0</v>
      </c>
      <c r="V102" s="123"/>
      <c r="W102" s="124">
        <f t="shared" ref="W102" si="4775">V102*$E102</f>
        <v>0</v>
      </c>
      <c r="X102" s="123"/>
      <c r="Y102" s="124">
        <f t="shared" ref="Y102" si="4776">X102*$E102</f>
        <v>0</v>
      </c>
      <c r="Z102" s="123"/>
      <c r="AA102" s="124">
        <f t="shared" ref="AA102" si="4777">Z102*$E102</f>
        <v>0</v>
      </c>
      <c r="AB102" s="123"/>
      <c r="AC102" s="124">
        <f t="shared" ref="AC102" si="4778">AB102*$E102</f>
        <v>0</v>
      </c>
      <c r="AD102" s="123"/>
      <c r="AE102" s="124">
        <f t="shared" ref="AE102" si="4779">AD102*$E102</f>
        <v>0</v>
      </c>
      <c r="AF102" s="125">
        <f t="shared" si="3158"/>
        <v>0</v>
      </c>
      <c r="AG102" s="126">
        <f t="shared" ref="AG102" si="4780">AF102*$E102</f>
        <v>0</v>
      </c>
      <c r="AH102" s="123"/>
      <c r="AI102" s="124">
        <f t="shared" ref="AI102" si="4781">AH102*$E102</f>
        <v>0</v>
      </c>
      <c r="AJ102" s="123"/>
      <c r="AK102" s="124">
        <f t="shared" ref="AK102" si="4782">AJ102*$E102</f>
        <v>0</v>
      </c>
      <c r="AL102" s="123"/>
      <c r="AM102" s="124">
        <f t="shared" ref="AM102" si="4783">AL102*$E102</f>
        <v>0</v>
      </c>
      <c r="AN102" s="123"/>
      <c r="AO102" s="124">
        <f t="shared" ref="AO102" si="4784">AN102*$E102</f>
        <v>0</v>
      </c>
      <c r="AP102" s="123"/>
      <c r="AQ102" s="124">
        <f t="shared" ref="AQ102" si="4785">AP102*$E102</f>
        <v>0</v>
      </c>
      <c r="AR102" s="123"/>
      <c r="AS102" s="124">
        <f t="shared" ref="AS102" si="4786">AR102*$E102</f>
        <v>0</v>
      </c>
      <c r="AT102" s="123"/>
      <c r="AU102" s="124">
        <f t="shared" ref="AU102" si="4787">AT102*$E102</f>
        <v>0</v>
      </c>
      <c r="AV102" s="123"/>
      <c r="AW102" s="124">
        <f t="shared" ref="AW102" si="4788">AV102*$E102</f>
        <v>0</v>
      </c>
      <c r="AX102" s="123"/>
      <c r="AY102" s="124">
        <f t="shared" ref="AY102" si="4789">AX102*$E102</f>
        <v>0</v>
      </c>
      <c r="AZ102" s="123"/>
      <c r="BA102" s="124">
        <f t="shared" ref="BA102" si="4790">AZ102*$E102</f>
        <v>0</v>
      </c>
      <c r="BB102" s="123"/>
      <c r="BC102" s="124">
        <f t="shared" ref="BC102" si="4791">BB102*$E102</f>
        <v>0</v>
      </c>
      <c r="BD102" s="123"/>
      <c r="BE102" s="124">
        <f t="shared" ref="BE102" si="4792">BD102*$E102</f>
        <v>0</v>
      </c>
      <c r="BF102" s="125">
        <f t="shared" si="3172"/>
        <v>0</v>
      </c>
      <c r="BG102" s="126">
        <f t="shared" ref="BG102" si="4793">BF102*$E102</f>
        <v>0</v>
      </c>
      <c r="BH102" s="123"/>
      <c r="BI102" s="124">
        <f t="shared" ref="BI102" si="4794">BH102*$E102</f>
        <v>0</v>
      </c>
      <c r="BJ102" s="123"/>
      <c r="BK102" s="124">
        <f t="shared" ref="BK102" si="4795">BJ102*$E102</f>
        <v>0</v>
      </c>
      <c r="BL102" s="123"/>
      <c r="BM102" s="124">
        <f t="shared" ref="BM102" si="4796">BL102*$E102</f>
        <v>0</v>
      </c>
      <c r="BN102" s="123"/>
      <c r="BO102" s="124">
        <f t="shared" ref="BO102" si="4797">BN102*$E102</f>
        <v>0</v>
      </c>
      <c r="BP102" s="123"/>
      <c r="BQ102" s="124">
        <f t="shared" ref="BQ102" si="4798">BP102*$E102</f>
        <v>0</v>
      </c>
      <c r="BR102" s="123"/>
      <c r="BS102" s="124">
        <f t="shared" ref="BS102" si="4799">BR102*$E102</f>
        <v>0</v>
      </c>
      <c r="BT102" s="123"/>
      <c r="BU102" s="124">
        <f t="shared" ref="BU102" si="4800">BT102*$E102</f>
        <v>0</v>
      </c>
      <c r="BV102" s="123"/>
      <c r="BW102" s="124">
        <f t="shared" ref="BW102" si="4801">BV102*$E102</f>
        <v>0</v>
      </c>
      <c r="BX102" s="123"/>
      <c r="BY102" s="124">
        <f t="shared" ref="BY102" si="4802">BX102*$E102</f>
        <v>0</v>
      </c>
      <c r="BZ102" s="123"/>
      <c r="CA102" s="124">
        <f t="shared" ref="CA102" si="4803">BZ102*$E102</f>
        <v>0</v>
      </c>
      <c r="CB102" s="123"/>
      <c r="CC102" s="124">
        <f t="shared" ref="CC102" si="4804">CB102*$E102</f>
        <v>0</v>
      </c>
      <c r="CD102" s="123"/>
      <c r="CE102" s="124">
        <f t="shared" ref="CE102" si="4805">CD102*$E102</f>
        <v>0</v>
      </c>
      <c r="CF102" s="125">
        <f t="shared" si="3186"/>
        <v>0</v>
      </c>
      <c r="CG102" s="126">
        <f t="shared" ref="CG102" si="4806">CF102*$E102</f>
        <v>0</v>
      </c>
      <c r="CH102" s="129"/>
      <c r="CI102" s="124">
        <f t="shared" ref="CI102" si="4807">CH102*$E102</f>
        <v>0</v>
      </c>
      <c r="CJ102" s="123"/>
      <c r="CK102" s="124">
        <f t="shared" ref="CK102" si="4808">CJ102*$E102</f>
        <v>0</v>
      </c>
      <c r="CL102" s="123"/>
      <c r="CM102" s="124">
        <f t="shared" ref="CM102" si="4809">CL102*$E102</f>
        <v>0</v>
      </c>
      <c r="CN102" s="123"/>
      <c r="CO102" s="124">
        <f t="shared" ref="CO102" si="4810">CN102*$E102</f>
        <v>0</v>
      </c>
      <c r="CP102" s="123"/>
      <c r="CQ102" s="124">
        <f t="shared" ref="CQ102" si="4811">CP102*$E102</f>
        <v>0</v>
      </c>
      <c r="CR102" s="123"/>
      <c r="CS102" s="124">
        <f t="shared" ref="CS102" si="4812">CR102*$E102</f>
        <v>0</v>
      </c>
      <c r="CT102" s="123"/>
      <c r="CU102" s="124">
        <f t="shared" ref="CU102" si="4813">CT102*$E102</f>
        <v>0</v>
      </c>
      <c r="CV102" s="123"/>
      <c r="CW102" s="124">
        <f t="shared" ref="CW102" si="4814">CV102*$E102</f>
        <v>0</v>
      </c>
      <c r="CX102" s="123"/>
      <c r="CY102" s="124">
        <f t="shared" ref="CY102" si="4815">CX102*$E102</f>
        <v>0</v>
      </c>
      <c r="CZ102" s="123"/>
      <c r="DA102" s="124">
        <f t="shared" ref="DA102" si="4816">CZ102*$E102</f>
        <v>0</v>
      </c>
      <c r="DB102" s="123"/>
      <c r="DC102" s="124">
        <f t="shared" si="3198"/>
        <v>0</v>
      </c>
      <c r="DD102" s="123"/>
      <c r="DE102" s="124">
        <f t="shared" si="3198"/>
        <v>0</v>
      </c>
      <c r="DF102" s="27">
        <f t="shared" si="3145"/>
        <v>0</v>
      </c>
      <c r="DG102" s="124">
        <f t="shared" si="3199"/>
        <v>0</v>
      </c>
    </row>
    <row r="103" spans="1:111" x14ac:dyDescent="0.5">
      <c r="A103" s="117">
        <v>83</v>
      </c>
      <c r="B103" s="122" t="s">
        <v>240</v>
      </c>
      <c r="C103" s="122" t="s">
        <v>233</v>
      </c>
      <c r="D103" s="117"/>
      <c r="E103" s="117">
        <v>0.6</v>
      </c>
      <c r="F103" s="117" t="s">
        <v>237</v>
      </c>
      <c r="G103" s="117"/>
      <c r="H103" s="123"/>
      <c r="I103" s="124">
        <f t="shared" ref="I103" si="4817">H103*$E103</f>
        <v>0</v>
      </c>
      <c r="J103" s="123"/>
      <c r="K103" s="124">
        <f t="shared" ref="K103" si="4818">J103*$E103</f>
        <v>0</v>
      </c>
      <c r="L103" s="123"/>
      <c r="M103" s="124">
        <f t="shared" ref="M103" si="4819">L103*$E103</f>
        <v>0</v>
      </c>
      <c r="N103" s="123"/>
      <c r="O103" s="124">
        <f t="shared" ref="O103" si="4820">N103*$E103</f>
        <v>0</v>
      </c>
      <c r="P103" s="123"/>
      <c r="Q103" s="124">
        <f t="shared" ref="Q103" si="4821">P103*$E103</f>
        <v>0</v>
      </c>
      <c r="R103" s="123"/>
      <c r="S103" s="124">
        <f t="shared" ref="S103" si="4822">R103*$E103</f>
        <v>0</v>
      </c>
      <c r="T103" s="123"/>
      <c r="U103" s="124">
        <f t="shared" ref="U103" si="4823">T103*$E103</f>
        <v>0</v>
      </c>
      <c r="V103" s="123"/>
      <c r="W103" s="124">
        <f t="shared" ref="W103" si="4824">V103*$E103</f>
        <v>0</v>
      </c>
      <c r="X103" s="123"/>
      <c r="Y103" s="124">
        <f t="shared" ref="Y103" si="4825">X103*$E103</f>
        <v>0</v>
      </c>
      <c r="Z103" s="123"/>
      <c r="AA103" s="124">
        <f t="shared" ref="AA103" si="4826">Z103*$E103</f>
        <v>0</v>
      </c>
      <c r="AB103" s="123"/>
      <c r="AC103" s="124">
        <f t="shared" ref="AC103" si="4827">AB103*$E103</f>
        <v>0</v>
      </c>
      <c r="AD103" s="123"/>
      <c r="AE103" s="124">
        <f t="shared" ref="AE103" si="4828">AD103*$E103</f>
        <v>0</v>
      </c>
      <c r="AF103" s="125">
        <f t="shared" si="3158"/>
        <v>0</v>
      </c>
      <c r="AG103" s="126">
        <f t="shared" ref="AG103" si="4829">AF103*$E103</f>
        <v>0</v>
      </c>
      <c r="AH103" s="123"/>
      <c r="AI103" s="124">
        <f t="shared" ref="AI103" si="4830">AH103*$E103</f>
        <v>0</v>
      </c>
      <c r="AJ103" s="123"/>
      <c r="AK103" s="124">
        <f t="shared" ref="AK103" si="4831">AJ103*$E103</f>
        <v>0</v>
      </c>
      <c r="AL103" s="123"/>
      <c r="AM103" s="124">
        <f t="shared" ref="AM103" si="4832">AL103*$E103</f>
        <v>0</v>
      </c>
      <c r="AN103" s="123"/>
      <c r="AO103" s="124">
        <f t="shared" ref="AO103" si="4833">AN103*$E103</f>
        <v>0</v>
      </c>
      <c r="AP103" s="123"/>
      <c r="AQ103" s="124">
        <f t="shared" ref="AQ103" si="4834">AP103*$E103</f>
        <v>0</v>
      </c>
      <c r="AR103" s="123"/>
      <c r="AS103" s="124">
        <f t="shared" ref="AS103" si="4835">AR103*$E103</f>
        <v>0</v>
      </c>
      <c r="AT103" s="123"/>
      <c r="AU103" s="124">
        <f t="shared" ref="AU103" si="4836">AT103*$E103</f>
        <v>0</v>
      </c>
      <c r="AV103" s="123"/>
      <c r="AW103" s="124">
        <f t="shared" ref="AW103" si="4837">AV103*$E103</f>
        <v>0</v>
      </c>
      <c r="AX103" s="123"/>
      <c r="AY103" s="124">
        <f t="shared" ref="AY103" si="4838">AX103*$E103</f>
        <v>0</v>
      </c>
      <c r="AZ103" s="123"/>
      <c r="BA103" s="124">
        <f t="shared" ref="BA103" si="4839">AZ103*$E103</f>
        <v>0</v>
      </c>
      <c r="BB103" s="123"/>
      <c r="BC103" s="124">
        <f t="shared" ref="BC103" si="4840">BB103*$E103</f>
        <v>0</v>
      </c>
      <c r="BD103" s="123"/>
      <c r="BE103" s="124">
        <f t="shared" ref="BE103" si="4841">BD103*$E103</f>
        <v>0</v>
      </c>
      <c r="BF103" s="125">
        <f t="shared" si="3172"/>
        <v>0</v>
      </c>
      <c r="BG103" s="126">
        <f t="shared" ref="BG103" si="4842">BF103*$E103</f>
        <v>0</v>
      </c>
      <c r="BH103" s="123"/>
      <c r="BI103" s="124">
        <f t="shared" ref="BI103" si="4843">BH103*$E103</f>
        <v>0</v>
      </c>
      <c r="BJ103" s="123"/>
      <c r="BK103" s="124">
        <f t="shared" ref="BK103" si="4844">BJ103*$E103</f>
        <v>0</v>
      </c>
      <c r="BL103" s="123"/>
      <c r="BM103" s="124">
        <f t="shared" ref="BM103" si="4845">BL103*$E103</f>
        <v>0</v>
      </c>
      <c r="BN103" s="123"/>
      <c r="BO103" s="124">
        <f t="shared" ref="BO103" si="4846">BN103*$E103</f>
        <v>0</v>
      </c>
      <c r="BP103" s="123"/>
      <c r="BQ103" s="124">
        <f t="shared" ref="BQ103" si="4847">BP103*$E103</f>
        <v>0</v>
      </c>
      <c r="BR103" s="123"/>
      <c r="BS103" s="124">
        <f t="shared" ref="BS103" si="4848">BR103*$E103</f>
        <v>0</v>
      </c>
      <c r="BT103" s="123"/>
      <c r="BU103" s="124">
        <f t="shared" ref="BU103" si="4849">BT103*$E103</f>
        <v>0</v>
      </c>
      <c r="BV103" s="123"/>
      <c r="BW103" s="124">
        <f t="shared" ref="BW103" si="4850">BV103*$E103</f>
        <v>0</v>
      </c>
      <c r="BX103" s="123"/>
      <c r="BY103" s="124">
        <f t="shared" ref="BY103" si="4851">BX103*$E103</f>
        <v>0</v>
      </c>
      <c r="BZ103" s="123"/>
      <c r="CA103" s="124">
        <f t="shared" ref="CA103" si="4852">BZ103*$E103</f>
        <v>0</v>
      </c>
      <c r="CB103" s="123"/>
      <c r="CC103" s="124">
        <f t="shared" ref="CC103" si="4853">CB103*$E103</f>
        <v>0</v>
      </c>
      <c r="CD103" s="123"/>
      <c r="CE103" s="124">
        <f t="shared" ref="CE103" si="4854">CD103*$E103</f>
        <v>0</v>
      </c>
      <c r="CF103" s="125">
        <f t="shared" si="3186"/>
        <v>0</v>
      </c>
      <c r="CG103" s="126">
        <f t="shared" ref="CG103" si="4855">CF103*$E103</f>
        <v>0</v>
      </c>
      <c r="CH103" s="129"/>
      <c r="CI103" s="124">
        <f t="shared" ref="CI103" si="4856">CH103*$E103</f>
        <v>0</v>
      </c>
      <c r="CJ103" s="123"/>
      <c r="CK103" s="124">
        <f t="shared" ref="CK103" si="4857">CJ103*$E103</f>
        <v>0</v>
      </c>
      <c r="CL103" s="123"/>
      <c r="CM103" s="124">
        <f t="shared" ref="CM103" si="4858">CL103*$E103</f>
        <v>0</v>
      </c>
      <c r="CN103" s="123"/>
      <c r="CO103" s="124">
        <f t="shared" ref="CO103" si="4859">CN103*$E103</f>
        <v>0</v>
      </c>
      <c r="CP103" s="123"/>
      <c r="CQ103" s="124">
        <f t="shared" ref="CQ103" si="4860">CP103*$E103</f>
        <v>0</v>
      </c>
      <c r="CR103" s="123"/>
      <c r="CS103" s="124">
        <f t="shared" ref="CS103" si="4861">CR103*$E103</f>
        <v>0</v>
      </c>
      <c r="CT103" s="123"/>
      <c r="CU103" s="124">
        <f t="shared" ref="CU103" si="4862">CT103*$E103</f>
        <v>0</v>
      </c>
      <c r="CV103" s="123"/>
      <c r="CW103" s="124">
        <f t="shared" ref="CW103" si="4863">CV103*$E103</f>
        <v>0</v>
      </c>
      <c r="CX103" s="123"/>
      <c r="CY103" s="124">
        <f t="shared" ref="CY103" si="4864">CX103*$E103</f>
        <v>0</v>
      </c>
      <c r="CZ103" s="123"/>
      <c r="DA103" s="124">
        <f t="shared" ref="DA103" si="4865">CZ103*$E103</f>
        <v>0</v>
      </c>
      <c r="DB103" s="123"/>
      <c r="DC103" s="124">
        <f t="shared" si="3198"/>
        <v>0</v>
      </c>
      <c r="DD103" s="123"/>
      <c r="DE103" s="124">
        <f t="shared" si="3198"/>
        <v>0</v>
      </c>
      <c r="DF103" s="27">
        <f t="shared" si="3145"/>
        <v>0</v>
      </c>
      <c r="DG103" s="124">
        <f t="shared" si="3199"/>
        <v>0</v>
      </c>
    </row>
    <row r="104" spans="1:111" x14ac:dyDescent="0.5">
      <c r="A104" s="117"/>
      <c r="B104" s="122"/>
      <c r="C104" s="122"/>
      <c r="D104" s="117"/>
      <c r="E104" s="117"/>
      <c r="F104" s="117"/>
      <c r="G104" s="117"/>
      <c r="H104" s="123"/>
      <c r="I104" s="124">
        <f t="shared" ref="I104" si="4866">H104*$E104</f>
        <v>0</v>
      </c>
      <c r="J104" s="123"/>
      <c r="K104" s="124">
        <f t="shared" ref="K104" si="4867">J104*$E104</f>
        <v>0</v>
      </c>
      <c r="L104" s="123"/>
      <c r="M104" s="124">
        <f t="shared" ref="M104" si="4868">L104*$E104</f>
        <v>0</v>
      </c>
      <c r="N104" s="123"/>
      <c r="O104" s="124">
        <f t="shared" ref="O104" si="4869">N104*$E104</f>
        <v>0</v>
      </c>
      <c r="P104" s="123"/>
      <c r="Q104" s="124">
        <f t="shared" ref="Q104" si="4870">P104*$E104</f>
        <v>0</v>
      </c>
      <c r="R104" s="123"/>
      <c r="S104" s="124">
        <f t="shared" ref="S104" si="4871">R104*$E104</f>
        <v>0</v>
      </c>
      <c r="T104" s="123"/>
      <c r="U104" s="124">
        <f t="shared" ref="U104" si="4872">T104*$E104</f>
        <v>0</v>
      </c>
      <c r="V104" s="123"/>
      <c r="W104" s="124">
        <f t="shared" ref="W104" si="4873">V104*$E104</f>
        <v>0</v>
      </c>
      <c r="X104" s="123"/>
      <c r="Y104" s="124">
        <f t="shared" ref="Y104" si="4874">X104*$E104</f>
        <v>0</v>
      </c>
      <c r="Z104" s="123"/>
      <c r="AA104" s="124">
        <f t="shared" ref="AA104" si="4875">Z104*$E104</f>
        <v>0</v>
      </c>
      <c r="AB104" s="123"/>
      <c r="AC104" s="124">
        <f t="shared" ref="AC104" si="4876">AB104*$E104</f>
        <v>0</v>
      </c>
      <c r="AD104" s="123"/>
      <c r="AE104" s="124">
        <f t="shared" ref="AE104" si="4877">AD104*$E104</f>
        <v>0</v>
      </c>
      <c r="AF104" s="125">
        <f t="shared" si="3158"/>
        <v>0</v>
      </c>
      <c r="AG104" s="126">
        <f t="shared" ref="AG104" si="4878">AF104*$E104</f>
        <v>0</v>
      </c>
      <c r="AH104" s="123"/>
      <c r="AI104" s="124">
        <f t="shared" ref="AI104" si="4879">AH104*$E104</f>
        <v>0</v>
      </c>
      <c r="AJ104" s="123"/>
      <c r="AK104" s="124">
        <f t="shared" ref="AK104" si="4880">AJ104*$E104</f>
        <v>0</v>
      </c>
      <c r="AL104" s="123"/>
      <c r="AM104" s="124">
        <f t="shared" ref="AM104" si="4881">AL104*$E104</f>
        <v>0</v>
      </c>
      <c r="AN104" s="123"/>
      <c r="AO104" s="124">
        <f t="shared" ref="AO104" si="4882">AN104*$E104</f>
        <v>0</v>
      </c>
      <c r="AP104" s="123"/>
      <c r="AQ104" s="124">
        <f t="shared" ref="AQ104" si="4883">AP104*$E104</f>
        <v>0</v>
      </c>
      <c r="AR104" s="123"/>
      <c r="AS104" s="124">
        <f t="shared" ref="AS104" si="4884">AR104*$E104</f>
        <v>0</v>
      </c>
      <c r="AT104" s="123"/>
      <c r="AU104" s="124">
        <f t="shared" ref="AU104" si="4885">AT104*$E104</f>
        <v>0</v>
      </c>
      <c r="AV104" s="123"/>
      <c r="AW104" s="124">
        <f t="shared" ref="AW104" si="4886">AV104*$E104</f>
        <v>0</v>
      </c>
      <c r="AX104" s="123"/>
      <c r="AY104" s="124">
        <f t="shared" ref="AY104" si="4887">AX104*$E104</f>
        <v>0</v>
      </c>
      <c r="AZ104" s="123"/>
      <c r="BA104" s="124">
        <f t="shared" ref="BA104" si="4888">AZ104*$E104</f>
        <v>0</v>
      </c>
      <c r="BB104" s="123"/>
      <c r="BC104" s="124">
        <f t="shared" ref="BC104" si="4889">BB104*$E104</f>
        <v>0</v>
      </c>
      <c r="BD104" s="123"/>
      <c r="BE104" s="124">
        <f t="shared" ref="BE104" si="4890">BD104*$E104</f>
        <v>0</v>
      </c>
      <c r="BF104" s="125">
        <f t="shared" si="3172"/>
        <v>0</v>
      </c>
      <c r="BG104" s="126">
        <f t="shared" ref="BG104" si="4891">BF104*$E104</f>
        <v>0</v>
      </c>
      <c r="BH104" s="123"/>
      <c r="BI104" s="124">
        <f t="shared" ref="BI104" si="4892">BH104*$E104</f>
        <v>0</v>
      </c>
      <c r="BJ104" s="123"/>
      <c r="BK104" s="124">
        <f t="shared" ref="BK104" si="4893">BJ104*$E104</f>
        <v>0</v>
      </c>
      <c r="BL104" s="123"/>
      <c r="BM104" s="124">
        <f t="shared" ref="BM104" si="4894">BL104*$E104</f>
        <v>0</v>
      </c>
      <c r="BN104" s="123"/>
      <c r="BO104" s="124">
        <f t="shared" ref="BO104" si="4895">BN104*$E104</f>
        <v>0</v>
      </c>
      <c r="BP104" s="123"/>
      <c r="BQ104" s="124">
        <f t="shared" ref="BQ104" si="4896">BP104*$E104</f>
        <v>0</v>
      </c>
      <c r="BR104" s="123"/>
      <c r="BS104" s="124">
        <f t="shared" ref="BS104" si="4897">BR104*$E104</f>
        <v>0</v>
      </c>
      <c r="BT104" s="123"/>
      <c r="BU104" s="124">
        <f t="shared" ref="BU104" si="4898">BT104*$E104</f>
        <v>0</v>
      </c>
      <c r="BV104" s="123"/>
      <c r="BW104" s="124">
        <f t="shared" ref="BW104" si="4899">BV104*$E104</f>
        <v>0</v>
      </c>
      <c r="BX104" s="123"/>
      <c r="BY104" s="124">
        <f t="shared" ref="BY104" si="4900">BX104*$E104</f>
        <v>0</v>
      </c>
      <c r="BZ104" s="123"/>
      <c r="CA104" s="124">
        <f t="shared" ref="CA104" si="4901">BZ104*$E104</f>
        <v>0</v>
      </c>
      <c r="CB104" s="123"/>
      <c r="CC104" s="124">
        <f t="shared" ref="CC104" si="4902">CB104*$E104</f>
        <v>0</v>
      </c>
      <c r="CD104" s="123"/>
      <c r="CE104" s="124">
        <f t="shared" ref="CE104" si="4903">CD104*$E104</f>
        <v>0</v>
      </c>
      <c r="CF104" s="125">
        <f t="shared" si="3186"/>
        <v>0</v>
      </c>
      <c r="CG104" s="126">
        <f t="shared" ref="CG104" si="4904">CF104*$E104</f>
        <v>0</v>
      </c>
      <c r="CH104" s="129"/>
      <c r="CI104" s="124">
        <f t="shared" ref="CI104" si="4905">CH104*$E104</f>
        <v>0</v>
      </c>
      <c r="CJ104" s="123"/>
      <c r="CK104" s="124">
        <f t="shared" ref="CK104" si="4906">CJ104*$E104</f>
        <v>0</v>
      </c>
      <c r="CL104" s="123"/>
      <c r="CM104" s="124">
        <f t="shared" ref="CM104" si="4907">CL104*$E104</f>
        <v>0</v>
      </c>
      <c r="CN104" s="123"/>
      <c r="CO104" s="124">
        <f t="shared" ref="CO104" si="4908">CN104*$E104</f>
        <v>0</v>
      </c>
      <c r="CP104" s="123"/>
      <c r="CQ104" s="124">
        <f t="shared" ref="CQ104" si="4909">CP104*$E104</f>
        <v>0</v>
      </c>
      <c r="CR104" s="123"/>
      <c r="CS104" s="124">
        <f t="shared" ref="CS104" si="4910">CR104*$E104</f>
        <v>0</v>
      </c>
      <c r="CT104" s="123"/>
      <c r="CU104" s="124">
        <f t="shared" ref="CU104" si="4911">CT104*$E104</f>
        <v>0</v>
      </c>
      <c r="CV104" s="123"/>
      <c r="CW104" s="124">
        <f t="shared" ref="CW104" si="4912">CV104*$E104</f>
        <v>0</v>
      </c>
      <c r="CX104" s="123"/>
      <c r="CY104" s="124">
        <f t="shared" ref="CY104" si="4913">CX104*$E104</f>
        <v>0</v>
      </c>
      <c r="CZ104" s="123"/>
      <c r="DA104" s="124">
        <f t="shared" ref="DA104" si="4914">CZ104*$E104</f>
        <v>0</v>
      </c>
      <c r="DB104" s="123"/>
      <c r="DC104" s="124">
        <f t="shared" si="3198"/>
        <v>0</v>
      </c>
      <c r="DD104" s="123"/>
      <c r="DE104" s="124">
        <f t="shared" si="3198"/>
        <v>0</v>
      </c>
      <c r="DF104" s="27">
        <f t="shared" si="3145"/>
        <v>0</v>
      </c>
      <c r="DG104" s="124">
        <f t="shared" si="3199"/>
        <v>0</v>
      </c>
    </row>
    <row r="105" spans="1:111" ht="18" customHeight="1" x14ac:dyDescent="0.5">
      <c r="A105" s="117">
        <v>84</v>
      </c>
      <c r="B105" s="122" t="s">
        <v>198</v>
      </c>
      <c r="C105" s="122" t="s">
        <v>233</v>
      </c>
      <c r="D105" s="117"/>
      <c r="E105" s="117">
        <v>1</v>
      </c>
      <c r="F105" s="117" t="s">
        <v>237</v>
      </c>
      <c r="G105" s="117"/>
      <c r="H105" s="123"/>
      <c r="I105" s="124">
        <f t="shared" ref="I105" si="4915">H105*$E105</f>
        <v>0</v>
      </c>
      <c r="J105" s="123"/>
      <c r="K105" s="124">
        <f t="shared" ref="K105" si="4916">J105*$E105</f>
        <v>0</v>
      </c>
      <c r="L105" s="123"/>
      <c r="M105" s="124">
        <f t="shared" ref="M105" si="4917">L105*$E105</f>
        <v>0</v>
      </c>
      <c r="N105" s="123"/>
      <c r="O105" s="124">
        <f t="shared" ref="O105" si="4918">N105*$E105</f>
        <v>0</v>
      </c>
      <c r="P105" s="123"/>
      <c r="Q105" s="124">
        <f t="shared" ref="Q105" si="4919">P105*$E105</f>
        <v>0</v>
      </c>
      <c r="R105" s="123"/>
      <c r="S105" s="124">
        <f t="shared" ref="S105" si="4920">R105*$E105</f>
        <v>0</v>
      </c>
      <c r="T105" s="123"/>
      <c r="U105" s="124">
        <f t="shared" ref="U105" si="4921">T105*$E105</f>
        <v>0</v>
      </c>
      <c r="V105" s="123"/>
      <c r="W105" s="124">
        <f t="shared" ref="W105" si="4922">V105*$E105</f>
        <v>0</v>
      </c>
      <c r="X105" s="123"/>
      <c r="Y105" s="124">
        <f t="shared" ref="Y105" si="4923">X105*$E105</f>
        <v>0</v>
      </c>
      <c r="Z105" s="123"/>
      <c r="AA105" s="124">
        <f t="shared" ref="AA105" si="4924">Z105*$E105</f>
        <v>0</v>
      </c>
      <c r="AB105" s="123"/>
      <c r="AC105" s="124">
        <f t="shared" ref="AC105" si="4925">AB105*$E105</f>
        <v>0</v>
      </c>
      <c r="AD105" s="123"/>
      <c r="AE105" s="124">
        <f t="shared" ref="AE105" si="4926">AD105*$E105</f>
        <v>0</v>
      </c>
      <c r="AF105" s="125">
        <f t="shared" si="3158"/>
        <v>0</v>
      </c>
      <c r="AG105" s="126">
        <f t="shared" ref="AG105" si="4927">AF105*$E105</f>
        <v>0</v>
      </c>
      <c r="AH105" s="11"/>
      <c r="AI105" s="124">
        <f t="shared" ref="AI105" si="4928">AH105*$E105</f>
        <v>0</v>
      </c>
      <c r="AJ105" s="15"/>
      <c r="AK105" s="124">
        <f t="shared" ref="AK105" si="4929">AJ105*$E105</f>
        <v>0</v>
      </c>
      <c r="AL105" s="15"/>
      <c r="AM105" s="124">
        <f t="shared" ref="AM105" si="4930">AL105*$E105</f>
        <v>0</v>
      </c>
      <c r="AN105" s="16"/>
      <c r="AO105" s="124">
        <f t="shared" ref="AO105" si="4931">AN105*$E105</f>
        <v>0</v>
      </c>
      <c r="AP105" s="15"/>
      <c r="AQ105" s="124">
        <f t="shared" ref="AQ105" si="4932">AP105*$E105</f>
        <v>0</v>
      </c>
      <c r="AR105" s="15"/>
      <c r="AS105" s="124">
        <f t="shared" ref="AS105" si="4933">AR105*$E105</f>
        <v>0</v>
      </c>
      <c r="AT105" s="17"/>
      <c r="AU105" s="124">
        <f t="shared" ref="AU105" si="4934">AT105*$E105</f>
        <v>0</v>
      </c>
      <c r="AV105" s="15"/>
      <c r="AW105" s="124">
        <f t="shared" ref="AW105" si="4935">AV105*$E105</f>
        <v>0</v>
      </c>
      <c r="AX105" s="15"/>
      <c r="AY105" s="124">
        <f t="shared" ref="AY105" si="4936">AX105*$E105</f>
        <v>0</v>
      </c>
      <c r="AZ105" s="17"/>
      <c r="BA105" s="124">
        <f t="shared" ref="BA105" si="4937">AZ105*$E105</f>
        <v>0</v>
      </c>
      <c r="BB105" s="33"/>
      <c r="BC105" s="124">
        <f t="shared" ref="BC105" si="4938">BB105*$E105</f>
        <v>0</v>
      </c>
      <c r="BD105" s="33"/>
      <c r="BE105" s="124">
        <f t="shared" ref="BE105" si="4939">BD105*$E105</f>
        <v>0</v>
      </c>
      <c r="BF105" s="125">
        <f t="shared" si="3172"/>
        <v>0</v>
      </c>
      <c r="BG105" s="126">
        <f t="shared" ref="BG105" si="4940">BF105*$E105</f>
        <v>0</v>
      </c>
      <c r="BH105" s="123"/>
      <c r="BI105" s="124">
        <f t="shared" ref="BI105" si="4941">BH105*$E105</f>
        <v>0</v>
      </c>
      <c r="BJ105" s="123"/>
      <c r="BK105" s="124">
        <f t="shared" ref="BK105" si="4942">BJ105*$E105</f>
        <v>0</v>
      </c>
      <c r="BL105" s="123"/>
      <c r="BM105" s="124">
        <f t="shared" ref="BM105" si="4943">BL105*$E105</f>
        <v>0</v>
      </c>
      <c r="BN105" s="123"/>
      <c r="BO105" s="124">
        <f t="shared" ref="BO105" si="4944">BN105*$E105</f>
        <v>0</v>
      </c>
      <c r="BP105" s="123"/>
      <c r="BQ105" s="124">
        <f t="shared" ref="BQ105" si="4945">BP105*$E105</f>
        <v>0</v>
      </c>
      <c r="BR105" s="123"/>
      <c r="BS105" s="124">
        <f t="shared" ref="BS105" si="4946">BR105*$E105</f>
        <v>0</v>
      </c>
      <c r="BT105" s="123"/>
      <c r="BU105" s="124">
        <f t="shared" ref="BU105" si="4947">BT105*$E105</f>
        <v>0</v>
      </c>
      <c r="BV105" s="123"/>
      <c r="BW105" s="124">
        <f t="shared" ref="BW105" si="4948">BV105*$E105</f>
        <v>0</v>
      </c>
      <c r="BX105" s="123"/>
      <c r="BY105" s="124">
        <f t="shared" ref="BY105" si="4949">BX105*$E105</f>
        <v>0</v>
      </c>
      <c r="BZ105" s="123"/>
      <c r="CA105" s="124">
        <f t="shared" ref="CA105" si="4950">BZ105*$E105</f>
        <v>0</v>
      </c>
      <c r="CB105" s="123"/>
      <c r="CC105" s="124">
        <f t="shared" ref="CC105" si="4951">CB105*$E105</f>
        <v>0</v>
      </c>
      <c r="CD105" s="123"/>
      <c r="CE105" s="124">
        <f t="shared" ref="CE105" si="4952">CD105*$E105</f>
        <v>0</v>
      </c>
      <c r="CF105" s="125">
        <f t="shared" si="3186"/>
        <v>0</v>
      </c>
      <c r="CG105" s="126">
        <f t="shared" ref="CG105" si="4953">CF105*$E105</f>
        <v>0</v>
      </c>
      <c r="CH105" s="123"/>
      <c r="CI105" s="124">
        <f t="shared" ref="CI105" si="4954">CH105*$E105</f>
        <v>0</v>
      </c>
      <c r="CJ105" s="123"/>
      <c r="CK105" s="124">
        <f t="shared" ref="CK105" si="4955">CJ105*$E105</f>
        <v>0</v>
      </c>
      <c r="CL105" s="123"/>
      <c r="CM105" s="124">
        <f t="shared" ref="CM105" si="4956">CL105*$E105</f>
        <v>0</v>
      </c>
      <c r="CN105" s="123"/>
      <c r="CO105" s="124">
        <f t="shared" ref="CO105" si="4957">CN105*$E105</f>
        <v>0</v>
      </c>
      <c r="CP105" s="123"/>
      <c r="CQ105" s="124">
        <f t="shared" ref="CQ105" si="4958">CP105*$E105</f>
        <v>0</v>
      </c>
      <c r="CR105" s="123"/>
      <c r="CS105" s="124">
        <f t="shared" ref="CS105" si="4959">CR105*$E105</f>
        <v>0</v>
      </c>
      <c r="CT105" s="123"/>
      <c r="CU105" s="124">
        <f t="shared" ref="CU105" si="4960">CT105*$E105</f>
        <v>0</v>
      </c>
      <c r="CV105" s="123"/>
      <c r="CW105" s="124">
        <f t="shared" ref="CW105" si="4961">CV105*$E105</f>
        <v>0</v>
      </c>
      <c r="CX105" s="123"/>
      <c r="CY105" s="124">
        <f t="shared" ref="CY105" si="4962">CX105*$E105</f>
        <v>0</v>
      </c>
      <c r="CZ105" s="123"/>
      <c r="DA105" s="124">
        <f t="shared" ref="DA105" si="4963">CZ105*$E105</f>
        <v>0</v>
      </c>
      <c r="DB105" s="123"/>
      <c r="DC105" s="124">
        <f t="shared" si="3198"/>
        <v>0</v>
      </c>
      <c r="DD105" s="123"/>
      <c r="DE105" s="124">
        <f t="shared" si="3198"/>
        <v>0</v>
      </c>
      <c r="DF105" s="27">
        <f t="shared" si="3145"/>
        <v>0</v>
      </c>
      <c r="DG105" s="124">
        <f t="shared" si="3199"/>
        <v>0</v>
      </c>
    </row>
    <row r="106" spans="1:111" ht="18" customHeight="1" x14ac:dyDescent="0.5">
      <c r="A106" s="117">
        <v>85</v>
      </c>
      <c r="B106" s="122" t="s">
        <v>198</v>
      </c>
      <c r="C106" s="122" t="s">
        <v>231</v>
      </c>
      <c r="D106" s="117"/>
      <c r="E106" s="117">
        <v>0.64</v>
      </c>
      <c r="F106" s="117" t="s">
        <v>236</v>
      </c>
      <c r="G106" s="117"/>
      <c r="H106" s="123"/>
      <c r="I106" s="124">
        <f t="shared" ref="I106" si="4964">H106*$E106</f>
        <v>0</v>
      </c>
      <c r="J106" s="123"/>
      <c r="K106" s="124">
        <f t="shared" ref="K106" si="4965">J106*$E106</f>
        <v>0</v>
      </c>
      <c r="L106" s="123"/>
      <c r="M106" s="124">
        <f t="shared" ref="M106" si="4966">L106*$E106</f>
        <v>0</v>
      </c>
      <c r="N106" s="123"/>
      <c r="O106" s="124">
        <f t="shared" ref="O106" si="4967">N106*$E106</f>
        <v>0</v>
      </c>
      <c r="P106" s="123"/>
      <c r="Q106" s="124">
        <f t="shared" ref="Q106" si="4968">P106*$E106</f>
        <v>0</v>
      </c>
      <c r="R106" s="123"/>
      <c r="S106" s="124">
        <f t="shared" ref="S106" si="4969">R106*$E106</f>
        <v>0</v>
      </c>
      <c r="T106" s="123"/>
      <c r="U106" s="124">
        <f t="shared" ref="U106" si="4970">T106*$E106</f>
        <v>0</v>
      </c>
      <c r="V106" s="123"/>
      <c r="W106" s="124">
        <f t="shared" ref="W106" si="4971">V106*$E106</f>
        <v>0</v>
      </c>
      <c r="X106" s="123"/>
      <c r="Y106" s="124">
        <f t="shared" ref="Y106" si="4972">X106*$E106</f>
        <v>0</v>
      </c>
      <c r="Z106" s="123"/>
      <c r="AA106" s="124">
        <f t="shared" ref="AA106" si="4973">Z106*$E106</f>
        <v>0</v>
      </c>
      <c r="AB106" s="123"/>
      <c r="AC106" s="124">
        <f t="shared" ref="AC106" si="4974">AB106*$E106</f>
        <v>0</v>
      </c>
      <c r="AD106" s="123"/>
      <c r="AE106" s="124">
        <f t="shared" ref="AE106" si="4975">AD106*$E106</f>
        <v>0</v>
      </c>
      <c r="AF106" s="125">
        <f t="shared" si="3158"/>
        <v>0</v>
      </c>
      <c r="AG106" s="126">
        <f t="shared" ref="AG106" si="4976">AF106*$E106</f>
        <v>0</v>
      </c>
      <c r="AH106" s="11"/>
      <c r="AI106" s="124">
        <f t="shared" ref="AI106" si="4977">AH106*$E106</f>
        <v>0</v>
      </c>
      <c r="AJ106" s="15"/>
      <c r="AK106" s="124">
        <f t="shared" ref="AK106" si="4978">AJ106*$E106</f>
        <v>0</v>
      </c>
      <c r="AL106" s="15"/>
      <c r="AM106" s="124">
        <f t="shared" ref="AM106" si="4979">AL106*$E106</f>
        <v>0</v>
      </c>
      <c r="AN106" s="16"/>
      <c r="AO106" s="124">
        <f t="shared" ref="AO106" si="4980">AN106*$E106</f>
        <v>0</v>
      </c>
      <c r="AP106" s="15"/>
      <c r="AQ106" s="124">
        <f t="shared" ref="AQ106" si="4981">AP106*$E106</f>
        <v>0</v>
      </c>
      <c r="AR106" s="15"/>
      <c r="AS106" s="124">
        <f t="shared" ref="AS106" si="4982">AR106*$E106</f>
        <v>0</v>
      </c>
      <c r="AT106" s="17"/>
      <c r="AU106" s="124">
        <f t="shared" ref="AU106" si="4983">AT106*$E106</f>
        <v>0</v>
      </c>
      <c r="AV106" s="15"/>
      <c r="AW106" s="124">
        <f t="shared" ref="AW106" si="4984">AV106*$E106</f>
        <v>0</v>
      </c>
      <c r="AX106" s="15"/>
      <c r="AY106" s="124">
        <f t="shared" ref="AY106" si="4985">AX106*$E106</f>
        <v>0</v>
      </c>
      <c r="AZ106" s="17"/>
      <c r="BA106" s="124">
        <f t="shared" ref="BA106" si="4986">AZ106*$E106</f>
        <v>0</v>
      </c>
      <c r="BB106" s="33"/>
      <c r="BC106" s="124">
        <f t="shared" ref="BC106" si="4987">BB106*$E106</f>
        <v>0</v>
      </c>
      <c r="BD106" s="33"/>
      <c r="BE106" s="124">
        <f t="shared" ref="BE106" si="4988">BD106*$E106</f>
        <v>0</v>
      </c>
      <c r="BF106" s="125">
        <f t="shared" si="3172"/>
        <v>0</v>
      </c>
      <c r="BG106" s="126">
        <f t="shared" ref="BG106" si="4989">BF106*$E106</f>
        <v>0</v>
      </c>
      <c r="BH106" s="123"/>
      <c r="BI106" s="124">
        <f t="shared" ref="BI106" si="4990">BH106*$E106</f>
        <v>0</v>
      </c>
      <c r="BJ106" s="123"/>
      <c r="BK106" s="124">
        <f t="shared" ref="BK106" si="4991">BJ106*$E106</f>
        <v>0</v>
      </c>
      <c r="BL106" s="123"/>
      <c r="BM106" s="124">
        <f t="shared" ref="BM106" si="4992">BL106*$E106</f>
        <v>0</v>
      </c>
      <c r="BN106" s="123"/>
      <c r="BO106" s="124">
        <f t="shared" ref="BO106" si="4993">BN106*$E106</f>
        <v>0</v>
      </c>
      <c r="BP106" s="123"/>
      <c r="BQ106" s="124">
        <f t="shared" ref="BQ106" si="4994">BP106*$E106</f>
        <v>0</v>
      </c>
      <c r="BR106" s="123"/>
      <c r="BS106" s="124">
        <f t="shared" ref="BS106" si="4995">BR106*$E106</f>
        <v>0</v>
      </c>
      <c r="BT106" s="123"/>
      <c r="BU106" s="124">
        <f t="shared" ref="BU106" si="4996">BT106*$E106</f>
        <v>0</v>
      </c>
      <c r="BV106" s="123"/>
      <c r="BW106" s="124">
        <f t="shared" ref="BW106" si="4997">BV106*$E106</f>
        <v>0</v>
      </c>
      <c r="BX106" s="123"/>
      <c r="BY106" s="124">
        <f t="shared" ref="BY106" si="4998">BX106*$E106</f>
        <v>0</v>
      </c>
      <c r="BZ106" s="123"/>
      <c r="CA106" s="124">
        <f t="shared" ref="CA106" si="4999">BZ106*$E106</f>
        <v>0</v>
      </c>
      <c r="CB106" s="123"/>
      <c r="CC106" s="124">
        <f t="shared" ref="CC106" si="5000">CB106*$E106</f>
        <v>0</v>
      </c>
      <c r="CD106" s="123"/>
      <c r="CE106" s="124">
        <f t="shared" ref="CE106" si="5001">CD106*$E106</f>
        <v>0</v>
      </c>
      <c r="CF106" s="125">
        <f t="shared" si="3186"/>
        <v>0</v>
      </c>
      <c r="CG106" s="126">
        <f t="shared" ref="CG106" si="5002">CF106*$E106</f>
        <v>0</v>
      </c>
      <c r="CH106" s="123"/>
      <c r="CI106" s="124">
        <f t="shared" ref="CI106" si="5003">CH106*$E106</f>
        <v>0</v>
      </c>
      <c r="CJ106" s="123"/>
      <c r="CK106" s="124">
        <f t="shared" ref="CK106" si="5004">CJ106*$E106</f>
        <v>0</v>
      </c>
      <c r="CL106" s="123"/>
      <c r="CM106" s="124">
        <f t="shared" ref="CM106" si="5005">CL106*$E106</f>
        <v>0</v>
      </c>
      <c r="CN106" s="123"/>
      <c r="CO106" s="124">
        <f t="shared" ref="CO106" si="5006">CN106*$E106</f>
        <v>0</v>
      </c>
      <c r="CP106" s="123"/>
      <c r="CQ106" s="124">
        <f t="shared" ref="CQ106" si="5007">CP106*$E106</f>
        <v>0</v>
      </c>
      <c r="CR106" s="123"/>
      <c r="CS106" s="124">
        <f t="shared" ref="CS106" si="5008">CR106*$E106</f>
        <v>0</v>
      </c>
      <c r="CT106" s="123"/>
      <c r="CU106" s="124">
        <f t="shared" ref="CU106" si="5009">CT106*$E106</f>
        <v>0</v>
      </c>
      <c r="CV106" s="123"/>
      <c r="CW106" s="124">
        <f t="shared" ref="CW106" si="5010">CV106*$E106</f>
        <v>0</v>
      </c>
      <c r="CX106" s="123"/>
      <c r="CY106" s="124">
        <f t="shared" ref="CY106" si="5011">CX106*$E106</f>
        <v>0</v>
      </c>
      <c r="CZ106" s="123"/>
      <c r="DA106" s="124">
        <f t="shared" ref="DA106" si="5012">CZ106*$E106</f>
        <v>0</v>
      </c>
      <c r="DB106" s="123"/>
      <c r="DC106" s="124">
        <f t="shared" si="3198"/>
        <v>0</v>
      </c>
      <c r="DD106" s="123"/>
      <c r="DE106" s="124">
        <f t="shared" si="3198"/>
        <v>0</v>
      </c>
      <c r="DF106" s="27">
        <f t="shared" si="3145"/>
        <v>0</v>
      </c>
      <c r="DG106" s="124">
        <f t="shared" si="3199"/>
        <v>0</v>
      </c>
    </row>
    <row r="107" spans="1:111" x14ac:dyDescent="0.5">
      <c r="A107" s="117">
        <v>86</v>
      </c>
      <c r="B107" s="122" t="s">
        <v>198</v>
      </c>
      <c r="C107" s="122" t="s">
        <v>233</v>
      </c>
      <c r="D107" s="117"/>
      <c r="E107" s="117">
        <v>0.6</v>
      </c>
      <c r="F107" s="117" t="s">
        <v>237</v>
      </c>
      <c r="G107" s="117"/>
      <c r="H107" s="123"/>
      <c r="I107" s="124">
        <f t="shared" ref="I107" si="5013">H107*$E107</f>
        <v>0</v>
      </c>
      <c r="J107" s="123"/>
      <c r="K107" s="124">
        <f t="shared" ref="K107" si="5014">J107*$E107</f>
        <v>0</v>
      </c>
      <c r="L107" s="123"/>
      <c r="M107" s="124">
        <f t="shared" ref="M107" si="5015">L107*$E107</f>
        <v>0</v>
      </c>
      <c r="N107" s="123"/>
      <c r="O107" s="124">
        <f t="shared" ref="O107" si="5016">N107*$E107</f>
        <v>0</v>
      </c>
      <c r="P107" s="123"/>
      <c r="Q107" s="124">
        <f t="shared" ref="Q107" si="5017">P107*$E107</f>
        <v>0</v>
      </c>
      <c r="R107" s="123"/>
      <c r="S107" s="124">
        <f t="shared" ref="S107" si="5018">R107*$E107</f>
        <v>0</v>
      </c>
      <c r="T107" s="123"/>
      <c r="U107" s="124">
        <f t="shared" ref="U107" si="5019">T107*$E107</f>
        <v>0</v>
      </c>
      <c r="V107" s="123"/>
      <c r="W107" s="124">
        <f t="shared" ref="W107" si="5020">V107*$E107</f>
        <v>0</v>
      </c>
      <c r="X107" s="123"/>
      <c r="Y107" s="124">
        <f t="shared" ref="Y107" si="5021">X107*$E107</f>
        <v>0</v>
      </c>
      <c r="Z107" s="123"/>
      <c r="AA107" s="124">
        <f t="shared" ref="AA107" si="5022">Z107*$E107</f>
        <v>0</v>
      </c>
      <c r="AB107" s="123"/>
      <c r="AC107" s="124">
        <f t="shared" ref="AC107" si="5023">AB107*$E107</f>
        <v>0</v>
      </c>
      <c r="AD107" s="123"/>
      <c r="AE107" s="124">
        <f t="shared" ref="AE107" si="5024">AD107*$E107</f>
        <v>0</v>
      </c>
      <c r="AF107" s="125">
        <f t="shared" si="3158"/>
        <v>0</v>
      </c>
      <c r="AG107" s="126">
        <f t="shared" ref="AG107" si="5025">AF107*$E107</f>
        <v>0</v>
      </c>
      <c r="AH107" s="123"/>
      <c r="AI107" s="124">
        <f t="shared" ref="AI107" si="5026">AH107*$E107</f>
        <v>0</v>
      </c>
      <c r="AJ107" s="123"/>
      <c r="AK107" s="124">
        <f t="shared" ref="AK107" si="5027">AJ107*$E107</f>
        <v>0</v>
      </c>
      <c r="AL107" s="123"/>
      <c r="AM107" s="124">
        <f t="shared" ref="AM107" si="5028">AL107*$E107</f>
        <v>0</v>
      </c>
      <c r="AN107" s="123"/>
      <c r="AO107" s="124">
        <f t="shared" ref="AO107" si="5029">AN107*$E107</f>
        <v>0</v>
      </c>
      <c r="AP107" s="123"/>
      <c r="AQ107" s="124">
        <f t="shared" ref="AQ107" si="5030">AP107*$E107</f>
        <v>0</v>
      </c>
      <c r="AR107" s="123"/>
      <c r="AS107" s="124">
        <f t="shared" ref="AS107" si="5031">AR107*$E107</f>
        <v>0</v>
      </c>
      <c r="AT107" s="123"/>
      <c r="AU107" s="124">
        <f t="shared" ref="AU107" si="5032">AT107*$E107</f>
        <v>0</v>
      </c>
      <c r="AV107" s="123"/>
      <c r="AW107" s="124">
        <f t="shared" ref="AW107" si="5033">AV107*$E107</f>
        <v>0</v>
      </c>
      <c r="AX107" s="123"/>
      <c r="AY107" s="124">
        <f t="shared" ref="AY107" si="5034">AX107*$E107</f>
        <v>0</v>
      </c>
      <c r="AZ107" s="123"/>
      <c r="BA107" s="124">
        <f t="shared" ref="BA107" si="5035">AZ107*$E107</f>
        <v>0</v>
      </c>
      <c r="BB107" s="123"/>
      <c r="BC107" s="124">
        <f t="shared" ref="BC107" si="5036">BB107*$E107</f>
        <v>0</v>
      </c>
      <c r="BD107" s="123"/>
      <c r="BE107" s="124">
        <f t="shared" ref="BE107" si="5037">BD107*$E107</f>
        <v>0</v>
      </c>
      <c r="BF107" s="125">
        <f t="shared" si="3172"/>
        <v>0</v>
      </c>
      <c r="BG107" s="126">
        <f t="shared" ref="BG107" si="5038">BF107*$E107</f>
        <v>0</v>
      </c>
      <c r="BH107" s="123"/>
      <c r="BI107" s="124">
        <f t="shared" ref="BI107" si="5039">BH107*$E107</f>
        <v>0</v>
      </c>
      <c r="BJ107" s="123"/>
      <c r="BK107" s="124">
        <f t="shared" ref="BK107" si="5040">BJ107*$E107</f>
        <v>0</v>
      </c>
      <c r="BL107" s="123"/>
      <c r="BM107" s="124">
        <f t="shared" ref="BM107" si="5041">BL107*$E107</f>
        <v>0</v>
      </c>
      <c r="BN107" s="123"/>
      <c r="BO107" s="124">
        <f t="shared" ref="BO107" si="5042">BN107*$E107</f>
        <v>0</v>
      </c>
      <c r="BP107" s="123"/>
      <c r="BQ107" s="124">
        <f t="shared" ref="BQ107" si="5043">BP107*$E107</f>
        <v>0</v>
      </c>
      <c r="BR107" s="123"/>
      <c r="BS107" s="124">
        <f t="shared" ref="BS107" si="5044">BR107*$E107</f>
        <v>0</v>
      </c>
      <c r="BT107" s="123"/>
      <c r="BU107" s="124">
        <f t="shared" ref="BU107" si="5045">BT107*$E107</f>
        <v>0</v>
      </c>
      <c r="BV107" s="123"/>
      <c r="BW107" s="124">
        <f t="shared" ref="BW107" si="5046">BV107*$E107</f>
        <v>0</v>
      </c>
      <c r="BX107" s="123"/>
      <c r="BY107" s="124">
        <f t="shared" ref="BY107" si="5047">BX107*$E107</f>
        <v>0</v>
      </c>
      <c r="BZ107" s="123"/>
      <c r="CA107" s="124">
        <f t="shared" ref="CA107" si="5048">BZ107*$E107</f>
        <v>0</v>
      </c>
      <c r="CB107" s="123"/>
      <c r="CC107" s="124">
        <f t="shared" ref="CC107" si="5049">CB107*$E107</f>
        <v>0</v>
      </c>
      <c r="CD107" s="123"/>
      <c r="CE107" s="124">
        <f t="shared" ref="CE107" si="5050">CD107*$E107</f>
        <v>0</v>
      </c>
      <c r="CF107" s="125">
        <f t="shared" si="3186"/>
        <v>0</v>
      </c>
      <c r="CG107" s="126">
        <f t="shared" ref="CG107" si="5051">CF107*$E107</f>
        <v>0</v>
      </c>
      <c r="CH107" s="129"/>
      <c r="CI107" s="124">
        <f t="shared" ref="CI107" si="5052">CH107*$E107</f>
        <v>0</v>
      </c>
      <c r="CJ107" s="123"/>
      <c r="CK107" s="124">
        <f t="shared" ref="CK107" si="5053">CJ107*$E107</f>
        <v>0</v>
      </c>
      <c r="CL107" s="123"/>
      <c r="CM107" s="124">
        <f t="shared" ref="CM107" si="5054">CL107*$E107</f>
        <v>0</v>
      </c>
      <c r="CN107" s="123"/>
      <c r="CO107" s="124">
        <f t="shared" ref="CO107" si="5055">CN107*$E107</f>
        <v>0</v>
      </c>
      <c r="CP107" s="123"/>
      <c r="CQ107" s="124">
        <f t="shared" ref="CQ107" si="5056">CP107*$E107</f>
        <v>0</v>
      </c>
      <c r="CR107" s="123"/>
      <c r="CS107" s="124">
        <f t="shared" ref="CS107" si="5057">CR107*$E107</f>
        <v>0</v>
      </c>
      <c r="CT107" s="123"/>
      <c r="CU107" s="124">
        <f t="shared" ref="CU107" si="5058">CT107*$E107</f>
        <v>0</v>
      </c>
      <c r="CV107" s="123"/>
      <c r="CW107" s="124">
        <f t="shared" ref="CW107" si="5059">CV107*$E107</f>
        <v>0</v>
      </c>
      <c r="CX107" s="123"/>
      <c r="CY107" s="124">
        <f t="shared" ref="CY107" si="5060">CX107*$E107</f>
        <v>0</v>
      </c>
      <c r="CZ107" s="123"/>
      <c r="DA107" s="124">
        <f t="shared" ref="DA107" si="5061">CZ107*$E107</f>
        <v>0</v>
      </c>
      <c r="DB107" s="123"/>
      <c r="DC107" s="124">
        <f t="shared" si="3198"/>
        <v>0</v>
      </c>
      <c r="DD107" s="123"/>
      <c r="DE107" s="124">
        <f t="shared" si="3198"/>
        <v>0</v>
      </c>
      <c r="DF107" s="27">
        <f t="shared" si="3145"/>
        <v>0</v>
      </c>
      <c r="DG107" s="124">
        <f t="shared" si="3199"/>
        <v>0</v>
      </c>
    </row>
    <row r="108" spans="1:111" x14ac:dyDescent="0.5">
      <c r="A108" s="117"/>
      <c r="B108" s="122"/>
      <c r="C108" s="122"/>
      <c r="D108" s="117"/>
      <c r="E108" s="117"/>
      <c r="F108" s="117"/>
      <c r="G108" s="117"/>
      <c r="H108" s="123"/>
      <c r="I108" s="124">
        <f t="shared" ref="I108" si="5062">H108*$E108</f>
        <v>0</v>
      </c>
      <c r="J108" s="123"/>
      <c r="K108" s="124">
        <f t="shared" ref="K108" si="5063">J108*$E108</f>
        <v>0</v>
      </c>
      <c r="L108" s="123"/>
      <c r="M108" s="124">
        <f t="shared" ref="M108" si="5064">L108*$E108</f>
        <v>0</v>
      </c>
      <c r="N108" s="123"/>
      <c r="O108" s="124">
        <f t="shared" ref="O108" si="5065">N108*$E108</f>
        <v>0</v>
      </c>
      <c r="P108" s="123"/>
      <c r="Q108" s="124">
        <f t="shared" ref="Q108" si="5066">P108*$E108</f>
        <v>0</v>
      </c>
      <c r="R108" s="123"/>
      <c r="S108" s="124">
        <f t="shared" ref="S108" si="5067">R108*$E108</f>
        <v>0</v>
      </c>
      <c r="T108" s="123"/>
      <c r="U108" s="124">
        <f t="shared" ref="U108" si="5068">T108*$E108</f>
        <v>0</v>
      </c>
      <c r="V108" s="123"/>
      <c r="W108" s="124">
        <f t="shared" ref="W108" si="5069">V108*$E108</f>
        <v>0</v>
      </c>
      <c r="X108" s="123"/>
      <c r="Y108" s="124">
        <f t="shared" ref="Y108" si="5070">X108*$E108</f>
        <v>0</v>
      </c>
      <c r="Z108" s="123"/>
      <c r="AA108" s="124">
        <f t="shared" ref="AA108" si="5071">Z108*$E108</f>
        <v>0</v>
      </c>
      <c r="AB108" s="123"/>
      <c r="AC108" s="124">
        <f t="shared" ref="AC108" si="5072">AB108*$E108</f>
        <v>0</v>
      </c>
      <c r="AD108" s="123"/>
      <c r="AE108" s="124">
        <f t="shared" ref="AE108" si="5073">AD108*$E108</f>
        <v>0</v>
      </c>
      <c r="AF108" s="125">
        <f t="shared" si="3158"/>
        <v>0</v>
      </c>
      <c r="AG108" s="126">
        <f t="shared" ref="AG108" si="5074">AF108*$E108</f>
        <v>0</v>
      </c>
      <c r="AH108" s="123"/>
      <c r="AI108" s="124">
        <f t="shared" ref="AI108" si="5075">AH108*$E108</f>
        <v>0</v>
      </c>
      <c r="AJ108" s="123"/>
      <c r="AK108" s="124">
        <f t="shared" ref="AK108" si="5076">AJ108*$E108</f>
        <v>0</v>
      </c>
      <c r="AL108" s="123"/>
      <c r="AM108" s="124">
        <f t="shared" ref="AM108" si="5077">AL108*$E108</f>
        <v>0</v>
      </c>
      <c r="AN108" s="123"/>
      <c r="AO108" s="124">
        <f t="shared" ref="AO108" si="5078">AN108*$E108</f>
        <v>0</v>
      </c>
      <c r="AP108" s="123"/>
      <c r="AQ108" s="124">
        <f t="shared" ref="AQ108" si="5079">AP108*$E108</f>
        <v>0</v>
      </c>
      <c r="AR108" s="123"/>
      <c r="AS108" s="124">
        <f t="shared" ref="AS108" si="5080">AR108*$E108</f>
        <v>0</v>
      </c>
      <c r="AT108" s="123"/>
      <c r="AU108" s="124">
        <f t="shared" ref="AU108" si="5081">AT108*$E108</f>
        <v>0</v>
      </c>
      <c r="AV108" s="123"/>
      <c r="AW108" s="124">
        <f t="shared" ref="AW108" si="5082">AV108*$E108</f>
        <v>0</v>
      </c>
      <c r="AX108" s="123"/>
      <c r="AY108" s="124">
        <f t="shared" ref="AY108" si="5083">AX108*$E108</f>
        <v>0</v>
      </c>
      <c r="AZ108" s="123"/>
      <c r="BA108" s="124">
        <f t="shared" ref="BA108" si="5084">AZ108*$E108</f>
        <v>0</v>
      </c>
      <c r="BB108" s="123"/>
      <c r="BC108" s="124">
        <f t="shared" ref="BC108" si="5085">BB108*$E108</f>
        <v>0</v>
      </c>
      <c r="BD108" s="123"/>
      <c r="BE108" s="124">
        <f t="shared" ref="BE108" si="5086">BD108*$E108</f>
        <v>0</v>
      </c>
      <c r="BF108" s="125">
        <f t="shared" si="3172"/>
        <v>0</v>
      </c>
      <c r="BG108" s="126">
        <f t="shared" ref="BG108" si="5087">BF108*$E108</f>
        <v>0</v>
      </c>
      <c r="BH108" s="123"/>
      <c r="BI108" s="124">
        <f t="shared" ref="BI108" si="5088">BH108*$E108</f>
        <v>0</v>
      </c>
      <c r="BJ108" s="123"/>
      <c r="BK108" s="124">
        <f t="shared" ref="BK108" si="5089">BJ108*$E108</f>
        <v>0</v>
      </c>
      <c r="BL108" s="123"/>
      <c r="BM108" s="124">
        <f t="shared" ref="BM108" si="5090">BL108*$E108</f>
        <v>0</v>
      </c>
      <c r="BN108" s="123"/>
      <c r="BO108" s="124">
        <f t="shared" ref="BO108" si="5091">BN108*$E108</f>
        <v>0</v>
      </c>
      <c r="BP108" s="123"/>
      <c r="BQ108" s="124">
        <f t="shared" ref="BQ108" si="5092">BP108*$E108</f>
        <v>0</v>
      </c>
      <c r="BR108" s="123"/>
      <c r="BS108" s="124">
        <f t="shared" ref="BS108" si="5093">BR108*$E108</f>
        <v>0</v>
      </c>
      <c r="BT108" s="123"/>
      <c r="BU108" s="124">
        <f t="shared" ref="BU108" si="5094">BT108*$E108</f>
        <v>0</v>
      </c>
      <c r="BV108" s="123"/>
      <c r="BW108" s="124">
        <f t="shared" ref="BW108" si="5095">BV108*$E108</f>
        <v>0</v>
      </c>
      <c r="BX108" s="123"/>
      <c r="BY108" s="124">
        <f t="shared" ref="BY108" si="5096">BX108*$E108</f>
        <v>0</v>
      </c>
      <c r="BZ108" s="123"/>
      <c r="CA108" s="124">
        <f t="shared" ref="CA108" si="5097">BZ108*$E108</f>
        <v>0</v>
      </c>
      <c r="CB108" s="123"/>
      <c r="CC108" s="124">
        <f t="shared" ref="CC108" si="5098">CB108*$E108</f>
        <v>0</v>
      </c>
      <c r="CD108" s="123"/>
      <c r="CE108" s="124">
        <f t="shared" ref="CE108" si="5099">CD108*$E108</f>
        <v>0</v>
      </c>
      <c r="CF108" s="125">
        <f t="shared" si="3186"/>
        <v>0</v>
      </c>
      <c r="CG108" s="126">
        <f t="shared" ref="CG108" si="5100">CF108*$E108</f>
        <v>0</v>
      </c>
      <c r="CH108" s="129"/>
      <c r="CI108" s="124">
        <f t="shared" ref="CI108" si="5101">CH108*$E108</f>
        <v>0</v>
      </c>
      <c r="CJ108" s="123"/>
      <c r="CK108" s="124">
        <f t="shared" ref="CK108" si="5102">CJ108*$E108</f>
        <v>0</v>
      </c>
      <c r="CL108" s="123"/>
      <c r="CM108" s="124">
        <f t="shared" ref="CM108" si="5103">CL108*$E108</f>
        <v>0</v>
      </c>
      <c r="CN108" s="123"/>
      <c r="CO108" s="124">
        <f t="shared" ref="CO108" si="5104">CN108*$E108</f>
        <v>0</v>
      </c>
      <c r="CP108" s="123"/>
      <c r="CQ108" s="124">
        <f t="shared" ref="CQ108" si="5105">CP108*$E108</f>
        <v>0</v>
      </c>
      <c r="CR108" s="123"/>
      <c r="CS108" s="124">
        <f t="shared" ref="CS108" si="5106">CR108*$E108</f>
        <v>0</v>
      </c>
      <c r="CT108" s="123"/>
      <c r="CU108" s="124">
        <f t="shared" ref="CU108" si="5107">CT108*$E108</f>
        <v>0</v>
      </c>
      <c r="CV108" s="123"/>
      <c r="CW108" s="124">
        <f t="shared" ref="CW108" si="5108">CV108*$E108</f>
        <v>0</v>
      </c>
      <c r="CX108" s="123"/>
      <c r="CY108" s="124">
        <f t="shared" ref="CY108" si="5109">CX108*$E108</f>
        <v>0</v>
      </c>
      <c r="CZ108" s="123"/>
      <c r="DA108" s="124">
        <f t="shared" ref="DA108" si="5110">CZ108*$E108</f>
        <v>0</v>
      </c>
      <c r="DB108" s="123"/>
      <c r="DC108" s="124">
        <f t="shared" si="3198"/>
        <v>0</v>
      </c>
      <c r="DD108" s="123"/>
      <c r="DE108" s="124">
        <f t="shared" si="3198"/>
        <v>0</v>
      </c>
      <c r="DF108" s="27">
        <f t="shared" si="3145"/>
        <v>0</v>
      </c>
      <c r="DG108" s="124">
        <f t="shared" si="3199"/>
        <v>0</v>
      </c>
    </row>
    <row r="109" spans="1:111" x14ac:dyDescent="0.5">
      <c r="A109" s="117">
        <v>87</v>
      </c>
      <c r="B109" s="122" t="s">
        <v>199</v>
      </c>
      <c r="C109" s="122" t="s">
        <v>233</v>
      </c>
      <c r="D109" s="117"/>
      <c r="E109" s="117">
        <v>0.6</v>
      </c>
      <c r="F109" s="117" t="s">
        <v>237</v>
      </c>
      <c r="G109" s="117"/>
      <c r="H109" s="123"/>
      <c r="I109" s="124">
        <f t="shared" ref="I109" si="5111">H109*$E109</f>
        <v>0</v>
      </c>
      <c r="J109" s="123"/>
      <c r="K109" s="124">
        <f t="shared" ref="K109" si="5112">J109*$E109</f>
        <v>0</v>
      </c>
      <c r="L109" s="123"/>
      <c r="M109" s="124">
        <f t="shared" ref="M109" si="5113">L109*$E109</f>
        <v>0</v>
      </c>
      <c r="N109" s="123"/>
      <c r="O109" s="124">
        <f t="shared" ref="O109" si="5114">N109*$E109</f>
        <v>0</v>
      </c>
      <c r="P109" s="123"/>
      <c r="Q109" s="124">
        <f t="shared" ref="Q109" si="5115">P109*$E109</f>
        <v>0</v>
      </c>
      <c r="R109" s="123"/>
      <c r="S109" s="124">
        <f t="shared" ref="S109" si="5116">R109*$E109</f>
        <v>0</v>
      </c>
      <c r="T109" s="123"/>
      <c r="U109" s="124">
        <f t="shared" ref="U109" si="5117">T109*$E109</f>
        <v>0</v>
      </c>
      <c r="V109" s="123"/>
      <c r="W109" s="124">
        <f t="shared" ref="W109" si="5118">V109*$E109</f>
        <v>0</v>
      </c>
      <c r="X109" s="123"/>
      <c r="Y109" s="124">
        <f t="shared" ref="Y109" si="5119">X109*$E109</f>
        <v>0</v>
      </c>
      <c r="Z109" s="123"/>
      <c r="AA109" s="124">
        <f t="shared" ref="AA109" si="5120">Z109*$E109</f>
        <v>0</v>
      </c>
      <c r="AB109" s="123"/>
      <c r="AC109" s="124">
        <f t="shared" ref="AC109" si="5121">AB109*$E109</f>
        <v>0</v>
      </c>
      <c r="AD109" s="123"/>
      <c r="AE109" s="124">
        <f t="shared" ref="AE109" si="5122">AD109*$E109</f>
        <v>0</v>
      </c>
      <c r="AF109" s="125">
        <f t="shared" si="3158"/>
        <v>0</v>
      </c>
      <c r="AG109" s="126">
        <f t="shared" ref="AG109" si="5123">AF109*$E109</f>
        <v>0</v>
      </c>
      <c r="AH109" s="123"/>
      <c r="AI109" s="124">
        <f t="shared" ref="AI109" si="5124">AH109*$E109</f>
        <v>0</v>
      </c>
      <c r="AJ109" s="123"/>
      <c r="AK109" s="124">
        <f t="shared" ref="AK109" si="5125">AJ109*$E109</f>
        <v>0</v>
      </c>
      <c r="AL109" s="123"/>
      <c r="AM109" s="124">
        <f t="shared" ref="AM109" si="5126">AL109*$E109</f>
        <v>0</v>
      </c>
      <c r="AN109" s="123"/>
      <c r="AO109" s="124">
        <f t="shared" ref="AO109" si="5127">AN109*$E109</f>
        <v>0</v>
      </c>
      <c r="AP109" s="123"/>
      <c r="AQ109" s="124">
        <f t="shared" ref="AQ109" si="5128">AP109*$E109</f>
        <v>0</v>
      </c>
      <c r="AR109" s="123"/>
      <c r="AS109" s="124">
        <f t="shared" ref="AS109" si="5129">AR109*$E109</f>
        <v>0</v>
      </c>
      <c r="AT109" s="123"/>
      <c r="AU109" s="124">
        <f t="shared" ref="AU109" si="5130">AT109*$E109</f>
        <v>0</v>
      </c>
      <c r="AV109" s="123"/>
      <c r="AW109" s="124">
        <f t="shared" ref="AW109" si="5131">AV109*$E109</f>
        <v>0</v>
      </c>
      <c r="AX109" s="123"/>
      <c r="AY109" s="124">
        <f t="shared" ref="AY109" si="5132">AX109*$E109</f>
        <v>0</v>
      </c>
      <c r="AZ109" s="123"/>
      <c r="BA109" s="124">
        <f t="shared" ref="BA109" si="5133">AZ109*$E109</f>
        <v>0</v>
      </c>
      <c r="BB109" s="123"/>
      <c r="BC109" s="124">
        <f t="shared" ref="BC109" si="5134">BB109*$E109</f>
        <v>0</v>
      </c>
      <c r="BD109" s="123"/>
      <c r="BE109" s="124">
        <f t="shared" ref="BE109" si="5135">BD109*$E109</f>
        <v>0</v>
      </c>
      <c r="BF109" s="125">
        <f t="shared" si="3172"/>
        <v>0</v>
      </c>
      <c r="BG109" s="126">
        <f t="shared" ref="BG109" si="5136">BF109*$E109</f>
        <v>0</v>
      </c>
      <c r="BH109" s="123"/>
      <c r="BI109" s="124">
        <f t="shared" ref="BI109" si="5137">BH109*$E109</f>
        <v>0</v>
      </c>
      <c r="BJ109" s="123"/>
      <c r="BK109" s="124">
        <f t="shared" ref="BK109" si="5138">BJ109*$E109</f>
        <v>0</v>
      </c>
      <c r="BL109" s="123"/>
      <c r="BM109" s="124">
        <f t="shared" ref="BM109" si="5139">BL109*$E109</f>
        <v>0</v>
      </c>
      <c r="BN109" s="123"/>
      <c r="BO109" s="124">
        <f t="shared" ref="BO109" si="5140">BN109*$E109</f>
        <v>0</v>
      </c>
      <c r="BP109" s="123"/>
      <c r="BQ109" s="124">
        <f t="shared" ref="BQ109" si="5141">BP109*$E109</f>
        <v>0</v>
      </c>
      <c r="BR109" s="123"/>
      <c r="BS109" s="124">
        <f t="shared" ref="BS109" si="5142">BR109*$E109</f>
        <v>0</v>
      </c>
      <c r="BT109" s="123"/>
      <c r="BU109" s="124">
        <f t="shared" ref="BU109" si="5143">BT109*$E109</f>
        <v>0</v>
      </c>
      <c r="BV109" s="123"/>
      <c r="BW109" s="124">
        <f t="shared" ref="BW109" si="5144">BV109*$E109</f>
        <v>0</v>
      </c>
      <c r="BX109" s="123"/>
      <c r="BY109" s="124">
        <f t="shared" ref="BY109" si="5145">BX109*$E109</f>
        <v>0</v>
      </c>
      <c r="BZ109" s="123"/>
      <c r="CA109" s="124">
        <f t="shared" ref="CA109" si="5146">BZ109*$E109</f>
        <v>0</v>
      </c>
      <c r="CB109" s="123"/>
      <c r="CC109" s="124">
        <f t="shared" ref="CC109" si="5147">CB109*$E109</f>
        <v>0</v>
      </c>
      <c r="CD109" s="123"/>
      <c r="CE109" s="124">
        <f t="shared" ref="CE109" si="5148">CD109*$E109</f>
        <v>0</v>
      </c>
      <c r="CF109" s="125">
        <f t="shared" si="3186"/>
        <v>0</v>
      </c>
      <c r="CG109" s="126">
        <f t="shared" ref="CG109" si="5149">CF109*$E109</f>
        <v>0</v>
      </c>
      <c r="CH109" s="129"/>
      <c r="CI109" s="124">
        <f t="shared" ref="CI109" si="5150">CH109*$E109</f>
        <v>0</v>
      </c>
      <c r="CJ109" s="123"/>
      <c r="CK109" s="124">
        <f t="shared" ref="CK109" si="5151">CJ109*$E109</f>
        <v>0</v>
      </c>
      <c r="CL109" s="123"/>
      <c r="CM109" s="124">
        <f t="shared" ref="CM109" si="5152">CL109*$E109</f>
        <v>0</v>
      </c>
      <c r="CN109" s="123"/>
      <c r="CO109" s="124">
        <f t="shared" ref="CO109" si="5153">CN109*$E109</f>
        <v>0</v>
      </c>
      <c r="CP109" s="123"/>
      <c r="CQ109" s="124">
        <f t="shared" ref="CQ109" si="5154">CP109*$E109</f>
        <v>0</v>
      </c>
      <c r="CR109" s="123"/>
      <c r="CS109" s="124">
        <f t="shared" ref="CS109" si="5155">CR109*$E109</f>
        <v>0</v>
      </c>
      <c r="CT109" s="123"/>
      <c r="CU109" s="124">
        <f t="shared" ref="CU109" si="5156">CT109*$E109</f>
        <v>0</v>
      </c>
      <c r="CV109" s="123"/>
      <c r="CW109" s="124">
        <f t="shared" ref="CW109" si="5157">CV109*$E109</f>
        <v>0</v>
      </c>
      <c r="CX109" s="123"/>
      <c r="CY109" s="124">
        <f t="shared" ref="CY109" si="5158">CX109*$E109</f>
        <v>0</v>
      </c>
      <c r="CZ109" s="123"/>
      <c r="DA109" s="124">
        <f t="shared" ref="DA109" si="5159">CZ109*$E109</f>
        <v>0</v>
      </c>
      <c r="DB109" s="123"/>
      <c r="DC109" s="124">
        <f t="shared" si="3198"/>
        <v>0</v>
      </c>
      <c r="DD109" s="123"/>
      <c r="DE109" s="124">
        <f t="shared" si="3198"/>
        <v>0</v>
      </c>
      <c r="DF109" s="27">
        <f t="shared" si="3145"/>
        <v>0</v>
      </c>
      <c r="DG109" s="124">
        <f t="shared" si="3199"/>
        <v>0</v>
      </c>
    </row>
    <row r="110" spans="1:111" x14ac:dyDescent="0.5">
      <c r="A110" s="117">
        <v>88</v>
      </c>
      <c r="B110" s="122" t="s">
        <v>199</v>
      </c>
      <c r="C110" s="122" t="s">
        <v>233</v>
      </c>
      <c r="D110" s="117"/>
      <c r="E110" s="117">
        <v>1</v>
      </c>
      <c r="F110" s="117" t="s">
        <v>237</v>
      </c>
      <c r="G110" s="117"/>
      <c r="H110" s="123"/>
      <c r="I110" s="124">
        <f t="shared" ref="I110" si="5160">H110*$E110</f>
        <v>0</v>
      </c>
      <c r="J110" s="123"/>
      <c r="K110" s="124">
        <f t="shared" ref="K110" si="5161">J110*$E110</f>
        <v>0</v>
      </c>
      <c r="L110" s="123"/>
      <c r="M110" s="124">
        <f t="shared" ref="M110" si="5162">L110*$E110</f>
        <v>0</v>
      </c>
      <c r="N110" s="123"/>
      <c r="O110" s="124">
        <f t="shared" ref="O110" si="5163">N110*$E110</f>
        <v>0</v>
      </c>
      <c r="P110" s="123"/>
      <c r="Q110" s="124">
        <f t="shared" ref="Q110" si="5164">P110*$E110</f>
        <v>0</v>
      </c>
      <c r="R110" s="123"/>
      <c r="S110" s="124">
        <f t="shared" ref="S110" si="5165">R110*$E110</f>
        <v>0</v>
      </c>
      <c r="T110" s="123"/>
      <c r="U110" s="124">
        <f t="shared" ref="U110" si="5166">T110*$E110</f>
        <v>0</v>
      </c>
      <c r="V110" s="123"/>
      <c r="W110" s="124">
        <f t="shared" ref="W110" si="5167">V110*$E110</f>
        <v>0</v>
      </c>
      <c r="X110" s="123"/>
      <c r="Y110" s="124">
        <f t="shared" ref="Y110" si="5168">X110*$E110</f>
        <v>0</v>
      </c>
      <c r="Z110" s="123"/>
      <c r="AA110" s="124">
        <f t="shared" ref="AA110" si="5169">Z110*$E110</f>
        <v>0</v>
      </c>
      <c r="AB110" s="123"/>
      <c r="AC110" s="124">
        <f t="shared" ref="AC110" si="5170">AB110*$E110</f>
        <v>0</v>
      </c>
      <c r="AD110" s="123"/>
      <c r="AE110" s="124">
        <f t="shared" ref="AE110" si="5171">AD110*$E110</f>
        <v>0</v>
      </c>
      <c r="AF110" s="125">
        <f t="shared" si="3158"/>
        <v>0</v>
      </c>
      <c r="AG110" s="126">
        <f t="shared" ref="AG110" si="5172">AF110*$E110</f>
        <v>0</v>
      </c>
      <c r="AH110" s="123"/>
      <c r="AI110" s="124">
        <f t="shared" ref="AI110" si="5173">AH110*$E110</f>
        <v>0</v>
      </c>
      <c r="AJ110" s="123"/>
      <c r="AK110" s="124">
        <f t="shared" ref="AK110" si="5174">AJ110*$E110</f>
        <v>0</v>
      </c>
      <c r="AL110" s="123"/>
      <c r="AM110" s="124">
        <f t="shared" ref="AM110" si="5175">AL110*$E110</f>
        <v>0</v>
      </c>
      <c r="AN110" s="123"/>
      <c r="AO110" s="124">
        <f t="shared" ref="AO110" si="5176">AN110*$E110</f>
        <v>0</v>
      </c>
      <c r="AP110" s="123"/>
      <c r="AQ110" s="124">
        <f t="shared" ref="AQ110" si="5177">AP110*$E110</f>
        <v>0</v>
      </c>
      <c r="AR110" s="123"/>
      <c r="AS110" s="124">
        <f t="shared" ref="AS110" si="5178">AR110*$E110</f>
        <v>0</v>
      </c>
      <c r="AT110" s="123"/>
      <c r="AU110" s="124">
        <f t="shared" ref="AU110" si="5179">AT110*$E110</f>
        <v>0</v>
      </c>
      <c r="AV110" s="123"/>
      <c r="AW110" s="124">
        <f t="shared" ref="AW110" si="5180">AV110*$E110</f>
        <v>0</v>
      </c>
      <c r="AX110" s="123"/>
      <c r="AY110" s="124">
        <f t="shared" ref="AY110" si="5181">AX110*$E110</f>
        <v>0</v>
      </c>
      <c r="AZ110" s="123"/>
      <c r="BA110" s="124">
        <f t="shared" ref="BA110" si="5182">AZ110*$E110</f>
        <v>0</v>
      </c>
      <c r="BB110" s="123"/>
      <c r="BC110" s="124">
        <f t="shared" ref="BC110" si="5183">BB110*$E110</f>
        <v>0</v>
      </c>
      <c r="BD110" s="123"/>
      <c r="BE110" s="124">
        <f t="shared" ref="BE110" si="5184">BD110*$E110</f>
        <v>0</v>
      </c>
      <c r="BF110" s="125">
        <f t="shared" si="3172"/>
        <v>0</v>
      </c>
      <c r="BG110" s="126">
        <f t="shared" ref="BG110" si="5185">BF110*$E110</f>
        <v>0</v>
      </c>
      <c r="BH110" s="123"/>
      <c r="BI110" s="124">
        <f t="shared" ref="BI110" si="5186">BH110*$E110</f>
        <v>0</v>
      </c>
      <c r="BJ110" s="123"/>
      <c r="BK110" s="124">
        <f t="shared" ref="BK110" si="5187">BJ110*$E110</f>
        <v>0</v>
      </c>
      <c r="BL110" s="123"/>
      <c r="BM110" s="124">
        <f t="shared" ref="BM110" si="5188">BL110*$E110</f>
        <v>0</v>
      </c>
      <c r="BN110" s="123"/>
      <c r="BO110" s="124">
        <f t="shared" ref="BO110" si="5189">BN110*$E110</f>
        <v>0</v>
      </c>
      <c r="BP110" s="123"/>
      <c r="BQ110" s="124">
        <f t="shared" ref="BQ110" si="5190">BP110*$E110</f>
        <v>0</v>
      </c>
      <c r="BR110" s="123"/>
      <c r="BS110" s="124">
        <f t="shared" ref="BS110" si="5191">BR110*$E110</f>
        <v>0</v>
      </c>
      <c r="BT110" s="123"/>
      <c r="BU110" s="124">
        <f t="shared" ref="BU110" si="5192">BT110*$E110</f>
        <v>0</v>
      </c>
      <c r="BV110" s="123"/>
      <c r="BW110" s="124">
        <f t="shared" ref="BW110" si="5193">BV110*$E110</f>
        <v>0</v>
      </c>
      <c r="BX110" s="123"/>
      <c r="BY110" s="124">
        <f t="shared" ref="BY110" si="5194">BX110*$E110</f>
        <v>0</v>
      </c>
      <c r="BZ110" s="123"/>
      <c r="CA110" s="124">
        <f t="shared" ref="CA110" si="5195">BZ110*$E110</f>
        <v>0</v>
      </c>
      <c r="CB110" s="123"/>
      <c r="CC110" s="124">
        <f t="shared" ref="CC110" si="5196">CB110*$E110</f>
        <v>0</v>
      </c>
      <c r="CD110" s="123"/>
      <c r="CE110" s="124">
        <f t="shared" ref="CE110" si="5197">CD110*$E110</f>
        <v>0</v>
      </c>
      <c r="CF110" s="125">
        <f t="shared" si="3186"/>
        <v>0</v>
      </c>
      <c r="CG110" s="126">
        <f t="shared" ref="CG110" si="5198">CF110*$E110</f>
        <v>0</v>
      </c>
      <c r="CH110" s="129"/>
      <c r="CI110" s="124">
        <f t="shared" ref="CI110" si="5199">CH110*$E110</f>
        <v>0</v>
      </c>
      <c r="CJ110" s="123"/>
      <c r="CK110" s="124">
        <f t="shared" ref="CK110" si="5200">CJ110*$E110</f>
        <v>0</v>
      </c>
      <c r="CL110" s="123"/>
      <c r="CM110" s="124">
        <f t="shared" ref="CM110" si="5201">CL110*$E110</f>
        <v>0</v>
      </c>
      <c r="CN110" s="123"/>
      <c r="CO110" s="124">
        <f t="shared" ref="CO110" si="5202">CN110*$E110</f>
        <v>0</v>
      </c>
      <c r="CP110" s="123"/>
      <c r="CQ110" s="124">
        <f t="shared" ref="CQ110" si="5203">CP110*$E110</f>
        <v>0</v>
      </c>
      <c r="CR110" s="123"/>
      <c r="CS110" s="124">
        <f t="shared" ref="CS110" si="5204">CR110*$E110</f>
        <v>0</v>
      </c>
      <c r="CT110" s="123"/>
      <c r="CU110" s="124">
        <f t="shared" ref="CU110" si="5205">CT110*$E110</f>
        <v>0</v>
      </c>
      <c r="CV110" s="123"/>
      <c r="CW110" s="124">
        <f t="shared" ref="CW110" si="5206">CV110*$E110</f>
        <v>0</v>
      </c>
      <c r="CX110" s="123"/>
      <c r="CY110" s="124">
        <f t="shared" ref="CY110" si="5207">CX110*$E110</f>
        <v>0</v>
      </c>
      <c r="CZ110" s="123"/>
      <c r="DA110" s="124">
        <f t="shared" ref="DA110" si="5208">CZ110*$E110</f>
        <v>0</v>
      </c>
      <c r="DB110" s="123"/>
      <c r="DC110" s="124">
        <f t="shared" si="3198"/>
        <v>0</v>
      </c>
      <c r="DD110" s="123"/>
      <c r="DE110" s="124">
        <f t="shared" si="3198"/>
        <v>0</v>
      </c>
      <c r="DF110" s="27">
        <f t="shared" si="3145"/>
        <v>0</v>
      </c>
      <c r="DG110" s="124">
        <f t="shared" si="3199"/>
        <v>0</v>
      </c>
    </row>
    <row r="111" spans="1:111" ht="18" customHeight="1" x14ac:dyDescent="0.5">
      <c r="A111" s="117">
        <v>89</v>
      </c>
      <c r="B111" s="122" t="s">
        <v>199</v>
      </c>
      <c r="C111" s="122" t="s">
        <v>231</v>
      </c>
      <c r="D111" s="117"/>
      <c r="E111" s="117">
        <v>0.64</v>
      </c>
      <c r="F111" s="117" t="s">
        <v>236</v>
      </c>
      <c r="G111" s="117"/>
      <c r="H111" s="123"/>
      <c r="I111" s="124">
        <f t="shared" ref="I111" si="5209">H111*$E111</f>
        <v>0</v>
      </c>
      <c r="J111" s="123"/>
      <c r="K111" s="124">
        <f t="shared" ref="K111" si="5210">J111*$E111</f>
        <v>0</v>
      </c>
      <c r="L111" s="123"/>
      <c r="M111" s="124">
        <f t="shared" ref="M111" si="5211">L111*$E111</f>
        <v>0</v>
      </c>
      <c r="N111" s="123"/>
      <c r="O111" s="124">
        <f t="shared" ref="O111" si="5212">N111*$E111</f>
        <v>0</v>
      </c>
      <c r="P111" s="123"/>
      <c r="Q111" s="124">
        <f t="shared" ref="Q111" si="5213">P111*$E111</f>
        <v>0</v>
      </c>
      <c r="R111" s="123"/>
      <c r="S111" s="124">
        <f t="shared" ref="S111" si="5214">R111*$E111</f>
        <v>0</v>
      </c>
      <c r="T111" s="123"/>
      <c r="U111" s="124">
        <f t="shared" ref="U111" si="5215">T111*$E111</f>
        <v>0</v>
      </c>
      <c r="V111" s="123"/>
      <c r="W111" s="124">
        <f t="shared" ref="W111" si="5216">V111*$E111</f>
        <v>0</v>
      </c>
      <c r="X111" s="123"/>
      <c r="Y111" s="124">
        <f t="shared" ref="Y111" si="5217">X111*$E111</f>
        <v>0</v>
      </c>
      <c r="Z111" s="123"/>
      <c r="AA111" s="124">
        <f t="shared" ref="AA111" si="5218">Z111*$E111</f>
        <v>0</v>
      </c>
      <c r="AB111" s="123"/>
      <c r="AC111" s="124">
        <f t="shared" ref="AC111" si="5219">AB111*$E111</f>
        <v>0</v>
      </c>
      <c r="AD111" s="123"/>
      <c r="AE111" s="124">
        <f t="shared" ref="AE111" si="5220">AD111*$E111</f>
        <v>0</v>
      </c>
      <c r="AF111" s="125">
        <f t="shared" si="3158"/>
        <v>0</v>
      </c>
      <c r="AG111" s="126">
        <f t="shared" ref="AG111" si="5221">AF111*$E111</f>
        <v>0</v>
      </c>
      <c r="AH111" s="11"/>
      <c r="AI111" s="124">
        <f t="shared" ref="AI111" si="5222">AH111*$E111</f>
        <v>0</v>
      </c>
      <c r="AJ111" s="15"/>
      <c r="AK111" s="124">
        <f t="shared" ref="AK111" si="5223">AJ111*$E111</f>
        <v>0</v>
      </c>
      <c r="AL111" s="15"/>
      <c r="AM111" s="124">
        <f t="shared" ref="AM111" si="5224">AL111*$E111</f>
        <v>0</v>
      </c>
      <c r="AN111" s="16"/>
      <c r="AO111" s="124">
        <f t="shared" ref="AO111" si="5225">AN111*$E111</f>
        <v>0</v>
      </c>
      <c r="AP111" s="15"/>
      <c r="AQ111" s="124">
        <f t="shared" ref="AQ111" si="5226">AP111*$E111</f>
        <v>0</v>
      </c>
      <c r="AR111" s="15"/>
      <c r="AS111" s="124">
        <f t="shared" ref="AS111" si="5227">AR111*$E111</f>
        <v>0</v>
      </c>
      <c r="AT111" s="17"/>
      <c r="AU111" s="124">
        <f t="shared" ref="AU111" si="5228">AT111*$E111</f>
        <v>0</v>
      </c>
      <c r="AV111" s="15"/>
      <c r="AW111" s="124">
        <f t="shared" ref="AW111" si="5229">AV111*$E111</f>
        <v>0</v>
      </c>
      <c r="AX111" s="15"/>
      <c r="AY111" s="124">
        <f t="shared" ref="AY111" si="5230">AX111*$E111</f>
        <v>0</v>
      </c>
      <c r="AZ111" s="17"/>
      <c r="BA111" s="124">
        <f t="shared" ref="BA111" si="5231">AZ111*$E111</f>
        <v>0</v>
      </c>
      <c r="BB111" s="33"/>
      <c r="BC111" s="124">
        <f t="shared" ref="BC111" si="5232">BB111*$E111</f>
        <v>0</v>
      </c>
      <c r="BD111" s="33"/>
      <c r="BE111" s="124">
        <f t="shared" ref="BE111" si="5233">BD111*$E111</f>
        <v>0</v>
      </c>
      <c r="BF111" s="125">
        <f t="shared" si="3172"/>
        <v>0</v>
      </c>
      <c r="BG111" s="126">
        <f t="shared" ref="BG111" si="5234">BF111*$E111</f>
        <v>0</v>
      </c>
      <c r="BH111" s="123"/>
      <c r="BI111" s="124">
        <f t="shared" ref="BI111" si="5235">BH111*$E111</f>
        <v>0</v>
      </c>
      <c r="BJ111" s="123"/>
      <c r="BK111" s="124">
        <f t="shared" ref="BK111" si="5236">BJ111*$E111</f>
        <v>0</v>
      </c>
      <c r="BL111" s="123"/>
      <c r="BM111" s="124">
        <f t="shared" ref="BM111" si="5237">BL111*$E111</f>
        <v>0</v>
      </c>
      <c r="BN111" s="123"/>
      <c r="BO111" s="124">
        <f t="shared" ref="BO111" si="5238">BN111*$E111</f>
        <v>0</v>
      </c>
      <c r="BP111" s="123"/>
      <c r="BQ111" s="124">
        <f t="shared" ref="BQ111" si="5239">BP111*$E111</f>
        <v>0</v>
      </c>
      <c r="BR111" s="123"/>
      <c r="BS111" s="124">
        <f t="shared" ref="BS111" si="5240">BR111*$E111</f>
        <v>0</v>
      </c>
      <c r="BT111" s="123"/>
      <c r="BU111" s="124">
        <f t="shared" ref="BU111" si="5241">BT111*$E111</f>
        <v>0</v>
      </c>
      <c r="BV111" s="123"/>
      <c r="BW111" s="124">
        <f t="shared" ref="BW111" si="5242">BV111*$E111</f>
        <v>0</v>
      </c>
      <c r="BX111" s="123"/>
      <c r="BY111" s="124">
        <f t="shared" ref="BY111" si="5243">BX111*$E111</f>
        <v>0</v>
      </c>
      <c r="BZ111" s="123"/>
      <c r="CA111" s="124">
        <f t="shared" ref="CA111" si="5244">BZ111*$E111</f>
        <v>0</v>
      </c>
      <c r="CB111" s="123"/>
      <c r="CC111" s="124">
        <f t="shared" ref="CC111" si="5245">CB111*$E111</f>
        <v>0</v>
      </c>
      <c r="CD111" s="123"/>
      <c r="CE111" s="124">
        <f t="shared" ref="CE111" si="5246">CD111*$E111</f>
        <v>0</v>
      </c>
      <c r="CF111" s="125">
        <f t="shared" si="3186"/>
        <v>0</v>
      </c>
      <c r="CG111" s="126">
        <f t="shared" ref="CG111" si="5247">CF111*$E111</f>
        <v>0</v>
      </c>
      <c r="CH111" s="123"/>
      <c r="CI111" s="124">
        <f t="shared" ref="CI111" si="5248">CH111*$E111</f>
        <v>0</v>
      </c>
      <c r="CJ111" s="123"/>
      <c r="CK111" s="124">
        <f t="shared" ref="CK111" si="5249">CJ111*$E111</f>
        <v>0</v>
      </c>
      <c r="CL111" s="123"/>
      <c r="CM111" s="124">
        <f t="shared" ref="CM111" si="5250">CL111*$E111</f>
        <v>0</v>
      </c>
      <c r="CN111" s="123"/>
      <c r="CO111" s="124">
        <f t="shared" ref="CO111" si="5251">CN111*$E111</f>
        <v>0</v>
      </c>
      <c r="CP111" s="123"/>
      <c r="CQ111" s="124">
        <f t="shared" ref="CQ111" si="5252">CP111*$E111</f>
        <v>0</v>
      </c>
      <c r="CR111" s="123"/>
      <c r="CS111" s="124">
        <f t="shared" ref="CS111" si="5253">CR111*$E111</f>
        <v>0</v>
      </c>
      <c r="CT111" s="123"/>
      <c r="CU111" s="124">
        <f t="shared" ref="CU111" si="5254">CT111*$E111</f>
        <v>0</v>
      </c>
      <c r="CV111" s="123"/>
      <c r="CW111" s="124">
        <f t="shared" ref="CW111" si="5255">CV111*$E111</f>
        <v>0</v>
      </c>
      <c r="CX111" s="123"/>
      <c r="CY111" s="124">
        <f t="shared" ref="CY111" si="5256">CX111*$E111</f>
        <v>0</v>
      </c>
      <c r="CZ111" s="123"/>
      <c r="DA111" s="124">
        <f t="shared" ref="DA111" si="5257">CZ111*$E111</f>
        <v>0</v>
      </c>
      <c r="DB111" s="123"/>
      <c r="DC111" s="124">
        <f t="shared" si="3198"/>
        <v>0</v>
      </c>
      <c r="DD111" s="123"/>
      <c r="DE111" s="124">
        <f t="shared" si="3198"/>
        <v>0</v>
      </c>
      <c r="DF111" s="27">
        <f t="shared" si="3145"/>
        <v>0</v>
      </c>
      <c r="DG111" s="124">
        <f t="shared" si="3199"/>
        <v>0</v>
      </c>
    </row>
    <row r="112" spans="1:111" x14ac:dyDescent="0.5">
      <c r="A112" s="117"/>
      <c r="B112" s="122"/>
      <c r="C112" s="122"/>
      <c r="D112" s="117"/>
      <c r="E112" s="117"/>
      <c r="F112" s="117"/>
      <c r="G112" s="117"/>
      <c r="H112" s="123"/>
      <c r="I112" s="124">
        <f t="shared" ref="I112" si="5258">H112*$E112</f>
        <v>0</v>
      </c>
      <c r="J112" s="123"/>
      <c r="K112" s="124">
        <f t="shared" ref="K112" si="5259">J112*$E112</f>
        <v>0</v>
      </c>
      <c r="L112" s="123"/>
      <c r="M112" s="124">
        <f t="shared" ref="M112" si="5260">L112*$E112</f>
        <v>0</v>
      </c>
      <c r="N112" s="123"/>
      <c r="O112" s="124">
        <f t="shared" ref="O112" si="5261">N112*$E112</f>
        <v>0</v>
      </c>
      <c r="P112" s="123"/>
      <c r="Q112" s="124">
        <f t="shared" ref="Q112" si="5262">P112*$E112</f>
        <v>0</v>
      </c>
      <c r="R112" s="123"/>
      <c r="S112" s="124">
        <f t="shared" ref="S112" si="5263">R112*$E112</f>
        <v>0</v>
      </c>
      <c r="T112" s="123"/>
      <c r="U112" s="124">
        <f t="shared" ref="U112" si="5264">T112*$E112</f>
        <v>0</v>
      </c>
      <c r="V112" s="123"/>
      <c r="W112" s="124">
        <f t="shared" ref="W112" si="5265">V112*$E112</f>
        <v>0</v>
      </c>
      <c r="X112" s="123"/>
      <c r="Y112" s="124">
        <f t="shared" ref="Y112" si="5266">X112*$E112</f>
        <v>0</v>
      </c>
      <c r="Z112" s="123"/>
      <c r="AA112" s="124">
        <f t="shared" ref="AA112" si="5267">Z112*$E112</f>
        <v>0</v>
      </c>
      <c r="AB112" s="123"/>
      <c r="AC112" s="124">
        <f t="shared" ref="AC112" si="5268">AB112*$E112</f>
        <v>0</v>
      </c>
      <c r="AD112" s="123"/>
      <c r="AE112" s="124">
        <f t="shared" ref="AE112" si="5269">AD112*$E112</f>
        <v>0</v>
      </c>
      <c r="AF112" s="125">
        <f t="shared" si="3158"/>
        <v>0</v>
      </c>
      <c r="AG112" s="126">
        <f t="shared" ref="AG112" si="5270">AF112*$E112</f>
        <v>0</v>
      </c>
      <c r="AH112" s="123"/>
      <c r="AI112" s="124">
        <f t="shared" ref="AI112" si="5271">AH112*$E112</f>
        <v>0</v>
      </c>
      <c r="AJ112" s="123"/>
      <c r="AK112" s="124">
        <f t="shared" ref="AK112" si="5272">AJ112*$E112</f>
        <v>0</v>
      </c>
      <c r="AL112" s="123"/>
      <c r="AM112" s="124">
        <f t="shared" ref="AM112" si="5273">AL112*$E112</f>
        <v>0</v>
      </c>
      <c r="AN112" s="123"/>
      <c r="AO112" s="124">
        <f t="shared" ref="AO112" si="5274">AN112*$E112</f>
        <v>0</v>
      </c>
      <c r="AP112" s="123"/>
      <c r="AQ112" s="124">
        <f t="shared" ref="AQ112" si="5275">AP112*$E112</f>
        <v>0</v>
      </c>
      <c r="AR112" s="123"/>
      <c r="AS112" s="124">
        <f t="shared" ref="AS112" si="5276">AR112*$E112</f>
        <v>0</v>
      </c>
      <c r="AT112" s="123"/>
      <c r="AU112" s="124">
        <f t="shared" ref="AU112" si="5277">AT112*$E112</f>
        <v>0</v>
      </c>
      <c r="AV112" s="123"/>
      <c r="AW112" s="124">
        <f t="shared" ref="AW112" si="5278">AV112*$E112</f>
        <v>0</v>
      </c>
      <c r="AX112" s="123"/>
      <c r="AY112" s="124">
        <f t="shared" ref="AY112" si="5279">AX112*$E112</f>
        <v>0</v>
      </c>
      <c r="AZ112" s="123"/>
      <c r="BA112" s="124">
        <f t="shared" ref="BA112" si="5280">AZ112*$E112</f>
        <v>0</v>
      </c>
      <c r="BB112" s="123"/>
      <c r="BC112" s="124">
        <f t="shared" ref="BC112" si="5281">BB112*$E112</f>
        <v>0</v>
      </c>
      <c r="BD112" s="123"/>
      <c r="BE112" s="124">
        <f t="shared" ref="BE112" si="5282">BD112*$E112</f>
        <v>0</v>
      </c>
      <c r="BF112" s="125">
        <f t="shared" si="3172"/>
        <v>0</v>
      </c>
      <c r="BG112" s="126">
        <f t="shared" ref="BG112" si="5283">BF112*$E112</f>
        <v>0</v>
      </c>
      <c r="BH112" s="123"/>
      <c r="BI112" s="124">
        <f t="shared" ref="BI112" si="5284">BH112*$E112</f>
        <v>0</v>
      </c>
      <c r="BJ112" s="123"/>
      <c r="BK112" s="124">
        <f t="shared" ref="BK112" si="5285">BJ112*$E112</f>
        <v>0</v>
      </c>
      <c r="BL112" s="123"/>
      <c r="BM112" s="124">
        <f t="shared" ref="BM112" si="5286">BL112*$E112</f>
        <v>0</v>
      </c>
      <c r="BN112" s="123"/>
      <c r="BO112" s="124">
        <f t="shared" ref="BO112" si="5287">BN112*$E112</f>
        <v>0</v>
      </c>
      <c r="BP112" s="123"/>
      <c r="BQ112" s="124">
        <f t="shared" ref="BQ112" si="5288">BP112*$E112</f>
        <v>0</v>
      </c>
      <c r="BR112" s="123"/>
      <c r="BS112" s="124">
        <f t="shared" ref="BS112" si="5289">BR112*$E112</f>
        <v>0</v>
      </c>
      <c r="BT112" s="123"/>
      <c r="BU112" s="124">
        <f t="shared" ref="BU112" si="5290">BT112*$E112</f>
        <v>0</v>
      </c>
      <c r="BV112" s="123"/>
      <c r="BW112" s="124">
        <f t="shared" ref="BW112" si="5291">BV112*$E112</f>
        <v>0</v>
      </c>
      <c r="BX112" s="123"/>
      <c r="BY112" s="124">
        <f t="shared" ref="BY112" si="5292">BX112*$E112</f>
        <v>0</v>
      </c>
      <c r="BZ112" s="123"/>
      <c r="CA112" s="124">
        <f t="shared" ref="CA112" si="5293">BZ112*$E112</f>
        <v>0</v>
      </c>
      <c r="CB112" s="123"/>
      <c r="CC112" s="124">
        <f t="shared" ref="CC112" si="5294">CB112*$E112</f>
        <v>0</v>
      </c>
      <c r="CD112" s="123"/>
      <c r="CE112" s="124">
        <f t="shared" ref="CE112" si="5295">CD112*$E112</f>
        <v>0</v>
      </c>
      <c r="CF112" s="125">
        <f t="shared" si="3186"/>
        <v>0</v>
      </c>
      <c r="CG112" s="126">
        <f t="shared" ref="CG112" si="5296">CF112*$E112</f>
        <v>0</v>
      </c>
      <c r="CH112" s="129"/>
      <c r="CI112" s="124">
        <f t="shared" ref="CI112" si="5297">CH112*$E112</f>
        <v>0</v>
      </c>
      <c r="CJ112" s="123"/>
      <c r="CK112" s="124">
        <f t="shared" ref="CK112" si="5298">CJ112*$E112</f>
        <v>0</v>
      </c>
      <c r="CL112" s="123"/>
      <c r="CM112" s="124">
        <f t="shared" ref="CM112" si="5299">CL112*$E112</f>
        <v>0</v>
      </c>
      <c r="CN112" s="123"/>
      <c r="CO112" s="124">
        <f t="shared" ref="CO112" si="5300">CN112*$E112</f>
        <v>0</v>
      </c>
      <c r="CP112" s="123"/>
      <c r="CQ112" s="124">
        <f t="shared" ref="CQ112" si="5301">CP112*$E112</f>
        <v>0</v>
      </c>
      <c r="CR112" s="123"/>
      <c r="CS112" s="124">
        <f t="shared" ref="CS112" si="5302">CR112*$E112</f>
        <v>0</v>
      </c>
      <c r="CT112" s="123"/>
      <c r="CU112" s="124">
        <f t="shared" ref="CU112" si="5303">CT112*$E112</f>
        <v>0</v>
      </c>
      <c r="CV112" s="123"/>
      <c r="CW112" s="124">
        <f t="shared" ref="CW112" si="5304">CV112*$E112</f>
        <v>0</v>
      </c>
      <c r="CX112" s="123"/>
      <c r="CY112" s="124">
        <f t="shared" ref="CY112" si="5305">CX112*$E112</f>
        <v>0</v>
      </c>
      <c r="CZ112" s="123"/>
      <c r="DA112" s="124">
        <f t="shared" ref="DA112" si="5306">CZ112*$E112</f>
        <v>0</v>
      </c>
      <c r="DB112" s="123"/>
      <c r="DC112" s="124">
        <f t="shared" si="3198"/>
        <v>0</v>
      </c>
      <c r="DD112" s="123"/>
      <c r="DE112" s="124">
        <f t="shared" si="3198"/>
        <v>0</v>
      </c>
      <c r="DF112" s="27">
        <f t="shared" si="3145"/>
        <v>0</v>
      </c>
      <c r="DG112" s="124">
        <f t="shared" si="3199"/>
        <v>0</v>
      </c>
    </row>
    <row r="113" spans="1:111" ht="18" customHeight="1" x14ac:dyDescent="0.5">
      <c r="A113" s="117">
        <v>90</v>
      </c>
      <c r="B113" s="122" t="s">
        <v>51</v>
      </c>
      <c r="C113" s="122" t="s">
        <v>231</v>
      </c>
      <c r="D113" s="117"/>
      <c r="E113" s="117">
        <v>0.7</v>
      </c>
      <c r="F113" s="117" t="s">
        <v>232</v>
      </c>
      <c r="G113" s="117">
        <v>3600</v>
      </c>
      <c r="H113" s="123">
        <v>198</v>
      </c>
      <c r="I113" s="124">
        <f t="shared" ref="I113" si="5307">H113*$E113</f>
        <v>138.6</v>
      </c>
      <c r="J113" s="123">
        <v>133</v>
      </c>
      <c r="K113" s="124">
        <f t="shared" ref="K113" si="5308">J113*$E113</f>
        <v>93.1</v>
      </c>
      <c r="L113" s="123">
        <v>156</v>
      </c>
      <c r="M113" s="124">
        <f t="shared" ref="M113" si="5309">L113*$E113</f>
        <v>109.19999999999999</v>
      </c>
      <c r="N113" s="123">
        <v>204</v>
      </c>
      <c r="O113" s="124">
        <f t="shared" ref="O113" si="5310">N113*$E113</f>
        <v>142.79999999999998</v>
      </c>
      <c r="P113" s="123">
        <v>160</v>
      </c>
      <c r="Q113" s="124">
        <f t="shared" ref="Q113" si="5311">P113*$E113</f>
        <v>112</v>
      </c>
      <c r="R113" s="123">
        <v>192</v>
      </c>
      <c r="S113" s="124">
        <f t="shared" ref="S113" si="5312">R113*$E113</f>
        <v>134.39999999999998</v>
      </c>
      <c r="T113" s="123">
        <v>140</v>
      </c>
      <c r="U113" s="124">
        <f t="shared" ref="U113" si="5313">T113*$E113</f>
        <v>98</v>
      </c>
      <c r="V113" s="123">
        <v>161</v>
      </c>
      <c r="W113" s="124">
        <f t="shared" ref="W113" si="5314">V113*$E113</f>
        <v>112.69999999999999</v>
      </c>
      <c r="X113" s="123"/>
      <c r="Y113" s="124">
        <f t="shared" ref="Y113" si="5315">X113*$E113</f>
        <v>0</v>
      </c>
      <c r="Z113" s="123">
        <v>298</v>
      </c>
      <c r="AA113" s="124">
        <f t="shared" ref="AA113" si="5316">Z113*$E113</f>
        <v>208.6</v>
      </c>
      <c r="AB113" s="123">
        <v>67</v>
      </c>
      <c r="AC113" s="124">
        <f t="shared" ref="AC113" si="5317">AB113*$E113</f>
        <v>46.9</v>
      </c>
      <c r="AD113" s="123">
        <v>243</v>
      </c>
      <c r="AE113" s="124">
        <f t="shared" ref="AE113" si="5318">AD113*$E113</f>
        <v>170.1</v>
      </c>
      <c r="AF113" s="125">
        <f t="shared" si="3158"/>
        <v>1952</v>
      </c>
      <c r="AG113" s="126">
        <f t="shared" ref="AG113" si="5319">AF113*$E113</f>
        <v>1366.3999999999999</v>
      </c>
      <c r="AH113" s="11">
        <v>298</v>
      </c>
      <c r="AI113" s="124">
        <f t="shared" ref="AI113" si="5320">AH113*$E113</f>
        <v>208.6</v>
      </c>
      <c r="AJ113" s="15">
        <v>130</v>
      </c>
      <c r="AK113" s="124">
        <f t="shared" ref="AK113" si="5321">AJ113*$E113</f>
        <v>91</v>
      </c>
      <c r="AL113" s="15">
        <v>447</v>
      </c>
      <c r="AM113" s="124">
        <f t="shared" ref="AM113" si="5322">AL113*$E113</f>
        <v>312.89999999999998</v>
      </c>
      <c r="AN113" s="16">
        <v>12</v>
      </c>
      <c r="AO113" s="124">
        <f t="shared" ref="AO113" si="5323">AN113*$E113</f>
        <v>8.3999999999999986</v>
      </c>
      <c r="AP113" s="15">
        <v>126</v>
      </c>
      <c r="AQ113" s="124">
        <f t="shared" ref="AQ113" si="5324">AP113*$E113</f>
        <v>88.199999999999989</v>
      </c>
      <c r="AR113" s="15">
        <v>182</v>
      </c>
      <c r="AS113" s="124">
        <f t="shared" ref="AS113" si="5325">AR113*$E113</f>
        <v>127.39999999999999</v>
      </c>
      <c r="AT113" s="17">
        <v>2</v>
      </c>
      <c r="AU113" s="124">
        <f t="shared" ref="AU113" si="5326">AT113*$E113</f>
        <v>1.4</v>
      </c>
      <c r="AV113" s="15">
        <v>124</v>
      </c>
      <c r="AW113" s="124">
        <f t="shared" ref="AW113" si="5327">AV113*$E113</f>
        <v>86.8</v>
      </c>
      <c r="AX113" s="15">
        <v>10</v>
      </c>
      <c r="AY113" s="124">
        <f t="shared" ref="AY113" si="5328">AX113*$E113</f>
        <v>7</v>
      </c>
      <c r="AZ113" s="17">
        <v>209</v>
      </c>
      <c r="BA113" s="124">
        <f t="shared" ref="BA113" si="5329">AZ113*$E113</f>
        <v>146.29999999999998</v>
      </c>
      <c r="BB113" s="33"/>
      <c r="BC113" s="124">
        <f t="shared" ref="BC113" si="5330">BB113*$E113</f>
        <v>0</v>
      </c>
      <c r="BD113" s="33">
        <v>180</v>
      </c>
      <c r="BE113" s="124">
        <f t="shared" ref="BE113" si="5331">BD113*$E113</f>
        <v>125.99999999999999</v>
      </c>
      <c r="BF113" s="125">
        <f t="shared" si="3172"/>
        <v>1720</v>
      </c>
      <c r="BG113" s="126">
        <f t="shared" ref="BG113" si="5332">BF113*$E113</f>
        <v>1204</v>
      </c>
      <c r="BH113" s="64">
        <v>2</v>
      </c>
      <c r="BI113" s="124">
        <f t="shared" ref="BI113" si="5333">BH113*$E113</f>
        <v>1.4</v>
      </c>
      <c r="BJ113" s="79"/>
      <c r="BK113" s="124">
        <f t="shared" ref="BK113" si="5334">BJ113*$E113</f>
        <v>0</v>
      </c>
      <c r="BL113" s="64">
        <v>60</v>
      </c>
      <c r="BM113" s="124">
        <f t="shared" ref="BM113" si="5335">BL113*$E113</f>
        <v>42</v>
      </c>
      <c r="BN113" s="64">
        <v>180</v>
      </c>
      <c r="BO113" s="124">
        <f t="shared" ref="BO113" si="5336">BN113*$E113</f>
        <v>125.99999999999999</v>
      </c>
      <c r="BP113" s="64">
        <v>77</v>
      </c>
      <c r="BQ113" s="124">
        <f t="shared" ref="BQ113" si="5337">BP113*$E113</f>
        <v>53.9</v>
      </c>
      <c r="BR113" s="65">
        <v>60</v>
      </c>
      <c r="BS113" s="124">
        <f t="shared" ref="BS113" si="5338">BR113*$E113</f>
        <v>42</v>
      </c>
      <c r="BT113" s="64">
        <v>60</v>
      </c>
      <c r="BU113" s="124">
        <f t="shared" ref="BU113" si="5339">BT113*$E113</f>
        <v>42</v>
      </c>
      <c r="BV113" s="67">
        <v>204</v>
      </c>
      <c r="BW113" s="124">
        <f t="shared" ref="BW113" si="5340">BV113*$E113</f>
        <v>142.79999999999998</v>
      </c>
      <c r="BX113" s="67">
        <v>41</v>
      </c>
      <c r="BY113" s="124">
        <f t="shared" ref="BY113" si="5341">BX113*$E113</f>
        <v>28.7</v>
      </c>
      <c r="BZ113" s="67">
        <v>54</v>
      </c>
      <c r="CA113" s="124">
        <f t="shared" ref="CA113" si="5342">BZ113*$E113</f>
        <v>37.799999999999997</v>
      </c>
      <c r="CB113" s="67">
        <v>354</v>
      </c>
      <c r="CC113" s="124">
        <f t="shared" ref="CC113" si="5343">CB113*$E113</f>
        <v>247.79999999999998</v>
      </c>
      <c r="CD113" s="69">
        <v>41</v>
      </c>
      <c r="CE113" s="124">
        <f t="shared" ref="CE113" si="5344">CD113*$E113</f>
        <v>28.7</v>
      </c>
      <c r="CF113" s="125">
        <f t="shared" si="3186"/>
        <v>1133</v>
      </c>
      <c r="CG113" s="126">
        <f t="shared" ref="CG113" si="5345">CF113*$E113</f>
        <v>793.09999999999991</v>
      </c>
      <c r="CH113" s="123">
        <v>29</v>
      </c>
      <c r="CI113" s="124">
        <f t="shared" ref="CI113" si="5346">CH113*$E113</f>
        <v>20.299999999999997</v>
      </c>
      <c r="CJ113" s="123">
        <v>42</v>
      </c>
      <c r="CK113" s="124">
        <f t="shared" ref="CK113" si="5347">CJ113*$E113</f>
        <v>29.4</v>
      </c>
      <c r="CL113" s="123">
        <v>48</v>
      </c>
      <c r="CM113" s="124">
        <f t="shared" ref="CM113" si="5348">CL113*$E113</f>
        <v>33.599999999999994</v>
      </c>
      <c r="CN113" s="123">
        <v>36</v>
      </c>
      <c r="CO113" s="124">
        <f t="shared" ref="CO113" si="5349">CN113*$E113</f>
        <v>25.2</v>
      </c>
      <c r="CP113" s="123">
        <v>36</v>
      </c>
      <c r="CQ113" s="124">
        <f t="shared" ref="CQ113" si="5350">CP113*$E113</f>
        <v>25.2</v>
      </c>
      <c r="CR113" s="123">
        <v>24</v>
      </c>
      <c r="CS113" s="124">
        <f t="shared" ref="CS113" si="5351">CR113*$E113</f>
        <v>16.799999999999997</v>
      </c>
      <c r="CT113" s="123">
        <v>48</v>
      </c>
      <c r="CU113" s="124">
        <f t="shared" ref="CU113" si="5352">CT113*$E113</f>
        <v>33.599999999999994</v>
      </c>
      <c r="CV113" s="123">
        <v>23</v>
      </c>
      <c r="CW113" s="124">
        <f t="shared" ref="CW113" si="5353">CV113*$E113</f>
        <v>16.099999999999998</v>
      </c>
      <c r="CX113" s="123">
        <v>6</v>
      </c>
      <c r="CY113" s="124">
        <f t="shared" ref="CY113" si="5354">CX113*$E113</f>
        <v>4.1999999999999993</v>
      </c>
      <c r="CZ113" s="123">
        <v>20</v>
      </c>
      <c r="DA113" s="124">
        <f t="shared" ref="DA113" si="5355">CZ113*$E113</f>
        <v>14</v>
      </c>
      <c r="DB113" s="123">
        <v>12</v>
      </c>
      <c r="DC113" s="124">
        <f t="shared" si="3198"/>
        <v>8.3999999999999986</v>
      </c>
      <c r="DD113" s="123">
        <v>4</v>
      </c>
      <c r="DE113" s="124">
        <f t="shared" si="3198"/>
        <v>2.8</v>
      </c>
      <c r="DF113" s="27">
        <f t="shared" si="3145"/>
        <v>328</v>
      </c>
      <c r="DG113" s="124">
        <f t="shared" si="3199"/>
        <v>229.6</v>
      </c>
    </row>
    <row r="114" spans="1:111" ht="18" customHeight="1" x14ac:dyDescent="0.5">
      <c r="A114" s="117">
        <v>91</v>
      </c>
      <c r="B114" s="122" t="s">
        <v>52</v>
      </c>
      <c r="C114" s="122" t="s">
        <v>231</v>
      </c>
      <c r="D114" s="117"/>
      <c r="E114" s="117">
        <v>0.35</v>
      </c>
      <c r="F114" s="117" t="s">
        <v>235</v>
      </c>
      <c r="G114" s="117">
        <v>2100</v>
      </c>
      <c r="H114" s="123">
        <v>118</v>
      </c>
      <c r="I114" s="124">
        <f t="shared" ref="I114" si="5356">H114*$E114</f>
        <v>41.3</v>
      </c>
      <c r="J114" s="123"/>
      <c r="K114" s="124">
        <f t="shared" ref="K114" si="5357">J114*$E114</f>
        <v>0</v>
      </c>
      <c r="L114" s="123">
        <v>139</v>
      </c>
      <c r="M114" s="124">
        <f t="shared" ref="M114" si="5358">L114*$E114</f>
        <v>48.65</v>
      </c>
      <c r="N114" s="123">
        <v>78</v>
      </c>
      <c r="O114" s="124">
        <f t="shared" ref="O114" si="5359">N114*$E114</f>
        <v>27.299999999999997</v>
      </c>
      <c r="P114" s="123">
        <v>39</v>
      </c>
      <c r="Q114" s="124">
        <f t="shared" ref="Q114" si="5360">P114*$E114</f>
        <v>13.649999999999999</v>
      </c>
      <c r="R114" s="123"/>
      <c r="S114" s="124">
        <f t="shared" ref="S114" si="5361">R114*$E114</f>
        <v>0</v>
      </c>
      <c r="T114" s="123">
        <v>11</v>
      </c>
      <c r="U114" s="124">
        <f t="shared" ref="U114" si="5362">T114*$E114</f>
        <v>3.8499999999999996</v>
      </c>
      <c r="V114" s="123"/>
      <c r="W114" s="124">
        <f t="shared" ref="W114" si="5363">V114*$E114</f>
        <v>0</v>
      </c>
      <c r="X114" s="123">
        <v>240</v>
      </c>
      <c r="Y114" s="124">
        <f t="shared" ref="Y114" si="5364">X114*$E114</f>
        <v>84</v>
      </c>
      <c r="Z114" s="123">
        <v>2</v>
      </c>
      <c r="AA114" s="124">
        <f t="shared" ref="AA114" si="5365">Z114*$E114</f>
        <v>0.7</v>
      </c>
      <c r="AB114" s="123"/>
      <c r="AC114" s="124">
        <f t="shared" ref="AC114" si="5366">AB114*$E114</f>
        <v>0</v>
      </c>
      <c r="AD114" s="123">
        <v>24</v>
      </c>
      <c r="AE114" s="124">
        <f t="shared" ref="AE114" si="5367">AD114*$E114</f>
        <v>8.3999999999999986</v>
      </c>
      <c r="AF114" s="125">
        <f t="shared" si="3158"/>
        <v>651</v>
      </c>
      <c r="AG114" s="126">
        <f t="shared" ref="AG114" si="5368">AF114*$E114</f>
        <v>227.85</v>
      </c>
      <c r="AH114" s="11"/>
      <c r="AI114" s="124">
        <f t="shared" ref="AI114" si="5369">AH114*$E114</f>
        <v>0</v>
      </c>
      <c r="AJ114" s="15">
        <v>2</v>
      </c>
      <c r="AK114" s="124">
        <f t="shared" ref="AK114" si="5370">AJ114*$E114</f>
        <v>0.7</v>
      </c>
      <c r="AL114" s="15"/>
      <c r="AM114" s="124">
        <f t="shared" ref="AM114" si="5371">AL114*$E114</f>
        <v>0</v>
      </c>
      <c r="AN114" s="16"/>
      <c r="AO114" s="124">
        <f t="shared" ref="AO114" si="5372">AN114*$E114</f>
        <v>0</v>
      </c>
      <c r="AP114" s="15"/>
      <c r="AQ114" s="124">
        <f t="shared" ref="AQ114" si="5373">AP114*$E114</f>
        <v>0</v>
      </c>
      <c r="AR114" s="15">
        <v>72</v>
      </c>
      <c r="AS114" s="124">
        <f t="shared" ref="AS114" si="5374">AR114*$E114</f>
        <v>25.2</v>
      </c>
      <c r="AT114" s="17"/>
      <c r="AU114" s="124">
        <f t="shared" ref="AU114" si="5375">AT114*$E114</f>
        <v>0</v>
      </c>
      <c r="AV114" s="15"/>
      <c r="AW114" s="124">
        <f t="shared" ref="AW114" si="5376">AV114*$E114</f>
        <v>0</v>
      </c>
      <c r="AX114" s="15">
        <v>5</v>
      </c>
      <c r="AY114" s="124">
        <f t="shared" ref="AY114" si="5377">AX114*$E114</f>
        <v>1.75</v>
      </c>
      <c r="AZ114" s="17"/>
      <c r="BA114" s="124">
        <f t="shared" ref="BA114" si="5378">AZ114*$E114</f>
        <v>0</v>
      </c>
      <c r="BB114" s="33"/>
      <c r="BC114" s="124">
        <f t="shared" ref="BC114" si="5379">BB114*$E114</f>
        <v>0</v>
      </c>
      <c r="BD114" s="33"/>
      <c r="BE114" s="124">
        <f t="shared" ref="BE114" si="5380">BD114*$E114</f>
        <v>0</v>
      </c>
      <c r="BF114" s="125">
        <f t="shared" si="3172"/>
        <v>79</v>
      </c>
      <c r="BG114" s="126">
        <f t="shared" ref="BG114" si="5381">BF114*$E114</f>
        <v>27.65</v>
      </c>
      <c r="BH114" s="123"/>
      <c r="BI114" s="124">
        <f t="shared" ref="BI114" si="5382">BH114*$E114</f>
        <v>0</v>
      </c>
      <c r="BJ114" s="123"/>
      <c r="BK114" s="124">
        <f t="shared" ref="BK114" si="5383">BJ114*$E114</f>
        <v>0</v>
      </c>
      <c r="BL114" s="123"/>
      <c r="BM114" s="124">
        <f t="shared" ref="BM114" si="5384">BL114*$E114</f>
        <v>0</v>
      </c>
      <c r="BN114" s="123"/>
      <c r="BO114" s="124">
        <f t="shared" ref="BO114" si="5385">BN114*$E114</f>
        <v>0</v>
      </c>
      <c r="BP114" s="123"/>
      <c r="BQ114" s="124">
        <f t="shared" ref="BQ114" si="5386">BP114*$E114</f>
        <v>0</v>
      </c>
      <c r="BR114" s="123"/>
      <c r="BS114" s="124">
        <f t="shared" ref="BS114" si="5387">BR114*$E114</f>
        <v>0</v>
      </c>
      <c r="BT114" s="123"/>
      <c r="BU114" s="124">
        <f t="shared" ref="BU114" si="5388">BT114*$E114</f>
        <v>0</v>
      </c>
      <c r="BV114" s="123"/>
      <c r="BW114" s="124">
        <f t="shared" ref="BW114" si="5389">BV114*$E114</f>
        <v>0</v>
      </c>
      <c r="BX114" s="123"/>
      <c r="BY114" s="124">
        <f t="shared" ref="BY114" si="5390">BX114*$E114</f>
        <v>0</v>
      </c>
      <c r="BZ114" s="123"/>
      <c r="CA114" s="124">
        <f t="shared" ref="CA114" si="5391">BZ114*$E114</f>
        <v>0</v>
      </c>
      <c r="CB114" s="123"/>
      <c r="CC114" s="124">
        <f t="shared" ref="CC114" si="5392">CB114*$E114</f>
        <v>0</v>
      </c>
      <c r="CD114" s="123"/>
      <c r="CE114" s="124">
        <f t="shared" ref="CE114" si="5393">CD114*$E114</f>
        <v>0</v>
      </c>
      <c r="CF114" s="125">
        <f t="shared" si="3186"/>
        <v>0</v>
      </c>
      <c r="CG114" s="126">
        <f t="shared" ref="CG114" si="5394">CF114*$E114</f>
        <v>0</v>
      </c>
      <c r="CH114" s="123"/>
      <c r="CI114" s="124">
        <f t="shared" ref="CI114" si="5395">CH114*$E114</f>
        <v>0</v>
      </c>
      <c r="CJ114" s="123"/>
      <c r="CK114" s="124">
        <f t="shared" ref="CK114" si="5396">CJ114*$E114</f>
        <v>0</v>
      </c>
      <c r="CL114" s="123"/>
      <c r="CM114" s="124">
        <f t="shared" ref="CM114" si="5397">CL114*$E114</f>
        <v>0</v>
      </c>
      <c r="CN114" s="123"/>
      <c r="CO114" s="124">
        <f t="shared" ref="CO114" si="5398">CN114*$E114</f>
        <v>0</v>
      </c>
      <c r="CP114" s="123"/>
      <c r="CQ114" s="124">
        <f t="shared" ref="CQ114" si="5399">CP114*$E114</f>
        <v>0</v>
      </c>
      <c r="CR114" s="123"/>
      <c r="CS114" s="124">
        <f t="shared" ref="CS114" si="5400">CR114*$E114</f>
        <v>0</v>
      </c>
      <c r="CT114" s="123"/>
      <c r="CU114" s="124">
        <f t="shared" ref="CU114" si="5401">CT114*$E114</f>
        <v>0</v>
      </c>
      <c r="CV114" s="123">
        <v>3</v>
      </c>
      <c r="CW114" s="124">
        <f t="shared" ref="CW114" si="5402">CV114*$E114</f>
        <v>1.0499999999999998</v>
      </c>
      <c r="CX114" s="123">
        <v>5</v>
      </c>
      <c r="CY114" s="124">
        <f t="shared" ref="CY114" si="5403">CX114*$E114</f>
        <v>1.75</v>
      </c>
      <c r="CZ114" s="123">
        <v>10</v>
      </c>
      <c r="DA114" s="124">
        <f t="shared" ref="DA114" si="5404">CZ114*$E114</f>
        <v>3.5</v>
      </c>
      <c r="DB114" s="123">
        <v>6</v>
      </c>
      <c r="DC114" s="124">
        <f t="shared" si="3198"/>
        <v>2.0999999999999996</v>
      </c>
      <c r="DD114" s="123">
        <v>45</v>
      </c>
      <c r="DE114" s="124">
        <f t="shared" si="3198"/>
        <v>15.749999999999998</v>
      </c>
      <c r="DF114" s="27">
        <f t="shared" si="3145"/>
        <v>69</v>
      </c>
      <c r="DG114" s="124">
        <f t="shared" si="3199"/>
        <v>24.15</v>
      </c>
    </row>
    <row r="115" spans="1:111" ht="18" customHeight="1" x14ac:dyDescent="0.5">
      <c r="A115" s="117"/>
      <c r="B115" s="122"/>
      <c r="C115" s="122"/>
      <c r="D115" s="117"/>
      <c r="E115" s="117"/>
      <c r="F115" s="117"/>
      <c r="G115" s="117"/>
      <c r="H115" s="123"/>
      <c r="I115" s="124">
        <f t="shared" ref="I115" si="5405">H115*$E115</f>
        <v>0</v>
      </c>
      <c r="J115" s="123"/>
      <c r="K115" s="124">
        <f t="shared" ref="K115" si="5406">J115*$E115</f>
        <v>0</v>
      </c>
      <c r="L115" s="123"/>
      <c r="M115" s="124">
        <f t="shared" ref="M115" si="5407">L115*$E115</f>
        <v>0</v>
      </c>
      <c r="N115" s="123"/>
      <c r="O115" s="124">
        <f t="shared" ref="O115" si="5408">N115*$E115</f>
        <v>0</v>
      </c>
      <c r="P115" s="123"/>
      <c r="Q115" s="124">
        <f t="shared" ref="Q115" si="5409">P115*$E115</f>
        <v>0</v>
      </c>
      <c r="R115" s="123"/>
      <c r="S115" s="124">
        <f t="shared" ref="S115" si="5410">R115*$E115</f>
        <v>0</v>
      </c>
      <c r="T115" s="123"/>
      <c r="U115" s="124">
        <f t="shared" ref="U115" si="5411">T115*$E115</f>
        <v>0</v>
      </c>
      <c r="V115" s="123"/>
      <c r="W115" s="124">
        <f t="shared" ref="W115" si="5412">V115*$E115</f>
        <v>0</v>
      </c>
      <c r="X115" s="123"/>
      <c r="Y115" s="124">
        <f t="shared" ref="Y115" si="5413">X115*$E115</f>
        <v>0</v>
      </c>
      <c r="Z115" s="123"/>
      <c r="AA115" s="124">
        <f t="shared" ref="AA115" si="5414">Z115*$E115</f>
        <v>0</v>
      </c>
      <c r="AB115" s="123"/>
      <c r="AC115" s="124">
        <f t="shared" ref="AC115" si="5415">AB115*$E115</f>
        <v>0</v>
      </c>
      <c r="AD115" s="123"/>
      <c r="AE115" s="124">
        <f t="shared" ref="AE115" si="5416">AD115*$E115</f>
        <v>0</v>
      </c>
      <c r="AF115" s="125">
        <f t="shared" si="3158"/>
        <v>0</v>
      </c>
      <c r="AG115" s="126">
        <f t="shared" ref="AG115" si="5417">AF115*$E115</f>
        <v>0</v>
      </c>
      <c r="AH115" s="11"/>
      <c r="AI115" s="124">
        <f t="shared" ref="AI115" si="5418">AH115*$E115</f>
        <v>0</v>
      </c>
      <c r="AJ115" s="15"/>
      <c r="AK115" s="124">
        <f t="shared" ref="AK115" si="5419">AJ115*$E115</f>
        <v>0</v>
      </c>
      <c r="AL115" s="15"/>
      <c r="AM115" s="124">
        <f t="shared" ref="AM115" si="5420">AL115*$E115</f>
        <v>0</v>
      </c>
      <c r="AN115" s="16"/>
      <c r="AO115" s="124">
        <f t="shared" ref="AO115" si="5421">AN115*$E115</f>
        <v>0</v>
      </c>
      <c r="AP115" s="15"/>
      <c r="AQ115" s="124">
        <f t="shared" ref="AQ115" si="5422">AP115*$E115</f>
        <v>0</v>
      </c>
      <c r="AR115" s="15"/>
      <c r="AS115" s="124">
        <f t="shared" ref="AS115" si="5423">AR115*$E115</f>
        <v>0</v>
      </c>
      <c r="AT115" s="17"/>
      <c r="AU115" s="124">
        <f t="shared" ref="AU115" si="5424">AT115*$E115</f>
        <v>0</v>
      </c>
      <c r="AV115" s="15"/>
      <c r="AW115" s="124">
        <f t="shared" ref="AW115" si="5425">AV115*$E115</f>
        <v>0</v>
      </c>
      <c r="AX115" s="15"/>
      <c r="AY115" s="124">
        <f t="shared" ref="AY115" si="5426">AX115*$E115</f>
        <v>0</v>
      </c>
      <c r="AZ115" s="17"/>
      <c r="BA115" s="124">
        <f t="shared" ref="BA115" si="5427">AZ115*$E115</f>
        <v>0</v>
      </c>
      <c r="BB115" s="33"/>
      <c r="BC115" s="124">
        <f t="shared" ref="BC115" si="5428">BB115*$E115</f>
        <v>0</v>
      </c>
      <c r="BD115" s="33"/>
      <c r="BE115" s="124">
        <f t="shared" ref="BE115" si="5429">BD115*$E115</f>
        <v>0</v>
      </c>
      <c r="BF115" s="125">
        <f t="shared" si="3172"/>
        <v>0</v>
      </c>
      <c r="BG115" s="126">
        <f t="shared" ref="BG115" si="5430">BF115*$E115</f>
        <v>0</v>
      </c>
      <c r="BH115" s="123"/>
      <c r="BI115" s="124">
        <f t="shared" ref="BI115" si="5431">BH115*$E115</f>
        <v>0</v>
      </c>
      <c r="BJ115" s="123"/>
      <c r="BK115" s="124">
        <f t="shared" ref="BK115" si="5432">BJ115*$E115</f>
        <v>0</v>
      </c>
      <c r="BL115" s="123"/>
      <c r="BM115" s="124">
        <f t="shared" ref="BM115" si="5433">BL115*$E115</f>
        <v>0</v>
      </c>
      <c r="BN115" s="123"/>
      <c r="BO115" s="124">
        <f t="shared" ref="BO115" si="5434">BN115*$E115</f>
        <v>0</v>
      </c>
      <c r="BP115" s="123"/>
      <c r="BQ115" s="124">
        <f t="shared" ref="BQ115" si="5435">BP115*$E115</f>
        <v>0</v>
      </c>
      <c r="BR115" s="123"/>
      <c r="BS115" s="124">
        <f t="shared" ref="BS115" si="5436">BR115*$E115</f>
        <v>0</v>
      </c>
      <c r="BT115" s="123"/>
      <c r="BU115" s="124">
        <f t="shared" ref="BU115" si="5437">BT115*$E115</f>
        <v>0</v>
      </c>
      <c r="BV115" s="123"/>
      <c r="BW115" s="124">
        <f t="shared" ref="BW115" si="5438">BV115*$E115</f>
        <v>0</v>
      </c>
      <c r="BX115" s="123"/>
      <c r="BY115" s="124">
        <f t="shared" ref="BY115" si="5439">BX115*$E115</f>
        <v>0</v>
      </c>
      <c r="BZ115" s="123"/>
      <c r="CA115" s="124">
        <f t="shared" ref="CA115" si="5440">BZ115*$E115</f>
        <v>0</v>
      </c>
      <c r="CB115" s="123"/>
      <c r="CC115" s="124">
        <f t="shared" ref="CC115" si="5441">CB115*$E115</f>
        <v>0</v>
      </c>
      <c r="CD115" s="123"/>
      <c r="CE115" s="124">
        <f t="shared" ref="CE115" si="5442">CD115*$E115</f>
        <v>0</v>
      </c>
      <c r="CF115" s="125">
        <f t="shared" si="3186"/>
        <v>0</v>
      </c>
      <c r="CG115" s="126">
        <f t="shared" ref="CG115" si="5443">CF115*$E115</f>
        <v>0</v>
      </c>
      <c r="CH115" s="123"/>
      <c r="CI115" s="124">
        <f t="shared" ref="CI115" si="5444">CH115*$E115</f>
        <v>0</v>
      </c>
      <c r="CJ115" s="123"/>
      <c r="CK115" s="124">
        <f t="shared" ref="CK115" si="5445">CJ115*$E115</f>
        <v>0</v>
      </c>
      <c r="CL115" s="123"/>
      <c r="CM115" s="124">
        <f t="shared" ref="CM115" si="5446">CL115*$E115</f>
        <v>0</v>
      </c>
      <c r="CN115" s="123"/>
      <c r="CO115" s="124">
        <f t="shared" ref="CO115" si="5447">CN115*$E115</f>
        <v>0</v>
      </c>
      <c r="CP115" s="123"/>
      <c r="CQ115" s="124">
        <f t="shared" ref="CQ115" si="5448">CP115*$E115</f>
        <v>0</v>
      </c>
      <c r="CR115" s="123"/>
      <c r="CS115" s="124">
        <f t="shared" ref="CS115" si="5449">CR115*$E115</f>
        <v>0</v>
      </c>
      <c r="CT115" s="123"/>
      <c r="CU115" s="124">
        <f t="shared" ref="CU115" si="5450">CT115*$E115</f>
        <v>0</v>
      </c>
      <c r="CV115" s="123"/>
      <c r="CW115" s="124">
        <f t="shared" ref="CW115" si="5451">CV115*$E115</f>
        <v>0</v>
      </c>
      <c r="CX115" s="123"/>
      <c r="CY115" s="124">
        <f t="shared" ref="CY115" si="5452">CX115*$E115</f>
        <v>0</v>
      </c>
      <c r="CZ115" s="123"/>
      <c r="DA115" s="124">
        <f t="shared" ref="DA115" si="5453">CZ115*$E115</f>
        <v>0</v>
      </c>
      <c r="DB115" s="123"/>
      <c r="DC115" s="124">
        <f t="shared" si="3198"/>
        <v>0</v>
      </c>
      <c r="DD115" s="123"/>
      <c r="DE115" s="124">
        <f t="shared" si="3198"/>
        <v>0</v>
      </c>
      <c r="DF115" s="27">
        <f t="shared" si="3145"/>
        <v>0</v>
      </c>
      <c r="DG115" s="124">
        <f t="shared" si="3199"/>
        <v>0</v>
      </c>
    </row>
    <row r="116" spans="1:111" ht="18" customHeight="1" x14ac:dyDescent="0.5">
      <c r="A116" s="117">
        <v>92</v>
      </c>
      <c r="B116" s="122" t="s">
        <v>259</v>
      </c>
      <c r="C116" s="122" t="s">
        <v>233</v>
      </c>
      <c r="D116" s="117"/>
      <c r="E116" s="117">
        <v>0.75</v>
      </c>
      <c r="F116" s="117" t="s">
        <v>232</v>
      </c>
      <c r="G116" s="117"/>
      <c r="H116" s="123"/>
      <c r="I116" s="124">
        <f t="shared" ref="I116" si="5454">H116*$E116</f>
        <v>0</v>
      </c>
      <c r="J116" s="123"/>
      <c r="K116" s="124">
        <f t="shared" ref="K116" si="5455">J116*$E116</f>
        <v>0</v>
      </c>
      <c r="L116" s="123"/>
      <c r="M116" s="124">
        <f t="shared" ref="M116" si="5456">L116*$E116</f>
        <v>0</v>
      </c>
      <c r="N116" s="123"/>
      <c r="O116" s="124">
        <f t="shared" ref="O116" si="5457">N116*$E116</f>
        <v>0</v>
      </c>
      <c r="P116" s="123"/>
      <c r="Q116" s="124">
        <f t="shared" ref="Q116" si="5458">P116*$E116</f>
        <v>0</v>
      </c>
      <c r="R116" s="123"/>
      <c r="S116" s="124">
        <f t="shared" ref="S116" si="5459">R116*$E116</f>
        <v>0</v>
      </c>
      <c r="T116" s="123"/>
      <c r="U116" s="124">
        <f t="shared" ref="U116" si="5460">T116*$E116</f>
        <v>0</v>
      </c>
      <c r="V116" s="123"/>
      <c r="W116" s="124">
        <f t="shared" ref="W116" si="5461">V116*$E116</f>
        <v>0</v>
      </c>
      <c r="X116" s="123"/>
      <c r="Y116" s="124">
        <f t="shared" ref="Y116" si="5462">X116*$E116</f>
        <v>0</v>
      </c>
      <c r="Z116" s="123"/>
      <c r="AA116" s="124">
        <f t="shared" ref="AA116" si="5463">Z116*$E116</f>
        <v>0</v>
      </c>
      <c r="AB116" s="123"/>
      <c r="AC116" s="124">
        <f t="shared" ref="AC116" si="5464">AB116*$E116</f>
        <v>0</v>
      </c>
      <c r="AD116" s="123"/>
      <c r="AE116" s="124">
        <f t="shared" ref="AE116" si="5465">AD116*$E116</f>
        <v>0</v>
      </c>
      <c r="AF116" s="125">
        <f t="shared" si="3158"/>
        <v>0</v>
      </c>
      <c r="AG116" s="126">
        <f t="shared" ref="AG116" si="5466">AF116*$E116</f>
        <v>0</v>
      </c>
      <c r="AH116" s="11"/>
      <c r="AI116" s="124">
        <f t="shared" ref="AI116" si="5467">AH116*$E116</f>
        <v>0</v>
      </c>
      <c r="AJ116" s="15"/>
      <c r="AK116" s="124">
        <f t="shared" ref="AK116" si="5468">AJ116*$E116</f>
        <v>0</v>
      </c>
      <c r="AL116" s="15"/>
      <c r="AM116" s="124">
        <f t="shared" ref="AM116" si="5469">AL116*$E116</f>
        <v>0</v>
      </c>
      <c r="AN116" s="16"/>
      <c r="AO116" s="124">
        <f t="shared" ref="AO116" si="5470">AN116*$E116</f>
        <v>0</v>
      </c>
      <c r="AP116" s="15"/>
      <c r="AQ116" s="124">
        <f t="shared" ref="AQ116" si="5471">AP116*$E116</f>
        <v>0</v>
      </c>
      <c r="AR116" s="15"/>
      <c r="AS116" s="124">
        <f t="shared" ref="AS116" si="5472">AR116*$E116</f>
        <v>0</v>
      </c>
      <c r="AT116" s="17"/>
      <c r="AU116" s="124">
        <f t="shared" ref="AU116" si="5473">AT116*$E116</f>
        <v>0</v>
      </c>
      <c r="AV116" s="15"/>
      <c r="AW116" s="124">
        <f t="shared" ref="AW116" si="5474">AV116*$E116</f>
        <v>0</v>
      </c>
      <c r="AX116" s="15"/>
      <c r="AY116" s="124">
        <f t="shared" ref="AY116" si="5475">AX116*$E116</f>
        <v>0</v>
      </c>
      <c r="AZ116" s="17"/>
      <c r="BA116" s="124">
        <f t="shared" ref="BA116" si="5476">AZ116*$E116</f>
        <v>0</v>
      </c>
      <c r="BB116" s="33"/>
      <c r="BC116" s="124">
        <f t="shared" ref="BC116" si="5477">BB116*$E116</f>
        <v>0</v>
      </c>
      <c r="BD116" s="33"/>
      <c r="BE116" s="124">
        <f t="shared" ref="BE116" si="5478">BD116*$E116</f>
        <v>0</v>
      </c>
      <c r="BF116" s="125">
        <f t="shared" si="3172"/>
        <v>0</v>
      </c>
      <c r="BG116" s="126">
        <f t="shared" ref="BG116" si="5479">BF116*$E116</f>
        <v>0</v>
      </c>
      <c r="BH116" s="123"/>
      <c r="BI116" s="124">
        <f t="shared" ref="BI116" si="5480">BH116*$E116</f>
        <v>0</v>
      </c>
      <c r="BJ116" s="123"/>
      <c r="BK116" s="124">
        <f t="shared" ref="BK116" si="5481">BJ116*$E116</f>
        <v>0</v>
      </c>
      <c r="BL116" s="123"/>
      <c r="BM116" s="124">
        <f t="shared" ref="BM116" si="5482">BL116*$E116</f>
        <v>0</v>
      </c>
      <c r="BN116" s="123"/>
      <c r="BO116" s="124">
        <f t="shared" ref="BO116" si="5483">BN116*$E116</f>
        <v>0</v>
      </c>
      <c r="BP116" s="123"/>
      <c r="BQ116" s="124">
        <f t="shared" ref="BQ116" si="5484">BP116*$E116</f>
        <v>0</v>
      </c>
      <c r="BR116" s="123"/>
      <c r="BS116" s="124">
        <f t="shared" ref="BS116" si="5485">BR116*$E116</f>
        <v>0</v>
      </c>
      <c r="BT116" s="123"/>
      <c r="BU116" s="124">
        <f t="shared" ref="BU116" si="5486">BT116*$E116</f>
        <v>0</v>
      </c>
      <c r="BV116" s="123"/>
      <c r="BW116" s="124">
        <f t="shared" ref="BW116" si="5487">BV116*$E116</f>
        <v>0</v>
      </c>
      <c r="BX116" s="123"/>
      <c r="BY116" s="124">
        <f t="shared" ref="BY116" si="5488">BX116*$E116</f>
        <v>0</v>
      </c>
      <c r="BZ116" s="123"/>
      <c r="CA116" s="124">
        <f t="shared" ref="CA116" si="5489">BZ116*$E116</f>
        <v>0</v>
      </c>
      <c r="CB116" s="123"/>
      <c r="CC116" s="124">
        <f t="shared" ref="CC116" si="5490">CB116*$E116</f>
        <v>0</v>
      </c>
      <c r="CD116" s="123"/>
      <c r="CE116" s="124">
        <f t="shared" ref="CE116" si="5491">CD116*$E116</f>
        <v>0</v>
      </c>
      <c r="CF116" s="125">
        <f t="shared" si="3186"/>
        <v>0</v>
      </c>
      <c r="CG116" s="126">
        <f t="shared" ref="CG116" si="5492">CF116*$E116</f>
        <v>0</v>
      </c>
      <c r="CH116" s="123"/>
      <c r="CI116" s="124">
        <f t="shared" ref="CI116" si="5493">CH116*$E116</f>
        <v>0</v>
      </c>
      <c r="CJ116" s="123"/>
      <c r="CK116" s="124">
        <f t="shared" ref="CK116" si="5494">CJ116*$E116</f>
        <v>0</v>
      </c>
      <c r="CL116" s="123"/>
      <c r="CM116" s="124">
        <f t="shared" ref="CM116" si="5495">CL116*$E116</f>
        <v>0</v>
      </c>
      <c r="CN116" s="123"/>
      <c r="CO116" s="124">
        <f t="shared" ref="CO116" si="5496">CN116*$E116</f>
        <v>0</v>
      </c>
      <c r="CP116" s="123"/>
      <c r="CQ116" s="124">
        <f t="shared" ref="CQ116" si="5497">CP116*$E116</f>
        <v>0</v>
      </c>
      <c r="CR116" s="123"/>
      <c r="CS116" s="124">
        <f t="shared" ref="CS116" si="5498">CR116*$E116</f>
        <v>0</v>
      </c>
      <c r="CT116" s="123"/>
      <c r="CU116" s="124">
        <f t="shared" ref="CU116" si="5499">CT116*$E116</f>
        <v>0</v>
      </c>
      <c r="CV116" s="123"/>
      <c r="CW116" s="124">
        <f t="shared" ref="CW116" si="5500">CV116*$E116</f>
        <v>0</v>
      </c>
      <c r="CX116" s="123"/>
      <c r="CY116" s="124">
        <f t="shared" ref="CY116" si="5501">CX116*$E116</f>
        <v>0</v>
      </c>
      <c r="CZ116" s="123"/>
      <c r="DA116" s="124">
        <f t="shared" ref="DA116" si="5502">CZ116*$E116</f>
        <v>0</v>
      </c>
      <c r="DB116" s="123"/>
      <c r="DC116" s="124">
        <f t="shared" si="3198"/>
        <v>0</v>
      </c>
      <c r="DD116" s="123"/>
      <c r="DE116" s="124">
        <f t="shared" si="3198"/>
        <v>0</v>
      </c>
      <c r="DF116" s="27">
        <f t="shared" si="3145"/>
        <v>0</v>
      </c>
      <c r="DG116" s="124">
        <f t="shared" si="3199"/>
        <v>0</v>
      </c>
    </row>
    <row r="117" spans="1:111" ht="18" customHeight="1" x14ac:dyDescent="0.5">
      <c r="A117" s="117">
        <v>93</v>
      </c>
      <c r="B117" s="122" t="s">
        <v>259</v>
      </c>
      <c r="C117" s="122" t="s">
        <v>260</v>
      </c>
      <c r="D117" s="117"/>
      <c r="E117" s="117">
        <v>0.6</v>
      </c>
      <c r="F117" s="117" t="s">
        <v>232</v>
      </c>
      <c r="G117" s="117"/>
      <c r="H117" s="123"/>
      <c r="I117" s="124">
        <f t="shared" ref="I117" si="5503">H117*$E117</f>
        <v>0</v>
      </c>
      <c r="J117" s="123"/>
      <c r="K117" s="124">
        <f t="shared" ref="K117" si="5504">J117*$E117</f>
        <v>0</v>
      </c>
      <c r="L117" s="123"/>
      <c r="M117" s="124">
        <f t="shared" ref="M117" si="5505">L117*$E117</f>
        <v>0</v>
      </c>
      <c r="N117" s="123"/>
      <c r="O117" s="124">
        <f t="shared" ref="O117" si="5506">N117*$E117</f>
        <v>0</v>
      </c>
      <c r="P117" s="123"/>
      <c r="Q117" s="124">
        <f t="shared" ref="Q117" si="5507">P117*$E117</f>
        <v>0</v>
      </c>
      <c r="R117" s="123"/>
      <c r="S117" s="124">
        <f t="shared" ref="S117" si="5508">R117*$E117</f>
        <v>0</v>
      </c>
      <c r="T117" s="123"/>
      <c r="U117" s="124">
        <f t="shared" ref="U117" si="5509">T117*$E117</f>
        <v>0</v>
      </c>
      <c r="V117" s="123"/>
      <c r="W117" s="124">
        <f t="shared" ref="W117" si="5510">V117*$E117</f>
        <v>0</v>
      </c>
      <c r="X117" s="123"/>
      <c r="Y117" s="124">
        <f t="shared" ref="Y117" si="5511">X117*$E117</f>
        <v>0</v>
      </c>
      <c r="Z117" s="123"/>
      <c r="AA117" s="124">
        <f t="shared" ref="AA117" si="5512">Z117*$E117</f>
        <v>0</v>
      </c>
      <c r="AB117" s="123"/>
      <c r="AC117" s="124">
        <f t="shared" ref="AC117" si="5513">AB117*$E117</f>
        <v>0</v>
      </c>
      <c r="AD117" s="123"/>
      <c r="AE117" s="124">
        <f t="shared" ref="AE117" si="5514">AD117*$E117</f>
        <v>0</v>
      </c>
      <c r="AF117" s="125">
        <f t="shared" si="3158"/>
        <v>0</v>
      </c>
      <c r="AG117" s="126">
        <f t="shared" ref="AG117" si="5515">AF117*$E117</f>
        <v>0</v>
      </c>
      <c r="AH117" s="11"/>
      <c r="AI117" s="124">
        <f t="shared" ref="AI117" si="5516">AH117*$E117</f>
        <v>0</v>
      </c>
      <c r="AJ117" s="15"/>
      <c r="AK117" s="124">
        <f t="shared" ref="AK117" si="5517">AJ117*$E117</f>
        <v>0</v>
      </c>
      <c r="AL117" s="15"/>
      <c r="AM117" s="124">
        <f t="shared" ref="AM117" si="5518">AL117*$E117</f>
        <v>0</v>
      </c>
      <c r="AN117" s="16"/>
      <c r="AO117" s="124">
        <f t="shared" ref="AO117" si="5519">AN117*$E117</f>
        <v>0</v>
      </c>
      <c r="AP117" s="15"/>
      <c r="AQ117" s="124">
        <f t="shared" ref="AQ117" si="5520">AP117*$E117</f>
        <v>0</v>
      </c>
      <c r="AR117" s="15"/>
      <c r="AS117" s="124">
        <f t="shared" ref="AS117" si="5521">AR117*$E117</f>
        <v>0</v>
      </c>
      <c r="AT117" s="17"/>
      <c r="AU117" s="124">
        <f t="shared" ref="AU117" si="5522">AT117*$E117</f>
        <v>0</v>
      </c>
      <c r="AV117" s="15"/>
      <c r="AW117" s="124">
        <f t="shared" ref="AW117" si="5523">AV117*$E117</f>
        <v>0</v>
      </c>
      <c r="AX117" s="15"/>
      <c r="AY117" s="124">
        <f t="shared" ref="AY117" si="5524">AX117*$E117</f>
        <v>0</v>
      </c>
      <c r="AZ117" s="17"/>
      <c r="BA117" s="124">
        <f t="shared" ref="BA117" si="5525">AZ117*$E117</f>
        <v>0</v>
      </c>
      <c r="BB117" s="33"/>
      <c r="BC117" s="124">
        <f t="shared" ref="BC117" si="5526">BB117*$E117</f>
        <v>0</v>
      </c>
      <c r="BD117" s="33"/>
      <c r="BE117" s="124">
        <f t="shared" ref="BE117" si="5527">BD117*$E117</f>
        <v>0</v>
      </c>
      <c r="BF117" s="125">
        <f t="shared" si="3172"/>
        <v>0</v>
      </c>
      <c r="BG117" s="126">
        <f t="shared" ref="BG117" si="5528">BF117*$E117</f>
        <v>0</v>
      </c>
      <c r="BH117" s="123"/>
      <c r="BI117" s="124">
        <f t="shared" ref="BI117" si="5529">BH117*$E117</f>
        <v>0</v>
      </c>
      <c r="BJ117" s="123"/>
      <c r="BK117" s="124">
        <f t="shared" ref="BK117" si="5530">BJ117*$E117</f>
        <v>0</v>
      </c>
      <c r="BL117" s="123"/>
      <c r="BM117" s="124">
        <f t="shared" ref="BM117" si="5531">BL117*$E117</f>
        <v>0</v>
      </c>
      <c r="BN117" s="123"/>
      <c r="BO117" s="124">
        <f t="shared" ref="BO117" si="5532">BN117*$E117</f>
        <v>0</v>
      </c>
      <c r="BP117" s="123"/>
      <c r="BQ117" s="124">
        <f t="shared" ref="BQ117" si="5533">BP117*$E117</f>
        <v>0</v>
      </c>
      <c r="BR117" s="123"/>
      <c r="BS117" s="124">
        <f t="shared" ref="BS117" si="5534">BR117*$E117</f>
        <v>0</v>
      </c>
      <c r="BT117" s="123"/>
      <c r="BU117" s="124">
        <f t="shared" ref="BU117" si="5535">BT117*$E117</f>
        <v>0</v>
      </c>
      <c r="BV117" s="123"/>
      <c r="BW117" s="124">
        <f t="shared" ref="BW117" si="5536">BV117*$E117</f>
        <v>0</v>
      </c>
      <c r="BX117" s="123"/>
      <c r="BY117" s="124">
        <f t="shared" ref="BY117" si="5537">BX117*$E117</f>
        <v>0</v>
      </c>
      <c r="BZ117" s="123"/>
      <c r="CA117" s="124">
        <f t="shared" ref="CA117" si="5538">BZ117*$E117</f>
        <v>0</v>
      </c>
      <c r="CB117" s="123"/>
      <c r="CC117" s="124">
        <f t="shared" ref="CC117" si="5539">CB117*$E117</f>
        <v>0</v>
      </c>
      <c r="CD117" s="123"/>
      <c r="CE117" s="124">
        <f t="shared" ref="CE117" si="5540">CD117*$E117</f>
        <v>0</v>
      </c>
      <c r="CF117" s="125">
        <f t="shared" si="3186"/>
        <v>0</v>
      </c>
      <c r="CG117" s="126">
        <f t="shared" ref="CG117" si="5541">CF117*$E117</f>
        <v>0</v>
      </c>
      <c r="CH117" s="123"/>
      <c r="CI117" s="124">
        <f t="shared" ref="CI117" si="5542">CH117*$E117</f>
        <v>0</v>
      </c>
      <c r="CJ117" s="123"/>
      <c r="CK117" s="124">
        <f t="shared" ref="CK117" si="5543">CJ117*$E117</f>
        <v>0</v>
      </c>
      <c r="CL117" s="123"/>
      <c r="CM117" s="124">
        <f t="shared" ref="CM117" si="5544">CL117*$E117</f>
        <v>0</v>
      </c>
      <c r="CN117" s="123"/>
      <c r="CO117" s="124">
        <f t="shared" ref="CO117" si="5545">CN117*$E117</f>
        <v>0</v>
      </c>
      <c r="CP117" s="123"/>
      <c r="CQ117" s="124">
        <f t="shared" ref="CQ117" si="5546">CP117*$E117</f>
        <v>0</v>
      </c>
      <c r="CR117" s="123"/>
      <c r="CS117" s="124">
        <f t="shared" ref="CS117" si="5547">CR117*$E117</f>
        <v>0</v>
      </c>
      <c r="CT117" s="123"/>
      <c r="CU117" s="124">
        <f t="shared" ref="CU117" si="5548">CT117*$E117</f>
        <v>0</v>
      </c>
      <c r="CV117" s="123"/>
      <c r="CW117" s="124">
        <f t="shared" ref="CW117" si="5549">CV117*$E117</f>
        <v>0</v>
      </c>
      <c r="CX117" s="123"/>
      <c r="CY117" s="124">
        <f t="shared" ref="CY117" si="5550">CX117*$E117</f>
        <v>0</v>
      </c>
      <c r="CZ117" s="123"/>
      <c r="DA117" s="124">
        <f t="shared" ref="DA117" si="5551">CZ117*$E117</f>
        <v>0</v>
      </c>
      <c r="DB117" s="123"/>
      <c r="DC117" s="124">
        <f t="shared" si="3198"/>
        <v>0</v>
      </c>
      <c r="DD117" s="123"/>
      <c r="DE117" s="124">
        <f t="shared" si="3198"/>
        <v>0</v>
      </c>
      <c r="DF117" s="27">
        <f t="shared" si="3145"/>
        <v>0</v>
      </c>
      <c r="DG117" s="124">
        <f t="shared" si="3199"/>
        <v>0</v>
      </c>
    </row>
    <row r="118" spans="1:111" ht="18" customHeight="1" x14ac:dyDescent="0.5">
      <c r="A118" s="117">
        <v>94</v>
      </c>
      <c r="B118" s="122" t="s">
        <v>259</v>
      </c>
      <c r="C118" s="122" t="s">
        <v>231</v>
      </c>
      <c r="D118" s="117"/>
      <c r="E118" s="117">
        <v>0.64</v>
      </c>
      <c r="F118" s="117" t="s">
        <v>261</v>
      </c>
      <c r="G118" s="117"/>
      <c r="H118" s="123"/>
      <c r="I118" s="124">
        <f t="shared" ref="I118" si="5552">H118*$E118</f>
        <v>0</v>
      </c>
      <c r="J118" s="123"/>
      <c r="K118" s="124">
        <f t="shared" ref="K118" si="5553">J118*$E118</f>
        <v>0</v>
      </c>
      <c r="L118" s="123"/>
      <c r="M118" s="124">
        <f t="shared" ref="M118" si="5554">L118*$E118</f>
        <v>0</v>
      </c>
      <c r="N118" s="123"/>
      <c r="O118" s="124">
        <f t="shared" ref="O118" si="5555">N118*$E118</f>
        <v>0</v>
      </c>
      <c r="P118" s="123"/>
      <c r="Q118" s="124">
        <f t="shared" ref="Q118" si="5556">P118*$E118</f>
        <v>0</v>
      </c>
      <c r="R118" s="123"/>
      <c r="S118" s="124">
        <f t="shared" ref="S118" si="5557">R118*$E118</f>
        <v>0</v>
      </c>
      <c r="T118" s="123"/>
      <c r="U118" s="124">
        <f t="shared" ref="U118" si="5558">T118*$E118</f>
        <v>0</v>
      </c>
      <c r="V118" s="123"/>
      <c r="W118" s="124">
        <f t="shared" ref="W118" si="5559">V118*$E118</f>
        <v>0</v>
      </c>
      <c r="X118" s="123"/>
      <c r="Y118" s="124">
        <f t="shared" ref="Y118" si="5560">X118*$E118</f>
        <v>0</v>
      </c>
      <c r="Z118" s="123"/>
      <c r="AA118" s="124">
        <f t="shared" ref="AA118" si="5561">Z118*$E118</f>
        <v>0</v>
      </c>
      <c r="AB118" s="123"/>
      <c r="AC118" s="124">
        <f t="shared" ref="AC118" si="5562">AB118*$E118</f>
        <v>0</v>
      </c>
      <c r="AD118" s="123"/>
      <c r="AE118" s="124">
        <f t="shared" ref="AE118" si="5563">AD118*$E118</f>
        <v>0</v>
      </c>
      <c r="AF118" s="125">
        <f t="shared" si="3158"/>
        <v>0</v>
      </c>
      <c r="AG118" s="126">
        <f t="shared" ref="AG118" si="5564">AF118*$E118</f>
        <v>0</v>
      </c>
      <c r="AH118" s="11"/>
      <c r="AI118" s="124">
        <f t="shared" ref="AI118" si="5565">AH118*$E118</f>
        <v>0</v>
      </c>
      <c r="AJ118" s="15"/>
      <c r="AK118" s="124">
        <f t="shared" ref="AK118" si="5566">AJ118*$E118</f>
        <v>0</v>
      </c>
      <c r="AL118" s="15"/>
      <c r="AM118" s="124">
        <f t="shared" ref="AM118" si="5567">AL118*$E118</f>
        <v>0</v>
      </c>
      <c r="AN118" s="16"/>
      <c r="AO118" s="124">
        <f t="shared" ref="AO118" si="5568">AN118*$E118</f>
        <v>0</v>
      </c>
      <c r="AP118" s="15"/>
      <c r="AQ118" s="124">
        <f t="shared" ref="AQ118" si="5569">AP118*$E118</f>
        <v>0</v>
      </c>
      <c r="AR118" s="15"/>
      <c r="AS118" s="124">
        <f t="shared" ref="AS118" si="5570">AR118*$E118</f>
        <v>0</v>
      </c>
      <c r="AT118" s="17"/>
      <c r="AU118" s="124">
        <f t="shared" ref="AU118" si="5571">AT118*$E118</f>
        <v>0</v>
      </c>
      <c r="AV118" s="15"/>
      <c r="AW118" s="124">
        <f t="shared" ref="AW118" si="5572">AV118*$E118</f>
        <v>0</v>
      </c>
      <c r="AX118" s="15"/>
      <c r="AY118" s="124">
        <f t="shared" ref="AY118" si="5573">AX118*$E118</f>
        <v>0</v>
      </c>
      <c r="AZ118" s="17"/>
      <c r="BA118" s="124">
        <f t="shared" ref="BA118" si="5574">AZ118*$E118</f>
        <v>0</v>
      </c>
      <c r="BB118" s="33"/>
      <c r="BC118" s="124">
        <f t="shared" ref="BC118" si="5575">BB118*$E118</f>
        <v>0</v>
      </c>
      <c r="BD118" s="33"/>
      <c r="BE118" s="124">
        <f t="shared" ref="BE118" si="5576">BD118*$E118</f>
        <v>0</v>
      </c>
      <c r="BF118" s="125">
        <f t="shared" si="3172"/>
        <v>0</v>
      </c>
      <c r="BG118" s="126">
        <f t="shared" ref="BG118" si="5577">BF118*$E118</f>
        <v>0</v>
      </c>
      <c r="BH118" s="123"/>
      <c r="BI118" s="124">
        <f t="shared" ref="BI118" si="5578">BH118*$E118</f>
        <v>0</v>
      </c>
      <c r="BJ118" s="123"/>
      <c r="BK118" s="124">
        <f t="shared" ref="BK118" si="5579">BJ118*$E118</f>
        <v>0</v>
      </c>
      <c r="BL118" s="123"/>
      <c r="BM118" s="124">
        <f t="shared" ref="BM118" si="5580">BL118*$E118</f>
        <v>0</v>
      </c>
      <c r="BN118" s="123"/>
      <c r="BO118" s="124">
        <f t="shared" ref="BO118" si="5581">BN118*$E118</f>
        <v>0</v>
      </c>
      <c r="BP118" s="123"/>
      <c r="BQ118" s="124">
        <f t="shared" ref="BQ118" si="5582">BP118*$E118</f>
        <v>0</v>
      </c>
      <c r="BR118" s="123"/>
      <c r="BS118" s="124">
        <f t="shared" ref="BS118" si="5583">BR118*$E118</f>
        <v>0</v>
      </c>
      <c r="BT118" s="123"/>
      <c r="BU118" s="124">
        <f t="shared" ref="BU118" si="5584">BT118*$E118</f>
        <v>0</v>
      </c>
      <c r="BV118" s="123"/>
      <c r="BW118" s="124">
        <f t="shared" ref="BW118" si="5585">BV118*$E118</f>
        <v>0</v>
      </c>
      <c r="BX118" s="123"/>
      <c r="BY118" s="124">
        <f t="shared" ref="BY118" si="5586">BX118*$E118</f>
        <v>0</v>
      </c>
      <c r="BZ118" s="123"/>
      <c r="CA118" s="124">
        <f t="shared" ref="CA118" si="5587">BZ118*$E118</f>
        <v>0</v>
      </c>
      <c r="CB118" s="123"/>
      <c r="CC118" s="124">
        <f t="shared" ref="CC118" si="5588">CB118*$E118</f>
        <v>0</v>
      </c>
      <c r="CD118" s="123"/>
      <c r="CE118" s="124">
        <f t="shared" ref="CE118" si="5589">CD118*$E118</f>
        <v>0</v>
      </c>
      <c r="CF118" s="125">
        <f t="shared" si="3186"/>
        <v>0</v>
      </c>
      <c r="CG118" s="126">
        <f t="shared" ref="CG118" si="5590">CF118*$E118</f>
        <v>0</v>
      </c>
      <c r="CH118" s="123"/>
      <c r="CI118" s="124">
        <f t="shared" ref="CI118" si="5591">CH118*$E118</f>
        <v>0</v>
      </c>
      <c r="CJ118" s="123"/>
      <c r="CK118" s="124">
        <f t="shared" ref="CK118" si="5592">CJ118*$E118</f>
        <v>0</v>
      </c>
      <c r="CL118" s="123"/>
      <c r="CM118" s="124">
        <f t="shared" ref="CM118" si="5593">CL118*$E118</f>
        <v>0</v>
      </c>
      <c r="CN118" s="123"/>
      <c r="CO118" s="124">
        <f t="shared" ref="CO118" si="5594">CN118*$E118</f>
        <v>0</v>
      </c>
      <c r="CP118" s="123"/>
      <c r="CQ118" s="124">
        <f t="shared" ref="CQ118" si="5595">CP118*$E118</f>
        <v>0</v>
      </c>
      <c r="CR118" s="123"/>
      <c r="CS118" s="124">
        <f t="shared" ref="CS118" si="5596">CR118*$E118</f>
        <v>0</v>
      </c>
      <c r="CT118" s="123"/>
      <c r="CU118" s="124">
        <f t="shared" ref="CU118" si="5597">CT118*$E118</f>
        <v>0</v>
      </c>
      <c r="CV118" s="123"/>
      <c r="CW118" s="124">
        <f t="shared" ref="CW118" si="5598">CV118*$E118</f>
        <v>0</v>
      </c>
      <c r="CX118" s="123"/>
      <c r="CY118" s="124">
        <f t="shared" ref="CY118" si="5599">CX118*$E118</f>
        <v>0</v>
      </c>
      <c r="CZ118" s="123"/>
      <c r="DA118" s="124">
        <f t="shared" ref="DA118" si="5600">CZ118*$E118</f>
        <v>0</v>
      </c>
      <c r="DB118" s="123"/>
      <c r="DC118" s="124">
        <f t="shared" si="3198"/>
        <v>0</v>
      </c>
      <c r="DD118" s="123"/>
      <c r="DE118" s="124">
        <f t="shared" si="3198"/>
        <v>0</v>
      </c>
      <c r="DF118" s="27">
        <f t="shared" si="3145"/>
        <v>0</v>
      </c>
      <c r="DG118" s="124">
        <f t="shared" si="3199"/>
        <v>0</v>
      </c>
    </row>
    <row r="119" spans="1:111" ht="18" customHeight="1" x14ac:dyDescent="0.5">
      <c r="A119" s="117"/>
      <c r="B119" s="122"/>
      <c r="C119" s="122"/>
      <c r="D119" s="117"/>
      <c r="E119" s="117"/>
      <c r="F119" s="117"/>
      <c r="G119" s="117"/>
      <c r="H119" s="123"/>
      <c r="I119" s="124">
        <f t="shared" ref="I119" si="5601">H119*$E119</f>
        <v>0</v>
      </c>
      <c r="J119" s="123"/>
      <c r="K119" s="124">
        <f t="shared" ref="K119" si="5602">J119*$E119</f>
        <v>0</v>
      </c>
      <c r="L119" s="123"/>
      <c r="M119" s="124">
        <f t="shared" ref="M119" si="5603">L119*$E119</f>
        <v>0</v>
      </c>
      <c r="N119" s="123"/>
      <c r="O119" s="124">
        <f t="shared" ref="O119" si="5604">N119*$E119</f>
        <v>0</v>
      </c>
      <c r="P119" s="123"/>
      <c r="Q119" s="124">
        <f t="shared" ref="Q119" si="5605">P119*$E119</f>
        <v>0</v>
      </c>
      <c r="R119" s="123"/>
      <c r="S119" s="124">
        <f t="shared" ref="S119" si="5606">R119*$E119</f>
        <v>0</v>
      </c>
      <c r="T119" s="123"/>
      <c r="U119" s="124">
        <f t="shared" ref="U119" si="5607">T119*$E119</f>
        <v>0</v>
      </c>
      <c r="V119" s="123"/>
      <c r="W119" s="124">
        <f t="shared" ref="W119" si="5608">V119*$E119</f>
        <v>0</v>
      </c>
      <c r="X119" s="123"/>
      <c r="Y119" s="124">
        <f t="shared" ref="Y119" si="5609">X119*$E119</f>
        <v>0</v>
      </c>
      <c r="Z119" s="123"/>
      <c r="AA119" s="124">
        <f t="shared" ref="AA119" si="5610">Z119*$E119</f>
        <v>0</v>
      </c>
      <c r="AB119" s="123"/>
      <c r="AC119" s="124">
        <f t="shared" ref="AC119" si="5611">AB119*$E119</f>
        <v>0</v>
      </c>
      <c r="AD119" s="123"/>
      <c r="AE119" s="124">
        <f t="shared" ref="AE119" si="5612">AD119*$E119</f>
        <v>0</v>
      </c>
      <c r="AF119" s="125">
        <f t="shared" si="3158"/>
        <v>0</v>
      </c>
      <c r="AG119" s="126">
        <f t="shared" ref="AG119" si="5613">AF119*$E119</f>
        <v>0</v>
      </c>
      <c r="AH119" s="11"/>
      <c r="AI119" s="124">
        <f t="shared" ref="AI119" si="5614">AH119*$E119</f>
        <v>0</v>
      </c>
      <c r="AJ119" s="15"/>
      <c r="AK119" s="124">
        <f t="shared" ref="AK119" si="5615">AJ119*$E119</f>
        <v>0</v>
      </c>
      <c r="AL119" s="15"/>
      <c r="AM119" s="124">
        <f t="shared" ref="AM119" si="5616">AL119*$E119</f>
        <v>0</v>
      </c>
      <c r="AN119" s="16"/>
      <c r="AO119" s="124">
        <f t="shared" ref="AO119" si="5617">AN119*$E119</f>
        <v>0</v>
      </c>
      <c r="AP119" s="15"/>
      <c r="AQ119" s="124">
        <f t="shared" ref="AQ119" si="5618">AP119*$E119</f>
        <v>0</v>
      </c>
      <c r="AR119" s="15"/>
      <c r="AS119" s="124">
        <f t="shared" ref="AS119" si="5619">AR119*$E119</f>
        <v>0</v>
      </c>
      <c r="AT119" s="17"/>
      <c r="AU119" s="124">
        <f t="shared" ref="AU119" si="5620">AT119*$E119</f>
        <v>0</v>
      </c>
      <c r="AV119" s="15"/>
      <c r="AW119" s="124">
        <f t="shared" ref="AW119" si="5621">AV119*$E119</f>
        <v>0</v>
      </c>
      <c r="AX119" s="15"/>
      <c r="AY119" s="124">
        <f t="shared" ref="AY119" si="5622">AX119*$E119</f>
        <v>0</v>
      </c>
      <c r="AZ119" s="17"/>
      <c r="BA119" s="124">
        <f t="shared" ref="BA119" si="5623">AZ119*$E119</f>
        <v>0</v>
      </c>
      <c r="BB119" s="33"/>
      <c r="BC119" s="124">
        <f t="shared" ref="BC119" si="5624">BB119*$E119</f>
        <v>0</v>
      </c>
      <c r="BD119" s="33"/>
      <c r="BE119" s="124">
        <f t="shared" ref="BE119" si="5625">BD119*$E119</f>
        <v>0</v>
      </c>
      <c r="BF119" s="125">
        <f t="shared" si="3172"/>
        <v>0</v>
      </c>
      <c r="BG119" s="126">
        <f t="shared" ref="BG119" si="5626">BF119*$E119</f>
        <v>0</v>
      </c>
      <c r="BH119" s="123"/>
      <c r="BI119" s="124">
        <f t="shared" ref="BI119" si="5627">BH119*$E119</f>
        <v>0</v>
      </c>
      <c r="BJ119" s="123"/>
      <c r="BK119" s="124">
        <f t="shared" ref="BK119" si="5628">BJ119*$E119</f>
        <v>0</v>
      </c>
      <c r="BL119" s="123"/>
      <c r="BM119" s="124">
        <f t="shared" ref="BM119" si="5629">BL119*$E119</f>
        <v>0</v>
      </c>
      <c r="BN119" s="123"/>
      <c r="BO119" s="124">
        <f t="shared" ref="BO119" si="5630">BN119*$E119</f>
        <v>0</v>
      </c>
      <c r="BP119" s="123"/>
      <c r="BQ119" s="124">
        <f t="shared" ref="BQ119" si="5631">BP119*$E119</f>
        <v>0</v>
      </c>
      <c r="BR119" s="123"/>
      <c r="BS119" s="124">
        <f t="shared" ref="BS119" si="5632">BR119*$E119</f>
        <v>0</v>
      </c>
      <c r="BT119" s="123"/>
      <c r="BU119" s="124">
        <f t="shared" ref="BU119" si="5633">BT119*$E119</f>
        <v>0</v>
      </c>
      <c r="BV119" s="123"/>
      <c r="BW119" s="124">
        <f t="shared" ref="BW119" si="5634">BV119*$E119</f>
        <v>0</v>
      </c>
      <c r="BX119" s="123"/>
      <c r="BY119" s="124">
        <f t="shared" ref="BY119" si="5635">BX119*$E119</f>
        <v>0</v>
      </c>
      <c r="BZ119" s="123"/>
      <c r="CA119" s="124">
        <f t="shared" ref="CA119" si="5636">BZ119*$E119</f>
        <v>0</v>
      </c>
      <c r="CB119" s="123"/>
      <c r="CC119" s="124">
        <f t="shared" ref="CC119" si="5637">CB119*$E119</f>
        <v>0</v>
      </c>
      <c r="CD119" s="123"/>
      <c r="CE119" s="124">
        <f t="shared" ref="CE119" si="5638">CD119*$E119</f>
        <v>0</v>
      </c>
      <c r="CF119" s="125">
        <f t="shared" si="3186"/>
        <v>0</v>
      </c>
      <c r="CG119" s="126">
        <f t="shared" ref="CG119" si="5639">CF119*$E119</f>
        <v>0</v>
      </c>
      <c r="CH119" s="123"/>
      <c r="CI119" s="124">
        <f t="shared" ref="CI119" si="5640">CH119*$E119</f>
        <v>0</v>
      </c>
      <c r="CJ119" s="123"/>
      <c r="CK119" s="124">
        <f t="shared" ref="CK119" si="5641">CJ119*$E119</f>
        <v>0</v>
      </c>
      <c r="CL119" s="123"/>
      <c r="CM119" s="124">
        <f t="shared" ref="CM119" si="5642">CL119*$E119</f>
        <v>0</v>
      </c>
      <c r="CN119" s="123"/>
      <c r="CO119" s="124">
        <f t="shared" ref="CO119" si="5643">CN119*$E119</f>
        <v>0</v>
      </c>
      <c r="CP119" s="123"/>
      <c r="CQ119" s="124">
        <f t="shared" ref="CQ119" si="5644">CP119*$E119</f>
        <v>0</v>
      </c>
      <c r="CR119" s="123"/>
      <c r="CS119" s="124">
        <f t="shared" ref="CS119" si="5645">CR119*$E119</f>
        <v>0</v>
      </c>
      <c r="CT119" s="123"/>
      <c r="CU119" s="124">
        <f t="shared" ref="CU119" si="5646">CT119*$E119</f>
        <v>0</v>
      </c>
      <c r="CV119" s="123"/>
      <c r="CW119" s="124">
        <f t="shared" ref="CW119" si="5647">CV119*$E119</f>
        <v>0</v>
      </c>
      <c r="CX119" s="123"/>
      <c r="CY119" s="124">
        <f t="shared" ref="CY119:CY124" si="5648">CX119*$E119</f>
        <v>0</v>
      </c>
      <c r="CZ119" s="123"/>
      <c r="DA119" s="124">
        <f t="shared" ref="DA119:DA124" si="5649">CZ119*$E119</f>
        <v>0</v>
      </c>
      <c r="DB119" s="123"/>
      <c r="DC119" s="124">
        <f t="shared" si="3198"/>
        <v>0</v>
      </c>
      <c r="DD119" s="123"/>
      <c r="DE119" s="124">
        <f t="shared" si="3198"/>
        <v>0</v>
      </c>
      <c r="DF119" s="27">
        <f t="shared" si="3145"/>
        <v>0</v>
      </c>
      <c r="DG119" s="124">
        <f t="shared" si="3199"/>
        <v>0</v>
      </c>
    </row>
    <row r="120" spans="1:111" ht="18" customHeight="1" x14ac:dyDescent="0.5">
      <c r="A120" s="117">
        <v>95</v>
      </c>
      <c r="B120" s="122" t="s">
        <v>262</v>
      </c>
      <c r="C120" s="122"/>
      <c r="D120" s="117"/>
      <c r="E120" s="117"/>
      <c r="F120" s="117"/>
      <c r="G120" s="117"/>
      <c r="H120" s="123"/>
      <c r="I120" s="124"/>
      <c r="J120" s="123"/>
      <c r="K120" s="124"/>
      <c r="L120" s="123"/>
      <c r="M120" s="124"/>
      <c r="N120" s="123"/>
      <c r="O120" s="124"/>
      <c r="P120" s="123"/>
      <c r="Q120" s="124"/>
      <c r="R120" s="123"/>
      <c r="S120" s="124"/>
      <c r="T120" s="123"/>
      <c r="U120" s="124"/>
      <c r="V120" s="123"/>
      <c r="W120" s="124"/>
      <c r="X120" s="123"/>
      <c r="Y120" s="124"/>
      <c r="Z120" s="123"/>
      <c r="AA120" s="124"/>
      <c r="AB120" s="123"/>
      <c r="AC120" s="124"/>
      <c r="AD120" s="123"/>
      <c r="AE120" s="124"/>
      <c r="AF120" s="125"/>
      <c r="AG120" s="126"/>
      <c r="AH120" s="11"/>
      <c r="AI120" s="124"/>
      <c r="AJ120" s="15"/>
      <c r="AK120" s="124"/>
      <c r="AL120" s="15"/>
      <c r="AM120" s="124"/>
      <c r="AN120" s="16"/>
      <c r="AO120" s="124"/>
      <c r="AP120" s="15"/>
      <c r="AQ120" s="124"/>
      <c r="AR120" s="15"/>
      <c r="AS120" s="124"/>
      <c r="AT120" s="17"/>
      <c r="AU120" s="124"/>
      <c r="AV120" s="15"/>
      <c r="AW120" s="124"/>
      <c r="AX120" s="15"/>
      <c r="AY120" s="124"/>
      <c r="AZ120" s="17"/>
      <c r="BA120" s="124"/>
      <c r="BB120" s="33"/>
      <c r="BC120" s="124"/>
      <c r="BD120" s="33"/>
      <c r="BE120" s="124"/>
      <c r="BF120" s="125"/>
      <c r="BG120" s="126"/>
      <c r="BH120" s="123"/>
      <c r="BI120" s="124"/>
      <c r="BJ120" s="123"/>
      <c r="BK120" s="124"/>
      <c r="BL120" s="123"/>
      <c r="BM120" s="124"/>
      <c r="BN120" s="123"/>
      <c r="BO120" s="124"/>
      <c r="BP120" s="123"/>
      <c r="BQ120" s="124"/>
      <c r="BR120" s="123"/>
      <c r="BS120" s="124"/>
      <c r="BT120" s="123"/>
      <c r="BU120" s="124"/>
      <c r="BV120" s="123"/>
      <c r="BW120" s="124"/>
      <c r="BX120" s="123"/>
      <c r="BY120" s="124"/>
      <c r="BZ120" s="123"/>
      <c r="CA120" s="124"/>
      <c r="CB120" s="123"/>
      <c r="CC120" s="124"/>
      <c r="CD120" s="123"/>
      <c r="CE120" s="124"/>
      <c r="CF120" s="125"/>
      <c r="CG120" s="126"/>
      <c r="CH120" s="123"/>
      <c r="CI120" s="124"/>
      <c r="CJ120" s="123"/>
      <c r="CK120" s="124"/>
      <c r="CL120" s="123"/>
      <c r="CM120" s="124"/>
      <c r="CN120" s="123"/>
      <c r="CO120" s="124"/>
      <c r="CP120" s="123"/>
      <c r="CQ120" s="124"/>
      <c r="CR120" s="123"/>
      <c r="CS120" s="124"/>
      <c r="CT120" s="123"/>
      <c r="CU120" s="124"/>
      <c r="CV120" s="123"/>
      <c r="CW120" s="124"/>
      <c r="CX120" s="123"/>
      <c r="CY120" s="124">
        <f t="shared" si="5648"/>
        <v>0</v>
      </c>
      <c r="CZ120" s="123"/>
      <c r="DA120" s="124">
        <f t="shared" si="5649"/>
        <v>0</v>
      </c>
      <c r="DB120" s="123"/>
      <c r="DC120" s="124"/>
      <c r="DD120" s="123"/>
      <c r="DE120" s="124"/>
      <c r="DF120" s="27">
        <f t="shared" si="3145"/>
        <v>0</v>
      </c>
      <c r="DG120" s="124">
        <f t="shared" si="3199"/>
        <v>0</v>
      </c>
    </row>
    <row r="121" spans="1:111" ht="18" customHeight="1" x14ac:dyDescent="0.5">
      <c r="A121" s="117">
        <v>96</v>
      </c>
      <c r="B121" s="122" t="s">
        <v>263</v>
      </c>
      <c r="C121" s="122"/>
      <c r="D121" s="117"/>
      <c r="E121" s="117"/>
      <c r="F121" s="117"/>
      <c r="G121" s="117"/>
      <c r="H121" s="123"/>
      <c r="I121" s="124"/>
      <c r="J121" s="123"/>
      <c r="K121" s="124"/>
      <c r="L121" s="123"/>
      <c r="M121" s="124"/>
      <c r="N121" s="123"/>
      <c r="O121" s="124"/>
      <c r="P121" s="123"/>
      <c r="Q121" s="124"/>
      <c r="R121" s="123"/>
      <c r="S121" s="124"/>
      <c r="T121" s="123"/>
      <c r="U121" s="124"/>
      <c r="V121" s="123"/>
      <c r="W121" s="124"/>
      <c r="X121" s="123"/>
      <c r="Y121" s="124"/>
      <c r="Z121" s="123"/>
      <c r="AA121" s="124"/>
      <c r="AB121" s="123"/>
      <c r="AC121" s="124"/>
      <c r="AD121" s="123"/>
      <c r="AE121" s="124"/>
      <c r="AF121" s="125"/>
      <c r="AG121" s="126"/>
      <c r="AH121" s="11"/>
      <c r="AI121" s="124"/>
      <c r="AJ121" s="15"/>
      <c r="AK121" s="124"/>
      <c r="AL121" s="15"/>
      <c r="AM121" s="124"/>
      <c r="AN121" s="16"/>
      <c r="AO121" s="124"/>
      <c r="AP121" s="15"/>
      <c r="AQ121" s="124"/>
      <c r="AR121" s="15"/>
      <c r="AS121" s="124"/>
      <c r="AT121" s="17"/>
      <c r="AU121" s="124"/>
      <c r="AV121" s="15"/>
      <c r="AW121" s="124"/>
      <c r="AX121" s="15"/>
      <c r="AY121" s="124"/>
      <c r="AZ121" s="17"/>
      <c r="BA121" s="124"/>
      <c r="BB121" s="33"/>
      <c r="BC121" s="124"/>
      <c r="BD121" s="33"/>
      <c r="BE121" s="124"/>
      <c r="BF121" s="125"/>
      <c r="BG121" s="126"/>
      <c r="BH121" s="123"/>
      <c r="BI121" s="124"/>
      <c r="BJ121" s="123"/>
      <c r="BK121" s="124"/>
      <c r="BL121" s="123"/>
      <c r="BM121" s="124"/>
      <c r="BN121" s="123"/>
      <c r="BO121" s="124"/>
      <c r="BP121" s="123"/>
      <c r="BQ121" s="124"/>
      <c r="BR121" s="123"/>
      <c r="BS121" s="124"/>
      <c r="BT121" s="123"/>
      <c r="BU121" s="124"/>
      <c r="BV121" s="123"/>
      <c r="BW121" s="124"/>
      <c r="BX121" s="123"/>
      <c r="BY121" s="124"/>
      <c r="BZ121" s="123"/>
      <c r="CA121" s="124"/>
      <c r="CB121" s="123"/>
      <c r="CC121" s="124"/>
      <c r="CD121" s="123"/>
      <c r="CE121" s="124"/>
      <c r="CF121" s="125"/>
      <c r="CG121" s="126"/>
      <c r="CH121" s="123"/>
      <c r="CI121" s="124"/>
      <c r="CJ121" s="123"/>
      <c r="CK121" s="124"/>
      <c r="CL121" s="123"/>
      <c r="CM121" s="124"/>
      <c r="CN121" s="123"/>
      <c r="CO121" s="124"/>
      <c r="CP121" s="123"/>
      <c r="CQ121" s="124"/>
      <c r="CR121" s="123"/>
      <c r="CS121" s="124"/>
      <c r="CT121" s="123"/>
      <c r="CU121" s="124"/>
      <c r="CV121" s="123"/>
      <c r="CW121" s="124"/>
      <c r="CX121" s="123"/>
      <c r="CY121" s="124">
        <f t="shared" si="5648"/>
        <v>0</v>
      </c>
      <c r="CZ121" s="123"/>
      <c r="DA121" s="124">
        <f t="shared" si="5649"/>
        <v>0</v>
      </c>
      <c r="DB121" s="123"/>
      <c r="DC121" s="124"/>
      <c r="DD121" s="123"/>
      <c r="DE121" s="124"/>
      <c r="DF121" s="27">
        <f t="shared" si="3145"/>
        <v>0</v>
      </c>
      <c r="DG121" s="124">
        <f t="shared" si="3199"/>
        <v>0</v>
      </c>
    </row>
    <row r="122" spans="1:111" ht="18" customHeight="1" x14ac:dyDescent="0.5">
      <c r="A122" s="117">
        <v>97</v>
      </c>
      <c r="B122" s="122" t="s">
        <v>264</v>
      </c>
      <c r="C122" s="122"/>
      <c r="D122" s="117"/>
      <c r="E122" s="117"/>
      <c r="F122" s="117"/>
      <c r="G122" s="117"/>
      <c r="H122" s="123"/>
      <c r="I122" s="124"/>
      <c r="J122" s="123"/>
      <c r="K122" s="124"/>
      <c r="L122" s="123"/>
      <c r="M122" s="124"/>
      <c r="N122" s="123"/>
      <c r="O122" s="124"/>
      <c r="P122" s="123"/>
      <c r="Q122" s="124"/>
      <c r="R122" s="123"/>
      <c r="S122" s="124"/>
      <c r="T122" s="123"/>
      <c r="U122" s="124"/>
      <c r="V122" s="123"/>
      <c r="W122" s="124"/>
      <c r="X122" s="123"/>
      <c r="Y122" s="124"/>
      <c r="Z122" s="123"/>
      <c r="AA122" s="124"/>
      <c r="AB122" s="123"/>
      <c r="AC122" s="124"/>
      <c r="AD122" s="123"/>
      <c r="AE122" s="124"/>
      <c r="AF122" s="125"/>
      <c r="AG122" s="126"/>
      <c r="AH122" s="11"/>
      <c r="AI122" s="124"/>
      <c r="AJ122" s="15"/>
      <c r="AK122" s="124"/>
      <c r="AL122" s="15"/>
      <c r="AM122" s="124"/>
      <c r="AN122" s="16"/>
      <c r="AO122" s="124"/>
      <c r="AP122" s="15"/>
      <c r="AQ122" s="124"/>
      <c r="AR122" s="15"/>
      <c r="AS122" s="124"/>
      <c r="AT122" s="17"/>
      <c r="AU122" s="124"/>
      <c r="AV122" s="15"/>
      <c r="AW122" s="124"/>
      <c r="AX122" s="15"/>
      <c r="AY122" s="124"/>
      <c r="AZ122" s="17"/>
      <c r="BA122" s="124"/>
      <c r="BB122" s="33"/>
      <c r="BC122" s="124"/>
      <c r="BD122" s="33"/>
      <c r="BE122" s="124"/>
      <c r="BF122" s="125"/>
      <c r="BG122" s="126"/>
      <c r="BH122" s="123"/>
      <c r="BI122" s="124"/>
      <c r="BJ122" s="123"/>
      <c r="BK122" s="124"/>
      <c r="BL122" s="123"/>
      <c r="BM122" s="124"/>
      <c r="BN122" s="123"/>
      <c r="BO122" s="124"/>
      <c r="BP122" s="123"/>
      <c r="BQ122" s="124"/>
      <c r="BR122" s="123"/>
      <c r="BS122" s="124"/>
      <c r="BT122" s="123"/>
      <c r="BU122" s="124"/>
      <c r="BV122" s="123"/>
      <c r="BW122" s="124"/>
      <c r="BX122" s="123"/>
      <c r="BY122" s="124"/>
      <c r="BZ122" s="123"/>
      <c r="CA122" s="124"/>
      <c r="CB122" s="123"/>
      <c r="CC122" s="124"/>
      <c r="CD122" s="123"/>
      <c r="CE122" s="124"/>
      <c r="CF122" s="125"/>
      <c r="CG122" s="126"/>
      <c r="CH122" s="123"/>
      <c r="CI122" s="124"/>
      <c r="CJ122" s="123"/>
      <c r="CK122" s="124"/>
      <c r="CL122" s="123"/>
      <c r="CM122" s="124"/>
      <c r="CN122" s="123"/>
      <c r="CO122" s="124"/>
      <c r="CP122" s="123"/>
      <c r="CQ122" s="124"/>
      <c r="CR122" s="123"/>
      <c r="CS122" s="124"/>
      <c r="CT122" s="123"/>
      <c r="CU122" s="124"/>
      <c r="CV122" s="123"/>
      <c r="CW122" s="124"/>
      <c r="CX122" s="123"/>
      <c r="CY122" s="124">
        <f t="shared" si="5648"/>
        <v>0</v>
      </c>
      <c r="CZ122" s="123"/>
      <c r="DA122" s="124">
        <f t="shared" si="5649"/>
        <v>0</v>
      </c>
      <c r="DB122" s="123"/>
      <c r="DC122" s="124"/>
      <c r="DD122" s="123"/>
      <c r="DE122" s="124"/>
      <c r="DF122" s="27">
        <f t="shared" si="3145"/>
        <v>0</v>
      </c>
      <c r="DG122" s="124">
        <f t="shared" si="3199"/>
        <v>0</v>
      </c>
    </row>
    <row r="123" spans="1:111" ht="18" customHeight="1" x14ac:dyDescent="0.5">
      <c r="A123" s="117">
        <v>98</v>
      </c>
      <c r="B123" s="122" t="s">
        <v>264</v>
      </c>
      <c r="C123" s="122"/>
      <c r="D123" s="117"/>
      <c r="E123" s="117"/>
      <c r="F123" s="117"/>
      <c r="G123" s="117"/>
      <c r="H123" s="123"/>
      <c r="I123" s="124"/>
      <c r="J123" s="123"/>
      <c r="K123" s="124"/>
      <c r="L123" s="123"/>
      <c r="M123" s="124"/>
      <c r="N123" s="123"/>
      <c r="O123" s="124"/>
      <c r="P123" s="123"/>
      <c r="Q123" s="124"/>
      <c r="R123" s="123"/>
      <c r="S123" s="124"/>
      <c r="T123" s="123"/>
      <c r="U123" s="124"/>
      <c r="V123" s="123"/>
      <c r="W123" s="124"/>
      <c r="X123" s="123"/>
      <c r="Y123" s="124"/>
      <c r="Z123" s="123"/>
      <c r="AA123" s="124"/>
      <c r="AB123" s="123"/>
      <c r="AC123" s="124"/>
      <c r="AD123" s="123"/>
      <c r="AE123" s="124"/>
      <c r="AF123" s="125"/>
      <c r="AG123" s="126"/>
      <c r="AH123" s="11"/>
      <c r="AI123" s="124"/>
      <c r="AJ123" s="15"/>
      <c r="AK123" s="124"/>
      <c r="AL123" s="15"/>
      <c r="AM123" s="124"/>
      <c r="AN123" s="16"/>
      <c r="AO123" s="124"/>
      <c r="AP123" s="15"/>
      <c r="AQ123" s="124"/>
      <c r="AR123" s="15"/>
      <c r="AS123" s="124"/>
      <c r="AT123" s="17"/>
      <c r="AU123" s="124"/>
      <c r="AV123" s="15"/>
      <c r="AW123" s="124"/>
      <c r="AX123" s="15"/>
      <c r="AY123" s="124"/>
      <c r="AZ123" s="17"/>
      <c r="BA123" s="124"/>
      <c r="BB123" s="33"/>
      <c r="BC123" s="124"/>
      <c r="BD123" s="33"/>
      <c r="BE123" s="124"/>
      <c r="BF123" s="125"/>
      <c r="BG123" s="126"/>
      <c r="BH123" s="123"/>
      <c r="BI123" s="124"/>
      <c r="BJ123" s="123"/>
      <c r="BK123" s="124"/>
      <c r="BL123" s="123"/>
      <c r="BM123" s="124"/>
      <c r="BN123" s="123"/>
      <c r="BO123" s="124"/>
      <c r="BP123" s="123"/>
      <c r="BQ123" s="124"/>
      <c r="BR123" s="123"/>
      <c r="BS123" s="124"/>
      <c r="BT123" s="123"/>
      <c r="BU123" s="124"/>
      <c r="BV123" s="123"/>
      <c r="BW123" s="124"/>
      <c r="BX123" s="123"/>
      <c r="BY123" s="124"/>
      <c r="BZ123" s="123"/>
      <c r="CA123" s="124"/>
      <c r="CB123" s="123"/>
      <c r="CC123" s="124"/>
      <c r="CD123" s="123"/>
      <c r="CE123" s="124"/>
      <c r="CF123" s="125"/>
      <c r="CG123" s="126"/>
      <c r="CH123" s="123"/>
      <c r="CI123" s="124"/>
      <c r="CJ123" s="123"/>
      <c r="CK123" s="124"/>
      <c r="CL123" s="123"/>
      <c r="CM123" s="124"/>
      <c r="CN123" s="123"/>
      <c r="CO123" s="124"/>
      <c r="CP123" s="123"/>
      <c r="CQ123" s="124"/>
      <c r="CR123" s="123"/>
      <c r="CS123" s="124"/>
      <c r="CT123" s="123"/>
      <c r="CU123" s="124"/>
      <c r="CV123" s="123"/>
      <c r="CW123" s="124"/>
      <c r="CX123" s="123"/>
      <c r="CY123" s="124">
        <f t="shared" si="5648"/>
        <v>0</v>
      </c>
      <c r="CZ123" s="123"/>
      <c r="DA123" s="124">
        <f t="shared" si="5649"/>
        <v>0</v>
      </c>
      <c r="DB123" s="123"/>
      <c r="DC123" s="124"/>
      <c r="DD123" s="123"/>
      <c r="DE123" s="124"/>
      <c r="DF123" s="27">
        <f t="shared" si="3145"/>
        <v>0</v>
      </c>
      <c r="DG123" s="124">
        <f t="shared" si="3199"/>
        <v>0</v>
      </c>
    </row>
    <row r="124" spans="1:111" ht="18" customHeight="1" x14ac:dyDescent="0.5">
      <c r="A124" s="117">
        <v>99</v>
      </c>
      <c r="B124" s="122" t="s">
        <v>264</v>
      </c>
      <c r="C124" s="122" t="s">
        <v>231</v>
      </c>
      <c r="D124" s="117"/>
      <c r="E124" s="117">
        <v>0.64</v>
      </c>
      <c r="F124" s="117" t="s">
        <v>267</v>
      </c>
      <c r="G124" s="117"/>
      <c r="H124" s="123"/>
      <c r="I124" s="124"/>
      <c r="J124" s="123"/>
      <c r="K124" s="124"/>
      <c r="L124" s="123"/>
      <c r="M124" s="124"/>
      <c r="N124" s="123"/>
      <c r="O124" s="124"/>
      <c r="P124" s="123"/>
      <c r="Q124" s="124"/>
      <c r="R124" s="123"/>
      <c r="S124" s="124"/>
      <c r="T124" s="123"/>
      <c r="U124" s="124"/>
      <c r="V124" s="123"/>
      <c r="W124" s="124"/>
      <c r="X124" s="123"/>
      <c r="Y124" s="124"/>
      <c r="Z124" s="123"/>
      <c r="AA124" s="124"/>
      <c r="AB124" s="123"/>
      <c r="AC124" s="124"/>
      <c r="AD124" s="123"/>
      <c r="AE124" s="124"/>
      <c r="AF124" s="125"/>
      <c r="AG124" s="126"/>
      <c r="AH124" s="11"/>
      <c r="AI124" s="124"/>
      <c r="AJ124" s="15"/>
      <c r="AK124" s="124"/>
      <c r="AL124" s="15"/>
      <c r="AM124" s="124"/>
      <c r="AN124" s="16"/>
      <c r="AO124" s="124"/>
      <c r="AP124" s="15"/>
      <c r="AQ124" s="124"/>
      <c r="AR124" s="15"/>
      <c r="AS124" s="124"/>
      <c r="AT124" s="17"/>
      <c r="AU124" s="124"/>
      <c r="AV124" s="15"/>
      <c r="AW124" s="124"/>
      <c r="AX124" s="15"/>
      <c r="AY124" s="124"/>
      <c r="AZ124" s="17"/>
      <c r="BA124" s="124"/>
      <c r="BB124" s="33"/>
      <c r="BC124" s="124"/>
      <c r="BD124" s="33"/>
      <c r="BE124" s="124"/>
      <c r="BF124" s="125"/>
      <c r="BG124" s="126"/>
      <c r="BH124" s="123"/>
      <c r="BI124" s="124"/>
      <c r="BJ124" s="123"/>
      <c r="BK124" s="124"/>
      <c r="BL124" s="123"/>
      <c r="BM124" s="124"/>
      <c r="BN124" s="123"/>
      <c r="BO124" s="124"/>
      <c r="BP124" s="123"/>
      <c r="BQ124" s="124"/>
      <c r="BR124" s="123"/>
      <c r="BS124" s="124"/>
      <c r="BT124" s="123"/>
      <c r="BU124" s="124"/>
      <c r="BV124" s="123"/>
      <c r="BW124" s="124"/>
      <c r="BX124" s="123"/>
      <c r="BY124" s="124"/>
      <c r="BZ124" s="123"/>
      <c r="CA124" s="124"/>
      <c r="CB124" s="123"/>
      <c r="CC124" s="124"/>
      <c r="CD124" s="123"/>
      <c r="CE124" s="124"/>
      <c r="CF124" s="125"/>
      <c r="CG124" s="126"/>
      <c r="CH124" s="123"/>
      <c r="CI124" s="124"/>
      <c r="CJ124" s="123"/>
      <c r="CK124" s="124"/>
      <c r="CL124" s="123"/>
      <c r="CM124" s="124"/>
      <c r="CN124" s="123"/>
      <c r="CO124" s="124"/>
      <c r="CP124" s="123"/>
      <c r="CQ124" s="124"/>
      <c r="CR124" s="123"/>
      <c r="CS124" s="124"/>
      <c r="CT124" s="123"/>
      <c r="CU124" s="124"/>
      <c r="CV124" s="123"/>
      <c r="CW124" s="124"/>
      <c r="CX124" s="123"/>
      <c r="CY124" s="124">
        <f t="shared" si="5648"/>
        <v>0</v>
      </c>
      <c r="CZ124" s="123">
        <v>5</v>
      </c>
      <c r="DA124" s="124">
        <f t="shared" si="5649"/>
        <v>3.2</v>
      </c>
      <c r="DB124" s="123"/>
      <c r="DC124" s="124"/>
      <c r="DD124" s="123"/>
      <c r="DE124" s="124"/>
      <c r="DF124" s="27">
        <f t="shared" si="3145"/>
        <v>5</v>
      </c>
      <c r="DG124" s="124">
        <f t="shared" si="3199"/>
        <v>3.2</v>
      </c>
    </row>
    <row r="125" spans="1:111" ht="18" customHeight="1" x14ac:dyDescent="0.5">
      <c r="A125" s="117">
        <v>100</v>
      </c>
      <c r="B125" s="122" t="s">
        <v>192</v>
      </c>
      <c r="C125" s="122" t="s">
        <v>233</v>
      </c>
      <c r="D125" s="117">
        <f t="shared" ref="D125:D133" si="5650">RANK(DF125,$DF$4:$DF$141)</f>
        <v>21</v>
      </c>
      <c r="E125" s="117">
        <v>1</v>
      </c>
      <c r="F125" s="117" t="s">
        <v>241</v>
      </c>
      <c r="G125" s="117"/>
      <c r="H125" s="123"/>
      <c r="I125" s="124">
        <f t="shared" ref="I125" si="5651">H125*$E125</f>
        <v>0</v>
      </c>
      <c r="J125" s="123"/>
      <c r="K125" s="124">
        <f t="shared" ref="K125" si="5652">J125*$E125</f>
        <v>0</v>
      </c>
      <c r="L125" s="123"/>
      <c r="M125" s="124">
        <f t="shared" ref="M125" si="5653">L125*$E125</f>
        <v>0</v>
      </c>
      <c r="N125" s="123"/>
      <c r="O125" s="124">
        <f t="shared" ref="O125" si="5654">N125*$E125</f>
        <v>0</v>
      </c>
      <c r="P125" s="123"/>
      <c r="Q125" s="124">
        <f t="shared" ref="Q125" si="5655">P125*$E125</f>
        <v>0</v>
      </c>
      <c r="R125" s="123"/>
      <c r="S125" s="124">
        <f t="shared" ref="S125" si="5656">R125*$E125</f>
        <v>0</v>
      </c>
      <c r="T125" s="123"/>
      <c r="U125" s="124">
        <f t="shared" ref="U125" si="5657">T125*$E125</f>
        <v>0</v>
      </c>
      <c r="V125" s="123"/>
      <c r="W125" s="124">
        <f t="shared" ref="W125" si="5658">V125*$E125</f>
        <v>0</v>
      </c>
      <c r="X125" s="123"/>
      <c r="Y125" s="124">
        <f t="shared" ref="Y125" si="5659">X125*$E125</f>
        <v>0</v>
      </c>
      <c r="Z125" s="123"/>
      <c r="AA125" s="124">
        <f t="shared" ref="AA125" si="5660">Z125*$E125</f>
        <v>0</v>
      </c>
      <c r="AB125" s="123"/>
      <c r="AC125" s="124">
        <f t="shared" ref="AC125" si="5661">AB125*$E125</f>
        <v>0</v>
      </c>
      <c r="AD125" s="123"/>
      <c r="AE125" s="124">
        <f t="shared" ref="AE125" si="5662">AD125*$E125</f>
        <v>0</v>
      </c>
      <c r="AF125" s="125">
        <f t="shared" si="3158"/>
        <v>0</v>
      </c>
      <c r="AG125" s="126">
        <f t="shared" ref="AG125" si="5663">AF125*$E125</f>
        <v>0</v>
      </c>
      <c r="AH125" s="11"/>
      <c r="AI125" s="124">
        <f t="shared" ref="AI125" si="5664">AH125*$E125</f>
        <v>0</v>
      </c>
      <c r="AJ125" s="15"/>
      <c r="AK125" s="124">
        <f t="shared" ref="AK125" si="5665">AJ125*$E125</f>
        <v>0</v>
      </c>
      <c r="AL125" s="15"/>
      <c r="AM125" s="124">
        <f t="shared" ref="AM125" si="5666">AL125*$E125</f>
        <v>0</v>
      </c>
      <c r="AN125" s="16"/>
      <c r="AO125" s="124">
        <f t="shared" ref="AO125" si="5667">AN125*$E125</f>
        <v>0</v>
      </c>
      <c r="AP125" s="15"/>
      <c r="AQ125" s="124">
        <f t="shared" ref="AQ125" si="5668">AP125*$E125</f>
        <v>0</v>
      </c>
      <c r="AR125" s="15"/>
      <c r="AS125" s="124">
        <f t="shared" ref="AS125" si="5669">AR125*$E125</f>
        <v>0</v>
      </c>
      <c r="AT125" s="17"/>
      <c r="AU125" s="124">
        <f t="shared" ref="AU125" si="5670">AT125*$E125</f>
        <v>0</v>
      </c>
      <c r="AV125" s="15"/>
      <c r="AW125" s="124">
        <f t="shared" ref="AW125" si="5671">AV125*$E125</f>
        <v>0</v>
      </c>
      <c r="AX125" s="15"/>
      <c r="AY125" s="124">
        <f t="shared" ref="AY125" si="5672">AX125*$E125</f>
        <v>0</v>
      </c>
      <c r="AZ125" s="17"/>
      <c r="BA125" s="124">
        <f t="shared" ref="BA125" si="5673">AZ125*$E125</f>
        <v>0</v>
      </c>
      <c r="BB125" s="33"/>
      <c r="BC125" s="124">
        <f t="shared" ref="BC125" si="5674">BB125*$E125</f>
        <v>0</v>
      </c>
      <c r="BD125" s="33"/>
      <c r="BE125" s="124">
        <f t="shared" ref="BE125" si="5675">BD125*$E125</f>
        <v>0</v>
      </c>
      <c r="BF125" s="125">
        <f t="shared" si="3172"/>
        <v>0</v>
      </c>
      <c r="BG125" s="126">
        <f t="shared" ref="BG125" si="5676">BF125*$E125</f>
        <v>0</v>
      </c>
      <c r="BH125" s="123"/>
      <c r="BI125" s="124">
        <f t="shared" ref="BI125" si="5677">BH125*$E125</f>
        <v>0</v>
      </c>
      <c r="BJ125" s="123"/>
      <c r="BK125" s="124">
        <f t="shared" ref="BK125" si="5678">BJ125*$E125</f>
        <v>0</v>
      </c>
      <c r="BL125" s="123"/>
      <c r="BM125" s="124">
        <f t="shared" ref="BM125" si="5679">BL125*$E125</f>
        <v>0</v>
      </c>
      <c r="BN125" s="123"/>
      <c r="BO125" s="124">
        <f t="shared" ref="BO125" si="5680">BN125*$E125</f>
        <v>0</v>
      </c>
      <c r="BP125" s="123"/>
      <c r="BQ125" s="124">
        <f t="shared" ref="BQ125" si="5681">BP125*$E125</f>
        <v>0</v>
      </c>
      <c r="BR125" s="123"/>
      <c r="BS125" s="124">
        <f t="shared" ref="BS125" si="5682">BR125*$E125</f>
        <v>0</v>
      </c>
      <c r="BT125" s="123"/>
      <c r="BU125" s="124">
        <f t="shared" ref="BU125" si="5683">BT125*$E125</f>
        <v>0</v>
      </c>
      <c r="BV125" s="123"/>
      <c r="BW125" s="124">
        <f t="shared" ref="BW125" si="5684">BV125*$E125</f>
        <v>0</v>
      </c>
      <c r="BX125" s="123"/>
      <c r="BY125" s="124">
        <f t="shared" ref="BY125" si="5685">BX125*$E125</f>
        <v>0</v>
      </c>
      <c r="BZ125" s="123"/>
      <c r="CA125" s="124">
        <f t="shared" ref="CA125" si="5686">BZ125*$E125</f>
        <v>0</v>
      </c>
      <c r="CB125" s="123"/>
      <c r="CC125" s="124">
        <f t="shared" ref="CC125" si="5687">CB125*$E125</f>
        <v>0</v>
      </c>
      <c r="CD125" s="123"/>
      <c r="CE125" s="124">
        <f t="shared" ref="CE125" si="5688">CD125*$E125</f>
        <v>0</v>
      </c>
      <c r="CF125" s="125">
        <f t="shared" si="3186"/>
        <v>0</v>
      </c>
      <c r="CG125" s="126">
        <f t="shared" ref="CG125" si="5689">CF125*$E125</f>
        <v>0</v>
      </c>
      <c r="CH125" s="123"/>
      <c r="CI125" s="124">
        <f t="shared" ref="CI125" si="5690">CH125*$E125</f>
        <v>0</v>
      </c>
      <c r="CJ125" s="123"/>
      <c r="CK125" s="124">
        <f t="shared" ref="CK125" si="5691">CJ125*$E125</f>
        <v>0</v>
      </c>
      <c r="CL125" s="123"/>
      <c r="CM125" s="124">
        <f t="shared" ref="CM125" si="5692">CL125*$E125</f>
        <v>0</v>
      </c>
      <c r="CN125" s="123"/>
      <c r="CO125" s="124">
        <f t="shared" ref="CO125" si="5693">CN125*$E125</f>
        <v>0</v>
      </c>
      <c r="CP125" s="123"/>
      <c r="CQ125" s="124">
        <f t="shared" ref="CQ125" si="5694">CP125*$E125</f>
        <v>0</v>
      </c>
      <c r="CR125" s="123"/>
      <c r="CS125" s="124">
        <f t="shared" ref="CS125" si="5695">CR125*$E125</f>
        <v>0</v>
      </c>
      <c r="CT125" s="123"/>
      <c r="CU125" s="124">
        <f t="shared" ref="CU125" si="5696">CT125*$E125</f>
        <v>0</v>
      </c>
      <c r="CV125" s="123"/>
      <c r="CW125" s="124">
        <f t="shared" ref="CW125" si="5697">CV125*$E125</f>
        <v>0</v>
      </c>
      <c r="CX125" s="123"/>
      <c r="CY125" s="124">
        <f t="shared" ref="CY125" si="5698">CX125*$E125</f>
        <v>0</v>
      </c>
      <c r="CZ125" s="123"/>
      <c r="DA125" s="124">
        <f t="shared" ref="DA125" si="5699">CZ125*$E125</f>
        <v>0</v>
      </c>
      <c r="DB125" s="123"/>
      <c r="DC125" s="124">
        <f t="shared" si="3198"/>
        <v>0</v>
      </c>
      <c r="DD125" s="123"/>
      <c r="DE125" s="124">
        <f t="shared" si="3198"/>
        <v>0</v>
      </c>
      <c r="DF125" s="27">
        <f t="shared" si="3145"/>
        <v>0</v>
      </c>
      <c r="DG125" s="124">
        <f t="shared" si="3199"/>
        <v>0</v>
      </c>
    </row>
    <row r="126" spans="1:111" ht="18" customHeight="1" x14ac:dyDescent="0.5">
      <c r="A126" s="117">
        <v>101</v>
      </c>
      <c r="B126" s="122" t="s">
        <v>193</v>
      </c>
      <c r="C126" s="122" t="s">
        <v>233</v>
      </c>
      <c r="D126" s="117">
        <f t="shared" si="5650"/>
        <v>21</v>
      </c>
      <c r="E126" s="117">
        <v>1</v>
      </c>
      <c r="F126" s="117" t="s">
        <v>235</v>
      </c>
      <c r="G126" s="117"/>
      <c r="H126" s="123"/>
      <c r="I126" s="124">
        <f t="shared" ref="I126" si="5700">H126*$E126</f>
        <v>0</v>
      </c>
      <c r="J126" s="123"/>
      <c r="K126" s="124">
        <f t="shared" ref="K126" si="5701">J126*$E126</f>
        <v>0</v>
      </c>
      <c r="L126" s="123"/>
      <c r="M126" s="124">
        <f t="shared" ref="M126" si="5702">L126*$E126</f>
        <v>0</v>
      </c>
      <c r="N126" s="123"/>
      <c r="O126" s="124">
        <f t="shared" ref="O126" si="5703">N126*$E126</f>
        <v>0</v>
      </c>
      <c r="P126" s="123"/>
      <c r="Q126" s="124">
        <f t="shared" ref="Q126" si="5704">P126*$E126</f>
        <v>0</v>
      </c>
      <c r="R126" s="123"/>
      <c r="S126" s="124">
        <f t="shared" ref="S126" si="5705">R126*$E126</f>
        <v>0</v>
      </c>
      <c r="T126" s="123"/>
      <c r="U126" s="124">
        <f t="shared" ref="U126" si="5706">T126*$E126</f>
        <v>0</v>
      </c>
      <c r="V126" s="123"/>
      <c r="W126" s="124">
        <f t="shared" ref="W126" si="5707">V126*$E126</f>
        <v>0</v>
      </c>
      <c r="X126" s="123"/>
      <c r="Y126" s="124">
        <f t="shared" ref="Y126" si="5708">X126*$E126</f>
        <v>0</v>
      </c>
      <c r="Z126" s="123"/>
      <c r="AA126" s="124">
        <f t="shared" ref="AA126" si="5709">Z126*$E126</f>
        <v>0</v>
      </c>
      <c r="AB126" s="123"/>
      <c r="AC126" s="124">
        <f t="shared" ref="AC126" si="5710">AB126*$E126</f>
        <v>0</v>
      </c>
      <c r="AD126" s="123"/>
      <c r="AE126" s="124">
        <f t="shared" ref="AE126" si="5711">AD126*$E126</f>
        <v>0</v>
      </c>
      <c r="AF126" s="125">
        <f t="shared" si="3158"/>
        <v>0</v>
      </c>
      <c r="AG126" s="126">
        <f t="shared" ref="AG126" si="5712">AF126*$E126</f>
        <v>0</v>
      </c>
      <c r="AH126" s="11"/>
      <c r="AI126" s="124">
        <f t="shared" ref="AI126" si="5713">AH126*$E126</f>
        <v>0</v>
      </c>
      <c r="AJ126" s="15"/>
      <c r="AK126" s="124">
        <f t="shared" ref="AK126" si="5714">AJ126*$E126</f>
        <v>0</v>
      </c>
      <c r="AL126" s="15"/>
      <c r="AM126" s="124">
        <f t="shared" ref="AM126" si="5715">AL126*$E126</f>
        <v>0</v>
      </c>
      <c r="AN126" s="16"/>
      <c r="AO126" s="124">
        <f t="shared" ref="AO126" si="5716">AN126*$E126</f>
        <v>0</v>
      </c>
      <c r="AP126" s="15"/>
      <c r="AQ126" s="124">
        <f t="shared" ref="AQ126" si="5717">AP126*$E126</f>
        <v>0</v>
      </c>
      <c r="AR126" s="15"/>
      <c r="AS126" s="124">
        <f t="shared" ref="AS126" si="5718">AR126*$E126</f>
        <v>0</v>
      </c>
      <c r="AT126" s="17"/>
      <c r="AU126" s="124">
        <f t="shared" ref="AU126" si="5719">AT126*$E126</f>
        <v>0</v>
      </c>
      <c r="AV126" s="15"/>
      <c r="AW126" s="124">
        <f t="shared" ref="AW126" si="5720">AV126*$E126</f>
        <v>0</v>
      </c>
      <c r="AX126" s="15"/>
      <c r="AY126" s="124">
        <f t="shared" ref="AY126" si="5721">AX126*$E126</f>
        <v>0</v>
      </c>
      <c r="AZ126" s="17"/>
      <c r="BA126" s="124">
        <f t="shared" ref="BA126" si="5722">AZ126*$E126</f>
        <v>0</v>
      </c>
      <c r="BB126" s="33"/>
      <c r="BC126" s="124">
        <f t="shared" ref="BC126" si="5723">BB126*$E126</f>
        <v>0</v>
      </c>
      <c r="BD126" s="33"/>
      <c r="BE126" s="124">
        <f t="shared" ref="BE126" si="5724">BD126*$E126</f>
        <v>0</v>
      </c>
      <c r="BF126" s="125">
        <f t="shared" si="3172"/>
        <v>0</v>
      </c>
      <c r="BG126" s="126">
        <f t="shared" ref="BG126" si="5725">BF126*$E126</f>
        <v>0</v>
      </c>
      <c r="BH126" s="123"/>
      <c r="BI126" s="124">
        <f t="shared" ref="BI126" si="5726">BH126*$E126</f>
        <v>0</v>
      </c>
      <c r="BJ126" s="123"/>
      <c r="BK126" s="124">
        <f t="shared" ref="BK126" si="5727">BJ126*$E126</f>
        <v>0</v>
      </c>
      <c r="BL126" s="123"/>
      <c r="BM126" s="124">
        <f t="shared" ref="BM126" si="5728">BL126*$E126</f>
        <v>0</v>
      </c>
      <c r="BN126" s="123"/>
      <c r="BO126" s="124">
        <f t="shared" ref="BO126" si="5729">BN126*$E126</f>
        <v>0</v>
      </c>
      <c r="BP126" s="123"/>
      <c r="BQ126" s="124">
        <f t="shared" ref="BQ126" si="5730">BP126*$E126</f>
        <v>0</v>
      </c>
      <c r="BR126" s="123"/>
      <c r="BS126" s="124">
        <f t="shared" ref="BS126" si="5731">BR126*$E126</f>
        <v>0</v>
      </c>
      <c r="BT126" s="123"/>
      <c r="BU126" s="124">
        <f t="shared" ref="BU126" si="5732">BT126*$E126</f>
        <v>0</v>
      </c>
      <c r="BV126" s="123"/>
      <c r="BW126" s="124">
        <f t="shared" ref="BW126" si="5733">BV126*$E126</f>
        <v>0</v>
      </c>
      <c r="BX126" s="123"/>
      <c r="BY126" s="124">
        <f t="shared" ref="BY126" si="5734">BX126*$E126</f>
        <v>0</v>
      </c>
      <c r="BZ126" s="123"/>
      <c r="CA126" s="124">
        <f t="shared" ref="CA126" si="5735">BZ126*$E126</f>
        <v>0</v>
      </c>
      <c r="CB126" s="123"/>
      <c r="CC126" s="124">
        <f t="shared" ref="CC126" si="5736">CB126*$E126</f>
        <v>0</v>
      </c>
      <c r="CD126" s="123"/>
      <c r="CE126" s="124">
        <f t="shared" ref="CE126" si="5737">CD126*$E126</f>
        <v>0</v>
      </c>
      <c r="CF126" s="125">
        <f t="shared" si="3186"/>
        <v>0</v>
      </c>
      <c r="CG126" s="126">
        <f t="shared" ref="CG126" si="5738">CF126*$E126</f>
        <v>0</v>
      </c>
      <c r="CH126" s="123"/>
      <c r="CI126" s="124">
        <f t="shared" ref="CI126" si="5739">CH126*$E126</f>
        <v>0</v>
      </c>
      <c r="CJ126" s="123"/>
      <c r="CK126" s="124">
        <f t="shared" ref="CK126" si="5740">CJ126*$E126</f>
        <v>0</v>
      </c>
      <c r="CL126" s="123"/>
      <c r="CM126" s="124">
        <f t="shared" ref="CM126" si="5741">CL126*$E126</f>
        <v>0</v>
      </c>
      <c r="CN126" s="123"/>
      <c r="CO126" s="124">
        <f t="shared" ref="CO126" si="5742">CN126*$E126</f>
        <v>0</v>
      </c>
      <c r="CP126" s="123"/>
      <c r="CQ126" s="124">
        <f t="shared" ref="CQ126" si="5743">CP126*$E126</f>
        <v>0</v>
      </c>
      <c r="CR126" s="123"/>
      <c r="CS126" s="124">
        <f t="shared" ref="CS126" si="5744">CR126*$E126</f>
        <v>0</v>
      </c>
      <c r="CT126" s="123"/>
      <c r="CU126" s="124">
        <f t="shared" ref="CU126" si="5745">CT126*$E126</f>
        <v>0</v>
      </c>
      <c r="CV126" s="123"/>
      <c r="CW126" s="124">
        <f t="shared" ref="CW126" si="5746">CV126*$E126</f>
        <v>0</v>
      </c>
      <c r="CX126" s="123"/>
      <c r="CY126" s="124">
        <f t="shared" ref="CY126" si="5747">CX126*$E126</f>
        <v>0</v>
      </c>
      <c r="CZ126" s="123"/>
      <c r="DA126" s="124">
        <f t="shared" ref="DA126" si="5748">CZ126*$E126</f>
        <v>0</v>
      </c>
      <c r="DB126" s="123"/>
      <c r="DC126" s="124">
        <f t="shared" si="3198"/>
        <v>0</v>
      </c>
      <c r="DD126" s="123"/>
      <c r="DE126" s="124">
        <f t="shared" si="3198"/>
        <v>0</v>
      </c>
      <c r="DF126" s="27">
        <f t="shared" si="3145"/>
        <v>0</v>
      </c>
      <c r="DG126" s="124">
        <f t="shared" si="3199"/>
        <v>0</v>
      </c>
    </row>
    <row r="127" spans="1:111" ht="18" customHeight="1" x14ac:dyDescent="0.5">
      <c r="A127" s="117">
        <v>102</v>
      </c>
      <c r="B127" s="122" t="s">
        <v>195</v>
      </c>
      <c r="C127" s="122" t="s">
        <v>231</v>
      </c>
      <c r="D127" s="117">
        <f t="shared" si="5650"/>
        <v>21</v>
      </c>
      <c r="E127" s="117">
        <v>0.64</v>
      </c>
      <c r="F127" s="117" t="s">
        <v>236</v>
      </c>
      <c r="G127" s="117"/>
      <c r="H127" s="123"/>
      <c r="I127" s="124">
        <f t="shared" ref="I127" si="5749">H127*$E127</f>
        <v>0</v>
      </c>
      <c r="J127" s="123"/>
      <c r="K127" s="124">
        <f t="shared" ref="K127" si="5750">J127*$E127</f>
        <v>0</v>
      </c>
      <c r="L127" s="123"/>
      <c r="M127" s="124">
        <f t="shared" ref="M127" si="5751">L127*$E127</f>
        <v>0</v>
      </c>
      <c r="N127" s="123"/>
      <c r="O127" s="124">
        <f t="shared" ref="O127" si="5752">N127*$E127</f>
        <v>0</v>
      </c>
      <c r="P127" s="123"/>
      <c r="Q127" s="124">
        <f t="shared" ref="Q127" si="5753">P127*$E127</f>
        <v>0</v>
      </c>
      <c r="R127" s="123"/>
      <c r="S127" s="124">
        <f t="shared" ref="S127" si="5754">R127*$E127</f>
        <v>0</v>
      </c>
      <c r="T127" s="123"/>
      <c r="U127" s="124">
        <f t="shared" ref="U127" si="5755">T127*$E127</f>
        <v>0</v>
      </c>
      <c r="V127" s="123"/>
      <c r="W127" s="124">
        <f t="shared" ref="W127" si="5756">V127*$E127</f>
        <v>0</v>
      </c>
      <c r="X127" s="123"/>
      <c r="Y127" s="124">
        <f t="shared" ref="Y127" si="5757">X127*$E127</f>
        <v>0</v>
      </c>
      <c r="Z127" s="123"/>
      <c r="AA127" s="124">
        <f t="shared" ref="AA127" si="5758">Z127*$E127</f>
        <v>0</v>
      </c>
      <c r="AB127" s="123"/>
      <c r="AC127" s="124">
        <f t="shared" ref="AC127" si="5759">AB127*$E127</f>
        <v>0</v>
      </c>
      <c r="AD127" s="123"/>
      <c r="AE127" s="124">
        <f t="shared" ref="AE127" si="5760">AD127*$E127</f>
        <v>0</v>
      </c>
      <c r="AF127" s="125">
        <f t="shared" si="3158"/>
        <v>0</v>
      </c>
      <c r="AG127" s="126">
        <f t="shared" ref="AG127" si="5761">AF127*$E127</f>
        <v>0</v>
      </c>
      <c r="AH127" s="11"/>
      <c r="AI127" s="124">
        <f t="shared" ref="AI127" si="5762">AH127*$E127</f>
        <v>0</v>
      </c>
      <c r="AJ127" s="15"/>
      <c r="AK127" s="124">
        <f t="shared" ref="AK127" si="5763">AJ127*$E127</f>
        <v>0</v>
      </c>
      <c r="AL127" s="15"/>
      <c r="AM127" s="124">
        <f t="shared" ref="AM127" si="5764">AL127*$E127</f>
        <v>0</v>
      </c>
      <c r="AN127" s="16"/>
      <c r="AO127" s="124">
        <f t="shared" ref="AO127" si="5765">AN127*$E127</f>
        <v>0</v>
      </c>
      <c r="AP127" s="15"/>
      <c r="AQ127" s="124">
        <f t="shared" ref="AQ127" si="5766">AP127*$E127</f>
        <v>0</v>
      </c>
      <c r="AR127" s="15"/>
      <c r="AS127" s="124">
        <f t="shared" ref="AS127" si="5767">AR127*$E127</f>
        <v>0</v>
      </c>
      <c r="AT127" s="17"/>
      <c r="AU127" s="124">
        <f t="shared" ref="AU127" si="5768">AT127*$E127</f>
        <v>0</v>
      </c>
      <c r="AV127" s="15"/>
      <c r="AW127" s="124">
        <f t="shared" ref="AW127" si="5769">AV127*$E127</f>
        <v>0</v>
      </c>
      <c r="AX127" s="15"/>
      <c r="AY127" s="124">
        <f t="shared" ref="AY127" si="5770">AX127*$E127</f>
        <v>0</v>
      </c>
      <c r="AZ127" s="17"/>
      <c r="BA127" s="124">
        <f t="shared" ref="BA127" si="5771">AZ127*$E127</f>
        <v>0</v>
      </c>
      <c r="BB127" s="33"/>
      <c r="BC127" s="124">
        <f t="shared" ref="BC127" si="5772">BB127*$E127</f>
        <v>0</v>
      </c>
      <c r="BD127" s="33"/>
      <c r="BE127" s="124">
        <f t="shared" ref="BE127" si="5773">BD127*$E127</f>
        <v>0</v>
      </c>
      <c r="BF127" s="125">
        <f t="shared" si="3172"/>
        <v>0</v>
      </c>
      <c r="BG127" s="126">
        <f t="shared" ref="BG127" si="5774">BF127*$E127</f>
        <v>0</v>
      </c>
      <c r="BH127" s="123"/>
      <c r="BI127" s="124">
        <f t="shared" ref="BI127" si="5775">BH127*$E127</f>
        <v>0</v>
      </c>
      <c r="BJ127" s="123"/>
      <c r="BK127" s="124">
        <f t="shared" ref="BK127" si="5776">BJ127*$E127</f>
        <v>0</v>
      </c>
      <c r="BL127" s="123"/>
      <c r="BM127" s="124">
        <f t="shared" ref="BM127" si="5777">BL127*$E127</f>
        <v>0</v>
      </c>
      <c r="BN127" s="123"/>
      <c r="BO127" s="124">
        <f t="shared" ref="BO127" si="5778">BN127*$E127</f>
        <v>0</v>
      </c>
      <c r="BP127" s="123"/>
      <c r="BQ127" s="124">
        <f t="shared" ref="BQ127" si="5779">BP127*$E127</f>
        <v>0</v>
      </c>
      <c r="BR127" s="123"/>
      <c r="BS127" s="124">
        <f t="shared" ref="BS127" si="5780">BR127*$E127</f>
        <v>0</v>
      </c>
      <c r="BT127" s="123"/>
      <c r="BU127" s="124">
        <f t="shared" ref="BU127" si="5781">BT127*$E127</f>
        <v>0</v>
      </c>
      <c r="BV127" s="123"/>
      <c r="BW127" s="124">
        <f t="shared" ref="BW127" si="5782">BV127*$E127</f>
        <v>0</v>
      </c>
      <c r="BX127" s="123"/>
      <c r="BY127" s="124">
        <f t="shared" ref="BY127" si="5783">BX127*$E127</f>
        <v>0</v>
      </c>
      <c r="BZ127" s="123"/>
      <c r="CA127" s="124">
        <f t="shared" ref="CA127" si="5784">BZ127*$E127</f>
        <v>0</v>
      </c>
      <c r="CB127" s="123"/>
      <c r="CC127" s="124">
        <f t="shared" ref="CC127" si="5785">CB127*$E127</f>
        <v>0</v>
      </c>
      <c r="CD127" s="123"/>
      <c r="CE127" s="124">
        <f t="shared" ref="CE127" si="5786">CD127*$E127</f>
        <v>0</v>
      </c>
      <c r="CF127" s="125">
        <f t="shared" si="3186"/>
        <v>0</v>
      </c>
      <c r="CG127" s="126">
        <f t="shared" ref="CG127" si="5787">CF127*$E127</f>
        <v>0</v>
      </c>
      <c r="CH127" s="123"/>
      <c r="CI127" s="124">
        <f t="shared" ref="CI127" si="5788">CH127*$E127</f>
        <v>0</v>
      </c>
      <c r="CJ127" s="123"/>
      <c r="CK127" s="124">
        <f t="shared" ref="CK127" si="5789">CJ127*$E127</f>
        <v>0</v>
      </c>
      <c r="CL127" s="123"/>
      <c r="CM127" s="124">
        <f t="shared" ref="CM127" si="5790">CL127*$E127</f>
        <v>0</v>
      </c>
      <c r="CN127" s="123"/>
      <c r="CO127" s="124">
        <f t="shared" ref="CO127" si="5791">CN127*$E127</f>
        <v>0</v>
      </c>
      <c r="CP127" s="123"/>
      <c r="CQ127" s="124">
        <f t="shared" ref="CQ127" si="5792">CP127*$E127</f>
        <v>0</v>
      </c>
      <c r="CR127" s="123"/>
      <c r="CS127" s="124">
        <f t="shared" ref="CS127" si="5793">CR127*$E127</f>
        <v>0</v>
      </c>
      <c r="CT127" s="123"/>
      <c r="CU127" s="124">
        <f t="shared" ref="CU127" si="5794">CT127*$E127</f>
        <v>0</v>
      </c>
      <c r="CV127" s="123"/>
      <c r="CW127" s="124">
        <f t="shared" ref="CW127" si="5795">CV127*$E127</f>
        <v>0</v>
      </c>
      <c r="CX127" s="123"/>
      <c r="CY127" s="124">
        <f t="shared" ref="CY127" si="5796">CX127*$E127</f>
        <v>0</v>
      </c>
      <c r="CZ127" s="123"/>
      <c r="DA127" s="124">
        <f t="shared" ref="DA127" si="5797">CZ127*$E127</f>
        <v>0</v>
      </c>
      <c r="DB127" s="123"/>
      <c r="DC127" s="124">
        <f t="shared" si="3198"/>
        <v>0</v>
      </c>
      <c r="DD127" s="123"/>
      <c r="DE127" s="124">
        <f t="shared" si="3198"/>
        <v>0</v>
      </c>
      <c r="DF127" s="27">
        <f t="shared" si="3145"/>
        <v>0</v>
      </c>
      <c r="DG127" s="124">
        <f t="shared" si="3199"/>
        <v>0</v>
      </c>
    </row>
    <row r="128" spans="1:111" ht="18" customHeight="1" x14ac:dyDescent="0.5">
      <c r="A128" s="117">
        <v>103</v>
      </c>
      <c r="B128" s="122" t="s">
        <v>197</v>
      </c>
      <c r="C128" s="122" t="s">
        <v>231</v>
      </c>
      <c r="D128" s="117">
        <f t="shared" si="5650"/>
        <v>4</v>
      </c>
      <c r="E128" s="117">
        <v>0.64</v>
      </c>
      <c r="F128" s="117" t="s">
        <v>236</v>
      </c>
      <c r="G128" s="117">
        <v>1350</v>
      </c>
      <c r="H128" s="123">
        <v>21456</v>
      </c>
      <c r="I128" s="124">
        <f t="shared" ref="I128" si="5798">H128*$E128</f>
        <v>13731.84</v>
      </c>
      <c r="J128" s="123">
        <v>16800</v>
      </c>
      <c r="K128" s="124">
        <f t="shared" ref="K128" si="5799">J128*$E128</f>
        <v>10752</v>
      </c>
      <c r="L128" s="123">
        <v>21528</v>
      </c>
      <c r="M128" s="124">
        <f t="shared" ref="M128" si="5800">L128*$E128</f>
        <v>13777.92</v>
      </c>
      <c r="N128" s="123">
        <v>18264</v>
      </c>
      <c r="O128" s="124">
        <f t="shared" ref="O128" si="5801">N128*$E128</f>
        <v>11688.960000000001</v>
      </c>
      <c r="P128" s="123">
        <v>23976</v>
      </c>
      <c r="Q128" s="124">
        <f t="shared" ref="Q128" si="5802">P128*$E128</f>
        <v>15344.64</v>
      </c>
      <c r="R128" s="123">
        <v>16440</v>
      </c>
      <c r="S128" s="124">
        <f t="shared" ref="S128" si="5803">R128*$E128</f>
        <v>10521.6</v>
      </c>
      <c r="T128" s="123">
        <v>18480</v>
      </c>
      <c r="U128" s="124">
        <f t="shared" ref="U128" si="5804">T128*$E128</f>
        <v>11827.2</v>
      </c>
      <c r="V128" s="123">
        <v>18600</v>
      </c>
      <c r="W128" s="124">
        <f t="shared" ref="W128" si="5805">V128*$E128</f>
        <v>11904</v>
      </c>
      <c r="X128" s="123">
        <v>17760</v>
      </c>
      <c r="Y128" s="124">
        <f t="shared" ref="Y128" si="5806">X128*$E128</f>
        <v>11366.4</v>
      </c>
      <c r="Z128" s="123">
        <v>16824</v>
      </c>
      <c r="AA128" s="124">
        <f t="shared" ref="AA128" si="5807">Z128*$E128</f>
        <v>10767.36</v>
      </c>
      <c r="AB128" s="123">
        <v>16368</v>
      </c>
      <c r="AC128" s="124">
        <f t="shared" ref="AC128" si="5808">AB128*$E128</f>
        <v>10475.52</v>
      </c>
      <c r="AD128" s="123">
        <v>19992</v>
      </c>
      <c r="AE128" s="124">
        <f t="shared" ref="AE128" si="5809">AD128*$E128</f>
        <v>12794.880000000001</v>
      </c>
      <c r="AF128" s="125">
        <f t="shared" si="3158"/>
        <v>226488</v>
      </c>
      <c r="AG128" s="126">
        <f t="shared" ref="AG128" si="5810">AF128*$E128</f>
        <v>144952.32000000001</v>
      </c>
      <c r="AH128" s="11">
        <v>21480</v>
      </c>
      <c r="AI128" s="124">
        <f t="shared" ref="AI128" si="5811">AH128*$E128</f>
        <v>13747.2</v>
      </c>
      <c r="AJ128" s="15">
        <v>18816</v>
      </c>
      <c r="AK128" s="124">
        <f t="shared" ref="AK128" si="5812">AJ128*$E128</f>
        <v>12042.24</v>
      </c>
      <c r="AL128" s="15">
        <v>21360</v>
      </c>
      <c r="AM128" s="124">
        <f t="shared" ref="AM128" si="5813">AL128*$E128</f>
        <v>13670.4</v>
      </c>
      <c r="AN128" s="16">
        <v>21120</v>
      </c>
      <c r="AO128" s="124">
        <f t="shared" ref="AO128" si="5814">AN128*$E128</f>
        <v>13516.800000000001</v>
      </c>
      <c r="AP128" s="15">
        <v>21720</v>
      </c>
      <c r="AQ128" s="124">
        <f t="shared" ref="AQ128" si="5815">AP128*$E128</f>
        <v>13900.800000000001</v>
      </c>
      <c r="AR128" s="15">
        <v>18744</v>
      </c>
      <c r="AS128" s="124">
        <f t="shared" ref="AS128" si="5816">AR128*$E128</f>
        <v>11996.16</v>
      </c>
      <c r="AT128" s="17">
        <v>18960</v>
      </c>
      <c r="AU128" s="124">
        <f t="shared" ref="AU128" si="5817">AT128*$E128</f>
        <v>12134.4</v>
      </c>
      <c r="AV128" s="15">
        <v>25824</v>
      </c>
      <c r="AW128" s="124">
        <f t="shared" ref="AW128" si="5818">AV128*$E128</f>
        <v>16527.36</v>
      </c>
      <c r="AX128" s="15">
        <v>11400</v>
      </c>
      <c r="AY128" s="124">
        <f t="shared" ref="AY128" si="5819">AX128*$E128</f>
        <v>7296</v>
      </c>
      <c r="AZ128" s="17">
        <v>13896</v>
      </c>
      <c r="BA128" s="124">
        <f t="shared" ref="BA128" si="5820">AZ128*$E128</f>
        <v>8893.44</v>
      </c>
      <c r="BB128" s="33">
        <v>18240</v>
      </c>
      <c r="BC128" s="124">
        <f t="shared" ref="BC128" si="5821">BB128*$E128</f>
        <v>11673.6</v>
      </c>
      <c r="BD128" s="33">
        <v>17400</v>
      </c>
      <c r="BE128" s="124">
        <f t="shared" ref="BE128" si="5822">BD128*$E128</f>
        <v>11136</v>
      </c>
      <c r="BF128" s="125">
        <f t="shared" si="3172"/>
        <v>228960</v>
      </c>
      <c r="BG128" s="126">
        <f t="shared" ref="BG128" si="5823">BF128*$E128</f>
        <v>146534.39999999999</v>
      </c>
      <c r="BH128" s="63"/>
      <c r="BI128" s="124">
        <f t="shared" ref="BI128" si="5824">BH128*$E128</f>
        <v>0</v>
      </c>
      <c r="BJ128" s="67">
        <v>17880</v>
      </c>
      <c r="BK128" s="124">
        <f t="shared" ref="BK128" si="5825">BJ128*$E128</f>
        <v>11443.2</v>
      </c>
      <c r="BL128" s="64">
        <v>17040</v>
      </c>
      <c r="BM128" s="124">
        <f t="shared" ref="BM128" si="5826">BL128*$E128</f>
        <v>10905.6</v>
      </c>
      <c r="BN128" s="64">
        <v>20760</v>
      </c>
      <c r="BO128" s="124">
        <f t="shared" ref="BO128" si="5827">BN128*$E128</f>
        <v>13286.4</v>
      </c>
      <c r="BP128" s="64">
        <v>24360</v>
      </c>
      <c r="BQ128" s="124">
        <f t="shared" ref="BQ128" si="5828">BP128*$E128</f>
        <v>15590.4</v>
      </c>
      <c r="BR128" s="65">
        <v>19800</v>
      </c>
      <c r="BS128" s="124">
        <f t="shared" ref="BS128" si="5829">BR128*$E128</f>
        <v>12672</v>
      </c>
      <c r="BT128" s="71">
        <v>19320</v>
      </c>
      <c r="BU128" s="124">
        <f t="shared" ref="BU128" si="5830">BT128*$E128</f>
        <v>12364.800000000001</v>
      </c>
      <c r="BV128" s="75">
        <v>17640</v>
      </c>
      <c r="BW128" s="124">
        <f t="shared" ref="BW128" si="5831">BV128*$E128</f>
        <v>11289.6</v>
      </c>
      <c r="BX128" s="67">
        <v>18480</v>
      </c>
      <c r="BY128" s="124">
        <f t="shared" ref="BY128" si="5832">BX128*$E128</f>
        <v>11827.2</v>
      </c>
      <c r="BZ128" s="67">
        <v>20040</v>
      </c>
      <c r="CA128" s="124">
        <f t="shared" ref="CA128" si="5833">BZ128*$E128</f>
        <v>12825.6</v>
      </c>
      <c r="CB128" s="67">
        <v>18864</v>
      </c>
      <c r="CC128" s="124">
        <f t="shared" ref="CC128" si="5834">CB128*$E128</f>
        <v>12072.960000000001</v>
      </c>
      <c r="CD128" s="67">
        <v>17280</v>
      </c>
      <c r="CE128" s="124">
        <f t="shared" ref="CE128" si="5835">CD128*$E128</f>
        <v>11059.2</v>
      </c>
      <c r="CF128" s="125">
        <f t="shared" si="3186"/>
        <v>211464</v>
      </c>
      <c r="CG128" s="126">
        <f t="shared" ref="CG128" si="5836">CF128*$E128</f>
        <v>135336.95999999999</v>
      </c>
      <c r="CH128" s="123">
        <v>17280</v>
      </c>
      <c r="CI128" s="124">
        <f t="shared" ref="CI128" si="5837">CH128*$E128</f>
        <v>11059.2</v>
      </c>
      <c r="CJ128" s="123">
        <v>17736</v>
      </c>
      <c r="CK128" s="124">
        <f t="shared" ref="CK128" si="5838">CJ128*$E128</f>
        <v>11351.04</v>
      </c>
      <c r="CL128" s="16">
        <v>18792</v>
      </c>
      <c r="CM128" s="124">
        <f t="shared" ref="CM128" si="5839">CL128*$E128</f>
        <v>12026.880000000001</v>
      </c>
      <c r="CN128" s="123">
        <v>20352</v>
      </c>
      <c r="CO128" s="124">
        <f t="shared" ref="CO128" si="5840">CN128*$E128</f>
        <v>13025.28</v>
      </c>
      <c r="CP128" s="123">
        <v>19320</v>
      </c>
      <c r="CQ128" s="124">
        <f t="shared" ref="CQ128" si="5841">CP128*$E128</f>
        <v>12364.800000000001</v>
      </c>
      <c r="CR128" s="123">
        <v>20760</v>
      </c>
      <c r="CS128" s="124">
        <f t="shared" ref="CS128" si="5842">CR128*$E128</f>
        <v>13286.4</v>
      </c>
      <c r="CT128" s="123">
        <v>16800</v>
      </c>
      <c r="CU128" s="124">
        <f t="shared" ref="CU128" si="5843">CT128*$E128</f>
        <v>10752</v>
      </c>
      <c r="CV128" s="123">
        <v>13680</v>
      </c>
      <c r="CW128" s="124">
        <f t="shared" ref="CW128" si="5844">CV128*$E128</f>
        <v>8755.2000000000007</v>
      </c>
      <c r="CX128" s="123">
        <v>18240</v>
      </c>
      <c r="CY128" s="124">
        <f t="shared" ref="CY128" si="5845">CX128*$E128</f>
        <v>11673.6</v>
      </c>
      <c r="CZ128" s="123">
        <v>17280</v>
      </c>
      <c r="DA128" s="124">
        <f t="shared" ref="DA128" si="5846">CZ128*$E128</f>
        <v>11059.2</v>
      </c>
      <c r="DB128" s="123">
        <v>17736</v>
      </c>
      <c r="DC128" s="124">
        <f t="shared" si="3198"/>
        <v>11351.04</v>
      </c>
      <c r="DD128" s="123">
        <v>17040</v>
      </c>
      <c r="DE128" s="124">
        <f t="shared" si="3198"/>
        <v>10905.6</v>
      </c>
      <c r="DF128" s="27">
        <f t="shared" si="3145"/>
        <v>215016</v>
      </c>
      <c r="DG128" s="124">
        <f t="shared" si="3199"/>
        <v>137610.23999999999</v>
      </c>
    </row>
    <row r="129" spans="1:111" ht="18" customHeight="1" x14ac:dyDescent="0.5">
      <c r="A129" s="117">
        <v>104</v>
      </c>
      <c r="B129" s="122" t="s">
        <v>200</v>
      </c>
      <c r="C129" s="122" t="s">
        <v>231</v>
      </c>
      <c r="D129" s="117">
        <f t="shared" si="5650"/>
        <v>21</v>
      </c>
      <c r="E129" s="117">
        <v>0.64</v>
      </c>
      <c r="F129" s="117" t="s">
        <v>236</v>
      </c>
      <c r="G129" s="117"/>
      <c r="H129" s="123"/>
      <c r="I129" s="124">
        <f t="shared" ref="I129" si="5847">H129*$E129</f>
        <v>0</v>
      </c>
      <c r="J129" s="123"/>
      <c r="K129" s="124">
        <f t="shared" ref="K129" si="5848">J129*$E129</f>
        <v>0</v>
      </c>
      <c r="L129" s="123"/>
      <c r="M129" s="124">
        <f t="shared" ref="M129" si="5849">L129*$E129</f>
        <v>0</v>
      </c>
      <c r="N129" s="123"/>
      <c r="O129" s="124">
        <f t="shared" ref="O129" si="5850">N129*$E129</f>
        <v>0</v>
      </c>
      <c r="P129" s="123"/>
      <c r="Q129" s="124">
        <f t="shared" ref="Q129" si="5851">P129*$E129</f>
        <v>0</v>
      </c>
      <c r="R129" s="123"/>
      <c r="S129" s="124">
        <f t="shared" ref="S129" si="5852">R129*$E129</f>
        <v>0</v>
      </c>
      <c r="T129" s="123"/>
      <c r="U129" s="124">
        <f t="shared" ref="U129" si="5853">T129*$E129</f>
        <v>0</v>
      </c>
      <c r="V129" s="123"/>
      <c r="W129" s="124">
        <f t="shared" ref="W129" si="5854">V129*$E129</f>
        <v>0</v>
      </c>
      <c r="X129" s="123"/>
      <c r="Y129" s="124">
        <f t="shared" ref="Y129" si="5855">X129*$E129</f>
        <v>0</v>
      </c>
      <c r="Z129" s="123"/>
      <c r="AA129" s="124">
        <f t="shared" ref="AA129" si="5856">Z129*$E129</f>
        <v>0</v>
      </c>
      <c r="AB129" s="123"/>
      <c r="AC129" s="124">
        <f t="shared" ref="AC129" si="5857">AB129*$E129</f>
        <v>0</v>
      </c>
      <c r="AD129" s="123"/>
      <c r="AE129" s="124">
        <f t="shared" ref="AE129" si="5858">AD129*$E129</f>
        <v>0</v>
      </c>
      <c r="AF129" s="125">
        <f t="shared" si="3158"/>
        <v>0</v>
      </c>
      <c r="AG129" s="126">
        <f t="shared" ref="AG129" si="5859">AF129*$E129</f>
        <v>0</v>
      </c>
      <c r="AH129" s="11"/>
      <c r="AI129" s="124">
        <f t="shared" ref="AI129" si="5860">AH129*$E129</f>
        <v>0</v>
      </c>
      <c r="AJ129" s="15"/>
      <c r="AK129" s="124">
        <f t="shared" ref="AK129" si="5861">AJ129*$E129</f>
        <v>0</v>
      </c>
      <c r="AL129" s="15"/>
      <c r="AM129" s="124">
        <f t="shared" ref="AM129" si="5862">AL129*$E129</f>
        <v>0</v>
      </c>
      <c r="AN129" s="16"/>
      <c r="AO129" s="124">
        <f t="shared" ref="AO129" si="5863">AN129*$E129</f>
        <v>0</v>
      </c>
      <c r="AP129" s="15"/>
      <c r="AQ129" s="124">
        <f t="shared" ref="AQ129" si="5864">AP129*$E129</f>
        <v>0</v>
      </c>
      <c r="AR129" s="15"/>
      <c r="AS129" s="124">
        <f t="shared" ref="AS129" si="5865">AR129*$E129</f>
        <v>0</v>
      </c>
      <c r="AT129" s="17"/>
      <c r="AU129" s="124">
        <f t="shared" ref="AU129" si="5866">AT129*$E129</f>
        <v>0</v>
      </c>
      <c r="AV129" s="15"/>
      <c r="AW129" s="124">
        <f t="shared" ref="AW129" si="5867">AV129*$E129</f>
        <v>0</v>
      </c>
      <c r="AX129" s="15"/>
      <c r="AY129" s="124">
        <f t="shared" ref="AY129" si="5868">AX129*$E129</f>
        <v>0</v>
      </c>
      <c r="AZ129" s="17"/>
      <c r="BA129" s="124">
        <f t="shared" ref="BA129" si="5869">AZ129*$E129</f>
        <v>0</v>
      </c>
      <c r="BB129" s="33"/>
      <c r="BC129" s="124">
        <f t="shared" ref="BC129" si="5870">BB129*$E129</f>
        <v>0</v>
      </c>
      <c r="BD129" s="33"/>
      <c r="BE129" s="124">
        <f t="shared" ref="BE129" si="5871">BD129*$E129</f>
        <v>0</v>
      </c>
      <c r="BF129" s="125">
        <f t="shared" si="3172"/>
        <v>0</v>
      </c>
      <c r="BG129" s="126">
        <f t="shared" ref="BG129" si="5872">BF129*$E129</f>
        <v>0</v>
      </c>
      <c r="BH129" s="123"/>
      <c r="BI129" s="124">
        <f t="shared" ref="BI129" si="5873">BH129*$E129</f>
        <v>0</v>
      </c>
      <c r="BJ129" s="123"/>
      <c r="BK129" s="124">
        <f t="shared" ref="BK129" si="5874">BJ129*$E129</f>
        <v>0</v>
      </c>
      <c r="BL129" s="123"/>
      <c r="BM129" s="124">
        <f t="shared" ref="BM129" si="5875">BL129*$E129</f>
        <v>0</v>
      </c>
      <c r="BN129" s="123"/>
      <c r="BO129" s="124">
        <f t="shared" ref="BO129" si="5876">BN129*$E129</f>
        <v>0</v>
      </c>
      <c r="BP129" s="123"/>
      <c r="BQ129" s="124">
        <f t="shared" ref="BQ129" si="5877">BP129*$E129</f>
        <v>0</v>
      </c>
      <c r="BR129" s="123"/>
      <c r="BS129" s="124">
        <f t="shared" ref="BS129" si="5878">BR129*$E129</f>
        <v>0</v>
      </c>
      <c r="BT129" s="123"/>
      <c r="BU129" s="124">
        <f t="shared" ref="BU129" si="5879">BT129*$E129</f>
        <v>0</v>
      </c>
      <c r="BV129" s="123"/>
      <c r="BW129" s="124">
        <f t="shared" ref="BW129" si="5880">BV129*$E129</f>
        <v>0</v>
      </c>
      <c r="BX129" s="123"/>
      <c r="BY129" s="124">
        <f t="shared" ref="BY129" si="5881">BX129*$E129</f>
        <v>0</v>
      </c>
      <c r="BZ129" s="123"/>
      <c r="CA129" s="124">
        <f t="shared" ref="CA129" si="5882">BZ129*$E129</f>
        <v>0</v>
      </c>
      <c r="CB129" s="123"/>
      <c r="CC129" s="124">
        <f t="shared" ref="CC129" si="5883">CB129*$E129</f>
        <v>0</v>
      </c>
      <c r="CD129" s="123"/>
      <c r="CE129" s="124">
        <f t="shared" ref="CE129" si="5884">CD129*$E129</f>
        <v>0</v>
      </c>
      <c r="CF129" s="125">
        <f t="shared" si="3186"/>
        <v>0</v>
      </c>
      <c r="CG129" s="126">
        <f t="shared" ref="CG129" si="5885">CF129*$E129</f>
        <v>0</v>
      </c>
      <c r="CH129" s="123"/>
      <c r="CI129" s="124">
        <f t="shared" ref="CI129" si="5886">CH129*$E129</f>
        <v>0</v>
      </c>
      <c r="CJ129" s="123"/>
      <c r="CK129" s="124">
        <f t="shared" ref="CK129" si="5887">CJ129*$E129</f>
        <v>0</v>
      </c>
      <c r="CL129" s="123"/>
      <c r="CM129" s="124">
        <f t="shared" ref="CM129" si="5888">CL129*$E129</f>
        <v>0</v>
      </c>
      <c r="CN129" s="123"/>
      <c r="CO129" s="124">
        <f t="shared" ref="CO129" si="5889">CN129*$E129</f>
        <v>0</v>
      </c>
      <c r="CP129" s="123"/>
      <c r="CQ129" s="124">
        <f t="shared" ref="CQ129" si="5890">CP129*$E129</f>
        <v>0</v>
      </c>
      <c r="CR129" s="123"/>
      <c r="CS129" s="124">
        <f t="shared" ref="CS129" si="5891">CR129*$E129</f>
        <v>0</v>
      </c>
      <c r="CT129" s="123"/>
      <c r="CU129" s="124">
        <f t="shared" ref="CU129" si="5892">CT129*$E129</f>
        <v>0</v>
      </c>
      <c r="CV129" s="123"/>
      <c r="CW129" s="124">
        <f t="shared" ref="CW129" si="5893">CV129*$E129</f>
        <v>0</v>
      </c>
      <c r="CX129" s="123"/>
      <c r="CY129" s="124">
        <f t="shared" ref="CY129" si="5894">CX129*$E129</f>
        <v>0</v>
      </c>
      <c r="CZ129" s="123"/>
      <c r="DA129" s="124">
        <f t="shared" ref="DA129" si="5895">CZ129*$E129</f>
        <v>0</v>
      </c>
      <c r="DB129" s="123"/>
      <c r="DC129" s="124">
        <f t="shared" si="3198"/>
        <v>0</v>
      </c>
      <c r="DD129" s="123"/>
      <c r="DE129" s="124">
        <f t="shared" si="3198"/>
        <v>0</v>
      </c>
      <c r="DF129" s="27">
        <f t="shared" si="3145"/>
        <v>0</v>
      </c>
      <c r="DG129" s="124">
        <f t="shared" si="3199"/>
        <v>0</v>
      </c>
    </row>
    <row r="130" spans="1:111" ht="18" customHeight="1" x14ac:dyDescent="0.5">
      <c r="A130" s="117">
        <v>105</v>
      </c>
      <c r="B130" s="122" t="s">
        <v>201</v>
      </c>
      <c r="C130" s="122" t="s">
        <v>231</v>
      </c>
      <c r="D130" s="117">
        <f t="shared" si="5650"/>
        <v>21</v>
      </c>
      <c r="E130" s="117">
        <v>0.64</v>
      </c>
      <c r="F130" s="117" t="s">
        <v>236</v>
      </c>
      <c r="G130" s="117"/>
      <c r="H130" s="123"/>
      <c r="I130" s="124">
        <f t="shared" ref="I130" si="5896">H130*$E130</f>
        <v>0</v>
      </c>
      <c r="J130" s="123"/>
      <c r="K130" s="124">
        <f t="shared" ref="K130" si="5897">J130*$E130</f>
        <v>0</v>
      </c>
      <c r="L130" s="123"/>
      <c r="M130" s="124">
        <f t="shared" ref="M130" si="5898">L130*$E130</f>
        <v>0</v>
      </c>
      <c r="N130" s="123"/>
      <c r="O130" s="124">
        <f t="shared" ref="O130" si="5899">N130*$E130</f>
        <v>0</v>
      </c>
      <c r="P130" s="123"/>
      <c r="Q130" s="124">
        <f t="shared" ref="Q130" si="5900">P130*$E130</f>
        <v>0</v>
      </c>
      <c r="R130" s="123"/>
      <c r="S130" s="124">
        <f t="shared" ref="S130" si="5901">R130*$E130</f>
        <v>0</v>
      </c>
      <c r="T130" s="123"/>
      <c r="U130" s="124">
        <f t="shared" ref="U130" si="5902">T130*$E130</f>
        <v>0</v>
      </c>
      <c r="V130" s="123"/>
      <c r="W130" s="124">
        <f t="shared" ref="W130" si="5903">V130*$E130</f>
        <v>0</v>
      </c>
      <c r="X130" s="123"/>
      <c r="Y130" s="124">
        <f t="shared" ref="Y130" si="5904">X130*$E130</f>
        <v>0</v>
      </c>
      <c r="Z130" s="123"/>
      <c r="AA130" s="124">
        <f t="shared" ref="AA130" si="5905">Z130*$E130</f>
        <v>0</v>
      </c>
      <c r="AB130" s="123"/>
      <c r="AC130" s="124">
        <f t="shared" ref="AC130" si="5906">AB130*$E130</f>
        <v>0</v>
      </c>
      <c r="AD130" s="123"/>
      <c r="AE130" s="124">
        <f t="shared" ref="AE130" si="5907">AD130*$E130</f>
        <v>0</v>
      </c>
      <c r="AF130" s="125">
        <f t="shared" si="3158"/>
        <v>0</v>
      </c>
      <c r="AG130" s="126">
        <f t="shared" ref="AG130" si="5908">AF130*$E130</f>
        <v>0</v>
      </c>
      <c r="AH130" s="11"/>
      <c r="AI130" s="124">
        <f t="shared" ref="AI130" si="5909">AH130*$E130</f>
        <v>0</v>
      </c>
      <c r="AJ130" s="15"/>
      <c r="AK130" s="124">
        <f t="shared" ref="AK130" si="5910">AJ130*$E130</f>
        <v>0</v>
      </c>
      <c r="AL130" s="15"/>
      <c r="AM130" s="124">
        <f t="shared" ref="AM130" si="5911">AL130*$E130</f>
        <v>0</v>
      </c>
      <c r="AN130" s="16"/>
      <c r="AO130" s="124">
        <f t="shared" ref="AO130" si="5912">AN130*$E130</f>
        <v>0</v>
      </c>
      <c r="AP130" s="15"/>
      <c r="AQ130" s="124">
        <f t="shared" ref="AQ130" si="5913">AP130*$E130</f>
        <v>0</v>
      </c>
      <c r="AR130" s="15"/>
      <c r="AS130" s="124">
        <f t="shared" ref="AS130" si="5914">AR130*$E130</f>
        <v>0</v>
      </c>
      <c r="AT130" s="17"/>
      <c r="AU130" s="124">
        <f t="shared" ref="AU130" si="5915">AT130*$E130</f>
        <v>0</v>
      </c>
      <c r="AV130" s="15"/>
      <c r="AW130" s="124">
        <f t="shared" ref="AW130" si="5916">AV130*$E130</f>
        <v>0</v>
      </c>
      <c r="AX130" s="15"/>
      <c r="AY130" s="124">
        <f t="shared" ref="AY130" si="5917">AX130*$E130</f>
        <v>0</v>
      </c>
      <c r="AZ130" s="17"/>
      <c r="BA130" s="124">
        <f t="shared" ref="BA130" si="5918">AZ130*$E130</f>
        <v>0</v>
      </c>
      <c r="BB130" s="33"/>
      <c r="BC130" s="124">
        <f t="shared" ref="BC130" si="5919">BB130*$E130</f>
        <v>0</v>
      </c>
      <c r="BD130" s="33"/>
      <c r="BE130" s="124">
        <f t="shared" ref="BE130" si="5920">BD130*$E130</f>
        <v>0</v>
      </c>
      <c r="BF130" s="125">
        <f t="shared" si="3172"/>
        <v>0</v>
      </c>
      <c r="BG130" s="126">
        <f t="shared" ref="BG130" si="5921">BF130*$E130</f>
        <v>0</v>
      </c>
      <c r="BH130" s="123"/>
      <c r="BI130" s="124">
        <f t="shared" ref="BI130" si="5922">BH130*$E130</f>
        <v>0</v>
      </c>
      <c r="BJ130" s="123"/>
      <c r="BK130" s="124">
        <f t="shared" ref="BK130" si="5923">BJ130*$E130</f>
        <v>0</v>
      </c>
      <c r="BL130" s="123"/>
      <c r="BM130" s="124">
        <f t="shared" ref="BM130" si="5924">BL130*$E130</f>
        <v>0</v>
      </c>
      <c r="BN130" s="123"/>
      <c r="BO130" s="124">
        <f t="shared" ref="BO130" si="5925">BN130*$E130</f>
        <v>0</v>
      </c>
      <c r="BP130" s="123"/>
      <c r="BQ130" s="124">
        <f t="shared" ref="BQ130" si="5926">BP130*$E130</f>
        <v>0</v>
      </c>
      <c r="BR130" s="123"/>
      <c r="BS130" s="124">
        <f t="shared" ref="BS130" si="5927">BR130*$E130</f>
        <v>0</v>
      </c>
      <c r="BT130" s="123"/>
      <c r="BU130" s="124">
        <f t="shared" ref="BU130" si="5928">BT130*$E130</f>
        <v>0</v>
      </c>
      <c r="BV130" s="123"/>
      <c r="BW130" s="124">
        <f t="shared" ref="BW130" si="5929">BV130*$E130</f>
        <v>0</v>
      </c>
      <c r="BX130" s="123"/>
      <c r="BY130" s="124">
        <f t="shared" ref="BY130" si="5930">BX130*$E130</f>
        <v>0</v>
      </c>
      <c r="BZ130" s="123"/>
      <c r="CA130" s="124">
        <f t="shared" ref="CA130" si="5931">BZ130*$E130</f>
        <v>0</v>
      </c>
      <c r="CB130" s="123"/>
      <c r="CC130" s="124">
        <f t="shared" ref="CC130" si="5932">CB130*$E130</f>
        <v>0</v>
      </c>
      <c r="CD130" s="123"/>
      <c r="CE130" s="124">
        <f t="shared" ref="CE130" si="5933">CD130*$E130</f>
        <v>0</v>
      </c>
      <c r="CF130" s="125">
        <f t="shared" si="3186"/>
        <v>0</v>
      </c>
      <c r="CG130" s="126">
        <f t="shared" ref="CG130" si="5934">CF130*$E130</f>
        <v>0</v>
      </c>
      <c r="CH130" s="123"/>
      <c r="CI130" s="124">
        <f t="shared" ref="CI130" si="5935">CH130*$E130</f>
        <v>0</v>
      </c>
      <c r="CJ130" s="123"/>
      <c r="CK130" s="124">
        <f t="shared" ref="CK130" si="5936">CJ130*$E130</f>
        <v>0</v>
      </c>
      <c r="CL130" s="123"/>
      <c r="CM130" s="124">
        <f t="shared" ref="CM130" si="5937">CL130*$E130</f>
        <v>0</v>
      </c>
      <c r="CN130" s="123"/>
      <c r="CO130" s="124">
        <f t="shared" ref="CO130" si="5938">CN130*$E130</f>
        <v>0</v>
      </c>
      <c r="CP130" s="123"/>
      <c r="CQ130" s="124">
        <f t="shared" ref="CQ130" si="5939">CP130*$E130</f>
        <v>0</v>
      </c>
      <c r="CR130" s="123"/>
      <c r="CS130" s="124">
        <f t="shared" ref="CS130" si="5940">CR130*$E130</f>
        <v>0</v>
      </c>
      <c r="CT130" s="123"/>
      <c r="CU130" s="124">
        <f t="shared" ref="CU130" si="5941">CT130*$E130</f>
        <v>0</v>
      </c>
      <c r="CV130" s="123"/>
      <c r="CW130" s="124">
        <f t="shared" ref="CW130" si="5942">CV130*$E130</f>
        <v>0</v>
      </c>
      <c r="CX130" s="123"/>
      <c r="CY130" s="124">
        <f t="shared" ref="CY130" si="5943">CX130*$E130</f>
        <v>0</v>
      </c>
      <c r="CZ130" s="123"/>
      <c r="DA130" s="124">
        <f t="shared" ref="DA130" si="5944">CZ130*$E130</f>
        <v>0</v>
      </c>
      <c r="DB130" s="123"/>
      <c r="DC130" s="124">
        <f t="shared" si="3198"/>
        <v>0</v>
      </c>
      <c r="DD130" s="123"/>
      <c r="DE130" s="124">
        <f t="shared" si="3198"/>
        <v>0</v>
      </c>
      <c r="DF130" s="27">
        <f t="shared" si="3145"/>
        <v>0</v>
      </c>
      <c r="DG130" s="124">
        <f t="shared" si="3199"/>
        <v>0</v>
      </c>
    </row>
    <row r="131" spans="1:111" ht="18" customHeight="1" x14ac:dyDescent="0.5">
      <c r="A131" s="117">
        <v>106</v>
      </c>
      <c r="B131" s="122" t="s">
        <v>202</v>
      </c>
      <c r="C131" s="122" t="s">
        <v>231</v>
      </c>
      <c r="D131" s="117">
        <f t="shared" si="5650"/>
        <v>21</v>
      </c>
      <c r="E131" s="117">
        <v>0.64</v>
      </c>
      <c r="F131" s="117" t="s">
        <v>236</v>
      </c>
      <c r="G131" s="117"/>
      <c r="H131" s="123"/>
      <c r="I131" s="124">
        <f t="shared" ref="I131" si="5945">H131*$E131</f>
        <v>0</v>
      </c>
      <c r="J131" s="123"/>
      <c r="K131" s="124">
        <f t="shared" ref="K131" si="5946">J131*$E131</f>
        <v>0</v>
      </c>
      <c r="L131" s="123"/>
      <c r="M131" s="124">
        <f t="shared" ref="M131" si="5947">L131*$E131</f>
        <v>0</v>
      </c>
      <c r="N131" s="123"/>
      <c r="O131" s="124">
        <f t="shared" ref="O131" si="5948">N131*$E131</f>
        <v>0</v>
      </c>
      <c r="P131" s="123"/>
      <c r="Q131" s="124">
        <f t="shared" ref="Q131" si="5949">P131*$E131</f>
        <v>0</v>
      </c>
      <c r="R131" s="123"/>
      <c r="S131" s="124">
        <f t="shared" ref="S131" si="5950">R131*$E131</f>
        <v>0</v>
      </c>
      <c r="T131" s="123"/>
      <c r="U131" s="124">
        <f t="shared" ref="U131" si="5951">T131*$E131</f>
        <v>0</v>
      </c>
      <c r="V131" s="123"/>
      <c r="W131" s="124">
        <f t="shared" ref="W131" si="5952">V131*$E131</f>
        <v>0</v>
      </c>
      <c r="X131" s="123"/>
      <c r="Y131" s="124">
        <f t="shared" ref="Y131" si="5953">X131*$E131</f>
        <v>0</v>
      </c>
      <c r="Z131" s="123"/>
      <c r="AA131" s="124">
        <f t="shared" ref="AA131" si="5954">Z131*$E131</f>
        <v>0</v>
      </c>
      <c r="AB131" s="123"/>
      <c r="AC131" s="124">
        <f t="shared" ref="AC131" si="5955">AB131*$E131</f>
        <v>0</v>
      </c>
      <c r="AD131" s="123"/>
      <c r="AE131" s="124">
        <f t="shared" ref="AE131" si="5956">AD131*$E131</f>
        <v>0</v>
      </c>
      <c r="AF131" s="125">
        <f t="shared" si="3158"/>
        <v>0</v>
      </c>
      <c r="AG131" s="126">
        <f t="shared" ref="AG131" si="5957">AF131*$E131</f>
        <v>0</v>
      </c>
      <c r="AH131" s="11"/>
      <c r="AI131" s="124">
        <f t="shared" ref="AI131" si="5958">AH131*$E131</f>
        <v>0</v>
      </c>
      <c r="AJ131" s="15"/>
      <c r="AK131" s="124">
        <f t="shared" ref="AK131" si="5959">AJ131*$E131</f>
        <v>0</v>
      </c>
      <c r="AL131" s="15"/>
      <c r="AM131" s="124">
        <f t="shared" ref="AM131" si="5960">AL131*$E131</f>
        <v>0</v>
      </c>
      <c r="AN131" s="16"/>
      <c r="AO131" s="124">
        <f t="shared" ref="AO131" si="5961">AN131*$E131</f>
        <v>0</v>
      </c>
      <c r="AP131" s="15"/>
      <c r="AQ131" s="124">
        <f t="shared" ref="AQ131" si="5962">AP131*$E131</f>
        <v>0</v>
      </c>
      <c r="AR131" s="15"/>
      <c r="AS131" s="124">
        <f t="shared" ref="AS131" si="5963">AR131*$E131</f>
        <v>0</v>
      </c>
      <c r="AT131" s="17"/>
      <c r="AU131" s="124">
        <f t="shared" ref="AU131" si="5964">AT131*$E131</f>
        <v>0</v>
      </c>
      <c r="AV131" s="15"/>
      <c r="AW131" s="124">
        <f t="shared" ref="AW131" si="5965">AV131*$E131</f>
        <v>0</v>
      </c>
      <c r="AX131" s="15"/>
      <c r="AY131" s="124">
        <f t="shared" ref="AY131" si="5966">AX131*$E131</f>
        <v>0</v>
      </c>
      <c r="AZ131" s="17"/>
      <c r="BA131" s="124">
        <f t="shared" ref="BA131" si="5967">AZ131*$E131</f>
        <v>0</v>
      </c>
      <c r="BB131" s="33"/>
      <c r="BC131" s="124">
        <f t="shared" ref="BC131" si="5968">BB131*$E131</f>
        <v>0</v>
      </c>
      <c r="BD131" s="33"/>
      <c r="BE131" s="124">
        <f t="shared" ref="BE131" si="5969">BD131*$E131</f>
        <v>0</v>
      </c>
      <c r="BF131" s="125">
        <f t="shared" si="3172"/>
        <v>0</v>
      </c>
      <c r="BG131" s="126">
        <f t="shared" ref="BG131" si="5970">BF131*$E131</f>
        <v>0</v>
      </c>
      <c r="BH131" s="123"/>
      <c r="BI131" s="124">
        <f t="shared" ref="BI131" si="5971">BH131*$E131</f>
        <v>0</v>
      </c>
      <c r="BJ131" s="123"/>
      <c r="BK131" s="124">
        <f t="shared" ref="BK131" si="5972">BJ131*$E131</f>
        <v>0</v>
      </c>
      <c r="BL131" s="123"/>
      <c r="BM131" s="124">
        <f t="shared" ref="BM131" si="5973">BL131*$E131</f>
        <v>0</v>
      </c>
      <c r="BN131" s="123"/>
      <c r="BO131" s="124">
        <f t="shared" ref="BO131" si="5974">BN131*$E131</f>
        <v>0</v>
      </c>
      <c r="BP131" s="123"/>
      <c r="BQ131" s="124">
        <f t="shared" ref="BQ131" si="5975">BP131*$E131</f>
        <v>0</v>
      </c>
      <c r="BR131" s="123"/>
      <c r="BS131" s="124">
        <f t="shared" ref="BS131" si="5976">BR131*$E131</f>
        <v>0</v>
      </c>
      <c r="BT131" s="123"/>
      <c r="BU131" s="124">
        <f t="shared" ref="BU131" si="5977">BT131*$E131</f>
        <v>0</v>
      </c>
      <c r="BV131" s="123"/>
      <c r="BW131" s="124">
        <f t="shared" ref="BW131" si="5978">BV131*$E131</f>
        <v>0</v>
      </c>
      <c r="BX131" s="123"/>
      <c r="BY131" s="124">
        <f t="shared" ref="BY131" si="5979">BX131*$E131</f>
        <v>0</v>
      </c>
      <c r="BZ131" s="123"/>
      <c r="CA131" s="124">
        <f t="shared" ref="CA131" si="5980">BZ131*$E131</f>
        <v>0</v>
      </c>
      <c r="CB131" s="123"/>
      <c r="CC131" s="124">
        <f t="shared" ref="CC131" si="5981">CB131*$E131</f>
        <v>0</v>
      </c>
      <c r="CD131" s="123"/>
      <c r="CE131" s="124">
        <f t="shared" ref="CE131" si="5982">CD131*$E131</f>
        <v>0</v>
      </c>
      <c r="CF131" s="125">
        <f t="shared" si="3186"/>
        <v>0</v>
      </c>
      <c r="CG131" s="126">
        <f t="shared" ref="CG131" si="5983">CF131*$E131</f>
        <v>0</v>
      </c>
      <c r="CH131" s="123"/>
      <c r="CI131" s="124">
        <f t="shared" ref="CI131" si="5984">CH131*$E131</f>
        <v>0</v>
      </c>
      <c r="CJ131" s="123"/>
      <c r="CK131" s="124">
        <f t="shared" ref="CK131" si="5985">CJ131*$E131</f>
        <v>0</v>
      </c>
      <c r="CL131" s="123"/>
      <c r="CM131" s="124">
        <f t="shared" ref="CM131" si="5986">CL131*$E131</f>
        <v>0</v>
      </c>
      <c r="CN131" s="123"/>
      <c r="CO131" s="124">
        <f t="shared" ref="CO131" si="5987">CN131*$E131</f>
        <v>0</v>
      </c>
      <c r="CP131" s="123"/>
      <c r="CQ131" s="124">
        <f t="shared" ref="CQ131" si="5988">CP131*$E131</f>
        <v>0</v>
      </c>
      <c r="CR131" s="123"/>
      <c r="CS131" s="124">
        <f t="shared" ref="CS131" si="5989">CR131*$E131</f>
        <v>0</v>
      </c>
      <c r="CT131" s="123"/>
      <c r="CU131" s="124">
        <f t="shared" ref="CU131" si="5990">CT131*$E131</f>
        <v>0</v>
      </c>
      <c r="CV131" s="123"/>
      <c r="CW131" s="124">
        <f t="shared" ref="CW131" si="5991">CV131*$E131</f>
        <v>0</v>
      </c>
      <c r="CX131" s="123"/>
      <c r="CY131" s="124">
        <f t="shared" ref="CY131" si="5992">CX131*$E131</f>
        <v>0</v>
      </c>
      <c r="CZ131" s="123"/>
      <c r="DA131" s="124">
        <f t="shared" ref="DA131" si="5993">CZ131*$E131</f>
        <v>0</v>
      </c>
      <c r="DB131" s="123"/>
      <c r="DC131" s="124">
        <f t="shared" si="3198"/>
        <v>0</v>
      </c>
      <c r="DD131" s="123"/>
      <c r="DE131" s="124">
        <f t="shared" si="3198"/>
        <v>0</v>
      </c>
      <c r="DF131" s="27">
        <f t="shared" si="3145"/>
        <v>0</v>
      </c>
      <c r="DG131" s="124">
        <f t="shared" si="3199"/>
        <v>0</v>
      </c>
    </row>
    <row r="132" spans="1:111" ht="18" customHeight="1" x14ac:dyDescent="0.5">
      <c r="A132" s="117">
        <v>107</v>
      </c>
      <c r="B132" s="122" t="s">
        <v>203</v>
      </c>
      <c r="C132" s="122" t="s">
        <v>231</v>
      </c>
      <c r="D132" s="117">
        <f t="shared" si="5650"/>
        <v>21</v>
      </c>
      <c r="E132" s="117">
        <v>0.64</v>
      </c>
      <c r="F132" s="117" t="s">
        <v>236</v>
      </c>
      <c r="G132" s="117"/>
      <c r="H132" s="123"/>
      <c r="I132" s="124">
        <f t="shared" ref="I132" si="5994">H132*$E132</f>
        <v>0</v>
      </c>
      <c r="J132" s="123"/>
      <c r="K132" s="124">
        <f t="shared" ref="K132" si="5995">J132*$E132</f>
        <v>0</v>
      </c>
      <c r="L132" s="123"/>
      <c r="M132" s="124">
        <f t="shared" ref="M132" si="5996">L132*$E132</f>
        <v>0</v>
      </c>
      <c r="N132" s="123"/>
      <c r="O132" s="124">
        <f t="shared" ref="O132" si="5997">N132*$E132</f>
        <v>0</v>
      </c>
      <c r="P132" s="123"/>
      <c r="Q132" s="124">
        <f t="shared" ref="Q132" si="5998">P132*$E132</f>
        <v>0</v>
      </c>
      <c r="R132" s="123"/>
      <c r="S132" s="124">
        <f t="shared" ref="S132" si="5999">R132*$E132</f>
        <v>0</v>
      </c>
      <c r="T132" s="123"/>
      <c r="U132" s="124">
        <f t="shared" ref="U132" si="6000">T132*$E132</f>
        <v>0</v>
      </c>
      <c r="V132" s="123"/>
      <c r="W132" s="124">
        <f t="shared" ref="W132" si="6001">V132*$E132</f>
        <v>0</v>
      </c>
      <c r="X132" s="123"/>
      <c r="Y132" s="124">
        <f t="shared" ref="Y132" si="6002">X132*$E132</f>
        <v>0</v>
      </c>
      <c r="Z132" s="123"/>
      <c r="AA132" s="124">
        <f t="shared" ref="AA132" si="6003">Z132*$E132</f>
        <v>0</v>
      </c>
      <c r="AB132" s="123"/>
      <c r="AC132" s="124">
        <f t="shared" ref="AC132" si="6004">AB132*$E132</f>
        <v>0</v>
      </c>
      <c r="AD132" s="123"/>
      <c r="AE132" s="124">
        <f t="shared" ref="AE132" si="6005">AD132*$E132</f>
        <v>0</v>
      </c>
      <c r="AF132" s="125">
        <f t="shared" si="3158"/>
        <v>0</v>
      </c>
      <c r="AG132" s="126">
        <f t="shared" ref="AG132" si="6006">AF132*$E132</f>
        <v>0</v>
      </c>
      <c r="AH132" s="11"/>
      <c r="AI132" s="124">
        <f t="shared" ref="AI132" si="6007">AH132*$E132</f>
        <v>0</v>
      </c>
      <c r="AJ132" s="15"/>
      <c r="AK132" s="124">
        <f t="shared" ref="AK132" si="6008">AJ132*$E132</f>
        <v>0</v>
      </c>
      <c r="AL132" s="15"/>
      <c r="AM132" s="124">
        <f t="shared" ref="AM132" si="6009">AL132*$E132</f>
        <v>0</v>
      </c>
      <c r="AN132" s="16"/>
      <c r="AO132" s="124">
        <f t="shared" ref="AO132" si="6010">AN132*$E132</f>
        <v>0</v>
      </c>
      <c r="AP132" s="15"/>
      <c r="AQ132" s="124">
        <f t="shared" ref="AQ132" si="6011">AP132*$E132</f>
        <v>0</v>
      </c>
      <c r="AR132" s="15"/>
      <c r="AS132" s="124">
        <f t="shared" ref="AS132" si="6012">AR132*$E132</f>
        <v>0</v>
      </c>
      <c r="AT132" s="17"/>
      <c r="AU132" s="124">
        <f t="shared" ref="AU132" si="6013">AT132*$E132</f>
        <v>0</v>
      </c>
      <c r="AV132" s="15"/>
      <c r="AW132" s="124">
        <f t="shared" ref="AW132" si="6014">AV132*$E132</f>
        <v>0</v>
      </c>
      <c r="AX132" s="15"/>
      <c r="AY132" s="124">
        <f t="shared" ref="AY132" si="6015">AX132*$E132</f>
        <v>0</v>
      </c>
      <c r="AZ132" s="17"/>
      <c r="BA132" s="124">
        <f t="shared" ref="BA132" si="6016">AZ132*$E132</f>
        <v>0</v>
      </c>
      <c r="BB132" s="33"/>
      <c r="BC132" s="124">
        <f t="shared" ref="BC132" si="6017">BB132*$E132</f>
        <v>0</v>
      </c>
      <c r="BD132" s="33"/>
      <c r="BE132" s="124">
        <f t="shared" ref="BE132" si="6018">BD132*$E132</f>
        <v>0</v>
      </c>
      <c r="BF132" s="125">
        <f t="shared" si="3172"/>
        <v>0</v>
      </c>
      <c r="BG132" s="126">
        <f t="shared" ref="BG132" si="6019">BF132*$E132</f>
        <v>0</v>
      </c>
      <c r="BH132" s="123"/>
      <c r="BI132" s="124">
        <f t="shared" ref="BI132" si="6020">BH132*$E132</f>
        <v>0</v>
      </c>
      <c r="BJ132" s="123"/>
      <c r="BK132" s="124">
        <f t="shared" ref="BK132" si="6021">BJ132*$E132</f>
        <v>0</v>
      </c>
      <c r="BL132" s="123"/>
      <c r="BM132" s="124">
        <f t="shared" ref="BM132" si="6022">BL132*$E132</f>
        <v>0</v>
      </c>
      <c r="BN132" s="123"/>
      <c r="BO132" s="124">
        <f t="shared" ref="BO132" si="6023">BN132*$E132</f>
        <v>0</v>
      </c>
      <c r="BP132" s="123"/>
      <c r="BQ132" s="124">
        <f t="shared" ref="BQ132" si="6024">BP132*$E132</f>
        <v>0</v>
      </c>
      <c r="BR132" s="123"/>
      <c r="BS132" s="124">
        <f t="shared" ref="BS132" si="6025">BR132*$E132</f>
        <v>0</v>
      </c>
      <c r="BT132" s="123"/>
      <c r="BU132" s="124">
        <f t="shared" ref="BU132" si="6026">BT132*$E132</f>
        <v>0</v>
      </c>
      <c r="BV132" s="123"/>
      <c r="BW132" s="124">
        <f t="shared" ref="BW132" si="6027">BV132*$E132</f>
        <v>0</v>
      </c>
      <c r="BX132" s="123"/>
      <c r="BY132" s="124">
        <f t="shared" ref="BY132" si="6028">BX132*$E132</f>
        <v>0</v>
      </c>
      <c r="BZ132" s="123"/>
      <c r="CA132" s="124">
        <f t="shared" ref="CA132" si="6029">BZ132*$E132</f>
        <v>0</v>
      </c>
      <c r="CB132" s="123"/>
      <c r="CC132" s="124">
        <f t="shared" ref="CC132" si="6030">CB132*$E132</f>
        <v>0</v>
      </c>
      <c r="CD132" s="123"/>
      <c r="CE132" s="124">
        <f t="shared" ref="CE132" si="6031">CD132*$E132</f>
        <v>0</v>
      </c>
      <c r="CF132" s="125">
        <f t="shared" si="3186"/>
        <v>0</v>
      </c>
      <c r="CG132" s="126">
        <f t="shared" ref="CG132" si="6032">CF132*$E132</f>
        <v>0</v>
      </c>
      <c r="CH132" s="123"/>
      <c r="CI132" s="124">
        <f t="shared" ref="CI132" si="6033">CH132*$E132</f>
        <v>0</v>
      </c>
      <c r="CJ132" s="123"/>
      <c r="CK132" s="124">
        <f t="shared" ref="CK132" si="6034">CJ132*$E132</f>
        <v>0</v>
      </c>
      <c r="CL132" s="123"/>
      <c r="CM132" s="124">
        <f t="shared" ref="CM132" si="6035">CL132*$E132</f>
        <v>0</v>
      </c>
      <c r="CN132" s="123"/>
      <c r="CO132" s="124">
        <f t="shared" ref="CO132" si="6036">CN132*$E132</f>
        <v>0</v>
      </c>
      <c r="CP132" s="123"/>
      <c r="CQ132" s="124">
        <f t="shared" ref="CQ132" si="6037">CP132*$E132</f>
        <v>0</v>
      </c>
      <c r="CR132" s="123"/>
      <c r="CS132" s="124">
        <f t="shared" ref="CS132" si="6038">CR132*$E132</f>
        <v>0</v>
      </c>
      <c r="CT132" s="123"/>
      <c r="CU132" s="124">
        <f t="shared" ref="CU132" si="6039">CT132*$E132</f>
        <v>0</v>
      </c>
      <c r="CV132" s="123"/>
      <c r="CW132" s="124">
        <f t="shared" ref="CW132" si="6040">CV132*$E132</f>
        <v>0</v>
      </c>
      <c r="CX132" s="123"/>
      <c r="CY132" s="124">
        <f t="shared" ref="CY132" si="6041">CX132*$E132</f>
        <v>0</v>
      </c>
      <c r="CZ132" s="123"/>
      <c r="DA132" s="124">
        <f t="shared" ref="DA132" si="6042">CZ132*$E132</f>
        <v>0</v>
      </c>
      <c r="DB132" s="123"/>
      <c r="DC132" s="124">
        <f t="shared" si="3198"/>
        <v>0</v>
      </c>
      <c r="DD132" s="123"/>
      <c r="DE132" s="124">
        <f t="shared" si="3198"/>
        <v>0</v>
      </c>
      <c r="DF132" s="27">
        <f t="shared" si="3145"/>
        <v>0</v>
      </c>
      <c r="DG132" s="124">
        <f t="shared" si="3199"/>
        <v>0</v>
      </c>
    </row>
    <row r="133" spans="1:111" ht="18" customHeight="1" x14ac:dyDescent="0.5">
      <c r="A133" s="117">
        <v>108</v>
      </c>
      <c r="B133" s="122" t="s">
        <v>204</v>
      </c>
      <c r="C133" s="122" t="s">
        <v>231</v>
      </c>
      <c r="D133" s="117">
        <f t="shared" si="5650"/>
        <v>21</v>
      </c>
      <c r="E133" s="117">
        <v>0.64</v>
      </c>
      <c r="F133" s="117" t="s">
        <v>235</v>
      </c>
      <c r="G133" s="117"/>
      <c r="H133" s="123"/>
      <c r="I133" s="124">
        <f t="shared" ref="I133" si="6043">H133*$E133</f>
        <v>0</v>
      </c>
      <c r="J133" s="123"/>
      <c r="K133" s="124">
        <f t="shared" ref="K133" si="6044">J133*$E133</f>
        <v>0</v>
      </c>
      <c r="L133" s="123"/>
      <c r="M133" s="124">
        <f t="shared" ref="M133" si="6045">L133*$E133</f>
        <v>0</v>
      </c>
      <c r="N133" s="123"/>
      <c r="O133" s="124">
        <f t="shared" ref="O133" si="6046">N133*$E133</f>
        <v>0</v>
      </c>
      <c r="P133" s="123"/>
      <c r="Q133" s="124">
        <f t="shared" ref="Q133" si="6047">P133*$E133</f>
        <v>0</v>
      </c>
      <c r="R133" s="123"/>
      <c r="S133" s="124">
        <f t="shared" ref="S133" si="6048">R133*$E133</f>
        <v>0</v>
      </c>
      <c r="T133" s="123"/>
      <c r="U133" s="124">
        <f t="shared" ref="U133" si="6049">T133*$E133</f>
        <v>0</v>
      </c>
      <c r="V133" s="123"/>
      <c r="W133" s="124">
        <f t="shared" ref="W133" si="6050">V133*$E133</f>
        <v>0</v>
      </c>
      <c r="X133" s="123"/>
      <c r="Y133" s="124">
        <f t="shared" ref="Y133" si="6051">X133*$E133</f>
        <v>0</v>
      </c>
      <c r="Z133" s="123"/>
      <c r="AA133" s="124">
        <f t="shared" ref="AA133" si="6052">Z133*$E133</f>
        <v>0</v>
      </c>
      <c r="AB133" s="123"/>
      <c r="AC133" s="124">
        <f t="shared" ref="AC133" si="6053">AB133*$E133</f>
        <v>0</v>
      </c>
      <c r="AD133" s="123"/>
      <c r="AE133" s="124">
        <f t="shared" ref="AE133" si="6054">AD133*$E133</f>
        <v>0</v>
      </c>
      <c r="AF133" s="125">
        <f t="shared" si="3158"/>
        <v>0</v>
      </c>
      <c r="AG133" s="126">
        <f t="shared" ref="AG133" si="6055">AF133*$E133</f>
        <v>0</v>
      </c>
      <c r="AH133" s="11"/>
      <c r="AI133" s="124">
        <f t="shared" ref="AI133" si="6056">AH133*$E133</f>
        <v>0</v>
      </c>
      <c r="AJ133" s="15"/>
      <c r="AK133" s="124">
        <f t="shared" ref="AK133" si="6057">AJ133*$E133</f>
        <v>0</v>
      </c>
      <c r="AL133" s="15"/>
      <c r="AM133" s="124">
        <f t="shared" ref="AM133" si="6058">AL133*$E133</f>
        <v>0</v>
      </c>
      <c r="AN133" s="16"/>
      <c r="AO133" s="124">
        <f t="shared" ref="AO133" si="6059">AN133*$E133</f>
        <v>0</v>
      </c>
      <c r="AP133" s="15"/>
      <c r="AQ133" s="124">
        <f t="shared" ref="AQ133" si="6060">AP133*$E133</f>
        <v>0</v>
      </c>
      <c r="AR133" s="15"/>
      <c r="AS133" s="124">
        <f t="shared" ref="AS133" si="6061">AR133*$E133</f>
        <v>0</v>
      </c>
      <c r="AT133" s="17"/>
      <c r="AU133" s="124">
        <f t="shared" ref="AU133" si="6062">AT133*$E133</f>
        <v>0</v>
      </c>
      <c r="AV133" s="15"/>
      <c r="AW133" s="124">
        <f t="shared" ref="AW133" si="6063">AV133*$E133</f>
        <v>0</v>
      </c>
      <c r="AX133" s="15"/>
      <c r="AY133" s="124">
        <f t="shared" ref="AY133" si="6064">AX133*$E133</f>
        <v>0</v>
      </c>
      <c r="AZ133" s="17"/>
      <c r="BA133" s="124">
        <f t="shared" ref="BA133" si="6065">AZ133*$E133</f>
        <v>0</v>
      </c>
      <c r="BB133" s="33"/>
      <c r="BC133" s="124">
        <f t="shared" ref="BC133" si="6066">BB133*$E133</f>
        <v>0</v>
      </c>
      <c r="BD133" s="33"/>
      <c r="BE133" s="124">
        <f t="shared" ref="BE133" si="6067">BD133*$E133</f>
        <v>0</v>
      </c>
      <c r="BF133" s="125">
        <f t="shared" si="3172"/>
        <v>0</v>
      </c>
      <c r="BG133" s="126">
        <f t="shared" ref="BG133" si="6068">BF133*$E133</f>
        <v>0</v>
      </c>
      <c r="BH133" s="123"/>
      <c r="BI133" s="124">
        <f t="shared" ref="BI133" si="6069">BH133*$E133</f>
        <v>0</v>
      </c>
      <c r="BJ133" s="123"/>
      <c r="BK133" s="124">
        <f t="shared" ref="BK133" si="6070">BJ133*$E133</f>
        <v>0</v>
      </c>
      <c r="BL133" s="123"/>
      <c r="BM133" s="124">
        <f t="shared" ref="BM133" si="6071">BL133*$E133</f>
        <v>0</v>
      </c>
      <c r="BN133" s="123"/>
      <c r="BO133" s="124">
        <f t="shared" ref="BO133" si="6072">BN133*$E133</f>
        <v>0</v>
      </c>
      <c r="BP133" s="123"/>
      <c r="BQ133" s="124">
        <f t="shared" ref="BQ133" si="6073">BP133*$E133</f>
        <v>0</v>
      </c>
      <c r="BR133" s="123"/>
      <c r="BS133" s="124">
        <f t="shared" ref="BS133" si="6074">BR133*$E133</f>
        <v>0</v>
      </c>
      <c r="BT133" s="123"/>
      <c r="BU133" s="124">
        <f t="shared" ref="BU133" si="6075">BT133*$E133</f>
        <v>0</v>
      </c>
      <c r="BV133" s="123"/>
      <c r="BW133" s="124">
        <f t="shared" ref="BW133" si="6076">BV133*$E133</f>
        <v>0</v>
      </c>
      <c r="BX133" s="123"/>
      <c r="BY133" s="124">
        <f t="shared" ref="BY133" si="6077">BX133*$E133</f>
        <v>0</v>
      </c>
      <c r="BZ133" s="123"/>
      <c r="CA133" s="124">
        <f t="shared" ref="CA133" si="6078">BZ133*$E133</f>
        <v>0</v>
      </c>
      <c r="CB133" s="123"/>
      <c r="CC133" s="124">
        <f t="shared" ref="CC133" si="6079">CB133*$E133</f>
        <v>0</v>
      </c>
      <c r="CD133" s="123"/>
      <c r="CE133" s="124">
        <f t="shared" ref="CE133" si="6080">CD133*$E133</f>
        <v>0</v>
      </c>
      <c r="CF133" s="125">
        <f t="shared" si="3186"/>
        <v>0</v>
      </c>
      <c r="CG133" s="126">
        <f t="shared" ref="CG133" si="6081">CF133*$E133</f>
        <v>0</v>
      </c>
      <c r="CH133" s="123"/>
      <c r="CI133" s="124">
        <f t="shared" ref="CI133" si="6082">CH133*$E133</f>
        <v>0</v>
      </c>
      <c r="CJ133" s="123"/>
      <c r="CK133" s="124">
        <f t="shared" ref="CK133" si="6083">CJ133*$E133</f>
        <v>0</v>
      </c>
      <c r="CL133" s="123"/>
      <c r="CM133" s="124">
        <f t="shared" ref="CM133" si="6084">CL133*$E133</f>
        <v>0</v>
      </c>
      <c r="CN133" s="123"/>
      <c r="CO133" s="124">
        <f t="shared" ref="CO133" si="6085">CN133*$E133</f>
        <v>0</v>
      </c>
      <c r="CP133" s="123"/>
      <c r="CQ133" s="124">
        <f t="shared" ref="CQ133" si="6086">CP133*$E133</f>
        <v>0</v>
      </c>
      <c r="CR133" s="123"/>
      <c r="CS133" s="124">
        <f t="shared" ref="CS133" si="6087">CR133*$E133</f>
        <v>0</v>
      </c>
      <c r="CT133" s="123"/>
      <c r="CU133" s="124">
        <f t="shared" ref="CU133" si="6088">CT133*$E133</f>
        <v>0</v>
      </c>
      <c r="CV133" s="123"/>
      <c r="CW133" s="124">
        <f t="shared" ref="CW133" si="6089">CV133*$E133</f>
        <v>0</v>
      </c>
      <c r="CX133" s="123"/>
      <c r="CY133" s="124">
        <f t="shared" ref="CY133" si="6090">CX133*$E133</f>
        <v>0</v>
      </c>
      <c r="CZ133" s="123"/>
      <c r="DA133" s="124">
        <f t="shared" ref="DA133" si="6091">CZ133*$E133</f>
        <v>0</v>
      </c>
      <c r="DB133" s="123"/>
      <c r="DC133" s="124">
        <f t="shared" si="3198"/>
        <v>0</v>
      </c>
      <c r="DD133" s="123"/>
      <c r="DE133" s="124">
        <f t="shared" si="3198"/>
        <v>0</v>
      </c>
      <c r="DF133" s="27">
        <f t="shared" si="3145"/>
        <v>0</v>
      </c>
      <c r="DG133" s="124">
        <f t="shared" si="3199"/>
        <v>0</v>
      </c>
    </row>
    <row r="134" spans="1:111" x14ac:dyDescent="0.5">
      <c r="A134" s="117">
        <v>109</v>
      </c>
      <c r="B134" s="122" t="s">
        <v>242</v>
      </c>
      <c r="C134" s="122"/>
      <c r="D134" s="117"/>
      <c r="E134" s="117">
        <v>0.64</v>
      </c>
      <c r="F134" s="117"/>
      <c r="G134" s="117"/>
      <c r="H134" s="123"/>
      <c r="I134" s="124">
        <f t="shared" ref="I134" si="6092">H134*$E134</f>
        <v>0</v>
      </c>
      <c r="J134" s="123"/>
      <c r="K134" s="124">
        <f t="shared" ref="K134" si="6093">J134*$E134</f>
        <v>0</v>
      </c>
      <c r="L134" s="123"/>
      <c r="M134" s="124">
        <f t="shared" ref="M134" si="6094">L134*$E134</f>
        <v>0</v>
      </c>
      <c r="N134" s="123"/>
      <c r="O134" s="124">
        <f t="shared" ref="O134" si="6095">N134*$E134</f>
        <v>0</v>
      </c>
      <c r="P134" s="123"/>
      <c r="Q134" s="124">
        <f t="shared" ref="Q134" si="6096">P134*$E134</f>
        <v>0</v>
      </c>
      <c r="R134" s="123"/>
      <c r="S134" s="124">
        <f t="shared" ref="S134" si="6097">R134*$E134</f>
        <v>0</v>
      </c>
      <c r="T134" s="123"/>
      <c r="U134" s="124">
        <f t="shared" ref="U134" si="6098">T134*$E134</f>
        <v>0</v>
      </c>
      <c r="V134" s="123"/>
      <c r="W134" s="124">
        <f t="shared" ref="W134" si="6099">V134*$E134</f>
        <v>0</v>
      </c>
      <c r="X134" s="123"/>
      <c r="Y134" s="124">
        <f t="shared" ref="Y134" si="6100">X134*$E134</f>
        <v>0</v>
      </c>
      <c r="Z134" s="123"/>
      <c r="AA134" s="124">
        <f t="shared" ref="AA134" si="6101">Z134*$E134</f>
        <v>0</v>
      </c>
      <c r="AB134" s="123"/>
      <c r="AC134" s="124">
        <f t="shared" ref="AC134" si="6102">AB134*$E134</f>
        <v>0</v>
      </c>
      <c r="AD134" s="123"/>
      <c r="AE134" s="124">
        <f t="shared" ref="AE134" si="6103">AD134*$E134</f>
        <v>0</v>
      </c>
      <c r="AF134" s="125">
        <f t="shared" si="3158"/>
        <v>0</v>
      </c>
      <c r="AG134" s="126">
        <f t="shared" ref="AG134" si="6104">AF134*$E134</f>
        <v>0</v>
      </c>
      <c r="AH134" s="123"/>
      <c r="AI134" s="124">
        <f t="shared" ref="AI134" si="6105">AH134*$E134</f>
        <v>0</v>
      </c>
      <c r="AJ134" s="123"/>
      <c r="AK134" s="124">
        <f t="shared" ref="AK134" si="6106">AJ134*$E134</f>
        <v>0</v>
      </c>
      <c r="AL134" s="123"/>
      <c r="AM134" s="124">
        <f t="shared" ref="AM134" si="6107">AL134*$E134</f>
        <v>0</v>
      </c>
      <c r="AN134" s="123"/>
      <c r="AO134" s="124">
        <f t="shared" ref="AO134" si="6108">AN134*$E134</f>
        <v>0</v>
      </c>
      <c r="AP134" s="123"/>
      <c r="AQ134" s="124">
        <f t="shared" ref="AQ134" si="6109">AP134*$E134</f>
        <v>0</v>
      </c>
      <c r="AR134" s="123"/>
      <c r="AS134" s="124">
        <f t="shared" ref="AS134" si="6110">AR134*$E134</f>
        <v>0</v>
      </c>
      <c r="AT134" s="123"/>
      <c r="AU134" s="124">
        <f t="shared" ref="AU134" si="6111">AT134*$E134</f>
        <v>0</v>
      </c>
      <c r="AV134" s="123"/>
      <c r="AW134" s="124">
        <f t="shared" ref="AW134" si="6112">AV134*$E134</f>
        <v>0</v>
      </c>
      <c r="AX134" s="123"/>
      <c r="AY134" s="124">
        <f t="shared" ref="AY134" si="6113">AX134*$E134</f>
        <v>0</v>
      </c>
      <c r="AZ134" s="123"/>
      <c r="BA134" s="124">
        <f t="shared" ref="BA134" si="6114">AZ134*$E134</f>
        <v>0</v>
      </c>
      <c r="BB134" s="123"/>
      <c r="BC134" s="124">
        <f t="shared" ref="BC134" si="6115">BB134*$E134</f>
        <v>0</v>
      </c>
      <c r="BD134" s="123"/>
      <c r="BE134" s="124">
        <f t="shared" ref="BE134" si="6116">BD134*$E134</f>
        <v>0</v>
      </c>
      <c r="BF134" s="125">
        <f t="shared" si="3172"/>
        <v>0</v>
      </c>
      <c r="BG134" s="126">
        <f t="shared" ref="BG134" si="6117">BF134*$E134</f>
        <v>0</v>
      </c>
      <c r="BH134" s="123"/>
      <c r="BI134" s="124">
        <f t="shared" ref="BI134" si="6118">BH134*$E134</f>
        <v>0</v>
      </c>
      <c r="BJ134" s="123"/>
      <c r="BK134" s="124">
        <f t="shared" ref="BK134" si="6119">BJ134*$E134</f>
        <v>0</v>
      </c>
      <c r="BL134" s="123"/>
      <c r="BM134" s="124">
        <f t="shared" ref="BM134" si="6120">BL134*$E134</f>
        <v>0</v>
      </c>
      <c r="BN134" s="123"/>
      <c r="BO134" s="124">
        <f t="shared" ref="BO134" si="6121">BN134*$E134</f>
        <v>0</v>
      </c>
      <c r="BP134" s="123"/>
      <c r="BQ134" s="124">
        <f t="shared" ref="BQ134" si="6122">BP134*$E134</f>
        <v>0</v>
      </c>
      <c r="BR134" s="123"/>
      <c r="BS134" s="124">
        <f t="shared" ref="BS134" si="6123">BR134*$E134</f>
        <v>0</v>
      </c>
      <c r="BT134" s="123"/>
      <c r="BU134" s="124">
        <f t="shared" ref="BU134" si="6124">BT134*$E134</f>
        <v>0</v>
      </c>
      <c r="BV134" s="123"/>
      <c r="BW134" s="124">
        <f t="shared" ref="BW134" si="6125">BV134*$E134</f>
        <v>0</v>
      </c>
      <c r="BX134" s="123"/>
      <c r="BY134" s="124">
        <f t="shared" ref="BY134" si="6126">BX134*$E134</f>
        <v>0</v>
      </c>
      <c r="BZ134" s="123"/>
      <c r="CA134" s="124">
        <f t="shared" ref="CA134" si="6127">BZ134*$E134</f>
        <v>0</v>
      </c>
      <c r="CB134" s="123"/>
      <c r="CC134" s="124">
        <f t="shared" ref="CC134" si="6128">CB134*$E134</f>
        <v>0</v>
      </c>
      <c r="CD134" s="123"/>
      <c r="CE134" s="124">
        <f t="shared" ref="CE134" si="6129">CD134*$E134</f>
        <v>0</v>
      </c>
      <c r="CF134" s="125">
        <f t="shared" si="3186"/>
        <v>0</v>
      </c>
      <c r="CG134" s="126">
        <f t="shared" ref="CG134" si="6130">CF134*$E134</f>
        <v>0</v>
      </c>
      <c r="CH134" s="129"/>
      <c r="CI134" s="124">
        <f t="shared" ref="CI134" si="6131">CH134*$E134</f>
        <v>0</v>
      </c>
      <c r="CJ134" s="123"/>
      <c r="CK134" s="124">
        <f t="shared" ref="CK134" si="6132">CJ134*$E134</f>
        <v>0</v>
      </c>
      <c r="CL134" s="123"/>
      <c r="CM134" s="124">
        <f t="shared" ref="CM134" si="6133">CL134*$E134</f>
        <v>0</v>
      </c>
      <c r="CN134" s="123"/>
      <c r="CO134" s="124">
        <f t="shared" ref="CO134" si="6134">CN134*$E134</f>
        <v>0</v>
      </c>
      <c r="CP134" s="123"/>
      <c r="CQ134" s="124">
        <f t="shared" ref="CQ134" si="6135">CP134*$E134</f>
        <v>0</v>
      </c>
      <c r="CR134" s="123"/>
      <c r="CS134" s="124">
        <f t="shared" ref="CS134" si="6136">CR134*$E134</f>
        <v>0</v>
      </c>
      <c r="CT134" s="123"/>
      <c r="CU134" s="124">
        <f t="shared" ref="CU134" si="6137">CT134*$E134</f>
        <v>0</v>
      </c>
      <c r="CV134" s="123"/>
      <c r="CW134" s="124">
        <f t="shared" ref="CW134" si="6138">CV134*$E134</f>
        <v>0</v>
      </c>
      <c r="CX134" s="123"/>
      <c r="CY134" s="124">
        <f t="shared" ref="CY134" si="6139">CX134*$E134</f>
        <v>0</v>
      </c>
      <c r="CZ134" s="123"/>
      <c r="DA134" s="124">
        <f t="shared" ref="DA134" si="6140">CZ134*$E134</f>
        <v>0</v>
      </c>
      <c r="DB134" s="123"/>
      <c r="DC134" s="124">
        <f t="shared" si="3198"/>
        <v>0</v>
      </c>
      <c r="DD134" s="123"/>
      <c r="DE134" s="124">
        <f t="shared" si="3198"/>
        <v>0</v>
      </c>
      <c r="DF134" s="27">
        <f t="shared" si="3145"/>
        <v>0</v>
      </c>
      <c r="DG134" s="124">
        <f t="shared" si="3199"/>
        <v>0</v>
      </c>
    </row>
    <row r="135" spans="1:111" ht="18" customHeight="1" x14ac:dyDescent="0.5">
      <c r="A135" s="117">
        <v>110</v>
      </c>
      <c r="B135" s="122" t="s">
        <v>205</v>
      </c>
      <c r="C135" s="122"/>
      <c r="D135" s="117">
        <f>RANK(DF135,$DF$4:$DF$141)</f>
        <v>21</v>
      </c>
      <c r="E135" s="117">
        <v>0.64</v>
      </c>
      <c r="F135" s="117" t="s">
        <v>243</v>
      </c>
      <c r="G135" s="117"/>
      <c r="H135" s="123"/>
      <c r="I135" s="124">
        <f t="shared" ref="I135" si="6141">H135*$E135</f>
        <v>0</v>
      </c>
      <c r="J135" s="123"/>
      <c r="K135" s="124">
        <f t="shared" ref="K135" si="6142">J135*$E135</f>
        <v>0</v>
      </c>
      <c r="L135" s="123"/>
      <c r="M135" s="124">
        <f t="shared" ref="M135" si="6143">L135*$E135</f>
        <v>0</v>
      </c>
      <c r="N135" s="123"/>
      <c r="O135" s="124">
        <f t="shared" ref="O135" si="6144">N135*$E135</f>
        <v>0</v>
      </c>
      <c r="P135" s="123"/>
      <c r="Q135" s="124">
        <f t="shared" ref="Q135" si="6145">P135*$E135</f>
        <v>0</v>
      </c>
      <c r="R135" s="123"/>
      <c r="S135" s="124">
        <f t="shared" ref="S135" si="6146">R135*$E135</f>
        <v>0</v>
      </c>
      <c r="T135" s="123"/>
      <c r="U135" s="124">
        <f t="shared" ref="U135" si="6147">T135*$E135</f>
        <v>0</v>
      </c>
      <c r="V135" s="123"/>
      <c r="W135" s="124">
        <f t="shared" ref="W135" si="6148">V135*$E135</f>
        <v>0</v>
      </c>
      <c r="X135" s="123"/>
      <c r="Y135" s="124">
        <f t="shared" ref="Y135" si="6149">X135*$E135</f>
        <v>0</v>
      </c>
      <c r="Z135" s="123"/>
      <c r="AA135" s="124">
        <f t="shared" ref="AA135" si="6150">Z135*$E135</f>
        <v>0</v>
      </c>
      <c r="AB135" s="123"/>
      <c r="AC135" s="124">
        <f t="shared" ref="AC135" si="6151">AB135*$E135</f>
        <v>0</v>
      </c>
      <c r="AD135" s="123"/>
      <c r="AE135" s="124">
        <f t="shared" ref="AE135" si="6152">AD135*$E135</f>
        <v>0</v>
      </c>
      <c r="AF135" s="125">
        <f t="shared" si="3158"/>
        <v>0</v>
      </c>
      <c r="AG135" s="126">
        <f t="shared" ref="AG135" si="6153">AF135*$E135</f>
        <v>0</v>
      </c>
      <c r="AH135" s="11"/>
      <c r="AI135" s="124">
        <f t="shared" ref="AI135" si="6154">AH135*$E135</f>
        <v>0</v>
      </c>
      <c r="AJ135" s="15"/>
      <c r="AK135" s="124">
        <f t="shared" ref="AK135" si="6155">AJ135*$E135</f>
        <v>0</v>
      </c>
      <c r="AL135" s="15"/>
      <c r="AM135" s="124">
        <f t="shared" ref="AM135" si="6156">AL135*$E135</f>
        <v>0</v>
      </c>
      <c r="AN135" s="16"/>
      <c r="AO135" s="124">
        <f t="shared" ref="AO135" si="6157">AN135*$E135</f>
        <v>0</v>
      </c>
      <c r="AP135" s="15"/>
      <c r="AQ135" s="124">
        <f t="shared" ref="AQ135" si="6158">AP135*$E135</f>
        <v>0</v>
      </c>
      <c r="AR135" s="15"/>
      <c r="AS135" s="124">
        <f t="shared" ref="AS135" si="6159">AR135*$E135</f>
        <v>0</v>
      </c>
      <c r="AT135" s="17"/>
      <c r="AU135" s="124">
        <f t="shared" ref="AU135" si="6160">AT135*$E135</f>
        <v>0</v>
      </c>
      <c r="AV135" s="15"/>
      <c r="AW135" s="124">
        <f t="shared" ref="AW135" si="6161">AV135*$E135</f>
        <v>0</v>
      </c>
      <c r="AX135" s="15"/>
      <c r="AY135" s="124">
        <f t="shared" ref="AY135" si="6162">AX135*$E135</f>
        <v>0</v>
      </c>
      <c r="AZ135" s="17"/>
      <c r="BA135" s="124">
        <f t="shared" ref="BA135" si="6163">AZ135*$E135</f>
        <v>0</v>
      </c>
      <c r="BB135" s="33"/>
      <c r="BC135" s="124">
        <f t="shared" ref="BC135" si="6164">BB135*$E135</f>
        <v>0</v>
      </c>
      <c r="BD135" s="33"/>
      <c r="BE135" s="124">
        <f t="shared" ref="BE135" si="6165">BD135*$E135</f>
        <v>0</v>
      </c>
      <c r="BF135" s="125">
        <f t="shared" si="3172"/>
        <v>0</v>
      </c>
      <c r="BG135" s="126">
        <f t="shared" ref="BG135" si="6166">BF135*$E135</f>
        <v>0</v>
      </c>
      <c r="BH135" s="123"/>
      <c r="BI135" s="124">
        <f t="shared" ref="BI135" si="6167">BH135*$E135</f>
        <v>0</v>
      </c>
      <c r="BJ135" s="123"/>
      <c r="BK135" s="124">
        <f t="shared" ref="BK135" si="6168">BJ135*$E135</f>
        <v>0</v>
      </c>
      <c r="BL135" s="123"/>
      <c r="BM135" s="124">
        <f t="shared" ref="BM135" si="6169">BL135*$E135</f>
        <v>0</v>
      </c>
      <c r="BN135" s="123"/>
      <c r="BO135" s="124">
        <f t="shared" ref="BO135" si="6170">BN135*$E135</f>
        <v>0</v>
      </c>
      <c r="BP135" s="123"/>
      <c r="BQ135" s="124">
        <f t="shared" ref="BQ135" si="6171">BP135*$E135</f>
        <v>0</v>
      </c>
      <c r="BR135" s="123"/>
      <c r="BS135" s="124">
        <f t="shared" ref="BS135" si="6172">BR135*$E135</f>
        <v>0</v>
      </c>
      <c r="BT135" s="123"/>
      <c r="BU135" s="124">
        <f t="shared" ref="BU135" si="6173">BT135*$E135</f>
        <v>0</v>
      </c>
      <c r="BV135" s="123"/>
      <c r="BW135" s="124">
        <f t="shared" ref="BW135" si="6174">BV135*$E135</f>
        <v>0</v>
      </c>
      <c r="BX135" s="123"/>
      <c r="BY135" s="124">
        <f t="shared" ref="BY135" si="6175">BX135*$E135</f>
        <v>0</v>
      </c>
      <c r="BZ135" s="123"/>
      <c r="CA135" s="124">
        <f t="shared" ref="CA135" si="6176">BZ135*$E135</f>
        <v>0</v>
      </c>
      <c r="CB135" s="123"/>
      <c r="CC135" s="124">
        <f t="shared" ref="CC135" si="6177">CB135*$E135</f>
        <v>0</v>
      </c>
      <c r="CD135" s="123"/>
      <c r="CE135" s="124">
        <f t="shared" ref="CE135" si="6178">CD135*$E135</f>
        <v>0</v>
      </c>
      <c r="CF135" s="125">
        <f t="shared" si="3186"/>
        <v>0</v>
      </c>
      <c r="CG135" s="126">
        <f t="shared" ref="CG135" si="6179">CF135*$E135</f>
        <v>0</v>
      </c>
      <c r="CH135" s="123"/>
      <c r="CI135" s="124">
        <f t="shared" ref="CI135" si="6180">CH135*$E135</f>
        <v>0</v>
      </c>
      <c r="CJ135" s="123"/>
      <c r="CK135" s="124">
        <f t="shared" ref="CK135" si="6181">CJ135*$E135</f>
        <v>0</v>
      </c>
      <c r="CL135" s="123"/>
      <c r="CM135" s="124">
        <f t="shared" ref="CM135" si="6182">CL135*$E135</f>
        <v>0</v>
      </c>
      <c r="CN135" s="123"/>
      <c r="CO135" s="124">
        <f t="shared" ref="CO135" si="6183">CN135*$E135</f>
        <v>0</v>
      </c>
      <c r="CP135" s="123"/>
      <c r="CQ135" s="124">
        <f t="shared" ref="CQ135" si="6184">CP135*$E135</f>
        <v>0</v>
      </c>
      <c r="CR135" s="123"/>
      <c r="CS135" s="124">
        <f t="shared" ref="CS135" si="6185">CR135*$E135</f>
        <v>0</v>
      </c>
      <c r="CT135" s="123"/>
      <c r="CU135" s="124">
        <f t="shared" ref="CU135" si="6186">CT135*$E135</f>
        <v>0</v>
      </c>
      <c r="CV135" s="123"/>
      <c r="CW135" s="124">
        <f t="shared" ref="CW135" si="6187">CV135*$E135</f>
        <v>0</v>
      </c>
      <c r="CX135" s="123"/>
      <c r="CY135" s="124">
        <f t="shared" ref="CY135" si="6188">CX135*$E135</f>
        <v>0</v>
      </c>
      <c r="CZ135" s="123"/>
      <c r="DA135" s="124">
        <f t="shared" ref="DA135" si="6189">CZ135*$E135</f>
        <v>0</v>
      </c>
      <c r="DB135" s="123"/>
      <c r="DC135" s="124">
        <f t="shared" si="3198"/>
        <v>0</v>
      </c>
      <c r="DD135" s="123"/>
      <c r="DE135" s="124">
        <f t="shared" si="3198"/>
        <v>0</v>
      </c>
      <c r="DF135" s="27">
        <f t="shared" si="3145"/>
        <v>0</v>
      </c>
      <c r="DG135" s="124">
        <f t="shared" si="3199"/>
        <v>0</v>
      </c>
    </row>
    <row r="136" spans="1:111" ht="18" customHeight="1" x14ac:dyDescent="0.5">
      <c r="A136" s="117"/>
      <c r="B136" s="122"/>
      <c r="C136" s="122"/>
      <c r="D136" s="117"/>
      <c r="E136" s="117"/>
      <c r="F136" s="117"/>
      <c r="G136" s="117"/>
      <c r="H136" s="123"/>
      <c r="I136" s="124">
        <f t="shared" ref="I136" si="6190">H136*$E136</f>
        <v>0</v>
      </c>
      <c r="J136" s="123"/>
      <c r="K136" s="124">
        <f t="shared" ref="K136" si="6191">J136*$E136</f>
        <v>0</v>
      </c>
      <c r="L136" s="123"/>
      <c r="M136" s="124">
        <f t="shared" ref="M136" si="6192">L136*$E136</f>
        <v>0</v>
      </c>
      <c r="N136" s="123"/>
      <c r="O136" s="124">
        <f t="shared" ref="O136" si="6193">N136*$E136</f>
        <v>0</v>
      </c>
      <c r="P136" s="123"/>
      <c r="Q136" s="124">
        <f t="shared" ref="Q136" si="6194">P136*$E136</f>
        <v>0</v>
      </c>
      <c r="R136" s="123"/>
      <c r="S136" s="124">
        <f t="shared" ref="S136" si="6195">R136*$E136</f>
        <v>0</v>
      </c>
      <c r="T136" s="123"/>
      <c r="U136" s="124">
        <f t="shared" ref="U136" si="6196">T136*$E136</f>
        <v>0</v>
      </c>
      <c r="V136" s="123"/>
      <c r="W136" s="124">
        <f t="shared" ref="W136" si="6197">V136*$E136</f>
        <v>0</v>
      </c>
      <c r="X136" s="123"/>
      <c r="Y136" s="124">
        <f t="shared" ref="Y136" si="6198">X136*$E136</f>
        <v>0</v>
      </c>
      <c r="Z136" s="123"/>
      <c r="AA136" s="124">
        <f t="shared" ref="AA136" si="6199">Z136*$E136</f>
        <v>0</v>
      </c>
      <c r="AB136" s="123"/>
      <c r="AC136" s="124">
        <f t="shared" ref="AC136" si="6200">AB136*$E136</f>
        <v>0</v>
      </c>
      <c r="AD136" s="123"/>
      <c r="AE136" s="124">
        <f t="shared" ref="AE136" si="6201">AD136*$E136</f>
        <v>0</v>
      </c>
      <c r="AF136" s="125">
        <f t="shared" si="3158"/>
        <v>0</v>
      </c>
      <c r="AG136" s="126">
        <f t="shared" ref="AG136" si="6202">AF136*$E136</f>
        <v>0</v>
      </c>
      <c r="AH136" s="11"/>
      <c r="AI136" s="124">
        <f t="shared" ref="AI136" si="6203">AH136*$E136</f>
        <v>0</v>
      </c>
      <c r="AJ136" s="15"/>
      <c r="AK136" s="124">
        <f t="shared" ref="AK136" si="6204">AJ136*$E136</f>
        <v>0</v>
      </c>
      <c r="AL136" s="15"/>
      <c r="AM136" s="124">
        <f t="shared" ref="AM136" si="6205">AL136*$E136</f>
        <v>0</v>
      </c>
      <c r="AN136" s="16"/>
      <c r="AO136" s="124">
        <f t="shared" ref="AO136" si="6206">AN136*$E136</f>
        <v>0</v>
      </c>
      <c r="AP136" s="15"/>
      <c r="AQ136" s="124">
        <f t="shared" ref="AQ136" si="6207">AP136*$E136</f>
        <v>0</v>
      </c>
      <c r="AR136" s="15"/>
      <c r="AS136" s="124">
        <f t="shared" ref="AS136" si="6208">AR136*$E136</f>
        <v>0</v>
      </c>
      <c r="AT136" s="17"/>
      <c r="AU136" s="124">
        <f t="shared" ref="AU136" si="6209">AT136*$E136</f>
        <v>0</v>
      </c>
      <c r="AV136" s="15"/>
      <c r="AW136" s="124">
        <f t="shared" ref="AW136" si="6210">AV136*$E136</f>
        <v>0</v>
      </c>
      <c r="AX136" s="15"/>
      <c r="AY136" s="124">
        <f t="shared" ref="AY136" si="6211">AX136*$E136</f>
        <v>0</v>
      </c>
      <c r="AZ136" s="17"/>
      <c r="BA136" s="124">
        <f t="shared" ref="BA136" si="6212">AZ136*$E136</f>
        <v>0</v>
      </c>
      <c r="BB136" s="33"/>
      <c r="BC136" s="124">
        <f t="shared" ref="BC136" si="6213">BB136*$E136</f>
        <v>0</v>
      </c>
      <c r="BD136" s="33"/>
      <c r="BE136" s="124">
        <f t="shared" ref="BE136" si="6214">BD136*$E136</f>
        <v>0</v>
      </c>
      <c r="BF136" s="125">
        <f t="shared" si="3172"/>
        <v>0</v>
      </c>
      <c r="BG136" s="126">
        <f t="shared" ref="BG136" si="6215">BF136*$E136</f>
        <v>0</v>
      </c>
      <c r="BH136" s="123"/>
      <c r="BI136" s="124">
        <f t="shared" ref="BI136" si="6216">BH136*$E136</f>
        <v>0</v>
      </c>
      <c r="BJ136" s="123"/>
      <c r="BK136" s="124">
        <f t="shared" ref="BK136" si="6217">BJ136*$E136</f>
        <v>0</v>
      </c>
      <c r="BL136" s="123"/>
      <c r="BM136" s="124">
        <f t="shared" ref="BM136" si="6218">BL136*$E136</f>
        <v>0</v>
      </c>
      <c r="BN136" s="123"/>
      <c r="BO136" s="124">
        <f t="shared" ref="BO136" si="6219">BN136*$E136</f>
        <v>0</v>
      </c>
      <c r="BP136" s="123"/>
      <c r="BQ136" s="124">
        <f t="shared" ref="BQ136" si="6220">BP136*$E136</f>
        <v>0</v>
      </c>
      <c r="BR136" s="123"/>
      <c r="BS136" s="124">
        <f t="shared" ref="BS136" si="6221">BR136*$E136</f>
        <v>0</v>
      </c>
      <c r="BT136" s="123"/>
      <c r="BU136" s="124">
        <f t="shared" ref="BU136" si="6222">BT136*$E136</f>
        <v>0</v>
      </c>
      <c r="BV136" s="123"/>
      <c r="BW136" s="124">
        <f t="shared" ref="BW136" si="6223">BV136*$E136</f>
        <v>0</v>
      </c>
      <c r="BX136" s="123"/>
      <c r="BY136" s="124">
        <f t="shared" ref="BY136" si="6224">BX136*$E136</f>
        <v>0</v>
      </c>
      <c r="BZ136" s="123"/>
      <c r="CA136" s="124">
        <f t="shared" ref="CA136" si="6225">BZ136*$E136</f>
        <v>0</v>
      </c>
      <c r="CB136" s="123"/>
      <c r="CC136" s="124">
        <f t="shared" ref="CC136" si="6226">CB136*$E136</f>
        <v>0</v>
      </c>
      <c r="CD136" s="123"/>
      <c r="CE136" s="124">
        <f t="shared" ref="CE136" si="6227">CD136*$E136</f>
        <v>0</v>
      </c>
      <c r="CF136" s="125">
        <f t="shared" si="3186"/>
        <v>0</v>
      </c>
      <c r="CG136" s="126">
        <f t="shared" ref="CG136" si="6228">CF136*$E136</f>
        <v>0</v>
      </c>
      <c r="CH136" s="123"/>
      <c r="CI136" s="124">
        <f t="shared" ref="CI136" si="6229">CH136*$E136</f>
        <v>0</v>
      </c>
      <c r="CJ136" s="123"/>
      <c r="CK136" s="124">
        <f t="shared" ref="CK136" si="6230">CJ136*$E136</f>
        <v>0</v>
      </c>
      <c r="CL136" s="123"/>
      <c r="CM136" s="124">
        <f t="shared" ref="CM136" si="6231">CL136*$E136</f>
        <v>0</v>
      </c>
      <c r="CN136" s="123"/>
      <c r="CO136" s="124">
        <f t="shared" ref="CO136" si="6232">CN136*$E136</f>
        <v>0</v>
      </c>
      <c r="CP136" s="123"/>
      <c r="CQ136" s="124">
        <f t="shared" ref="CQ136" si="6233">CP136*$E136</f>
        <v>0</v>
      </c>
      <c r="CR136" s="123"/>
      <c r="CS136" s="124">
        <f t="shared" ref="CS136" si="6234">CR136*$E136</f>
        <v>0</v>
      </c>
      <c r="CT136" s="123"/>
      <c r="CU136" s="124">
        <f t="shared" ref="CU136" si="6235">CT136*$E136</f>
        <v>0</v>
      </c>
      <c r="CV136" s="123"/>
      <c r="CW136" s="124">
        <f t="shared" ref="CW136" si="6236">CV136*$E136</f>
        <v>0</v>
      </c>
      <c r="CX136" s="123"/>
      <c r="CY136" s="124">
        <f t="shared" ref="CY136" si="6237">CX136*$E136</f>
        <v>0</v>
      </c>
      <c r="CZ136" s="123"/>
      <c r="DA136" s="124">
        <f t="shared" ref="DA136" si="6238">CZ136*$E136</f>
        <v>0</v>
      </c>
      <c r="DB136" s="123"/>
      <c r="DC136" s="124">
        <f t="shared" si="3198"/>
        <v>0</v>
      </c>
      <c r="DD136" s="123"/>
      <c r="DE136" s="124">
        <f t="shared" si="3198"/>
        <v>0</v>
      </c>
      <c r="DF136" s="27">
        <f t="shared" si="3145"/>
        <v>0</v>
      </c>
      <c r="DG136" s="124">
        <f t="shared" si="3199"/>
        <v>0</v>
      </c>
    </row>
    <row r="137" spans="1:111" ht="18" customHeight="1" x14ac:dyDescent="0.5">
      <c r="A137" s="117">
        <v>111</v>
      </c>
      <c r="B137" s="122" t="s">
        <v>218</v>
      </c>
      <c r="C137" s="122" t="s">
        <v>231</v>
      </c>
      <c r="D137" s="117">
        <f>RANK(DF137,$DF$4:$DF$141)</f>
        <v>21</v>
      </c>
      <c r="E137" s="117">
        <v>0.7</v>
      </c>
      <c r="F137" s="117" t="s">
        <v>232</v>
      </c>
      <c r="G137" s="117"/>
      <c r="H137" s="123"/>
      <c r="I137" s="124">
        <f t="shared" ref="I137" si="6239">H137*$E137</f>
        <v>0</v>
      </c>
      <c r="J137" s="123">
        <v>22</v>
      </c>
      <c r="K137" s="124">
        <f t="shared" ref="K137" si="6240">J137*$E137</f>
        <v>15.399999999999999</v>
      </c>
      <c r="L137" s="123">
        <v>7</v>
      </c>
      <c r="M137" s="124">
        <f t="shared" ref="M137" si="6241">L137*$E137</f>
        <v>4.8999999999999995</v>
      </c>
      <c r="N137" s="123"/>
      <c r="O137" s="124">
        <f t="shared" ref="O137" si="6242">N137*$E137</f>
        <v>0</v>
      </c>
      <c r="P137" s="123"/>
      <c r="Q137" s="124">
        <f t="shared" ref="Q137" si="6243">P137*$E137</f>
        <v>0</v>
      </c>
      <c r="R137" s="123"/>
      <c r="S137" s="124">
        <f t="shared" ref="S137" si="6244">R137*$E137</f>
        <v>0</v>
      </c>
      <c r="T137" s="123"/>
      <c r="U137" s="124">
        <f t="shared" ref="U137" si="6245">T137*$E137</f>
        <v>0</v>
      </c>
      <c r="V137" s="123"/>
      <c r="W137" s="124">
        <f t="shared" ref="W137" si="6246">V137*$E137</f>
        <v>0</v>
      </c>
      <c r="X137" s="123">
        <v>12</v>
      </c>
      <c r="Y137" s="124">
        <f t="shared" ref="Y137" si="6247">X137*$E137</f>
        <v>8.3999999999999986</v>
      </c>
      <c r="Z137" s="123">
        <v>12</v>
      </c>
      <c r="AA137" s="124">
        <f t="shared" ref="AA137" si="6248">Z137*$E137</f>
        <v>8.3999999999999986</v>
      </c>
      <c r="AB137" s="123"/>
      <c r="AC137" s="124">
        <f t="shared" ref="AC137" si="6249">AB137*$E137</f>
        <v>0</v>
      </c>
      <c r="AD137" s="123">
        <v>12</v>
      </c>
      <c r="AE137" s="124">
        <f t="shared" ref="AE137" si="6250">AD137*$E137</f>
        <v>8.3999999999999986</v>
      </c>
      <c r="AF137" s="125">
        <f t="shared" si="3158"/>
        <v>65</v>
      </c>
      <c r="AG137" s="126">
        <f t="shared" ref="AG137" si="6251">AF137*$E137</f>
        <v>45.5</v>
      </c>
      <c r="AH137" s="123">
        <v>12</v>
      </c>
      <c r="AI137" s="124">
        <f t="shared" ref="AI137" si="6252">AH137*$E137</f>
        <v>8.3999999999999986</v>
      </c>
      <c r="AJ137" s="123"/>
      <c r="AK137" s="124">
        <f t="shared" ref="AK137" si="6253">AJ137*$E137</f>
        <v>0</v>
      </c>
      <c r="AL137" s="123"/>
      <c r="AM137" s="124">
        <f t="shared" ref="AM137" si="6254">AL137*$E137</f>
        <v>0</v>
      </c>
      <c r="AN137" s="123"/>
      <c r="AO137" s="124">
        <f t="shared" ref="AO137" si="6255">AN137*$E137</f>
        <v>0</v>
      </c>
      <c r="AP137" s="123"/>
      <c r="AQ137" s="124">
        <f t="shared" ref="AQ137" si="6256">AP137*$E137</f>
        <v>0</v>
      </c>
      <c r="AR137" s="123"/>
      <c r="AS137" s="124">
        <f t="shared" ref="AS137" si="6257">AR137*$E137</f>
        <v>0</v>
      </c>
      <c r="AT137" s="123"/>
      <c r="AU137" s="124">
        <f t="shared" ref="AU137" si="6258">AT137*$E137</f>
        <v>0</v>
      </c>
      <c r="AV137" s="123"/>
      <c r="AW137" s="124">
        <f t="shared" ref="AW137" si="6259">AV137*$E137</f>
        <v>0</v>
      </c>
      <c r="AX137" s="123"/>
      <c r="AY137" s="124">
        <f t="shared" ref="AY137" si="6260">AX137*$E137</f>
        <v>0</v>
      </c>
      <c r="AZ137" s="123"/>
      <c r="BA137" s="124">
        <f t="shared" ref="BA137" si="6261">AZ137*$E137</f>
        <v>0</v>
      </c>
      <c r="BB137" s="123"/>
      <c r="BC137" s="124">
        <f t="shared" ref="BC137" si="6262">BB137*$E137</f>
        <v>0</v>
      </c>
      <c r="BD137" s="123"/>
      <c r="BE137" s="124">
        <f t="shared" ref="BE137" si="6263">BD137*$E137</f>
        <v>0</v>
      </c>
      <c r="BF137" s="125">
        <f t="shared" si="3172"/>
        <v>12</v>
      </c>
      <c r="BG137" s="126">
        <f t="shared" ref="BG137" si="6264">BF137*$E137</f>
        <v>8.3999999999999986</v>
      </c>
      <c r="BH137" s="123"/>
      <c r="BI137" s="124">
        <f t="shared" ref="BI137" si="6265">BH137*$E137</f>
        <v>0</v>
      </c>
      <c r="BJ137" s="123"/>
      <c r="BK137" s="124">
        <f t="shared" ref="BK137" si="6266">BJ137*$E137</f>
        <v>0</v>
      </c>
      <c r="BL137" s="123"/>
      <c r="BM137" s="124">
        <f t="shared" ref="BM137" si="6267">BL137*$E137</f>
        <v>0</v>
      </c>
      <c r="BN137" s="123"/>
      <c r="BO137" s="124">
        <f t="shared" ref="BO137" si="6268">BN137*$E137</f>
        <v>0</v>
      </c>
      <c r="BP137" s="123"/>
      <c r="BQ137" s="124">
        <f t="shared" ref="BQ137" si="6269">BP137*$E137</f>
        <v>0</v>
      </c>
      <c r="BR137" s="123"/>
      <c r="BS137" s="124">
        <f t="shared" ref="BS137" si="6270">BR137*$E137</f>
        <v>0</v>
      </c>
      <c r="BT137" s="123"/>
      <c r="BU137" s="124">
        <f t="shared" ref="BU137" si="6271">BT137*$E137</f>
        <v>0</v>
      </c>
      <c r="BV137" s="123"/>
      <c r="BW137" s="124">
        <f t="shared" ref="BW137" si="6272">BV137*$E137</f>
        <v>0</v>
      </c>
      <c r="BX137" s="123"/>
      <c r="BY137" s="124">
        <f t="shared" ref="BY137" si="6273">BX137*$E137</f>
        <v>0</v>
      </c>
      <c r="BZ137" s="123"/>
      <c r="CA137" s="124">
        <f t="shared" ref="CA137" si="6274">BZ137*$E137</f>
        <v>0</v>
      </c>
      <c r="CB137" s="123"/>
      <c r="CC137" s="124">
        <f t="shared" ref="CC137" si="6275">CB137*$E137</f>
        <v>0</v>
      </c>
      <c r="CD137" s="123"/>
      <c r="CE137" s="124">
        <f t="shared" ref="CE137" si="6276">CD137*$E137</f>
        <v>0</v>
      </c>
      <c r="CF137" s="125">
        <f t="shared" si="3186"/>
        <v>0</v>
      </c>
      <c r="CG137" s="126">
        <f t="shared" ref="CG137" si="6277">CF137*$E137</f>
        <v>0</v>
      </c>
      <c r="CH137" s="123"/>
      <c r="CI137" s="124">
        <f t="shared" ref="CI137" si="6278">CH137*$E137</f>
        <v>0</v>
      </c>
      <c r="CJ137" s="123"/>
      <c r="CK137" s="124">
        <f t="shared" ref="CK137" si="6279">CJ137*$E137</f>
        <v>0</v>
      </c>
      <c r="CL137" s="123"/>
      <c r="CM137" s="124">
        <f t="shared" ref="CM137" si="6280">CL137*$E137</f>
        <v>0</v>
      </c>
      <c r="CN137" s="123"/>
      <c r="CO137" s="124">
        <f t="shared" ref="CO137" si="6281">CN137*$E137</f>
        <v>0</v>
      </c>
      <c r="CP137" s="123"/>
      <c r="CQ137" s="124">
        <f t="shared" ref="CQ137" si="6282">CP137*$E137</f>
        <v>0</v>
      </c>
      <c r="CR137" s="123"/>
      <c r="CS137" s="124">
        <f t="shared" ref="CS137" si="6283">CR137*$E137</f>
        <v>0</v>
      </c>
      <c r="CT137" s="123"/>
      <c r="CU137" s="124">
        <f t="shared" ref="CU137" si="6284">CT137*$E137</f>
        <v>0</v>
      </c>
      <c r="CV137" s="123"/>
      <c r="CW137" s="124">
        <f t="shared" ref="CW137" si="6285">CV137*$E137</f>
        <v>0</v>
      </c>
      <c r="CX137" s="123"/>
      <c r="CY137" s="124">
        <f t="shared" ref="CY137" si="6286">CX137*$E137</f>
        <v>0</v>
      </c>
      <c r="CZ137" s="123"/>
      <c r="DA137" s="124">
        <f t="shared" ref="DA137" si="6287">CZ137*$E137</f>
        <v>0</v>
      </c>
      <c r="DB137" s="123"/>
      <c r="DC137" s="124">
        <f t="shared" si="3198"/>
        <v>0</v>
      </c>
      <c r="DD137" s="123"/>
      <c r="DE137" s="124">
        <f t="shared" si="3198"/>
        <v>0</v>
      </c>
      <c r="DF137" s="27">
        <f t="shared" ref="DF137:DF141" si="6288">SUM(CH137,CJ137,CL137,CN137,CP137,CR137,CT137,CV137,CX137,CZ137,DB137,DD137)</f>
        <v>0</v>
      </c>
      <c r="DG137" s="124">
        <f t="shared" si="3199"/>
        <v>0</v>
      </c>
    </row>
    <row r="138" spans="1:111" x14ac:dyDescent="0.5">
      <c r="A138" s="117">
        <v>112</v>
      </c>
      <c r="B138" s="122" t="s">
        <v>219</v>
      </c>
      <c r="C138" s="122"/>
      <c r="D138" s="117">
        <f>RANK(DF138,$DF$4:$DF$141)</f>
        <v>21</v>
      </c>
      <c r="E138" s="117">
        <v>20</v>
      </c>
      <c r="F138" s="117">
        <v>1</v>
      </c>
      <c r="G138" s="117"/>
      <c r="H138" s="123"/>
      <c r="I138" s="124">
        <f t="shared" ref="I138" si="6289">H138*$E138</f>
        <v>0</v>
      </c>
      <c r="J138" s="123"/>
      <c r="K138" s="124">
        <f t="shared" ref="K138" si="6290">J138*$E138</f>
        <v>0</v>
      </c>
      <c r="L138" s="123"/>
      <c r="M138" s="124">
        <f t="shared" ref="M138" si="6291">L138*$E138</f>
        <v>0</v>
      </c>
      <c r="N138" s="123"/>
      <c r="O138" s="124">
        <f t="shared" ref="O138" si="6292">N138*$E138</f>
        <v>0</v>
      </c>
      <c r="P138" s="123"/>
      <c r="Q138" s="124">
        <f t="shared" ref="Q138" si="6293">P138*$E138</f>
        <v>0</v>
      </c>
      <c r="R138" s="123"/>
      <c r="S138" s="124">
        <f t="shared" ref="S138" si="6294">R138*$E138</f>
        <v>0</v>
      </c>
      <c r="T138" s="123"/>
      <c r="U138" s="124">
        <f t="shared" ref="U138" si="6295">T138*$E138</f>
        <v>0</v>
      </c>
      <c r="V138" s="123"/>
      <c r="W138" s="124">
        <f t="shared" ref="W138" si="6296">V138*$E138</f>
        <v>0</v>
      </c>
      <c r="X138" s="123"/>
      <c r="Y138" s="124">
        <f t="shared" ref="Y138" si="6297">X138*$E138</f>
        <v>0</v>
      </c>
      <c r="Z138" s="123"/>
      <c r="AA138" s="124">
        <f t="shared" ref="AA138" si="6298">Z138*$E138</f>
        <v>0</v>
      </c>
      <c r="AB138" s="123"/>
      <c r="AC138" s="124">
        <f t="shared" ref="AC138" si="6299">AB138*$E138</f>
        <v>0</v>
      </c>
      <c r="AD138" s="123"/>
      <c r="AE138" s="124">
        <f t="shared" ref="AE138" si="6300">AD138*$E138</f>
        <v>0</v>
      </c>
      <c r="AF138" s="125">
        <f t="shared" ref="AF138:AF140" si="6301">(AD138+AB138+Z138+X138+V138+T138+R138+P138+N138+L138+J138+H138)/1</f>
        <v>0</v>
      </c>
      <c r="AG138" s="126">
        <f t="shared" ref="AG138" si="6302">AF138*$E138</f>
        <v>0</v>
      </c>
      <c r="AH138" s="123"/>
      <c r="AI138" s="124">
        <f t="shared" ref="AI138" si="6303">AH138*$E138</f>
        <v>0</v>
      </c>
      <c r="AJ138" s="123"/>
      <c r="AK138" s="124">
        <f t="shared" ref="AK138" si="6304">AJ138*$E138</f>
        <v>0</v>
      </c>
      <c r="AL138" s="123"/>
      <c r="AM138" s="124">
        <f t="shared" ref="AM138" si="6305">AL138*$E138</f>
        <v>0</v>
      </c>
      <c r="AN138" s="123"/>
      <c r="AO138" s="124">
        <f t="shared" ref="AO138" si="6306">AN138*$E138</f>
        <v>0</v>
      </c>
      <c r="AP138" s="123"/>
      <c r="AQ138" s="124">
        <f t="shared" ref="AQ138" si="6307">AP138*$E138</f>
        <v>0</v>
      </c>
      <c r="AR138" s="123"/>
      <c r="AS138" s="124">
        <f t="shared" ref="AS138" si="6308">AR138*$E138</f>
        <v>0</v>
      </c>
      <c r="AT138" s="123"/>
      <c r="AU138" s="124">
        <f t="shared" ref="AU138" si="6309">AT138*$E138</f>
        <v>0</v>
      </c>
      <c r="AV138" s="123"/>
      <c r="AW138" s="124">
        <f t="shared" ref="AW138" si="6310">AV138*$E138</f>
        <v>0</v>
      </c>
      <c r="AX138" s="123"/>
      <c r="AY138" s="124">
        <f t="shared" ref="AY138" si="6311">AX138*$E138</f>
        <v>0</v>
      </c>
      <c r="AZ138" s="123"/>
      <c r="BA138" s="124">
        <f t="shared" ref="BA138" si="6312">AZ138*$E138</f>
        <v>0</v>
      </c>
      <c r="BB138" s="123"/>
      <c r="BC138" s="124">
        <f t="shared" ref="BC138" si="6313">BB138*$E138</f>
        <v>0</v>
      </c>
      <c r="BD138" s="123"/>
      <c r="BE138" s="124">
        <f t="shared" ref="BE138" si="6314">BD138*$E138</f>
        <v>0</v>
      </c>
      <c r="BF138" s="125">
        <f t="shared" ref="BF138:BF140" si="6315">(BD138+BB138+AZ138+AX138+AV138+AT138+AR138+AP138+AN138+AL138+AJ138+AH138)/1</f>
        <v>0</v>
      </c>
      <c r="BG138" s="126">
        <f t="shared" ref="BG138" si="6316">BF138*$E138</f>
        <v>0</v>
      </c>
      <c r="BH138" s="123"/>
      <c r="BI138" s="124">
        <f t="shared" ref="BI138" si="6317">BH138*$E138</f>
        <v>0</v>
      </c>
      <c r="BJ138" s="123"/>
      <c r="BK138" s="124">
        <f t="shared" ref="BK138" si="6318">BJ138*$E138</f>
        <v>0</v>
      </c>
      <c r="BL138" s="123"/>
      <c r="BM138" s="124">
        <f t="shared" ref="BM138" si="6319">BL138*$E138</f>
        <v>0</v>
      </c>
      <c r="BN138" s="123"/>
      <c r="BO138" s="124">
        <f t="shared" ref="BO138" si="6320">BN138*$E138</f>
        <v>0</v>
      </c>
      <c r="BP138" s="123"/>
      <c r="BQ138" s="124">
        <f t="shared" ref="BQ138" si="6321">BP138*$E138</f>
        <v>0</v>
      </c>
      <c r="BR138" s="123"/>
      <c r="BS138" s="124">
        <f t="shared" ref="BS138" si="6322">BR138*$E138</f>
        <v>0</v>
      </c>
      <c r="BT138" s="123"/>
      <c r="BU138" s="124">
        <f t="shared" ref="BU138" si="6323">BT138*$E138</f>
        <v>0</v>
      </c>
      <c r="BV138" s="123"/>
      <c r="BW138" s="124">
        <f t="shared" ref="BW138" si="6324">BV138*$E138</f>
        <v>0</v>
      </c>
      <c r="BX138" s="123"/>
      <c r="BY138" s="124">
        <f t="shared" ref="BY138" si="6325">BX138*$E138</f>
        <v>0</v>
      </c>
      <c r="BZ138" s="123"/>
      <c r="CA138" s="124">
        <f t="shared" ref="CA138" si="6326">BZ138*$E138</f>
        <v>0</v>
      </c>
      <c r="CB138" s="123"/>
      <c r="CC138" s="124">
        <f t="shared" ref="CC138" si="6327">CB138*$E138</f>
        <v>0</v>
      </c>
      <c r="CD138" s="123"/>
      <c r="CE138" s="124">
        <f t="shared" ref="CE138" si="6328">CD138*$E138</f>
        <v>0</v>
      </c>
      <c r="CF138" s="125">
        <f t="shared" ref="CF138:CF140" si="6329">(CD138+CB138+BZ138+BX138+BV138+BT138+BR138+BP138+BN138+BL138+BJ138+BH138)/1</f>
        <v>0</v>
      </c>
      <c r="CG138" s="126">
        <f t="shared" ref="CG138" si="6330">CF138*$E138</f>
        <v>0</v>
      </c>
      <c r="CH138" s="129"/>
      <c r="CI138" s="124">
        <f t="shared" ref="CI138" si="6331">CH138*$E138</f>
        <v>0</v>
      </c>
      <c r="CJ138" s="123"/>
      <c r="CK138" s="124">
        <f t="shared" ref="CK138" si="6332">CJ138*$E138</f>
        <v>0</v>
      </c>
      <c r="CL138" s="123"/>
      <c r="CM138" s="124">
        <f t="shared" ref="CM138" si="6333">CL138*$E138</f>
        <v>0</v>
      </c>
      <c r="CN138" s="123"/>
      <c r="CO138" s="124">
        <f t="shared" ref="CO138" si="6334">CN138*$E138</f>
        <v>0</v>
      </c>
      <c r="CP138" s="123"/>
      <c r="CQ138" s="124">
        <f t="shared" ref="CQ138" si="6335">CP138*$E138</f>
        <v>0</v>
      </c>
      <c r="CR138" s="123"/>
      <c r="CS138" s="124">
        <f t="shared" ref="CS138" si="6336">CR138*$E138</f>
        <v>0</v>
      </c>
      <c r="CT138" s="123"/>
      <c r="CU138" s="124">
        <f t="shared" ref="CU138" si="6337">CT138*$E138</f>
        <v>0</v>
      </c>
      <c r="CV138" s="123"/>
      <c r="CW138" s="124">
        <f t="shared" ref="CW138" si="6338">CV138*$E138</f>
        <v>0</v>
      </c>
      <c r="CX138" s="123"/>
      <c r="CY138" s="124">
        <f t="shared" ref="CY138" si="6339">CX138*$E138</f>
        <v>0</v>
      </c>
      <c r="CZ138" s="123"/>
      <c r="DA138" s="124">
        <f t="shared" ref="DA138" si="6340">CZ138*$E138</f>
        <v>0</v>
      </c>
      <c r="DB138" s="123"/>
      <c r="DC138" s="124">
        <f t="shared" ref="DC138:DE162" si="6341">DB138*$E138</f>
        <v>0</v>
      </c>
      <c r="DD138" s="123"/>
      <c r="DE138" s="124">
        <f t="shared" si="6341"/>
        <v>0</v>
      </c>
      <c r="DF138" s="27">
        <f t="shared" si="6288"/>
        <v>0</v>
      </c>
      <c r="DG138" s="124">
        <f t="shared" ref="DG138:DG141" si="6342">DF138*$E138</f>
        <v>0</v>
      </c>
    </row>
    <row r="139" spans="1:111" x14ac:dyDescent="0.5">
      <c r="A139" s="117"/>
      <c r="B139" s="122"/>
      <c r="C139" s="122"/>
      <c r="D139" s="117"/>
      <c r="E139" s="117"/>
      <c r="F139" s="117"/>
      <c r="G139" s="117"/>
      <c r="H139" s="123"/>
      <c r="I139" s="124">
        <f t="shared" ref="I139" si="6343">H139*$E139</f>
        <v>0</v>
      </c>
      <c r="J139" s="123"/>
      <c r="K139" s="124">
        <f t="shared" ref="K139" si="6344">J139*$E139</f>
        <v>0</v>
      </c>
      <c r="L139" s="123"/>
      <c r="M139" s="124">
        <f t="shared" ref="M139" si="6345">L139*$E139</f>
        <v>0</v>
      </c>
      <c r="N139" s="123"/>
      <c r="O139" s="124">
        <f t="shared" ref="O139" si="6346">N139*$E139</f>
        <v>0</v>
      </c>
      <c r="P139" s="123"/>
      <c r="Q139" s="124">
        <f t="shared" ref="Q139" si="6347">P139*$E139</f>
        <v>0</v>
      </c>
      <c r="R139" s="123"/>
      <c r="S139" s="124">
        <f t="shared" ref="S139" si="6348">R139*$E139</f>
        <v>0</v>
      </c>
      <c r="T139" s="123"/>
      <c r="U139" s="124">
        <f t="shared" ref="U139" si="6349">T139*$E139</f>
        <v>0</v>
      </c>
      <c r="V139" s="123"/>
      <c r="W139" s="124">
        <f t="shared" ref="W139" si="6350">V139*$E139</f>
        <v>0</v>
      </c>
      <c r="X139" s="123"/>
      <c r="Y139" s="124">
        <f t="shared" ref="Y139" si="6351">X139*$E139</f>
        <v>0</v>
      </c>
      <c r="Z139" s="123"/>
      <c r="AA139" s="124">
        <f t="shared" ref="AA139" si="6352">Z139*$E139</f>
        <v>0</v>
      </c>
      <c r="AB139" s="123"/>
      <c r="AC139" s="124">
        <f t="shared" ref="AC139" si="6353">AB139*$E139</f>
        <v>0</v>
      </c>
      <c r="AD139" s="123"/>
      <c r="AE139" s="124">
        <f t="shared" ref="AE139" si="6354">AD139*$E139</f>
        <v>0</v>
      </c>
      <c r="AF139" s="125">
        <f t="shared" si="6301"/>
        <v>0</v>
      </c>
      <c r="AG139" s="126">
        <f t="shared" ref="AG139" si="6355">AF139*$E139</f>
        <v>0</v>
      </c>
      <c r="AH139" s="123"/>
      <c r="AI139" s="124">
        <f t="shared" ref="AI139" si="6356">AH139*$E139</f>
        <v>0</v>
      </c>
      <c r="AJ139" s="123"/>
      <c r="AK139" s="124">
        <f t="shared" ref="AK139" si="6357">AJ139*$E139</f>
        <v>0</v>
      </c>
      <c r="AL139" s="123"/>
      <c r="AM139" s="124">
        <f t="shared" ref="AM139" si="6358">AL139*$E139</f>
        <v>0</v>
      </c>
      <c r="AN139" s="123"/>
      <c r="AO139" s="124">
        <f t="shared" ref="AO139" si="6359">AN139*$E139</f>
        <v>0</v>
      </c>
      <c r="AP139" s="123"/>
      <c r="AQ139" s="124">
        <f t="shared" ref="AQ139" si="6360">AP139*$E139</f>
        <v>0</v>
      </c>
      <c r="AR139" s="123"/>
      <c r="AS139" s="124">
        <f t="shared" ref="AS139" si="6361">AR139*$E139</f>
        <v>0</v>
      </c>
      <c r="AT139" s="123"/>
      <c r="AU139" s="124">
        <f t="shared" ref="AU139" si="6362">AT139*$E139</f>
        <v>0</v>
      </c>
      <c r="AV139" s="123"/>
      <c r="AW139" s="124">
        <f t="shared" ref="AW139" si="6363">AV139*$E139</f>
        <v>0</v>
      </c>
      <c r="AX139" s="123"/>
      <c r="AY139" s="124">
        <f t="shared" ref="AY139" si="6364">AX139*$E139</f>
        <v>0</v>
      </c>
      <c r="AZ139" s="123"/>
      <c r="BA139" s="124">
        <f t="shared" ref="BA139" si="6365">AZ139*$E139</f>
        <v>0</v>
      </c>
      <c r="BB139" s="123"/>
      <c r="BC139" s="124">
        <f t="shared" ref="BC139" si="6366">BB139*$E139</f>
        <v>0</v>
      </c>
      <c r="BD139" s="123"/>
      <c r="BE139" s="124">
        <f t="shared" ref="BE139" si="6367">BD139*$E139</f>
        <v>0</v>
      </c>
      <c r="BF139" s="125">
        <f t="shared" si="6315"/>
        <v>0</v>
      </c>
      <c r="BG139" s="126">
        <f t="shared" ref="BG139" si="6368">BF139*$E139</f>
        <v>0</v>
      </c>
      <c r="BH139" s="123"/>
      <c r="BI139" s="124">
        <f t="shared" ref="BI139" si="6369">BH139*$E139</f>
        <v>0</v>
      </c>
      <c r="BJ139" s="123"/>
      <c r="BK139" s="124">
        <f t="shared" ref="BK139" si="6370">BJ139*$E139</f>
        <v>0</v>
      </c>
      <c r="BL139" s="123"/>
      <c r="BM139" s="124">
        <f t="shared" ref="BM139" si="6371">BL139*$E139</f>
        <v>0</v>
      </c>
      <c r="BN139" s="123"/>
      <c r="BO139" s="124">
        <f t="shared" ref="BO139" si="6372">BN139*$E139</f>
        <v>0</v>
      </c>
      <c r="BP139" s="123"/>
      <c r="BQ139" s="124">
        <f t="shared" ref="BQ139" si="6373">BP139*$E139</f>
        <v>0</v>
      </c>
      <c r="BR139" s="123"/>
      <c r="BS139" s="124">
        <f t="shared" ref="BS139" si="6374">BR139*$E139</f>
        <v>0</v>
      </c>
      <c r="BT139" s="123"/>
      <c r="BU139" s="124">
        <f t="shared" ref="BU139" si="6375">BT139*$E139</f>
        <v>0</v>
      </c>
      <c r="BV139" s="123"/>
      <c r="BW139" s="124">
        <f t="shared" ref="BW139" si="6376">BV139*$E139</f>
        <v>0</v>
      </c>
      <c r="BX139" s="123"/>
      <c r="BY139" s="124">
        <f t="shared" ref="BY139" si="6377">BX139*$E139</f>
        <v>0</v>
      </c>
      <c r="BZ139" s="123"/>
      <c r="CA139" s="124">
        <f t="shared" ref="CA139" si="6378">BZ139*$E139</f>
        <v>0</v>
      </c>
      <c r="CB139" s="123"/>
      <c r="CC139" s="124">
        <f t="shared" ref="CC139" si="6379">CB139*$E139</f>
        <v>0</v>
      </c>
      <c r="CD139" s="123"/>
      <c r="CE139" s="124">
        <f t="shared" ref="CE139" si="6380">CD139*$E139</f>
        <v>0</v>
      </c>
      <c r="CF139" s="125">
        <f t="shared" si="6329"/>
        <v>0</v>
      </c>
      <c r="CG139" s="126">
        <f t="shared" ref="CG139" si="6381">CF139*$E139</f>
        <v>0</v>
      </c>
      <c r="CH139" s="129"/>
      <c r="CI139" s="124">
        <f t="shared" ref="CI139" si="6382">CH139*$E139</f>
        <v>0</v>
      </c>
      <c r="CJ139" s="123"/>
      <c r="CK139" s="124">
        <f t="shared" ref="CK139" si="6383">CJ139*$E139</f>
        <v>0</v>
      </c>
      <c r="CL139" s="123"/>
      <c r="CM139" s="124">
        <f t="shared" ref="CM139" si="6384">CL139*$E139</f>
        <v>0</v>
      </c>
      <c r="CN139" s="123"/>
      <c r="CO139" s="124">
        <f t="shared" ref="CO139" si="6385">CN139*$E139</f>
        <v>0</v>
      </c>
      <c r="CP139" s="123"/>
      <c r="CQ139" s="124">
        <f t="shared" ref="CQ139" si="6386">CP139*$E139</f>
        <v>0</v>
      </c>
      <c r="CR139" s="123"/>
      <c r="CS139" s="124">
        <f t="shared" ref="CS139" si="6387">CR139*$E139</f>
        <v>0</v>
      </c>
      <c r="CT139" s="123"/>
      <c r="CU139" s="124">
        <f t="shared" ref="CU139" si="6388">CT139*$E139</f>
        <v>0</v>
      </c>
      <c r="CV139" s="123"/>
      <c r="CW139" s="124">
        <f t="shared" ref="CW139" si="6389">CV139*$E139</f>
        <v>0</v>
      </c>
      <c r="CX139" s="123"/>
      <c r="CY139" s="124">
        <f t="shared" ref="CY139" si="6390">CX139*$E139</f>
        <v>0</v>
      </c>
      <c r="CZ139" s="123"/>
      <c r="DA139" s="124">
        <f t="shared" ref="DA139" si="6391">CZ139*$E139</f>
        <v>0</v>
      </c>
      <c r="DB139" s="123"/>
      <c r="DC139" s="124">
        <f t="shared" si="6341"/>
        <v>0</v>
      </c>
      <c r="DD139" s="123"/>
      <c r="DE139" s="124">
        <f t="shared" si="6341"/>
        <v>0</v>
      </c>
      <c r="DF139" s="27">
        <f t="shared" si="6288"/>
        <v>0</v>
      </c>
      <c r="DG139" s="124">
        <f t="shared" si="6342"/>
        <v>0</v>
      </c>
    </row>
    <row r="140" spans="1:111" x14ac:dyDescent="0.5">
      <c r="A140" s="117"/>
      <c r="B140" s="122"/>
      <c r="C140" s="122"/>
      <c r="D140" s="117"/>
      <c r="E140" s="117"/>
      <c r="F140" s="117"/>
      <c r="G140" s="117"/>
      <c r="H140" s="123"/>
      <c r="I140" s="124">
        <f t="shared" ref="I140" si="6392">H140*$E140</f>
        <v>0</v>
      </c>
      <c r="J140" s="123"/>
      <c r="K140" s="124">
        <f t="shared" ref="K140" si="6393">J140*$E140</f>
        <v>0</v>
      </c>
      <c r="L140" s="123"/>
      <c r="M140" s="124">
        <f t="shared" ref="M140" si="6394">L140*$E140</f>
        <v>0</v>
      </c>
      <c r="N140" s="123"/>
      <c r="O140" s="124">
        <f t="shared" ref="O140" si="6395">N140*$E140</f>
        <v>0</v>
      </c>
      <c r="P140" s="123"/>
      <c r="Q140" s="124">
        <f t="shared" ref="Q140" si="6396">P140*$E140</f>
        <v>0</v>
      </c>
      <c r="R140" s="123"/>
      <c r="S140" s="124">
        <f t="shared" ref="S140" si="6397">R140*$E140</f>
        <v>0</v>
      </c>
      <c r="T140" s="123"/>
      <c r="U140" s="124">
        <f t="shared" ref="U140" si="6398">T140*$E140</f>
        <v>0</v>
      </c>
      <c r="V140" s="123"/>
      <c r="W140" s="124">
        <f t="shared" ref="W140" si="6399">V140*$E140</f>
        <v>0</v>
      </c>
      <c r="X140" s="123"/>
      <c r="Y140" s="124">
        <f t="shared" ref="Y140" si="6400">X140*$E140</f>
        <v>0</v>
      </c>
      <c r="Z140" s="123"/>
      <c r="AA140" s="124">
        <f t="shared" ref="AA140" si="6401">Z140*$E140</f>
        <v>0</v>
      </c>
      <c r="AB140" s="123"/>
      <c r="AC140" s="124">
        <f t="shared" ref="AC140" si="6402">AB140*$E140</f>
        <v>0</v>
      </c>
      <c r="AD140" s="123"/>
      <c r="AE140" s="124">
        <f t="shared" ref="AE140" si="6403">AD140*$E140</f>
        <v>0</v>
      </c>
      <c r="AF140" s="125">
        <f t="shared" si="6301"/>
        <v>0</v>
      </c>
      <c r="AG140" s="126">
        <f t="shared" ref="AG140" si="6404">AF140*$E140</f>
        <v>0</v>
      </c>
      <c r="AH140" s="123"/>
      <c r="AI140" s="124">
        <f t="shared" ref="AI140" si="6405">AH140*$E140</f>
        <v>0</v>
      </c>
      <c r="AJ140" s="123"/>
      <c r="AK140" s="124">
        <f t="shared" ref="AK140" si="6406">AJ140*$E140</f>
        <v>0</v>
      </c>
      <c r="AL140" s="123"/>
      <c r="AM140" s="124">
        <f t="shared" ref="AM140" si="6407">AL140*$E140</f>
        <v>0</v>
      </c>
      <c r="AN140" s="123"/>
      <c r="AO140" s="124">
        <f t="shared" ref="AO140" si="6408">AN140*$E140</f>
        <v>0</v>
      </c>
      <c r="AP140" s="123"/>
      <c r="AQ140" s="124">
        <f t="shared" ref="AQ140" si="6409">AP140*$E140</f>
        <v>0</v>
      </c>
      <c r="AR140" s="123"/>
      <c r="AS140" s="124">
        <f t="shared" ref="AS140" si="6410">AR140*$E140</f>
        <v>0</v>
      </c>
      <c r="AT140" s="123"/>
      <c r="AU140" s="124">
        <f t="shared" ref="AU140" si="6411">AT140*$E140</f>
        <v>0</v>
      </c>
      <c r="AV140" s="123"/>
      <c r="AW140" s="124">
        <f t="shared" ref="AW140" si="6412">AV140*$E140</f>
        <v>0</v>
      </c>
      <c r="AX140" s="123"/>
      <c r="AY140" s="124">
        <f t="shared" ref="AY140" si="6413">AX140*$E140</f>
        <v>0</v>
      </c>
      <c r="AZ140" s="123"/>
      <c r="BA140" s="124">
        <f t="shared" ref="BA140" si="6414">AZ140*$E140</f>
        <v>0</v>
      </c>
      <c r="BB140" s="123"/>
      <c r="BC140" s="124">
        <f t="shared" ref="BC140" si="6415">BB140*$E140</f>
        <v>0</v>
      </c>
      <c r="BD140" s="123"/>
      <c r="BE140" s="124">
        <f t="shared" ref="BE140" si="6416">BD140*$E140</f>
        <v>0</v>
      </c>
      <c r="BF140" s="125">
        <f t="shared" si="6315"/>
        <v>0</v>
      </c>
      <c r="BG140" s="126">
        <f t="shared" ref="BG140" si="6417">BF140*$E140</f>
        <v>0</v>
      </c>
      <c r="BH140" s="123"/>
      <c r="BI140" s="124">
        <f t="shared" ref="BI140" si="6418">BH140*$E140</f>
        <v>0</v>
      </c>
      <c r="BJ140" s="123"/>
      <c r="BK140" s="124">
        <f t="shared" ref="BK140" si="6419">BJ140*$E140</f>
        <v>0</v>
      </c>
      <c r="BL140" s="123"/>
      <c r="BM140" s="124">
        <f t="shared" ref="BM140" si="6420">BL140*$E140</f>
        <v>0</v>
      </c>
      <c r="BN140" s="123"/>
      <c r="BO140" s="124">
        <f t="shared" ref="BO140" si="6421">BN140*$E140</f>
        <v>0</v>
      </c>
      <c r="BP140" s="123"/>
      <c r="BQ140" s="124">
        <f t="shared" ref="BQ140" si="6422">BP140*$E140</f>
        <v>0</v>
      </c>
      <c r="BR140" s="123"/>
      <c r="BS140" s="124">
        <f t="shared" ref="BS140" si="6423">BR140*$E140</f>
        <v>0</v>
      </c>
      <c r="BT140" s="123"/>
      <c r="BU140" s="124">
        <f t="shared" ref="BU140" si="6424">BT140*$E140</f>
        <v>0</v>
      </c>
      <c r="BV140" s="123"/>
      <c r="BW140" s="124">
        <f t="shared" ref="BW140" si="6425">BV140*$E140</f>
        <v>0</v>
      </c>
      <c r="BX140" s="123"/>
      <c r="BY140" s="124">
        <f t="shared" ref="BY140" si="6426">BX140*$E140</f>
        <v>0</v>
      </c>
      <c r="BZ140" s="123"/>
      <c r="CA140" s="124">
        <f t="shared" ref="CA140" si="6427">BZ140*$E140</f>
        <v>0</v>
      </c>
      <c r="CB140" s="123"/>
      <c r="CC140" s="124">
        <f t="shared" ref="CC140" si="6428">CB140*$E140</f>
        <v>0</v>
      </c>
      <c r="CD140" s="123"/>
      <c r="CE140" s="124">
        <f t="shared" ref="CE140" si="6429">CD140*$E140</f>
        <v>0</v>
      </c>
      <c r="CF140" s="125">
        <f t="shared" si="6329"/>
        <v>0</v>
      </c>
      <c r="CG140" s="126">
        <f t="shared" ref="CG140" si="6430">CF140*$E140</f>
        <v>0</v>
      </c>
      <c r="CH140" s="129"/>
      <c r="CI140" s="124">
        <f t="shared" ref="CI140" si="6431">CH140*$E140</f>
        <v>0</v>
      </c>
      <c r="CJ140" s="123"/>
      <c r="CK140" s="124">
        <f t="shared" ref="CK140" si="6432">CJ140*$E140</f>
        <v>0</v>
      </c>
      <c r="CL140" s="123"/>
      <c r="CM140" s="124">
        <f t="shared" ref="CM140" si="6433">CL140*$E140</f>
        <v>0</v>
      </c>
      <c r="CN140" s="123"/>
      <c r="CO140" s="124">
        <f t="shared" ref="CO140" si="6434">CN140*$E140</f>
        <v>0</v>
      </c>
      <c r="CP140" s="123"/>
      <c r="CQ140" s="124">
        <f t="shared" ref="CQ140" si="6435">CP140*$E140</f>
        <v>0</v>
      </c>
      <c r="CR140" s="123"/>
      <c r="CS140" s="124">
        <f t="shared" ref="CS140" si="6436">CR140*$E140</f>
        <v>0</v>
      </c>
      <c r="CT140" s="123"/>
      <c r="CU140" s="124">
        <f t="shared" ref="CU140" si="6437">CT140*$E140</f>
        <v>0</v>
      </c>
      <c r="CV140" s="123"/>
      <c r="CW140" s="124">
        <f t="shared" ref="CW140" si="6438">CV140*$E140</f>
        <v>0</v>
      </c>
      <c r="CX140" s="123"/>
      <c r="CY140" s="124">
        <f t="shared" ref="CY140" si="6439">CX140*$E140</f>
        <v>0</v>
      </c>
      <c r="CZ140" s="123"/>
      <c r="DA140" s="124">
        <f t="shared" ref="DA140" si="6440">CZ140*$E140</f>
        <v>0</v>
      </c>
      <c r="DB140" s="123"/>
      <c r="DC140" s="124">
        <f t="shared" si="6341"/>
        <v>0</v>
      </c>
      <c r="DD140" s="123"/>
      <c r="DE140" s="124">
        <f t="shared" si="6341"/>
        <v>0</v>
      </c>
      <c r="DF140" s="27">
        <f t="shared" si="6288"/>
        <v>0</v>
      </c>
      <c r="DG140" s="124">
        <f t="shared" si="6342"/>
        <v>0</v>
      </c>
    </row>
    <row r="141" spans="1:111" x14ac:dyDescent="0.5">
      <c r="A141" s="117"/>
      <c r="B141" s="127"/>
      <c r="C141" s="127"/>
      <c r="D141" s="117"/>
      <c r="E141" s="127"/>
      <c r="F141" s="130"/>
      <c r="G141" s="130"/>
      <c r="H141" s="123"/>
      <c r="I141" s="124">
        <f t="shared" ref="I141" si="6441">H141*$E141</f>
        <v>0</v>
      </c>
      <c r="J141" s="123"/>
      <c r="K141" s="124">
        <f t="shared" ref="K141" si="6442">J141*$E141</f>
        <v>0</v>
      </c>
      <c r="L141" s="123"/>
      <c r="M141" s="124">
        <f t="shared" ref="M141" si="6443">L141*$E141</f>
        <v>0</v>
      </c>
      <c r="N141" s="123"/>
      <c r="O141" s="124">
        <f t="shared" ref="O141" si="6444">N141*$E141</f>
        <v>0</v>
      </c>
      <c r="P141" s="123"/>
      <c r="Q141" s="124">
        <f t="shared" ref="Q141" si="6445">P141*$E141</f>
        <v>0</v>
      </c>
      <c r="R141" s="123"/>
      <c r="S141" s="124">
        <f t="shared" ref="S141" si="6446">R141*$E141</f>
        <v>0</v>
      </c>
      <c r="T141" s="123"/>
      <c r="U141" s="124">
        <f t="shared" ref="U141" si="6447">T141*$E141</f>
        <v>0</v>
      </c>
      <c r="V141" s="123"/>
      <c r="W141" s="124">
        <f t="shared" ref="W141" si="6448">V141*$E141</f>
        <v>0</v>
      </c>
      <c r="X141" s="123"/>
      <c r="Y141" s="124">
        <f t="shared" ref="Y141" si="6449">X141*$E141</f>
        <v>0</v>
      </c>
      <c r="Z141" s="123"/>
      <c r="AA141" s="124">
        <f t="shared" ref="AA141" si="6450">Z141*$E141</f>
        <v>0</v>
      </c>
      <c r="AB141" s="123"/>
      <c r="AC141" s="124">
        <f t="shared" ref="AC141" si="6451">AB141*$E141</f>
        <v>0</v>
      </c>
      <c r="AD141" s="123"/>
      <c r="AE141" s="124">
        <f t="shared" ref="AE141" si="6452">AD141*$E141</f>
        <v>0</v>
      </c>
      <c r="AF141" s="125"/>
      <c r="AG141" s="126">
        <f t="shared" ref="AG141" si="6453">AF141*$E141</f>
        <v>0</v>
      </c>
      <c r="AH141" s="123"/>
      <c r="AI141" s="124">
        <f t="shared" ref="AI141" si="6454">AH141*$E141</f>
        <v>0</v>
      </c>
      <c r="AJ141" s="123"/>
      <c r="AK141" s="124">
        <f t="shared" ref="AK141" si="6455">AJ141*$E141</f>
        <v>0</v>
      </c>
      <c r="AL141" s="123"/>
      <c r="AM141" s="124">
        <f t="shared" ref="AM141" si="6456">AL141*$E141</f>
        <v>0</v>
      </c>
      <c r="AN141" s="123"/>
      <c r="AO141" s="124">
        <f t="shared" ref="AO141" si="6457">AN141*$E141</f>
        <v>0</v>
      </c>
      <c r="AP141" s="123"/>
      <c r="AQ141" s="124">
        <f t="shared" ref="AQ141" si="6458">AP141*$E141</f>
        <v>0</v>
      </c>
      <c r="AR141" s="123"/>
      <c r="AS141" s="124">
        <f t="shared" ref="AS141" si="6459">AR141*$E141</f>
        <v>0</v>
      </c>
      <c r="AT141" s="123"/>
      <c r="AU141" s="124">
        <f t="shared" ref="AU141" si="6460">AT141*$E141</f>
        <v>0</v>
      </c>
      <c r="AV141" s="123"/>
      <c r="AW141" s="124">
        <f t="shared" ref="AW141" si="6461">AV141*$E141</f>
        <v>0</v>
      </c>
      <c r="AX141" s="123"/>
      <c r="AY141" s="124">
        <f t="shared" ref="AY141" si="6462">AX141*$E141</f>
        <v>0</v>
      </c>
      <c r="AZ141" s="123"/>
      <c r="BA141" s="124">
        <f t="shared" ref="BA141" si="6463">AZ141*$E141</f>
        <v>0</v>
      </c>
      <c r="BB141" s="123"/>
      <c r="BC141" s="124">
        <f t="shared" ref="BC141" si="6464">BB141*$E141</f>
        <v>0</v>
      </c>
      <c r="BD141" s="123"/>
      <c r="BE141" s="124">
        <f t="shared" ref="BE141" si="6465">BD141*$E141</f>
        <v>0</v>
      </c>
      <c r="BF141" s="125"/>
      <c r="BG141" s="126">
        <f t="shared" ref="BG141" si="6466">BF141*$E141</f>
        <v>0</v>
      </c>
      <c r="BH141" s="123"/>
      <c r="BI141" s="124">
        <f t="shared" ref="BI141" si="6467">BH141*$E141</f>
        <v>0</v>
      </c>
      <c r="BJ141" s="123"/>
      <c r="BK141" s="124">
        <f t="shared" ref="BK141" si="6468">BJ141*$E141</f>
        <v>0</v>
      </c>
      <c r="BL141" s="123"/>
      <c r="BM141" s="124">
        <f t="shared" ref="BM141" si="6469">BL141*$E141</f>
        <v>0</v>
      </c>
      <c r="BN141" s="123"/>
      <c r="BO141" s="124">
        <f t="shared" ref="BO141" si="6470">BN141*$E141</f>
        <v>0</v>
      </c>
      <c r="BP141" s="123"/>
      <c r="BQ141" s="124">
        <f t="shared" ref="BQ141" si="6471">BP141*$E141</f>
        <v>0</v>
      </c>
      <c r="BR141" s="123"/>
      <c r="BS141" s="124">
        <f t="shared" ref="BS141" si="6472">BR141*$E141</f>
        <v>0</v>
      </c>
      <c r="BT141" s="123"/>
      <c r="BU141" s="124">
        <f t="shared" ref="BU141" si="6473">BT141*$E141</f>
        <v>0</v>
      </c>
      <c r="BV141" s="123"/>
      <c r="BW141" s="124">
        <f t="shared" ref="BW141" si="6474">BV141*$E141</f>
        <v>0</v>
      </c>
      <c r="BX141" s="123"/>
      <c r="BY141" s="124">
        <f t="shared" ref="BY141" si="6475">BX141*$E141</f>
        <v>0</v>
      </c>
      <c r="BZ141" s="123"/>
      <c r="CA141" s="124">
        <f t="shared" ref="CA141" si="6476">BZ141*$E141</f>
        <v>0</v>
      </c>
      <c r="CB141" s="123"/>
      <c r="CC141" s="124">
        <f t="shared" ref="CC141" si="6477">CB141*$E141</f>
        <v>0</v>
      </c>
      <c r="CD141" s="123"/>
      <c r="CE141" s="124">
        <f t="shared" ref="CE141" si="6478">CD141*$E141</f>
        <v>0</v>
      </c>
      <c r="CF141" s="125"/>
      <c r="CG141" s="126">
        <f t="shared" ref="CG141" si="6479">CF141*$E141</f>
        <v>0</v>
      </c>
      <c r="CH141" s="123"/>
      <c r="CI141" s="124">
        <f t="shared" ref="CI141" si="6480">CH141*$E141</f>
        <v>0</v>
      </c>
      <c r="CJ141" s="123"/>
      <c r="CK141" s="124">
        <f t="shared" ref="CK141" si="6481">CJ141*$E141</f>
        <v>0</v>
      </c>
      <c r="CL141" s="123"/>
      <c r="CM141" s="124">
        <f t="shared" ref="CM141" si="6482">CL141*$E141</f>
        <v>0</v>
      </c>
      <c r="CN141" s="123"/>
      <c r="CO141" s="124">
        <f t="shared" ref="CO141" si="6483">CN141*$E141</f>
        <v>0</v>
      </c>
      <c r="CP141" s="123"/>
      <c r="CQ141" s="124">
        <f t="shared" ref="CQ141" si="6484">CP141*$E141</f>
        <v>0</v>
      </c>
      <c r="CR141" s="123"/>
      <c r="CS141" s="124">
        <f t="shared" ref="CS141" si="6485">CR141*$E141</f>
        <v>0</v>
      </c>
      <c r="CT141" s="123"/>
      <c r="CU141" s="124">
        <f t="shared" ref="CU141" si="6486">CT141*$E141</f>
        <v>0</v>
      </c>
      <c r="CV141" s="123"/>
      <c r="CW141" s="124">
        <f t="shared" ref="CW141" si="6487">CV141*$E141</f>
        <v>0</v>
      </c>
      <c r="CX141" s="123"/>
      <c r="CY141" s="124">
        <f t="shared" ref="CY141" si="6488">CX141*$E141</f>
        <v>0</v>
      </c>
      <c r="CZ141" s="123"/>
      <c r="DA141" s="124">
        <f t="shared" ref="DA141" si="6489">CZ141*$E141</f>
        <v>0</v>
      </c>
      <c r="DB141" s="123"/>
      <c r="DC141" s="124">
        <f t="shared" si="6341"/>
        <v>0</v>
      </c>
      <c r="DD141" s="123"/>
      <c r="DE141" s="124">
        <f t="shared" si="6341"/>
        <v>0</v>
      </c>
      <c r="DF141" s="27">
        <f t="shared" si="6288"/>
        <v>0</v>
      </c>
      <c r="DG141" s="124">
        <f t="shared" si="6342"/>
        <v>0</v>
      </c>
    </row>
    <row r="142" spans="1:111" x14ac:dyDescent="0.5">
      <c r="A142" s="131"/>
      <c r="B142" s="132" t="s">
        <v>244</v>
      </c>
      <c r="C142" s="132"/>
      <c r="D142" s="132"/>
      <c r="E142" s="133"/>
      <c r="F142" s="134"/>
      <c r="G142" s="134"/>
      <c r="H142" s="135">
        <f t="shared" ref="H142:BS142" si="6490">SUM(H4:H141)</f>
        <v>285358</v>
      </c>
      <c r="I142" s="136">
        <f t="shared" si="6490"/>
        <v>185180.78</v>
      </c>
      <c r="J142" s="135">
        <f t="shared" si="6490"/>
        <v>265299</v>
      </c>
      <c r="K142" s="136">
        <f t="shared" si="6490"/>
        <v>173179.26</v>
      </c>
      <c r="L142" s="135">
        <f t="shared" si="6490"/>
        <v>337952</v>
      </c>
      <c r="M142" s="136">
        <f t="shared" si="6490"/>
        <v>219847.95</v>
      </c>
      <c r="N142" s="135">
        <f t="shared" si="6490"/>
        <v>303706</v>
      </c>
      <c r="O142" s="136">
        <f t="shared" si="6490"/>
        <v>197944.9</v>
      </c>
      <c r="P142" s="135">
        <f t="shared" si="6490"/>
        <v>366957</v>
      </c>
      <c r="Q142" s="136">
        <f t="shared" si="6490"/>
        <v>238095.09000000003</v>
      </c>
      <c r="R142" s="135">
        <f t="shared" si="6490"/>
        <v>333259</v>
      </c>
      <c r="S142" s="136">
        <f t="shared" si="6490"/>
        <v>218441.14</v>
      </c>
      <c r="T142" s="135">
        <f t="shared" si="6490"/>
        <v>294089</v>
      </c>
      <c r="U142" s="136">
        <f t="shared" si="6490"/>
        <v>192043.21000000002</v>
      </c>
      <c r="V142" s="135">
        <f t="shared" si="6490"/>
        <v>346406</v>
      </c>
      <c r="W142" s="136">
        <f t="shared" si="6490"/>
        <v>226613.72</v>
      </c>
      <c r="X142" s="135">
        <f t="shared" si="6490"/>
        <v>290124</v>
      </c>
      <c r="Y142" s="136">
        <f t="shared" si="6490"/>
        <v>192315.12</v>
      </c>
      <c r="Z142" s="135">
        <f t="shared" si="6490"/>
        <v>247021</v>
      </c>
      <c r="AA142" s="136">
        <f t="shared" si="6490"/>
        <v>165927.72</v>
      </c>
      <c r="AB142" s="135">
        <f t="shared" si="6490"/>
        <v>252029</v>
      </c>
      <c r="AC142" s="136">
        <f t="shared" si="6490"/>
        <v>167403.13999999996</v>
      </c>
      <c r="AD142" s="135">
        <f t="shared" si="6490"/>
        <v>320655</v>
      </c>
      <c r="AE142" s="136">
        <f t="shared" si="6490"/>
        <v>216544.5</v>
      </c>
      <c r="AF142" s="137">
        <f t="shared" si="6490"/>
        <v>3642855</v>
      </c>
      <c r="AG142" s="138">
        <f t="shared" si="6490"/>
        <v>2393536.5299999998</v>
      </c>
      <c r="AH142" s="135">
        <f t="shared" si="6490"/>
        <v>325646</v>
      </c>
      <c r="AI142" s="136">
        <f t="shared" si="6490"/>
        <v>221628.56000000003</v>
      </c>
      <c r="AJ142" s="135">
        <f t="shared" si="6490"/>
        <v>268997</v>
      </c>
      <c r="AK142" s="136">
        <f t="shared" si="6490"/>
        <v>180251.2</v>
      </c>
      <c r="AL142" s="135">
        <f t="shared" si="6490"/>
        <v>343569</v>
      </c>
      <c r="AM142" s="136">
        <f t="shared" si="6490"/>
        <v>234109.37999999998</v>
      </c>
      <c r="AN142" s="135">
        <f t="shared" si="6490"/>
        <v>330260</v>
      </c>
      <c r="AO142" s="136">
        <f t="shared" si="6490"/>
        <v>224285.99999999997</v>
      </c>
      <c r="AP142" s="135">
        <f t="shared" si="6490"/>
        <v>346266</v>
      </c>
      <c r="AQ142" s="136">
        <f t="shared" si="6490"/>
        <v>236673.48</v>
      </c>
      <c r="AR142" s="135">
        <f t="shared" si="6490"/>
        <v>308961</v>
      </c>
      <c r="AS142" s="136">
        <f t="shared" si="6490"/>
        <v>212208.12</v>
      </c>
      <c r="AT142" s="135">
        <f t="shared" si="6490"/>
        <v>316734</v>
      </c>
      <c r="AU142" s="136">
        <f t="shared" si="6490"/>
        <v>216206.28</v>
      </c>
      <c r="AV142" s="135">
        <f t="shared" si="6490"/>
        <v>380944</v>
      </c>
      <c r="AW142" s="136">
        <f t="shared" si="6490"/>
        <v>255979.2</v>
      </c>
      <c r="AX142" s="135">
        <f t="shared" si="6490"/>
        <v>202293</v>
      </c>
      <c r="AY142" s="136">
        <f t="shared" si="6490"/>
        <v>141859.87</v>
      </c>
      <c r="AZ142" s="135">
        <f t="shared" si="6490"/>
        <v>226479</v>
      </c>
      <c r="BA142" s="136">
        <f t="shared" si="6490"/>
        <v>156523.74</v>
      </c>
      <c r="BB142" s="135">
        <f t="shared" si="6490"/>
        <v>262455</v>
      </c>
      <c r="BC142" s="136">
        <f t="shared" si="6490"/>
        <v>181771.08000000002</v>
      </c>
      <c r="BD142" s="135">
        <f t="shared" si="6490"/>
        <v>287068</v>
      </c>
      <c r="BE142" s="136">
        <f t="shared" si="6490"/>
        <v>200616.88</v>
      </c>
      <c r="BF142" s="137">
        <f t="shared" si="6490"/>
        <v>3599672</v>
      </c>
      <c r="BG142" s="138">
        <f t="shared" si="6490"/>
        <v>2462113.7899999991</v>
      </c>
      <c r="BH142" s="135">
        <f t="shared" si="6490"/>
        <v>284980</v>
      </c>
      <c r="BI142" s="136">
        <f t="shared" si="6490"/>
        <v>200645.96</v>
      </c>
      <c r="BJ142" s="135">
        <f t="shared" si="6490"/>
        <v>250402</v>
      </c>
      <c r="BK142" s="136">
        <f t="shared" si="6490"/>
        <v>175347.75999999998</v>
      </c>
      <c r="BL142" s="135">
        <f t="shared" si="6490"/>
        <v>306180</v>
      </c>
      <c r="BM142" s="136">
        <f t="shared" si="6490"/>
        <v>216101.84</v>
      </c>
      <c r="BN142" s="135">
        <f t="shared" si="6490"/>
        <v>313206</v>
      </c>
      <c r="BO142" s="136">
        <f t="shared" si="6490"/>
        <v>220161.03999999998</v>
      </c>
      <c r="BP142" s="135">
        <f t="shared" si="6490"/>
        <v>319523</v>
      </c>
      <c r="BQ142" s="136">
        <f t="shared" si="6490"/>
        <v>221018.78000000003</v>
      </c>
      <c r="BR142" s="135">
        <f t="shared" si="6490"/>
        <v>319420</v>
      </c>
      <c r="BS142" s="136">
        <f t="shared" si="6490"/>
        <v>227006.72</v>
      </c>
      <c r="BT142" s="135">
        <f t="shared" ref="BT142:DG142" si="6491">SUM(BT4:BT141)</f>
        <v>309212</v>
      </c>
      <c r="BU142" s="136">
        <f t="shared" ref="BU142" si="6492">SUM(BU4:BU141)</f>
        <v>219811.20000000001</v>
      </c>
      <c r="BV142" s="135">
        <f t="shared" si="6491"/>
        <v>358266</v>
      </c>
      <c r="BW142" s="136">
        <f t="shared" ref="BW142" si="6493">SUM(BW4:BW141)</f>
        <v>257544.8</v>
      </c>
      <c r="BX142" s="135">
        <f t="shared" si="6491"/>
        <v>289469</v>
      </c>
      <c r="BY142" s="136">
        <f t="shared" ref="BY142" si="6494">SUM(BY4:BY141)</f>
        <v>211684.06000000003</v>
      </c>
      <c r="BZ142" s="135">
        <f t="shared" si="6491"/>
        <v>334424</v>
      </c>
      <c r="CA142" s="136">
        <f t="shared" ref="CA142" si="6495">SUM(CA4:CA141)</f>
        <v>242242.68000000002</v>
      </c>
      <c r="CB142" s="135">
        <f t="shared" si="6491"/>
        <v>251296</v>
      </c>
      <c r="CC142" s="136">
        <f t="shared" ref="CC142" si="6496">SUM(CC4:CC141)</f>
        <v>181264.84</v>
      </c>
      <c r="CD142" s="135">
        <f t="shared" si="6491"/>
        <v>298525</v>
      </c>
      <c r="CE142" s="136">
        <f t="shared" ref="CE142" si="6497">SUM(CE4:CE141)</f>
        <v>220445.46000000002</v>
      </c>
      <c r="CF142" s="137">
        <f t="shared" si="6491"/>
        <v>3634903</v>
      </c>
      <c r="CG142" s="138">
        <f t="shared" ref="CG142" si="6498">SUM(CG4:CG141)</f>
        <v>2593275.14</v>
      </c>
      <c r="CH142" s="135">
        <f t="shared" si="6491"/>
        <v>292067</v>
      </c>
      <c r="CI142" s="136">
        <f t="shared" ref="CI142" si="6499">SUM(CI4:CI141)</f>
        <v>217035.26</v>
      </c>
      <c r="CJ142" s="135">
        <f t="shared" si="6491"/>
        <v>293594</v>
      </c>
      <c r="CK142" s="136">
        <f t="shared" ref="CK142" si="6500">SUM(CK4:CK141)</f>
        <v>215869.63999999998</v>
      </c>
      <c r="CL142" s="135">
        <f t="shared" si="6491"/>
        <v>365124</v>
      </c>
      <c r="CM142" s="136">
        <f t="shared" ref="CM142" si="6501">SUM(CM4:CM141)</f>
        <v>263664.64000000001</v>
      </c>
      <c r="CN142" s="135">
        <f t="shared" si="6491"/>
        <v>250122</v>
      </c>
      <c r="CO142" s="136">
        <f t="shared" ref="CO142" si="6502">SUM(CO4:CO141)</f>
        <v>175295.28000000003</v>
      </c>
      <c r="CP142" s="135">
        <f t="shared" si="6491"/>
        <v>366424</v>
      </c>
      <c r="CQ142" s="136">
        <f t="shared" ref="CQ142" si="6503">SUM(CQ4:CQ141)</f>
        <v>272334.96000000002</v>
      </c>
      <c r="CR142" s="135">
        <f t="shared" si="6491"/>
        <v>342708</v>
      </c>
      <c r="CS142" s="136">
        <f t="shared" ref="CS142" si="6504">SUM(CS4:CS141)</f>
        <v>256131.19999999998</v>
      </c>
      <c r="CT142" s="135">
        <f t="shared" si="6491"/>
        <v>319332</v>
      </c>
      <c r="CU142" s="136">
        <f>SUM(CU4:CU141)</f>
        <v>237110.32</v>
      </c>
      <c r="CV142" s="135">
        <f t="shared" si="6491"/>
        <v>306217</v>
      </c>
      <c r="CW142" s="136">
        <f t="shared" ref="CW142" si="6505">SUM(CW4:CW141)</f>
        <v>234523.11000000004</v>
      </c>
      <c r="CX142" s="135">
        <f t="shared" si="6491"/>
        <v>310551</v>
      </c>
      <c r="CY142" s="136">
        <f t="shared" ref="CY142" si="6506">SUM(CY4:CY141)</f>
        <v>237489.63000000003</v>
      </c>
      <c r="CZ142" s="135">
        <f t="shared" si="6491"/>
        <v>302387</v>
      </c>
      <c r="DA142" s="136">
        <f t="shared" ref="DA142" si="6507">SUM(DA4:DA141)</f>
        <v>227076.46000000002</v>
      </c>
      <c r="DB142" s="135">
        <f t="shared" si="6491"/>
        <v>282632</v>
      </c>
      <c r="DC142" s="136">
        <f t="shared" ref="DC142" si="6508">SUM(DC4:DC141)</f>
        <v>215962.82</v>
      </c>
      <c r="DD142" s="135">
        <f t="shared" si="6491"/>
        <v>308173</v>
      </c>
      <c r="DE142" s="136">
        <f t="shared" si="6491"/>
        <v>239119.66999999995</v>
      </c>
      <c r="DF142" s="135">
        <f t="shared" si="6491"/>
        <v>3739331</v>
      </c>
      <c r="DG142" s="136">
        <f t="shared" si="6491"/>
        <v>2791612.99</v>
      </c>
    </row>
    <row r="143" spans="1:111" x14ac:dyDescent="0.5">
      <c r="A143" s="117"/>
      <c r="B143" s="127"/>
      <c r="C143" s="127"/>
      <c r="D143" s="117"/>
      <c r="E143" s="117"/>
      <c r="F143" s="139"/>
      <c r="G143" s="130"/>
      <c r="H143" s="123"/>
      <c r="I143" s="124">
        <f t="shared" ref="I143" si="6509">H143*$E143</f>
        <v>0</v>
      </c>
      <c r="J143" s="123"/>
      <c r="K143" s="124">
        <f t="shared" ref="K143" si="6510">J143*$E143</f>
        <v>0</v>
      </c>
      <c r="L143" s="123"/>
      <c r="M143" s="124">
        <f t="shared" ref="M143" si="6511">L143*$E143</f>
        <v>0</v>
      </c>
      <c r="N143" s="123"/>
      <c r="O143" s="124">
        <f t="shared" ref="O143" si="6512">N143*$E143</f>
        <v>0</v>
      </c>
      <c r="P143" s="123"/>
      <c r="Q143" s="124">
        <f t="shared" ref="Q143" si="6513">P143*$E143</f>
        <v>0</v>
      </c>
      <c r="R143" s="123"/>
      <c r="S143" s="124">
        <f t="shared" ref="S143" si="6514">R143*$E143</f>
        <v>0</v>
      </c>
      <c r="T143" s="123"/>
      <c r="U143" s="124">
        <f t="shared" ref="U143" si="6515">T143*$E143</f>
        <v>0</v>
      </c>
      <c r="V143" s="123"/>
      <c r="W143" s="124">
        <f t="shared" ref="W143" si="6516">V143*$E143</f>
        <v>0</v>
      </c>
      <c r="X143" s="123"/>
      <c r="Y143" s="124">
        <f t="shared" ref="Y143" si="6517">X143*$E143</f>
        <v>0</v>
      </c>
      <c r="Z143" s="123"/>
      <c r="AA143" s="124">
        <f t="shared" ref="AA143" si="6518">Z143*$E143</f>
        <v>0</v>
      </c>
      <c r="AB143" s="123"/>
      <c r="AC143" s="124">
        <f t="shared" ref="AC143" si="6519">AB143*$E143</f>
        <v>0</v>
      </c>
      <c r="AD143" s="123"/>
      <c r="AE143" s="124">
        <f t="shared" ref="AE143" si="6520">AD143*$E143</f>
        <v>0</v>
      </c>
      <c r="AF143" s="125"/>
      <c r="AG143" s="126">
        <f t="shared" ref="AG143" si="6521">AF143*$E143</f>
        <v>0</v>
      </c>
      <c r="AH143" s="123"/>
      <c r="AI143" s="124">
        <f t="shared" ref="AI143" si="6522">AH143*$E143</f>
        <v>0</v>
      </c>
      <c r="AJ143" s="123"/>
      <c r="AK143" s="124">
        <f t="shared" ref="AK143" si="6523">AJ143*$E143</f>
        <v>0</v>
      </c>
      <c r="AL143" s="123"/>
      <c r="AM143" s="124">
        <f t="shared" ref="AM143" si="6524">AL143*$E143</f>
        <v>0</v>
      </c>
      <c r="AN143" s="123"/>
      <c r="AO143" s="124">
        <f t="shared" ref="AO143" si="6525">AN143*$E143</f>
        <v>0</v>
      </c>
      <c r="AP143" s="123"/>
      <c r="AQ143" s="124">
        <f t="shared" ref="AQ143" si="6526">AP143*$E143</f>
        <v>0</v>
      </c>
      <c r="AR143" s="123"/>
      <c r="AS143" s="124">
        <f t="shared" ref="AS143" si="6527">AR143*$E143</f>
        <v>0</v>
      </c>
      <c r="AT143" s="123"/>
      <c r="AU143" s="124">
        <f t="shared" ref="AU143" si="6528">AT143*$E143</f>
        <v>0</v>
      </c>
      <c r="AV143" s="123"/>
      <c r="AW143" s="124">
        <f t="shared" ref="AW143" si="6529">AV143*$E143</f>
        <v>0</v>
      </c>
      <c r="AX143" s="123"/>
      <c r="AY143" s="124">
        <f t="shared" ref="AY143" si="6530">AX143*$E143</f>
        <v>0</v>
      </c>
      <c r="AZ143" s="123"/>
      <c r="BA143" s="124">
        <f t="shared" ref="BA143" si="6531">AZ143*$E143</f>
        <v>0</v>
      </c>
      <c r="BB143" s="123"/>
      <c r="BC143" s="124">
        <f t="shared" ref="BC143" si="6532">BB143*$E143</f>
        <v>0</v>
      </c>
      <c r="BD143" s="123"/>
      <c r="BE143" s="124">
        <f t="shared" ref="BE143" si="6533">BD143*$E143</f>
        <v>0</v>
      </c>
      <c r="BF143" s="125"/>
      <c r="BG143" s="126">
        <f t="shared" ref="BG143" si="6534">BF143*$E143</f>
        <v>0</v>
      </c>
      <c r="BH143" s="123"/>
      <c r="BI143" s="124">
        <f t="shared" ref="BI143" si="6535">BH143*$E143</f>
        <v>0</v>
      </c>
      <c r="BJ143" s="123"/>
      <c r="BK143" s="124">
        <f t="shared" ref="BK143" si="6536">BJ143*$E143</f>
        <v>0</v>
      </c>
      <c r="BL143" s="123"/>
      <c r="BM143" s="124">
        <f t="shared" ref="BM143" si="6537">BL143*$E143</f>
        <v>0</v>
      </c>
      <c r="BN143" s="123"/>
      <c r="BO143" s="124">
        <f t="shared" ref="BO143" si="6538">BN143*$E143</f>
        <v>0</v>
      </c>
      <c r="BP143" s="123"/>
      <c r="BQ143" s="124">
        <f t="shared" ref="BQ143" si="6539">BP143*$E143</f>
        <v>0</v>
      </c>
      <c r="BR143" s="123"/>
      <c r="BS143" s="124">
        <f t="shared" ref="BS143" si="6540">BR143*$E143</f>
        <v>0</v>
      </c>
      <c r="BT143" s="123"/>
      <c r="BU143" s="124">
        <f t="shared" ref="BU143" si="6541">BT143*$E143</f>
        <v>0</v>
      </c>
      <c r="BV143" s="123"/>
      <c r="BW143" s="124">
        <f t="shared" ref="BW143" si="6542">BV143*$E143</f>
        <v>0</v>
      </c>
      <c r="BX143" s="123"/>
      <c r="BY143" s="124">
        <f t="shared" ref="BY143" si="6543">BX143*$E143</f>
        <v>0</v>
      </c>
      <c r="BZ143" s="123"/>
      <c r="CA143" s="124">
        <f t="shared" ref="CA143" si="6544">BZ143*$E143</f>
        <v>0</v>
      </c>
      <c r="CB143" s="123"/>
      <c r="CC143" s="124">
        <f t="shared" ref="CC143" si="6545">CB143*$E143</f>
        <v>0</v>
      </c>
      <c r="CD143" s="123"/>
      <c r="CE143" s="124">
        <f t="shared" ref="CE143" si="6546">CD143*$E143</f>
        <v>0</v>
      </c>
      <c r="CF143" s="125"/>
      <c r="CG143" s="126">
        <f t="shared" ref="CG143" si="6547">CF143*$E143</f>
        <v>0</v>
      </c>
      <c r="CH143" s="123"/>
      <c r="CI143" s="124">
        <f t="shared" ref="CI143" si="6548">CH143*$E143</f>
        <v>0</v>
      </c>
      <c r="CJ143" s="123"/>
      <c r="CK143" s="124">
        <f t="shared" ref="CK143" si="6549">CJ143*$E143</f>
        <v>0</v>
      </c>
      <c r="CL143" s="123"/>
      <c r="CM143" s="124">
        <f t="shared" ref="CM143" si="6550">CL143*$E143</f>
        <v>0</v>
      </c>
      <c r="CN143" s="123"/>
      <c r="CO143" s="124">
        <f t="shared" ref="CO143" si="6551">CN143*$E143</f>
        <v>0</v>
      </c>
      <c r="CP143" s="123"/>
      <c r="CQ143" s="124">
        <f t="shared" ref="CQ143" si="6552">CP143*$E143</f>
        <v>0</v>
      </c>
      <c r="CR143" s="123"/>
      <c r="CS143" s="124">
        <f t="shared" ref="CS143" si="6553">CR143*$E143</f>
        <v>0</v>
      </c>
      <c r="CT143" s="123"/>
      <c r="CU143" s="124">
        <f t="shared" ref="CU143" si="6554">CT143*$E143</f>
        <v>0</v>
      </c>
      <c r="CV143" s="123"/>
      <c r="CW143" s="124">
        <f t="shared" ref="CW143" si="6555">CV143*$E143</f>
        <v>0</v>
      </c>
      <c r="CX143" s="123"/>
      <c r="CY143" s="124">
        <f t="shared" ref="CY143" si="6556">CX143*$E143</f>
        <v>0</v>
      </c>
      <c r="CZ143" s="123"/>
      <c r="DA143" s="124">
        <f t="shared" ref="DA143" si="6557">CZ143*$E143</f>
        <v>0</v>
      </c>
      <c r="DB143" s="123"/>
      <c r="DC143" s="124">
        <f t="shared" si="6341"/>
        <v>0</v>
      </c>
      <c r="DD143" s="123"/>
      <c r="DE143" s="124">
        <f t="shared" si="6341"/>
        <v>0</v>
      </c>
      <c r="DF143" s="27"/>
      <c r="DG143" s="124"/>
    </row>
    <row r="144" spans="1:111" x14ac:dyDescent="0.5">
      <c r="A144" s="117">
        <v>112</v>
      </c>
      <c r="B144" s="127" t="s">
        <v>53</v>
      </c>
      <c r="C144" s="127" t="s">
        <v>231</v>
      </c>
      <c r="D144" s="117">
        <f t="shared" ref="D144:D150" si="6558">RANK(DF144,$DF$143:$DF$162)</f>
        <v>1</v>
      </c>
      <c r="E144" s="117">
        <v>0.7</v>
      </c>
      <c r="F144" s="139" t="s">
        <v>232</v>
      </c>
      <c r="G144" s="130">
        <v>4500</v>
      </c>
      <c r="H144" s="123">
        <v>1709</v>
      </c>
      <c r="I144" s="124">
        <f t="shared" ref="I144" si="6559">H144*$E144</f>
        <v>1196.3</v>
      </c>
      <c r="J144" s="123">
        <v>860</v>
      </c>
      <c r="K144" s="124">
        <f t="shared" ref="K144" si="6560">J144*$E144</f>
        <v>602</v>
      </c>
      <c r="L144" s="123">
        <v>773</v>
      </c>
      <c r="M144" s="124">
        <f t="shared" ref="M144" si="6561">L144*$E144</f>
        <v>541.09999999999991</v>
      </c>
      <c r="N144" s="123">
        <v>814</v>
      </c>
      <c r="O144" s="124">
        <f t="shared" ref="O144" si="6562">N144*$E144</f>
        <v>569.79999999999995</v>
      </c>
      <c r="P144" s="123">
        <v>1383</v>
      </c>
      <c r="Q144" s="124">
        <f t="shared" ref="Q144" si="6563">P144*$E144</f>
        <v>968.09999999999991</v>
      </c>
      <c r="R144" s="123">
        <v>929</v>
      </c>
      <c r="S144" s="124">
        <f t="shared" ref="S144" si="6564">R144*$E144</f>
        <v>650.29999999999995</v>
      </c>
      <c r="T144" s="123">
        <v>864</v>
      </c>
      <c r="U144" s="124">
        <f t="shared" ref="U144" si="6565">T144*$E144</f>
        <v>604.79999999999995</v>
      </c>
      <c r="V144" s="123">
        <v>797</v>
      </c>
      <c r="W144" s="124">
        <f t="shared" ref="W144" si="6566">V144*$E144</f>
        <v>557.9</v>
      </c>
      <c r="X144" s="123">
        <v>583</v>
      </c>
      <c r="Y144" s="124">
        <f t="shared" ref="Y144" si="6567">X144*$E144</f>
        <v>408.09999999999997</v>
      </c>
      <c r="Z144" s="123">
        <v>685</v>
      </c>
      <c r="AA144" s="124">
        <f t="shared" ref="AA144" si="6568">Z144*$E144</f>
        <v>479.49999999999994</v>
      </c>
      <c r="AB144" s="123">
        <v>131</v>
      </c>
      <c r="AC144" s="124">
        <f t="shared" ref="AC144" si="6569">AB144*$E144</f>
        <v>91.699999999999989</v>
      </c>
      <c r="AD144" s="123">
        <v>631</v>
      </c>
      <c r="AE144" s="124">
        <f t="shared" ref="AE144" si="6570">AD144*$E144</f>
        <v>441.7</v>
      </c>
      <c r="AF144" s="125">
        <f t="shared" ref="AF144:AF162" si="6571">(AD144+AB144+Z144+X144+V144+T144+R144+P144+N144+L144+J144+H144)/1</f>
        <v>10159</v>
      </c>
      <c r="AG144" s="126">
        <f t="shared" ref="AG144" si="6572">AF144*$E144</f>
        <v>7111.2999999999993</v>
      </c>
      <c r="AH144" s="123">
        <v>324</v>
      </c>
      <c r="AI144" s="124">
        <f t="shared" ref="AI144" si="6573">AH144*$E144</f>
        <v>226.79999999999998</v>
      </c>
      <c r="AJ144" s="123">
        <v>182</v>
      </c>
      <c r="AK144" s="124">
        <f t="shared" ref="AK144" si="6574">AJ144*$E144</f>
        <v>127.39999999999999</v>
      </c>
      <c r="AL144" s="123">
        <v>886</v>
      </c>
      <c r="AM144" s="124">
        <f t="shared" ref="AM144" si="6575">AL144*$E144</f>
        <v>620.19999999999993</v>
      </c>
      <c r="AN144" s="123">
        <v>404</v>
      </c>
      <c r="AO144" s="124">
        <f t="shared" ref="AO144" si="6576">AN144*$E144</f>
        <v>282.79999999999995</v>
      </c>
      <c r="AP144" s="123">
        <v>483</v>
      </c>
      <c r="AQ144" s="124">
        <f t="shared" ref="AQ144" si="6577">AP144*$E144</f>
        <v>338.09999999999997</v>
      </c>
      <c r="AR144" s="123">
        <v>142</v>
      </c>
      <c r="AS144" s="124">
        <f t="shared" ref="AS144" si="6578">AR144*$E144</f>
        <v>99.399999999999991</v>
      </c>
      <c r="AT144" s="123">
        <v>108</v>
      </c>
      <c r="AU144" s="124">
        <f t="shared" ref="AU144" si="6579">AT144*$E144</f>
        <v>75.599999999999994</v>
      </c>
      <c r="AV144" s="123">
        <v>204</v>
      </c>
      <c r="AW144" s="124">
        <f t="shared" ref="AW144" si="6580">AV144*$E144</f>
        <v>142.79999999999998</v>
      </c>
      <c r="AX144" s="123">
        <v>429</v>
      </c>
      <c r="AY144" s="124">
        <f t="shared" ref="AY144" si="6581">AX144*$E144</f>
        <v>300.29999999999995</v>
      </c>
      <c r="AZ144" s="123">
        <v>150</v>
      </c>
      <c r="BA144" s="124">
        <f t="shared" ref="BA144" si="6582">AZ144*$E144</f>
        <v>105</v>
      </c>
      <c r="BB144" s="123">
        <v>150</v>
      </c>
      <c r="BC144" s="124">
        <f t="shared" ref="BC144" si="6583">BB144*$E144</f>
        <v>105</v>
      </c>
      <c r="BD144" s="123">
        <v>192</v>
      </c>
      <c r="BE144" s="124">
        <f t="shared" ref="BE144" si="6584">BD144*$E144</f>
        <v>134.39999999999998</v>
      </c>
      <c r="BF144" s="125">
        <f t="shared" ref="BF144:BF162" si="6585">(BD144+BB144+AZ144+AX144+AV144+AT144+AR144+AP144+AN144+AL144+AJ144+AH144)/1</f>
        <v>3654</v>
      </c>
      <c r="BG144" s="126">
        <f t="shared" ref="BG144" si="6586">BF144*$E144</f>
        <v>2557.7999999999997</v>
      </c>
      <c r="BH144" s="123">
        <v>348</v>
      </c>
      <c r="BI144" s="124">
        <f t="shared" ref="BI144" si="6587">BH144*$E144</f>
        <v>243.6</v>
      </c>
      <c r="BJ144" s="123">
        <v>12</v>
      </c>
      <c r="BK144" s="124">
        <f t="shared" ref="BK144" si="6588">BJ144*$E144</f>
        <v>8.3999999999999986</v>
      </c>
      <c r="BL144" s="123">
        <v>192</v>
      </c>
      <c r="BM144" s="124">
        <f t="shared" ref="BM144" si="6589">BL144*$E144</f>
        <v>134.39999999999998</v>
      </c>
      <c r="BN144" s="123">
        <v>12</v>
      </c>
      <c r="BO144" s="124">
        <f t="shared" ref="BO144" si="6590">BN144*$E144</f>
        <v>8.3999999999999986</v>
      </c>
      <c r="BP144" s="123">
        <v>240</v>
      </c>
      <c r="BQ144" s="124">
        <f t="shared" ref="BQ144" si="6591">BP144*$E144</f>
        <v>168</v>
      </c>
      <c r="BR144" s="123">
        <v>180</v>
      </c>
      <c r="BS144" s="124">
        <f t="shared" ref="BS144" si="6592">BR144*$E144</f>
        <v>125.99999999999999</v>
      </c>
      <c r="BT144" s="123">
        <v>48</v>
      </c>
      <c r="BU144" s="124">
        <f t="shared" ref="BU144" si="6593">BT144*$E144</f>
        <v>33.599999999999994</v>
      </c>
      <c r="BV144" s="123">
        <v>240</v>
      </c>
      <c r="BW144" s="124">
        <f t="shared" ref="BW144" si="6594">BV144*$E144</f>
        <v>168</v>
      </c>
      <c r="BX144" s="123">
        <v>324</v>
      </c>
      <c r="BY144" s="124">
        <f t="shared" ref="BY144" si="6595">BX144*$E144</f>
        <v>226.79999999999998</v>
      </c>
      <c r="BZ144" s="123">
        <v>300</v>
      </c>
      <c r="CA144" s="124">
        <f t="shared" ref="CA144" si="6596">BZ144*$E144</f>
        <v>210</v>
      </c>
      <c r="CB144" s="123">
        <v>444</v>
      </c>
      <c r="CC144" s="124">
        <f t="shared" ref="CC144" si="6597">CB144*$E144</f>
        <v>310.79999999999995</v>
      </c>
      <c r="CD144" s="123">
        <v>120</v>
      </c>
      <c r="CE144" s="124">
        <f t="shared" ref="CE144" si="6598">CD144*$E144</f>
        <v>84</v>
      </c>
      <c r="CF144" s="125">
        <f t="shared" ref="CF144" si="6599">(CD144+CB144+BZ144+BX144+BV144+BT144+BR144+BP144+BN144+BL144+BJ144+BH144)/1</f>
        <v>2460</v>
      </c>
      <c r="CG144" s="126">
        <f t="shared" ref="CG144" si="6600">CF144*$E144</f>
        <v>1722</v>
      </c>
      <c r="CH144" s="123">
        <v>252</v>
      </c>
      <c r="CI144" s="124">
        <f t="shared" ref="CI144" si="6601">CH144*$E144</f>
        <v>176.39999999999998</v>
      </c>
      <c r="CJ144" s="123">
        <v>192</v>
      </c>
      <c r="CK144" s="124">
        <f t="shared" ref="CK144" si="6602">CJ144*$E144</f>
        <v>134.39999999999998</v>
      </c>
      <c r="CL144" s="123"/>
      <c r="CM144" s="124">
        <f t="shared" ref="CM144" si="6603">CL144*$E144</f>
        <v>0</v>
      </c>
      <c r="CN144" s="123">
        <v>120</v>
      </c>
      <c r="CO144" s="124">
        <f t="shared" ref="CO144" si="6604">CN144*$E144</f>
        <v>84</v>
      </c>
      <c r="CP144" s="123"/>
      <c r="CQ144" s="124">
        <f t="shared" ref="CQ144" si="6605">CP144*$E144</f>
        <v>0</v>
      </c>
      <c r="CR144" s="123">
        <v>12</v>
      </c>
      <c r="CS144" s="124">
        <f t="shared" ref="CS144" si="6606">CR144*$E144</f>
        <v>8.3999999999999986</v>
      </c>
      <c r="CT144" s="123">
        <v>72</v>
      </c>
      <c r="CU144" s="124">
        <f t="shared" ref="CU144" si="6607">CT144*$E144</f>
        <v>50.4</v>
      </c>
      <c r="CV144" s="123"/>
      <c r="CW144" s="124">
        <f t="shared" ref="CW144" si="6608">CV144*$E144</f>
        <v>0</v>
      </c>
      <c r="CX144" s="123"/>
      <c r="CY144" s="124">
        <f t="shared" ref="CY144" si="6609">CX144*$E144</f>
        <v>0</v>
      </c>
      <c r="CZ144" s="123">
        <v>24</v>
      </c>
      <c r="DA144" s="124">
        <f t="shared" ref="DA144" si="6610">CZ144*$E144</f>
        <v>16.799999999999997</v>
      </c>
      <c r="DB144" s="123">
        <v>120</v>
      </c>
      <c r="DC144" s="124">
        <f t="shared" si="6341"/>
        <v>84</v>
      </c>
      <c r="DD144" s="123"/>
      <c r="DE144" s="124">
        <f t="shared" si="6341"/>
        <v>0</v>
      </c>
      <c r="DF144" s="27">
        <f t="shared" ref="DF144:DF162" si="6611">SUM(CH144,CJ144,CL144,CN144,CP144,CR144,CT144,CV144,CX144,CZ144,DB144,DD144)</f>
        <v>792</v>
      </c>
      <c r="DG144" s="124">
        <f t="shared" ref="DG144:DG162" si="6612">DF144*$E144</f>
        <v>554.4</v>
      </c>
    </row>
    <row r="145" spans="1:111" x14ac:dyDescent="0.5">
      <c r="A145" s="117">
        <v>113</v>
      </c>
      <c r="B145" s="127" t="s">
        <v>54</v>
      </c>
      <c r="C145" s="127" t="s">
        <v>231</v>
      </c>
      <c r="D145" s="117">
        <f t="shared" si="6558"/>
        <v>3</v>
      </c>
      <c r="E145" s="117">
        <v>0.35</v>
      </c>
      <c r="F145" s="139" t="s">
        <v>235</v>
      </c>
      <c r="G145" s="130">
        <v>2300</v>
      </c>
      <c r="H145" s="123">
        <v>800</v>
      </c>
      <c r="I145" s="124">
        <f t="shared" ref="I145" si="6613">H145*$E145</f>
        <v>280</v>
      </c>
      <c r="J145" s="123">
        <v>477</v>
      </c>
      <c r="K145" s="124">
        <f t="shared" ref="K145" si="6614">J145*$E145</f>
        <v>166.95</v>
      </c>
      <c r="L145" s="123">
        <v>379</v>
      </c>
      <c r="M145" s="124">
        <f t="shared" ref="M145" si="6615">L145*$E145</f>
        <v>132.65</v>
      </c>
      <c r="N145" s="123">
        <v>384</v>
      </c>
      <c r="O145" s="124">
        <f t="shared" ref="O145" si="6616">N145*$E145</f>
        <v>134.39999999999998</v>
      </c>
      <c r="P145" s="123">
        <v>289</v>
      </c>
      <c r="Q145" s="124">
        <f t="shared" ref="Q145" si="6617">P145*$E145</f>
        <v>101.14999999999999</v>
      </c>
      <c r="R145" s="123">
        <v>270</v>
      </c>
      <c r="S145" s="124">
        <f t="shared" ref="S145" si="6618">R145*$E145</f>
        <v>94.5</v>
      </c>
      <c r="T145" s="123">
        <v>129</v>
      </c>
      <c r="U145" s="124">
        <f t="shared" ref="U145" si="6619">T145*$E145</f>
        <v>45.15</v>
      </c>
      <c r="V145" s="123">
        <v>79</v>
      </c>
      <c r="W145" s="124">
        <f t="shared" ref="W145" si="6620">V145*$E145</f>
        <v>27.65</v>
      </c>
      <c r="X145" s="123">
        <v>179</v>
      </c>
      <c r="Y145" s="124">
        <f t="shared" ref="Y145" si="6621">X145*$E145</f>
        <v>62.65</v>
      </c>
      <c r="Z145" s="123">
        <v>150</v>
      </c>
      <c r="AA145" s="124">
        <f t="shared" ref="AA145" si="6622">Z145*$E145</f>
        <v>52.5</v>
      </c>
      <c r="AB145" s="123">
        <v>176</v>
      </c>
      <c r="AC145" s="124">
        <f t="shared" ref="AC145" si="6623">AB145*$E145</f>
        <v>61.599999999999994</v>
      </c>
      <c r="AD145" s="123">
        <v>508</v>
      </c>
      <c r="AE145" s="124">
        <f t="shared" ref="AE145" si="6624">AD145*$E145</f>
        <v>177.79999999999998</v>
      </c>
      <c r="AF145" s="125">
        <f t="shared" si="6571"/>
        <v>3820</v>
      </c>
      <c r="AG145" s="126">
        <f t="shared" ref="AG145" si="6625">AF145*$E145</f>
        <v>1337</v>
      </c>
      <c r="AH145" s="123">
        <v>185</v>
      </c>
      <c r="AI145" s="124">
        <f t="shared" ref="AI145" si="6626">AH145*$E145</f>
        <v>64.75</v>
      </c>
      <c r="AJ145" s="123">
        <v>149</v>
      </c>
      <c r="AK145" s="124">
        <f t="shared" ref="AK145" si="6627">AJ145*$E145</f>
        <v>52.15</v>
      </c>
      <c r="AL145" s="123">
        <v>300</v>
      </c>
      <c r="AM145" s="124">
        <f t="shared" ref="AM145" si="6628">AL145*$E145</f>
        <v>105</v>
      </c>
      <c r="AN145" s="123">
        <v>65</v>
      </c>
      <c r="AO145" s="124">
        <f t="shared" ref="AO145" si="6629">AN145*$E145</f>
        <v>22.75</v>
      </c>
      <c r="AP145" s="123">
        <v>127</v>
      </c>
      <c r="AQ145" s="124">
        <f t="shared" ref="AQ145" si="6630">AP145*$E145</f>
        <v>44.449999999999996</v>
      </c>
      <c r="AR145" s="123">
        <v>13</v>
      </c>
      <c r="AS145" s="124">
        <f t="shared" ref="AS145" si="6631">AR145*$E145</f>
        <v>4.55</v>
      </c>
      <c r="AT145" s="123">
        <v>24</v>
      </c>
      <c r="AU145" s="124">
        <f t="shared" ref="AU145" si="6632">AT145*$E145</f>
        <v>8.3999999999999986</v>
      </c>
      <c r="AV145" s="123">
        <v>122</v>
      </c>
      <c r="AW145" s="124">
        <f t="shared" ref="AW145" si="6633">AV145*$E145</f>
        <v>42.699999999999996</v>
      </c>
      <c r="AX145" s="123">
        <v>236</v>
      </c>
      <c r="AY145" s="124">
        <f t="shared" ref="AY145" si="6634">AX145*$E145</f>
        <v>82.6</v>
      </c>
      <c r="AZ145" s="123">
        <v>36</v>
      </c>
      <c r="BA145" s="124">
        <f t="shared" ref="BA145" si="6635">AZ145*$E145</f>
        <v>12.6</v>
      </c>
      <c r="BB145" s="123">
        <v>96</v>
      </c>
      <c r="BC145" s="124">
        <f t="shared" ref="BC145" si="6636">BB145*$E145</f>
        <v>33.599999999999994</v>
      </c>
      <c r="BD145" s="123">
        <v>6</v>
      </c>
      <c r="BE145" s="124">
        <f t="shared" ref="BE145" si="6637">BD145*$E145</f>
        <v>2.0999999999999996</v>
      </c>
      <c r="BF145" s="125">
        <f t="shared" si="6585"/>
        <v>1359</v>
      </c>
      <c r="BG145" s="126">
        <f t="shared" ref="BG145" si="6638">BF145*$E145</f>
        <v>475.65</v>
      </c>
      <c r="BH145" s="123">
        <v>72</v>
      </c>
      <c r="BI145" s="124">
        <f t="shared" ref="BI145" si="6639">BH145*$E145</f>
        <v>25.2</v>
      </c>
      <c r="BJ145" s="123">
        <v>24</v>
      </c>
      <c r="BK145" s="124">
        <f t="shared" ref="BK145" si="6640">BJ145*$E145</f>
        <v>8.3999999999999986</v>
      </c>
      <c r="BL145" s="123">
        <v>96</v>
      </c>
      <c r="BM145" s="124">
        <f t="shared" ref="BM145" si="6641">BL145*$E145</f>
        <v>33.599999999999994</v>
      </c>
      <c r="BN145" s="123"/>
      <c r="BO145" s="124">
        <f t="shared" ref="BO145" si="6642">BN145*$E145</f>
        <v>0</v>
      </c>
      <c r="BP145" s="123"/>
      <c r="BQ145" s="124">
        <f t="shared" ref="BQ145" si="6643">BP145*$E145</f>
        <v>0</v>
      </c>
      <c r="BR145" s="123"/>
      <c r="BS145" s="124">
        <f t="shared" ref="BS145" si="6644">BR145*$E145</f>
        <v>0</v>
      </c>
      <c r="BT145" s="123"/>
      <c r="BU145" s="124">
        <f t="shared" ref="BU145" si="6645">BT145*$E145</f>
        <v>0</v>
      </c>
      <c r="BV145" s="123">
        <v>24</v>
      </c>
      <c r="BW145" s="124">
        <f t="shared" ref="BW145" si="6646">BV145*$E145</f>
        <v>8.3999999999999986</v>
      </c>
      <c r="BX145" s="123">
        <v>24</v>
      </c>
      <c r="BY145" s="124">
        <f t="shared" ref="BY145" si="6647">BX145*$E145</f>
        <v>8.3999999999999986</v>
      </c>
      <c r="BZ145" s="123"/>
      <c r="CA145" s="124">
        <f t="shared" ref="CA145" si="6648">BZ145*$E145</f>
        <v>0</v>
      </c>
      <c r="CB145" s="123">
        <v>24</v>
      </c>
      <c r="CC145" s="124">
        <f t="shared" ref="CC145" si="6649">CB145*$E145</f>
        <v>8.3999999999999986</v>
      </c>
      <c r="CD145" s="123">
        <v>24</v>
      </c>
      <c r="CE145" s="124">
        <f t="shared" ref="CE145" si="6650">CD145*$E145</f>
        <v>8.3999999999999986</v>
      </c>
      <c r="CF145" s="125">
        <f t="shared" ref="CF145:CF161" si="6651">(CD145+CB145+BZ145+BX145+BV145+BT145+BR145+BP145+BN145+BL145+BJ145+BH145)/1</f>
        <v>288</v>
      </c>
      <c r="CG145" s="126">
        <f t="shared" ref="CG145" si="6652">CF145*$E145</f>
        <v>100.8</v>
      </c>
      <c r="CH145" s="123">
        <v>48</v>
      </c>
      <c r="CI145" s="124">
        <f t="shared" ref="CI145" si="6653">CH145*$E145</f>
        <v>16.799999999999997</v>
      </c>
      <c r="CJ145" s="123">
        <v>96</v>
      </c>
      <c r="CK145" s="124">
        <f t="shared" ref="CK145" si="6654">CJ145*$E145</f>
        <v>33.599999999999994</v>
      </c>
      <c r="CL145" s="123">
        <v>24</v>
      </c>
      <c r="CM145" s="124">
        <f t="shared" ref="CM145" si="6655">CL145*$E145</f>
        <v>8.3999999999999986</v>
      </c>
      <c r="CN145" s="123">
        <v>72</v>
      </c>
      <c r="CO145" s="124">
        <f t="shared" ref="CO145" si="6656">CN145*$E145</f>
        <v>25.2</v>
      </c>
      <c r="CP145" s="123"/>
      <c r="CQ145" s="124">
        <f t="shared" ref="CQ145" si="6657">CP145*$E145</f>
        <v>0</v>
      </c>
      <c r="CR145" s="123"/>
      <c r="CS145" s="124">
        <f t="shared" ref="CS145" si="6658">CR145*$E145</f>
        <v>0</v>
      </c>
      <c r="CT145" s="123"/>
      <c r="CU145" s="124">
        <f t="shared" ref="CU145" si="6659">CT145*$E145</f>
        <v>0</v>
      </c>
      <c r="CV145" s="123"/>
      <c r="CW145" s="124">
        <f t="shared" ref="CW145" si="6660">CV145*$E145</f>
        <v>0</v>
      </c>
      <c r="CX145" s="123"/>
      <c r="CY145" s="124">
        <f t="shared" ref="CY145" si="6661">CX145*$E145</f>
        <v>0</v>
      </c>
      <c r="CZ145" s="123">
        <v>72</v>
      </c>
      <c r="DA145" s="124">
        <f t="shared" ref="DA145" si="6662">CZ145*$E145</f>
        <v>25.2</v>
      </c>
      <c r="DB145" s="123"/>
      <c r="DC145" s="124">
        <f t="shared" si="6341"/>
        <v>0</v>
      </c>
      <c r="DD145" s="123"/>
      <c r="DE145" s="124">
        <f t="shared" si="6341"/>
        <v>0</v>
      </c>
      <c r="DF145" s="27">
        <f t="shared" si="6611"/>
        <v>312</v>
      </c>
      <c r="DG145" s="124">
        <f t="shared" si="6612"/>
        <v>109.19999999999999</v>
      </c>
    </row>
    <row r="146" spans="1:111" x14ac:dyDescent="0.5">
      <c r="A146" s="117">
        <v>114</v>
      </c>
      <c r="B146" s="127" t="s">
        <v>55</v>
      </c>
      <c r="C146" s="127" t="s">
        <v>231</v>
      </c>
      <c r="D146" s="117">
        <f t="shared" si="6558"/>
        <v>5</v>
      </c>
      <c r="E146" s="117">
        <v>0.17499999999999999</v>
      </c>
      <c r="F146" s="139" t="s">
        <v>245</v>
      </c>
      <c r="G146" s="130">
        <v>1300</v>
      </c>
      <c r="H146" s="123">
        <v>134</v>
      </c>
      <c r="I146" s="124">
        <f t="shared" ref="I146" si="6663">H146*$E146</f>
        <v>23.45</v>
      </c>
      <c r="J146" s="123">
        <v>511</v>
      </c>
      <c r="K146" s="124">
        <f t="shared" ref="K146" si="6664">J146*$E146</f>
        <v>89.424999999999997</v>
      </c>
      <c r="L146" s="123">
        <v>718</v>
      </c>
      <c r="M146" s="124">
        <f t="shared" ref="M146" si="6665">L146*$E146</f>
        <v>125.64999999999999</v>
      </c>
      <c r="N146" s="123">
        <v>871</v>
      </c>
      <c r="O146" s="124">
        <f t="shared" ref="O146" si="6666">N146*$E146</f>
        <v>152.42499999999998</v>
      </c>
      <c r="P146" s="123">
        <v>425</v>
      </c>
      <c r="Q146" s="124">
        <f t="shared" ref="Q146" si="6667">P146*$E146</f>
        <v>74.375</v>
      </c>
      <c r="R146" s="123">
        <v>1053</v>
      </c>
      <c r="S146" s="124">
        <f t="shared" ref="S146" si="6668">R146*$E146</f>
        <v>184.27499999999998</v>
      </c>
      <c r="T146" s="123">
        <v>546</v>
      </c>
      <c r="U146" s="124">
        <f t="shared" ref="U146" si="6669">T146*$E146</f>
        <v>95.55</v>
      </c>
      <c r="V146" s="123">
        <v>903</v>
      </c>
      <c r="W146" s="124">
        <f t="shared" ref="W146" si="6670">V146*$E146</f>
        <v>158.02499999999998</v>
      </c>
      <c r="X146" s="123">
        <v>169</v>
      </c>
      <c r="Y146" s="124">
        <f t="shared" ref="Y146" si="6671">X146*$E146</f>
        <v>29.574999999999999</v>
      </c>
      <c r="Z146" s="123">
        <v>215</v>
      </c>
      <c r="AA146" s="124">
        <f t="shared" ref="AA146" si="6672">Z146*$E146</f>
        <v>37.625</v>
      </c>
      <c r="AB146" s="123">
        <v>96</v>
      </c>
      <c r="AC146" s="124">
        <f t="shared" ref="AC146" si="6673">AB146*$E146</f>
        <v>16.799999999999997</v>
      </c>
      <c r="AD146" s="123">
        <v>1311</v>
      </c>
      <c r="AE146" s="124">
        <f t="shared" ref="AE146" si="6674">AD146*$E146</f>
        <v>229.42499999999998</v>
      </c>
      <c r="AF146" s="125">
        <f t="shared" si="6571"/>
        <v>6952</v>
      </c>
      <c r="AG146" s="126">
        <f t="shared" ref="AG146" si="6675">AF146*$E146</f>
        <v>1216.5999999999999</v>
      </c>
      <c r="AH146" s="123">
        <v>229</v>
      </c>
      <c r="AI146" s="124">
        <f t="shared" ref="AI146" si="6676">AH146*$E146</f>
        <v>40.074999999999996</v>
      </c>
      <c r="AJ146" s="123">
        <v>385</v>
      </c>
      <c r="AK146" s="124">
        <f t="shared" ref="AK146" si="6677">AJ146*$E146</f>
        <v>67.375</v>
      </c>
      <c r="AL146" s="123">
        <v>591</v>
      </c>
      <c r="AM146" s="124">
        <f t="shared" ref="AM146" si="6678">AL146*$E146</f>
        <v>103.425</v>
      </c>
      <c r="AN146" s="123">
        <v>481</v>
      </c>
      <c r="AO146" s="124">
        <f t="shared" ref="AO146" si="6679">AN146*$E146</f>
        <v>84.174999999999997</v>
      </c>
      <c r="AP146" s="123">
        <v>226</v>
      </c>
      <c r="AQ146" s="124">
        <f t="shared" ref="AQ146" si="6680">AP146*$E146</f>
        <v>39.549999999999997</v>
      </c>
      <c r="AR146" s="123">
        <v>126</v>
      </c>
      <c r="AS146" s="124">
        <f t="shared" ref="AS146" si="6681">AR146*$E146</f>
        <v>22.049999999999997</v>
      </c>
      <c r="AT146" s="123"/>
      <c r="AU146" s="124">
        <f t="shared" ref="AU146" si="6682">AT146*$E146</f>
        <v>0</v>
      </c>
      <c r="AV146" s="123">
        <v>741</v>
      </c>
      <c r="AW146" s="124">
        <f t="shared" ref="AW146" si="6683">AV146*$E146</f>
        <v>129.67499999999998</v>
      </c>
      <c r="AX146" s="123">
        <v>267</v>
      </c>
      <c r="AY146" s="124">
        <f t="shared" ref="AY146" si="6684">AX146*$E146</f>
        <v>46.724999999999994</v>
      </c>
      <c r="AZ146" s="123">
        <v>97</v>
      </c>
      <c r="BA146" s="124">
        <f t="shared" ref="BA146" si="6685">AZ146*$E146</f>
        <v>16.974999999999998</v>
      </c>
      <c r="BB146" s="123">
        <v>408</v>
      </c>
      <c r="BC146" s="124">
        <f t="shared" ref="BC146" si="6686">BB146*$E146</f>
        <v>71.399999999999991</v>
      </c>
      <c r="BD146" s="123">
        <v>6</v>
      </c>
      <c r="BE146" s="124">
        <f t="shared" ref="BE146" si="6687">BD146*$E146</f>
        <v>1.0499999999999998</v>
      </c>
      <c r="BF146" s="125">
        <f t="shared" si="6585"/>
        <v>3557</v>
      </c>
      <c r="BG146" s="126">
        <f t="shared" ref="BG146" si="6688">BF146*$E146</f>
        <v>622.47499999999991</v>
      </c>
      <c r="BH146" s="123"/>
      <c r="BI146" s="124">
        <f t="shared" ref="BI146" si="6689">BH146*$E146</f>
        <v>0</v>
      </c>
      <c r="BJ146" s="123"/>
      <c r="BK146" s="124">
        <f t="shared" ref="BK146" si="6690">BJ146*$E146</f>
        <v>0</v>
      </c>
      <c r="BL146" s="123"/>
      <c r="BM146" s="124">
        <f t="shared" ref="BM146" si="6691">BL146*$E146</f>
        <v>0</v>
      </c>
      <c r="BN146" s="123"/>
      <c r="BO146" s="124">
        <f t="shared" ref="BO146" si="6692">BN146*$E146</f>
        <v>0</v>
      </c>
      <c r="BP146" s="123"/>
      <c r="BQ146" s="124">
        <f t="shared" ref="BQ146" si="6693">BP146*$E146</f>
        <v>0</v>
      </c>
      <c r="BR146" s="123"/>
      <c r="BS146" s="124">
        <f t="shared" ref="BS146" si="6694">BR146*$E146</f>
        <v>0</v>
      </c>
      <c r="BT146" s="123"/>
      <c r="BU146" s="124">
        <f t="shared" ref="BU146" si="6695">BT146*$E146</f>
        <v>0</v>
      </c>
      <c r="BV146" s="123"/>
      <c r="BW146" s="124">
        <f t="shared" ref="BW146" si="6696">BV146*$E146</f>
        <v>0</v>
      </c>
      <c r="BX146" s="123"/>
      <c r="BY146" s="124">
        <f t="shared" ref="BY146" si="6697">BX146*$E146</f>
        <v>0</v>
      </c>
      <c r="BZ146" s="123"/>
      <c r="CA146" s="124">
        <f t="shared" ref="CA146" si="6698">BZ146*$E146</f>
        <v>0</v>
      </c>
      <c r="CB146" s="123">
        <v>2</v>
      </c>
      <c r="CC146" s="124">
        <f t="shared" ref="CC146" si="6699">CB146*$E146</f>
        <v>0.35</v>
      </c>
      <c r="CD146" s="123"/>
      <c r="CE146" s="124">
        <f t="shared" ref="CE146" si="6700">CD146*$E146</f>
        <v>0</v>
      </c>
      <c r="CF146" s="125">
        <f t="shared" si="6651"/>
        <v>2</v>
      </c>
      <c r="CG146" s="126">
        <f t="shared" ref="CG146" si="6701">CF146*$E146</f>
        <v>0.35</v>
      </c>
      <c r="CH146" s="123"/>
      <c r="CI146" s="124">
        <f t="shared" ref="CI146" si="6702">CH146*$E146</f>
        <v>0</v>
      </c>
      <c r="CJ146" s="123"/>
      <c r="CK146" s="124">
        <f t="shared" ref="CK146" si="6703">CJ146*$E146</f>
        <v>0</v>
      </c>
      <c r="CL146" s="123"/>
      <c r="CM146" s="124">
        <f t="shared" ref="CM146" si="6704">CL146*$E146</f>
        <v>0</v>
      </c>
      <c r="CN146" s="123"/>
      <c r="CO146" s="124">
        <f t="shared" ref="CO146" si="6705">CN146*$E146</f>
        <v>0</v>
      </c>
      <c r="CP146" s="123"/>
      <c r="CQ146" s="124">
        <f t="shared" ref="CQ146" si="6706">CP146*$E146</f>
        <v>0</v>
      </c>
      <c r="CR146" s="123"/>
      <c r="CS146" s="124">
        <f t="shared" ref="CS146" si="6707">CR146*$E146</f>
        <v>0</v>
      </c>
      <c r="CT146" s="123"/>
      <c r="CU146" s="124">
        <f t="shared" ref="CU146" si="6708">CT146*$E146</f>
        <v>0</v>
      </c>
      <c r="CV146" s="123"/>
      <c r="CW146" s="124">
        <f t="shared" ref="CW146" si="6709">CV146*$E146</f>
        <v>0</v>
      </c>
      <c r="CX146" s="123"/>
      <c r="CY146" s="124">
        <f t="shared" ref="CY146" si="6710">CX146*$E146</f>
        <v>0</v>
      </c>
      <c r="CZ146" s="123"/>
      <c r="DA146" s="124">
        <f t="shared" ref="DA146" si="6711">CZ146*$E146</f>
        <v>0</v>
      </c>
      <c r="DB146" s="123"/>
      <c r="DC146" s="124">
        <f t="shared" si="6341"/>
        <v>0</v>
      </c>
      <c r="DD146" s="123"/>
      <c r="DE146" s="124">
        <f t="shared" si="6341"/>
        <v>0</v>
      </c>
      <c r="DF146" s="27">
        <f t="shared" si="6611"/>
        <v>0</v>
      </c>
      <c r="DG146" s="124">
        <f t="shared" si="6612"/>
        <v>0</v>
      </c>
    </row>
    <row r="147" spans="1:111" x14ac:dyDescent="0.5">
      <c r="A147" s="117">
        <v>115</v>
      </c>
      <c r="B147" s="127" t="s">
        <v>206</v>
      </c>
      <c r="C147" s="127" t="s">
        <v>231</v>
      </c>
      <c r="D147" s="117">
        <f t="shared" si="6558"/>
        <v>2</v>
      </c>
      <c r="E147" s="117">
        <v>0.7</v>
      </c>
      <c r="F147" s="139" t="s">
        <v>232</v>
      </c>
      <c r="G147" s="130">
        <v>5200</v>
      </c>
      <c r="H147" s="123">
        <v>1806</v>
      </c>
      <c r="I147" s="124">
        <f t="shared" ref="I147" si="6712">H147*$E147</f>
        <v>1264.1999999999998</v>
      </c>
      <c r="J147" s="123">
        <v>475</v>
      </c>
      <c r="K147" s="124">
        <f t="shared" ref="K147" si="6713">J147*$E147</f>
        <v>332.5</v>
      </c>
      <c r="L147" s="123">
        <v>773</v>
      </c>
      <c r="M147" s="124">
        <f t="shared" ref="M147" si="6714">L147*$E147</f>
        <v>541.09999999999991</v>
      </c>
      <c r="N147" s="123">
        <v>719</v>
      </c>
      <c r="O147" s="124">
        <f t="shared" ref="O147" si="6715">N147*$E147</f>
        <v>503.29999999999995</v>
      </c>
      <c r="P147" s="123">
        <v>799</v>
      </c>
      <c r="Q147" s="124">
        <f t="shared" ref="Q147" si="6716">P147*$E147</f>
        <v>559.29999999999995</v>
      </c>
      <c r="R147" s="123">
        <v>939</v>
      </c>
      <c r="S147" s="124">
        <f t="shared" ref="S147" si="6717">R147*$E147</f>
        <v>657.3</v>
      </c>
      <c r="T147" s="123">
        <v>705</v>
      </c>
      <c r="U147" s="124">
        <f t="shared" ref="U147" si="6718">T147*$E147</f>
        <v>493.49999999999994</v>
      </c>
      <c r="V147" s="123">
        <v>515</v>
      </c>
      <c r="W147" s="124">
        <f t="shared" ref="W147" si="6719">V147*$E147</f>
        <v>360.5</v>
      </c>
      <c r="X147" s="123">
        <v>816</v>
      </c>
      <c r="Y147" s="124">
        <f t="shared" ref="Y147" si="6720">X147*$E147</f>
        <v>571.19999999999993</v>
      </c>
      <c r="Z147" s="123">
        <v>261</v>
      </c>
      <c r="AA147" s="124">
        <f t="shared" ref="AA147" si="6721">Z147*$E147</f>
        <v>182.7</v>
      </c>
      <c r="AB147" s="123">
        <v>543</v>
      </c>
      <c r="AC147" s="124">
        <f t="shared" ref="AC147" si="6722">AB147*$E147</f>
        <v>380.09999999999997</v>
      </c>
      <c r="AD147" s="123">
        <v>552</v>
      </c>
      <c r="AE147" s="124">
        <f t="shared" ref="AE147" si="6723">AD147*$E147</f>
        <v>386.4</v>
      </c>
      <c r="AF147" s="125">
        <f t="shared" si="6571"/>
        <v>8903</v>
      </c>
      <c r="AG147" s="126">
        <f t="shared" ref="AG147" si="6724">AF147*$E147</f>
        <v>6232.0999999999995</v>
      </c>
      <c r="AH147" s="123">
        <v>762</v>
      </c>
      <c r="AI147" s="124">
        <f t="shared" ref="AI147" si="6725">AH147*$E147</f>
        <v>533.4</v>
      </c>
      <c r="AJ147" s="123">
        <v>430</v>
      </c>
      <c r="AK147" s="124">
        <f t="shared" ref="AK147" si="6726">AJ147*$E147</f>
        <v>301</v>
      </c>
      <c r="AL147" s="123">
        <v>642</v>
      </c>
      <c r="AM147" s="124">
        <f t="shared" ref="AM147" si="6727">AL147*$E147</f>
        <v>449.4</v>
      </c>
      <c r="AN147" s="123">
        <v>205</v>
      </c>
      <c r="AO147" s="124">
        <f t="shared" ref="AO147" si="6728">AN147*$E147</f>
        <v>143.5</v>
      </c>
      <c r="AP147" s="123">
        <v>294</v>
      </c>
      <c r="AQ147" s="124">
        <f t="shared" ref="AQ147" si="6729">AP147*$E147</f>
        <v>205.79999999999998</v>
      </c>
      <c r="AR147" s="123">
        <v>161</v>
      </c>
      <c r="AS147" s="124">
        <f t="shared" ref="AS147" si="6730">AR147*$E147</f>
        <v>112.69999999999999</v>
      </c>
      <c r="AT147" s="123">
        <v>228</v>
      </c>
      <c r="AU147" s="124">
        <f t="shared" ref="AU147" si="6731">AT147*$E147</f>
        <v>159.6</v>
      </c>
      <c r="AV147" s="123">
        <v>204</v>
      </c>
      <c r="AW147" s="124">
        <f t="shared" ref="AW147" si="6732">AV147*$E147</f>
        <v>142.79999999999998</v>
      </c>
      <c r="AX147" s="123">
        <v>347</v>
      </c>
      <c r="AY147" s="124">
        <f t="shared" ref="AY147" si="6733">AX147*$E147</f>
        <v>242.89999999999998</v>
      </c>
      <c r="AZ147" s="123">
        <v>161</v>
      </c>
      <c r="BA147" s="124">
        <f t="shared" ref="BA147" si="6734">AZ147*$E147</f>
        <v>112.69999999999999</v>
      </c>
      <c r="BB147" s="123">
        <v>342</v>
      </c>
      <c r="BC147" s="124">
        <f t="shared" ref="BC147" si="6735">BB147*$E147</f>
        <v>239.39999999999998</v>
      </c>
      <c r="BD147" s="123">
        <v>276</v>
      </c>
      <c r="BE147" s="124">
        <f t="shared" ref="BE147" si="6736">BD147*$E147</f>
        <v>193.2</v>
      </c>
      <c r="BF147" s="125">
        <f t="shared" si="6585"/>
        <v>4052</v>
      </c>
      <c r="BG147" s="126">
        <f t="shared" ref="BG147" si="6737">BF147*$E147</f>
        <v>2836.3999999999996</v>
      </c>
      <c r="BH147" s="123">
        <v>252</v>
      </c>
      <c r="BI147" s="124">
        <f t="shared" ref="BI147" si="6738">BH147*$E147</f>
        <v>176.39999999999998</v>
      </c>
      <c r="BJ147" s="123">
        <v>336</v>
      </c>
      <c r="BK147" s="124">
        <f t="shared" ref="BK147" si="6739">BJ147*$E147</f>
        <v>235.2</v>
      </c>
      <c r="BL147" s="123">
        <v>456</v>
      </c>
      <c r="BM147" s="124">
        <f t="shared" ref="BM147" si="6740">BL147*$E147</f>
        <v>319.2</v>
      </c>
      <c r="BN147" s="123">
        <v>72</v>
      </c>
      <c r="BO147" s="124">
        <f t="shared" ref="BO147" si="6741">BN147*$E147</f>
        <v>50.4</v>
      </c>
      <c r="BP147" s="123">
        <v>183</v>
      </c>
      <c r="BQ147" s="124">
        <f t="shared" ref="BQ147" si="6742">BP147*$E147</f>
        <v>128.1</v>
      </c>
      <c r="BR147" s="123">
        <v>84</v>
      </c>
      <c r="BS147" s="124">
        <f t="shared" ref="BS147" si="6743">BR147*$E147</f>
        <v>58.8</v>
      </c>
      <c r="BT147" s="123">
        <v>48</v>
      </c>
      <c r="BU147" s="124">
        <f t="shared" ref="BU147" si="6744">BT147*$E147</f>
        <v>33.599999999999994</v>
      </c>
      <c r="BV147" s="123">
        <v>216</v>
      </c>
      <c r="BW147" s="124">
        <f t="shared" ref="BW147" si="6745">BV147*$E147</f>
        <v>151.19999999999999</v>
      </c>
      <c r="BX147" s="123">
        <v>24</v>
      </c>
      <c r="BY147" s="124">
        <f t="shared" ref="BY147" si="6746">BX147*$E147</f>
        <v>16.799999999999997</v>
      </c>
      <c r="BZ147" s="123">
        <v>168</v>
      </c>
      <c r="CA147" s="124">
        <f t="shared" ref="CA147" si="6747">BZ147*$E147</f>
        <v>117.6</v>
      </c>
      <c r="CB147" s="123">
        <v>246</v>
      </c>
      <c r="CC147" s="124">
        <f t="shared" ref="CC147" si="6748">CB147*$E147</f>
        <v>172.2</v>
      </c>
      <c r="CD147" s="123"/>
      <c r="CE147" s="124">
        <f t="shared" ref="CE147" si="6749">CD147*$E147</f>
        <v>0</v>
      </c>
      <c r="CF147" s="125">
        <f t="shared" si="6651"/>
        <v>2085</v>
      </c>
      <c r="CG147" s="126">
        <f t="shared" ref="CG147" si="6750">CF147*$E147</f>
        <v>1459.5</v>
      </c>
      <c r="CH147" s="123">
        <v>120</v>
      </c>
      <c r="CI147" s="124">
        <f t="shared" ref="CI147" si="6751">CH147*$E147</f>
        <v>84</v>
      </c>
      <c r="CJ147" s="123"/>
      <c r="CK147" s="124">
        <f t="shared" ref="CK147" si="6752">CJ147*$E147</f>
        <v>0</v>
      </c>
      <c r="CL147" s="123"/>
      <c r="CM147" s="124">
        <f t="shared" ref="CM147" si="6753">CL147*$E147</f>
        <v>0</v>
      </c>
      <c r="CN147" s="123"/>
      <c r="CO147" s="124">
        <f t="shared" ref="CO147" si="6754">CN147*$E147</f>
        <v>0</v>
      </c>
      <c r="CP147" s="123"/>
      <c r="CQ147" s="124">
        <f t="shared" ref="CQ147" si="6755">CP147*$E147</f>
        <v>0</v>
      </c>
      <c r="CR147" s="123">
        <v>120</v>
      </c>
      <c r="CS147" s="124">
        <f t="shared" ref="CS147" si="6756">CR147*$E147</f>
        <v>84</v>
      </c>
      <c r="CT147" s="123">
        <v>60</v>
      </c>
      <c r="CU147" s="124">
        <f t="shared" ref="CU147" si="6757">CT147*$E147</f>
        <v>42</v>
      </c>
      <c r="CV147" s="123"/>
      <c r="CW147" s="124">
        <f t="shared" ref="CW147" si="6758">CV147*$E147</f>
        <v>0</v>
      </c>
      <c r="CX147" s="123">
        <v>12</v>
      </c>
      <c r="CY147" s="124">
        <f t="shared" ref="CY147" si="6759">CX147*$E147</f>
        <v>8.3999999999999986</v>
      </c>
      <c r="CZ147" s="123"/>
      <c r="DA147" s="124">
        <f t="shared" ref="DA147" si="6760">CZ147*$E147</f>
        <v>0</v>
      </c>
      <c r="DB147" s="123">
        <v>1</v>
      </c>
      <c r="DC147" s="124">
        <f t="shared" si="6341"/>
        <v>0.7</v>
      </c>
      <c r="DD147" s="123">
        <v>60</v>
      </c>
      <c r="DE147" s="124">
        <f t="shared" si="6341"/>
        <v>42</v>
      </c>
      <c r="DF147" s="27">
        <f t="shared" si="6611"/>
        <v>373</v>
      </c>
      <c r="DG147" s="124">
        <f t="shared" si="6612"/>
        <v>261.09999999999997</v>
      </c>
    </row>
    <row r="148" spans="1:111" x14ac:dyDescent="0.5">
      <c r="A148" s="117">
        <v>116</v>
      </c>
      <c r="B148" s="127" t="s">
        <v>207</v>
      </c>
      <c r="C148" s="127" t="s">
        <v>231</v>
      </c>
      <c r="D148" s="117">
        <f t="shared" si="6558"/>
        <v>4</v>
      </c>
      <c r="E148" s="117">
        <v>0.35</v>
      </c>
      <c r="F148" s="139" t="s">
        <v>235</v>
      </c>
      <c r="G148" s="130">
        <v>2600</v>
      </c>
      <c r="H148" s="123">
        <v>1171</v>
      </c>
      <c r="I148" s="124">
        <f t="shared" ref="I148" si="6761">H148*$E148</f>
        <v>409.84999999999997</v>
      </c>
      <c r="J148" s="123">
        <v>578</v>
      </c>
      <c r="K148" s="124">
        <f t="shared" ref="K148" si="6762">J148*$E148</f>
        <v>202.29999999999998</v>
      </c>
      <c r="L148" s="123">
        <v>592</v>
      </c>
      <c r="M148" s="124">
        <f t="shared" ref="M148" si="6763">L148*$E148</f>
        <v>207.2</v>
      </c>
      <c r="N148" s="123">
        <v>727</v>
      </c>
      <c r="O148" s="124">
        <f t="shared" ref="O148" si="6764">N148*$E148</f>
        <v>254.45</v>
      </c>
      <c r="P148" s="123">
        <v>342</v>
      </c>
      <c r="Q148" s="124">
        <f t="shared" ref="Q148" si="6765">P148*$E148</f>
        <v>119.69999999999999</v>
      </c>
      <c r="R148" s="123">
        <v>303</v>
      </c>
      <c r="S148" s="124">
        <f t="shared" ref="S148" si="6766">R148*$E148</f>
        <v>106.05</v>
      </c>
      <c r="T148" s="123">
        <v>317</v>
      </c>
      <c r="U148" s="124">
        <f t="shared" ref="U148" si="6767">T148*$E148</f>
        <v>110.94999999999999</v>
      </c>
      <c r="V148" s="123">
        <v>168</v>
      </c>
      <c r="W148" s="124">
        <f t="shared" ref="W148" si="6768">V148*$E148</f>
        <v>58.8</v>
      </c>
      <c r="X148" s="123">
        <v>308</v>
      </c>
      <c r="Y148" s="124">
        <f t="shared" ref="Y148" si="6769">X148*$E148</f>
        <v>107.8</v>
      </c>
      <c r="Z148" s="123">
        <v>332</v>
      </c>
      <c r="AA148" s="124">
        <f t="shared" ref="AA148" si="6770">Z148*$E148</f>
        <v>116.19999999999999</v>
      </c>
      <c r="AB148" s="123">
        <v>193</v>
      </c>
      <c r="AC148" s="124">
        <f t="shared" ref="AC148" si="6771">AB148*$E148</f>
        <v>67.55</v>
      </c>
      <c r="AD148" s="123">
        <v>486</v>
      </c>
      <c r="AE148" s="124">
        <f t="shared" ref="AE148" si="6772">AD148*$E148</f>
        <v>170.1</v>
      </c>
      <c r="AF148" s="125">
        <f t="shared" si="6571"/>
        <v>5517</v>
      </c>
      <c r="AG148" s="126">
        <f t="shared" ref="AG148" si="6773">AF148*$E148</f>
        <v>1930.9499999999998</v>
      </c>
      <c r="AH148" s="123">
        <v>191</v>
      </c>
      <c r="AI148" s="124">
        <f t="shared" ref="AI148" si="6774">AH148*$E148</f>
        <v>66.849999999999994</v>
      </c>
      <c r="AJ148" s="123">
        <v>182</v>
      </c>
      <c r="AK148" s="124">
        <f t="shared" ref="AK148" si="6775">AJ148*$E148</f>
        <v>63.699999999999996</v>
      </c>
      <c r="AL148" s="123">
        <v>217</v>
      </c>
      <c r="AM148" s="124">
        <f t="shared" ref="AM148" si="6776">AL148*$E148</f>
        <v>75.949999999999989</v>
      </c>
      <c r="AN148" s="123">
        <v>37</v>
      </c>
      <c r="AO148" s="124">
        <f t="shared" ref="AO148" si="6777">AN148*$E148</f>
        <v>12.95</v>
      </c>
      <c r="AP148" s="123">
        <v>72</v>
      </c>
      <c r="AQ148" s="124">
        <f t="shared" ref="AQ148" si="6778">AP148*$E148</f>
        <v>25.2</v>
      </c>
      <c r="AR148" s="123">
        <v>72</v>
      </c>
      <c r="AS148" s="124">
        <f t="shared" ref="AS148" si="6779">AR148*$E148</f>
        <v>25.2</v>
      </c>
      <c r="AT148" s="123">
        <v>72</v>
      </c>
      <c r="AU148" s="124">
        <f t="shared" ref="AU148" si="6780">AT148*$E148</f>
        <v>25.2</v>
      </c>
      <c r="AV148" s="123">
        <v>48</v>
      </c>
      <c r="AW148" s="124">
        <f t="shared" ref="AW148" si="6781">AV148*$E148</f>
        <v>16.799999999999997</v>
      </c>
      <c r="AX148" s="123">
        <v>190</v>
      </c>
      <c r="AY148" s="124">
        <f t="shared" ref="AY148" si="6782">AX148*$E148</f>
        <v>66.5</v>
      </c>
      <c r="AZ148" s="123">
        <v>204</v>
      </c>
      <c r="BA148" s="124">
        <f t="shared" ref="BA148" si="6783">AZ148*$E148</f>
        <v>71.399999999999991</v>
      </c>
      <c r="BB148" s="123">
        <v>102</v>
      </c>
      <c r="BC148" s="124">
        <f t="shared" ref="BC148" si="6784">BB148*$E148</f>
        <v>35.699999999999996</v>
      </c>
      <c r="BD148" s="123">
        <v>216</v>
      </c>
      <c r="BE148" s="124">
        <f t="shared" ref="BE148" si="6785">BD148*$E148</f>
        <v>75.599999999999994</v>
      </c>
      <c r="BF148" s="125">
        <f t="shared" si="6585"/>
        <v>1603</v>
      </c>
      <c r="BG148" s="126">
        <f t="shared" ref="BG148" si="6786">BF148*$E148</f>
        <v>561.04999999999995</v>
      </c>
      <c r="BH148" s="123">
        <v>72</v>
      </c>
      <c r="BI148" s="124">
        <f t="shared" ref="BI148" si="6787">BH148*$E148</f>
        <v>25.2</v>
      </c>
      <c r="BJ148" s="123">
        <v>126</v>
      </c>
      <c r="BK148" s="124">
        <f t="shared" ref="BK148" si="6788">BJ148*$E148</f>
        <v>44.099999999999994</v>
      </c>
      <c r="BL148" s="123">
        <v>126</v>
      </c>
      <c r="BM148" s="124">
        <f t="shared" ref="BM148" si="6789">BL148*$E148</f>
        <v>44.099999999999994</v>
      </c>
      <c r="BN148" s="123">
        <v>96</v>
      </c>
      <c r="BO148" s="124">
        <f t="shared" ref="BO148" si="6790">BN148*$E148</f>
        <v>33.599999999999994</v>
      </c>
      <c r="BP148" s="123">
        <v>77</v>
      </c>
      <c r="BQ148" s="124">
        <f t="shared" ref="BQ148" si="6791">BP148*$E148</f>
        <v>26.95</v>
      </c>
      <c r="BR148" s="123">
        <v>24</v>
      </c>
      <c r="BS148" s="124">
        <f t="shared" ref="BS148" si="6792">BR148*$E148</f>
        <v>8.3999999999999986</v>
      </c>
      <c r="BT148" s="123">
        <v>6</v>
      </c>
      <c r="BU148" s="124">
        <f t="shared" ref="BU148" si="6793">BT148*$E148</f>
        <v>2.0999999999999996</v>
      </c>
      <c r="BV148" s="123">
        <v>24</v>
      </c>
      <c r="BW148" s="124">
        <f t="shared" ref="BW148" si="6794">BV148*$E148</f>
        <v>8.3999999999999986</v>
      </c>
      <c r="BX148" s="123">
        <v>24</v>
      </c>
      <c r="BY148" s="124">
        <f t="shared" ref="BY148" si="6795">BX148*$E148</f>
        <v>8.3999999999999986</v>
      </c>
      <c r="BZ148" s="123"/>
      <c r="CA148" s="124">
        <f t="shared" ref="CA148" si="6796">BZ148*$E148</f>
        <v>0</v>
      </c>
      <c r="CB148" s="123"/>
      <c r="CC148" s="124">
        <f t="shared" ref="CC148" si="6797">CB148*$E148</f>
        <v>0</v>
      </c>
      <c r="CD148" s="123">
        <v>120</v>
      </c>
      <c r="CE148" s="124">
        <f t="shared" ref="CE148" si="6798">CD148*$E148</f>
        <v>42</v>
      </c>
      <c r="CF148" s="125">
        <f t="shared" si="6651"/>
        <v>695</v>
      </c>
      <c r="CG148" s="126">
        <f t="shared" ref="CG148" si="6799">CF148*$E148</f>
        <v>243.24999999999997</v>
      </c>
      <c r="CH148" s="123">
        <v>24</v>
      </c>
      <c r="CI148" s="124">
        <f t="shared" ref="CI148" si="6800">CH148*$E148</f>
        <v>8.3999999999999986</v>
      </c>
      <c r="CJ148" s="123"/>
      <c r="CK148" s="124">
        <f t="shared" ref="CK148" si="6801">CJ148*$E148</f>
        <v>0</v>
      </c>
      <c r="CL148" s="123">
        <v>24</v>
      </c>
      <c r="CM148" s="124">
        <f t="shared" ref="CM148" si="6802">CL148*$E148</f>
        <v>8.3999999999999986</v>
      </c>
      <c r="CN148" s="123"/>
      <c r="CO148" s="124">
        <f t="shared" ref="CO148" si="6803">CN148*$E148</f>
        <v>0</v>
      </c>
      <c r="CP148" s="123">
        <v>24</v>
      </c>
      <c r="CQ148" s="124">
        <f t="shared" ref="CQ148" si="6804">CP148*$E148</f>
        <v>8.3999999999999986</v>
      </c>
      <c r="CR148" s="123"/>
      <c r="CS148" s="124">
        <f t="shared" ref="CS148" si="6805">CR148*$E148</f>
        <v>0</v>
      </c>
      <c r="CT148" s="123"/>
      <c r="CU148" s="124">
        <f t="shared" ref="CU148" si="6806">CT148*$E148</f>
        <v>0</v>
      </c>
      <c r="CV148" s="123">
        <v>24</v>
      </c>
      <c r="CW148" s="124">
        <f t="shared" ref="CW148" si="6807">CV148*$E148</f>
        <v>8.3999999999999986</v>
      </c>
      <c r="CX148" s="123"/>
      <c r="CY148" s="124">
        <f t="shared" ref="CY148" si="6808">CX148*$E148</f>
        <v>0</v>
      </c>
      <c r="CZ148" s="123"/>
      <c r="DA148" s="124">
        <f t="shared" ref="DA148" si="6809">CZ148*$E148</f>
        <v>0</v>
      </c>
      <c r="DB148" s="123"/>
      <c r="DC148" s="124">
        <f t="shared" si="6341"/>
        <v>0</v>
      </c>
      <c r="DD148" s="123"/>
      <c r="DE148" s="124">
        <f t="shared" si="6341"/>
        <v>0</v>
      </c>
      <c r="DF148" s="27">
        <f t="shared" si="6611"/>
        <v>96</v>
      </c>
      <c r="DG148" s="124">
        <f t="shared" si="6612"/>
        <v>33.599999999999994</v>
      </c>
    </row>
    <row r="149" spans="1:111" x14ac:dyDescent="0.5">
      <c r="A149" s="117">
        <v>117</v>
      </c>
      <c r="B149" s="127" t="s">
        <v>208</v>
      </c>
      <c r="C149" s="127" t="s">
        <v>231</v>
      </c>
      <c r="D149" s="117">
        <f t="shared" si="6558"/>
        <v>5</v>
      </c>
      <c r="E149" s="117">
        <v>0.17499999999999999</v>
      </c>
      <c r="F149" s="139" t="s">
        <v>245</v>
      </c>
      <c r="G149" s="130">
        <v>1450</v>
      </c>
      <c r="H149" s="123">
        <v>1989</v>
      </c>
      <c r="I149" s="124">
        <f t="shared" ref="I149" si="6810">H149*$E149</f>
        <v>348.07499999999999</v>
      </c>
      <c r="J149" s="123">
        <v>1115</v>
      </c>
      <c r="K149" s="124">
        <f t="shared" ref="K149" si="6811">J149*$E149</f>
        <v>195.125</v>
      </c>
      <c r="L149" s="123">
        <v>686</v>
      </c>
      <c r="M149" s="124">
        <f t="shared" ref="M149" si="6812">L149*$E149</f>
        <v>120.05</v>
      </c>
      <c r="N149" s="123">
        <v>780</v>
      </c>
      <c r="O149" s="124">
        <f t="shared" ref="O149" si="6813">N149*$E149</f>
        <v>136.5</v>
      </c>
      <c r="P149" s="123">
        <v>632</v>
      </c>
      <c r="Q149" s="124">
        <f t="shared" ref="Q149" si="6814">P149*$E149</f>
        <v>110.6</v>
      </c>
      <c r="R149" s="123">
        <v>768</v>
      </c>
      <c r="S149" s="124">
        <f t="shared" ref="S149" si="6815">R149*$E149</f>
        <v>134.39999999999998</v>
      </c>
      <c r="T149" s="123">
        <v>828</v>
      </c>
      <c r="U149" s="124">
        <f t="shared" ref="U149" si="6816">T149*$E149</f>
        <v>144.89999999999998</v>
      </c>
      <c r="V149" s="123">
        <v>730</v>
      </c>
      <c r="W149" s="124">
        <f t="shared" ref="W149" si="6817">V149*$E149</f>
        <v>127.74999999999999</v>
      </c>
      <c r="X149" s="123">
        <v>242</v>
      </c>
      <c r="Y149" s="124">
        <f t="shared" ref="Y149" si="6818">X149*$E149</f>
        <v>42.349999999999994</v>
      </c>
      <c r="Z149" s="123">
        <v>333</v>
      </c>
      <c r="AA149" s="124">
        <f t="shared" ref="AA149" si="6819">Z149*$E149</f>
        <v>58.274999999999999</v>
      </c>
      <c r="AB149" s="123">
        <v>277</v>
      </c>
      <c r="AC149" s="124">
        <f t="shared" ref="AC149" si="6820">AB149*$E149</f>
        <v>48.474999999999994</v>
      </c>
      <c r="AD149" s="123">
        <v>986</v>
      </c>
      <c r="AE149" s="124">
        <f t="shared" ref="AE149" si="6821">AD149*$E149</f>
        <v>172.54999999999998</v>
      </c>
      <c r="AF149" s="125">
        <f t="shared" si="6571"/>
        <v>9366</v>
      </c>
      <c r="AG149" s="126">
        <f t="shared" ref="AG149" si="6822">AF149*$E149</f>
        <v>1639.05</v>
      </c>
      <c r="AH149" s="123">
        <v>135</v>
      </c>
      <c r="AI149" s="124">
        <f t="shared" ref="AI149" si="6823">AH149*$E149</f>
        <v>23.625</v>
      </c>
      <c r="AJ149" s="123">
        <v>126</v>
      </c>
      <c r="AK149" s="124">
        <f t="shared" ref="AK149" si="6824">AJ149*$E149</f>
        <v>22.049999999999997</v>
      </c>
      <c r="AL149" s="123">
        <v>438</v>
      </c>
      <c r="AM149" s="124">
        <f t="shared" ref="AM149" si="6825">AL149*$E149</f>
        <v>76.649999999999991</v>
      </c>
      <c r="AN149" s="123">
        <v>131</v>
      </c>
      <c r="AO149" s="124">
        <f t="shared" ref="AO149" si="6826">AN149*$E149</f>
        <v>22.924999999999997</v>
      </c>
      <c r="AP149" s="123">
        <v>48</v>
      </c>
      <c r="AQ149" s="124">
        <f t="shared" ref="AQ149" si="6827">AP149*$E149</f>
        <v>8.3999999999999986</v>
      </c>
      <c r="AR149" s="123">
        <v>171</v>
      </c>
      <c r="AS149" s="124">
        <f t="shared" ref="AS149" si="6828">AR149*$E149</f>
        <v>29.924999999999997</v>
      </c>
      <c r="AT149" s="123"/>
      <c r="AU149" s="124">
        <f t="shared" ref="AU149" si="6829">AT149*$E149</f>
        <v>0</v>
      </c>
      <c r="AV149" s="123">
        <v>288</v>
      </c>
      <c r="AW149" s="124">
        <f t="shared" ref="AW149" si="6830">AV149*$E149</f>
        <v>50.4</v>
      </c>
      <c r="AX149" s="123">
        <v>218</v>
      </c>
      <c r="AY149" s="124">
        <f t="shared" ref="AY149" si="6831">AX149*$E149</f>
        <v>38.15</v>
      </c>
      <c r="AZ149" s="123">
        <v>209</v>
      </c>
      <c r="BA149" s="124">
        <f t="shared" ref="BA149" si="6832">AZ149*$E149</f>
        <v>36.574999999999996</v>
      </c>
      <c r="BB149" s="123">
        <v>96</v>
      </c>
      <c r="BC149" s="124">
        <f t="shared" ref="BC149" si="6833">BB149*$E149</f>
        <v>16.799999999999997</v>
      </c>
      <c r="BD149" s="123">
        <v>168</v>
      </c>
      <c r="BE149" s="124">
        <f t="shared" ref="BE149" si="6834">BD149*$E149</f>
        <v>29.4</v>
      </c>
      <c r="BF149" s="125">
        <f t="shared" si="6585"/>
        <v>2028</v>
      </c>
      <c r="BG149" s="126">
        <f t="shared" ref="BG149" si="6835">BF149*$E149</f>
        <v>354.9</v>
      </c>
      <c r="BH149" s="123">
        <v>168</v>
      </c>
      <c r="BI149" s="124">
        <f t="shared" ref="BI149" si="6836">BH149*$E149</f>
        <v>29.4</v>
      </c>
      <c r="BJ149" s="123">
        <v>60</v>
      </c>
      <c r="BK149" s="124">
        <f t="shared" ref="BK149" si="6837">BJ149*$E149</f>
        <v>10.5</v>
      </c>
      <c r="BL149" s="123">
        <v>108</v>
      </c>
      <c r="BM149" s="124">
        <f t="shared" ref="BM149" si="6838">BL149*$E149</f>
        <v>18.899999999999999</v>
      </c>
      <c r="BN149" s="123">
        <v>48</v>
      </c>
      <c r="BO149" s="124">
        <f t="shared" ref="BO149" si="6839">BN149*$E149</f>
        <v>8.3999999999999986</v>
      </c>
      <c r="BP149" s="123"/>
      <c r="BQ149" s="124">
        <f t="shared" ref="BQ149" si="6840">BP149*$E149</f>
        <v>0</v>
      </c>
      <c r="BR149" s="123"/>
      <c r="BS149" s="124">
        <f t="shared" ref="BS149" si="6841">BR149*$E149</f>
        <v>0</v>
      </c>
      <c r="BT149" s="123">
        <v>12</v>
      </c>
      <c r="BU149" s="124">
        <f t="shared" ref="BU149" si="6842">BT149*$E149</f>
        <v>2.0999999999999996</v>
      </c>
      <c r="BV149" s="123">
        <v>96</v>
      </c>
      <c r="BW149" s="124">
        <f t="shared" ref="BW149" si="6843">BV149*$E149</f>
        <v>16.799999999999997</v>
      </c>
      <c r="BX149" s="123"/>
      <c r="BY149" s="124">
        <f t="shared" ref="BY149" si="6844">BX149*$E149</f>
        <v>0</v>
      </c>
      <c r="BZ149" s="123"/>
      <c r="CA149" s="124">
        <f t="shared" ref="CA149" si="6845">BZ149*$E149</f>
        <v>0</v>
      </c>
      <c r="CB149" s="123"/>
      <c r="CC149" s="124">
        <f t="shared" ref="CC149" si="6846">CB149*$E149</f>
        <v>0</v>
      </c>
      <c r="CD149" s="123">
        <v>144</v>
      </c>
      <c r="CE149" s="124">
        <f t="shared" ref="CE149" si="6847">CD149*$E149</f>
        <v>25.2</v>
      </c>
      <c r="CF149" s="125">
        <f t="shared" si="6651"/>
        <v>636</v>
      </c>
      <c r="CG149" s="126">
        <f t="shared" ref="CG149" si="6848">CF149*$E149</f>
        <v>111.3</v>
      </c>
      <c r="CH149" s="123"/>
      <c r="CI149" s="124">
        <f t="shared" ref="CI149" si="6849">CH149*$E149</f>
        <v>0</v>
      </c>
      <c r="CJ149" s="123"/>
      <c r="CK149" s="124">
        <f t="shared" ref="CK149" si="6850">CJ149*$E149</f>
        <v>0</v>
      </c>
      <c r="CL149" s="123"/>
      <c r="CM149" s="124">
        <f t="shared" ref="CM149" si="6851">CL149*$E149</f>
        <v>0</v>
      </c>
      <c r="CN149" s="123"/>
      <c r="CO149" s="124">
        <f t="shared" ref="CO149" si="6852">CN149*$E149</f>
        <v>0</v>
      </c>
      <c r="CP149" s="123"/>
      <c r="CQ149" s="124">
        <f t="shared" ref="CQ149" si="6853">CP149*$E149</f>
        <v>0</v>
      </c>
      <c r="CR149" s="123"/>
      <c r="CS149" s="124">
        <f t="shared" ref="CS149" si="6854">CR149*$E149</f>
        <v>0</v>
      </c>
      <c r="CT149" s="123"/>
      <c r="CU149" s="124">
        <f t="shared" ref="CU149" si="6855">CT149*$E149</f>
        <v>0</v>
      </c>
      <c r="CV149" s="123"/>
      <c r="CW149" s="124">
        <f t="shared" ref="CW149" si="6856">CV149*$E149</f>
        <v>0</v>
      </c>
      <c r="CX149" s="123"/>
      <c r="CY149" s="124">
        <f t="shared" ref="CY149" si="6857">CX149*$E149</f>
        <v>0</v>
      </c>
      <c r="CZ149" s="123"/>
      <c r="DA149" s="124">
        <f t="shared" ref="DA149" si="6858">CZ149*$E149</f>
        <v>0</v>
      </c>
      <c r="DB149" s="123"/>
      <c r="DC149" s="124">
        <f t="shared" si="6341"/>
        <v>0</v>
      </c>
      <c r="DD149" s="123"/>
      <c r="DE149" s="124">
        <f t="shared" si="6341"/>
        <v>0</v>
      </c>
      <c r="DF149" s="27">
        <f t="shared" si="6611"/>
        <v>0</v>
      </c>
      <c r="DG149" s="124">
        <f t="shared" si="6612"/>
        <v>0</v>
      </c>
    </row>
    <row r="150" spans="1:111" x14ac:dyDescent="0.5">
      <c r="A150" s="117">
        <v>118</v>
      </c>
      <c r="B150" s="127" t="s">
        <v>60</v>
      </c>
      <c r="C150" s="127" t="s">
        <v>231</v>
      </c>
      <c r="D150" s="117">
        <f t="shared" si="6558"/>
        <v>5</v>
      </c>
      <c r="E150" s="117">
        <v>0.7</v>
      </c>
      <c r="F150" s="139" t="s">
        <v>232</v>
      </c>
      <c r="G150" s="130">
        <v>1700</v>
      </c>
      <c r="H150" s="123">
        <v>139</v>
      </c>
      <c r="I150" s="124">
        <f t="shared" ref="I150" si="6859">H150*$E150</f>
        <v>97.3</v>
      </c>
      <c r="J150" s="123">
        <v>72</v>
      </c>
      <c r="K150" s="124">
        <f t="shared" ref="K150" si="6860">J150*$E150</f>
        <v>50.4</v>
      </c>
      <c r="L150" s="123">
        <v>60</v>
      </c>
      <c r="M150" s="124">
        <f t="shared" ref="M150" si="6861">L150*$E150</f>
        <v>42</v>
      </c>
      <c r="N150" s="123"/>
      <c r="O150" s="124">
        <f t="shared" ref="O150" si="6862">N150*$E150</f>
        <v>0</v>
      </c>
      <c r="P150" s="123"/>
      <c r="Q150" s="124">
        <f t="shared" ref="Q150" si="6863">P150*$E150</f>
        <v>0</v>
      </c>
      <c r="R150" s="123"/>
      <c r="S150" s="124">
        <f t="shared" ref="S150" si="6864">R150*$E150</f>
        <v>0</v>
      </c>
      <c r="T150" s="123"/>
      <c r="U150" s="124">
        <f t="shared" ref="U150" si="6865">T150*$E150</f>
        <v>0</v>
      </c>
      <c r="V150" s="123"/>
      <c r="W150" s="124">
        <f t="shared" ref="W150" si="6866">V150*$E150</f>
        <v>0</v>
      </c>
      <c r="X150" s="123">
        <v>24</v>
      </c>
      <c r="Y150" s="124">
        <f t="shared" ref="Y150" si="6867">X150*$E150</f>
        <v>16.799999999999997</v>
      </c>
      <c r="Z150" s="123">
        <v>324</v>
      </c>
      <c r="AA150" s="124">
        <f t="shared" ref="AA150" si="6868">Z150*$E150</f>
        <v>226.79999999999998</v>
      </c>
      <c r="AB150" s="123"/>
      <c r="AC150" s="124">
        <f t="shared" ref="AC150" si="6869">AB150*$E150</f>
        <v>0</v>
      </c>
      <c r="AD150" s="123">
        <v>276</v>
      </c>
      <c r="AE150" s="124">
        <f t="shared" ref="AE150" si="6870">AD150*$E150</f>
        <v>193.2</v>
      </c>
      <c r="AF150" s="125">
        <f t="shared" si="6571"/>
        <v>895</v>
      </c>
      <c r="AG150" s="126">
        <f t="shared" ref="AG150" si="6871">AF150*$E150</f>
        <v>626.5</v>
      </c>
      <c r="AH150" s="123">
        <v>1320</v>
      </c>
      <c r="AI150" s="124">
        <f t="shared" ref="AI150" si="6872">AH150*$E150</f>
        <v>923.99999999999989</v>
      </c>
      <c r="AJ150" s="123"/>
      <c r="AK150" s="124">
        <f t="shared" ref="AK150" si="6873">AJ150*$E150</f>
        <v>0</v>
      </c>
      <c r="AL150" s="123">
        <v>180</v>
      </c>
      <c r="AM150" s="124">
        <f t="shared" ref="AM150" si="6874">AL150*$E150</f>
        <v>125.99999999999999</v>
      </c>
      <c r="AN150" s="123"/>
      <c r="AO150" s="124">
        <f t="shared" ref="AO150" si="6875">AN150*$E150</f>
        <v>0</v>
      </c>
      <c r="AP150" s="123">
        <v>180</v>
      </c>
      <c r="AQ150" s="124">
        <f t="shared" ref="AQ150" si="6876">AP150*$E150</f>
        <v>125.99999999999999</v>
      </c>
      <c r="AR150" s="123">
        <v>240</v>
      </c>
      <c r="AS150" s="124">
        <f t="shared" ref="AS150" si="6877">AR150*$E150</f>
        <v>168</v>
      </c>
      <c r="AT150" s="123"/>
      <c r="AU150" s="124">
        <f t="shared" ref="AU150" si="6878">AT150*$E150</f>
        <v>0</v>
      </c>
      <c r="AV150" s="123">
        <v>60</v>
      </c>
      <c r="AW150" s="124">
        <f t="shared" ref="AW150" si="6879">AV150*$E150</f>
        <v>42</v>
      </c>
      <c r="AX150" s="123">
        <v>60</v>
      </c>
      <c r="AY150" s="124">
        <f t="shared" ref="AY150" si="6880">AX150*$E150</f>
        <v>42</v>
      </c>
      <c r="AZ150" s="123">
        <v>240</v>
      </c>
      <c r="BA150" s="124">
        <f t="shared" ref="BA150" si="6881">AZ150*$E150</f>
        <v>168</v>
      </c>
      <c r="BB150" s="123"/>
      <c r="BC150" s="124">
        <f t="shared" ref="BC150" si="6882">BB150*$E150</f>
        <v>0</v>
      </c>
      <c r="BD150" s="123">
        <v>180</v>
      </c>
      <c r="BE150" s="124">
        <f t="shared" ref="BE150" si="6883">BD150*$E150</f>
        <v>125.99999999999999</v>
      </c>
      <c r="BF150" s="125">
        <f t="shared" si="6585"/>
        <v>2460</v>
      </c>
      <c r="BG150" s="126">
        <f t="shared" ref="BG150" si="6884">BF150*$E150</f>
        <v>1722</v>
      </c>
      <c r="BH150" s="123">
        <v>24</v>
      </c>
      <c r="BI150" s="124">
        <f t="shared" ref="BI150" si="6885">BH150*$E150</f>
        <v>16.799999999999997</v>
      </c>
      <c r="BJ150" s="123"/>
      <c r="BK150" s="124">
        <f t="shared" ref="BK150" si="6886">BJ150*$E150</f>
        <v>0</v>
      </c>
      <c r="BL150" s="123"/>
      <c r="BM150" s="124">
        <f t="shared" ref="BM150" si="6887">BL150*$E150</f>
        <v>0</v>
      </c>
      <c r="BN150" s="123">
        <v>180</v>
      </c>
      <c r="BO150" s="124">
        <f t="shared" ref="BO150" si="6888">BN150*$E150</f>
        <v>125.99999999999999</v>
      </c>
      <c r="BP150" s="123">
        <v>60</v>
      </c>
      <c r="BQ150" s="124">
        <f t="shared" ref="BQ150" si="6889">BP150*$E150</f>
        <v>42</v>
      </c>
      <c r="BR150" s="123"/>
      <c r="BS150" s="124">
        <f t="shared" ref="BS150" si="6890">BR150*$E150</f>
        <v>0</v>
      </c>
      <c r="BT150" s="123"/>
      <c r="BU150" s="124">
        <f t="shared" ref="BU150" si="6891">BT150*$E150</f>
        <v>0</v>
      </c>
      <c r="BV150" s="123">
        <v>156</v>
      </c>
      <c r="BW150" s="124">
        <f t="shared" ref="BW150" si="6892">BV150*$E150</f>
        <v>109.19999999999999</v>
      </c>
      <c r="BX150" s="123"/>
      <c r="BY150" s="124">
        <f t="shared" ref="BY150" si="6893">BX150*$E150</f>
        <v>0</v>
      </c>
      <c r="BZ150" s="123"/>
      <c r="CA150" s="124">
        <f t="shared" ref="CA150" si="6894">BZ150*$E150</f>
        <v>0</v>
      </c>
      <c r="CB150" s="123"/>
      <c r="CC150" s="124">
        <f t="shared" ref="CC150" si="6895">CB150*$E150</f>
        <v>0</v>
      </c>
      <c r="CD150" s="123"/>
      <c r="CE150" s="124">
        <f t="shared" ref="CE150" si="6896">CD150*$E150</f>
        <v>0</v>
      </c>
      <c r="CF150" s="125">
        <f t="shared" si="6651"/>
        <v>420</v>
      </c>
      <c r="CG150" s="126">
        <f t="shared" ref="CG150" si="6897">CF150*$E150</f>
        <v>294</v>
      </c>
      <c r="CH150" s="123"/>
      <c r="CI150" s="124">
        <f t="shared" ref="CI150" si="6898">CH150*$E150</f>
        <v>0</v>
      </c>
      <c r="CJ150" s="123"/>
      <c r="CK150" s="124">
        <f t="shared" ref="CK150" si="6899">CJ150*$E150</f>
        <v>0</v>
      </c>
      <c r="CL150" s="123"/>
      <c r="CM150" s="124">
        <f t="shared" ref="CM150" si="6900">CL150*$E150</f>
        <v>0</v>
      </c>
      <c r="CN150" s="123"/>
      <c r="CO150" s="124">
        <f t="shared" ref="CO150" si="6901">CN150*$E150</f>
        <v>0</v>
      </c>
      <c r="CP150" s="123"/>
      <c r="CQ150" s="124">
        <f t="shared" ref="CQ150" si="6902">CP150*$E150</f>
        <v>0</v>
      </c>
      <c r="CR150" s="123"/>
      <c r="CS150" s="124">
        <f t="shared" ref="CS150" si="6903">CR150*$E150</f>
        <v>0</v>
      </c>
      <c r="CT150" s="123"/>
      <c r="CU150" s="124">
        <f t="shared" ref="CU150" si="6904">CT150*$E150</f>
        <v>0</v>
      </c>
      <c r="CV150" s="123"/>
      <c r="CW150" s="124">
        <f t="shared" ref="CW150" si="6905">CV150*$E150</f>
        <v>0</v>
      </c>
      <c r="CX150" s="123"/>
      <c r="CY150" s="124">
        <f t="shared" ref="CY150" si="6906">CX150*$E150</f>
        <v>0</v>
      </c>
      <c r="CZ150" s="123"/>
      <c r="DA150" s="124">
        <f t="shared" ref="DA150" si="6907">CZ150*$E150</f>
        <v>0</v>
      </c>
      <c r="DB150" s="123"/>
      <c r="DC150" s="124">
        <f t="shared" si="6341"/>
        <v>0</v>
      </c>
      <c r="DD150" s="123"/>
      <c r="DE150" s="124">
        <f t="shared" si="6341"/>
        <v>0</v>
      </c>
      <c r="DF150" s="27">
        <f t="shared" si="6611"/>
        <v>0</v>
      </c>
      <c r="DG150" s="124">
        <f t="shared" si="6612"/>
        <v>0</v>
      </c>
    </row>
    <row r="151" spans="1:111" x14ac:dyDescent="0.5">
      <c r="A151" s="117">
        <v>119</v>
      </c>
      <c r="B151" s="127" t="s">
        <v>265</v>
      </c>
      <c r="C151" s="127" t="s">
        <v>231</v>
      </c>
      <c r="D151" s="117"/>
      <c r="E151" s="117">
        <v>0.7</v>
      </c>
      <c r="F151" s="139" t="s">
        <v>232</v>
      </c>
      <c r="G151" s="130"/>
      <c r="H151" s="123"/>
      <c r="I151" s="124"/>
      <c r="J151" s="123"/>
      <c r="K151" s="124"/>
      <c r="L151" s="123"/>
      <c r="M151" s="124"/>
      <c r="N151" s="123"/>
      <c r="O151" s="124"/>
      <c r="P151" s="123"/>
      <c r="Q151" s="124"/>
      <c r="R151" s="123"/>
      <c r="S151" s="124"/>
      <c r="T151" s="123"/>
      <c r="U151" s="124"/>
      <c r="V151" s="123"/>
      <c r="W151" s="124"/>
      <c r="X151" s="123"/>
      <c r="Y151" s="124"/>
      <c r="Z151" s="123"/>
      <c r="AA151" s="124"/>
      <c r="AB151" s="123"/>
      <c r="AC151" s="124"/>
      <c r="AD151" s="123"/>
      <c r="AE151" s="124"/>
      <c r="AF151" s="125"/>
      <c r="AG151" s="126"/>
      <c r="AH151" s="123"/>
      <c r="AI151" s="124"/>
      <c r="AJ151" s="123"/>
      <c r="AK151" s="124"/>
      <c r="AL151" s="123"/>
      <c r="AM151" s="124"/>
      <c r="AN151" s="123"/>
      <c r="AO151" s="124"/>
      <c r="AP151" s="123"/>
      <c r="AQ151" s="124"/>
      <c r="AR151" s="123"/>
      <c r="AS151" s="124"/>
      <c r="AT151" s="123"/>
      <c r="AU151" s="124"/>
      <c r="AV151" s="123"/>
      <c r="AW151" s="124"/>
      <c r="AX151" s="123"/>
      <c r="AY151" s="124"/>
      <c r="AZ151" s="123"/>
      <c r="BA151" s="124"/>
      <c r="BB151" s="123"/>
      <c r="BC151" s="124"/>
      <c r="BD151" s="123"/>
      <c r="BE151" s="124"/>
      <c r="BF151" s="125"/>
      <c r="BG151" s="126"/>
      <c r="BH151" s="123"/>
      <c r="BI151" s="124"/>
      <c r="BJ151" s="123"/>
      <c r="BK151" s="124"/>
      <c r="BL151" s="123"/>
      <c r="BM151" s="124"/>
      <c r="BN151" s="123"/>
      <c r="BO151" s="124"/>
      <c r="BP151" s="123"/>
      <c r="BQ151" s="124"/>
      <c r="BR151" s="123"/>
      <c r="BS151" s="124"/>
      <c r="BT151" s="123"/>
      <c r="BU151" s="124"/>
      <c r="BV151" s="123"/>
      <c r="BW151" s="124"/>
      <c r="BX151" s="123"/>
      <c r="BY151" s="124"/>
      <c r="BZ151" s="123"/>
      <c r="CA151" s="124"/>
      <c r="CB151" s="123"/>
      <c r="CC151" s="124"/>
      <c r="CD151" s="123"/>
      <c r="CE151" s="124"/>
      <c r="CF151" s="125"/>
      <c r="CG151" s="126"/>
      <c r="CH151" s="123"/>
      <c r="CI151" s="124"/>
      <c r="CJ151" s="123"/>
      <c r="CK151" s="124"/>
      <c r="CL151" s="123"/>
      <c r="CM151" s="124"/>
      <c r="CN151" s="123"/>
      <c r="CO151" s="124"/>
      <c r="CP151" s="123"/>
      <c r="CQ151" s="124"/>
      <c r="CR151" s="123"/>
      <c r="CS151" s="124"/>
      <c r="CT151" s="123"/>
      <c r="CU151" s="124"/>
      <c r="CV151" s="123"/>
      <c r="CW151" s="124"/>
      <c r="CX151" s="123"/>
      <c r="CY151" s="124"/>
      <c r="CZ151" s="123"/>
      <c r="DA151" s="124"/>
      <c r="DB151" s="123"/>
      <c r="DC151" s="124"/>
      <c r="DD151" s="123"/>
      <c r="DE151" s="124"/>
      <c r="DF151" s="27"/>
      <c r="DG151" s="124"/>
    </row>
    <row r="152" spans="1:111" x14ac:dyDescent="0.5">
      <c r="A152" s="117">
        <v>120</v>
      </c>
      <c r="B152" s="127" t="s">
        <v>266</v>
      </c>
      <c r="C152" s="127" t="s">
        <v>231</v>
      </c>
      <c r="D152" s="117"/>
      <c r="E152" s="117">
        <v>0.7</v>
      </c>
      <c r="F152" s="139" t="s">
        <v>232</v>
      </c>
      <c r="G152" s="130"/>
      <c r="H152" s="123"/>
      <c r="I152" s="124"/>
      <c r="J152" s="123"/>
      <c r="K152" s="124"/>
      <c r="L152" s="123"/>
      <c r="M152" s="124"/>
      <c r="N152" s="123"/>
      <c r="O152" s="124"/>
      <c r="P152" s="123"/>
      <c r="Q152" s="124"/>
      <c r="R152" s="123"/>
      <c r="S152" s="124"/>
      <c r="T152" s="123"/>
      <c r="U152" s="124"/>
      <c r="V152" s="123"/>
      <c r="W152" s="124"/>
      <c r="X152" s="123"/>
      <c r="Y152" s="124"/>
      <c r="Z152" s="123"/>
      <c r="AA152" s="124"/>
      <c r="AB152" s="123"/>
      <c r="AC152" s="124"/>
      <c r="AD152" s="123"/>
      <c r="AE152" s="124"/>
      <c r="AF152" s="125"/>
      <c r="AG152" s="126"/>
      <c r="AH152" s="123"/>
      <c r="AI152" s="124"/>
      <c r="AJ152" s="123"/>
      <c r="AK152" s="124"/>
      <c r="AL152" s="123"/>
      <c r="AM152" s="124"/>
      <c r="AN152" s="123"/>
      <c r="AO152" s="124"/>
      <c r="AP152" s="123"/>
      <c r="AQ152" s="124"/>
      <c r="AR152" s="123"/>
      <c r="AS152" s="124"/>
      <c r="AT152" s="123"/>
      <c r="AU152" s="124"/>
      <c r="AV152" s="123"/>
      <c r="AW152" s="124"/>
      <c r="AX152" s="123"/>
      <c r="AY152" s="124"/>
      <c r="AZ152" s="123"/>
      <c r="BA152" s="124"/>
      <c r="BB152" s="123"/>
      <c r="BC152" s="124"/>
      <c r="BD152" s="123"/>
      <c r="BE152" s="124"/>
      <c r="BF152" s="125"/>
      <c r="BG152" s="126"/>
      <c r="BH152" s="123"/>
      <c r="BI152" s="124"/>
      <c r="BJ152" s="123"/>
      <c r="BK152" s="124"/>
      <c r="BL152" s="123"/>
      <c r="BM152" s="124"/>
      <c r="BN152" s="123"/>
      <c r="BO152" s="124"/>
      <c r="BP152" s="123"/>
      <c r="BQ152" s="124"/>
      <c r="BR152" s="123"/>
      <c r="BS152" s="124"/>
      <c r="BT152" s="123"/>
      <c r="BU152" s="124"/>
      <c r="BV152" s="123"/>
      <c r="BW152" s="124"/>
      <c r="BX152" s="123"/>
      <c r="BY152" s="124"/>
      <c r="BZ152" s="123"/>
      <c r="CA152" s="124"/>
      <c r="CB152" s="123"/>
      <c r="CC152" s="124"/>
      <c r="CD152" s="123"/>
      <c r="CE152" s="124"/>
      <c r="CF152" s="125"/>
      <c r="CG152" s="126"/>
      <c r="CH152" s="123"/>
      <c r="CI152" s="124"/>
      <c r="CJ152" s="123"/>
      <c r="CK152" s="124"/>
      <c r="CL152" s="123"/>
      <c r="CM152" s="124"/>
      <c r="CN152" s="123"/>
      <c r="CO152" s="124"/>
      <c r="CP152" s="123"/>
      <c r="CQ152" s="124"/>
      <c r="CR152" s="123"/>
      <c r="CS152" s="124"/>
      <c r="CT152" s="123"/>
      <c r="CU152" s="124"/>
      <c r="CV152" s="123"/>
      <c r="CW152" s="124"/>
      <c r="CX152" s="123"/>
      <c r="CY152" s="124"/>
      <c r="CZ152" s="123"/>
      <c r="DA152" s="124"/>
      <c r="DB152" s="123"/>
      <c r="DC152" s="124"/>
      <c r="DD152" s="123"/>
      <c r="DE152" s="124"/>
      <c r="DF152" s="27"/>
      <c r="DG152" s="124"/>
    </row>
    <row r="153" spans="1:111" x14ac:dyDescent="0.5">
      <c r="A153" s="117">
        <v>121</v>
      </c>
      <c r="B153" s="127" t="s">
        <v>209</v>
      </c>
      <c r="C153" s="127" t="s">
        <v>231</v>
      </c>
      <c r="D153" s="117">
        <f>RANK(DF153,$DF$143:$DF$162)</f>
        <v>5</v>
      </c>
      <c r="E153" s="117">
        <v>0.7</v>
      </c>
      <c r="F153" s="139" t="s">
        <v>232</v>
      </c>
      <c r="G153" s="130"/>
      <c r="H153" s="123"/>
      <c r="I153" s="124">
        <f t="shared" ref="I153" si="6908">H153*$E153</f>
        <v>0</v>
      </c>
      <c r="J153" s="123"/>
      <c r="K153" s="124">
        <f t="shared" ref="K153" si="6909">J153*$E153</f>
        <v>0</v>
      </c>
      <c r="L153" s="123"/>
      <c r="M153" s="124">
        <f t="shared" ref="M153" si="6910">L153*$E153</f>
        <v>0</v>
      </c>
      <c r="N153" s="123"/>
      <c r="O153" s="124">
        <f t="shared" ref="O153" si="6911">N153*$E153</f>
        <v>0</v>
      </c>
      <c r="P153" s="123"/>
      <c r="Q153" s="124">
        <f t="shared" ref="Q153" si="6912">P153*$E153</f>
        <v>0</v>
      </c>
      <c r="R153" s="123"/>
      <c r="S153" s="124">
        <f t="shared" ref="S153" si="6913">R153*$E153</f>
        <v>0</v>
      </c>
      <c r="T153" s="123"/>
      <c r="U153" s="124">
        <f t="shared" ref="U153" si="6914">T153*$E153</f>
        <v>0</v>
      </c>
      <c r="V153" s="123"/>
      <c r="W153" s="124">
        <f t="shared" ref="W153" si="6915">V153*$E153</f>
        <v>0</v>
      </c>
      <c r="X153" s="123"/>
      <c r="Y153" s="124">
        <f t="shared" ref="Y153" si="6916">X153*$E153</f>
        <v>0</v>
      </c>
      <c r="Z153" s="123"/>
      <c r="AA153" s="124">
        <f t="shared" ref="AA153" si="6917">Z153*$E153</f>
        <v>0</v>
      </c>
      <c r="AB153" s="123"/>
      <c r="AC153" s="124">
        <f t="shared" ref="AC153" si="6918">AB153*$E153</f>
        <v>0</v>
      </c>
      <c r="AD153" s="123"/>
      <c r="AE153" s="124">
        <f t="shared" ref="AE153" si="6919">AD153*$E153</f>
        <v>0</v>
      </c>
      <c r="AF153" s="125">
        <f t="shared" si="6571"/>
        <v>0</v>
      </c>
      <c r="AG153" s="126">
        <f t="shared" ref="AG153" si="6920">AF153*$E153</f>
        <v>0</v>
      </c>
      <c r="AH153" s="123"/>
      <c r="AI153" s="124">
        <f t="shared" ref="AI153" si="6921">AH153*$E153</f>
        <v>0</v>
      </c>
      <c r="AJ153" s="123"/>
      <c r="AK153" s="124">
        <f t="shared" ref="AK153" si="6922">AJ153*$E153</f>
        <v>0</v>
      </c>
      <c r="AL153" s="123"/>
      <c r="AM153" s="124">
        <f t="shared" ref="AM153" si="6923">AL153*$E153</f>
        <v>0</v>
      </c>
      <c r="AN153" s="123"/>
      <c r="AO153" s="124">
        <f t="shared" ref="AO153" si="6924">AN153*$E153</f>
        <v>0</v>
      </c>
      <c r="AP153" s="123"/>
      <c r="AQ153" s="124">
        <f t="shared" ref="AQ153" si="6925">AP153*$E153</f>
        <v>0</v>
      </c>
      <c r="AR153" s="123"/>
      <c r="AS153" s="124">
        <f t="shared" ref="AS153" si="6926">AR153*$E153</f>
        <v>0</v>
      </c>
      <c r="AT153" s="123"/>
      <c r="AU153" s="124">
        <f t="shared" ref="AU153" si="6927">AT153*$E153</f>
        <v>0</v>
      </c>
      <c r="AV153" s="123"/>
      <c r="AW153" s="124">
        <f t="shared" ref="AW153" si="6928">AV153*$E153</f>
        <v>0</v>
      </c>
      <c r="AX153" s="123"/>
      <c r="AY153" s="124">
        <f t="shared" ref="AY153" si="6929">AX153*$E153</f>
        <v>0</v>
      </c>
      <c r="AZ153" s="123"/>
      <c r="BA153" s="124">
        <f t="shared" ref="BA153" si="6930">AZ153*$E153</f>
        <v>0</v>
      </c>
      <c r="BB153" s="123"/>
      <c r="BC153" s="124">
        <f t="shared" ref="BC153" si="6931">BB153*$E153</f>
        <v>0</v>
      </c>
      <c r="BD153" s="123"/>
      <c r="BE153" s="124">
        <f t="shared" ref="BE153" si="6932">BD153*$E153</f>
        <v>0</v>
      </c>
      <c r="BF153" s="125">
        <f t="shared" si="6585"/>
        <v>0</v>
      </c>
      <c r="BG153" s="126">
        <f t="shared" ref="BG153" si="6933">BF153*$E153</f>
        <v>0</v>
      </c>
      <c r="BH153" s="123"/>
      <c r="BI153" s="124">
        <f t="shared" ref="BI153" si="6934">BH153*$E153</f>
        <v>0</v>
      </c>
      <c r="BJ153" s="123"/>
      <c r="BK153" s="124">
        <f t="shared" ref="BK153" si="6935">BJ153*$E153</f>
        <v>0</v>
      </c>
      <c r="BL153" s="123"/>
      <c r="BM153" s="124">
        <f t="shared" ref="BM153" si="6936">BL153*$E153</f>
        <v>0</v>
      </c>
      <c r="BN153" s="123"/>
      <c r="BO153" s="124">
        <f t="shared" ref="BO153" si="6937">BN153*$E153</f>
        <v>0</v>
      </c>
      <c r="BP153" s="123"/>
      <c r="BQ153" s="124">
        <f t="shared" ref="BQ153" si="6938">BP153*$E153</f>
        <v>0</v>
      </c>
      <c r="BR153" s="123"/>
      <c r="BS153" s="124">
        <f t="shared" ref="BS153" si="6939">BR153*$E153</f>
        <v>0</v>
      </c>
      <c r="BT153" s="123"/>
      <c r="BU153" s="124">
        <f t="shared" ref="BU153" si="6940">BT153*$E153</f>
        <v>0</v>
      </c>
      <c r="BV153" s="123"/>
      <c r="BW153" s="124">
        <f t="shared" ref="BW153" si="6941">BV153*$E153</f>
        <v>0</v>
      </c>
      <c r="BX153" s="123"/>
      <c r="BY153" s="124">
        <f t="shared" ref="BY153" si="6942">BX153*$E153</f>
        <v>0</v>
      </c>
      <c r="BZ153" s="123"/>
      <c r="CA153" s="124">
        <f t="shared" ref="CA153" si="6943">BZ153*$E153</f>
        <v>0</v>
      </c>
      <c r="CB153" s="123"/>
      <c r="CC153" s="124">
        <f t="shared" ref="CC153" si="6944">CB153*$E153</f>
        <v>0</v>
      </c>
      <c r="CD153" s="123"/>
      <c r="CE153" s="124">
        <f t="shared" ref="CE153" si="6945">CD153*$E153</f>
        <v>0</v>
      </c>
      <c r="CF153" s="125">
        <f t="shared" si="6651"/>
        <v>0</v>
      </c>
      <c r="CG153" s="126">
        <f t="shared" ref="CG153" si="6946">CF153*$E153</f>
        <v>0</v>
      </c>
      <c r="CH153" s="123"/>
      <c r="CI153" s="124">
        <f t="shared" ref="CI153" si="6947">CH153*$E153</f>
        <v>0</v>
      </c>
      <c r="CJ153" s="123"/>
      <c r="CK153" s="124">
        <f t="shared" ref="CK153" si="6948">CJ153*$E153</f>
        <v>0</v>
      </c>
      <c r="CL153" s="123"/>
      <c r="CM153" s="124">
        <f t="shared" ref="CM153" si="6949">CL153*$E153</f>
        <v>0</v>
      </c>
      <c r="CN153" s="123"/>
      <c r="CO153" s="124">
        <f t="shared" ref="CO153" si="6950">CN153*$E153</f>
        <v>0</v>
      </c>
      <c r="CP153" s="123"/>
      <c r="CQ153" s="124">
        <f t="shared" ref="CQ153" si="6951">CP153*$E153</f>
        <v>0</v>
      </c>
      <c r="CR153" s="123"/>
      <c r="CS153" s="124">
        <f t="shared" ref="CS153" si="6952">CR153*$E153</f>
        <v>0</v>
      </c>
      <c r="CT153" s="123"/>
      <c r="CU153" s="124">
        <f t="shared" ref="CU153" si="6953">CT153*$E153</f>
        <v>0</v>
      </c>
      <c r="CV153" s="123"/>
      <c r="CW153" s="124">
        <f t="shared" ref="CW153" si="6954">CV153*$E153</f>
        <v>0</v>
      </c>
      <c r="CX153" s="123"/>
      <c r="CY153" s="124">
        <f t="shared" ref="CY153" si="6955">CX153*$E153</f>
        <v>0</v>
      </c>
      <c r="CZ153" s="123"/>
      <c r="DA153" s="124">
        <f t="shared" ref="DA153" si="6956">CZ153*$E153</f>
        <v>0</v>
      </c>
      <c r="DB153" s="123"/>
      <c r="DC153" s="124">
        <f t="shared" si="6341"/>
        <v>0</v>
      </c>
      <c r="DD153" s="123"/>
      <c r="DE153" s="124">
        <f t="shared" si="6341"/>
        <v>0</v>
      </c>
      <c r="DF153" s="27">
        <f t="shared" si="6611"/>
        <v>0</v>
      </c>
      <c r="DG153" s="124">
        <f t="shared" si="6612"/>
        <v>0</v>
      </c>
    </row>
    <row r="154" spans="1:111" x14ac:dyDescent="0.5">
      <c r="A154" s="117">
        <v>122</v>
      </c>
      <c r="B154" s="127" t="s">
        <v>210</v>
      </c>
      <c r="C154" s="127" t="s">
        <v>231</v>
      </c>
      <c r="D154" s="117">
        <f>RANK(DF154,$DF$143:$DF$162)</f>
        <v>5</v>
      </c>
      <c r="E154" s="117">
        <v>0.35</v>
      </c>
      <c r="F154" s="139" t="s">
        <v>235</v>
      </c>
      <c r="G154" s="130"/>
      <c r="H154" s="123"/>
      <c r="I154" s="124">
        <f t="shared" ref="I154" si="6957">H154*$E154</f>
        <v>0</v>
      </c>
      <c r="J154" s="123"/>
      <c r="K154" s="124">
        <f t="shared" ref="K154" si="6958">J154*$E154</f>
        <v>0</v>
      </c>
      <c r="L154" s="123"/>
      <c r="M154" s="124">
        <f t="shared" ref="M154" si="6959">L154*$E154</f>
        <v>0</v>
      </c>
      <c r="N154" s="123"/>
      <c r="O154" s="124">
        <f t="shared" ref="O154" si="6960">N154*$E154</f>
        <v>0</v>
      </c>
      <c r="P154" s="123"/>
      <c r="Q154" s="124">
        <f t="shared" ref="Q154" si="6961">P154*$E154</f>
        <v>0</v>
      </c>
      <c r="R154" s="123"/>
      <c r="S154" s="124">
        <f t="shared" ref="S154" si="6962">R154*$E154</f>
        <v>0</v>
      </c>
      <c r="T154" s="123"/>
      <c r="U154" s="124">
        <f t="shared" ref="U154" si="6963">T154*$E154</f>
        <v>0</v>
      </c>
      <c r="V154" s="123"/>
      <c r="W154" s="124">
        <f t="shared" ref="W154" si="6964">V154*$E154</f>
        <v>0</v>
      </c>
      <c r="X154" s="123"/>
      <c r="Y154" s="124">
        <f t="shared" ref="Y154" si="6965">X154*$E154</f>
        <v>0</v>
      </c>
      <c r="Z154" s="123"/>
      <c r="AA154" s="124">
        <f t="shared" ref="AA154" si="6966">Z154*$E154</f>
        <v>0</v>
      </c>
      <c r="AB154" s="123"/>
      <c r="AC154" s="124">
        <f t="shared" ref="AC154" si="6967">AB154*$E154</f>
        <v>0</v>
      </c>
      <c r="AD154" s="123"/>
      <c r="AE154" s="124">
        <f t="shared" ref="AE154" si="6968">AD154*$E154</f>
        <v>0</v>
      </c>
      <c r="AF154" s="125">
        <f t="shared" si="6571"/>
        <v>0</v>
      </c>
      <c r="AG154" s="126">
        <f t="shared" ref="AG154" si="6969">AF154*$E154</f>
        <v>0</v>
      </c>
      <c r="AH154" s="123"/>
      <c r="AI154" s="124">
        <f t="shared" ref="AI154" si="6970">AH154*$E154</f>
        <v>0</v>
      </c>
      <c r="AJ154" s="123"/>
      <c r="AK154" s="124">
        <f t="shared" ref="AK154" si="6971">AJ154*$E154</f>
        <v>0</v>
      </c>
      <c r="AL154" s="123"/>
      <c r="AM154" s="124">
        <f t="shared" ref="AM154" si="6972">AL154*$E154</f>
        <v>0</v>
      </c>
      <c r="AN154" s="123"/>
      <c r="AO154" s="124">
        <f t="shared" ref="AO154" si="6973">AN154*$E154</f>
        <v>0</v>
      </c>
      <c r="AP154" s="123"/>
      <c r="AQ154" s="124">
        <f t="shared" ref="AQ154" si="6974">AP154*$E154</f>
        <v>0</v>
      </c>
      <c r="AR154" s="123"/>
      <c r="AS154" s="124">
        <f t="shared" ref="AS154" si="6975">AR154*$E154</f>
        <v>0</v>
      </c>
      <c r="AT154" s="123"/>
      <c r="AU154" s="124">
        <f t="shared" ref="AU154" si="6976">AT154*$E154</f>
        <v>0</v>
      </c>
      <c r="AV154" s="123"/>
      <c r="AW154" s="124">
        <f t="shared" ref="AW154" si="6977">AV154*$E154</f>
        <v>0</v>
      </c>
      <c r="AX154" s="123"/>
      <c r="AY154" s="124">
        <f t="shared" ref="AY154" si="6978">AX154*$E154</f>
        <v>0</v>
      </c>
      <c r="AZ154" s="123"/>
      <c r="BA154" s="124">
        <f t="shared" ref="BA154" si="6979">AZ154*$E154</f>
        <v>0</v>
      </c>
      <c r="BB154" s="123"/>
      <c r="BC154" s="124">
        <f t="shared" ref="BC154" si="6980">BB154*$E154</f>
        <v>0</v>
      </c>
      <c r="BD154" s="123"/>
      <c r="BE154" s="124">
        <f t="shared" ref="BE154" si="6981">BD154*$E154</f>
        <v>0</v>
      </c>
      <c r="BF154" s="125">
        <f t="shared" si="6585"/>
        <v>0</v>
      </c>
      <c r="BG154" s="126">
        <f t="shared" ref="BG154" si="6982">BF154*$E154</f>
        <v>0</v>
      </c>
      <c r="BH154" s="123"/>
      <c r="BI154" s="124">
        <f t="shared" ref="BI154" si="6983">BH154*$E154</f>
        <v>0</v>
      </c>
      <c r="BJ154" s="123"/>
      <c r="BK154" s="124">
        <f t="shared" ref="BK154" si="6984">BJ154*$E154</f>
        <v>0</v>
      </c>
      <c r="BL154" s="123"/>
      <c r="BM154" s="124">
        <f t="shared" ref="BM154" si="6985">BL154*$E154</f>
        <v>0</v>
      </c>
      <c r="BN154" s="123"/>
      <c r="BO154" s="124">
        <f t="shared" ref="BO154" si="6986">BN154*$E154</f>
        <v>0</v>
      </c>
      <c r="BP154" s="123"/>
      <c r="BQ154" s="124">
        <f t="shared" ref="BQ154" si="6987">BP154*$E154</f>
        <v>0</v>
      </c>
      <c r="BR154" s="123"/>
      <c r="BS154" s="124">
        <f t="shared" ref="BS154" si="6988">BR154*$E154</f>
        <v>0</v>
      </c>
      <c r="BT154" s="123"/>
      <c r="BU154" s="124">
        <f t="shared" ref="BU154" si="6989">BT154*$E154</f>
        <v>0</v>
      </c>
      <c r="BV154" s="123"/>
      <c r="BW154" s="124">
        <f t="shared" ref="BW154" si="6990">BV154*$E154</f>
        <v>0</v>
      </c>
      <c r="BX154" s="123"/>
      <c r="BY154" s="124">
        <f t="shared" ref="BY154" si="6991">BX154*$E154</f>
        <v>0</v>
      </c>
      <c r="BZ154" s="123"/>
      <c r="CA154" s="124">
        <f t="shared" ref="CA154" si="6992">BZ154*$E154</f>
        <v>0</v>
      </c>
      <c r="CB154" s="123"/>
      <c r="CC154" s="124">
        <f t="shared" ref="CC154" si="6993">CB154*$E154</f>
        <v>0</v>
      </c>
      <c r="CD154" s="123"/>
      <c r="CE154" s="124">
        <f t="shared" ref="CE154" si="6994">CD154*$E154</f>
        <v>0</v>
      </c>
      <c r="CF154" s="125">
        <f t="shared" si="6651"/>
        <v>0</v>
      </c>
      <c r="CG154" s="126">
        <f t="shared" ref="CG154" si="6995">CF154*$E154</f>
        <v>0</v>
      </c>
      <c r="CH154" s="123"/>
      <c r="CI154" s="124">
        <f t="shared" ref="CI154" si="6996">CH154*$E154</f>
        <v>0</v>
      </c>
      <c r="CJ154" s="123"/>
      <c r="CK154" s="124">
        <f t="shared" ref="CK154" si="6997">CJ154*$E154</f>
        <v>0</v>
      </c>
      <c r="CL154" s="123"/>
      <c r="CM154" s="124">
        <f t="shared" ref="CM154" si="6998">CL154*$E154</f>
        <v>0</v>
      </c>
      <c r="CN154" s="123"/>
      <c r="CO154" s="124">
        <f t="shared" ref="CO154" si="6999">CN154*$E154</f>
        <v>0</v>
      </c>
      <c r="CP154" s="123"/>
      <c r="CQ154" s="124">
        <f t="shared" ref="CQ154" si="7000">CP154*$E154</f>
        <v>0</v>
      </c>
      <c r="CR154" s="123"/>
      <c r="CS154" s="124">
        <f t="shared" ref="CS154" si="7001">CR154*$E154</f>
        <v>0</v>
      </c>
      <c r="CT154" s="123"/>
      <c r="CU154" s="124">
        <f t="shared" ref="CU154" si="7002">CT154*$E154</f>
        <v>0</v>
      </c>
      <c r="CV154" s="123"/>
      <c r="CW154" s="124">
        <f t="shared" ref="CW154" si="7003">CV154*$E154</f>
        <v>0</v>
      </c>
      <c r="CX154" s="123"/>
      <c r="CY154" s="124">
        <f t="shared" ref="CY154" si="7004">CX154*$E154</f>
        <v>0</v>
      </c>
      <c r="CZ154" s="123"/>
      <c r="DA154" s="124">
        <f t="shared" ref="DA154" si="7005">CZ154*$E154</f>
        <v>0</v>
      </c>
      <c r="DB154" s="123"/>
      <c r="DC154" s="124">
        <f t="shared" si="6341"/>
        <v>0</v>
      </c>
      <c r="DD154" s="123"/>
      <c r="DE154" s="124">
        <f t="shared" si="6341"/>
        <v>0</v>
      </c>
      <c r="DF154" s="27">
        <f t="shared" si="6611"/>
        <v>0</v>
      </c>
      <c r="DG154" s="124">
        <f t="shared" si="6612"/>
        <v>0</v>
      </c>
    </row>
    <row r="155" spans="1:111" x14ac:dyDescent="0.5">
      <c r="A155" s="117">
        <v>123</v>
      </c>
      <c r="B155" s="127" t="s">
        <v>211</v>
      </c>
      <c r="C155" s="127" t="s">
        <v>231</v>
      </c>
      <c r="D155" s="117">
        <f>RANK(DF155,$DF$143:$DF$162)</f>
        <v>5</v>
      </c>
      <c r="E155" s="117">
        <v>0.7</v>
      </c>
      <c r="F155" s="139" t="s">
        <v>232</v>
      </c>
      <c r="G155" s="130"/>
      <c r="H155" s="123"/>
      <c r="I155" s="124">
        <f t="shared" ref="I155" si="7006">H155*$E155</f>
        <v>0</v>
      </c>
      <c r="J155" s="123"/>
      <c r="K155" s="124">
        <f t="shared" ref="K155" si="7007">J155*$E155</f>
        <v>0</v>
      </c>
      <c r="L155" s="123"/>
      <c r="M155" s="124">
        <f t="shared" ref="M155" si="7008">L155*$E155</f>
        <v>0</v>
      </c>
      <c r="N155" s="123"/>
      <c r="O155" s="124">
        <f t="shared" ref="O155" si="7009">N155*$E155</f>
        <v>0</v>
      </c>
      <c r="P155" s="123"/>
      <c r="Q155" s="124">
        <f t="shared" ref="Q155" si="7010">P155*$E155</f>
        <v>0</v>
      </c>
      <c r="R155" s="123"/>
      <c r="S155" s="124">
        <f t="shared" ref="S155" si="7011">R155*$E155</f>
        <v>0</v>
      </c>
      <c r="T155" s="123"/>
      <c r="U155" s="124">
        <f t="shared" ref="U155" si="7012">T155*$E155</f>
        <v>0</v>
      </c>
      <c r="V155" s="123"/>
      <c r="W155" s="124">
        <f t="shared" ref="W155" si="7013">V155*$E155</f>
        <v>0</v>
      </c>
      <c r="X155" s="123"/>
      <c r="Y155" s="124">
        <f t="shared" ref="Y155" si="7014">X155*$E155</f>
        <v>0</v>
      </c>
      <c r="Z155" s="123"/>
      <c r="AA155" s="124">
        <f t="shared" ref="AA155" si="7015">Z155*$E155</f>
        <v>0</v>
      </c>
      <c r="AB155" s="123"/>
      <c r="AC155" s="124">
        <f t="shared" ref="AC155" si="7016">AB155*$E155</f>
        <v>0</v>
      </c>
      <c r="AD155" s="123"/>
      <c r="AE155" s="124">
        <f t="shared" ref="AE155" si="7017">AD155*$E155</f>
        <v>0</v>
      </c>
      <c r="AF155" s="125">
        <f t="shared" si="6571"/>
        <v>0</v>
      </c>
      <c r="AG155" s="126">
        <f t="shared" ref="AG155" si="7018">AF155*$E155</f>
        <v>0</v>
      </c>
      <c r="AH155" s="123"/>
      <c r="AI155" s="124">
        <f t="shared" ref="AI155" si="7019">AH155*$E155</f>
        <v>0</v>
      </c>
      <c r="AJ155" s="123"/>
      <c r="AK155" s="124">
        <f t="shared" ref="AK155" si="7020">AJ155*$E155</f>
        <v>0</v>
      </c>
      <c r="AL155" s="123"/>
      <c r="AM155" s="124">
        <f t="shared" ref="AM155" si="7021">AL155*$E155</f>
        <v>0</v>
      </c>
      <c r="AN155" s="123"/>
      <c r="AO155" s="124">
        <f t="shared" ref="AO155" si="7022">AN155*$E155</f>
        <v>0</v>
      </c>
      <c r="AP155" s="123"/>
      <c r="AQ155" s="124">
        <f t="shared" ref="AQ155" si="7023">AP155*$E155</f>
        <v>0</v>
      </c>
      <c r="AR155" s="123"/>
      <c r="AS155" s="124">
        <f t="shared" ref="AS155" si="7024">AR155*$E155</f>
        <v>0</v>
      </c>
      <c r="AT155" s="123"/>
      <c r="AU155" s="124">
        <f t="shared" ref="AU155" si="7025">AT155*$E155</f>
        <v>0</v>
      </c>
      <c r="AV155" s="123"/>
      <c r="AW155" s="124">
        <f t="shared" ref="AW155" si="7026">AV155*$E155</f>
        <v>0</v>
      </c>
      <c r="AX155" s="123"/>
      <c r="AY155" s="124">
        <f t="shared" ref="AY155" si="7027">AX155*$E155</f>
        <v>0</v>
      </c>
      <c r="AZ155" s="123"/>
      <c r="BA155" s="124">
        <f t="shared" ref="BA155" si="7028">AZ155*$E155</f>
        <v>0</v>
      </c>
      <c r="BB155" s="123"/>
      <c r="BC155" s="124">
        <f t="shared" ref="BC155" si="7029">BB155*$E155</f>
        <v>0</v>
      </c>
      <c r="BD155" s="123"/>
      <c r="BE155" s="124">
        <f t="shared" ref="BE155" si="7030">BD155*$E155</f>
        <v>0</v>
      </c>
      <c r="BF155" s="125">
        <f t="shared" si="6585"/>
        <v>0</v>
      </c>
      <c r="BG155" s="126">
        <f t="shared" ref="BG155" si="7031">BF155*$E155</f>
        <v>0</v>
      </c>
      <c r="BH155" s="123"/>
      <c r="BI155" s="124">
        <f t="shared" ref="BI155" si="7032">BH155*$E155</f>
        <v>0</v>
      </c>
      <c r="BJ155" s="123"/>
      <c r="BK155" s="124">
        <f t="shared" ref="BK155" si="7033">BJ155*$E155</f>
        <v>0</v>
      </c>
      <c r="BL155" s="123"/>
      <c r="BM155" s="124">
        <f t="shared" ref="BM155" si="7034">BL155*$E155</f>
        <v>0</v>
      </c>
      <c r="BN155" s="123"/>
      <c r="BO155" s="124">
        <f t="shared" ref="BO155" si="7035">BN155*$E155</f>
        <v>0</v>
      </c>
      <c r="BP155" s="123"/>
      <c r="BQ155" s="124">
        <f t="shared" ref="BQ155" si="7036">BP155*$E155</f>
        <v>0</v>
      </c>
      <c r="BR155" s="123"/>
      <c r="BS155" s="124">
        <f t="shared" ref="BS155" si="7037">BR155*$E155</f>
        <v>0</v>
      </c>
      <c r="BT155" s="123"/>
      <c r="BU155" s="124">
        <f t="shared" ref="BU155" si="7038">BT155*$E155</f>
        <v>0</v>
      </c>
      <c r="BV155" s="123"/>
      <c r="BW155" s="124">
        <f t="shared" ref="BW155" si="7039">BV155*$E155</f>
        <v>0</v>
      </c>
      <c r="BX155" s="123"/>
      <c r="BY155" s="124">
        <f t="shared" ref="BY155" si="7040">BX155*$E155</f>
        <v>0</v>
      </c>
      <c r="BZ155" s="123"/>
      <c r="CA155" s="124">
        <f t="shared" ref="CA155" si="7041">BZ155*$E155</f>
        <v>0</v>
      </c>
      <c r="CB155" s="123"/>
      <c r="CC155" s="124">
        <f t="shared" ref="CC155" si="7042">CB155*$E155</f>
        <v>0</v>
      </c>
      <c r="CD155" s="123"/>
      <c r="CE155" s="124">
        <f t="shared" ref="CE155" si="7043">CD155*$E155</f>
        <v>0</v>
      </c>
      <c r="CF155" s="125">
        <f t="shared" si="6651"/>
        <v>0</v>
      </c>
      <c r="CG155" s="126">
        <f t="shared" ref="CG155" si="7044">CF155*$E155</f>
        <v>0</v>
      </c>
      <c r="CH155" s="123"/>
      <c r="CI155" s="124">
        <f t="shared" ref="CI155" si="7045">CH155*$E155</f>
        <v>0</v>
      </c>
      <c r="CJ155" s="123"/>
      <c r="CK155" s="124">
        <f t="shared" ref="CK155" si="7046">CJ155*$E155</f>
        <v>0</v>
      </c>
      <c r="CL155" s="123"/>
      <c r="CM155" s="124">
        <f t="shared" ref="CM155" si="7047">CL155*$E155</f>
        <v>0</v>
      </c>
      <c r="CN155" s="123"/>
      <c r="CO155" s="124">
        <f t="shared" ref="CO155" si="7048">CN155*$E155</f>
        <v>0</v>
      </c>
      <c r="CP155" s="123"/>
      <c r="CQ155" s="124">
        <f t="shared" ref="CQ155" si="7049">CP155*$E155</f>
        <v>0</v>
      </c>
      <c r="CR155" s="123"/>
      <c r="CS155" s="124">
        <f t="shared" ref="CS155" si="7050">CR155*$E155</f>
        <v>0</v>
      </c>
      <c r="CT155" s="123"/>
      <c r="CU155" s="124">
        <f t="shared" ref="CU155" si="7051">CT155*$E155</f>
        <v>0</v>
      </c>
      <c r="CV155" s="123"/>
      <c r="CW155" s="124">
        <f t="shared" ref="CW155" si="7052">CV155*$E155</f>
        <v>0</v>
      </c>
      <c r="CX155" s="123"/>
      <c r="CY155" s="124">
        <f t="shared" ref="CY155" si="7053">CX155*$E155</f>
        <v>0</v>
      </c>
      <c r="CZ155" s="123"/>
      <c r="DA155" s="124">
        <f t="shared" ref="DA155" si="7054">CZ155*$E155</f>
        <v>0</v>
      </c>
      <c r="DB155" s="123"/>
      <c r="DC155" s="124">
        <f t="shared" si="6341"/>
        <v>0</v>
      </c>
      <c r="DD155" s="123"/>
      <c r="DE155" s="124">
        <f t="shared" si="6341"/>
        <v>0</v>
      </c>
      <c r="DF155" s="27">
        <f t="shared" si="6611"/>
        <v>0</v>
      </c>
      <c r="DG155" s="124">
        <f t="shared" si="6612"/>
        <v>0</v>
      </c>
    </row>
    <row r="156" spans="1:111" x14ac:dyDescent="0.5">
      <c r="A156" s="117">
        <v>124</v>
      </c>
      <c r="B156" s="127" t="s">
        <v>212</v>
      </c>
      <c r="C156" s="127" t="s">
        <v>231</v>
      </c>
      <c r="D156" s="117">
        <f>RANK(DF156,$DF$143:$DF$162)</f>
        <v>5</v>
      </c>
      <c r="E156" s="117">
        <v>0.35</v>
      </c>
      <c r="F156" s="139" t="s">
        <v>235</v>
      </c>
      <c r="G156" s="130"/>
      <c r="H156" s="123"/>
      <c r="I156" s="124">
        <f t="shared" ref="I156" si="7055">H156*$E156</f>
        <v>0</v>
      </c>
      <c r="J156" s="123"/>
      <c r="K156" s="124">
        <f t="shared" ref="K156" si="7056">J156*$E156</f>
        <v>0</v>
      </c>
      <c r="L156" s="123"/>
      <c r="M156" s="124">
        <f t="shared" ref="M156" si="7057">L156*$E156</f>
        <v>0</v>
      </c>
      <c r="N156" s="123"/>
      <c r="O156" s="124">
        <f t="shared" ref="O156" si="7058">N156*$E156</f>
        <v>0</v>
      </c>
      <c r="P156" s="123"/>
      <c r="Q156" s="124">
        <f t="shared" ref="Q156" si="7059">P156*$E156</f>
        <v>0</v>
      </c>
      <c r="R156" s="123"/>
      <c r="S156" s="124">
        <f t="shared" ref="S156" si="7060">R156*$E156</f>
        <v>0</v>
      </c>
      <c r="T156" s="123"/>
      <c r="U156" s="124">
        <f t="shared" ref="U156" si="7061">T156*$E156</f>
        <v>0</v>
      </c>
      <c r="V156" s="123"/>
      <c r="W156" s="124">
        <f t="shared" ref="W156" si="7062">V156*$E156</f>
        <v>0</v>
      </c>
      <c r="X156" s="123"/>
      <c r="Y156" s="124">
        <f t="shared" ref="Y156" si="7063">X156*$E156</f>
        <v>0</v>
      </c>
      <c r="Z156" s="123"/>
      <c r="AA156" s="124">
        <f t="shared" ref="AA156" si="7064">Z156*$E156</f>
        <v>0</v>
      </c>
      <c r="AB156" s="123"/>
      <c r="AC156" s="124">
        <f t="shared" ref="AC156" si="7065">AB156*$E156</f>
        <v>0</v>
      </c>
      <c r="AD156" s="123"/>
      <c r="AE156" s="124">
        <f t="shared" ref="AE156" si="7066">AD156*$E156</f>
        <v>0</v>
      </c>
      <c r="AF156" s="125">
        <f t="shared" si="6571"/>
        <v>0</v>
      </c>
      <c r="AG156" s="126">
        <f t="shared" ref="AG156" si="7067">AF156*$E156</f>
        <v>0</v>
      </c>
      <c r="AH156" s="123"/>
      <c r="AI156" s="124">
        <f t="shared" ref="AI156" si="7068">AH156*$E156</f>
        <v>0</v>
      </c>
      <c r="AJ156" s="123"/>
      <c r="AK156" s="124">
        <f t="shared" ref="AK156" si="7069">AJ156*$E156</f>
        <v>0</v>
      </c>
      <c r="AL156" s="123"/>
      <c r="AM156" s="124">
        <f t="shared" ref="AM156" si="7070">AL156*$E156</f>
        <v>0</v>
      </c>
      <c r="AN156" s="123"/>
      <c r="AO156" s="124">
        <f t="shared" ref="AO156" si="7071">AN156*$E156</f>
        <v>0</v>
      </c>
      <c r="AP156" s="123"/>
      <c r="AQ156" s="124">
        <f t="shared" ref="AQ156" si="7072">AP156*$E156</f>
        <v>0</v>
      </c>
      <c r="AR156" s="123"/>
      <c r="AS156" s="124">
        <f t="shared" ref="AS156" si="7073">AR156*$E156</f>
        <v>0</v>
      </c>
      <c r="AT156" s="123"/>
      <c r="AU156" s="124">
        <f t="shared" ref="AU156" si="7074">AT156*$E156</f>
        <v>0</v>
      </c>
      <c r="AV156" s="123"/>
      <c r="AW156" s="124">
        <f t="shared" ref="AW156" si="7075">AV156*$E156</f>
        <v>0</v>
      </c>
      <c r="AX156" s="123"/>
      <c r="AY156" s="124">
        <f t="shared" ref="AY156" si="7076">AX156*$E156</f>
        <v>0</v>
      </c>
      <c r="AZ156" s="123"/>
      <c r="BA156" s="124">
        <f t="shared" ref="BA156" si="7077">AZ156*$E156</f>
        <v>0</v>
      </c>
      <c r="BB156" s="123"/>
      <c r="BC156" s="124">
        <f t="shared" ref="BC156" si="7078">BB156*$E156</f>
        <v>0</v>
      </c>
      <c r="BD156" s="123"/>
      <c r="BE156" s="124">
        <f t="shared" ref="BE156" si="7079">BD156*$E156</f>
        <v>0</v>
      </c>
      <c r="BF156" s="125">
        <f t="shared" si="6585"/>
        <v>0</v>
      </c>
      <c r="BG156" s="126">
        <f t="shared" ref="BG156" si="7080">BF156*$E156</f>
        <v>0</v>
      </c>
      <c r="BH156" s="123"/>
      <c r="BI156" s="124">
        <f t="shared" ref="BI156" si="7081">BH156*$E156</f>
        <v>0</v>
      </c>
      <c r="BJ156" s="123"/>
      <c r="BK156" s="124">
        <f t="shared" ref="BK156" si="7082">BJ156*$E156</f>
        <v>0</v>
      </c>
      <c r="BL156" s="123"/>
      <c r="BM156" s="124">
        <f t="shared" ref="BM156" si="7083">BL156*$E156</f>
        <v>0</v>
      </c>
      <c r="BN156" s="123"/>
      <c r="BO156" s="124">
        <f t="shared" ref="BO156" si="7084">BN156*$E156</f>
        <v>0</v>
      </c>
      <c r="BP156" s="123"/>
      <c r="BQ156" s="124">
        <f t="shared" ref="BQ156" si="7085">BP156*$E156</f>
        <v>0</v>
      </c>
      <c r="BR156" s="123"/>
      <c r="BS156" s="124">
        <f t="shared" ref="BS156" si="7086">BR156*$E156</f>
        <v>0</v>
      </c>
      <c r="BT156" s="123"/>
      <c r="BU156" s="124">
        <f t="shared" ref="BU156" si="7087">BT156*$E156</f>
        <v>0</v>
      </c>
      <c r="BV156" s="123"/>
      <c r="BW156" s="124">
        <f t="shared" ref="BW156" si="7088">BV156*$E156</f>
        <v>0</v>
      </c>
      <c r="BX156" s="123"/>
      <c r="BY156" s="124">
        <f t="shared" ref="BY156" si="7089">BX156*$E156</f>
        <v>0</v>
      </c>
      <c r="BZ156" s="123"/>
      <c r="CA156" s="124">
        <f t="shared" ref="CA156" si="7090">BZ156*$E156</f>
        <v>0</v>
      </c>
      <c r="CB156" s="123"/>
      <c r="CC156" s="124">
        <f t="shared" ref="CC156" si="7091">CB156*$E156</f>
        <v>0</v>
      </c>
      <c r="CD156" s="123"/>
      <c r="CE156" s="124">
        <f t="shared" ref="CE156" si="7092">CD156*$E156</f>
        <v>0</v>
      </c>
      <c r="CF156" s="125">
        <f t="shared" si="6651"/>
        <v>0</v>
      </c>
      <c r="CG156" s="126">
        <f t="shared" ref="CG156" si="7093">CF156*$E156</f>
        <v>0</v>
      </c>
      <c r="CH156" s="123"/>
      <c r="CI156" s="124">
        <f t="shared" ref="CI156" si="7094">CH156*$E156</f>
        <v>0</v>
      </c>
      <c r="CJ156" s="123"/>
      <c r="CK156" s="124">
        <f t="shared" ref="CK156" si="7095">CJ156*$E156</f>
        <v>0</v>
      </c>
      <c r="CL156" s="123"/>
      <c r="CM156" s="124">
        <f t="shared" ref="CM156" si="7096">CL156*$E156</f>
        <v>0</v>
      </c>
      <c r="CN156" s="123"/>
      <c r="CO156" s="124">
        <f t="shared" ref="CO156" si="7097">CN156*$E156</f>
        <v>0</v>
      </c>
      <c r="CP156" s="123"/>
      <c r="CQ156" s="124">
        <f t="shared" ref="CQ156" si="7098">CP156*$E156</f>
        <v>0</v>
      </c>
      <c r="CR156" s="123"/>
      <c r="CS156" s="124">
        <f t="shared" ref="CS156" si="7099">CR156*$E156</f>
        <v>0</v>
      </c>
      <c r="CT156" s="123"/>
      <c r="CU156" s="124">
        <f t="shared" ref="CU156" si="7100">CT156*$E156</f>
        <v>0</v>
      </c>
      <c r="CV156" s="123"/>
      <c r="CW156" s="124">
        <f t="shared" ref="CW156" si="7101">CV156*$E156</f>
        <v>0</v>
      </c>
      <c r="CX156" s="123"/>
      <c r="CY156" s="124">
        <f t="shared" ref="CY156" si="7102">CX156*$E156</f>
        <v>0</v>
      </c>
      <c r="CZ156" s="123"/>
      <c r="DA156" s="124">
        <f t="shared" ref="DA156" si="7103">CZ156*$E156</f>
        <v>0</v>
      </c>
      <c r="DB156" s="123"/>
      <c r="DC156" s="124">
        <f t="shared" si="6341"/>
        <v>0</v>
      </c>
      <c r="DD156" s="123"/>
      <c r="DE156" s="124">
        <f t="shared" si="6341"/>
        <v>0</v>
      </c>
      <c r="DF156" s="27">
        <f t="shared" si="6611"/>
        <v>0</v>
      </c>
      <c r="DG156" s="124">
        <f t="shared" si="6612"/>
        <v>0</v>
      </c>
    </row>
    <row r="157" spans="1:111" x14ac:dyDescent="0.5">
      <c r="A157" s="117">
        <v>125</v>
      </c>
      <c r="B157" s="127" t="s">
        <v>220</v>
      </c>
      <c r="C157" s="127" t="s">
        <v>231</v>
      </c>
      <c r="D157" s="117">
        <f>RANK(DF157,$DF$143:$DF$162)</f>
        <v>5</v>
      </c>
      <c r="E157" s="117">
        <v>0.7</v>
      </c>
      <c r="F157" s="139" t="s">
        <v>246</v>
      </c>
      <c r="G157" s="130"/>
      <c r="H157" s="123"/>
      <c r="I157" s="124">
        <f t="shared" ref="I157" si="7104">H157*$E157</f>
        <v>0</v>
      </c>
      <c r="J157" s="123"/>
      <c r="K157" s="124">
        <f t="shared" ref="K157" si="7105">J157*$E157</f>
        <v>0</v>
      </c>
      <c r="L157" s="123"/>
      <c r="M157" s="124">
        <f t="shared" ref="M157" si="7106">L157*$E157</f>
        <v>0</v>
      </c>
      <c r="N157" s="123"/>
      <c r="O157" s="124">
        <f t="shared" ref="O157" si="7107">N157*$E157</f>
        <v>0</v>
      </c>
      <c r="P157" s="123"/>
      <c r="Q157" s="124">
        <f t="shared" ref="Q157" si="7108">P157*$E157</f>
        <v>0</v>
      </c>
      <c r="R157" s="123"/>
      <c r="S157" s="124">
        <f t="shared" ref="S157" si="7109">R157*$E157</f>
        <v>0</v>
      </c>
      <c r="T157" s="123"/>
      <c r="U157" s="124">
        <f t="shared" ref="U157" si="7110">T157*$E157</f>
        <v>0</v>
      </c>
      <c r="V157" s="123"/>
      <c r="W157" s="124">
        <f t="shared" ref="W157" si="7111">V157*$E157</f>
        <v>0</v>
      </c>
      <c r="X157" s="123"/>
      <c r="Y157" s="124">
        <f t="shared" ref="Y157" si="7112">X157*$E157</f>
        <v>0</v>
      </c>
      <c r="Z157" s="123"/>
      <c r="AA157" s="124">
        <f t="shared" ref="AA157" si="7113">Z157*$E157</f>
        <v>0</v>
      </c>
      <c r="AB157" s="123"/>
      <c r="AC157" s="124">
        <f t="shared" ref="AC157" si="7114">AB157*$E157</f>
        <v>0</v>
      </c>
      <c r="AD157" s="123"/>
      <c r="AE157" s="124">
        <f t="shared" ref="AE157" si="7115">AD157*$E157</f>
        <v>0</v>
      </c>
      <c r="AF157" s="125">
        <f t="shared" si="6571"/>
        <v>0</v>
      </c>
      <c r="AG157" s="126">
        <f t="shared" ref="AG157" si="7116">AF157*$E157</f>
        <v>0</v>
      </c>
      <c r="AH157" s="123"/>
      <c r="AI157" s="124">
        <f t="shared" ref="AI157" si="7117">AH157*$E157</f>
        <v>0</v>
      </c>
      <c r="AJ157" s="123"/>
      <c r="AK157" s="124">
        <f t="shared" ref="AK157" si="7118">AJ157*$E157</f>
        <v>0</v>
      </c>
      <c r="AL157" s="123"/>
      <c r="AM157" s="124">
        <f t="shared" ref="AM157" si="7119">AL157*$E157</f>
        <v>0</v>
      </c>
      <c r="AN157" s="123"/>
      <c r="AO157" s="124">
        <f t="shared" ref="AO157" si="7120">AN157*$E157</f>
        <v>0</v>
      </c>
      <c r="AP157" s="123"/>
      <c r="AQ157" s="124">
        <f t="shared" ref="AQ157" si="7121">AP157*$E157</f>
        <v>0</v>
      </c>
      <c r="AR157" s="123"/>
      <c r="AS157" s="124">
        <f t="shared" ref="AS157" si="7122">AR157*$E157</f>
        <v>0</v>
      </c>
      <c r="AT157" s="123"/>
      <c r="AU157" s="124">
        <f t="shared" ref="AU157" si="7123">AT157*$E157</f>
        <v>0</v>
      </c>
      <c r="AV157" s="123"/>
      <c r="AW157" s="124">
        <f t="shared" ref="AW157" si="7124">AV157*$E157</f>
        <v>0</v>
      </c>
      <c r="AX157" s="123"/>
      <c r="AY157" s="124">
        <f t="shared" ref="AY157" si="7125">AX157*$E157</f>
        <v>0</v>
      </c>
      <c r="AZ157" s="123"/>
      <c r="BA157" s="124">
        <f t="shared" ref="BA157" si="7126">AZ157*$E157</f>
        <v>0</v>
      </c>
      <c r="BB157" s="123"/>
      <c r="BC157" s="124">
        <f t="shared" ref="BC157" si="7127">BB157*$E157</f>
        <v>0</v>
      </c>
      <c r="BD157" s="123"/>
      <c r="BE157" s="124">
        <f t="shared" ref="BE157" si="7128">BD157*$E157</f>
        <v>0</v>
      </c>
      <c r="BF157" s="125">
        <f t="shared" si="6585"/>
        <v>0</v>
      </c>
      <c r="BG157" s="126">
        <f t="shared" ref="BG157" si="7129">BF157*$E157</f>
        <v>0</v>
      </c>
      <c r="BH157" s="123"/>
      <c r="BI157" s="124">
        <f t="shared" ref="BI157" si="7130">BH157*$E157</f>
        <v>0</v>
      </c>
      <c r="BJ157" s="123"/>
      <c r="BK157" s="124">
        <f t="shared" ref="BK157" si="7131">BJ157*$E157</f>
        <v>0</v>
      </c>
      <c r="BL157" s="123"/>
      <c r="BM157" s="124">
        <f t="shared" ref="BM157" si="7132">BL157*$E157</f>
        <v>0</v>
      </c>
      <c r="BN157" s="123"/>
      <c r="BO157" s="124">
        <f t="shared" ref="BO157" si="7133">BN157*$E157</f>
        <v>0</v>
      </c>
      <c r="BP157" s="123"/>
      <c r="BQ157" s="124">
        <f t="shared" ref="BQ157" si="7134">BP157*$E157</f>
        <v>0</v>
      </c>
      <c r="BR157" s="123"/>
      <c r="BS157" s="124">
        <f t="shared" ref="BS157" si="7135">BR157*$E157</f>
        <v>0</v>
      </c>
      <c r="BT157" s="123"/>
      <c r="BU157" s="124">
        <f t="shared" ref="BU157" si="7136">BT157*$E157</f>
        <v>0</v>
      </c>
      <c r="BV157" s="123"/>
      <c r="BW157" s="124">
        <f t="shared" ref="BW157" si="7137">BV157*$E157</f>
        <v>0</v>
      </c>
      <c r="BX157" s="123"/>
      <c r="BY157" s="124">
        <f t="shared" ref="BY157" si="7138">BX157*$E157</f>
        <v>0</v>
      </c>
      <c r="BZ157" s="123"/>
      <c r="CA157" s="124">
        <f t="shared" ref="CA157" si="7139">BZ157*$E157</f>
        <v>0</v>
      </c>
      <c r="CB157" s="123"/>
      <c r="CC157" s="124">
        <f t="shared" ref="CC157" si="7140">CB157*$E157</f>
        <v>0</v>
      </c>
      <c r="CD157" s="123"/>
      <c r="CE157" s="124">
        <f t="shared" ref="CE157" si="7141">CD157*$E157</f>
        <v>0</v>
      </c>
      <c r="CF157" s="125">
        <f t="shared" si="6651"/>
        <v>0</v>
      </c>
      <c r="CG157" s="126">
        <f t="shared" ref="CG157" si="7142">CF157*$E157</f>
        <v>0</v>
      </c>
      <c r="CH157" s="123"/>
      <c r="CI157" s="124">
        <f t="shared" ref="CI157" si="7143">CH157*$E157</f>
        <v>0</v>
      </c>
      <c r="CJ157" s="123"/>
      <c r="CK157" s="124">
        <f t="shared" ref="CK157" si="7144">CJ157*$E157</f>
        <v>0</v>
      </c>
      <c r="CL157" s="123"/>
      <c r="CM157" s="124">
        <f t="shared" ref="CM157" si="7145">CL157*$E157</f>
        <v>0</v>
      </c>
      <c r="CN157" s="123"/>
      <c r="CO157" s="124">
        <f t="shared" ref="CO157" si="7146">CN157*$E157</f>
        <v>0</v>
      </c>
      <c r="CP157" s="123"/>
      <c r="CQ157" s="124">
        <f t="shared" ref="CQ157" si="7147">CP157*$E157</f>
        <v>0</v>
      </c>
      <c r="CR157" s="123"/>
      <c r="CS157" s="124">
        <f t="shared" ref="CS157" si="7148">CR157*$E157</f>
        <v>0</v>
      </c>
      <c r="CT157" s="123"/>
      <c r="CU157" s="124">
        <f t="shared" ref="CU157" si="7149">CT157*$E157</f>
        <v>0</v>
      </c>
      <c r="CV157" s="123"/>
      <c r="CW157" s="124">
        <f t="shared" ref="CW157" si="7150">CV157*$E157</f>
        <v>0</v>
      </c>
      <c r="CX157" s="123"/>
      <c r="CY157" s="124">
        <f t="shared" ref="CY157" si="7151">CX157*$E157</f>
        <v>0</v>
      </c>
      <c r="CZ157" s="123"/>
      <c r="DA157" s="124">
        <f t="shared" ref="DA157" si="7152">CZ157*$E157</f>
        <v>0</v>
      </c>
      <c r="DB157" s="123"/>
      <c r="DC157" s="124">
        <f t="shared" si="6341"/>
        <v>0</v>
      </c>
      <c r="DD157" s="123"/>
      <c r="DE157" s="124">
        <f t="shared" si="6341"/>
        <v>0</v>
      </c>
      <c r="DF157" s="27">
        <f t="shared" si="6611"/>
        <v>0</v>
      </c>
      <c r="DG157" s="124">
        <f t="shared" si="6612"/>
        <v>0</v>
      </c>
    </row>
    <row r="158" spans="1:111" x14ac:dyDescent="0.5">
      <c r="A158" s="117">
        <v>126</v>
      </c>
      <c r="B158" s="127" t="s">
        <v>59</v>
      </c>
      <c r="C158" s="127"/>
      <c r="D158" s="117"/>
      <c r="E158" s="117">
        <v>0.7</v>
      </c>
      <c r="F158" s="139"/>
      <c r="G158" s="130">
        <v>5200</v>
      </c>
      <c r="H158" s="123">
        <v>824</v>
      </c>
      <c r="I158" s="124">
        <f t="shared" ref="I158" si="7153">H158*$E158</f>
        <v>576.79999999999995</v>
      </c>
      <c r="J158" s="123">
        <v>483</v>
      </c>
      <c r="K158" s="124">
        <f t="shared" ref="K158" si="7154">J158*$E158</f>
        <v>338.09999999999997</v>
      </c>
      <c r="L158" s="123">
        <v>120</v>
      </c>
      <c r="M158" s="124">
        <f t="shared" ref="M158" si="7155">L158*$E158</f>
        <v>84</v>
      </c>
      <c r="N158" s="123"/>
      <c r="O158" s="124">
        <f t="shared" ref="O158" si="7156">N158*$E158</f>
        <v>0</v>
      </c>
      <c r="P158" s="123"/>
      <c r="Q158" s="124">
        <f t="shared" ref="Q158" si="7157">P158*$E158</f>
        <v>0</v>
      </c>
      <c r="R158" s="123"/>
      <c r="S158" s="124">
        <f t="shared" ref="S158" si="7158">R158*$E158</f>
        <v>0</v>
      </c>
      <c r="T158" s="123"/>
      <c r="U158" s="124">
        <f t="shared" ref="U158" si="7159">T158*$E158</f>
        <v>0</v>
      </c>
      <c r="V158" s="123"/>
      <c r="W158" s="124">
        <f t="shared" ref="W158" si="7160">V158*$E158</f>
        <v>0</v>
      </c>
      <c r="X158" s="123"/>
      <c r="Y158" s="124">
        <f t="shared" ref="Y158" si="7161">X158*$E158</f>
        <v>0</v>
      </c>
      <c r="Z158" s="123"/>
      <c r="AA158" s="124">
        <f t="shared" ref="AA158" si="7162">Z158*$E158</f>
        <v>0</v>
      </c>
      <c r="AB158" s="123"/>
      <c r="AC158" s="124">
        <f t="shared" ref="AC158" si="7163">AB158*$E158</f>
        <v>0</v>
      </c>
      <c r="AD158" s="123"/>
      <c r="AE158" s="124">
        <f t="shared" ref="AE158" si="7164">AD158*$E158</f>
        <v>0</v>
      </c>
      <c r="AF158" s="125">
        <f t="shared" si="6571"/>
        <v>1427</v>
      </c>
      <c r="AG158" s="126">
        <f t="shared" ref="AG158" si="7165">AF158*$E158</f>
        <v>998.9</v>
      </c>
      <c r="AH158" s="123"/>
      <c r="AI158" s="124">
        <f t="shared" ref="AI158" si="7166">AH158*$E158</f>
        <v>0</v>
      </c>
      <c r="AJ158" s="123"/>
      <c r="AK158" s="124">
        <f t="shared" ref="AK158" si="7167">AJ158*$E158</f>
        <v>0</v>
      </c>
      <c r="AL158" s="123"/>
      <c r="AM158" s="124">
        <f t="shared" ref="AM158" si="7168">AL158*$E158</f>
        <v>0</v>
      </c>
      <c r="AN158" s="123"/>
      <c r="AO158" s="124">
        <f t="shared" ref="AO158" si="7169">AN158*$E158</f>
        <v>0</v>
      </c>
      <c r="AP158" s="123"/>
      <c r="AQ158" s="124">
        <f t="shared" ref="AQ158" si="7170">AP158*$E158</f>
        <v>0</v>
      </c>
      <c r="AR158" s="123"/>
      <c r="AS158" s="124">
        <f t="shared" ref="AS158" si="7171">AR158*$E158</f>
        <v>0</v>
      </c>
      <c r="AT158" s="123"/>
      <c r="AU158" s="124">
        <f t="shared" ref="AU158" si="7172">AT158*$E158</f>
        <v>0</v>
      </c>
      <c r="AV158" s="123"/>
      <c r="AW158" s="124">
        <f t="shared" ref="AW158" si="7173">AV158*$E158</f>
        <v>0</v>
      </c>
      <c r="AX158" s="123"/>
      <c r="AY158" s="124">
        <f t="shared" ref="AY158" si="7174">AX158*$E158</f>
        <v>0</v>
      </c>
      <c r="AZ158" s="123"/>
      <c r="BA158" s="124">
        <f t="shared" ref="BA158" si="7175">AZ158*$E158</f>
        <v>0</v>
      </c>
      <c r="BB158" s="123"/>
      <c r="BC158" s="124">
        <f t="shared" ref="BC158" si="7176">BB158*$E158</f>
        <v>0</v>
      </c>
      <c r="BD158" s="123"/>
      <c r="BE158" s="124">
        <f t="shared" ref="BE158" si="7177">BD158*$E158</f>
        <v>0</v>
      </c>
      <c r="BF158" s="125">
        <f t="shared" si="6585"/>
        <v>0</v>
      </c>
      <c r="BG158" s="126">
        <f t="shared" ref="BG158" si="7178">BF158*$E158</f>
        <v>0</v>
      </c>
      <c r="BH158" s="123"/>
      <c r="BI158" s="124">
        <f t="shared" ref="BI158" si="7179">BH158*$E158</f>
        <v>0</v>
      </c>
      <c r="BJ158" s="123"/>
      <c r="BK158" s="124">
        <f t="shared" ref="BK158" si="7180">BJ158*$E158</f>
        <v>0</v>
      </c>
      <c r="BL158" s="123"/>
      <c r="BM158" s="124">
        <f t="shared" ref="BM158" si="7181">BL158*$E158</f>
        <v>0</v>
      </c>
      <c r="BN158" s="123"/>
      <c r="BO158" s="124">
        <f t="shared" ref="BO158" si="7182">BN158*$E158</f>
        <v>0</v>
      </c>
      <c r="BP158" s="123"/>
      <c r="BQ158" s="124">
        <f t="shared" ref="BQ158" si="7183">BP158*$E158</f>
        <v>0</v>
      </c>
      <c r="BR158" s="123"/>
      <c r="BS158" s="124">
        <f t="shared" ref="BS158" si="7184">BR158*$E158</f>
        <v>0</v>
      </c>
      <c r="BT158" s="123"/>
      <c r="BU158" s="124">
        <f t="shared" ref="BU158" si="7185">BT158*$E158</f>
        <v>0</v>
      </c>
      <c r="BV158" s="123"/>
      <c r="BW158" s="124">
        <f t="shared" ref="BW158" si="7186">BV158*$E158</f>
        <v>0</v>
      </c>
      <c r="BX158" s="123"/>
      <c r="BY158" s="124">
        <f t="shared" ref="BY158" si="7187">BX158*$E158</f>
        <v>0</v>
      </c>
      <c r="BZ158" s="123"/>
      <c r="CA158" s="124">
        <f t="shared" ref="CA158" si="7188">BZ158*$E158</f>
        <v>0</v>
      </c>
      <c r="CB158" s="123"/>
      <c r="CC158" s="124">
        <f t="shared" ref="CC158" si="7189">CB158*$E158</f>
        <v>0</v>
      </c>
      <c r="CD158" s="123"/>
      <c r="CE158" s="124">
        <f t="shared" ref="CE158" si="7190">CD158*$E158</f>
        <v>0</v>
      </c>
      <c r="CF158" s="125">
        <f t="shared" si="6651"/>
        <v>0</v>
      </c>
      <c r="CG158" s="126">
        <f t="shared" ref="CG158" si="7191">CF158*$E158</f>
        <v>0</v>
      </c>
      <c r="CH158" s="123"/>
      <c r="CI158" s="124">
        <f t="shared" ref="CI158" si="7192">CH158*$E158</f>
        <v>0</v>
      </c>
      <c r="CJ158" s="123"/>
      <c r="CK158" s="124">
        <f t="shared" ref="CK158" si="7193">CJ158*$E158</f>
        <v>0</v>
      </c>
      <c r="CL158" s="123"/>
      <c r="CM158" s="124">
        <f t="shared" ref="CM158" si="7194">CL158*$E158</f>
        <v>0</v>
      </c>
      <c r="CN158" s="123"/>
      <c r="CO158" s="124">
        <f t="shared" ref="CO158" si="7195">CN158*$E158</f>
        <v>0</v>
      </c>
      <c r="CP158" s="123"/>
      <c r="CQ158" s="124">
        <f t="shared" ref="CQ158" si="7196">CP158*$E158</f>
        <v>0</v>
      </c>
      <c r="CR158" s="123"/>
      <c r="CS158" s="124">
        <f t="shared" ref="CS158" si="7197">CR158*$E158</f>
        <v>0</v>
      </c>
      <c r="CT158" s="123"/>
      <c r="CU158" s="124">
        <f t="shared" ref="CU158" si="7198">CT158*$E158</f>
        <v>0</v>
      </c>
      <c r="CV158" s="123"/>
      <c r="CW158" s="124">
        <f t="shared" ref="CW158" si="7199">CV158*$E158</f>
        <v>0</v>
      </c>
      <c r="CX158" s="123"/>
      <c r="CY158" s="124">
        <f t="shared" ref="CY158" si="7200">CX158*$E158</f>
        <v>0</v>
      </c>
      <c r="CZ158" s="123"/>
      <c r="DA158" s="124">
        <f t="shared" ref="DA158" si="7201">CZ158*$E158</f>
        <v>0</v>
      </c>
      <c r="DB158" s="123"/>
      <c r="DC158" s="124">
        <f t="shared" si="6341"/>
        <v>0</v>
      </c>
      <c r="DD158" s="123"/>
      <c r="DE158" s="124">
        <f t="shared" si="6341"/>
        <v>0</v>
      </c>
      <c r="DF158" s="27">
        <f t="shared" si="6611"/>
        <v>0</v>
      </c>
      <c r="DG158" s="124">
        <f t="shared" si="6612"/>
        <v>0</v>
      </c>
    </row>
    <row r="159" spans="1:111" x14ac:dyDescent="0.5">
      <c r="A159" s="117">
        <v>127</v>
      </c>
      <c r="B159" s="127" t="s">
        <v>61</v>
      </c>
      <c r="C159" s="127"/>
      <c r="D159" s="117"/>
      <c r="E159" s="117">
        <v>0.35</v>
      </c>
      <c r="F159" s="139"/>
      <c r="G159" s="130">
        <v>4500</v>
      </c>
      <c r="H159" s="123"/>
      <c r="I159" s="124">
        <f t="shared" ref="I159" si="7202">H159*$E159</f>
        <v>0</v>
      </c>
      <c r="J159" s="123"/>
      <c r="K159" s="124">
        <f t="shared" ref="K159" si="7203">J159*$E159</f>
        <v>0</v>
      </c>
      <c r="L159" s="123"/>
      <c r="M159" s="124">
        <f t="shared" ref="M159" si="7204">L159*$E159</f>
        <v>0</v>
      </c>
      <c r="N159" s="123">
        <v>85</v>
      </c>
      <c r="O159" s="124">
        <f t="shared" ref="O159" si="7205">N159*$E159</f>
        <v>29.749999999999996</v>
      </c>
      <c r="P159" s="123">
        <v>33</v>
      </c>
      <c r="Q159" s="124">
        <f t="shared" ref="Q159" si="7206">P159*$E159</f>
        <v>11.549999999999999</v>
      </c>
      <c r="R159" s="123"/>
      <c r="S159" s="124">
        <f t="shared" ref="S159" si="7207">R159*$E159</f>
        <v>0</v>
      </c>
      <c r="T159" s="123"/>
      <c r="U159" s="124">
        <f t="shared" ref="U159" si="7208">T159*$E159</f>
        <v>0</v>
      </c>
      <c r="V159" s="123"/>
      <c r="W159" s="124">
        <f t="shared" ref="W159" si="7209">V159*$E159</f>
        <v>0</v>
      </c>
      <c r="X159" s="123"/>
      <c r="Y159" s="124">
        <f t="shared" ref="Y159" si="7210">X159*$E159</f>
        <v>0</v>
      </c>
      <c r="Z159" s="123"/>
      <c r="AA159" s="124">
        <f t="shared" ref="AA159" si="7211">Z159*$E159</f>
        <v>0</v>
      </c>
      <c r="AB159" s="123"/>
      <c r="AC159" s="124">
        <f t="shared" ref="AC159" si="7212">AB159*$E159</f>
        <v>0</v>
      </c>
      <c r="AD159" s="123"/>
      <c r="AE159" s="124">
        <f t="shared" ref="AE159" si="7213">AD159*$E159</f>
        <v>0</v>
      </c>
      <c r="AF159" s="125">
        <f t="shared" si="6571"/>
        <v>118</v>
      </c>
      <c r="AG159" s="126">
        <f t="shared" ref="AG159" si="7214">AF159*$E159</f>
        <v>41.3</v>
      </c>
      <c r="AH159" s="123"/>
      <c r="AI159" s="124">
        <f t="shared" ref="AI159" si="7215">AH159*$E159</f>
        <v>0</v>
      </c>
      <c r="AJ159" s="123"/>
      <c r="AK159" s="124">
        <f t="shared" ref="AK159" si="7216">AJ159*$E159</f>
        <v>0</v>
      </c>
      <c r="AL159" s="123"/>
      <c r="AM159" s="124">
        <f t="shared" ref="AM159" si="7217">AL159*$E159</f>
        <v>0</v>
      </c>
      <c r="AN159" s="123"/>
      <c r="AO159" s="124">
        <f t="shared" ref="AO159" si="7218">AN159*$E159</f>
        <v>0</v>
      </c>
      <c r="AP159" s="123"/>
      <c r="AQ159" s="124">
        <f t="shared" ref="AQ159" si="7219">AP159*$E159</f>
        <v>0</v>
      </c>
      <c r="AR159" s="123"/>
      <c r="AS159" s="124">
        <f t="shared" ref="AS159" si="7220">AR159*$E159</f>
        <v>0</v>
      </c>
      <c r="AT159" s="123"/>
      <c r="AU159" s="124">
        <f t="shared" ref="AU159" si="7221">AT159*$E159</f>
        <v>0</v>
      </c>
      <c r="AV159" s="123"/>
      <c r="AW159" s="124">
        <f t="shared" ref="AW159" si="7222">AV159*$E159</f>
        <v>0</v>
      </c>
      <c r="AX159" s="123"/>
      <c r="AY159" s="124">
        <f t="shared" ref="AY159" si="7223">AX159*$E159</f>
        <v>0</v>
      </c>
      <c r="AZ159" s="123"/>
      <c r="BA159" s="124">
        <f t="shared" ref="BA159" si="7224">AZ159*$E159</f>
        <v>0</v>
      </c>
      <c r="BB159" s="123"/>
      <c r="BC159" s="124">
        <f t="shared" ref="BC159" si="7225">BB159*$E159</f>
        <v>0</v>
      </c>
      <c r="BD159" s="123"/>
      <c r="BE159" s="124">
        <f t="shared" ref="BE159" si="7226">BD159*$E159</f>
        <v>0</v>
      </c>
      <c r="BF159" s="125">
        <f t="shared" si="6585"/>
        <v>0</v>
      </c>
      <c r="BG159" s="126">
        <f t="shared" ref="BG159" si="7227">BF159*$E159</f>
        <v>0</v>
      </c>
      <c r="BH159" s="123"/>
      <c r="BI159" s="124">
        <f t="shared" ref="BI159" si="7228">BH159*$E159</f>
        <v>0</v>
      </c>
      <c r="BJ159" s="123"/>
      <c r="BK159" s="124">
        <f t="shared" ref="BK159" si="7229">BJ159*$E159</f>
        <v>0</v>
      </c>
      <c r="BL159" s="123"/>
      <c r="BM159" s="124">
        <f t="shared" ref="BM159" si="7230">BL159*$E159</f>
        <v>0</v>
      </c>
      <c r="BN159" s="123"/>
      <c r="BO159" s="124">
        <f t="shared" ref="BO159" si="7231">BN159*$E159</f>
        <v>0</v>
      </c>
      <c r="BP159" s="123"/>
      <c r="BQ159" s="124">
        <f t="shared" ref="BQ159" si="7232">BP159*$E159</f>
        <v>0</v>
      </c>
      <c r="BR159" s="123"/>
      <c r="BS159" s="124">
        <f t="shared" ref="BS159" si="7233">BR159*$E159</f>
        <v>0</v>
      </c>
      <c r="BT159" s="123"/>
      <c r="BU159" s="124">
        <f t="shared" ref="BU159" si="7234">BT159*$E159</f>
        <v>0</v>
      </c>
      <c r="BV159" s="123"/>
      <c r="BW159" s="124">
        <f t="shared" ref="BW159" si="7235">BV159*$E159</f>
        <v>0</v>
      </c>
      <c r="BX159" s="123"/>
      <c r="BY159" s="124">
        <f t="shared" ref="BY159" si="7236">BX159*$E159</f>
        <v>0</v>
      </c>
      <c r="BZ159" s="123"/>
      <c r="CA159" s="124">
        <f t="shared" ref="CA159" si="7237">BZ159*$E159</f>
        <v>0</v>
      </c>
      <c r="CB159" s="123"/>
      <c r="CC159" s="124">
        <f t="shared" ref="CC159" si="7238">CB159*$E159</f>
        <v>0</v>
      </c>
      <c r="CD159" s="123"/>
      <c r="CE159" s="124">
        <f t="shared" ref="CE159" si="7239">CD159*$E159</f>
        <v>0</v>
      </c>
      <c r="CF159" s="125">
        <f t="shared" si="6651"/>
        <v>0</v>
      </c>
      <c r="CG159" s="126">
        <f t="shared" ref="CG159" si="7240">CF159*$E159</f>
        <v>0</v>
      </c>
      <c r="CH159" s="123"/>
      <c r="CI159" s="124">
        <f t="shared" ref="CI159" si="7241">CH159*$E159</f>
        <v>0</v>
      </c>
      <c r="CJ159" s="123"/>
      <c r="CK159" s="124">
        <f t="shared" ref="CK159" si="7242">CJ159*$E159</f>
        <v>0</v>
      </c>
      <c r="CL159" s="123"/>
      <c r="CM159" s="124">
        <f t="shared" ref="CM159" si="7243">CL159*$E159</f>
        <v>0</v>
      </c>
      <c r="CN159" s="123"/>
      <c r="CO159" s="124">
        <f t="shared" ref="CO159" si="7244">CN159*$E159</f>
        <v>0</v>
      </c>
      <c r="CP159" s="123"/>
      <c r="CQ159" s="124">
        <f t="shared" ref="CQ159" si="7245">CP159*$E159</f>
        <v>0</v>
      </c>
      <c r="CR159" s="123"/>
      <c r="CS159" s="124">
        <f t="shared" ref="CS159" si="7246">CR159*$E159</f>
        <v>0</v>
      </c>
      <c r="CT159" s="123"/>
      <c r="CU159" s="124">
        <f t="shared" ref="CU159" si="7247">CT159*$E159</f>
        <v>0</v>
      </c>
      <c r="CV159" s="123"/>
      <c r="CW159" s="124">
        <f t="shared" ref="CW159" si="7248">CV159*$E159</f>
        <v>0</v>
      </c>
      <c r="CX159" s="123"/>
      <c r="CY159" s="124">
        <f t="shared" ref="CY159" si="7249">CX159*$E159</f>
        <v>0</v>
      </c>
      <c r="CZ159" s="123"/>
      <c r="DA159" s="124">
        <f t="shared" ref="DA159" si="7250">CZ159*$E159</f>
        <v>0</v>
      </c>
      <c r="DB159" s="123"/>
      <c r="DC159" s="124">
        <f t="shared" si="6341"/>
        <v>0</v>
      </c>
      <c r="DD159" s="123"/>
      <c r="DE159" s="124">
        <f t="shared" si="6341"/>
        <v>0</v>
      </c>
      <c r="DF159" s="27">
        <f t="shared" si="6611"/>
        <v>0</v>
      </c>
      <c r="DG159" s="124">
        <f t="shared" si="6612"/>
        <v>0</v>
      </c>
    </row>
    <row r="160" spans="1:111" x14ac:dyDescent="0.5">
      <c r="A160" s="117">
        <v>128</v>
      </c>
      <c r="B160" s="127" t="s">
        <v>62</v>
      </c>
      <c r="C160" s="127"/>
      <c r="D160" s="117"/>
      <c r="E160" s="117">
        <v>0.17499999999999999</v>
      </c>
      <c r="F160" s="139"/>
      <c r="G160" s="130">
        <v>2500</v>
      </c>
      <c r="H160" s="123"/>
      <c r="I160" s="124">
        <f t="shared" ref="I160" si="7251">H160*$E160</f>
        <v>0</v>
      </c>
      <c r="J160" s="123"/>
      <c r="K160" s="124">
        <f t="shared" ref="K160" si="7252">J160*$E160</f>
        <v>0</v>
      </c>
      <c r="L160" s="123"/>
      <c r="M160" s="124">
        <f t="shared" ref="M160" si="7253">L160*$E160</f>
        <v>0</v>
      </c>
      <c r="N160" s="123">
        <v>71</v>
      </c>
      <c r="O160" s="124">
        <f t="shared" ref="O160" si="7254">N160*$E160</f>
        <v>12.424999999999999</v>
      </c>
      <c r="P160" s="123">
        <v>48</v>
      </c>
      <c r="Q160" s="124">
        <f t="shared" ref="Q160" si="7255">P160*$E160</f>
        <v>8.3999999999999986</v>
      </c>
      <c r="R160" s="123"/>
      <c r="S160" s="124">
        <f t="shared" ref="S160" si="7256">R160*$E160</f>
        <v>0</v>
      </c>
      <c r="T160" s="123"/>
      <c r="U160" s="124">
        <f t="shared" ref="U160" si="7257">T160*$E160</f>
        <v>0</v>
      </c>
      <c r="V160" s="123"/>
      <c r="W160" s="124">
        <f t="shared" ref="W160" si="7258">V160*$E160</f>
        <v>0</v>
      </c>
      <c r="X160" s="123"/>
      <c r="Y160" s="124">
        <f t="shared" ref="Y160" si="7259">X160*$E160</f>
        <v>0</v>
      </c>
      <c r="Z160" s="123"/>
      <c r="AA160" s="124">
        <f t="shared" ref="AA160" si="7260">Z160*$E160</f>
        <v>0</v>
      </c>
      <c r="AB160" s="123"/>
      <c r="AC160" s="124">
        <f t="shared" ref="AC160" si="7261">AB160*$E160</f>
        <v>0</v>
      </c>
      <c r="AD160" s="123"/>
      <c r="AE160" s="124">
        <f t="shared" ref="AE160" si="7262">AD160*$E160</f>
        <v>0</v>
      </c>
      <c r="AF160" s="125">
        <f t="shared" si="6571"/>
        <v>119</v>
      </c>
      <c r="AG160" s="126">
        <f t="shared" ref="AG160" si="7263">AF160*$E160</f>
        <v>20.824999999999999</v>
      </c>
      <c r="AH160" s="123"/>
      <c r="AI160" s="124">
        <f t="shared" ref="AI160" si="7264">AH160*$E160</f>
        <v>0</v>
      </c>
      <c r="AJ160" s="123"/>
      <c r="AK160" s="124">
        <f t="shared" ref="AK160" si="7265">AJ160*$E160</f>
        <v>0</v>
      </c>
      <c r="AL160" s="123"/>
      <c r="AM160" s="124">
        <f t="shared" ref="AM160" si="7266">AL160*$E160</f>
        <v>0</v>
      </c>
      <c r="AN160" s="123"/>
      <c r="AO160" s="124">
        <f t="shared" ref="AO160" si="7267">AN160*$E160</f>
        <v>0</v>
      </c>
      <c r="AP160" s="123"/>
      <c r="AQ160" s="124">
        <f t="shared" ref="AQ160" si="7268">AP160*$E160</f>
        <v>0</v>
      </c>
      <c r="AR160" s="123"/>
      <c r="AS160" s="124">
        <f t="shared" ref="AS160" si="7269">AR160*$E160</f>
        <v>0</v>
      </c>
      <c r="AT160" s="123"/>
      <c r="AU160" s="124">
        <f t="shared" ref="AU160" si="7270">AT160*$E160</f>
        <v>0</v>
      </c>
      <c r="AV160" s="123"/>
      <c r="AW160" s="124">
        <f t="shared" ref="AW160" si="7271">AV160*$E160</f>
        <v>0</v>
      </c>
      <c r="AX160" s="123"/>
      <c r="AY160" s="124">
        <f t="shared" ref="AY160" si="7272">AX160*$E160</f>
        <v>0</v>
      </c>
      <c r="AZ160" s="123"/>
      <c r="BA160" s="124">
        <f t="shared" ref="BA160" si="7273">AZ160*$E160</f>
        <v>0</v>
      </c>
      <c r="BB160" s="123"/>
      <c r="BC160" s="124">
        <f t="shared" ref="BC160" si="7274">BB160*$E160</f>
        <v>0</v>
      </c>
      <c r="BD160" s="123"/>
      <c r="BE160" s="124">
        <f t="shared" ref="BE160" si="7275">BD160*$E160</f>
        <v>0</v>
      </c>
      <c r="BF160" s="125">
        <f t="shared" si="6585"/>
        <v>0</v>
      </c>
      <c r="BG160" s="126">
        <f t="shared" ref="BG160" si="7276">BF160*$E160</f>
        <v>0</v>
      </c>
      <c r="BH160" s="123"/>
      <c r="BI160" s="124">
        <f t="shared" ref="BI160" si="7277">BH160*$E160</f>
        <v>0</v>
      </c>
      <c r="BJ160" s="123"/>
      <c r="BK160" s="124">
        <f t="shared" ref="BK160" si="7278">BJ160*$E160</f>
        <v>0</v>
      </c>
      <c r="BL160" s="123"/>
      <c r="BM160" s="124">
        <f t="shared" ref="BM160" si="7279">BL160*$E160</f>
        <v>0</v>
      </c>
      <c r="BN160" s="123"/>
      <c r="BO160" s="124">
        <f t="shared" ref="BO160" si="7280">BN160*$E160</f>
        <v>0</v>
      </c>
      <c r="BP160" s="123"/>
      <c r="BQ160" s="124">
        <f t="shared" ref="BQ160" si="7281">BP160*$E160</f>
        <v>0</v>
      </c>
      <c r="BR160" s="123"/>
      <c r="BS160" s="124">
        <f t="shared" ref="BS160" si="7282">BR160*$E160</f>
        <v>0</v>
      </c>
      <c r="BT160" s="123"/>
      <c r="BU160" s="124">
        <f t="shared" ref="BU160" si="7283">BT160*$E160</f>
        <v>0</v>
      </c>
      <c r="BV160" s="123"/>
      <c r="BW160" s="124">
        <f t="shared" ref="BW160" si="7284">BV160*$E160</f>
        <v>0</v>
      </c>
      <c r="BX160" s="123"/>
      <c r="BY160" s="124">
        <f t="shared" ref="BY160" si="7285">BX160*$E160</f>
        <v>0</v>
      </c>
      <c r="BZ160" s="123"/>
      <c r="CA160" s="124">
        <f t="shared" ref="CA160" si="7286">BZ160*$E160</f>
        <v>0</v>
      </c>
      <c r="CB160" s="123"/>
      <c r="CC160" s="124">
        <f t="shared" ref="CC160" si="7287">CB160*$E160</f>
        <v>0</v>
      </c>
      <c r="CD160" s="123"/>
      <c r="CE160" s="124">
        <f t="shared" ref="CE160" si="7288">CD160*$E160</f>
        <v>0</v>
      </c>
      <c r="CF160" s="125">
        <f t="shared" si="6651"/>
        <v>0</v>
      </c>
      <c r="CG160" s="126">
        <f t="shared" ref="CG160" si="7289">CF160*$E160</f>
        <v>0</v>
      </c>
      <c r="CH160" s="123"/>
      <c r="CI160" s="124">
        <f t="shared" ref="CI160" si="7290">CH160*$E160</f>
        <v>0</v>
      </c>
      <c r="CJ160" s="123"/>
      <c r="CK160" s="124">
        <f t="shared" ref="CK160" si="7291">CJ160*$E160</f>
        <v>0</v>
      </c>
      <c r="CL160" s="123"/>
      <c r="CM160" s="124">
        <f t="shared" ref="CM160" si="7292">CL160*$E160</f>
        <v>0</v>
      </c>
      <c r="CN160" s="123"/>
      <c r="CO160" s="124">
        <f t="shared" ref="CO160" si="7293">CN160*$E160</f>
        <v>0</v>
      </c>
      <c r="CP160" s="123"/>
      <c r="CQ160" s="124">
        <f t="shared" ref="CQ160" si="7294">CP160*$E160</f>
        <v>0</v>
      </c>
      <c r="CR160" s="123"/>
      <c r="CS160" s="124">
        <f t="shared" ref="CS160" si="7295">CR160*$E160</f>
        <v>0</v>
      </c>
      <c r="CT160" s="123"/>
      <c r="CU160" s="124">
        <f t="shared" ref="CU160" si="7296">CT160*$E160</f>
        <v>0</v>
      </c>
      <c r="CV160" s="123"/>
      <c r="CW160" s="124">
        <f t="shared" ref="CW160" si="7297">CV160*$E160</f>
        <v>0</v>
      </c>
      <c r="CX160" s="123"/>
      <c r="CY160" s="124">
        <f t="shared" ref="CY160" si="7298">CX160*$E160</f>
        <v>0</v>
      </c>
      <c r="CZ160" s="123"/>
      <c r="DA160" s="124">
        <f t="shared" ref="DA160" si="7299">CZ160*$E160</f>
        <v>0</v>
      </c>
      <c r="DB160" s="123"/>
      <c r="DC160" s="124">
        <f t="shared" si="6341"/>
        <v>0</v>
      </c>
      <c r="DD160" s="123"/>
      <c r="DE160" s="124">
        <f t="shared" si="6341"/>
        <v>0</v>
      </c>
      <c r="DF160" s="27">
        <f t="shared" si="6611"/>
        <v>0</v>
      </c>
      <c r="DG160" s="124">
        <f t="shared" si="6612"/>
        <v>0</v>
      </c>
    </row>
    <row r="161" spans="1:111" x14ac:dyDescent="0.5">
      <c r="A161" s="117">
        <v>129</v>
      </c>
      <c r="B161" s="127" t="s">
        <v>63</v>
      </c>
      <c r="C161" s="127"/>
      <c r="D161" s="117"/>
      <c r="E161" s="117">
        <v>0.17499999999999999</v>
      </c>
      <c r="F161" s="139"/>
      <c r="G161" s="130">
        <v>2500</v>
      </c>
      <c r="H161" s="123"/>
      <c r="I161" s="124">
        <f t="shared" ref="I161" si="7300">H161*$E161</f>
        <v>0</v>
      </c>
      <c r="J161" s="123"/>
      <c r="K161" s="124">
        <f t="shared" ref="K161" si="7301">J161*$E161</f>
        <v>0</v>
      </c>
      <c r="L161" s="123"/>
      <c r="M161" s="124">
        <f t="shared" ref="M161" si="7302">L161*$E161</f>
        <v>0</v>
      </c>
      <c r="N161" s="123">
        <v>12</v>
      </c>
      <c r="O161" s="124">
        <f t="shared" ref="O161" si="7303">N161*$E161</f>
        <v>2.0999999999999996</v>
      </c>
      <c r="P161" s="123">
        <v>25</v>
      </c>
      <c r="Q161" s="124">
        <f t="shared" ref="Q161" si="7304">P161*$E161</f>
        <v>4.375</v>
      </c>
      <c r="R161" s="123"/>
      <c r="S161" s="124">
        <f t="shared" ref="S161" si="7305">R161*$E161</f>
        <v>0</v>
      </c>
      <c r="T161" s="123">
        <v>4</v>
      </c>
      <c r="U161" s="124">
        <f t="shared" ref="U161" si="7306">T161*$E161</f>
        <v>0.7</v>
      </c>
      <c r="V161" s="123"/>
      <c r="W161" s="124">
        <f t="shared" ref="W161" si="7307">V161*$E161</f>
        <v>0</v>
      </c>
      <c r="X161" s="123"/>
      <c r="Y161" s="124">
        <f t="shared" ref="Y161" si="7308">X161*$E161</f>
        <v>0</v>
      </c>
      <c r="Z161" s="123">
        <v>15</v>
      </c>
      <c r="AA161" s="124">
        <f t="shared" ref="AA161" si="7309">Z161*$E161</f>
        <v>2.625</v>
      </c>
      <c r="AB161" s="123"/>
      <c r="AC161" s="124">
        <f t="shared" ref="AC161" si="7310">AB161*$E161</f>
        <v>0</v>
      </c>
      <c r="AD161" s="123"/>
      <c r="AE161" s="124">
        <f t="shared" ref="AE161" si="7311">AD161*$E161</f>
        <v>0</v>
      </c>
      <c r="AF161" s="125">
        <f t="shared" si="6571"/>
        <v>56</v>
      </c>
      <c r="AG161" s="126">
        <f t="shared" ref="AG161" si="7312">AF161*$E161</f>
        <v>9.7999999999999989</v>
      </c>
      <c r="AH161" s="123"/>
      <c r="AI161" s="124">
        <f t="shared" ref="AI161" si="7313">AH161*$E161</f>
        <v>0</v>
      </c>
      <c r="AJ161" s="123"/>
      <c r="AK161" s="124">
        <f t="shared" ref="AK161" si="7314">AJ161*$E161</f>
        <v>0</v>
      </c>
      <c r="AL161" s="123"/>
      <c r="AM161" s="124">
        <f t="shared" ref="AM161" si="7315">AL161*$E161</f>
        <v>0</v>
      </c>
      <c r="AN161" s="123"/>
      <c r="AO161" s="124">
        <f t="shared" ref="AO161" si="7316">AN161*$E161</f>
        <v>0</v>
      </c>
      <c r="AP161" s="123"/>
      <c r="AQ161" s="124">
        <f t="shared" ref="AQ161" si="7317">AP161*$E161</f>
        <v>0</v>
      </c>
      <c r="AR161" s="123"/>
      <c r="AS161" s="124">
        <f t="shared" ref="AS161" si="7318">AR161*$E161</f>
        <v>0</v>
      </c>
      <c r="AT161" s="123"/>
      <c r="AU161" s="124">
        <f t="shared" ref="AU161" si="7319">AT161*$E161</f>
        <v>0</v>
      </c>
      <c r="AV161" s="123"/>
      <c r="AW161" s="124">
        <f t="shared" ref="AW161" si="7320">AV161*$E161</f>
        <v>0</v>
      </c>
      <c r="AX161" s="123"/>
      <c r="AY161" s="124">
        <f t="shared" ref="AY161" si="7321">AX161*$E161</f>
        <v>0</v>
      </c>
      <c r="AZ161" s="123"/>
      <c r="BA161" s="124">
        <f t="shared" ref="BA161" si="7322">AZ161*$E161</f>
        <v>0</v>
      </c>
      <c r="BB161" s="123"/>
      <c r="BC161" s="124">
        <f t="shared" ref="BC161" si="7323">BB161*$E161</f>
        <v>0</v>
      </c>
      <c r="BD161" s="123"/>
      <c r="BE161" s="124">
        <f t="shared" ref="BE161" si="7324">BD161*$E161</f>
        <v>0</v>
      </c>
      <c r="BF161" s="125">
        <f t="shared" si="6585"/>
        <v>0</v>
      </c>
      <c r="BG161" s="126">
        <f t="shared" ref="BG161" si="7325">BF161*$E161</f>
        <v>0</v>
      </c>
      <c r="BH161" s="123"/>
      <c r="BI161" s="124">
        <f t="shared" ref="BI161" si="7326">BH161*$E161</f>
        <v>0</v>
      </c>
      <c r="BJ161" s="123"/>
      <c r="BK161" s="124">
        <f t="shared" ref="BK161" si="7327">BJ161*$E161</f>
        <v>0</v>
      </c>
      <c r="BL161" s="123"/>
      <c r="BM161" s="124">
        <f t="shared" ref="BM161" si="7328">BL161*$E161</f>
        <v>0</v>
      </c>
      <c r="BN161" s="123"/>
      <c r="BO161" s="124">
        <f t="shared" ref="BO161" si="7329">BN161*$E161</f>
        <v>0</v>
      </c>
      <c r="BP161" s="123"/>
      <c r="BQ161" s="124">
        <f t="shared" ref="BQ161" si="7330">BP161*$E161</f>
        <v>0</v>
      </c>
      <c r="BR161" s="123"/>
      <c r="BS161" s="124">
        <f t="shared" ref="BS161" si="7331">BR161*$E161</f>
        <v>0</v>
      </c>
      <c r="BT161" s="123"/>
      <c r="BU161" s="124">
        <f t="shared" ref="BU161" si="7332">BT161*$E161</f>
        <v>0</v>
      </c>
      <c r="BV161" s="123"/>
      <c r="BW161" s="124">
        <f t="shared" ref="BW161" si="7333">BV161*$E161</f>
        <v>0</v>
      </c>
      <c r="BX161" s="123"/>
      <c r="BY161" s="124">
        <f t="shared" ref="BY161" si="7334">BX161*$E161</f>
        <v>0</v>
      </c>
      <c r="BZ161" s="123"/>
      <c r="CA161" s="124">
        <f t="shared" ref="CA161" si="7335">BZ161*$E161</f>
        <v>0</v>
      </c>
      <c r="CB161" s="123"/>
      <c r="CC161" s="124">
        <f t="shared" ref="CC161" si="7336">CB161*$E161</f>
        <v>0</v>
      </c>
      <c r="CD161" s="123"/>
      <c r="CE161" s="124">
        <f t="shared" ref="CE161" si="7337">CD161*$E161</f>
        <v>0</v>
      </c>
      <c r="CF161" s="125">
        <f t="shared" si="6651"/>
        <v>0</v>
      </c>
      <c r="CG161" s="126">
        <f t="shared" ref="CG161" si="7338">CF161*$E161</f>
        <v>0</v>
      </c>
      <c r="CH161" s="123"/>
      <c r="CI161" s="124">
        <f t="shared" ref="CI161" si="7339">CH161*$E161</f>
        <v>0</v>
      </c>
      <c r="CJ161" s="123"/>
      <c r="CK161" s="124">
        <f t="shared" ref="CK161" si="7340">CJ161*$E161</f>
        <v>0</v>
      </c>
      <c r="CL161" s="123"/>
      <c r="CM161" s="124">
        <f t="shared" ref="CM161" si="7341">CL161*$E161</f>
        <v>0</v>
      </c>
      <c r="CN161" s="123"/>
      <c r="CO161" s="124">
        <f t="shared" ref="CO161" si="7342">CN161*$E161</f>
        <v>0</v>
      </c>
      <c r="CP161" s="123"/>
      <c r="CQ161" s="124">
        <f t="shared" ref="CQ161" si="7343">CP161*$E161</f>
        <v>0</v>
      </c>
      <c r="CR161" s="123"/>
      <c r="CS161" s="124">
        <f t="shared" ref="CS161" si="7344">CR161*$E161</f>
        <v>0</v>
      </c>
      <c r="CT161" s="123"/>
      <c r="CU161" s="124">
        <f t="shared" ref="CU161" si="7345">CT161*$E161</f>
        <v>0</v>
      </c>
      <c r="CV161" s="123"/>
      <c r="CW161" s="124">
        <f t="shared" ref="CW161" si="7346">CV161*$E161</f>
        <v>0</v>
      </c>
      <c r="CX161" s="123"/>
      <c r="CY161" s="124">
        <f t="shared" ref="CY161" si="7347">CX161*$E161</f>
        <v>0</v>
      </c>
      <c r="CZ161" s="123"/>
      <c r="DA161" s="124">
        <f t="shared" ref="DA161" si="7348">CZ161*$E161</f>
        <v>0</v>
      </c>
      <c r="DB161" s="123"/>
      <c r="DC161" s="124">
        <f t="shared" si="6341"/>
        <v>0</v>
      </c>
      <c r="DD161" s="123"/>
      <c r="DE161" s="124">
        <f t="shared" si="6341"/>
        <v>0</v>
      </c>
      <c r="DF161" s="27">
        <f t="shared" si="6611"/>
        <v>0</v>
      </c>
      <c r="DG161" s="124">
        <f t="shared" si="6612"/>
        <v>0</v>
      </c>
    </row>
    <row r="162" spans="1:111" x14ac:dyDescent="0.5">
      <c r="A162" s="117"/>
      <c r="B162" s="127"/>
      <c r="C162" s="127"/>
      <c r="D162" s="117"/>
      <c r="E162" s="117"/>
      <c r="F162" s="139"/>
      <c r="G162" s="130"/>
      <c r="H162" s="123"/>
      <c r="I162" s="124">
        <f t="shared" ref="I162" si="7349">H162*$E162</f>
        <v>0</v>
      </c>
      <c r="J162" s="123"/>
      <c r="K162" s="124">
        <f t="shared" ref="K162" si="7350">J162*$E162</f>
        <v>0</v>
      </c>
      <c r="L162" s="123"/>
      <c r="M162" s="124">
        <f t="shared" ref="M162" si="7351">L162*$E162</f>
        <v>0</v>
      </c>
      <c r="N162" s="123"/>
      <c r="O162" s="124">
        <f t="shared" ref="O162" si="7352">N162*$E162</f>
        <v>0</v>
      </c>
      <c r="P162" s="123"/>
      <c r="Q162" s="124">
        <f t="shared" ref="Q162" si="7353">P162*$E162</f>
        <v>0</v>
      </c>
      <c r="R162" s="123"/>
      <c r="S162" s="124">
        <f t="shared" ref="S162" si="7354">R162*$E162</f>
        <v>0</v>
      </c>
      <c r="T162" s="123"/>
      <c r="U162" s="124">
        <f t="shared" ref="U162" si="7355">T162*$E162</f>
        <v>0</v>
      </c>
      <c r="V162" s="123"/>
      <c r="W162" s="124">
        <f t="shared" ref="W162" si="7356">V162*$E162</f>
        <v>0</v>
      </c>
      <c r="X162" s="123"/>
      <c r="Y162" s="124">
        <f t="shared" ref="Y162" si="7357">X162*$E162</f>
        <v>0</v>
      </c>
      <c r="Z162" s="123"/>
      <c r="AA162" s="124">
        <f t="shared" ref="AA162" si="7358">Z162*$E162</f>
        <v>0</v>
      </c>
      <c r="AB162" s="123"/>
      <c r="AC162" s="124">
        <f t="shared" ref="AC162" si="7359">AB162*$E162</f>
        <v>0</v>
      </c>
      <c r="AD162" s="123"/>
      <c r="AE162" s="124">
        <f t="shared" ref="AE162" si="7360">AD162*$E162</f>
        <v>0</v>
      </c>
      <c r="AF162" s="125">
        <f t="shared" si="6571"/>
        <v>0</v>
      </c>
      <c r="AG162" s="126">
        <f t="shared" ref="AG162" si="7361">AF162*$E162</f>
        <v>0</v>
      </c>
      <c r="AH162" s="123"/>
      <c r="AI162" s="124">
        <f t="shared" ref="AI162" si="7362">AH162*$E162</f>
        <v>0</v>
      </c>
      <c r="AJ162" s="123"/>
      <c r="AK162" s="124">
        <f t="shared" ref="AK162" si="7363">AJ162*$E162</f>
        <v>0</v>
      </c>
      <c r="AL162" s="123"/>
      <c r="AM162" s="124">
        <f t="shared" ref="AM162" si="7364">AL162*$E162</f>
        <v>0</v>
      </c>
      <c r="AN162" s="123"/>
      <c r="AO162" s="124">
        <f t="shared" ref="AO162" si="7365">AN162*$E162</f>
        <v>0</v>
      </c>
      <c r="AP162" s="123"/>
      <c r="AQ162" s="124">
        <f t="shared" ref="AQ162" si="7366">AP162*$E162</f>
        <v>0</v>
      </c>
      <c r="AR162" s="123"/>
      <c r="AS162" s="124">
        <f t="shared" ref="AS162" si="7367">AR162*$E162</f>
        <v>0</v>
      </c>
      <c r="AT162" s="123"/>
      <c r="AU162" s="124">
        <f t="shared" ref="AU162" si="7368">AT162*$E162</f>
        <v>0</v>
      </c>
      <c r="AV162" s="123"/>
      <c r="AW162" s="124">
        <f t="shared" ref="AW162" si="7369">AV162*$E162</f>
        <v>0</v>
      </c>
      <c r="AX162" s="123"/>
      <c r="AY162" s="124">
        <f t="shared" ref="AY162" si="7370">AX162*$E162</f>
        <v>0</v>
      </c>
      <c r="AZ162" s="123"/>
      <c r="BA162" s="124">
        <f t="shared" ref="BA162" si="7371">AZ162*$E162</f>
        <v>0</v>
      </c>
      <c r="BB162" s="123"/>
      <c r="BC162" s="124">
        <f t="shared" ref="BC162" si="7372">BB162*$E162</f>
        <v>0</v>
      </c>
      <c r="BD162" s="123"/>
      <c r="BE162" s="124">
        <f t="shared" ref="BE162" si="7373">BD162*$E162</f>
        <v>0</v>
      </c>
      <c r="BF162" s="125">
        <f t="shared" si="6585"/>
        <v>0</v>
      </c>
      <c r="BG162" s="126">
        <f t="shared" ref="BG162" si="7374">BF162*$E162</f>
        <v>0</v>
      </c>
      <c r="BH162" s="123"/>
      <c r="BI162" s="124">
        <f t="shared" ref="BI162" si="7375">BH162*$E162</f>
        <v>0</v>
      </c>
      <c r="BJ162" s="123"/>
      <c r="BK162" s="124">
        <f t="shared" ref="BK162" si="7376">BJ162*$E162</f>
        <v>0</v>
      </c>
      <c r="BL162" s="123"/>
      <c r="BM162" s="124">
        <f t="shared" ref="BM162" si="7377">BL162*$E162</f>
        <v>0</v>
      </c>
      <c r="BN162" s="123"/>
      <c r="BO162" s="124">
        <f t="shared" ref="BO162" si="7378">BN162*$E162</f>
        <v>0</v>
      </c>
      <c r="BP162" s="123"/>
      <c r="BQ162" s="124">
        <f t="shared" ref="BQ162" si="7379">BP162*$E162</f>
        <v>0</v>
      </c>
      <c r="BR162" s="123"/>
      <c r="BS162" s="124">
        <f t="shared" ref="BS162" si="7380">BR162*$E162</f>
        <v>0</v>
      </c>
      <c r="BT162" s="123"/>
      <c r="BU162" s="124">
        <f t="shared" ref="BU162" si="7381">BT162*$E162</f>
        <v>0</v>
      </c>
      <c r="BV162" s="123"/>
      <c r="BW162" s="124">
        <f t="shared" ref="BW162" si="7382">BV162*$E162</f>
        <v>0</v>
      </c>
      <c r="BX162" s="123"/>
      <c r="BY162" s="124">
        <f t="shared" ref="BY162" si="7383">BX162*$E162</f>
        <v>0</v>
      </c>
      <c r="BZ162" s="123"/>
      <c r="CA162" s="124">
        <f t="shared" ref="CA162" si="7384">BZ162*$E162</f>
        <v>0</v>
      </c>
      <c r="CB162" s="123"/>
      <c r="CC162" s="124">
        <f t="shared" ref="CC162" si="7385">CB162*$E162</f>
        <v>0</v>
      </c>
      <c r="CD162" s="123"/>
      <c r="CE162" s="124">
        <f t="shared" ref="CE162" si="7386">CD162*$E162</f>
        <v>0</v>
      </c>
      <c r="CF162" s="125"/>
      <c r="CG162" s="126">
        <f t="shared" ref="CG162" si="7387">CF162*$E162</f>
        <v>0</v>
      </c>
      <c r="CH162" s="123"/>
      <c r="CI162" s="124">
        <f t="shared" ref="CI162" si="7388">CH162*$E162</f>
        <v>0</v>
      </c>
      <c r="CJ162" s="123"/>
      <c r="CK162" s="124">
        <f t="shared" ref="CK162" si="7389">CJ162*$E162</f>
        <v>0</v>
      </c>
      <c r="CL162" s="123"/>
      <c r="CM162" s="124">
        <f t="shared" ref="CM162" si="7390">CL162*$E162</f>
        <v>0</v>
      </c>
      <c r="CN162" s="123"/>
      <c r="CO162" s="124">
        <f t="shared" ref="CO162" si="7391">CN162*$E162</f>
        <v>0</v>
      </c>
      <c r="CP162" s="123"/>
      <c r="CQ162" s="124">
        <f t="shared" ref="CQ162" si="7392">CP162*$E162</f>
        <v>0</v>
      </c>
      <c r="CR162" s="123"/>
      <c r="CS162" s="124">
        <f t="shared" ref="CS162" si="7393">CR162*$E162</f>
        <v>0</v>
      </c>
      <c r="CT162" s="123"/>
      <c r="CU162" s="124">
        <f t="shared" ref="CU162" si="7394">CT162*$E162</f>
        <v>0</v>
      </c>
      <c r="CV162" s="123"/>
      <c r="CW162" s="124">
        <f t="shared" ref="CW162" si="7395">CV162*$E162</f>
        <v>0</v>
      </c>
      <c r="CX162" s="123"/>
      <c r="CY162" s="124">
        <f t="shared" ref="CY162" si="7396">CX162*$E162</f>
        <v>0</v>
      </c>
      <c r="CZ162" s="123"/>
      <c r="DA162" s="124">
        <f t="shared" ref="DA162" si="7397">CZ162*$E162</f>
        <v>0</v>
      </c>
      <c r="DB162" s="123"/>
      <c r="DC162" s="124">
        <f t="shared" si="6341"/>
        <v>0</v>
      </c>
      <c r="DD162" s="123"/>
      <c r="DE162" s="124">
        <f t="shared" si="6341"/>
        <v>0</v>
      </c>
      <c r="DF162" s="27">
        <f t="shared" si="6611"/>
        <v>0</v>
      </c>
      <c r="DG162" s="124">
        <f t="shared" si="6612"/>
        <v>0</v>
      </c>
    </row>
    <row r="163" spans="1:111" x14ac:dyDescent="0.5">
      <c r="A163" s="140"/>
      <c r="B163" s="132" t="s">
        <v>247</v>
      </c>
      <c r="C163" s="132"/>
      <c r="D163" s="132"/>
      <c r="E163" s="132"/>
      <c r="F163" s="134"/>
      <c r="G163" s="134"/>
      <c r="H163" s="135">
        <f t="shared" ref="H163:AM163" si="7398">SUM(H143:H162)</f>
        <v>8572</v>
      </c>
      <c r="I163" s="136">
        <f t="shared" si="7398"/>
        <v>4195.9749999999995</v>
      </c>
      <c r="J163" s="135">
        <f t="shared" si="7398"/>
        <v>4571</v>
      </c>
      <c r="K163" s="136">
        <f t="shared" si="7398"/>
        <v>1976.8</v>
      </c>
      <c r="L163" s="135">
        <f t="shared" si="7398"/>
        <v>4101</v>
      </c>
      <c r="M163" s="136">
        <f t="shared" si="7398"/>
        <v>1793.7499999999998</v>
      </c>
      <c r="N163" s="135">
        <f t="shared" si="7398"/>
        <v>4463</v>
      </c>
      <c r="O163" s="136">
        <f t="shared" si="7398"/>
        <v>1795.1499999999996</v>
      </c>
      <c r="P163" s="135">
        <f t="shared" si="7398"/>
        <v>3976</v>
      </c>
      <c r="Q163" s="136">
        <f t="shared" si="7398"/>
        <v>1957.55</v>
      </c>
      <c r="R163" s="135">
        <f t="shared" si="7398"/>
        <v>4262</v>
      </c>
      <c r="S163" s="136">
        <f t="shared" si="7398"/>
        <v>1826.8249999999998</v>
      </c>
      <c r="T163" s="135">
        <f t="shared" si="7398"/>
        <v>3393</v>
      </c>
      <c r="U163" s="136">
        <f t="shared" si="7398"/>
        <v>1495.55</v>
      </c>
      <c r="V163" s="135">
        <f t="shared" si="7398"/>
        <v>3192</v>
      </c>
      <c r="W163" s="136">
        <f t="shared" si="7398"/>
        <v>1290.6249999999998</v>
      </c>
      <c r="X163" s="135">
        <f t="shared" si="7398"/>
        <v>2321</v>
      </c>
      <c r="Y163" s="136">
        <f t="shared" si="7398"/>
        <v>1238.4749999999997</v>
      </c>
      <c r="Z163" s="135">
        <f t="shared" si="7398"/>
        <v>2315</v>
      </c>
      <c r="AA163" s="136">
        <f t="shared" si="7398"/>
        <v>1156.2250000000001</v>
      </c>
      <c r="AB163" s="135">
        <f t="shared" si="7398"/>
        <v>1416</v>
      </c>
      <c r="AC163" s="136">
        <f t="shared" si="7398"/>
        <v>666.22499999999991</v>
      </c>
      <c r="AD163" s="135">
        <f t="shared" si="7398"/>
        <v>4750</v>
      </c>
      <c r="AE163" s="136">
        <f t="shared" si="7398"/>
        <v>1771.1749999999997</v>
      </c>
      <c r="AF163" s="137">
        <f t="shared" si="7398"/>
        <v>47332</v>
      </c>
      <c r="AG163" s="138">
        <f t="shared" si="7398"/>
        <v>21164.325000000001</v>
      </c>
      <c r="AH163" s="135">
        <f t="shared" si="7398"/>
        <v>3146</v>
      </c>
      <c r="AI163" s="136">
        <f t="shared" si="7398"/>
        <v>1879.4999999999998</v>
      </c>
      <c r="AJ163" s="135">
        <f t="shared" si="7398"/>
        <v>1454</v>
      </c>
      <c r="AK163" s="136">
        <f t="shared" si="7398"/>
        <v>633.67499999999995</v>
      </c>
      <c r="AL163" s="135">
        <f t="shared" si="7398"/>
        <v>3254</v>
      </c>
      <c r="AM163" s="136">
        <f t="shared" si="7398"/>
        <v>1556.625</v>
      </c>
      <c r="AN163" s="135">
        <f t="shared" ref="AN163:BS163" si="7399">SUM(AN143:AN162)</f>
        <v>1323</v>
      </c>
      <c r="AO163" s="136">
        <f t="shared" si="7399"/>
        <v>569.09999999999991</v>
      </c>
      <c r="AP163" s="135">
        <f t="shared" si="7399"/>
        <v>1430</v>
      </c>
      <c r="AQ163" s="136">
        <f t="shared" si="7399"/>
        <v>787.5</v>
      </c>
      <c r="AR163" s="135">
        <f t="shared" si="7399"/>
        <v>925</v>
      </c>
      <c r="AS163" s="136">
        <f t="shared" si="7399"/>
        <v>461.82499999999999</v>
      </c>
      <c r="AT163" s="135">
        <f t="shared" si="7399"/>
        <v>432</v>
      </c>
      <c r="AU163" s="136">
        <f t="shared" si="7399"/>
        <v>268.8</v>
      </c>
      <c r="AV163" s="135">
        <f t="shared" si="7399"/>
        <v>1667</v>
      </c>
      <c r="AW163" s="136">
        <f t="shared" si="7399"/>
        <v>567.17499999999995</v>
      </c>
      <c r="AX163" s="135">
        <f t="shared" si="7399"/>
        <v>1747</v>
      </c>
      <c r="AY163" s="136">
        <f t="shared" si="7399"/>
        <v>819.17499999999995</v>
      </c>
      <c r="AZ163" s="135">
        <f t="shared" si="7399"/>
        <v>1097</v>
      </c>
      <c r="BA163" s="136">
        <f t="shared" si="7399"/>
        <v>523.25</v>
      </c>
      <c r="BB163" s="135">
        <f t="shared" si="7399"/>
        <v>1194</v>
      </c>
      <c r="BC163" s="136">
        <f t="shared" si="7399"/>
        <v>501.9</v>
      </c>
      <c r="BD163" s="135">
        <f t="shared" si="7399"/>
        <v>1044</v>
      </c>
      <c r="BE163" s="136">
        <f t="shared" si="7399"/>
        <v>561.75</v>
      </c>
      <c r="BF163" s="137">
        <f t="shared" si="7399"/>
        <v>18713</v>
      </c>
      <c r="BG163" s="138">
        <f t="shared" si="7399"/>
        <v>9130.2749999999978</v>
      </c>
      <c r="BH163" s="135">
        <f t="shared" si="7399"/>
        <v>936</v>
      </c>
      <c r="BI163" s="136">
        <f t="shared" si="7399"/>
        <v>516.59999999999991</v>
      </c>
      <c r="BJ163" s="135">
        <f t="shared" si="7399"/>
        <v>558</v>
      </c>
      <c r="BK163" s="136">
        <f t="shared" si="7399"/>
        <v>306.60000000000002</v>
      </c>
      <c r="BL163" s="135">
        <f t="shared" si="7399"/>
        <v>978</v>
      </c>
      <c r="BM163" s="136">
        <f t="shared" si="7399"/>
        <v>550.19999999999993</v>
      </c>
      <c r="BN163" s="135">
        <f t="shared" si="7399"/>
        <v>408</v>
      </c>
      <c r="BO163" s="136">
        <f t="shared" si="7399"/>
        <v>226.79999999999995</v>
      </c>
      <c r="BP163" s="135">
        <f t="shared" si="7399"/>
        <v>560</v>
      </c>
      <c r="BQ163" s="136">
        <f t="shared" si="7399"/>
        <v>365.05</v>
      </c>
      <c r="BR163" s="135">
        <f t="shared" si="7399"/>
        <v>288</v>
      </c>
      <c r="BS163" s="136">
        <f t="shared" si="7399"/>
        <v>193.2</v>
      </c>
      <c r="BT163" s="135">
        <f t="shared" ref="BT163:CY163" si="7400">SUM(BT143:BT162)</f>
        <v>114</v>
      </c>
      <c r="BU163" s="136">
        <f t="shared" si="7400"/>
        <v>71.399999999999977</v>
      </c>
      <c r="BV163" s="135">
        <f t="shared" si="7400"/>
        <v>756</v>
      </c>
      <c r="BW163" s="136">
        <f t="shared" si="7400"/>
        <v>462</v>
      </c>
      <c r="BX163" s="135">
        <f t="shared" si="7400"/>
        <v>396</v>
      </c>
      <c r="BY163" s="136">
        <f t="shared" si="7400"/>
        <v>260.39999999999998</v>
      </c>
      <c r="BZ163" s="135">
        <f t="shared" si="7400"/>
        <v>468</v>
      </c>
      <c r="CA163" s="136">
        <f t="shared" si="7400"/>
        <v>327.60000000000002</v>
      </c>
      <c r="CB163" s="135">
        <f t="shared" si="7400"/>
        <v>716</v>
      </c>
      <c r="CC163" s="136">
        <f t="shared" si="7400"/>
        <v>491.74999999999994</v>
      </c>
      <c r="CD163" s="135">
        <f t="shared" si="7400"/>
        <v>408</v>
      </c>
      <c r="CE163" s="136">
        <f t="shared" si="7400"/>
        <v>159.6</v>
      </c>
      <c r="CF163" s="137">
        <f t="shared" si="7400"/>
        <v>6586</v>
      </c>
      <c r="CG163" s="138">
        <f t="shared" si="7400"/>
        <v>3931.2</v>
      </c>
      <c r="CH163" s="135">
        <f t="shared" si="7400"/>
        <v>444</v>
      </c>
      <c r="CI163" s="136">
        <f t="shared" si="7400"/>
        <v>285.59999999999997</v>
      </c>
      <c r="CJ163" s="135">
        <f t="shared" si="7400"/>
        <v>288</v>
      </c>
      <c r="CK163" s="136">
        <f t="shared" si="7400"/>
        <v>167.99999999999997</v>
      </c>
      <c r="CL163" s="135">
        <f t="shared" si="7400"/>
        <v>48</v>
      </c>
      <c r="CM163" s="136">
        <f t="shared" si="7400"/>
        <v>16.799999999999997</v>
      </c>
      <c r="CN163" s="135">
        <f t="shared" si="7400"/>
        <v>192</v>
      </c>
      <c r="CO163" s="136">
        <f t="shared" si="7400"/>
        <v>109.2</v>
      </c>
      <c r="CP163" s="135">
        <f t="shared" si="7400"/>
        <v>24</v>
      </c>
      <c r="CQ163" s="136">
        <f t="shared" si="7400"/>
        <v>8.3999999999999986</v>
      </c>
      <c r="CR163" s="135">
        <f t="shared" si="7400"/>
        <v>132</v>
      </c>
      <c r="CS163" s="136">
        <f t="shared" si="7400"/>
        <v>92.4</v>
      </c>
      <c r="CT163" s="135">
        <f t="shared" si="7400"/>
        <v>132</v>
      </c>
      <c r="CU163" s="136">
        <f t="shared" si="7400"/>
        <v>92.4</v>
      </c>
      <c r="CV163" s="135">
        <f t="shared" si="7400"/>
        <v>24</v>
      </c>
      <c r="CW163" s="136">
        <f t="shared" si="7400"/>
        <v>8.3999999999999986</v>
      </c>
      <c r="CX163" s="135">
        <f t="shared" si="7400"/>
        <v>12</v>
      </c>
      <c r="CY163" s="136">
        <f t="shared" si="7400"/>
        <v>8.3999999999999986</v>
      </c>
      <c r="CZ163" s="135">
        <f t="shared" ref="CZ163:DG163" si="7401">SUM(CZ143:CZ162)</f>
        <v>96</v>
      </c>
      <c r="DA163" s="136">
        <f t="shared" si="7401"/>
        <v>42</v>
      </c>
      <c r="DB163" s="135">
        <f t="shared" si="7401"/>
        <v>121</v>
      </c>
      <c r="DC163" s="136">
        <f t="shared" si="7401"/>
        <v>84.7</v>
      </c>
      <c r="DD163" s="135">
        <f t="shared" si="7401"/>
        <v>60</v>
      </c>
      <c r="DE163" s="136">
        <f t="shared" si="7401"/>
        <v>42</v>
      </c>
      <c r="DF163" s="135">
        <f t="shared" si="7401"/>
        <v>1573</v>
      </c>
      <c r="DG163" s="136">
        <f t="shared" si="7401"/>
        <v>958.29999999999984</v>
      </c>
    </row>
    <row r="164" spans="1:111" x14ac:dyDescent="0.5">
      <c r="A164" s="141"/>
      <c r="B164" s="142" t="s">
        <v>248</v>
      </c>
      <c r="C164" s="142"/>
      <c r="D164" s="142"/>
      <c r="E164" s="142"/>
      <c r="F164" s="142"/>
      <c r="G164" s="143"/>
      <c r="H164" s="144">
        <f t="shared" ref="H164:AM164" si="7402">+H142+H163</f>
        <v>293930</v>
      </c>
      <c r="I164" s="145">
        <f t="shared" si="7402"/>
        <v>189376.755</v>
      </c>
      <c r="J164" s="144">
        <f t="shared" si="7402"/>
        <v>269870</v>
      </c>
      <c r="K164" s="145">
        <f t="shared" si="7402"/>
        <v>175156.06</v>
      </c>
      <c r="L164" s="144">
        <f t="shared" si="7402"/>
        <v>342053</v>
      </c>
      <c r="M164" s="145">
        <f t="shared" si="7402"/>
        <v>221641.7</v>
      </c>
      <c r="N164" s="144">
        <f t="shared" si="7402"/>
        <v>308169</v>
      </c>
      <c r="O164" s="145">
        <f t="shared" si="7402"/>
        <v>199740.05</v>
      </c>
      <c r="P164" s="144">
        <f t="shared" si="7402"/>
        <v>370933</v>
      </c>
      <c r="Q164" s="145">
        <f t="shared" si="7402"/>
        <v>240052.64</v>
      </c>
      <c r="R164" s="144">
        <f t="shared" si="7402"/>
        <v>337521</v>
      </c>
      <c r="S164" s="145">
        <f t="shared" si="7402"/>
        <v>220267.96500000003</v>
      </c>
      <c r="T164" s="144">
        <f t="shared" si="7402"/>
        <v>297482</v>
      </c>
      <c r="U164" s="145">
        <f t="shared" si="7402"/>
        <v>193538.76</v>
      </c>
      <c r="V164" s="144">
        <f t="shared" si="7402"/>
        <v>349598</v>
      </c>
      <c r="W164" s="145">
        <f t="shared" si="7402"/>
        <v>227904.345</v>
      </c>
      <c r="X164" s="144">
        <f t="shared" si="7402"/>
        <v>292445</v>
      </c>
      <c r="Y164" s="145">
        <f t="shared" si="7402"/>
        <v>193553.595</v>
      </c>
      <c r="Z164" s="144">
        <f t="shared" si="7402"/>
        <v>249336</v>
      </c>
      <c r="AA164" s="145">
        <f t="shared" si="7402"/>
        <v>167083.94500000001</v>
      </c>
      <c r="AB164" s="144">
        <f t="shared" si="7402"/>
        <v>253445</v>
      </c>
      <c r="AC164" s="145">
        <f t="shared" si="7402"/>
        <v>168069.36499999996</v>
      </c>
      <c r="AD164" s="144">
        <f t="shared" si="7402"/>
        <v>325405</v>
      </c>
      <c r="AE164" s="145">
        <f t="shared" si="7402"/>
        <v>218315.67499999999</v>
      </c>
      <c r="AF164" s="146">
        <f t="shared" si="7402"/>
        <v>3690187</v>
      </c>
      <c r="AG164" s="138">
        <f t="shared" si="7402"/>
        <v>2414700.855</v>
      </c>
      <c r="AH164" s="144">
        <f t="shared" si="7402"/>
        <v>328792</v>
      </c>
      <c r="AI164" s="145">
        <f t="shared" si="7402"/>
        <v>223508.06000000003</v>
      </c>
      <c r="AJ164" s="144">
        <f t="shared" si="7402"/>
        <v>270451</v>
      </c>
      <c r="AK164" s="145">
        <f t="shared" si="7402"/>
        <v>180884.875</v>
      </c>
      <c r="AL164" s="144">
        <f t="shared" si="7402"/>
        <v>346823</v>
      </c>
      <c r="AM164" s="145">
        <f t="shared" si="7402"/>
        <v>235666.00499999998</v>
      </c>
      <c r="AN164" s="144">
        <f t="shared" ref="AN164:BS164" si="7403">+AN142+AN163</f>
        <v>331583</v>
      </c>
      <c r="AO164" s="145">
        <f t="shared" si="7403"/>
        <v>224855.09999999998</v>
      </c>
      <c r="AP164" s="144">
        <f t="shared" si="7403"/>
        <v>347696</v>
      </c>
      <c r="AQ164" s="145">
        <f t="shared" si="7403"/>
        <v>237460.98</v>
      </c>
      <c r="AR164" s="144">
        <f t="shared" si="7403"/>
        <v>309886</v>
      </c>
      <c r="AS164" s="145">
        <f t="shared" si="7403"/>
        <v>212669.94500000001</v>
      </c>
      <c r="AT164" s="144">
        <f t="shared" si="7403"/>
        <v>317166</v>
      </c>
      <c r="AU164" s="145">
        <f t="shared" si="7403"/>
        <v>216475.08</v>
      </c>
      <c r="AV164" s="144">
        <f t="shared" si="7403"/>
        <v>382611</v>
      </c>
      <c r="AW164" s="145">
        <f t="shared" si="7403"/>
        <v>256546.375</v>
      </c>
      <c r="AX164" s="144">
        <f t="shared" si="7403"/>
        <v>204040</v>
      </c>
      <c r="AY164" s="145">
        <f t="shared" si="7403"/>
        <v>142679.04499999998</v>
      </c>
      <c r="AZ164" s="144">
        <f t="shared" si="7403"/>
        <v>227576</v>
      </c>
      <c r="BA164" s="145">
        <f t="shared" si="7403"/>
        <v>157046.99</v>
      </c>
      <c r="BB164" s="144">
        <f t="shared" si="7403"/>
        <v>263649</v>
      </c>
      <c r="BC164" s="145">
        <f t="shared" si="7403"/>
        <v>182272.98</v>
      </c>
      <c r="BD164" s="144">
        <f t="shared" si="7403"/>
        <v>288112</v>
      </c>
      <c r="BE164" s="145">
        <f t="shared" si="7403"/>
        <v>201178.63</v>
      </c>
      <c r="BF164" s="146">
        <f t="shared" si="7403"/>
        <v>3618385</v>
      </c>
      <c r="BG164" s="138">
        <f t="shared" si="7403"/>
        <v>2471244.064999999</v>
      </c>
      <c r="BH164" s="144">
        <f t="shared" si="7403"/>
        <v>285916</v>
      </c>
      <c r="BI164" s="145">
        <f t="shared" si="7403"/>
        <v>201162.56</v>
      </c>
      <c r="BJ164" s="144">
        <f t="shared" si="7403"/>
        <v>250960</v>
      </c>
      <c r="BK164" s="145">
        <f t="shared" si="7403"/>
        <v>175654.36</v>
      </c>
      <c r="BL164" s="144">
        <f t="shared" si="7403"/>
        <v>307158</v>
      </c>
      <c r="BM164" s="145">
        <f t="shared" si="7403"/>
        <v>216652.04</v>
      </c>
      <c r="BN164" s="144">
        <f t="shared" si="7403"/>
        <v>313614</v>
      </c>
      <c r="BO164" s="145">
        <f t="shared" si="7403"/>
        <v>220387.83999999997</v>
      </c>
      <c r="BP164" s="144">
        <f t="shared" si="7403"/>
        <v>320083</v>
      </c>
      <c r="BQ164" s="145">
        <f t="shared" si="7403"/>
        <v>221383.83000000002</v>
      </c>
      <c r="BR164" s="144">
        <f t="shared" si="7403"/>
        <v>319708</v>
      </c>
      <c r="BS164" s="145">
        <f t="shared" si="7403"/>
        <v>227199.92</v>
      </c>
      <c r="BT164" s="144">
        <f t="shared" ref="BT164:CY164" si="7404">+BT142+BT163</f>
        <v>309326</v>
      </c>
      <c r="BU164" s="145">
        <f t="shared" si="7404"/>
        <v>219882.6</v>
      </c>
      <c r="BV164" s="144">
        <f t="shared" si="7404"/>
        <v>359022</v>
      </c>
      <c r="BW164" s="145">
        <f t="shared" si="7404"/>
        <v>258006.8</v>
      </c>
      <c r="BX164" s="144">
        <f t="shared" si="7404"/>
        <v>289865</v>
      </c>
      <c r="BY164" s="145">
        <f t="shared" si="7404"/>
        <v>211944.46000000002</v>
      </c>
      <c r="BZ164" s="144">
        <f t="shared" si="7404"/>
        <v>334892</v>
      </c>
      <c r="CA164" s="145">
        <f t="shared" si="7404"/>
        <v>242570.28000000003</v>
      </c>
      <c r="CB164" s="144">
        <f t="shared" si="7404"/>
        <v>252012</v>
      </c>
      <c r="CC164" s="145">
        <f t="shared" si="7404"/>
        <v>181756.59</v>
      </c>
      <c r="CD164" s="144">
        <f t="shared" si="7404"/>
        <v>298933</v>
      </c>
      <c r="CE164" s="145">
        <f t="shared" si="7404"/>
        <v>220605.06000000003</v>
      </c>
      <c r="CF164" s="146">
        <f t="shared" si="7404"/>
        <v>3641489</v>
      </c>
      <c r="CG164" s="138">
        <f t="shared" si="7404"/>
        <v>2597206.3400000003</v>
      </c>
      <c r="CH164" s="155">
        <f t="shared" si="7404"/>
        <v>292511</v>
      </c>
      <c r="CI164" s="145">
        <f t="shared" si="7404"/>
        <v>217320.86000000002</v>
      </c>
      <c r="CJ164" s="155">
        <f t="shared" si="7404"/>
        <v>293882</v>
      </c>
      <c r="CK164" s="145">
        <f t="shared" si="7404"/>
        <v>216037.63999999998</v>
      </c>
      <c r="CL164" s="155">
        <f t="shared" si="7404"/>
        <v>365172</v>
      </c>
      <c r="CM164" s="145">
        <f t="shared" si="7404"/>
        <v>263681.44</v>
      </c>
      <c r="CN164" s="144">
        <f t="shared" si="7404"/>
        <v>250314</v>
      </c>
      <c r="CO164" s="145">
        <f t="shared" si="7404"/>
        <v>175404.48000000004</v>
      </c>
      <c r="CP164" s="144">
        <f t="shared" si="7404"/>
        <v>366448</v>
      </c>
      <c r="CQ164" s="145">
        <f t="shared" si="7404"/>
        <v>272343.36000000004</v>
      </c>
      <c r="CR164" s="144">
        <f t="shared" si="7404"/>
        <v>342840</v>
      </c>
      <c r="CS164" s="145">
        <f t="shared" si="7404"/>
        <v>256223.59999999998</v>
      </c>
      <c r="CT164" s="144">
        <f t="shared" si="7404"/>
        <v>319464</v>
      </c>
      <c r="CU164" s="145">
        <f t="shared" si="7404"/>
        <v>237202.72</v>
      </c>
      <c r="CV164" s="144">
        <f t="shared" si="7404"/>
        <v>306241</v>
      </c>
      <c r="CW164" s="145">
        <f t="shared" si="7404"/>
        <v>234531.51000000004</v>
      </c>
      <c r="CX164" s="144">
        <f t="shared" si="7404"/>
        <v>310563</v>
      </c>
      <c r="CY164" s="145">
        <f t="shared" si="7404"/>
        <v>237498.03000000003</v>
      </c>
      <c r="CZ164" s="144">
        <f t="shared" ref="CZ164:DG164" si="7405">+CZ142+CZ163</f>
        <v>302483</v>
      </c>
      <c r="DA164" s="145">
        <f t="shared" si="7405"/>
        <v>227118.46000000002</v>
      </c>
      <c r="DB164" s="144">
        <f t="shared" si="7405"/>
        <v>282753</v>
      </c>
      <c r="DC164" s="145">
        <f t="shared" si="7405"/>
        <v>216047.52000000002</v>
      </c>
      <c r="DD164" s="144">
        <f t="shared" si="7405"/>
        <v>308233</v>
      </c>
      <c r="DE164" s="145">
        <f t="shared" si="7405"/>
        <v>239161.66999999995</v>
      </c>
      <c r="DF164" s="144">
        <f t="shared" si="7405"/>
        <v>3740904</v>
      </c>
      <c r="DG164" s="145">
        <f t="shared" si="7405"/>
        <v>2792571.29</v>
      </c>
    </row>
    <row r="165" spans="1:111" ht="21.75" customHeight="1" x14ac:dyDescent="0.5">
      <c r="BF165" s="147">
        <f>+BF164*12</f>
        <v>43420620</v>
      </c>
      <c r="CF165" s="147">
        <f>+CF164*12</f>
        <v>43697868</v>
      </c>
    </row>
    <row r="167" spans="1:111" x14ac:dyDescent="0.5">
      <c r="CJ167" s="149"/>
      <c r="CK167" s="150"/>
      <c r="CL167" s="149"/>
      <c r="CM167" s="150"/>
      <c r="CN167" s="149"/>
      <c r="CO167" s="150"/>
      <c r="CP167" s="149"/>
      <c r="CQ167" s="150"/>
      <c r="CT167" s="151"/>
      <c r="CU167" s="152"/>
      <c r="CV167" s="149"/>
      <c r="CW167" s="150"/>
    </row>
    <row r="168" spans="1:111" x14ac:dyDescent="0.5">
      <c r="CZ168" s="149"/>
      <c r="DA168" s="150"/>
    </row>
  </sheetData>
  <mergeCells count="61">
    <mergeCell ref="DB2:DC2"/>
    <mergeCell ref="DD2:DE2"/>
    <mergeCell ref="DF2:DG2"/>
    <mergeCell ref="CP2:CQ2"/>
    <mergeCell ref="CR2:CS2"/>
    <mergeCell ref="CT2:CU2"/>
    <mergeCell ref="CV2:CW2"/>
    <mergeCell ref="CX2:CY2"/>
    <mergeCell ref="CZ2:DA2"/>
    <mergeCell ref="CN2:CO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BP2:B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AR2:AS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T2:U2"/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A159-BF0E-4637-980B-8AB2284E0B07}">
  <sheetPr>
    <tabColor rgb="FF00B0F0"/>
  </sheetPr>
  <dimension ref="A1:EG174"/>
  <sheetViews>
    <sheetView workbookViewId="0">
      <pane xSplit="7" ySplit="3" topLeftCell="AF10" activePane="bottomRight" state="frozen"/>
      <selection pane="topRight" activeCell="H1" sqref="H1"/>
      <selection pane="bottomLeft" activeCell="A4" sqref="A4"/>
      <selection pane="bottomRight" activeCell="EG16" sqref="EG16:EG22"/>
    </sheetView>
  </sheetViews>
  <sheetFormatPr defaultColWidth="10.5703125" defaultRowHeight="18" x14ac:dyDescent="0.5"/>
  <cols>
    <col min="1" max="1" width="3.5703125" style="147" bestFit="1" customWidth="1"/>
    <col min="2" max="2" width="27.85546875" style="147" bestFit="1" customWidth="1"/>
    <col min="3" max="3" width="7.42578125" style="147" bestFit="1" customWidth="1"/>
    <col min="4" max="4" width="7.42578125" style="147" customWidth="1"/>
    <col min="5" max="5" width="5.28515625" style="147" bestFit="1" customWidth="1"/>
    <col min="6" max="6" width="7.7109375" style="147" customWidth="1"/>
    <col min="7" max="7" width="9.42578125" style="147" customWidth="1"/>
    <col min="8" max="31" width="8" style="147" hidden="1" customWidth="1"/>
    <col min="32" max="33" width="9.28515625" style="147" bestFit="1" customWidth="1"/>
    <col min="34" max="57" width="8" style="147" hidden="1" customWidth="1"/>
    <col min="58" max="59" width="9.28515625" style="147" bestFit="1" customWidth="1"/>
    <col min="60" max="73" width="8" style="147" hidden="1" customWidth="1"/>
    <col min="74" max="74" width="9.140625" style="147" hidden="1" customWidth="1"/>
    <col min="75" max="83" width="8" style="147" hidden="1" customWidth="1"/>
    <col min="84" max="85" width="9.28515625" style="147" bestFit="1" customWidth="1"/>
    <col min="86" max="86" width="10.140625" style="119" hidden="1" customWidth="1"/>
    <col min="87" max="87" width="10.140625" style="148" hidden="1" customWidth="1"/>
    <col min="88" max="88" width="10.140625" style="119" hidden="1" customWidth="1"/>
    <col min="89" max="89" width="10.140625" style="148" hidden="1" customWidth="1"/>
    <col min="90" max="90" width="10.140625" style="119" hidden="1" customWidth="1"/>
    <col min="91" max="91" width="10.140625" style="148" hidden="1" customWidth="1"/>
    <col min="92" max="92" width="8" style="119" hidden="1" customWidth="1"/>
    <col min="93" max="93" width="8" style="148" hidden="1" customWidth="1"/>
    <col min="94" max="94" width="8" style="119" hidden="1" customWidth="1"/>
    <col min="95" max="95" width="8" style="148" hidden="1" customWidth="1"/>
    <col min="96" max="96" width="8" style="119" hidden="1" customWidth="1"/>
    <col min="97" max="97" width="8" style="148" hidden="1" customWidth="1"/>
    <col min="98" max="98" width="8" style="119" hidden="1" customWidth="1"/>
    <col min="99" max="99" width="8" style="148" hidden="1" customWidth="1"/>
    <col min="100" max="100" width="8" style="119" hidden="1" customWidth="1"/>
    <col min="101" max="101" width="8" style="148" hidden="1" customWidth="1"/>
    <col min="102" max="102" width="8.7109375" style="119" hidden="1" customWidth="1"/>
    <col min="103" max="103" width="8" style="148" hidden="1" customWidth="1"/>
    <col min="104" max="104" width="8" style="119" hidden="1" customWidth="1"/>
    <col min="105" max="105" width="7.85546875" style="148" hidden="1" customWidth="1"/>
    <col min="106" max="106" width="7.85546875" style="119" hidden="1" customWidth="1"/>
    <col min="107" max="107" width="7.85546875" style="148" hidden="1" customWidth="1"/>
    <col min="108" max="108" width="7.85546875" style="119" hidden="1" customWidth="1"/>
    <col min="109" max="109" width="7.85546875" style="148" hidden="1" customWidth="1"/>
    <col min="110" max="110" width="9.28515625" style="119" bestFit="1" customWidth="1"/>
    <col min="111" max="111" width="10.140625" style="148" customWidth="1"/>
    <col min="112" max="112" width="10.140625" style="119" bestFit="1" customWidth="1"/>
    <col min="113" max="113" width="10.140625" style="148" bestFit="1" customWidth="1"/>
    <col min="114" max="114" width="10.140625" style="119" customWidth="1"/>
    <col min="115" max="115" width="10.140625" style="148" customWidth="1"/>
    <col min="116" max="116" width="10.140625" style="119" hidden="1" customWidth="1"/>
    <col min="117" max="117" width="10.140625" style="148" hidden="1" customWidth="1"/>
    <col min="118" max="118" width="8" style="119" hidden="1" customWidth="1"/>
    <col min="119" max="119" width="8" style="148" hidden="1" customWidth="1"/>
    <col min="120" max="120" width="8" style="119" hidden="1" customWidth="1"/>
    <col min="121" max="121" width="8" style="148" hidden="1" customWidth="1"/>
    <col min="122" max="122" width="8" style="119" hidden="1" customWidth="1"/>
    <col min="123" max="123" width="8" style="148" hidden="1" customWidth="1"/>
    <col min="124" max="124" width="8" style="119" hidden="1" customWidth="1"/>
    <col min="125" max="125" width="8" style="148" hidden="1" customWidth="1"/>
    <col min="126" max="126" width="8" style="119" hidden="1" customWidth="1"/>
    <col min="127" max="127" width="8" style="148" hidden="1" customWidth="1"/>
    <col min="128" max="128" width="8.7109375" style="119" hidden="1" customWidth="1"/>
    <col min="129" max="129" width="8" style="148" hidden="1" customWidth="1"/>
    <col min="130" max="130" width="8" style="119" hidden="1" customWidth="1"/>
    <col min="131" max="131" width="7.85546875" style="148" hidden="1" customWidth="1"/>
    <col min="132" max="132" width="7.85546875" style="119" hidden="1" customWidth="1"/>
    <col min="133" max="133" width="7.85546875" style="148" hidden="1" customWidth="1"/>
    <col min="134" max="134" width="7.85546875" style="119" hidden="1" customWidth="1"/>
    <col min="135" max="135" width="7.85546875" style="148" hidden="1" customWidth="1"/>
    <col min="136" max="136" width="9.28515625" style="119" bestFit="1" customWidth="1"/>
    <col min="137" max="137" width="10.140625" style="148" customWidth="1"/>
    <col min="138" max="16384" width="10.5703125" style="119"/>
  </cols>
  <sheetData>
    <row r="1" spans="1:137" x14ac:dyDescent="0.5">
      <c r="A1" s="187" t="s">
        <v>221</v>
      </c>
      <c r="B1" s="188"/>
      <c r="C1" s="188"/>
      <c r="D1" s="188"/>
      <c r="E1" s="188"/>
      <c r="F1" s="188"/>
      <c r="G1" s="189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90">
        <v>2025</v>
      </c>
      <c r="CI1" s="191"/>
      <c r="CJ1" s="191"/>
      <c r="CK1" s="191"/>
      <c r="CL1" s="191"/>
      <c r="CM1" s="191"/>
      <c r="CN1" s="191"/>
      <c r="CO1" s="191"/>
      <c r="CP1" s="191"/>
      <c r="CQ1" s="191"/>
      <c r="CR1" s="191"/>
      <c r="CS1" s="191"/>
      <c r="CT1" s="191"/>
      <c r="CU1" s="191"/>
      <c r="CV1" s="191"/>
      <c r="CW1" s="191"/>
      <c r="CX1" s="191"/>
      <c r="CY1" s="191"/>
      <c r="CZ1" s="191"/>
      <c r="DA1" s="191"/>
      <c r="DB1" s="191"/>
      <c r="DC1" s="191"/>
      <c r="DD1" s="191"/>
      <c r="DE1" s="191"/>
      <c r="DF1" s="191"/>
      <c r="DG1" s="191"/>
      <c r="DH1" s="190">
        <v>2026</v>
      </c>
      <c r="DI1" s="191"/>
      <c r="DJ1" s="191"/>
      <c r="DK1" s="191"/>
      <c r="DL1" s="191"/>
      <c r="DM1" s="191"/>
      <c r="DN1" s="191"/>
      <c r="DO1" s="191"/>
      <c r="DP1" s="191"/>
      <c r="DQ1" s="191"/>
      <c r="DR1" s="191"/>
      <c r="DS1" s="191"/>
      <c r="DT1" s="191"/>
      <c r="DU1" s="191"/>
      <c r="DV1" s="191"/>
      <c r="DW1" s="191"/>
      <c r="DX1" s="191"/>
      <c r="DY1" s="191"/>
      <c r="DZ1" s="191"/>
      <c r="EA1" s="191"/>
      <c r="EB1" s="191"/>
      <c r="EC1" s="191"/>
      <c r="ED1" s="191"/>
      <c r="EE1" s="191"/>
      <c r="EF1" s="191"/>
      <c r="EG1" s="191"/>
    </row>
    <row r="2" spans="1:137" ht="18.75" customHeight="1" x14ac:dyDescent="0.5">
      <c r="A2" s="192" t="s">
        <v>222</v>
      </c>
      <c r="B2" s="194" t="s">
        <v>223</v>
      </c>
      <c r="C2" s="194"/>
      <c r="D2" s="195" t="s">
        <v>224</v>
      </c>
      <c r="E2" s="195" t="s">
        <v>225</v>
      </c>
      <c r="F2" s="195" t="s">
        <v>226</v>
      </c>
      <c r="G2" s="195" t="s">
        <v>227</v>
      </c>
      <c r="H2" s="186">
        <v>44562</v>
      </c>
      <c r="I2" s="186"/>
      <c r="J2" s="186">
        <v>44593</v>
      </c>
      <c r="K2" s="186"/>
      <c r="L2" s="186">
        <v>44621</v>
      </c>
      <c r="M2" s="186"/>
      <c r="N2" s="186">
        <v>44652</v>
      </c>
      <c r="O2" s="186"/>
      <c r="P2" s="186">
        <v>44682</v>
      </c>
      <c r="Q2" s="186"/>
      <c r="R2" s="186">
        <v>44713</v>
      </c>
      <c r="S2" s="186"/>
      <c r="T2" s="186">
        <v>44743</v>
      </c>
      <c r="U2" s="186"/>
      <c r="V2" s="186">
        <v>44774</v>
      </c>
      <c r="W2" s="186"/>
      <c r="X2" s="186">
        <v>44805</v>
      </c>
      <c r="Y2" s="186"/>
      <c r="Z2" s="186">
        <v>44835</v>
      </c>
      <c r="AA2" s="186"/>
      <c r="AB2" s="186">
        <v>44866</v>
      </c>
      <c r="AC2" s="186"/>
      <c r="AD2" s="186">
        <v>44896</v>
      </c>
      <c r="AE2" s="186"/>
      <c r="AF2" s="196" t="s">
        <v>251</v>
      </c>
      <c r="AG2" s="196"/>
      <c r="AH2" s="186">
        <v>44927</v>
      </c>
      <c r="AI2" s="186"/>
      <c r="AJ2" s="186">
        <v>44958</v>
      </c>
      <c r="AK2" s="186"/>
      <c r="AL2" s="186">
        <v>44986</v>
      </c>
      <c r="AM2" s="186"/>
      <c r="AN2" s="186">
        <v>45017</v>
      </c>
      <c r="AO2" s="186"/>
      <c r="AP2" s="186">
        <v>45047</v>
      </c>
      <c r="AQ2" s="186"/>
      <c r="AR2" s="186">
        <v>45078</v>
      </c>
      <c r="AS2" s="186"/>
      <c r="AT2" s="186">
        <v>45108</v>
      </c>
      <c r="AU2" s="186"/>
      <c r="AV2" s="186">
        <v>45139</v>
      </c>
      <c r="AW2" s="186"/>
      <c r="AX2" s="186">
        <v>45170</v>
      </c>
      <c r="AY2" s="186"/>
      <c r="AZ2" s="186">
        <v>45200</v>
      </c>
      <c r="BA2" s="186"/>
      <c r="BB2" s="186">
        <v>45231</v>
      </c>
      <c r="BC2" s="186"/>
      <c r="BD2" s="186">
        <v>45261</v>
      </c>
      <c r="BE2" s="186"/>
      <c r="BF2" s="196" t="s">
        <v>252</v>
      </c>
      <c r="BG2" s="196"/>
      <c r="BH2" s="186">
        <v>45292</v>
      </c>
      <c r="BI2" s="186"/>
      <c r="BJ2" s="186">
        <v>45323</v>
      </c>
      <c r="BK2" s="186"/>
      <c r="BL2" s="186">
        <v>45352</v>
      </c>
      <c r="BM2" s="186"/>
      <c r="BN2" s="186">
        <v>45383</v>
      </c>
      <c r="BO2" s="186"/>
      <c r="BP2" s="186">
        <v>45413</v>
      </c>
      <c r="BQ2" s="186"/>
      <c r="BR2" s="186">
        <v>45444</v>
      </c>
      <c r="BS2" s="186"/>
      <c r="BT2" s="186">
        <v>45474</v>
      </c>
      <c r="BU2" s="186"/>
      <c r="BV2" s="186">
        <v>45505</v>
      </c>
      <c r="BW2" s="186"/>
      <c r="BX2" s="186">
        <v>45536</v>
      </c>
      <c r="BY2" s="186"/>
      <c r="BZ2" s="186">
        <v>45566</v>
      </c>
      <c r="CA2" s="186"/>
      <c r="CB2" s="186">
        <v>45597</v>
      </c>
      <c r="CC2" s="186"/>
      <c r="CD2" s="186">
        <v>45627</v>
      </c>
      <c r="CE2" s="186"/>
      <c r="CF2" s="196" t="s">
        <v>253</v>
      </c>
      <c r="CG2" s="196"/>
      <c r="CH2" s="186">
        <v>45658</v>
      </c>
      <c r="CI2" s="186"/>
      <c r="CJ2" s="186">
        <v>45689</v>
      </c>
      <c r="CK2" s="186"/>
      <c r="CL2" s="186">
        <v>45717</v>
      </c>
      <c r="CM2" s="186"/>
      <c r="CN2" s="186">
        <v>45748</v>
      </c>
      <c r="CO2" s="186"/>
      <c r="CP2" s="186">
        <v>45778</v>
      </c>
      <c r="CQ2" s="186"/>
      <c r="CR2" s="186">
        <v>45809</v>
      </c>
      <c r="CS2" s="186"/>
      <c r="CT2" s="186">
        <v>45839</v>
      </c>
      <c r="CU2" s="186"/>
      <c r="CV2" s="186">
        <v>45870</v>
      </c>
      <c r="CW2" s="186"/>
      <c r="CX2" s="186">
        <v>45901</v>
      </c>
      <c r="CY2" s="186"/>
      <c r="CZ2" s="186">
        <v>45931</v>
      </c>
      <c r="DA2" s="186"/>
      <c r="DB2" s="186">
        <v>45962</v>
      </c>
      <c r="DC2" s="186"/>
      <c r="DD2" s="186">
        <v>45992</v>
      </c>
      <c r="DE2" s="186"/>
      <c r="DF2" s="198" t="s">
        <v>228</v>
      </c>
      <c r="DG2" s="198"/>
      <c r="DH2" s="186">
        <v>46023</v>
      </c>
      <c r="DI2" s="186"/>
      <c r="DJ2" s="186">
        <v>46054</v>
      </c>
      <c r="DK2" s="186"/>
      <c r="DL2" s="186">
        <v>46082</v>
      </c>
      <c r="DM2" s="186"/>
      <c r="DN2" s="186">
        <v>46113</v>
      </c>
      <c r="DO2" s="186"/>
      <c r="DP2" s="186">
        <v>46143</v>
      </c>
      <c r="DQ2" s="186"/>
      <c r="DR2" s="186">
        <v>46174</v>
      </c>
      <c r="DS2" s="186"/>
      <c r="DT2" s="186">
        <v>46204</v>
      </c>
      <c r="DU2" s="186"/>
      <c r="DV2" s="186">
        <v>46235</v>
      </c>
      <c r="DW2" s="186"/>
      <c r="DX2" s="186">
        <v>46266</v>
      </c>
      <c r="DY2" s="186"/>
      <c r="DZ2" s="186">
        <v>46296</v>
      </c>
      <c r="EA2" s="186"/>
      <c r="EB2" s="186">
        <v>46327</v>
      </c>
      <c r="EC2" s="186"/>
      <c r="ED2" s="186">
        <v>46357</v>
      </c>
      <c r="EE2" s="186"/>
      <c r="EF2" s="197" t="s">
        <v>268</v>
      </c>
      <c r="EG2" s="197"/>
    </row>
    <row r="3" spans="1:137" ht="18.75" customHeight="1" x14ac:dyDescent="0.5">
      <c r="A3" s="193"/>
      <c r="B3" s="194"/>
      <c r="C3" s="194"/>
      <c r="D3" s="195"/>
      <c r="E3" s="195"/>
      <c r="F3" s="195"/>
      <c r="G3" s="195"/>
      <c r="H3" s="120" t="s">
        <v>229</v>
      </c>
      <c r="I3" s="9" t="s">
        <v>230</v>
      </c>
      <c r="J3" s="120" t="s">
        <v>229</v>
      </c>
      <c r="K3" s="9" t="s">
        <v>230</v>
      </c>
      <c r="L3" s="120" t="s">
        <v>229</v>
      </c>
      <c r="M3" s="9" t="s">
        <v>230</v>
      </c>
      <c r="N3" s="120" t="s">
        <v>229</v>
      </c>
      <c r="O3" s="9" t="s">
        <v>230</v>
      </c>
      <c r="P3" s="120" t="s">
        <v>229</v>
      </c>
      <c r="Q3" s="9" t="s">
        <v>230</v>
      </c>
      <c r="R3" s="120" t="s">
        <v>229</v>
      </c>
      <c r="S3" s="9" t="s">
        <v>230</v>
      </c>
      <c r="T3" s="120" t="s">
        <v>229</v>
      </c>
      <c r="U3" s="9" t="s">
        <v>230</v>
      </c>
      <c r="V3" s="120" t="s">
        <v>229</v>
      </c>
      <c r="W3" s="9" t="s">
        <v>230</v>
      </c>
      <c r="X3" s="120" t="s">
        <v>229</v>
      </c>
      <c r="Y3" s="9" t="s">
        <v>230</v>
      </c>
      <c r="Z3" s="120" t="s">
        <v>229</v>
      </c>
      <c r="AA3" s="9" t="s">
        <v>230</v>
      </c>
      <c r="AB3" s="120" t="s">
        <v>229</v>
      </c>
      <c r="AC3" s="9" t="s">
        <v>230</v>
      </c>
      <c r="AD3" s="120" t="s">
        <v>229</v>
      </c>
      <c r="AE3" s="9" t="s">
        <v>230</v>
      </c>
      <c r="AF3" s="121" t="s">
        <v>229</v>
      </c>
      <c r="AG3" s="156" t="s">
        <v>230</v>
      </c>
      <c r="AH3" s="120" t="s">
        <v>229</v>
      </c>
      <c r="AI3" s="9" t="s">
        <v>230</v>
      </c>
      <c r="AJ3" s="120" t="s">
        <v>229</v>
      </c>
      <c r="AK3" s="9" t="s">
        <v>230</v>
      </c>
      <c r="AL3" s="120" t="s">
        <v>229</v>
      </c>
      <c r="AM3" s="9" t="s">
        <v>230</v>
      </c>
      <c r="AN3" s="120" t="s">
        <v>229</v>
      </c>
      <c r="AO3" s="9" t="s">
        <v>230</v>
      </c>
      <c r="AP3" s="120" t="s">
        <v>229</v>
      </c>
      <c r="AQ3" s="9" t="s">
        <v>230</v>
      </c>
      <c r="AR3" s="120" t="s">
        <v>229</v>
      </c>
      <c r="AS3" s="9" t="s">
        <v>230</v>
      </c>
      <c r="AT3" s="120" t="s">
        <v>229</v>
      </c>
      <c r="AU3" s="9" t="s">
        <v>230</v>
      </c>
      <c r="AV3" s="120" t="s">
        <v>229</v>
      </c>
      <c r="AW3" s="9" t="s">
        <v>230</v>
      </c>
      <c r="AX3" s="120" t="s">
        <v>229</v>
      </c>
      <c r="AY3" s="9" t="s">
        <v>230</v>
      </c>
      <c r="AZ3" s="120" t="s">
        <v>229</v>
      </c>
      <c r="BA3" s="9" t="s">
        <v>230</v>
      </c>
      <c r="BB3" s="120" t="s">
        <v>229</v>
      </c>
      <c r="BC3" s="9" t="s">
        <v>230</v>
      </c>
      <c r="BD3" s="120" t="s">
        <v>229</v>
      </c>
      <c r="BE3" s="9" t="s">
        <v>230</v>
      </c>
      <c r="BF3" s="121" t="s">
        <v>229</v>
      </c>
      <c r="BG3" s="156" t="s">
        <v>230</v>
      </c>
      <c r="BH3" s="120" t="s">
        <v>229</v>
      </c>
      <c r="BI3" s="9" t="s">
        <v>230</v>
      </c>
      <c r="BJ3" s="120" t="s">
        <v>229</v>
      </c>
      <c r="BK3" s="9" t="s">
        <v>230</v>
      </c>
      <c r="BL3" s="120" t="s">
        <v>229</v>
      </c>
      <c r="BM3" s="9" t="s">
        <v>230</v>
      </c>
      <c r="BN3" s="120" t="s">
        <v>229</v>
      </c>
      <c r="BO3" s="9" t="s">
        <v>230</v>
      </c>
      <c r="BP3" s="120" t="s">
        <v>229</v>
      </c>
      <c r="BQ3" s="9" t="s">
        <v>230</v>
      </c>
      <c r="BR3" s="120" t="s">
        <v>229</v>
      </c>
      <c r="BS3" s="9" t="s">
        <v>230</v>
      </c>
      <c r="BT3" s="120" t="s">
        <v>229</v>
      </c>
      <c r="BU3" s="9" t="s">
        <v>230</v>
      </c>
      <c r="BV3" s="120" t="s">
        <v>229</v>
      </c>
      <c r="BW3" s="9" t="s">
        <v>230</v>
      </c>
      <c r="BX3" s="120" t="s">
        <v>229</v>
      </c>
      <c r="BY3" s="9" t="s">
        <v>230</v>
      </c>
      <c r="BZ3" s="120" t="s">
        <v>229</v>
      </c>
      <c r="CA3" s="9" t="s">
        <v>230</v>
      </c>
      <c r="CB3" s="120" t="s">
        <v>229</v>
      </c>
      <c r="CC3" s="9" t="s">
        <v>230</v>
      </c>
      <c r="CD3" s="120" t="s">
        <v>229</v>
      </c>
      <c r="CE3" s="9" t="s">
        <v>230</v>
      </c>
      <c r="CF3" s="121" t="s">
        <v>229</v>
      </c>
      <c r="CG3" s="156" t="s">
        <v>230</v>
      </c>
      <c r="CH3" s="95" t="s">
        <v>229</v>
      </c>
      <c r="CI3" s="9" t="s">
        <v>230</v>
      </c>
      <c r="CJ3" s="95" t="s">
        <v>229</v>
      </c>
      <c r="CK3" s="9" t="s">
        <v>230</v>
      </c>
      <c r="CL3" s="95" t="s">
        <v>229</v>
      </c>
      <c r="CM3" s="9" t="s">
        <v>230</v>
      </c>
      <c r="CN3" s="95" t="s">
        <v>229</v>
      </c>
      <c r="CO3" s="9" t="s">
        <v>230</v>
      </c>
      <c r="CP3" s="95" t="s">
        <v>229</v>
      </c>
      <c r="CQ3" s="9" t="s">
        <v>230</v>
      </c>
      <c r="CR3" s="95" t="s">
        <v>229</v>
      </c>
      <c r="CS3" s="9" t="s">
        <v>230</v>
      </c>
      <c r="CT3" s="95" t="s">
        <v>229</v>
      </c>
      <c r="CU3" s="9" t="s">
        <v>230</v>
      </c>
      <c r="CV3" s="95" t="s">
        <v>229</v>
      </c>
      <c r="CW3" s="9" t="s">
        <v>230</v>
      </c>
      <c r="CX3" s="95" t="s">
        <v>229</v>
      </c>
      <c r="CY3" s="9" t="s">
        <v>230</v>
      </c>
      <c r="CZ3" s="95" t="s">
        <v>229</v>
      </c>
      <c r="DA3" s="9" t="s">
        <v>230</v>
      </c>
      <c r="DB3" s="95" t="s">
        <v>229</v>
      </c>
      <c r="DC3" s="9" t="s">
        <v>230</v>
      </c>
      <c r="DD3" s="95" t="s">
        <v>229</v>
      </c>
      <c r="DE3" s="9" t="s">
        <v>230</v>
      </c>
      <c r="DF3" s="176" t="s">
        <v>229</v>
      </c>
      <c r="DG3" s="156" t="s">
        <v>230</v>
      </c>
      <c r="DH3" s="95" t="s">
        <v>229</v>
      </c>
      <c r="DI3" s="9" t="s">
        <v>230</v>
      </c>
      <c r="DJ3" s="95" t="s">
        <v>229</v>
      </c>
      <c r="DK3" s="9" t="s">
        <v>230</v>
      </c>
      <c r="DL3" s="95" t="s">
        <v>229</v>
      </c>
      <c r="DM3" s="9" t="s">
        <v>230</v>
      </c>
      <c r="DN3" s="95" t="s">
        <v>229</v>
      </c>
      <c r="DO3" s="9" t="s">
        <v>230</v>
      </c>
      <c r="DP3" s="95" t="s">
        <v>229</v>
      </c>
      <c r="DQ3" s="9" t="s">
        <v>230</v>
      </c>
      <c r="DR3" s="95" t="s">
        <v>229</v>
      </c>
      <c r="DS3" s="9" t="s">
        <v>230</v>
      </c>
      <c r="DT3" s="95" t="s">
        <v>229</v>
      </c>
      <c r="DU3" s="9" t="s">
        <v>230</v>
      </c>
      <c r="DV3" s="95" t="s">
        <v>229</v>
      </c>
      <c r="DW3" s="9" t="s">
        <v>230</v>
      </c>
      <c r="DX3" s="95" t="s">
        <v>229</v>
      </c>
      <c r="DY3" s="9" t="s">
        <v>230</v>
      </c>
      <c r="DZ3" s="95" t="s">
        <v>229</v>
      </c>
      <c r="EA3" s="9" t="s">
        <v>230</v>
      </c>
      <c r="EB3" s="95" t="s">
        <v>229</v>
      </c>
      <c r="EC3" s="9" t="s">
        <v>230</v>
      </c>
      <c r="ED3" s="95" t="s">
        <v>229</v>
      </c>
      <c r="EE3" s="9" t="s">
        <v>230</v>
      </c>
      <c r="EF3" s="95" t="s">
        <v>229</v>
      </c>
      <c r="EG3" s="154" t="s">
        <v>230</v>
      </c>
    </row>
    <row r="4" spans="1:137" ht="18" customHeight="1" x14ac:dyDescent="0.5">
      <c r="A4" s="117">
        <v>1</v>
      </c>
      <c r="B4" s="122" t="s">
        <v>136</v>
      </c>
      <c r="C4" s="122" t="s">
        <v>231</v>
      </c>
      <c r="D4" s="117">
        <f>RANK(DF4,$DF$4:$DF$147)</f>
        <v>9</v>
      </c>
      <c r="E4" s="117">
        <v>0.7</v>
      </c>
      <c r="F4" s="117" t="s">
        <v>232</v>
      </c>
      <c r="G4" s="117">
        <v>2020</v>
      </c>
      <c r="H4" s="123">
        <v>7044</v>
      </c>
      <c r="I4" s="124">
        <f>H4*$E4</f>
        <v>4930.7999999999993</v>
      </c>
      <c r="J4" s="123">
        <v>29058</v>
      </c>
      <c r="K4" s="124">
        <f>J4*$E4</f>
        <v>20340.599999999999</v>
      </c>
      <c r="L4" s="123">
        <v>9060</v>
      </c>
      <c r="M4" s="124">
        <f>L4*$E4</f>
        <v>6342</v>
      </c>
      <c r="N4" s="123">
        <f>480+9348</f>
        <v>9828</v>
      </c>
      <c r="O4" s="124">
        <f>N4*$E4</f>
        <v>6879.5999999999995</v>
      </c>
      <c r="P4" s="123">
        <v>3240</v>
      </c>
      <c r="Q4" s="124">
        <f>P4*$E4</f>
        <v>2268</v>
      </c>
      <c r="R4" s="123">
        <v>7611</v>
      </c>
      <c r="S4" s="124">
        <f>R4*$E4</f>
        <v>5327.7</v>
      </c>
      <c r="T4" s="123">
        <v>4356</v>
      </c>
      <c r="U4" s="124">
        <f>T4*$E4</f>
        <v>3049.2</v>
      </c>
      <c r="V4" s="123">
        <v>6353</v>
      </c>
      <c r="W4" s="124">
        <f>V4*$E4</f>
        <v>4447.0999999999995</v>
      </c>
      <c r="X4" s="123">
        <v>3384</v>
      </c>
      <c r="Y4" s="124">
        <f>X4*$E4</f>
        <v>2368.7999999999997</v>
      </c>
      <c r="Z4" s="123">
        <v>2831</v>
      </c>
      <c r="AA4" s="124">
        <f>Z4*$E4</f>
        <v>1981.6999999999998</v>
      </c>
      <c r="AB4" s="123">
        <v>5556</v>
      </c>
      <c r="AC4" s="124">
        <f>AB4*$E4</f>
        <v>3889.2</v>
      </c>
      <c r="AD4" s="123">
        <v>4176</v>
      </c>
      <c r="AE4" s="124">
        <f>AD4*$E4</f>
        <v>2923.2</v>
      </c>
      <c r="AF4" s="125">
        <f>(AD4+AB4+Z4+X4+V4+T4+R4+P4+N4+L4+J4+H4)/1</f>
        <v>92497</v>
      </c>
      <c r="AG4" s="126">
        <f>AF4*$E4</f>
        <v>64747.899999999994</v>
      </c>
      <c r="AH4" s="11">
        <v>5472</v>
      </c>
      <c r="AI4" s="124">
        <f>AH4*$E4</f>
        <v>3830.3999999999996</v>
      </c>
      <c r="AJ4" s="15">
        <v>1265</v>
      </c>
      <c r="AK4" s="124">
        <f>AJ4*$E4</f>
        <v>885.5</v>
      </c>
      <c r="AL4" s="15">
        <v>3960</v>
      </c>
      <c r="AM4" s="124">
        <f>AL4*$E4</f>
        <v>2772</v>
      </c>
      <c r="AN4" s="16">
        <v>6888</v>
      </c>
      <c r="AO4" s="124">
        <f>AN4*$E4</f>
        <v>4821.5999999999995</v>
      </c>
      <c r="AP4" s="15">
        <v>3792</v>
      </c>
      <c r="AQ4" s="124">
        <f>AP4*$E4</f>
        <v>2654.3999999999996</v>
      </c>
      <c r="AR4" s="15">
        <v>1872</v>
      </c>
      <c r="AS4" s="124">
        <f>AR4*$E4</f>
        <v>1310.3999999999999</v>
      </c>
      <c r="AT4" s="17">
        <v>1500</v>
      </c>
      <c r="AU4" s="124">
        <f>AT4*$E4</f>
        <v>1050</v>
      </c>
      <c r="AV4" s="15">
        <v>3600</v>
      </c>
      <c r="AW4" s="124">
        <f>AV4*$E4</f>
        <v>2520</v>
      </c>
      <c r="AX4" s="15">
        <v>1896</v>
      </c>
      <c r="AY4" s="124">
        <f>AX4*$E4</f>
        <v>1327.1999999999998</v>
      </c>
      <c r="AZ4" s="17">
        <v>3168</v>
      </c>
      <c r="BA4" s="124">
        <f>AZ4*$E4</f>
        <v>2217.6</v>
      </c>
      <c r="BB4" s="33">
        <v>3168</v>
      </c>
      <c r="BC4" s="124">
        <f>BB4*$E4</f>
        <v>2217.6</v>
      </c>
      <c r="BD4" s="33">
        <v>3168</v>
      </c>
      <c r="BE4" s="124">
        <f>BD4*$E4</f>
        <v>2217.6</v>
      </c>
      <c r="BF4" s="125">
        <f>(BD4+BB4+AZ4+AX4+AV4+AT4+AR4+AP4+AN4+AL4+AJ4+AH4)/1</f>
        <v>39749</v>
      </c>
      <c r="BG4" s="126">
        <f>BF4*$E4</f>
        <v>27824.3</v>
      </c>
      <c r="BH4" s="64">
        <v>3696</v>
      </c>
      <c r="BI4" s="124">
        <f>BH4*$E4</f>
        <v>2587.1999999999998</v>
      </c>
      <c r="BJ4" s="64">
        <v>2892</v>
      </c>
      <c r="BK4" s="124">
        <f>BJ4*$E4</f>
        <v>2024.3999999999999</v>
      </c>
      <c r="BL4" s="64">
        <v>2748</v>
      </c>
      <c r="BM4" s="124">
        <f>BL4*$E4</f>
        <v>1923.6</v>
      </c>
      <c r="BN4" s="64">
        <v>3288</v>
      </c>
      <c r="BO4" s="124">
        <f>BN4*$E4</f>
        <v>2301.6</v>
      </c>
      <c r="BP4" s="64">
        <v>1764</v>
      </c>
      <c r="BQ4" s="124">
        <f>BP4*$E4</f>
        <v>1234.8</v>
      </c>
      <c r="BR4" s="65">
        <v>3144</v>
      </c>
      <c r="BS4" s="124">
        <f>BR4*$E4</f>
        <v>2200.7999999999997</v>
      </c>
      <c r="BT4" s="65">
        <v>3696</v>
      </c>
      <c r="BU4" s="124">
        <f>BT4*$E4</f>
        <v>2587.1999999999998</v>
      </c>
      <c r="BV4" s="66">
        <v>3840</v>
      </c>
      <c r="BW4" s="124">
        <f>BV4*$E4</f>
        <v>2688</v>
      </c>
      <c r="BX4" s="67">
        <v>756</v>
      </c>
      <c r="BY4" s="124">
        <f>BX4*$E4</f>
        <v>529.19999999999993</v>
      </c>
      <c r="BZ4" s="68">
        <v>3636</v>
      </c>
      <c r="CA4" s="124">
        <f>BZ4*$E4</f>
        <v>2545.1999999999998</v>
      </c>
      <c r="CB4" s="69">
        <v>2556</v>
      </c>
      <c r="CC4" s="124">
        <f>CB4*$E4</f>
        <v>1789.1999999999998</v>
      </c>
      <c r="CD4" s="69">
        <v>4626</v>
      </c>
      <c r="CE4" s="124">
        <f>CD4*$E4</f>
        <v>3238.2</v>
      </c>
      <c r="CF4" s="125">
        <f>(CD4+CB4+BZ4+BX4+BV4+BT4+BR4+BP4+BN4+BL4+BJ4+BH4)/1</f>
        <v>36642</v>
      </c>
      <c r="CG4" s="126">
        <f>CF4*$E4</f>
        <v>25649.399999999998</v>
      </c>
      <c r="CH4" s="123">
        <v>528</v>
      </c>
      <c r="CI4" s="124">
        <f>CH4*$E4</f>
        <v>369.59999999999997</v>
      </c>
      <c r="CJ4" s="123">
        <v>1716</v>
      </c>
      <c r="CK4" s="124">
        <f>CJ4*$E4</f>
        <v>1201.1999999999998</v>
      </c>
      <c r="CL4" s="123">
        <v>2772</v>
      </c>
      <c r="CM4" s="124">
        <f>CL4*$E4</f>
        <v>1940.3999999999999</v>
      </c>
      <c r="CN4" s="123">
        <v>3960</v>
      </c>
      <c r="CO4" s="124">
        <f>CN4*$E4</f>
        <v>2772</v>
      </c>
      <c r="CP4" s="123">
        <v>1632</v>
      </c>
      <c r="CQ4" s="124">
        <f>CP4*$E4</f>
        <v>1142.3999999999999</v>
      </c>
      <c r="CR4" s="123">
        <v>1092</v>
      </c>
      <c r="CS4" s="124">
        <f>CR4*$E4</f>
        <v>764.4</v>
      </c>
      <c r="CT4" s="123">
        <v>1764</v>
      </c>
      <c r="CU4" s="124">
        <f>CT4*$E4</f>
        <v>1234.8</v>
      </c>
      <c r="CV4" s="123">
        <v>3096</v>
      </c>
      <c r="CW4" s="124">
        <f>CV4*$E4</f>
        <v>2167.1999999999998</v>
      </c>
      <c r="CX4" s="123">
        <v>1392</v>
      </c>
      <c r="CY4" s="124">
        <f>CX4*$E4</f>
        <v>974.4</v>
      </c>
      <c r="CZ4" s="123">
        <v>588</v>
      </c>
      <c r="DA4" s="124">
        <f>CZ4*$E4</f>
        <v>411.59999999999997</v>
      </c>
      <c r="DB4" s="123">
        <v>3996</v>
      </c>
      <c r="DC4" s="124">
        <f>DB4*$E4</f>
        <v>2797.2</v>
      </c>
      <c r="DD4" s="123">
        <v>24</v>
      </c>
      <c r="DE4" s="124">
        <f>DD4*$E4</f>
        <v>16.799999999999997</v>
      </c>
      <c r="DF4" s="177">
        <f t="shared" ref="DF4:DF67" si="0">SUM(CH4,CJ4,CL4,CN4,CP4,CR4,CT4,CV4,CX4,CZ4,DB4,DD4)</f>
        <v>22560</v>
      </c>
      <c r="DG4" s="126">
        <f>DF4*$E4</f>
        <v>15791.999999999998</v>
      </c>
      <c r="DH4" s="123">
        <v>3516</v>
      </c>
      <c r="DI4" s="124">
        <f>DH4*$E4</f>
        <v>2461.1999999999998</v>
      </c>
      <c r="DJ4" s="123">
        <v>1392</v>
      </c>
      <c r="DK4" s="124">
        <f>DJ4*$E4</f>
        <v>974.4</v>
      </c>
      <c r="DL4" s="123"/>
      <c r="DM4" s="124">
        <f>DL4*$E4</f>
        <v>0</v>
      </c>
      <c r="DN4" s="123"/>
      <c r="DO4" s="124">
        <f>DN4*$E4</f>
        <v>0</v>
      </c>
      <c r="DP4" s="123"/>
      <c r="DQ4" s="124">
        <f>DP4*$E4</f>
        <v>0</v>
      </c>
      <c r="DR4" s="123"/>
      <c r="DS4" s="124">
        <f>DR4*$E4</f>
        <v>0</v>
      </c>
      <c r="DT4" s="123"/>
      <c r="DU4" s="124">
        <f>DT4*$E4</f>
        <v>0</v>
      </c>
      <c r="DV4" s="123"/>
      <c r="DW4" s="124">
        <f>DV4*$E4</f>
        <v>0</v>
      </c>
      <c r="DX4" s="123"/>
      <c r="DY4" s="124">
        <f>DX4*$E4</f>
        <v>0</v>
      </c>
      <c r="DZ4" s="123"/>
      <c r="EA4" s="124">
        <f>DZ4*$E4</f>
        <v>0</v>
      </c>
      <c r="EB4" s="123"/>
      <c r="EC4" s="124">
        <f>EB4*$E4</f>
        <v>0</v>
      </c>
      <c r="ED4" s="123"/>
      <c r="EE4" s="124">
        <f>ED4*$E4</f>
        <v>0</v>
      </c>
      <c r="EF4" s="27">
        <f t="shared" ref="EF4:EF67" si="1">SUM(DH4,DJ4,DL4,DN4,DP4,DR4,DT4,DV4,DX4,DZ4,EB4,ED4)</f>
        <v>4908</v>
      </c>
      <c r="EG4" s="124">
        <f>EF4*$E4</f>
        <v>3435.6</v>
      </c>
    </row>
    <row r="5" spans="1:137" ht="18" customHeight="1" x14ac:dyDescent="0.5">
      <c r="A5" s="117"/>
      <c r="B5" s="122"/>
      <c r="C5" s="122"/>
      <c r="D5" s="117"/>
      <c r="E5" s="117"/>
      <c r="F5" s="117"/>
      <c r="G5" s="117"/>
      <c r="H5" s="123"/>
      <c r="I5" s="124">
        <f t="shared" ref="I5:I68" si="2">H5*$E5</f>
        <v>0</v>
      </c>
      <c r="J5" s="123"/>
      <c r="K5" s="124">
        <f t="shared" ref="K5:K68" si="3">J5*$E5</f>
        <v>0</v>
      </c>
      <c r="L5" s="123"/>
      <c r="M5" s="124">
        <f t="shared" ref="M5:M68" si="4">L5*$E5</f>
        <v>0</v>
      </c>
      <c r="N5" s="123"/>
      <c r="O5" s="124">
        <f t="shared" ref="O5:O68" si="5">N5*$E5</f>
        <v>0</v>
      </c>
      <c r="P5" s="123"/>
      <c r="Q5" s="124">
        <f t="shared" ref="Q5:Q68" si="6">P5*$E5</f>
        <v>0</v>
      </c>
      <c r="R5" s="123"/>
      <c r="S5" s="124">
        <f t="shared" ref="S5:S68" si="7">R5*$E5</f>
        <v>0</v>
      </c>
      <c r="T5" s="123"/>
      <c r="U5" s="124">
        <f t="shared" ref="U5:U68" si="8">T5*$E5</f>
        <v>0</v>
      </c>
      <c r="V5" s="123"/>
      <c r="W5" s="124">
        <f t="shared" ref="W5:W68" si="9">V5*$E5</f>
        <v>0</v>
      </c>
      <c r="X5" s="123"/>
      <c r="Y5" s="124">
        <f t="shared" ref="Y5:Y68" si="10">X5*$E5</f>
        <v>0</v>
      </c>
      <c r="Z5" s="123"/>
      <c r="AA5" s="124">
        <f t="shared" ref="AA5:AA68" si="11">Z5*$E5</f>
        <v>0</v>
      </c>
      <c r="AB5" s="123"/>
      <c r="AC5" s="124">
        <f t="shared" ref="AC5:AC68" si="12">AB5*$E5</f>
        <v>0</v>
      </c>
      <c r="AD5" s="123"/>
      <c r="AE5" s="124">
        <f t="shared" ref="AE5:AE68" si="13">AD5*$E5</f>
        <v>0</v>
      </c>
      <c r="AF5" s="125">
        <f t="shared" ref="AF5:AF68" si="14">(AD5+AB5+Z5+X5+V5+T5+R5+P5+N5+L5+J5+H5)/1</f>
        <v>0</v>
      </c>
      <c r="AG5" s="126">
        <f t="shared" ref="AG5:AG68" si="15">AF5*$E5</f>
        <v>0</v>
      </c>
      <c r="AH5" s="11"/>
      <c r="AI5" s="124">
        <f t="shared" ref="AI5:AI68" si="16">AH5*$E5</f>
        <v>0</v>
      </c>
      <c r="AJ5" s="15"/>
      <c r="AK5" s="124">
        <f t="shared" ref="AK5:AK68" si="17">AJ5*$E5</f>
        <v>0</v>
      </c>
      <c r="AL5" s="15"/>
      <c r="AM5" s="124">
        <f t="shared" ref="AM5:AM68" si="18">AL5*$E5</f>
        <v>0</v>
      </c>
      <c r="AN5" s="16"/>
      <c r="AO5" s="124">
        <f t="shared" ref="AO5:AO68" si="19">AN5*$E5</f>
        <v>0</v>
      </c>
      <c r="AP5" s="15"/>
      <c r="AQ5" s="124">
        <f t="shared" ref="AQ5:AQ68" si="20">AP5*$E5</f>
        <v>0</v>
      </c>
      <c r="AR5" s="15"/>
      <c r="AS5" s="124">
        <f t="shared" ref="AS5:AS68" si="21">AR5*$E5</f>
        <v>0</v>
      </c>
      <c r="AT5" s="17"/>
      <c r="AU5" s="124">
        <f t="shared" ref="AU5:AU68" si="22">AT5*$E5</f>
        <v>0</v>
      </c>
      <c r="AV5" s="15"/>
      <c r="AW5" s="124">
        <f t="shared" ref="AW5:AW68" si="23">AV5*$E5</f>
        <v>0</v>
      </c>
      <c r="AX5" s="15"/>
      <c r="AY5" s="124">
        <f t="shared" ref="AY5:AY68" si="24">AX5*$E5</f>
        <v>0</v>
      </c>
      <c r="AZ5" s="17"/>
      <c r="BA5" s="124">
        <f t="shared" ref="BA5:BA68" si="25">AZ5*$E5</f>
        <v>0</v>
      </c>
      <c r="BB5" s="33"/>
      <c r="BC5" s="124">
        <f t="shared" ref="BC5:BC68" si="26">BB5*$E5</f>
        <v>0</v>
      </c>
      <c r="BD5" s="33"/>
      <c r="BE5" s="124">
        <f t="shared" ref="BE5:BE68" si="27">BD5*$E5</f>
        <v>0</v>
      </c>
      <c r="BF5" s="125">
        <f t="shared" ref="BF5:BF68" si="28">(BD5+BB5+AZ5+AX5+AV5+AT5+AR5+AP5+AN5+AL5+AJ5+AH5)/1</f>
        <v>0</v>
      </c>
      <c r="BG5" s="126">
        <f t="shared" ref="BG5:BG68" si="29">BF5*$E5</f>
        <v>0</v>
      </c>
      <c r="BH5" s="123"/>
      <c r="BI5" s="124">
        <f t="shared" ref="BI5:BI68" si="30">BH5*$E5</f>
        <v>0</v>
      </c>
      <c r="BJ5" s="123"/>
      <c r="BK5" s="124">
        <f t="shared" ref="BK5:BK68" si="31">BJ5*$E5</f>
        <v>0</v>
      </c>
      <c r="BL5" s="123"/>
      <c r="BM5" s="124">
        <f t="shared" ref="BM5:BM68" si="32">BL5*$E5</f>
        <v>0</v>
      </c>
      <c r="BN5" s="123"/>
      <c r="BO5" s="124">
        <f t="shared" ref="BO5:BO68" si="33">BN5*$E5</f>
        <v>0</v>
      </c>
      <c r="BP5" s="123"/>
      <c r="BQ5" s="124">
        <f t="shared" ref="BQ5:BQ68" si="34">BP5*$E5</f>
        <v>0</v>
      </c>
      <c r="BR5" s="123"/>
      <c r="BS5" s="124">
        <f t="shared" ref="BS5:BS68" si="35">BR5*$E5</f>
        <v>0</v>
      </c>
      <c r="BT5" s="123"/>
      <c r="BU5" s="124">
        <f t="shared" ref="BU5:BU68" si="36">BT5*$E5</f>
        <v>0</v>
      </c>
      <c r="BV5" s="123"/>
      <c r="BW5" s="124">
        <f t="shared" ref="BW5:BW68" si="37">BV5*$E5</f>
        <v>0</v>
      </c>
      <c r="BX5" s="123"/>
      <c r="BY5" s="124">
        <f t="shared" ref="BY5:BY68" si="38">BX5*$E5</f>
        <v>0</v>
      </c>
      <c r="BZ5" s="123"/>
      <c r="CA5" s="124">
        <f t="shared" ref="CA5:CA68" si="39">BZ5*$E5</f>
        <v>0</v>
      </c>
      <c r="CB5" s="123"/>
      <c r="CC5" s="124">
        <f t="shared" ref="CC5:CC68" si="40">CB5*$E5</f>
        <v>0</v>
      </c>
      <c r="CD5" s="123"/>
      <c r="CE5" s="124">
        <f t="shared" ref="CE5:CE68" si="41">CD5*$E5</f>
        <v>0</v>
      </c>
      <c r="CF5" s="125">
        <f t="shared" ref="CF5:CF68" si="42">(CD5+CB5+BZ5+BX5+BV5+BT5+BR5+BP5+BN5+BL5+BJ5+BH5)/1</f>
        <v>0</v>
      </c>
      <c r="CG5" s="126">
        <f t="shared" ref="CG5:CG68" si="43">CF5*$E5</f>
        <v>0</v>
      </c>
      <c r="CH5" s="123"/>
      <c r="CI5" s="124">
        <f t="shared" ref="CI5:CI68" si="44">CH5*$E5</f>
        <v>0</v>
      </c>
      <c r="CJ5" s="123"/>
      <c r="CK5" s="124">
        <f t="shared" ref="CK5:CK68" si="45">CJ5*$E5</f>
        <v>0</v>
      </c>
      <c r="CL5" s="123"/>
      <c r="CM5" s="124">
        <f t="shared" ref="CM5:CM68" si="46">CL5*$E5</f>
        <v>0</v>
      </c>
      <c r="CN5" s="123"/>
      <c r="CO5" s="124">
        <f t="shared" ref="CO5:CO68" si="47">CN5*$E5</f>
        <v>0</v>
      </c>
      <c r="CP5" s="123"/>
      <c r="CQ5" s="124">
        <f t="shared" ref="CQ5:CQ68" si="48">CP5*$E5</f>
        <v>0</v>
      </c>
      <c r="CR5" s="123"/>
      <c r="CS5" s="124">
        <f t="shared" ref="CS5:CS68" si="49">CR5*$E5</f>
        <v>0</v>
      </c>
      <c r="CT5" s="123"/>
      <c r="CU5" s="124">
        <f t="shared" ref="CU5:CU68" si="50">CT5*$E5</f>
        <v>0</v>
      </c>
      <c r="CV5" s="123"/>
      <c r="CW5" s="124">
        <f t="shared" ref="CW5:CW68" si="51">CV5*$E5</f>
        <v>0</v>
      </c>
      <c r="CX5" s="123"/>
      <c r="CY5" s="124">
        <f t="shared" ref="CY5:CY68" si="52">CX5*$E5</f>
        <v>0</v>
      </c>
      <c r="CZ5" s="123"/>
      <c r="DA5" s="124">
        <f t="shared" ref="DA5:DA68" si="53">CZ5*$E5</f>
        <v>0</v>
      </c>
      <c r="DB5" s="123"/>
      <c r="DC5" s="124">
        <f t="shared" ref="DC5:DE68" si="54">DB5*$E5</f>
        <v>0</v>
      </c>
      <c r="DD5" s="123"/>
      <c r="DE5" s="124">
        <f t="shared" si="54"/>
        <v>0</v>
      </c>
      <c r="DF5" s="177">
        <f t="shared" si="0"/>
        <v>0</v>
      </c>
      <c r="DG5" s="126">
        <f t="shared" ref="DG5:DG68" si="55">DF5*$E5</f>
        <v>0</v>
      </c>
      <c r="DH5" s="123"/>
      <c r="DI5" s="124">
        <f t="shared" ref="DI5:DI68" si="56">DH5*$E5</f>
        <v>0</v>
      </c>
      <c r="DJ5" s="123"/>
      <c r="DK5" s="124">
        <f t="shared" ref="DK5:DK68" si="57">DJ5*$E5</f>
        <v>0</v>
      </c>
      <c r="DL5" s="123"/>
      <c r="DM5" s="124">
        <f t="shared" ref="DM5:DM68" si="58">DL5*$E5</f>
        <v>0</v>
      </c>
      <c r="DN5" s="123"/>
      <c r="DO5" s="124">
        <f t="shared" ref="DO5:DO68" si="59">DN5*$E5</f>
        <v>0</v>
      </c>
      <c r="DP5" s="123"/>
      <c r="DQ5" s="124">
        <f t="shared" ref="DQ5:DQ68" si="60">DP5*$E5</f>
        <v>0</v>
      </c>
      <c r="DR5" s="123"/>
      <c r="DS5" s="124">
        <f t="shared" ref="DS5:DS68" si="61">DR5*$E5</f>
        <v>0</v>
      </c>
      <c r="DT5" s="123"/>
      <c r="DU5" s="124">
        <f t="shared" ref="DU5:DU68" si="62">DT5*$E5</f>
        <v>0</v>
      </c>
      <c r="DV5" s="123"/>
      <c r="DW5" s="124">
        <f t="shared" ref="DW5:DW68" si="63">DV5*$E5</f>
        <v>0</v>
      </c>
      <c r="DX5" s="123"/>
      <c r="DY5" s="124">
        <f t="shared" ref="DY5:DY68" si="64">DX5*$E5</f>
        <v>0</v>
      </c>
      <c r="DZ5" s="123"/>
      <c r="EA5" s="124">
        <f t="shared" ref="EA5:EA68" si="65">DZ5*$E5</f>
        <v>0</v>
      </c>
      <c r="EB5" s="123"/>
      <c r="EC5" s="124">
        <f t="shared" ref="EC5:EC68" si="66">EB5*$E5</f>
        <v>0</v>
      </c>
      <c r="ED5" s="123"/>
      <c r="EE5" s="124">
        <f t="shared" ref="EE5:EE68" si="67">ED5*$E5</f>
        <v>0</v>
      </c>
      <c r="EF5" s="27">
        <f t="shared" si="1"/>
        <v>0</v>
      </c>
      <c r="EG5" s="124">
        <f t="shared" ref="EG5:EG68" si="68">EF5*$E5</f>
        <v>0</v>
      </c>
    </row>
    <row r="6" spans="1:137" ht="18" customHeight="1" x14ac:dyDescent="0.5">
      <c r="A6" s="117">
        <v>2</v>
      </c>
      <c r="B6" s="122" t="s">
        <v>137</v>
      </c>
      <c r="C6" s="122" t="s">
        <v>233</v>
      </c>
      <c r="D6" s="117">
        <f t="shared" ref="D6:D14" si="69">RANK(DF6,$DF$4:$DF$147)</f>
        <v>21</v>
      </c>
      <c r="E6" s="117">
        <v>1</v>
      </c>
      <c r="F6" s="117" t="s">
        <v>232</v>
      </c>
      <c r="G6" s="117"/>
      <c r="H6" s="123"/>
      <c r="I6" s="124">
        <f t="shared" si="2"/>
        <v>0</v>
      </c>
      <c r="J6" s="123"/>
      <c r="K6" s="124">
        <f t="shared" si="3"/>
        <v>0</v>
      </c>
      <c r="L6" s="123"/>
      <c r="M6" s="124">
        <f t="shared" si="4"/>
        <v>0</v>
      </c>
      <c r="N6" s="123"/>
      <c r="O6" s="124">
        <f t="shared" si="5"/>
        <v>0</v>
      </c>
      <c r="P6" s="123"/>
      <c r="Q6" s="124">
        <f t="shared" si="6"/>
        <v>0</v>
      </c>
      <c r="R6" s="123"/>
      <c r="S6" s="124">
        <f t="shared" si="7"/>
        <v>0</v>
      </c>
      <c r="T6" s="123"/>
      <c r="U6" s="124">
        <f t="shared" si="8"/>
        <v>0</v>
      </c>
      <c r="V6" s="123"/>
      <c r="W6" s="124">
        <f t="shared" si="9"/>
        <v>0</v>
      </c>
      <c r="X6" s="123"/>
      <c r="Y6" s="124">
        <f t="shared" si="10"/>
        <v>0</v>
      </c>
      <c r="Z6" s="123"/>
      <c r="AA6" s="124">
        <f t="shared" si="11"/>
        <v>0</v>
      </c>
      <c r="AB6" s="123"/>
      <c r="AC6" s="124">
        <f t="shared" si="12"/>
        <v>0</v>
      </c>
      <c r="AD6" s="123"/>
      <c r="AE6" s="124">
        <f t="shared" si="13"/>
        <v>0</v>
      </c>
      <c r="AF6" s="125">
        <f t="shared" si="14"/>
        <v>0</v>
      </c>
      <c r="AG6" s="126">
        <f t="shared" si="15"/>
        <v>0</v>
      </c>
      <c r="AH6" s="11"/>
      <c r="AI6" s="124">
        <f t="shared" si="16"/>
        <v>0</v>
      </c>
      <c r="AJ6" s="15"/>
      <c r="AK6" s="124">
        <f t="shared" si="17"/>
        <v>0</v>
      </c>
      <c r="AL6" s="15"/>
      <c r="AM6" s="124">
        <f t="shared" si="18"/>
        <v>0</v>
      </c>
      <c r="AN6" s="16"/>
      <c r="AO6" s="124">
        <f t="shared" si="19"/>
        <v>0</v>
      </c>
      <c r="AP6" s="15"/>
      <c r="AQ6" s="124">
        <f t="shared" si="20"/>
        <v>0</v>
      </c>
      <c r="AR6" s="15"/>
      <c r="AS6" s="124">
        <f t="shared" si="21"/>
        <v>0</v>
      </c>
      <c r="AT6" s="17"/>
      <c r="AU6" s="124">
        <f t="shared" si="22"/>
        <v>0</v>
      </c>
      <c r="AV6" s="15"/>
      <c r="AW6" s="124">
        <f t="shared" si="23"/>
        <v>0</v>
      </c>
      <c r="AX6" s="15"/>
      <c r="AY6" s="124">
        <f t="shared" si="24"/>
        <v>0</v>
      </c>
      <c r="AZ6" s="17"/>
      <c r="BA6" s="124">
        <f t="shared" si="25"/>
        <v>0</v>
      </c>
      <c r="BB6" s="33"/>
      <c r="BC6" s="124">
        <f t="shared" si="26"/>
        <v>0</v>
      </c>
      <c r="BD6" s="33"/>
      <c r="BE6" s="124">
        <f t="shared" si="27"/>
        <v>0</v>
      </c>
      <c r="BF6" s="125">
        <f t="shared" si="28"/>
        <v>0</v>
      </c>
      <c r="BG6" s="126">
        <f t="shared" si="29"/>
        <v>0</v>
      </c>
      <c r="BH6" s="123"/>
      <c r="BI6" s="124">
        <f t="shared" si="30"/>
        <v>0</v>
      </c>
      <c r="BJ6" s="123"/>
      <c r="BK6" s="124">
        <f t="shared" si="31"/>
        <v>0</v>
      </c>
      <c r="BL6" s="123"/>
      <c r="BM6" s="124">
        <f t="shared" si="32"/>
        <v>0</v>
      </c>
      <c r="BN6" s="123"/>
      <c r="BO6" s="124">
        <f t="shared" si="33"/>
        <v>0</v>
      </c>
      <c r="BP6" s="123"/>
      <c r="BQ6" s="124">
        <f t="shared" si="34"/>
        <v>0</v>
      </c>
      <c r="BR6" s="123"/>
      <c r="BS6" s="124">
        <f t="shared" si="35"/>
        <v>0</v>
      </c>
      <c r="BT6" s="123"/>
      <c r="BU6" s="124">
        <f t="shared" si="36"/>
        <v>0</v>
      </c>
      <c r="BV6" s="123"/>
      <c r="BW6" s="124">
        <f t="shared" si="37"/>
        <v>0</v>
      </c>
      <c r="BX6" s="123"/>
      <c r="BY6" s="124">
        <f t="shared" si="38"/>
        <v>0</v>
      </c>
      <c r="BZ6" s="123"/>
      <c r="CA6" s="124">
        <f t="shared" si="39"/>
        <v>0</v>
      </c>
      <c r="CB6" s="123"/>
      <c r="CC6" s="124">
        <f t="shared" si="40"/>
        <v>0</v>
      </c>
      <c r="CD6" s="123"/>
      <c r="CE6" s="124">
        <f t="shared" si="41"/>
        <v>0</v>
      </c>
      <c r="CF6" s="125">
        <f t="shared" si="42"/>
        <v>0</v>
      </c>
      <c r="CG6" s="126">
        <f t="shared" si="43"/>
        <v>0</v>
      </c>
      <c r="CH6" s="123"/>
      <c r="CI6" s="124">
        <f t="shared" si="44"/>
        <v>0</v>
      </c>
      <c r="CJ6" s="123"/>
      <c r="CK6" s="124">
        <f t="shared" si="45"/>
        <v>0</v>
      </c>
      <c r="CL6" s="123"/>
      <c r="CM6" s="124">
        <f t="shared" si="46"/>
        <v>0</v>
      </c>
      <c r="CN6" s="123"/>
      <c r="CO6" s="124">
        <f t="shared" si="47"/>
        <v>0</v>
      </c>
      <c r="CP6" s="123"/>
      <c r="CQ6" s="124">
        <f t="shared" si="48"/>
        <v>0</v>
      </c>
      <c r="CR6" s="123"/>
      <c r="CS6" s="124">
        <f t="shared" si="49"/>
        <v>0</v>
      </c>
      <c r="CT6" s="123"/>
      <c r="CU6" s="124">
        <f t="shared" si="50"/>
        <v>0</v>
      </c>
      <c r="CV6" s="123"/>
      <c r="CW6" s="124">
        <f t="shared" si="51"/>
        <v>0</v>
      </c>
      <c r="CX6" s="123"/>
      <c r="CY6" s="124">
        <f t="shared" si="52"/>
        <v>0</v>
      </c>
      <c r="CZ6" s="123"/>
      <c r="DA6" s="124">
        <f t="shared" si="53"/>
        <v>0</v>
      </c>
      <c r="DB6" s="123"/>
      <c r="DC6" s="124">
        <f t="shared" si="54"/>
        <v>0</v>
      </c>
      <c r="DD6" s="123"/>
      <c r="DE6" s="124">
        <f t="shared" si="54"/>
        <v>0</v>
      </c>
      <c r="DF6" s="177">
        <f t="shared" si="0"/>
        <v>0</v>
      </c>
      <c r="DG6" s="126">
        <f t="shared" si="55"/>
        <v>0</v>
      </c>
      <c r="DH6" s="123"/>
      <c r="DI6" s="124">
        <f t="shared" si="56"/>
        <v>0</v>
      </c>
      <c r="DJ6" s="123"/>
      <c r="DK6" s="124">
        <f t="shared" si="57"/>
        <v>0</v>
      </c>
      <c r="DL6" s="123"/>
      <c r="DM6" s="124">
        <f t="shared" si="58"/>
        <v>0</v>
      </c>
      <c r="DN6" s="123"/>
      <c r="DO6" s="124">
        <f t="shared" si="59"/>
        <v>0</v>
      </c>
      <c r="DP6" s="123"/>
      <c r="DQ6" s="124">
        <f t="shared" si="60"/>
        <v>0</v>
      </c>
      <c r="DR6" s="123"/>
      <c r="DS6" s="124">
        <f t="shared" si="61"/>
        <v>0</v>
      </c>
      <c r="DT6" s="123"/>
      <c r="DU6" s="124">
        <f t="shared" si="62"/>
        <v>0</v>
      </c>
      <c r="DV6" s="123"/>
      <c r="DW6" s="124">
        <f t="shared" si="63"/>
        <v>0</v>
      </c>
      <c r="DX6" s="123"/>
      <c r="DY6" s="124">
        <f t="shared" si="64"/>
        <v>0</v>
      </c>
      <c r="DZ6" s="123"/>
      <c r="EA6" s="124">
        <f t="shared" si="65"/>
        <v>0</v>
      </c>
      <c r="EB6" s="123"/>
      <c r="EC6" s="124">
        <f t="shared" si="66"/>
        <v>0</v>
      </c>
      <c r="ED6" s="123"/>
      <c r="EE6" s="124">
        <f t="shared" si="67"/>
        <v>0</v>
      </c>
      <c r="EF6" s="27">
        <f t="shared" si="1"/>
        <v>0</v>
      </c>
      <c r="EG6" s="124">
        <f t="shared" si="68"/>
        <v>0</v>
      </c>
    </row>
    <row r="7" spans="1:137" ht="18" customHeight="1" x14ac:dyDescent="0.5">
      <c r="A7" s="117">
        <v>3</v>
      </c>
      <c r="B7" s="122" t="s">
        <v>138</v>
      </c>
      <c r="C7" s="122" t="s">
        <v>233</v>
      </c>
      <c r="D7" s="117">
        <f t="shared" si="69"/>
        <v>6</v>
      </c>
      <c r="E7" s="117">
        <v>1</v>
      </c>
      <c r="F7" s="117" t="s">
        <v>232</v>
      </c>
      <c r="G7" s="117">
        <v>1675</v>
      </c>
      <c r="H7" s="123">
        <v>1176</v>
      </c>
      <c r="I7" s="124">
        <f t="shared" si="2"/>
        <v>1176</v>
      </c>
      <c r="J7" s="123">
        <v>1380</v>
      </c>
      <c r="K7" s="124">
        <f t="shared" si="3"/>
        <v>1380</v>
      </c>
      <c r="L7" s="123">
        <v>1716</v>
      </c>
      <c r="M7" s="124">
        <f t="shared" si="4"/>
        <v>1716</v>
      </c>
      <c r="N7" s="123">
        <v>2796</v>
      </c>
      <c r="O7" s="124">
        <f t="shared" si="5"/>
        <v>2796</v>
      </c>
      <c r="P7" s="123">
        <v>1416</v>
      </c>
      <c r="Q7" s="124">
        <f t="shared" si="6"/>
        <v>1416</v>
      </c>
      <c r="R7" s="123">
        <v>1740</v>
      </c>
      <c r="S7" s="124">
        <f t="shared" si="7"/>
        <v>1740</v>
      </c>
      <c r="T7" s="123">
        <v>1308</v>
      </c>
      <c r="U7" s="124">
        <f t="shared" si="8"/>
        <v>1308</v>
      </c>
      <c r="V7" s="123">
        <v>1476</v>
      </c>
      <c r="W7" s="124">
        <f t="shared" si="9"/>
        <v>1476</v>
      </c>
      <c r="X7" s="123">
        <v>1260</v>
      </c>
      <c r="Y7" s="124">
        <f t="shared" si="10"/>
        <v>1260</v>
      </c>
      <c r="Z7" s="123">
        <v>2148</v>
      </c>
      <c r="AA7" s="124">
        <f t="shared" si="11"/>
        <v>2148</v>
      </c>
      <c r="AB7" s="123">
        <v>1620</v>
      </c>
      <c r="AC7" s="124">
        <f t="shared" si="12"/>
        <v>1620</v>
      </c>
      <c r="AD7" s="123">
        <v>3258</v>
      </c>
      <c r="AE7" s="124">
        <f t="shared" si="13"/>
        <v>3258</v>
      </c>
      <c r="AF7" s="125">
        <f t="shared" si="14"/>
        <v>21294</v>
      </c>
      <c r="AG7" s="126">
        <f t="shared" si="15"/>
        <v>21294</v>
      </c>
      <c r="AH7" s="11">
        <v>4020</v>
      </c>
      <c r="AI7" s="124">
        <f t="shared" si="16"/>
        <v>4020</v>
      </c>
      <c r="AJ7" s="15">
        <v>2580</v>
      </c>
      <c r="AK7" s="124">
        <f t="shared" si="17"/>
        <v>2580</v>
      </c>
      <c r="AL7" s="15">
        <v>4392</v>
      </c>
      <c r="AM7" s="124">
        <f t="shared" si="18"/>
        <v>4392</v>
      </c>
      <c r="AN7" s="16">
        <v>1884</v>
      </c>
      <c r="AO7" s="124">
        <f t="shared" si="19"/>
        <v>1884</v>
      </c>
      <c r="AP7" s="15">
        <v>2868</v>
      </c>
      <c r="AQ7" s="124">
        <f t="shared" si="20"/>
        <v>2868</v>
      </c>
      <c r="AR7" s="15">
        <v>2052</v>
      </c>
      <c r="AS7" s="124">
        <f t="shared" si="21"/>
        <v>2052</v>
      </c>
      <c r="AT7" s="17">
        <v>3672</v>
      </c>
      <c r="AU7" s="124">
        <f t="shared" si="22"/>
        <v>3672</v>
      </c>
      <c r="AV7" s="15">
        <v>3984</v>
      </c>
      <c r="AW7" s="124">
        <f t="shared" si="23"/>
        <v>3984</v>
      </c>
      <c r="AX7" s="15">
        <v>1404</v>
      </c>
      <c r="AY7" s="124">
        <f t="shared" si="24"/>
        <v>1404</v>
      </c>
      <c r="AZ7" s="17">
        <v>2760</v>
      </c>
      <c r="BA7" s="124">
        <f t="shared" si="25"/>
        <v>2760</v>
      </c>
      <c r="BB7" s="33">
        <v>3305</v>
      </c>
      <c r="BC7" s="124">
        <f t="shared" si="26"/>
        <v>3305</v>
      </c>
      <c r="BD7" s="33">
        <v>3144</v>
      </c>
      <c r="BE7" s="124">
        <f t="shared" si="27"/>
        <v>3144</v>
      </c>
      <c r="BF7" s="125">
        <f t="shared" si="28"/>
        <v>36065</v>
      </c>
      <c r="BG7" s="126">
        <f t="shared" si="29"/>
        <v>36065</v>
      </c>
      <c r="BH7" s="64">
        <v>4680</v>
      </c>
      <c r="BI7" s="124">
        <f t="shared" si="30"/>
        <v>4680</v>
      </c>
      <c r="BJ7" s="64">
        <v>2868</v>
      </c>
      <c r="BK7" s="124">
        <f t="shared" si="31"/>
        <v>2868</v>
      </c>
      <c r="BL7" s="64">
        <v>4572</v>
      </c>
      <c r="BM7" s="124">
        <f t="shared" si="32"/>
        <v>4572</v>
      </c>
      <c r="BN7" s="64">
        <v>4032</v>
      </c>
      <c r="BO7" s="124">
        <f t="shared" si="33"/>
        <v>4032</v>
      </c>
      <c r="BP7" s="64">
        <v>2760</v>
      </c>
      <c r="BQ7" s="124">
        <f t="shared" si="34"/>
        <v>2760</v>
      </c>
      <c r="BR7" s="65">
        <v>4632</v>
      </c>
      <c r="BS7" s="124">
        <f t="shared" si="35"/>
        <v>4632</v>
      </c>
      <c r="BT7" s="64">
        <v>5772</v>
      </c>
      <c r="BU7" s="124">
        <f t="shared" si="36"/>
        <v>5772</v>
      </c>
      <c r="BV7" s="73">
        <v>4980</v>
      </c>
      <c r="BW7" s="124">
        <f t="shared" si="37"/>
        <v>4980</v>
      </c>
      <c r="BX7" s="67">
        <v>4320</v>
      </c>
      <c r="BY7" s="124">
        <f t="shared" si="38"/>
        <v>4320</v>
      </c>
      <c r="BZ7" s="67">
        <v>4980</v>
      </c>
      <c r="CA7" s="124">
        <f t="shared" si="39"/>
        <v>4980</v>
      </c>
      <c r="CB7" s="69">
        <v>5388</v>
      </c>
      <c r="CC7" s="124">
        <f t="shared" si="40"/>
        <v>5388</v>
      </c>
      <c r="CD7" s="69">
        <v>2832</v>
      </c>
      <c r="CE7" s="124">
        <f t="shared" si="41"/>
        <v>2832</v>
      </c>
      <c r="CF7" s="125">
        <f t="shared" si="42"/>
        <v>51816</v>
      </c>
      <c r="CG7" s="126">
        <f t="shared" si="43"/>
        <v>51816</v>
      </c>
      <c r="CH7" s="123">
        <v>6672</v>
      </c>
      <c r="CI7" s="124">
        <f t="shared" si="44"/>
        <v>6672</v>
      </c>
      <c r="CJ7" s="123">
        <v>4896</v>
      </c>
      <c r="CK7" s="124">
        <f t="shared" si="45"/>
        <v>4896</v>
      </c>
      <c r="CL7" s="123">
        <v>10248</v>
      </c>
      <c r="CM7" s="124">
        <f t="shared" si="46"/>
        <v>10248</v>
      </c>
      <c r="CN7" s="123">
        <v>5028</v>
      </c>
      <c r="CO7" s="124">
        <f t="shared" si="47"/>
        <v>5028</v>
      </c>
      <c r="CP7" s="123">
        <v>3492</v>
      </c>
      <c r="CQ7" s="124">
        <f t="shared" si="48"/>
        <v>3492</v>
      </c>
      <c r="CR7" s="123">
        <v>10224</v>
      </c>
      <c r="CS7" s="124">
        <f t="shared" si="49"/>
        <v>10224</v>
      </c>
      <c r="CT7" s="123">
        <v>8388</v>
      </c>
      <c r="CU7" s="124">
        <f t="shared" si="50"/>
        <v>8388</v>
      </c>
      <c r="CV7" s="123">
        <v>6667</v>
      </c>
      <c r="CW7" s="124">
        <f t="shared" si="51"/>
        <v>6667</v>
      </c>
      <c r="CX7" s="123">
        <v>5072</v>
      </c>
      <c r="CY7" s="124">
        <f t="shared" si="52"/>
        <v>5072</v>
      </c>
      <c r="CZ7" s="123">
        <v>6852</v>
      </c>
      <c r="DA7" s="124">
        <f t="shared" si="53"/>
        <v>6852</v>
      </c>
      <c r="DB7" s="123">
        <v>8076</v>
      </c>
      <c r="DC7" s="124">
        <f t="shared" si="54"/>
        <v>8076</v>
      </c>
      <c r="DD7" s="123">
        <v>11868</v>
      </c>
      <c r="DE7" s="124">
        <f t="shared" si="54"/>
        <v>11868</v>
      </c>
      <c r="DF7" s="177">
        <f t="shared" si="0"/>
        <v>87483</v>
      </c>
      <c r="DG7" s="126">
        <f t="shared" si="55"/>
        <v>87483</v>
      </c>
      <c r="DH7" s="123">
        <v>7308</v>
      </c>
      <c r="DI7" s="124">
        <f t="shared" si="56"/>
        <v>7308</v>
      </c>
      <c r="DJ7" s="123">
        <v>9396</v>
      </c>
      <c r="DK7" s="124">
        <f t="shared" si="57"/>
        <v>9396</v>
      </c>
      <c r="DL7" s="123"/>
      <c r="DM7" s="124">
        <f t="shared" si="58"/>
        <v>0</v>
      </c>
      <c r="DN7" s="123"/>
      <c r="DO7" s="124">
        <f t="shared" si="59"/>
        <v>0</v>
      </c>
      <c r="DP7" s="123"/>
      <c r="DQ7" s="124">
        <f t="shared" si="60"/>
        <v>0</v>
      </c>
      <c r="DR7" s="123"/>
      <c r="DS7" s="124">
        <f t="shared" si="61"/>
        <v>0</v>
      </c>
      <c r="DT7" s="123"/>
      <c r="DU7" s="124">
        <f t="shared" si="62"/>
        <v>0</v>
      </c>
      <c r="DV7" s="123"/>
      <c r="DW7" s="124">
        <f t="shared" si="63"/>
        <v>0</v>
      </c>
      <c r="DX7" s="123"/>
      <c r="DY7" s="124">
        <f t="shared" si="64"/>
        <v>0</v>
      </c>
      <c r="DZ7" s="123"/>
      <c r="EA7" s="124">
        <f t="shared" si="65"/>
        <v>0</v>
      </c>
      <c r="EB7" s="123"/>
      <c r="EC7" s="124">
        <f t="shared" si="66"/>
        <v>0</v>
      </c>
      <c r="ED7" s="123"/>
      <c r="EE7" s="124">
        <f t="shared" si="67"/>
        <v>0</v>
      </c>
      <c r="EF7" s="27">
        <f t="shared" si="1"/>
        <v>16704</v>
      </c>
      <c r="EG7" s="124">
        <f t="shared" si="68"/>
        <v>16704</v>
      </c>
    </row>
    <row r="8" spans="1:137" ht="18" customHeight="1" x14ac:dyDescent="0.5">
      <c r="A8" s="117">
        <v>4</v>
      </c>
      <c r="B8" s="122" t="s">
        <v>139</v>
      </c>
      <c r="C8" s="122" t="s">
        <v>233</v>
      </c>
      <c r="D8" s="117">
        <f t="shared" si="69"/>
        <v>16</v>
      </c>
      <c r="E8" s="117">
        <v>0.6</v>
      </c>
      <c r="F8" s="117" t="s">
        <v>232</v>
      </c>
      <c r="G8" s="117"/>
      <c r="H8" s="123"/>
      <c r="I8" s="124">
        <f t="shared" si="2"/>
        <v>0</v>
      </c>
      <c r="J8" s="123"/>
      <c r="K8" s="124">
        <f t="shared" si="3"/>
        <v>0</v>
      </c>
      <c r="L8" s="123"/>
      <c r="M8" s="124">
        <f t="shared" si="4"/>
        <v>0</v>
      </c>
      <c r="N8" s="123"/>
      <c r="O8" s="124">
        <f t="shared" si="5"/>
        <v>0</v>
      </c>
      <c r="P8" s="123"/>
      <c r="Q8" s="124">
        <f t="shared" si="6"/>
        <v>0</v>
      </c>
      <c r="R8" s="123"/>
      <c r="S8" s="124">
        <f t="shared" si="7"/>
        <v>0</v>
      </c>
      <c r="T8" s="123"/>
      <c r="U8" s="124">
        <f t="shared" si="8"/>
        <v>0</v>
      </c>
      <c r="V8" s="123"/>
      <c r="W8" s="124">
        <f t="shared" si="9"/>
        <v>0</v>
      </c>
      <c r="X8" s="123"/>
      <c r="Y8" s="124">
        <f t="shared" si="10"/>
        <v>0</v>
      </c>
      <c r="Z8" s="123"/>
      <c r="AA8" s="124">
        <f t="shared" si="11"/>
        <v>0</v>
      </c>
      <c r="AB8" s="123"/>
      <c r="AC8" s="124">
        <f t="shared" si="12"/>
        <v>0</v>
      </c>
      <c r="AD8" s="123"/>
      <c r="AE8" s="124">
        <f t="shared" si="13"/>
        <v>0</v>
      </c>
      <c r="AF8" s="125">
        <f t="shared" si="14"/>
        <v>0</v>
      </c>
      <c r="AG8" s="126">
        <f t="shared" si="15"/>
        <v>0</v>
      </c>
      <c r="AH8" s="11">
        <v>612</v>
      </c>
      <c r="AI8" s="124">
        <f t="shared" si="16"/>
        <v>367.2</v>
      </c>
      <c r="AJ8" s="15">
        <v>444</v>
      </c>
      <c r="AK8" s="124">
        <f t="shared" si="17"/>
        <v>266.39999999999998</v>
      </c>
      <c r="AL8" s="15">
        <v>120</v>
      </c>
      <c r="AM8" s="124">
        <f t="shared" si="18"/>
        <v>72</v>
      </c>
      <c r="AN8" s="16">
        <v>216</v>
      </c>
      <c r="AO8" s="124">
        <f t="shared" si="19"/>
        <v>129.6</v>
      </c>
      <c r="AP8" s="15">
        <v>480</v>
      </c>
      <c r="AQ8" s="124">
        <f t="shared" si="20"/>
        <v>288</v>
      </c>
      <c r="AR8" s="15">
        <v>156</v>
      </c>
      <c r="AS8" s="124">
        <f t="shared" si="21"/>
        <v>93.6</v>
      </c>
      <c r="AT8" s="17">
        <v>276</v>
      </c>
      <c r="AU8" s="124">
        <f t="shared" si="22"/>
        <v>165.6</v>
      </c>
      <c r="AV8" s="15">
        <v>420</v>
      </c>
      <c r="AW8" s="124">
        <f t="shared" si="23"/>
        <v>252</v>
      </c>
      <c r="AX8" s="15">
        <v>12</v>
      </c>
      <c r="AY8" s="124">
        <f t="shared" si="24"/>
        <v>7.1999999999999993</v>
      </c>
      <c r="AZ8" s="17"/>
      <c r="BA8" s="124">
        <f t="shared" si="25"/>
        <v>0</v>
      </c>
      <c r="BB8" s="33">
        <v>48</v>
      </c>
      <c r="BC8" s="124">
        <f t="shared" si="26"/>
        <v>28.799999999999997</v>
      </c>
      <c r="BD8" s="33"/>
      <c r="BE8" s="124">
        <f t="shared" si="27"/>
        <v>0</v>
      </c>
      <c r="BF8" s="125">
        <f t="shared" si="28"/>
        <v>2784</v>
      </c>
      <c r="BG8" s="126">
        <f t="shared" si="29"/>
        <v>1670.3999999999999</v>
      </c>
      <c r="BH8" s="63"/>
      <c r="BI8" s="124">
        <f t="shared" si="30"/>
        <v>0</v>
      </c>
      <c r="BJ8" s="67"/>
      <c r="BK8" s="124">
        <f t="shared" si="31"/>
        <v>0</v>
      </c>
      <c r="BL8" s="67"/>
      <c r="BM8" s="124">
        <f t="shared" si="32"/>
        <v>0</v>
      </c>
      <c r="BN8" s="67"/>
      <c r="BO8" s="124">
        <f t="shared" si="33"/>
        <v>0</v>
      </c>
      <c r="BP8" s="67">
        <v>60</v>
      </c>
      <c r="BQ8" s="124">
        <f t="shared" si="34"/>
        <v>36</v>
      </c>
      <c r="BR8" s="65"/>
      <c r="BS8" s="124">
        <f t="shared" si="35"/>
        <v>0</v>
      </c>
      <c r="BT8" s="67"/>
      <c r="BU8" s="124">
        <f t="shared" si="36"/>
        <v>0</v>
      </c>
      <c r="BV8" s="67">
        <v>36</v>
      </c>
      <c r="BW8" s="124">
        <f t="shared" si="37"/>
        <v>21.599999999999998</v>
      </c>
      <c r="BX8" s="67"/>
      <c r="BY8" s="124">
        <f t="shared" si="38"/>
        <v>0</v>
      </c>
      <c r="BZ8" s="67"/>
      <c r="CA8" s="124">
        <f t="shared" si="39"/>
        <v>0</v>
      </c>
      <c r="CB8" s="67"/>
      <c r="CC8" s="124">
        <f t="shared" si="40"/>
        <v>0</v>
      </c>
      <c r="CD8" s="67"/>
      <c r="CE8" s="124">
        <f t="shared" si="41"/>
        <v>0</v>
      </c>
      <c r="CF8" s="125">
        <f t="shared" si="42"/>
        <v>96</v>
      </c>
      <c r="CG8" s="126">
        <f t="shared" si="43"/>
        <v>57.599999999999994</v>
      </c>
      <c r="CH8" s="123"/>
      <c r="CI8" s="124">
        <f t="shared" si="44"/>
        <v>0</v>
      </c>
      <c r="CJ8" s="123"/>
      <c r="CK8" s="124">
        <f t="shared" si="45"/>
        <v>0</v>
      </c>
      <c r="CL8" s="123"/>
      <c r="CM8" s="124">
        <f t="shared" si="46"/>
        <v>0</v>
      </c>
      <c r="CN8" s="123"/>
      <c r="CO8" s="124">
        <f t="shared" si="47"/>
        <v>0</v>
      </c>
      <c r="CP8" s="123"/>
      <c r="CQ8" s="124">
        <f t="shared" si="48"/>
        <v>0</v>
      </c>
      <c r="CR8" s="123">
        <v>480</v>
      </c>
      <c r="CS8" s="124">
        <f t="shared" si="49"/>
        <v>288</v>
      </c>
      <c r="CT8" s="123"/>
      <c r="CU8" s="124">
        <f t="shared" si="50"/>
        <v>0</v>
      </c>
      <c r="CV8" s="123"/>
      <c r="CW8" s="124">
        <f t="shared" si="51"/>
        <v>0</v>
      </c>
      <c r="CX8" s="123"/>
      <c r="CY8" s="124">
        <f t="shared" si="52"/>
        <v>0</v>
      </c>
      <c r="CZ8" s="123"/>
      <c r="DA8" s="124">
        <f t="shared" si="53"/>
        <v>0</v>
      </c>
      <c r="DB8" s="123"/>
      <c r="DC8" s="124">
        <f t="shared" si="54"/>
        <v>0</v>
      </c>
      <c r="DD8" s="123"/>
      <c r="DE8" s="124">
        <f t="shared" si="54"/>
        <v>0</v>
      </c>
      <c r="DF8" s="177">
        <f t="shared" si="0"/>
        <v>480</v>
      </c>
      <c r="DG8" s="126">
        <f t="shared" si="55"/>
        <v>288</v>
      </c>
      <c r="DH8" s="123"/>
      <c r="DI8" s="124">
        <f t="shared" si="56"/>
        <v>0</v>
      </c>
      <c r="DJ8" s="123"/>
      <c r="DK8" s="124">
        <f t="shared" si="57"/>
        <v>0</v>
      </c>
      <c r="DL8" s="123"/>
      <c r="DM8" s="124">
        <f t="shared" si="58"/>
        <v>0</v>
      </c>
      <c r="DN8" s="123"/>
      <c r="DO8" s="124">
        <f t="shared" si="59"/>
        <v>0</v>
      </c>
      <c r="DP8" s="123"/>
      <c r="DQ8" s="124">
        <f t="shared" si="60"/>
        <v>0</v>
      </c>
      <c r="DR8" s="123"/>
      <c r="DS8" s="124">
        <f t="shared" si="61"/>
        <v>0</v>
      </c>
      <c r="DT8" s="123"/>
      <c r="DU8" s="124">
        <f t="shared" si="62"/>
        <v>0</v>
      </c>
      <c r="DV8" s="123"/>
      <c r="DW8" s="124">
        <f t="shared" si="63"/>
        <v>0</v>
      </c>
      <c r="DX8" s="123"/>
      <c r="DY8" s="124">
        <f t="shared" si="64"/>
        <v>0</v>
      </c>
      <c r="DZ8" s="123"/>
      <c r="EA8" s="124">
        <f t="shared" si="65"/>
        <v>0</v>
      </c>
      <c r="EB8" s="123"/>
      <c r="EC8" s="124">
        <f t="shared" si="66"/>
        <v>0</v>
      </c>
      <c r="ED8" s="123"/>
      <c r="EE8" s="124">
        <f t="shared" si="67"/>
        <v>0</v>
      </c>
      <c r="EF8" s="27">
        <f t="shared" si="1"/>
        <v>0</v>
      </c>
      <c r="EG8" s="124">
        <f t="shared" si="68"/>
        <v>0</v>
      </c>
    </row>
    <row r="9" spans="1:137" ht="18" customHeight="1" x14ac:dyDescent="0.5">
      <c r="A9" s="117">
        <v>5</v>
      </c>
      <c r="B9" s="122" t="s">
        <v>140</v>
      </c>
      <c r="C9" s="122" t="s">
        <v>233</v>
      </c>
      <c r="D9" s="117">
        <f t="shared" si="69"/>
        <v>11</v>
      </c>
      <c r="E9" s="117">
        <v>0.35</v>
      </c>
      <c r="F9" s="117" t="s">
        <v>234</v>
      </c>
      <c r="G9" s="117">
        <v>780</v>
      </c>
      <c r="H9" s="123"/>
      <c r="I9" s="124">
        <f t="shared" si="2"/>
        <v>0</v>
      </c>
      <c r="J9" s="123"/>
      <c r="K9" s="124">
        <f t="shared" si="3"/>
        <v>0</v>
      </c>
      <c r="L9" s="123"/>
      <c r="M9" s="124">
        <f t="shared" si="4"/>
        <v>0</v>
      </c>
      <c r="N9" s="123"/>
      <c r="O9" s="124">
        <f t="shared" si="5"/>
        <v>0</v>
      </c>
      <c r="P9" s="123"/>
      <c r="Q9" s="124">
        <f t="shared" si="6"/>
        <v>0</v>
      </c>
      <c r="R9" s="123"/>
      <c r="S9" s="124">
        <f t="shared" si="7"/>
        <v>0</v>
      </c>
      <c r="T9" s="123"/>
      <c r="U9" s="124">
        <f t="shared" si="8"/>
        <v>0</v>
      </c>
      <c r="V9" s="123"/>
      <c r="W9" s="124">
        <f t="shared" si="9"/>
        <v>0</v>
      </c>
      <c r="X9" s="123"/>
      <c r="Y9" s="124">
        <f t="shared" si="10"/>
        <v>0</v>
      </c>
      <c r="Z9" s="123"/>
      <c r="AA9" s="124">
        <f t="shared" si="11"/>
        <v>0</v>
      </c>
      <c r="AB9" s="123"/>
      <c r="AC9" s="124">
        <f t="shared" si="12"/>
        <v>0</v>
      </c>
      <c r="AD9" s="123"/>
      <c r="AE9" s="124">
        <f t="shared" si="13"/>
        <v>0</v>
      </c>
      <c r="AF9" s="125">
        <f t="shared" si="14"/>
        <v>0</v>
      </c>
      <c r="AG9" s="126">
        <f t="shared" si="15"/>
        <v>0</v>
      </c>
      <c r="AH9" s="11"/>
      <c r="AI9" s="124">
        <f t="shared" si="16"/>
        <v>0</v>
      </c>
      <c r="AJ9" s="15"/>
      <c r="AK9" s="124">
        <f t="shared" si="17"/>
        <v>0</v>
      </c>
      <c r="AL9" s="15"/>
      <c r="AM9" s="124">
        <f t="shared" si="18"/>
        <v>0</v>
      </c>
      <c r="AN9" s="16"/>
      <c r="AO9" s="124">
        <f t="shared" si="19"/>
        <v>0</v>
      </c>
      <c r="AP9" s="15"/>
      <c r="AQ9" s="124">
        <f t="shared" si="20"/>
        <v>0</v>
      </c>
      <c r="AR9" s="15"/>
      <c r="AS9" s="124">
        <f t="shared" si="21"/>
        <v>0</v>
      </c>
      <c r="AT9" s="17">
        <v>240</v>
      </c>
      <c r="AU9" s="124">
        <f t="shared" si="22"/>
        <v>84</v>
      </c>
      <c r="AV9" s="15">
        <v>2600</v>
      </c>
      <c r="AW9" s="124">
        <f t="shared" si="23"/>
        <v>909.99999999999989</v>
      </c>
      <c r="AX9" s="15">
        <v>200</v>
      </c>
      <c r="AY9" s="124">
        <f t="shared" si="24"/>
        <v>70</v>
      </c>
      <c r="AZ9" s="17"/>
      <c r="BA9" s="124">
        <f t="shared" si="25"/>
        <v>0</v>
      </c>
      <c r="BB9" s="33">
        <v>1200</v>
      </c>
      <c r="BC9" s="124">
        <f t="shared" si="26"/>
        <v>420</v>
      </c>
      <c r="BD9" s="33"/>
      <c r="BE9" s="124">
        <f t="shared" si="27"/>
        <v>0</v>
      </c>
      <c r="BF9" s="125">
        <f t="shared" si="28"/>
        <v>4240</v>
      </c>
      <c r="BG9" s="126">
        <f t="shared" si="29"/>
        <v>1484</v>
      </c>
      <c r="BH9" s="64">
        <v>280</v>
      </c>
      <c r="BI9" s="124">
        <f t="shared" si="30"/>
        <v>98</v>
      </c>
      <c r="BJ9" s="64"/>
      <c r="BK9" s="124">
        <f t="shared" si="31"/>
        <v>0</v>
      </c>
      <c r="BL9" s="64">
        <v>200</v>
      </c>
      <c r="BM9" s="124">
        <f t="shared" si="32"/>
        <v>70</v>
      </c>
      <c r="BN9" s="64">
        <v>400</v>
      </c>
      <c r="BO9" s="124">
        <f t="shared" si="33"/>
        <v>140</v>
      </c>
      <c r="BP9" s="67"/>
      <c r="BQ9" s="124">
        <f t="shared" si="34"/>
        <v>0</v>
      </c>
      <c r="BR9" s="65">
        <v>1000</v>
      </c>
      <c r="BS9" s="124">
        <f t="shared" si="35"/>
        <v>350</v>
      </c>
      <c r="BT9" s="64">
        <v>1000</v>
      </c>
      <c r="BU9" s="124">
        <f t="shared" si="36"/>
        <v>350</v>
      </c>
      <c r="BV9" s="67">
        <v>200</v>
      </c>
      <c r="BW9" s="124">
        <f t="shared" si="37"/>
        <v>70</v>
      </c>
      <c r="BX9" s="74">
        <v>200</v>
      </c>
      <c r="BY9" s="124">
        <f t="shared" si="38"/>
        <v>70</v>
      </c>
      <c r="BZ9" s="67">
        <v>400</v>
      </c>
      <c r="CA9" s="124">
        <f t="shared" si="39"/>
        <v>140</v>
      </c>
      <c r="CB9" s="67"/>
      <c r="CC9" s="124">
        <f t="shared" si="40"/>
        <v>0</v>
      </c>
      <c r="CD9" s="67">
        <v>800</v>
      </c>
      <c r="CE9" s="124">
        <f t="shared" si="41"/>
        <v>280</v>
      </c>
      <c r="CF9" s="125">
        <f t="shared" si="42"/>
        <v>4480</v>
      </c>
      <c r="CG9" s="126">
        <f t="shared" si="43"/>
        <v>1568</v>
      </c>
      <c r="CH9" s="123">
        <v>600</v>
      </c>
      <c r="CI9" s="124">
        <f t="shared" si="44"/>
        <v>210</v>
      </c>
      <c r="CJ9" s="123"/>
      <c r="CK9" s="124">
        <f t="shared" si="45"/>
        <v>0</v>
      </c>
      <c r="CL9" s="16">
        <v>1000</v>
      </c>
      <c r="CM9" s="124">
        <f t="shared" si="46"/>
        <v>350</v>
      </c>
      <c r="CN9" s="123"/>
      <c r="CO9" s="124">
        <f t="shared" si="47"/>
        <v>0</v>
      </c>
      <c r="CP9" s="123">
        <v>800</v>
      </c>
      <c r="CQ9" s="124">
        <f t="shared" si="48"/>
        <v>280</v>
      </c>
      <c r="CR9" s="123">
        <v>1400</v>
      </c>
      <c r="CS9" s="124">
        <f t="shared" si="49"/>
        <v>489.99999999999994</v>
      </c>
      <c r="CT9" s="123">
        <v>1000</v>
      </c>
      <c r="CU9" s="124">
        <f t="shared" si="50"/>
        <v>350</v>
      </c>
      <c r="CV9" s="123">
        <v>200</v>
      </c>
      <c r="CW9" s="124">
        <f t="shared" si="51"/>
        <v>70</v>
      </c>
      <c r="CX9" s="123">
        <v>400</v>
      </c>
      <c r="CY9" s="124">
        <f t="shared" si="52"/>
        <v>140</v>
      </c>
      <c r="CZ9" s="123">
        <v>400</v>
      </c>
      <c r="DA9" s="124">
        <f t="shared" si="53"/>
        <v>140</v>
      </c>
      <c r="DB9" s="123">
        <v>600</v>
      </c>
      <c r="DC9" s="124">
        <f t="shared" si="54"/>
        <v>210</v>
      </c>
      <c r="DD9" s="123">
        <v>400</v>
      </c>
      <c r="DE9" s="124">
        <f t="shared" si="54"/>
        <v>140</v>
      </c>
      <c r="DF9" s="177">
        <f t="shared" si="0"/>
        <v>6800</v>
      </c>
      <c r="DG9" s="126">
        <f t="shared" si="55"/>
        <v>2380</v>
      </c>
      <c r="DH9" s="123">
        <v>840</v>
      </c>
      <c r="DI9" s="124">
        <f t="shared" si="56"/>
        <v>294</v>
      </c>
      <c r="DJ9" s="123">
        <v>400</v>
      </c>
      <c r="DK9" s="124">
        <f t="shared" si="57"/>
        <v>140</v>
      </c>
      <c r="DL9" s="16"/>
      <c r="DM9" s="124">
        <f t="shared" si="58"/>
        <v>0</v>
      </c>
      <c r="DN9" s="123"/>
      <c r="DO9" s="124">
        <f t="shared" si="59"/>
        <v>0</v>
      </c>
      <c r="DP9" s="123"/>
      <c r="DQ9" s="124">
        <f t="shared" si="60"/>
        <v>0</v>
      </c>
      <c r="DR9" s="123"/>
      <c r="DS9" s="124">
        <f t="shared" si="61"/>
        <v>0</v>
      </c>
      <c r="DT9" s="123"/>
      <c r="DU9" s="124">
        <f t="shared" si="62"/>
        <v>0</v>
      </c>
      <c r="DV9" s="123"/>
      <c r="DW9" s="124">
        <f t="shared" si="63"/>
        <v>0</v>
      </c>
      <c r="DX9" s="123"/>
      <c r="DY9" s="124">
        <f t="shared" si="64"/>
        <v>0</v>
      </c>
      <c r="DZ9" s="123"/>
      <c r="EA9" s="124">
        <f t="shared" si="65"/>
        <v>0</v>
      </c>
      <c r="EB9" s="123"/>
      <c r="EC9" s="124">
        <f t="shared" si="66"/>
        <v>0</v>
      </c>
      <c r="ED9" s="123"/>
      <c r="EE9" s="124">
        <f t="shared" si="67"/>
        <v>0</v>
      </c>
      <c r="EF9" s="27">
        <f t="shared" si="1"/>
        <v>1240</v>
      </c>
      <c r="EG9" s="124">
        <f t="shared" si="68"/>
        <v>434</v>
      </c>
    </row>
    <row r="10" spans="1:137" ht="18" customHeight="1" x14ac:dyDescent="0.5">
      <c r="A10" s="117">
        <v>6</v>
      </c>
      <c r="B10" s="122" t="s">
        <v>141</v>
      </c>
      <c r="C10" s="122" t="s">
        <v>231</v>
      </c>
      <c r="D10" s="117">
        <f t="shared" si="69"/>
        <v>21</v>
      </c>
      <c r="E10" s="117">
        <v>0.7</v>
      </c>
      <c r="F10" s="117" t="s">
        <v>235</v>
      </c>
      <c r="G10" s="117"/>
      <c r="H10" s="123"/>
      <c r="I10" s="124">
        <f t="shared" si="2"/>
        <v>0</v>
      </c>
      <c r="J10" s="123"/>
      <c r="K10" s="124">
        <f t="shared" si="3"/>
        <v>0</v>
      </c>
      <c r="L10" s="123"/>
      <c r="M10" s="124">
        <f t="shared" si="4"/>
        <v>0</v>
      </c>
      <c r="N10" s="123"/>
      <c r="O10" s="124">
        <f t="shared" si="5"/>
        <v>0</v>
      </c>
      <c r="P10" s="123"/>
      <c r="Q10" s="124">
        <f t="shared" si="6"/>
        <v>0</v>
      </c>
      <c r="R10" s="123"/>
      <c r="S10" s="124">
        <f t="shared" si="7"/>
        <v>0</v>
      </c>
      <c r="T10" s="123"/>
      <c r="U10" s="124">
        <f t="shared" si="8"/>
        <v>0</v>
      </c>
      <c r="V10" s="123"/>
      <c r="W10" s="124">
        <f t="shared" si="9"/>
        <v>0</v>
      </c>
      <c r="X10" s="123"/>
      <c r="Y10" s="124">
        <f t="shared" si="10"/>
        <v>0</v>
      </c>
      <c r="Z10" s="123"/>
      <c r="AA10" s="124">
        <f t="shared" si="11"/>
        <v>0</v>
      </c>
      <c r="AB10" s="123"/>
      <c r="AC10" s="124">
        <f t="shared" si="12"/>
        <v>0</v>
      </c>
      <c r="AD10" s="123"/>
      <c r="AE10" s="124">
        <f t="shared" si="13"/>
        <v>0</v>
      </c>
      <c r="AF10" s="125">
        <f t="shared" si="14"/>
        <v>0</v>
      </c>
      <c r="AG10" s="126">
        <f t="shared" si="15"/>
        <v>0</v>
      </c>
      <c r="AH10" s="11"/>
      <c r="AI10" s="124">
        <f t="shared" si="16"/>
        <v>0</v>
      </c>
      <c r="AJ10" s="15"/>
      <c r="AK10" s="124">
        <f t="shared" si="17"/>
        <v>0</v>
      </c>
      <c r="AL10" s="15"/>
      <c r="AM10" s="124">
        <f t="shared" si="18"/>
        <v>0</v>
      </c>
      <c r="AN10" s="16"/>
      <c r="AO10" s="124">
        <f t="shared" si="19"/>
        <v>0</v>
      </c>
      <c r="AP10" s="15"/>
      <c r="AQ10" s="124">
        <f t="shared" si="20"/>
        <v>0</v>
      </c>
      <c r="AR10" s="15"/>
      <c r="AS10" s="124">
        <f t="shared" si="21"/>
        <v>0</v>
      </c>
      <c r="AT10" s="17"/>
      <c r="AU10" s="124">
        <f t="shared" si="22"/>
        <v>0</v>
      </c>
      <c r="AV10" s="15"/>
      <c r="AW10" s="124">
        <f t="shared" si="23"/>
        <v>0</v>
      </c>
      <c r="AX10" s="15"/>
      <c r="AY10" s="124">
        <f t="shared" si="24"/>
        <v>0</v>
      </c>
      <c r="AZ10" s="17"/>
      <c r="BA10" s="124">
        <f t="shared" si="25"/>
        <v>0</v>
      </c>
      <c r="BB10" s="33"/>
      <c r="BC10" s="124">
        <f t="shared" si="26"/>
        <v>0</v>
      </c>
      <c r="BD10" s="33"/>
      <c r="BE10" s="124">
        <f t="shared" si="27"/>
        <v>0</v>
      </c>
      <c r="BF10" s="125">
        <f t="shared" si="28"/>
        <v>0</v>
      </c>
      <c r="BG10" s="126">
        <f t="shared" si="29"/>
        <v>0</v>
      </c>
      <c r="BH10" s="123"/>
      <c r="BI10" s="124">
        <f t="shared" si="30"/>
        <v>0</v>
      </c>
      <c r="BJ10" s="123"/>
      <c r="BK10" s="124">
        <f t="shared" si="31"/>
        <v>0</v>
      </c>
      <c r="BL10" s="123"/>
      <c r="BM10" s="124">
        <f t="shared" si="32"/>
        <v>0</v>
      </c>
      <c r="BN10" s="123"/>
      <c r="BO10" s="124">
        <f t="shared" si="33"/>
        <v>0</v>
      </c>
      <c r="BP10" s="123"/>
      <c r="BQ10" s="124">
        <f t="shared" si="34"/>
        <v>0</v>
      </c>
      <c r="BR10" s="123"/>
      <c r="BS10" s="124">
        <f t="shared" si="35"/>
        <v>0</v>
      </c>
      <c r="BT10" s="123"/>
      <c r="BU10" s="124">
        <f t="shared" si="36"/>
        <v>0</v>
      </c>
      <c r="BV10" s="123"/>
      <c r="BW10" s="124">
        <f t="shared" si="37"/>
        <v>0</v>
      </c>
      <c r="BX10" s="123"/>
      <c r="BY10" s="124">
        <f t="shared" si="38"/>
        <v>0</v>
      </c>
      <c r="BZ10" s="123"/>
      <c r="CA10" s="124">
        <f t="shared" si="39"/>
        <v>0</v>
      </c>
      <c r="CB10" s="123"/>
      <c r="CC10" s="124">
        <f t="shared" si="40"/>
        <v>0</v>
      </c>
      <c r="CD10" s="123"/>
      <c r="CE10" s="124">
        <f t="shared" si="41"/>
        <v>0</v>
      </c>
      <c r="CF10" s="125">
        <f t="shared" si="42"/>
        <v>0</v>
      </c>
      <c r="CG10" s="126">
        <f t="shared" si="43"/>
        <v>0</v>
      </c>
      <c r="CH10" s="123"/>
      <c r="CI10" s="124">
        <f t="shared" si="44"/>
        <v>0</v>
      </c>
      <c r="CJ10" s="123"/>
      <c r="CK10" s="124">
        <f t="shared" si="45"/>
        <v>0</v>
      </c>
      <c r="CL10" s="123"/>
      <c r="CM10" s="124">
        <f t="shared" si="46"/>
        <v>0</v>
      </c>
      <c r="CN10" s="123"/>
      <c r="CO10" s="124">
        <f t="shared" si="47"/>
        <v>0</v>
      </c>
      <c r="CP10" s="123"/>
      <c r="CQ10" s="124">
        <f t="shared" si="48"/>
        <v>0</v>
      </c>
      <c r="CR10" s="123"/>
      <c r="CS10" s="124">
        <f t="shared" si="49"/>
        <v>0</v>
      </c>
      <c r="CT10" s="123"/>
      <c r="CU10" s="124">
        <f t="shared" si="50"/>
        <v>0</v>
      </c>
      <c r="CV10" s="123"/>
      <c r="CW10" s="124">
        <f t="shared" si="51"/>
        <v>0</v>
      </c>
      <c r="CX10" s="123"/>
      <c r="CY10" s="124">
        <f t="shared" si="52"/>
        <v>0</v>
      </c>
      <c r="CZ10" s="123"/>
      <c r="DA10" s="124">
        <f t="shared" si="53"/>
        <v>0</v>
      </c>
      <c r="DB10" s="123"/>
      <c r="DC10" s="124">
        <f t="shared" si="54"/>
        <v>0</v>
      </c>
      <c r="DD10" s="123"/>
      <c r="DE10" s="124">
        <f t="shared" si="54"/>
        <v>0</v>
      </c>
      <c r="DF10" s="177">
        <f t="shared" si="0"/>
        <v>0</v>
      </c>
      <c r="DG10" s="126">
        <f t="shared" si="55"/>
        <v>0</v>
      </c>
      <c r="DH10" s="123"/>
      <c r="DI10" s="124">
        <f t="shared" si="56"/>
        <v>0</v>
      </c>
      <c r="DJ10" s="123"/>
      <c r="DK10" s="124">
        <f t="shared" si="57"/>
        <v>0</v>
      </c>
      <c r="DL10" s="123"/>
      <c r="DM10" s="124">
        <f t="shared" si="58"/>
        <v>0</v>
      </c>
      <c r="DN10" s="123"/>
      <c r="DO10" s="124">
        <f t="shared" si="59"/>
        <v>0</v>
      </c>
      <c r="DP10" s="123"/>
      <c r="DQ10" s="124">
        <f t="shared" si="60"/>
        <v>0</v>
      </c>
      <c r="DR10" s="123"/>
      <c r="DS10" s="124">
        <f t="shared" si="61"/>
        <v>0</v>
      </c>
      <c r="DT10" s="123"/>
      <c r="DU10" s="124">
        <f t="shared" si="62"/>
        <v>0</v>
      </c>
      <c r="DV10" s="123"/>
      <c r="DW10" s="124">
        <f t="shared" si="63"/>
        <v>0</v>
      </c>
      <c r="DX10" s="123"/>
      <c r="DY10" s="124">
        <f t="shared" si="64"/>
        <v>0</v>
      </c>
      <c r="DZ10" s="123"/>
      <c r="EA10" s="124">
        <f t="shared" si="65"/>
        <v>0</v>
      </c>
      <c r="EB10" s="123"/>
      <c r="EC10" s="124">
        <f t="shared" si="66"/>
        <v>0</v>
      </c>
      <c r="ED10" s="123"/>
      <c r="EE10" s="124">
        <f t="shared" si="67"/>
        <v>0</v>
      </c>
      <c r="EF10" s="27">
        <f t="shared" si="1"/>
        <v>0</v>
      </c>
      <c r="EG10" s="124">
        <f t="shared" si="68"/>
        <v>0</v>
      </c>
    </row>
    <row r="11" spans="1:137" ht="18" customHeight="1" x14ac:dyDescent="0.5">
      <c r="A11" s="117">
        <v>7</v>
      </c>
      <c r="B11" s="122" t="s">
        <v>216</v>
      </c>
      <c r="C11" s="122" t="s">
        <v>231</v>
      </c>
      <c r="D11" s="117">
        <f t="shared" si="69"/>
        <v>21</v>
      </c>
      <c r="E11" s="117">
        <v>0.64</v>
      </c>
      <c r="F11" s="117" t="s">
        <v>235</v>
      </c>
      <c r="G11" s="117"/>
      <c r="H11" s="123"/>
      <c r="I11" s="124">
        <f t="shared" si="2"/>
        <v>0</v>
      </c>
      <c r="J11" s="123"/>
      <c r="K11" s="124">
        <f t="shared" si="3"/>
        <v>0</v>
      </c>
      <c r="L11" s="123"/>
      <c r="M11" s="124">
        <f t="shared" si="4"/>
        <v>0</v>
      </c>
      <c r="N11" s="123"/>
      <c r="O11" s="124">
        <f t="shared" si="5"/>
        <v>0</v>
      </c>
      <c r="P11" s="123"/>
      <c r="Q11" s="124">
        <f t="shared" si="6"/>
        <v>0</v>
      </c>
      <c r="R11" s="123"/>
      <c r="S11" s="124">
        <f t="shared" si="7"/>
        <v>0</v>
      </c>
      <c r="T11" s="123"/>
      <c r="U11" s="124">
        <f t="shared" si="8"/>
        <v>0</v>
      </c>
      <c r="V11" s="123"/>
      <c r="W11" s="124">
        <f t="shared" si="9"/>
        <v>0</v>
      </c>
      <c r="X11" s="123"/>
      <c r="Y11" s="124">
        <f t="shared" si="10"/>
        <v>0</v>
      </c>
      <c r="Z11" s="123"/>
      <c r="AA11" s="124">
        <f t="shared" si="11"/>
        <v>0</v>
      </c>
      <c r="AB11" s="123"/>
      <c r="AC11" s="124">
        <f t="shared" si="12"/>
        <v>0</v>
      </c>
      <c r="AD11" s="123"/>
      <c r="AE11" s="124">
        <f t="shared" si="13"/>
        <v>0</v>
      </c>
      <c r="AF11" s="125">
        <f t="shared" si="14"/>
        <v>0</v>
      </c>
      <c r="AG11" s="126">
        <f t="shared" si="15"/>
        <v>0</v>
      </c>
      <c r="AH11" s="11"/>
      <c r="AI11" s="124">
        <f t="shared" si="16"/>
        <v>0</v>
      </c>
      <c r="AJ11" s="15"/>
      <c r="AK11" s="124">
        <f t="shared" si="17"/>
        <v>0</v>
      </c>
      <c r="AL11" s="15"/>
      <c r="AM11" s="124">
        <f t="shared" si="18"/>
        <v>0</v>
      </c>
      <c r="AN11" s="16"/>
      <c r="AO11" s="124">
        <f t="shared" si="19"/>
        <v>0</v>
      </c>
      <c r="AP11" s="15"/>
      <c r="AQ11" s="124">
        <f t="shared" si="20"/>
        <v>0</v>
      </c>
      <c r="AR11" s="15"/>
      <c r="AS11" s="124">
        <f t="shared" si="21"/>
        <v>0</v>
      </c>
      <c r="AT11" s="17"/>
      <c r="AU11" s="124">
        <f t="shared" si="22"/>
        <v>0</v>
      </c>
      <c r="AV11" s="15"/>
      <c r="AW11" s="124">
        <f t="shared" si="23"/>
        <v>0</v>
      </c>
      <c r="AX11" s="15"/>
      <c r="AY11" s="124">
        <f t="shared" si="24"/>
        <v>0</v>
      </c>
      <c r="AZ11" s="17"/>
      <c r="BA11" s="124">
        <f t="shared" si="25"/>
        <v>0</v>
      </c>
      <c r="BB11" s="33"/>
      <c r="BC11" s="124">
        <f t="shared" si="26"/>
        <v>0</v>
      </c>
      <c r="BD11" s="33"/>
      <c r="BE11" s="124">
        <f t="shared" si="27"/>
        <v>0</v>
      </c>
      <c r="BF11" s="125">
        <f t="shared" si="28"/>
        <v>0</v>
      </c>
      <c r="BG11" s="126">
        <f t="shared" si="29"/>
        <v>0</v>
      </c>
      <c r="BH11" s="123"/>
      <c r="BI11" s="124">
        <f t="shared" si="30"/>
        <v>0</v>
      </c>
      <c r="BJ11" s="123"/>
      <c r="BK11" s="124">
        <f t="shared" si="31"/>
        <v>0</v>
      </c>
      <c r="BL11" s="123"/>
      <c r="BM11" s="124">
        <f t="shared" si="32"/>
        <v>0</v>
      </c>
      <c r="BN11" s="123"/>
      <c r="BO11" s="124">
        <f t="shared" si="33"/>
        <v>0</v>
      </c>
      <c r="BP11" s="123"/>
      <c r="BQ11" s="124">
        <f t="shared" si="34"/>
        <v>0</v>
      </c>
      <c r="BR11" s="123"/>
      <c r="BS11" s="124">
        <f t="shared" si="35"/>
        <v>0</v>
      </c>
      <c r="BT11" s="123"/>
      <c r="BU11" s="124">
        <f t="shared" si="36"/>
        <v>0</v>
      </c>
      <c r="BV11" s="123"/>
      <c r="BW11" s="124">
        <f t="shared" si="37"/>
        <v>0</v>
      </c>
      <c r="BX11" s="123"/>
      <c r="BY11" s="124">
        <f t="shared" si="38"/>
        <v>0</v>
      </c>
      <c r="BZ11" s="123"/>
      <c r="CA11" s="124">
        <f t="shared" si="39"/>
        <v>0</v>
      </c>
      <c r="CB11" s="123"/>
      <c r="CC11" s="124">
        <f t="shared" si="40"/>
        <v>0</v>
      </c>
      <c r="CD11" s="123"/>
      <c r="CE11" s="124">
        <f t="shared" si="41"/>
        <v>0</v>
      </c>
      <c r="CF11" s="125">
        <f t="shared" si="42"/>
        <v>0</v>
      </c>
      <c r="CG11" s="126">
        <f t="shared" si="43"/>
        <v>0</v>
      </c>
      <c r="CH11" s="123"/>
      <c r="CI11" s="124">
        <f t="shared" si="44"/>
        <v>0</v>
      </c>
      <c r="CJ11" s="123"/>
      <c r="CK11" s="124">
        <f t="shared" si="45"/>
        <v>0</v>
      </c>
      <c r="CL11" s="123"/>
      <c r="CM11" s="124">
        <f t="shared" si="46"/>
        <v>0</v>
      </c>
      <c r="CN11" s="123"/>
      <c r="CO11" s="124">
        <f t="shared" si="47"/>
        <v>0</v>
      </c>
      <c r="CP11" s="123"/>
      <c r="CQ11" s="124">
        <f t="shared" si="48"/>
        <v>0</v>
      </c>
      <c r="CR11" s="123"/>
      <c r="CS11" s="124">
        <f t="shared" si="49"/>
        <v>0</v>
      </c>
      <c r="CT11" s="123"/>
      <c r="CU11" s="124">
        <f t="shared" si="50"/>
        <v>0</v>
      </c>
      <c r="CV11" s="123"/>
      <c r="CW11" s="124">
        <f t="shared" si="51"/>
        <v>0</v>
      </c>
      <c r="CX11" s="123"/>
      <c r="CY11" s="124">
        <f t="shared" si="52"/>
        <v>0</v>
      </c>
      <c r="CZ11" s="123"/>
      <c r="DA11" s="124">
        <f t="shared" si="53"/>
        <v>0</v>
      </c>
      <c r="DB11" s="123"/>
      <c r="DC11" s="124">
        <f t="shared" si="54"/>
        <v>0</v>
      </c>
      <c r="DD11" s="123"/>
      <c r="DE11" s="124">
        <f t="shared" si="54"/>
        <v>0</v>
      </c>
      <c r="DF11" s="177">
        <f t="shared" si="0"/>
        <v>0</v>
      </c>
      <c r="DG11" s="126">
        <f t="shared" si="55"/>
        <v>0</v>
      </c>
      <c r="DH11" s="123"/>
      <c r="DI11" s="124">
        <f t="shared" si="56"/>
        <v>0</v>
      </c>
      <c r="DJ11" s="123"/>
      <c r="DK11" s="124">
        <f t="shared" si="57"/>
        <v>0</v>
      </c>
      <c r="DL11" s="123"/>
      <c r="DM11" s="124">
        <f t="shared" si="58"/>
        <v>0</v>
      </c>
      <c r="DN11" s="123"/>
      <c r="DO11" s="124">
        <f t="shared" si="59"/>
        <v>0</v>
      </c>
      <c r="DP11" s="123"/>
      <c r="DQ11" s="124">
        <f t="shared" si="60"/>
        <v>0</v>
      </c>
      <c r="DR11" s="123"/>
      <c r="DS11" s="124">
        <f t="shared" si="61"/>
        <v>0</v>
      </c>
      <c r="DT11" s="123"/>
      <c r="DU11" s="124">
        <f t="shared" si="62"/>
        <v>0</v>
      </c>
      <c r="DV11" s="123"/>
      <c r="DW11" s="124">
        <f t="shared" si="63"/>
        <v>0</v>
      </c>
      <c r="DX11" s="123"/>
      <c r="DY11" s="124">
        <f t="shared" si="64"/>
        <v>0</v>
      </c>
      <c r="DZ11" s="123"/>
      <c r="EA11" s="124">
        <f t="shared" si="65"/>
        <v>0</v>
      </c>
      <c r="EB11" s="123"/>
      <c r="EC11" s="124">
        <f t="shared" si="66"/>
        <v>0</v>
      </c>
      <c r="ED11" s="123"/>
      <c r="EE11" s="124">
        <f t="shared" si="67"/>
        <v>0</v>
      </c>
      <c r="EF11" s="27">
        <f t="shared" si="1"/>
        <v>0</v>
      </c>
      <c r="EG11" s="124">
        <f t="shared" si="68"/>
        <v>0</v>
      </c>
    </row>
    <row r="12" spans="1:137" ht="18" customHeight="1" x14ac:dyDescent="0.5">
      <c r="A12" s="117">
        <v>8</v>
      </c>
      <c r="B12" s="122" t="s">
        <v>216</v>
      </c>
      <c r="C12" s="122" t="s">
        <v>231</v>
      </c>
      <c r="D12" s="117">
        <f t="shared" si="69"/>
        <v>3</v>
      </c>
      <c r="E12" s="117">
        <v>0.64</v>
      </c>
      <c r="F12" s="117" t="s">
        <v>236</v>
      </c>
      <c r="G12" s="117">
        <v>1400</v>
      </c>
      <c r="H12" s="123">
        <v>31336</v>
      </c>
      <c r="I12" s="124">
        <f t="shared" si="2"/>
        <v>20055.04</v>
      </c>
      <c r="J12" s="123"/>
      <c r="K12" s="124">
        <f t="shared" si="3"/>
        <v>0</v>
      </c>
      <c r="L12" s="123">
        <v>41174</v>
      </c>
      <c r="M12" s="124">
        <f t="shared" si="4"/>
        <v>26351.360000000001</v>
      </c>
      <c r="N12" s="123">
        <v>37772</v>
      </c>
      <c r="O12" s="124">
        <f t="shared" si="5"/>
        <v>24174.080000000002</v>
      </c>
      <c r="P12" s="123">
        <v>47936</v>
      </c>
      <c r="Q12" s="124">
        <f t="shared" si="6"/>
        <v>30679.040000000001</v>
      </c>
      <c r="R12" s="123">
        <v>35826</v>
      </c>
      <c r="S12" s="124">
        <f t="shared" si="7"/>
        <v>22928.639999999999</v>
      </c>
      <c r="T12" s="123">
        <v>37100</v>
      </c>
      <c r="U12" s="124">
        <f t="shared" si="8"/>
        <v>23744</v>
      </c>
      <c r="V12" s="123">
        <v>51772</v>
      </c>
      <c r="W12" s="124">
        <f t="shared" si="9"/>
        <v>33134.080000000002</v>
      </c>
      <c r="X12" s="123">
        <v>34496</v>
      </c>
      <c r="Y12" s="124">
        <f t="shared" si="10"/>
        <v>22077.439999999999</v>
      </c>
      <c r="Z12" s="123">
        <v>21462</v>
      </c>
      <c r="AA12" s="124">
        <f t="shared" si="11"/>
        <v>13735.68</v>
      </c>
      <c r="AB12" s="123">
        <v>26740</v>
      </c>
      <c r="AC12" s="124">
        <f t="shared" si="12"/>
        <v>17113.599999999999</v>
      </c>
      <c r="AD12" s="123">
        <v>42784</v>
      </c>
      <c r="AE12" s="124">
        <f t="shared" si="13"/>
        <v>27381.760000000002</v>
      </c>
      <c r="AF12" s="125">
        <f t="shared" si="14"/>
        <v>408398</v>
      </c>
      <c r="AG12" s="126">
        <f t="shared" si="15"/>
        <v>261374.72</v>
      </c>
      <c r="AH12" s="11">
        <v>47815</v>
      </c>
      <c r="AI12" s="124">
        <f t="shared" si="16"/>
        <v>30601.600000000002</v>
      </c>
      <c r="AJ12" s="15">
        <v>33572</v>
      </c>
      <c r="AK12" s="124">
        <f t="shared" si="17"/>
        <v>21486.080000000002</v>
      </c>
      <c r="AL12" s="15">
        <v>43638</v>
      </c>
      <c r="AM12" s="124">
        <f t="shared" si="18"/>
        <v>27928.32</v>
      </c>
      <c r="AN12" s="16">
        <v>40964</v>
      </c>
      <c r="AO12" s="124">
        <f t="shared" si="19"/>
        <v>26216.959999999999</v>
      </c>
      <c r="AP12" s="15">
        <v>38962</v>
      </c>
      <c r="AQ12" s="124">
        <f t="shared" si="20"/>
        <v>24935.68</v>
      </c>
      <c r="AR12" s="15">
        <v>38066</v>
      </c>
      <c r="AS12" s="124">
        <f t="shared" si="21"/>
        <v>24362.240000000002</v>
      </c>
      <c r="AT12" s="17">
        <v>34216</v>
      </c>
      <c r="AU12" s="124">
        <f t="shared" si="22"/>
        <v>21898.240000000002</v>
      </c>
      <c r="AV12" s="15">
        <v>63504</v>
      </c>
      <c r="AW12" s="124">
        <f t="shared" si="23"/>
        <v>40642.559999999998</v>
      </c>
      <c r="AX12" s="15">
        <v>29414</v>
      </c>
      <c r="AY12" s="124">
        <f t="shared" si="24"/>
        <v>18824.96</v>
      </c>
      <c r="AZ12" s="17">
        <v>29232</v>
      </c>
      <c r="BA12" s="124">
        <f t="shared" si="25"/>
        <v>18708.48</v>
      </c>
      <c r="BB12" s="33">
        <v>30534</v>
      </c>
      <c r="BC12" s="124">
        <f t="shared" si="26"/>
        <v>19541.760000000002</v>
      </c>
      <c r="BD12" s="33">
        <v>32956</v>
      </c>
      <c r="BE12" s="124">
        <f t="shared" si="27"/>
        <v>21091.84</v>
      </c>
      <c r="BF12" s="125">
        <f t="shared" si="28"/>
        <v>462873</v>
      </c>
      <c r="BG12" s="126">
        <f t="shared" si="29"/>
        <v>296238.72000000003</v>
      </c>
      <c r="BH12" s="64">
        <v>36036</v>
      </c>
      <c r="BI12" s="124">
        <f t="shared" si="30"/>
        <v>23063.040000000001</v>
      </c>
      <c r="BJ12" s="64">
        <v>30366</v>
      </c>
      <c r="BK12" s="124">
        <f t="shared" si="31"/>
        <v>19434.240000000002</v>
      </c>
      <c r="BL12" s="64">
        <v>36890</v>
      </c>
      <c r="BM12" s="124">
        <f t="shared" si="32"/>
        <v>23609.600000000002</v>
      </c>
      <c r="BN12" s="64">
        <v>40880</v>
      </c>
      <c r="BO12" s="124">
        <f t="shared" si="33"/>
        <v>26163.200000000001</v>
      </c>
      <c r="BP12" s="64">
        <v>39648</v>
      </c>
      <c r="BQ12" s="124">
        <f t="shared" si="34"/>
        <v>25374.720000000001</v>
      </c>
      <c r="BR12" s="65">
        <v>37646</v>
      </c>
      <c r="BS12" s="124">
        <f t="shared" si="35"/>
        <v>24093.439999999999</v>
      </c>
      <c r="BT12" s="71">
        <v>44604</v>
      </c>
      <c r="BU12" s="124">
        <f t="shared" si="36"/>
        <v>28546.560000000001</v>
      </c>
      <c r="BV12" s="66">
        <v>43442</v>
      </c>
      <c r="BW12" s="124">
        <f t="shared" si="37"/>
        <v>27802.880000000001</v>
      </c>
      <c r="BX12" s="66">
        <v>27664</v>
      </c>
      <c r="BY12" s="124">
        <f t="shared" si="38"/>
        <v>17704.96</v>
      </c>
      <c r="BZ12" s="66">
        <v>47852</v>
      </c>
      <c r="CA12" s="124">
        <f t="shared" si="39"/>
        <v>30625.279999999999</v>
      </c>
      <c r="CB12" s="69">
        <v>31528</v>
      </c>
      <c r="CC12" s="124">
        <f t="shared" si="40"/>
        <v>20177.920000000002</v>
      </c>
      <c r="CD12" s="69">
        <v>35280</v>
      </c>
      <c r="CE12" s="124">
        <f t="shared" si="41"/>
        <v>22579.200000000001</v>
      </c>
      <c r="CF12" s="125">
        <f t="shared" si="42"/>
        <v>451836</v>
      </c>
      <c r="CG12" s="126">
        <f t="shared" si="43"/>
        <v>289175.03999999998</v>
      </c>
      <c r="CH12" s="123">
        <v>33824</v>
      </c>
      <c r="CI12" s="124">
        <f t="shared" si="44"/>
        <v>21647.360000000001</v>
      </c>
      <c r="CJ12" s="123">
        <v>38360</v>
      </c>
      <c r="CK12" s="124">
        <f t="shared" si="45"/>
        <v>24550.400000000001</v>
      </c>
      <c r="CL12" s="123">
        <v>49336</v>
      </c>
      <c r="CM12" s="124">
        <f t="shared" si="46"/>
        <v>31575.040000000001</v>
      </c>
      <c r="CN12" s="123">
        <v>30996</v>
      </c>
      <c r="CO12" s="124">
        <f t="shared" si="47"/>
        <v>19837.439999999999</v>
      </c>
      <c r="CP12" s="123">
        <v>42126</v>
      </c>
      <c r="CQ12" s="124">
        <f t="shared" si="48"/>
        <v>26960.639999999999</v>
      </c>
      <c r="CR12" s="123">
        <v>28644</v>
      </c>
      <c r="CS12" s="124">
        <f t="shared" si="49"/>
        <v>18332.16</v>
      </c>
      <c r="CT12" s="123">
        <v>42588</v>
      </c>
      <c r="CU12" s="124">
        <f t="shared" si="50"/>
        <v>27256.32</v>
      </c>
      <c r="CV12" s="123">
        <v>33698</v>
      </c>
      <c r="CW12" s="124">
        <f t="shared" si="51"/>
        <v>21566.720000000001</v>
      </c>
      <c r="CX12" s="123">
        <v>32466</v>
      </c>
      <c r="CY12" s="124">
        <f t="shared" si="52"/>
        <v>20778.240000000002</v>
      </c>
      <c r="CZ12" s="123">
        <v>29624</v>
      </c>
      <c r="DA12" s="124">
        <f t="shared" si="53"/>
        <v>18959.36</v>
      </c>
      <c r="DB12" s="123">
        <v>28448</v>
      </c>
      <c r="DC12" s="124">
        <f t="shared" si="54"/>
        <v>18206.72</v>
      </c>
      <c r="DD12" s="123">
        <v>29554</v>
      </c>
      <c r="DE12" s="124">
        <f t="shared" si="54"/>
        <v>18914.560000000001</v>
      </c>
      <c r="DF12" s="177">
        <f t="shared" si="0"/>
        <v>419664</v>
      </c>
      <c r="DG12" s="126">
        <f t="shared" si="55"/>
        <v>268584.96000000002</v>
      </c>
      <c r="DH12" s="123">
        <v>23968</v>
      </c>
      <c r="DI12" s="124">
        <f t="shared" si="56"/>
        <v>15339.52</v>
      </c>
      <c r="DJ12" s="123">
        <v>24696</v>
      </c>
      <c r="DK12" s="124">
        <f t="shared" si="57"/>
        <v>15805.44</v>
      </c>
      <c r="DL12" s="123"/>
      <c r="DM12" s="124">
        <f t="shared" si="58"/>
        <v>0</v>
      </c>
      <c r="DN12" s="123"/>
      <c r="DO12" s="124">
        <f t="shared" si="59"/>
        <v>0</v>
      </c>
      <c r="DP12" s="123"/>
      <c r="DQ12" s="124">
        <f t="shared" si="60"/>
        <v>0</v>
      </c>
      <c r="DR12" s="123"/>
      <c r="DS12" s="124">
        <f t="shared" si="61"/>
        <v>0</v>
      </c>
      <c r="DT12" s="123"/>
      <c r="DU12" s="124">
        <f t="shared" si="62"/>
        <v>0</v>
      </c>
      <c r="DV12" s="123"/>
      <c r="DW12" s="124">
        <f t="shared" si="63"/>
        <v>0</v>
      </c>
      <c r="DX12" s="123"/>
      <c r="DY12" s="124">
        <f t="shared" si="64"/>
        <v>0</v>
      </c>
      <c r="DZ12" s="123"/>
      <c r="EA12" s="124">
        <f t="shared" si="65"/>
        <v>0</v>
      </c>
      <c r="EB12" s="123"/>
      <c r="EC12" s="124">
        <f t="shared" si="66"/>
        <v>0</v>
      </c>
      <c r="ED12" s="123"/>
      <c r="EE12" s="124">
        <f t="shared" si="67"/>
        <v>0</v>
      </c>
      <c r="EF12" s="27">
        <f t="shared" si="1"/>
        <v>48664</v>
      </c>
      <c r="EG12" s="124">
        <f t="shared" si="68"/>
        <v>31144.959999999999</v>
      </c>
    </row>
    <row r="13" spans="1:137" ht="18" customHeight="1" x14ac:dyDescent="0.5">
      <c r="A13" s="117">
        <v>9</v>
      </c>
      <c r="B13" s="122" t="s">
        <v>216</v>
      </c>
      <c r="C13" s="122" t="s">
        <v>231</v>
      </c>
      <c r="D13" s="117">
        <f t="shared" si="69"/>
        <v>21</v>
      </c>
      <c r="E13" s="117">
        <v>0.64</v>
      </c>
      <c r="F13" s="117" t="s">
        <v>232</v>
      </c>
      <c r="G13" s="117"/>
      <c r="H13" s="123"/>
      <c r="I13" s="124">
        <f t="shared" si="2"/>
        <v>0</v>
      </c>
      <c r="J13" s="123"/>
      <c r="K13" s="124">
        <f t="shared" si="3"/>
        <v>0</v>
      </c>
      <c r="L13" s="123"/>
      <c r="M13" s="124">
        <f t="shared" si="4"/>
        <v>0</v>
      </c>
      <c r="N13" s="123"/>
      <c r="O13" s="124">
        <f t="shared" si="5"/>
        <v>0</v>
      </c>
      <c r="P13" s="123"/>
      <c r="Q13" s="124">
        <f t="shared" si="6"/>
        <v>0</v>
      </c>
      <c r="R13" s="123"/>
      <c r="S13" s="124">
        <f t="shared" si="7"/>
        <v>0</v>
      </c>
      <c r="T13" s="123"/>
      <c r="U13" s="124">
        <f t="shared" si="8"/>
        <v>0</v>
      </c>
      <c r="V13" s="123"/>
      <c r="W13" s="124">
        <f t="shared" si="9"/>
        <v>0</v>
      </c>
      <c r="X13" s="123"/>
      <c r="Y13" s="124">
        <f t="shared" si="10"/>
        <v>0</v>
      </c>
      <c r="Z13" s="123"/>
      <c r="AA13" s="124">
        <f t="shared" si="11"/>
        <v>0</v>
      </c>
      <c r="AB13" s="123"/>
      <c r="AC13" s="124">
        <f t="shared" si="12"/>
        <v>0</v>
      </c>
      <c r="AD13" s="123"/>
      <c r="AE13" s="124">
        <f t="shared" si="13"/>
        <v>0</v>
      </c>
      <c r="AF13" s="125">
        <f t="shared" si="14"/>
        <v>0</v>
      </c>
      <c r="AG13" s="126">
        <f t="shared" si="15"/>
        <v>0</v>
      </c>
      <c r="AH13" s="11"/>
      <c r="AI13" s="124">
        <f t="shared" si="16"/>
        <v>0</v>
      </c>
      <c r="AJ13" s="15"/>
      <c r="AK13" s="124">
        <f t="shared" si="17"/>
        <v>0</v>
      </c>
      <c r="AL13" s="15"/>
      <c r="AM13" s="124">
        <f t="shared" si="18"/>
        <v>0</v>
      </c>
      <c r="AN13" s="16"/>
      <c r="AO13" s="124">
        <f t="shared" si="19"/>
        <v>0</v>
      </c>
      <c r="AP13" s="15"/>
      <c r="AQ13" s="124">
        <f t="shared" si="20"/>
        <v>0</v>
      </c>
      <c r="AR13" s="15"/>
      <c r="AS13" s="124">
        <f t="shared" si="21"/>
        <v>0</v>
      </c>
      <c r="AT13" s="17"/>
      <c r="AU13" s="124">
        <f t="shared" si="22"/>
        <v>0</v>
      </c>
      <c r="AV13" s="15"/>
      <c r="AW13" s="124">
        <f t="shared" si="23"/>
        <v>0</v>
      </c>
      <c r="AX13" s="15"/>
      <c r="AY13" s="124">
        <f t="shared" si="24"/>
        <v>0</v>
      </c>
      <c r="AZ13" s="17"/>
      <c r="BA13" s="124">
        <f t="shared" si="25"/>
        <v>0</v>
      </c>
      <c r="BB13" s="33"/>
      <c r="BC13" s="124">
        <f t="shared" si="26"/>
        <v>0</v>
      </c>
      <c r="BD13" s="33"/>
      <c r="BE13" s="124">
        <f t="shared" si="27"/>
        <v>0</v>
      </c>
      <c r="BF13" s="125">
        <f t="shared" si="28"/>
        <v>0</v>
      </c>
      <c r="BG13" s="126">
        <f t="shared" si="29"/>
        <v>0</v>
      </c>
      <c r="BH13" s="123"/>
      <c r="BI13" s="124">
        <f t="shared" si="30"/>
        <v>0</v>
      </c>
      <c r="BJ13" s="123"/>
      <c r="BK13" s="124">
        <f t="shared" si="31"/>
        <v>0</v>
      </c>
      <c r="BL13" s="123"/>
      <c r="BM13" s="124">
        <f t="shared" si="32"/>
        <v>0</v>
      </c>
      <c r="BN13" s="123"/>
      <c r="BO13" s="124">
        <f t="shared" si="33"/>
        <v>0</v>
      </c>
      <c r="BP13" s="123"/>
      <c r="BQ13" s="124">
        <f t="shared" si="34"/>
        <v>0</v>
      </c>
      <c r="BR13" s="123"/>
      <c r="BS13" s="124">
        <f t="shared" si="35"/>
        <v>0</v>
      </c>
      <c r="BT13" s="123"/>
      <c r="BU13" s="124">
        <f t="shared" si="36"/>
        <v>0</v>
      </c>
      <c r="BV13" s="123"/>
      <c r="BW13" s="124">
        <f t="shared" si="37"/>
        <v>0</v>
      </c>
      <c r="BX13" s="123"/>
      <c r="BY13" s="124">
        <f t="shared" si="38"/>
        <v>0</v>
      </c>
      <c r="BZ13" s="123"/>
      <c r="CA13" s="124">
        <f t="shared" si="39"/>
        <v>0</v>
      </c>
      <c r="CB13" s="123"/>
      <c r="CC13" s="124">
        <f t="shared" si="40"/>
        <v>0</v>
      </c>
      <c r="CD13" s="123"/>
      <c r="CE13" s="124">
        <f t="shared" si="41"/>
        <v>0</v>
      </c>
      <c r="CF13" s="125">
        <f t="shared" si="42"/>
        <v>0</v>
      </c>
      <c r="CG13" s="126">
        <f t="shared" si="43"/>
        <v>0</v>
      </c>
      <c r="CH13" s="123"/>
      <c r="CI13" s="124">
        <f t="shared" si="44"/>
        <v>0</v>
      </c>
      <c r="CJ13" s="123"/>
      <c r="CK13" s="124">
        <f t="shared" si="45"/>
        <v>0</v>
      </c>
      <c r="CL13" s="123"/>
      <c r="CM13" s="124">
        <f t="shared" si="46"/>
        <v>0</v>
      </c>
      <c r="CN13" s="123"/>
      <c r="CO13" s="124">
        <f t="shared" si="47"/>
        <v>0</v>
      </c>
      <c r="CP13" s="123"/>
      <c r="CQ13" s="124">
        <f t="shared" si="48"/>
        <v>0</v>
      </c>
      <c r="CR13" s="123"/>
      <c r="CS13" s="124">
        <f t="shared" si="49"/>
        <v>0</v>
      </c>
      <c r="CT13" s="123"/>
      <c r="CU13" s="124">
        <f t="shared" si="50"/>
        <v>0</v>
      </c>
      <c r="CV13" s="123"/>
      <c r="CW13" s="124">
        <f t="shared" si="51"/>
        <v>0</v>
      </c>
      <c r="CX13" s="123"/>
      <c r="CY13" s="124">
        <f t="shared" si="52"/>
        <v>0</v>
      </c>
      <c r="CZ13" s="123"/>
      <c r="DA13" s="124">
        <f t="shared" si="53"/>
        <v>0</v>
      </c>
      <c r="DB13" s="123"/>
      <c r="DC13" s="124">
        <f t="shared" si="54"/>
        <v>0</v>
      </c>
      <c r="DD13" s="123"/>
      <c r="DE13" s="124">
        <f t="shared" si="54"/>
        <v>0</v>
      </c>
      <c r="DF13" s="177">
        <f t="shared" si="0"/>
        <v>0</v>
      </c>
      <c r="DG13" s="126">
        <f t="shared" si="55"/>
        <v>0</v>
      </c>
      <c r="DH13" s="123"/>
      <c r="DI13" s="124">
        <f t="shared" si="56"/>
        <v>0</v>
      </c>
      <c r="DJ13" s="123"/>
      <c r="DK13" s="124">
        <f t="shared" si="57"/>
        <v>0</v>
      </c>
      <c r="DL13" s="123"/>
      <c r="DM13" s="124">
        <f t="shared" si="58"/>
        <v>0</v>
      </c>
      <c r="DN13" s="123"/>
      <c r="DO13" s="124">
        <f t="shared" si="59"/>
        <v>0</v>
      </c>
      <c r="DP13" s="123"/>
      <c r="DQ13" s="124">
        <f t="shared" si="60"/>
        <v>0</v>
      </c>
      <c r="DR13" s="123"/>
      <c r="DS13" s="124">
        <f t="shared" si="61"/>
        <v>0</v>
      </c>
      <c r="DT13" s="123"/>
      <c r="DU13" s="124">
        <f t="shared" si="62"/>
        <v>0</v>
      </c>
      <c r="DV13" s="123"/>
      <c r="DW13" s="124">
        <f t="shared" si="63"/>
        <v>0</v>
      </c>
      <c r="DX13" s="123"/>
      <c r="DY13" s="124">
        <f t="shared" si="64"/>
        <v>0</v>
      </c>
      <c r="DZ13" s="123"/>
      <c r="EA13" s="124">
        <f t="shared" si="65"/>
        <v>0</v>
      </c>
      <c r="EB13" s="123"/>
      <c r="EC13" s="124">
        <f t="shared" si="66"/>
        <v>0</v>
      </c>
      <c r="ED13" s="123"/>
      <c r="EE13" s="124">
        <f t="shared" si="67"/>
        <v>0</v>
      </c>
      <c r="EF13" s="27">
        <f t="shared" si="1"/>
        <v>0</v>
      </c>
      <c r="EG13" s="124">
        <f t="shared" si="68"/>
        <v>0</v>
      </c>
    </row>
    <row r="14" spans="1:137" ht="18" customHeight="1" x14ac:dyDescent="0.5">
      <c r="A14" s="117">
        <v>10</v>
      </c>
      <c r="B14" s="122" t="s">
        <v>142</v>
      </c>
      <c r="C14" s="122" t="s">
        <v>231</v>
      </c>
      <c r="D14" s="117">
        <f t="shared" si="69"/>
        <v>21</v>
      </c>
      <c r="E14" s="117">
        <v>0.64</v>
      </c>
      <c r="F14" s="117" t="s">
        <v>236</v>
      </c>
      <c r="G14" s="117"/>
      <c r="H14" s="123"/>
      <c r="I14" s="124">
        <f t="shared" si="2"/>
        <v>0</v>
      </c>
      <c r="J14" s="123"/>
      <c r="K14" s="124">
        <f t="shared" si="3"/>
        <v>0</v>
      </c>
      <c r="L14" s="123"/>
      <c r="M14" s="124">
        <f t="shared" si="4"/>
        <v>0</v>
      </c>
      <c r="N14" s="123"/>
      <c r="O14" s="124">
        <f t="shared" si="5"/>
        <v>0</v>
      </c>
      <c r="P14" s="123"/>
      <c r="Q14" s="124">
        <f t="shared" si="6"/>
        <v>0</v>
      </c>
      <c r="R14" s="123"/>
      <c r="S14" s="124">
        <f t="shared" si="7"/>
        <v>0</v>
      </c>
      <c r="T14" s="123"/>
      <c r="U14" s="124">
        <f t="shared" si="8"/>
        <v>0</v>
      </c>
      <c r="V14" s="123"/>
      <c r="W14" s="124">
        <f t="shared" si="9"/>
        <v>0</v>
      </c>
      <c r="X14" s="123"/>
      <c r="Y14" s="124">
        <f t="shared" si="10"/>
        <v>0</v>
      </c>
      <c r="Z14" s="123"/>
      <c r="AA14" s="124">
        <f t="shared" si="11"/>
        <v>0</v>
      </c>
      <c r="AB14" s="123"/>
      <c r="AC14" s="124">
        <f t="shared" si="12"/>
        <v>0</v>
      </c>
      <c r="AD14" s="123"/>
      <c r="AE14" s="124">
        <f t="shared" si="13"/>
        <v>0</v>
      </c>
      <c r="AF14" s="125">
        <f t="shared" si="14"/>
        <v>0</v>
      </c>
      <c r="AG14" s="126">
        <f t="shared" si="15"/>
        <v>0</v>
      </c>
      <c r="AH14" s="11"/>
      <c r="AI14" s="124">
        <f t="shared" si="16"/>
        <v>0</v>
      </c>
      <c r="AJ14" s="15"/>
      <c r="AK14" s="124">
        <f t="shared" si="17"/>
        <v>0</v>
      </c>
      <c r="AL14" s="15"/>
      <c r="AM14" s="124">
        <f t="shared" si="18"/>
        <v>0</v>
      </c>
      <c r="AN14" s="16"/>
      <c r="AO14" s="124">
        <f t="shared" si="19"/>
        <v>0</v>
      </c>
      <c r="AP14" s="15"/>
      <c r="AQ14" s="124">
        <f t="shared" si="20"/>
        <v>0</v>
      </c>
      <c r="AR14" s="15"/>
      <c r="AS14" s="124">
        <f t="shared" si="21"/>
        <v>0</v>
      </c>
      <c r="AT14" s="17"/>
      <c r="AU14" s="124">
        <f t="shared" si="22"/>
        <v>0</v>
      </c>
      <c r="AV14" s="15"/>
      <c r="AW14" s="124">
        <f t="shared" si="23"/>
        <v>0</v>
      </c>
      <c r="AX14" s="15"/>
      <c r="AY14" s="124">
        <f t="shared" si="24"/>
        <v>0</v>
      </c>
      <c r="AZ14" s="17"/>
      <c r="BA14" s="124">
        <f t="shared" si="25"/>
        <v>0</v>
      </c>
      <c r="BB14" s="33"/>
      <c r="BC14" s="124">
        <f t="shared" si="26"/>
        <v>0</v>
      </c>
      <c r="BD14" s="33"/>
      <c r="BE14" s="124">
        <f t="shared" si="27"/>
        <v>0</v>
      </c>
      <c r="BF14" s="125">
        <f t="shared" si="28"/>
        <v>0</v>
      </c>
      <c r="BG14" s="126">
        <f t="shared" si="29"/>
        <v>0</v>
      </c>
      <c r="BH14" s="123"/>
      <c r="BI14" s="124">
        <f t="shared" si="30"/>
        <v>0</v>
      </c>
      <c r="BJ14" s="123"/>
      <c r="BK14" s="124">
        <f t="shared" si="31"/>
        <v>0</v>
      </c>
      <c r="BL14" s="123"/>
      <c r="BM14" s="124">
        <f t="shared" si="32"/>
        <v>0</v>
      </c>
      <c r="BN14" s="123"/>
      <c r="BO14" s="124">
        <f t="shared" si="33"/>
        <v>0</v>
      </c>
      <c r="BP14" s="123"/>
      <c r="BQ14" s="124">
        <f t="shared" si="34"/>
        <v>0</v>
      </c>
      <c r="BR14" s="123"/>
      <c r="BS14" s="124">
        <f t="shared" si="35"/>
        <v>0</v>
      </c>
      <c r="BT14" s="123"/>
      <c r="BU14" s="124">
        <f t="shared" si="36"/>
        <v>0</v>
      </c>
      <c r="BV14" s="123"/>
      <c r="BW14" s="124">
        <f t="shared" si="37"/>
        <v>0</v>
      </c>
      <c r="BX14" s="123"/>
      <c r="BY14" s="124">
        <f t="shared" si="38"/>
        <v>0</v>
      </c>
      <c r="BZ14" s="123"/>
      <c r="CA14" s="124">
        <f t="shared" si="39"/>
        <v>0</v>
      </c>
      <c r="CB14" s="123"/>
      <c r="CC14" s="124">
        <f t="shared" si="40"/>
        <v>0</v>
      </c>
      <c r="CD14" s="123"/>
      <c r="CE14" s="124">
        <f t="shared" si="41"/>
        <v>0</v>
      </c>
      <c r="CF14" s="125">
        <f t="shared" si="42"/>
        <v>0</v>
      </c>
      <c r="CG14" s="126">
        <f t="shared" si="43"/>
        <v>0</v>
      </c>
      <c r="CH14" s="123"/>
      <c r="CI14" s="124">
        <f t="shared" si="44"/>
        <v>0</v>
      </c>
      <c r="CJ14" s="123"/>
      <c r="CK14" s="124">
        <f t="shared" si="45"/>
        <v>0</v>
      </c>
      <c r="CL14" s="123"/>
      <c r="CM14" s="124">
        <f t="shared" si="46"/>
        <v>0</v>
      </c>
      <c r="CN14" s="123"/>
      <c r="CO14" s="124">
        <f t="shared" si="47"/>
        <v>0</v>
      </c>
      <c r="CP14" s="123"/>
      <c r="CQ14" s="124">
        <f t="shared" si="48"/>
        <v>0</v>
      </c>
      <c r="CR14" s="123"/>
      <c r="CS14" s="124">
        <f t="shared" si="49"/>
        <v>0</v>
      </c>
      <c r="CT14" s="123"/>
      <c r="CU14" s="124">
        <f t="shared" si="50"/>
        <v>0</v>
      </c>
      <c r="CV14" s="123"/>
      <c r="CW14" s="124">
        <f t="shared" si="51"/>
        <v>0</v>
      </c>
      <c r="CX14" s="123"/>
      <c r="CY14" s="124">
        <f t="shared" si="52"/>
        <v>0</v>
      </c>
      <c r="CZ14" s="123"/>
      <c r="DA14" s="124">
        <f t="shared" si="53"/>
        <v>0</v>
      </c>
      <c r="DB14" s="123"/>
      <c r="DC14" s="124">
        <f t="shared" si="54"/>
        <v>0</v>
      </c>
      <c r="DD14" s="123"/>
      <c r="DE14" s="124">
        <f t="shared" si="54"/>
        <v>0</v>
      </c>
      <c r="DF14" s="177">
        <f t="shared" si="0"/>
        <v>0</v>
      </c>
      <c r="DG14" s="126">
        <f t="shared" si="55"/>
        <v>0</v>
      </c>
      <c r="DH14" s="123"/>
      <c r="DI14" s="124">
        <f t="shared" si="56"/>
        <v>0</v>
      </c>
      <c r="DJ14" s="123"/>
      <c r="DK14" s="124">
        <f t="shared" si="57"/>
        <v>0</v>
      </c>
      <c r="DL14" s="123"/>
      <c r="DM14" s="124">
        <f t="shared" si="58"/>
        <v>0</v>
      </c>
      <c r="DN14" s="123"/>
      <c r="DO14" s="124">
        <f t="shared" si="59"/>
        <v>0</v>
      </c>
      <c r="DP14" s="123"/>
      <c r="DQ14" s="124">
        <f t="shared" si="60"/>
        <v>0</v>
      </c>
      <c r="DR14" s="123"/>
      <c r="DS14" s="124">
        <f t="shared" si="61"/>
        <v>0</v>
      </c>
      <c r="DT14" s="123"/>
      <c r="DU14" s="124">
        <f t="shared" si="62"/>
        <v>0</v>
      </c>
      <c r="DV14" s="123"/>
      <c r="DW14" s="124">
        <f t="shared" si="63"/>
        <v>0</v>
      </c>
      <c r="DX14" s="123"/>
      <c r="DY14" s="124">
        <f t="shared" si="64"/>
        <v>0</v>
      </c>
      <c r="DZ14" s="123"/>
      <c r="EA14" s="124">
        <f t="shared" si="65"/>
        <v>0</v>
      </c>
      <c r="EB14" s="123"/>
      <c r="EC14" s="124">
        <f t="shared" si="66"/>
        <v>0</v>
      </c>
      <c r="ED14" s="123"/>
      <c r="EE14" s="124">
        <f t="shared" si="67"/>
        <v>0</v>
      </c>
      <c r="EF14" s="27">
        <f t="shared" si="1"/>
        <v>0</v>
      </c>
      <c r="EG14" s="124">
        <f t="shared" si="68"/>
        <v>0</v>
      </c>
    </row>
    <row r="15" spans="1:137" ht="18" customHeight="1" x14ac:dyDescent="0.5">
      <c r="A15" s="117"/>
      <c r="B15" s="122"/>
      <c r="C15" s="122"/>
      <c r="D15" s="117"/>
      <c r="E15" s="117"/>
      <c r="F15" s="117"/>
      <c r="G15" s="117"/>
      <c r="H15" s="123"/>
      <c r="I15" s="124">
        <f t="shared" si="2"/>
        <v>0</v>
      </c>
      <c r="J15" s="123"/>
      <c r="K15" s="124">
        <f t="shared" si="3"/>
        <v>0</v>
      </c>
      <c r="L15" s="123"/>
      <c r="M15" s="124">
        <f t="shared" si="4"/>
        <v>0</v>
      </c>
      <c r="N15" s="123"/>
      <c r="O15" s="124">
        <f t="shared" si="5"/>
        <v>0</v>
      </c>
      <c r="P15" s="123"/>
      <c r="Q15" s="124">
        <f t="shared" si="6"/>
        <v>0</v>
      </c>
      <c r="R15" s="123"/>
      <c r="S15" s="124">
        <f t="shared" si="7"/>
        <v>0</v>
      </c>
      <c r="T15" s="123"/>
      <c r="U15" s="124">
        <f t="shared" si="8"/>
        <v>0</v>
      </c>
      <c r="V15" s="123"/>
      <c r="W15" s="124">
        <f t="shared" si="9"/>
        <v>0</v>
      </c>
      <c r="X15" s="123"/>
      <c r="Y15" s="124">
        <f t="shared" si="10"/>
        <v>0</v>
      </c>
      <c r="Z15" s="123"/>
      <c r="AA15" s="124">
        <f t="shared" si="11"/>
        <v>0</v>
      </c>
      <c r="AB15" s="123"/>
      <c r="AC15" s="124">
        <f t="shared" si="12"/>
        <v>0</v>
      </c>
      <c r="AD15" s="123"/>
      <c r="AE15" s="124">
        <f t="shared" si="13"/>
        <v>0</v>
      </c>
      <c r="AF15" s="125">
        <f t="shared" si="14"/>
        <v>0</v>
      </c>
      <c r="AG15" s="126">
        <f t="shared" si="15"/>
        <v>0</v>
      </c>
      <c r="AH15" s="11"/>
      <c r="AI15" s="124">
        <f t="shared" si="16"/>
        <v>0</v>
      </c>
      <c r="AJ15" s="15"/>
      <c r="AK15" s="124">
        <f t="shared" si="17"/>
        <v>0</v>
      </c>
      <c r="AL15" s="15"/>
      <c r="AM15" s="124">
        <f t="shared" si="18"/>
        <v>0</v>
      </c>
      <c r="AN15" s="16"/>
      <c r="AO15" s="124">
        <f t="shared" si="19"/>
        <v>0</v>
      </c>
      <c r="AP15" s="15"/>
      <c r="AQ15" s="124">
        <f t="shared" si="20"/>
        <v>0</v>
      </c>
      <c r="AR15" s="15"/>
      <c r="AS15" s="124">
        <f t="shared" si="21"/>
        <v>0</v>
      </c>
      <c r="AT15" s="17"/>
      <c r="AU15" s="124">
        <f t="shared" si="22"/>
        <v>0</v>
      </c>
      <c r="AV15" s="15"/>
      <c r="AW15" s="124">
        <f t="shared" si="23"/>
        <v>0</v>
      </c>
      <c r="AX15" s="15"/>
      <c r="AY15" s="124">
        <f t="shared" si="24"/>
        <v>0</v>
      </c>
      <c r="AZ15" s="17"/>
      <c r="BA15" s="124">
        <f t="shared" si="25"/>
        <v>0</v>
      </c>
      <c r="BB15" s="33"/>
      <c r="BC15" s="124">
        <f t="shared" si="26"/>
        <v>0</v>
      </c>
      <c r="BD15" s="33"/>
      <c r="BE15" s="124">
        <f t="shared" si="27"/>
        <v>0</v>
      </c>
      <c r="BF15" s="125">
        <f t="shared" si="28"/>
        <v>0</v>
      </c>
      <c r="BG15" s="126">
        <f t="shared" si="29"/>
        <v>0</v>
      </c>
      <c r="BH15" s="123"/>
      <c r="BI15" s="124">
        <f t="shared" si="30"/>
        <v>0</v>
      </c>
      <c r="BJ15" s="123"/>
      <c r="BK15" s="124">
        <f t="shared" si="31"/>
        <v>0</v>
      </c>
      <c r="BL15" s="123"/>
      <c r="BM15" s="124">
        <f t="shared" si="32"/>
        <v>0</v>
      </c>
      <c r="BN15" s="123"/>
      <c r="BO15" s="124">
        <f t="shared" si="33"/>
        <v>0</v>
      </c>
      <c r="BP15" s="123"/>
      <c r="BQ15" s="124">
        <f t="shared" si="34"/>
        <v>0</v>
      </c>
      <c r="BR15" s="123"/>
      <c r="BS15" s="124">
        <f t="shared" si="35"/>
        <v>0</v>
      </c>
      <c r="BT15" s="123"/>
      <c r="BU15" s="124">
        <f t="shared" si="36"/>
        <v>0</v>
      </c>
      <c r="BV15" s="123"/>
      <c r="BW15" s="124">
        <f t="shared" si="37"/>
        <v>0</v>
      </c>
      <c r="BX15" s="123"/>
      <c r="BY15" s="124">
        <f t="shared" si="38"/>
        <v>0</v>
      </c>
      <c r="BZ15" s="123"/>
      <c r="CA15" s="124">
        <f t="shared" si="39"/>
        <v>0</v>
      </c>
      <c r="CB15" s="123"/>
      <c r="CC15" s="124">
        <f t="shared" si="40"/>
        <v>0</v>
      </c>
      <c r="CD15" s="123"/>
      <c r="CE15" s="124">
        <f t="shared" si="41"/>
        <v>0</v>
      </c>
      <c r="CF15" s="125">
        <f t="shared" si="42"/>
        <v>0</v>
      </c>
      <c r="CG15" s="126">
        <f t="shared" si="43"/>
        <v>0</v>
      </c>
      <c r="CH15" s="123"/>
      <c r="CI15" s="124">
        <f t="shared" si="44"/>
        <v>0</v>
      </c>
      <c r="CJ15" s="123"/>
      <c r="CK15" s="124">
        <f t="shared" si="45"/>
        <v>0</v>
      </c>
      <c r="CL15" s="123"/>
      <c r="CM15" s="124">
        <f t="shared" si="46"/>
        <v>0</v>
      </c>
      <c r="CN15" s="123"/>
      <c r="CO15" s="124">
        <f t="shared" si="47"/>
        <v>0</v>
      </c>
      <c r="CP15" s="123"/>
      <c r="CQ15" s="124">
        <f t="shared" si="48"/>
        <v>0</v>
      </c>
      <c r="CR15" s="123"/>
      <c r="CS15" s="124">
        <f t="shared" si="49"/>
        <v>0</v>
      </c>
      <c r="CT15" s="123"/>
      <c r="CU15" s="124">
        <f t="shared" si="50"/>
        <v>0</v>
      </c>
      <c r="CV15" s="123"/>
      <c r="CW15" s="124">
        <f t="shared" si="51"/>
        <v>0</v>
      </c>
      <c r="CX15" s="123"/>
      <c r="CY15" s="124">
        <f t="shared" si="52"/>
        <v>0</v>
      </c>
      <c r="CZ15" s="123"/>
      <c r="DA15" s="124">
        <f t="shared" si="53"/>
        <v>0</v>
      </c>
      <c r="DB15" s="123"/>
      <c r="DC15" s="124">
        <f t="shared" si="54"/>
        <v>0</v>
      </c>
      <c r="DD15" s="123"/>
      <c r="DE15" s="124">
        <f t="shared" si="54"/>
        <v>0</v>
      </c>
      <c r="DF15" s="177">
        <f t="shared" si="0"/>
        <v>0</v>
      </c>
      <c r="DG15" s="126">
        <f t="shared" si="55"/>
        <v>0</v>
      </c>
      <c r="DH15" s="123"/>
      <c r="DI15" s="124">
        <f t="shared" si="56"/>
        <v>0</v>
      </c>
      <c r="DJ15" s="123"/>
      <c r="DK15" s="124">
        <f t="shared" si="57"/>
        <v>0</v>
      </c>
      <c r="DL15" s="123"/>
      <c r="DM15" s="124">
        <f t="shared" si="58"/>
        <v>0</v>
      </c>
      <c r="DN15" s="123"/>
      <c r="DO15" s="124">
        <f t="shared" si="59"/>
        <v>0</v>
      </c>
      <c r="DP15" s="123"/>
      <c r="DQ15" s="124">
        <f t="shared" si="60"/>
        <v>0</v>
      </c>
      <c r="DR15" s="123"/>
      <c r="DS15" s="124">
        <f t="shared" si="61"/>
        <v>0</v>
      </c>
      <c r="DT15" s="123"/>
      <c r="DU15" s="124">
        <f t="shared" si="62"/>
        <v>0</v>
      </c>
      <c r="DV15" s="123"/>
      <c r="DW15" s="124">
        <f t="shared" si="63"/>
        <v>0</v>
      </c>
      <c r="DX15" s="123"/>
      <c r="DY15" s="124">
        <f t="shared" si="64"/>
        <v>0</v>
      </c>
      <c r="DZ15" s="123"/>
      <c r="EA15" s="124">
        <f t="shared" si="65"/>
        <v>0</v>
      </c>
      <c r="EB15" s="123"/>
      <c r="EC15" s="124">
        <f t="shared" si="66"/>
        <v>0</v>
      </c>
      <c r="ED15" s="123"/>
      <c r="EE15" s="124">
        <f t="shared" si="67"/>
        <v>0</v>
      </c>
      <c r="EF15" s="27">
        <f t="shared" si="1"/>
        <v>0</v>
      </c>
      <c r="EG15" s="124">
        <f t="shared" si="68"/>
        <v>0</v>
      </c>
    </row>
    <row r="16" spans="1:137" ht="18" customHeight="1" x14ac:dyDescent="0.5">
      <c r="A16" s="117">
        <v>11</v>
      </c>
      <c r="B16" s="122" t="s">
        <v>143</v>
      </c>
      <c r="C16" s="122" t="s">
        <v>233</v>
      </c>
      <c r="D16" s="117">
        <f t="shared" ref="D16:D24" si="70">RANK(DF16,$DF$4:$DF$147)</f>
        <v>18</v>
      </c>
      <c r="E16" s="117">
        <v>1</v>
      </c>
      <c r="F16" s="117" t="s">
        <v>232</v>
      </c>
      <c r="G16" s="117">
        <v>1500</v>
      </c>
      <c r="H16" s="123"/>
      <c r="I16" s="124">
        <f t="shared" si="2"/>
        <v>0</v>
      </c>
      <c r="J16" s="123"/>
      <c r="K16" s="124">
        <f t="shared" si="3"/>
        <v>0</v>
      </c>
      <c r="L16" s="123"/>
      <c r="M16" s="124">
        <f t="shared" si="4"/>
        <v>0</v>
      </c>
      <c r="N16" s="123"/>
      <c r="O16" s="124">
        <f t="shared" si="5"/>
        <v>0</v>
      </c>
      <c r="P16" s="123"/>
      <c r="Q16" s="124">
        <f t="shared" si="6"/>
        <v>0</v>
      </c>
      <c r="R16" s="123"/>
      <c r="S16" s="124">
        <f t="shared" si="7"/>
        <v>0</v>
      </c>
      <c r="T16" s="123"/>
      <c r="U16" s="124">
        <f t="shared" si="8"/>
        <v>0</v>
      </c>
      <c r="V16" s="123"/>
      <c r="W16" s="124">
        <f t="shared" si="9"/>
        <v>0</v>
      </c>
      <c r="X16" s="123"/>
      <c r="Y16" s="124">
        <f t="shared" si="10"/>
        <v>0</v>
      </c>
      <c r="Z16" s="123"/>
      <c r="AA16" s="124">
        <f t="shared" si="11"/>
        <v>0</v>
      </c>
      <c r="AB16" s="123"/>
      <c r="AC16" s="124">
        <f t="shared" si="12"/>
        <v>0</v>
      </c>
      <c r="AD16" s="123"/>
      <c r="AE16" s="124">
        <f t="shared" si="13"/>
        <v>0</v>
      </c>
      <c r="AF16" s="125">
        <f t="shared" si="14"/>
        <v>0</v>
      </c>
      <c r="AG16" s="126">
        <f t="shared" si="15"/>
        <v>0</v>
      </c>
      <c r="AH16" s="11"/>
      <c r="AI16" s="124">
        <f t="shared" si="16"/>
        <v>0</v>
      </c>
      <c r="AJ16" s="15"/>
      <c r="AK16" s="124">
        <f t="shared" si="17"/>
        <v>0</v>
      </c>
      <c r="AL16" s="15"/>
      <c r="AM16" s="124">
        <f t="shared" si="18"/>
        <v>0</v>
      </c>
      <c r="AN16" s="16"/>
      <c r="AO16" s="124">
        <f t="shared" si="19"/>
        <v>0</v>
      </c>
      <c r="AP16" s="15"/>
      <c r="AQ16" s="124">
        <f t="shared" si="20"/>
        <v>0</v>
      </c>
      <c r="AR16" s="15"/>
      <c r="AS16" s="124">
        <f t="shared" si="21"/>
        <v>0</v>
      </c>
      <c r="AT16" s="17"/>
      <c r="AU16" s="124">
        <f t="shared" si="22"/>
        <v>0</v>
      </c>
      <c r="AV16" s="15"/>
      <c r="AW16" s="124">
        <f t="shared" si="23"/>
        <v>0</v>
      </c>
      <c r="AX16" s="15"/>
      <c r="AY16" s="124">
        <f t="shared" si="24"/>
        <v>0</v>
      </c>
      <c r="AZ16" s="17"/>
      <c r="BA16" s="124">
        <f t="shared" si="25"/>
        <v>0</v>
      </c>
      <c r="BB16" s="33"/>
      <c r="BC16" s="124">
        <f t="shared" si="26"/>
        <v>0</v>
      </c>
      <c r="BD16" s="33"/>
      <c r="BE16" s="124">
        <f t="shared" si="27"/>
        <v>0</v>
      </c>
      <c r="BF16" s="125">
        <f t="shared" si="28"/>
        <v>0</v>
      </c>
      <c r="BG16" s="126">
        <f t="shared" si="29"/>
        <v>0</v>
      </c>
      <c r="BH16" s="123"/>
      <c r="BI16" s="124">
        <f t="shared" si="30"/>
        <v>0</v>
      </c>
      <c r="BJ16" s="123"/>
      <c r="BK16" s="124">
        <f t="shared" si="31"/>
        <v>0</v>
      </c>
      <c r="BL16" s="123"/>
      <c r="BM16" s="124">
        <f t="shared" si="32"/>
        <v>0</v>
      </c>
      <c r="BN16" s="123"/>
      <c r="BO16" s="124">
        <f t="shared" si="33"/>
        <v>0</v>
      </c>
      <c r="BP16" s="123"/>
      <c r="BQ16" s="124">
        <f t="shared" si="34"/>
        <v>0</v>
      </c>
      <c r="BR16" s="123"/>
      <c r="BS16" s="124">
        <f t="shared" si="35"/>
        <v>0</v>
      </c>
      <c r="BT16" s="123"/>
      <c r="BU16" s="124">
        <f t="shared" si="36"/>
        <v>0</v>
      </c>
      <c r="BV16" s="123"/>
      <c r="BW16" s="124">
        <f t="shared" si="37"/>
        <v>0</v>
      </c>
      <c r="BX16" s="123"/>
      <c r="BY16" s="124">
        <f t="shared" si="38"/>
        <v>0</v>
      </c>
      <c r="BZ16" s="123"/>
      <c r="CA16" s="124">
        <f t="shared" si="39"/>
        <v>0</v>
      </c>
      <c r="CB16" s="123"/>
      <c r="CC16" s="124">
        <f t="shared" si="40"/>
        <v>0</v>
      </c>
      <c r="CD16" s="123"/>
      <c r="CE16" s="124">
        <f t="shared" si="41"/>
        <v>0</v>
      </c>
      <c r="CF16" s="125">
        <f t="shared" si="42"/>
        <v>0</v>
      </c>
      <c r="CG16" s="126">
        <f t="shared" si="43"/>
        <v>0</v>
      </c>
      <c r="CH16" s="123">
        <v>24</v>
      </c>
      <c r="CI16" s="124">
        <f t="shared" si="44"/>
        <v>24</v>
      </c>
      <c r="CJ16" s="123"/>
      <c r="CK16" s="124">
        <f t="shared" si="45"/>
        <v>0</v>
      </c>
      <c r="CL16" s="123"/>
      <c r="CM16" s="124">
        <f t="shared" si="46"/>
        <v>0</v>
      </c>
      <c r="CN16" s="123"/>
      <c r="CO16" s="124">
        <f t="shared" si="47"/>
        <v>0</v>
      </c>
      <c r="CP16" s="123"/>
      <c r="CQ16" s="124">
        <f t="shared" si="48"/>
        <v>0</v>
      </c>
      <c r="CR16" s="123"/>
      <c r="CS16" s="124">
        <f t="shared" si="49"/>
        <v>0</v>
      </c>
      <c r="CT16" s="123">
        <v>192</v>
      </c>
      <c r="CU16" s="124">
        <f t="shared" si="50"/>
        <v>192</v>
      </c>
      <c r="CV16" s="123">
        <v>60</v>
      </c>
      <c r="CW16" s="124">
        <f t="shared" si="51"/>
        <v>60</v>
      </c>
      <c r="CX16" s="123"/>
      <c r="CY16" s="124">
        <f t="shared" si="52"/>
        <v>0</v>
      </c>
      <c r="CZ16" s="123"/>
      <c r="DA16" s="124">
        <f t="shared" si="53"/>
        <v>0</v>
      </c>
      <c r="DB16" s="123"/>
      <c r="DC16" s="124">
        <f t="shared" si="54"/>
        <v>0</v>
      </c>
      <c r="DD16" s="123"/>
      <c r="DE16" s="124">
        <f t="shared" si="54"/>
        <v>0</v>
      </c>
      <c r="DF16" s="177">
        <f t="shared" si="0"/>
        <v>276</v>
      </c>
      <c r="DG16" s="126">
        <f t="shared" si="55"/>
        <v>276</v>
      </c>
      <c r="DH16" s="123">
        <v>171</v>
      </c>
      <c r="DI16" s="124">
        <f t="shared" si="56"/>
        <v>171</v>
      </c>
      <c r="DJ16" s="123">
        <v>730</v>
      </c>
      <c r="DK16" s="124">
        <f t="shared" si="57"/>
        <v>730</v>
      </c>
      <c r="DL16" s="123"/>
      <c r="DM16" s="124">
        <f t="shared" si="58"/>
        <v>0</v>
      </c>
      <c r="DN16" s="123"/>
      <c r="DO16" s="124">
        <f t="shared" si="59"/>
        <v>0</v>
      </c>
      <c r="DP16" s="123"/>
      <c r="DQ16" s="124">
        <f t="shared" si="60"/>
        <v>0</v>
      </c>
      <c r="DR16" s="123"/>
      <c r="DS16" s="124">
        <f t="shared" si="61"/>
        <v>0</v>
      </c>
      <c r="DT16" s="123"/>
      <c r="DU16" s="124">
        <f t="shared" si="62"/>
        <v>0</v>
      </c>
      <c r="DV16" s="123"/>
      <c r="DW16" s="124">
        <f t="shared" si="63"/>
        <v>0</v>
      </c>
      <c r="DX16" s="123"/>
      <c r="DY16" s="124">
        <f t="shared" si="64"/>
        <v>0</v>
      </c>
      <c r="DZ16" s="123"/>
      <c r="EA16" s="124">
        <f t="shared" si="65"/>
        <v>0</v>
      </c>
      <c r="EB16" s="123"/>
      <c r="EC16" s="124">
        <f t="shared" si="66"/>
        <v>0</v>
      </c>
      <c r="ED16" s="123"/>
      <c r="EE16" s="124">
        <f t="shared" si="67"/>
        <v>0</v>
      </c>
      <c r="EF16" s="27">
        <f t="shared" si="1"/>
        <v>901</v>
      </c>
      <c r="EG16" s="124">
        <f t="shared" si="68"/>
        <v>901</v>
      </c>
    </row>
    <row r="17" spans="1:137" ht="18" customHeight="1" x14ac:dyDescent="0.5">
      <c r="A17" s="117">
        <v>12</v>
      </c>
      <c r="B17" s="122" t="s">
        <v>144</v>
      </c>
      <c r="C17" s="122" t="s">
        <v>233</v>
      </c>
      <c r="D17" s="117">
        <f t="shared" si="70"/>
        <v>14</v>
      </c>
      <c r="E17" s="117">
        <v>1</v>
      </c>
      <c r="F17" s="117" t="s">
        <v>232</v>
      </c>
      <c r="G17" s="117">
        <v>1850</v>
      </c>
      <c r="H17" s="123"/>
      <c r="I17" s="124">
        <f t="shared" si="2"/>
        <v>0</v>
      </c>
      <c r="J17" s="123"/>
      <c r="K17" s="124">
        <f t="shared" si="3"/>
        <v>0</v>
      </c>
      <c r="L17" s="123"/>
      <c r="M17" s="124">
        <f t="shared" si="4"/>
        <v>0</v>
      </c>
      <c r="N17" s="123"/>
      <c r="O17" s="124">
        <f t="shared" si="5"/>
        <v>0</v>
      </c>
      <c r="P17" s="123"/>
      <c r="Q17" s="124">
        <f t="shared" si="6"/>
        <v>0</v>
      </c>
      <c r="R17" s="123"/>
      <c r="S17" s="124">
        <f t="shared" si="7"/>
        <v>0</v>
      </c>
      <c r="T17" s="123"/>
      <c r="U17" s="124">
        <f t="shared" si="8"/>
        <v>0</v>
      </c>
      <c r="V17" s="123"/>
      <c r="W17" s="124">
        <f t="shared" si="9"/>
        <v>0</v>
      </c>
      <c r="X17" s="123"/>
      <c r="Y17" s="124">
        <f t="shared" si="10"/>
        <v>0</v>
      </c>
      <c r="Z17" s="123"/>
      <c r="AA17" s="124">
        <f t="shared" si="11"/>
        <v>0</v>
      </c>
      <c r="AB17" s="123"/>
      <c r="AC17" s="124">
        <f t="shared" si="12"/>
        <v>0</v>
      </c>
      <c r="AD17" s="123"/>
      <c r="AE17" s="124">
        <f t="shared" si="13"/>
        <v>0</v>
      </c>
      <c r="AF17" s="125">
        <f t="shared" si="14"/>
        <v>0</v>
      </c>
      <c r="AG17" s="126">
        <f t="shared" si="15"/>
        <v>0</v>
      </c>
      <c r="AH17" s="11"/>
      <c r="AI17" s="124">
        <f t="shared" si="16"/>
        <v>0</v>
      </c>
      <c r="AJ17" s="15"/>
      <c r="AK17" s="124">
        <f t="shared" si="17"/>
        <v>0</v>
      </c>
      <c r="AL17" s="15">
        <v>84</v>
      </c>
      <c r="AM17" s="124">
        <f t="shared" si="18"/>
        <v>84</v>
      </c>
      <c r="AN17" s="16">
        <v>336</v>
      </c>
      <c r="AO17" s="124">
        <f t="shared" si="19"/>
        <v>336</v>
      </c>
      <c r="AP17" s="15"/>
      <c r="AQ17" s="124">
        <f t="shared" si="20"/>
        <v>0</v>
      </c>
      <c r="AR17" s="15"/>
      <c r="AS17" s="124">
        <f t="shared" si="21"/>
        <v>0</v>
      </c>
      <c r="AT17" s="17">
        <v>72</v>
      </c>
      <c r="AU17" s="124">
        <f t="shared" si="22"/>
        <v>72</v>
      </c>
      <c r="AV17" s="15"/>
      <c r="AW17" s="124">
        <f t="shared" si="23"/>
        <v>0</v>
      </c>
      <c r="AX17" s="15"/>
      <c r="AY17" s="124">
        <f t="shared" si="24"/>
        <v>0</v>
      </c>
      <c r="AZ17" s="17"/>
      <c r="BA17" s="124">
        <f t="shared" si="25"/>
        <v>0</v>
      </c>
      <c r="BB17" s="33"/>
      <c r="BC17" s="124">
        <f t="shared" si="26"/>
        <v>0</v>
      </c>
      <c r="BD17" s="33"/>
      <c r="BE17" s="124">
        <f t="shared" si="27"/>
        <v>0</v>
      </c>
      <c r="BF17" s="125">
        <f t="shared" si="28"/>
        <v>492</v>
      </c>
      <c r="BG17" s="126">
        <f t="shared" si="29"/>
        <v>492</v>
      </c>
      <c r="BH17" s="123"/>
      <c r="BI17" s="124">
        <f t="shared" si="30"/>
        <v>0</v>
      </c>
      <c r="BJ17" s="123"/>
      <c r="BK17" s="124">
        <f t="shared" si="31"/>
        <v>0</v>
      </c>
      <c r="BL17" s="123"/>
      <c r="BM17" s="124">
        <f t="shared" si="32"/>
        <v>0</v>
      </c>
      <c r="BN17" s="123"/>
      <c r="BO17" s="124">
        <f t="shared" si="33"/>
        <v>0</v>
      </c>
      <c r="BP17" s="123"/>
      <c r="BQ17" s="124">
        <f t="shared" si="34"/>
        <v>0</v>
      </c>
      <c r="BR17" s="65"/>
      <c r="BS17" s="124">
        <f t="shared" si="35"/>
        <v>0</v>
      </c>
      <c r="BT17" s="123"/>
      <c r="BU17" s="124">
        <f t="shared" si="36"/>
        <v>0</v>
      </c>
      <c r="BV17" s="123"/>
      <c r="BW17" s="124">
        <f t="shared" si="37"/>
        <v>0</v>
      </c>
      <c r="BX17" s="123"/>
      <c r="BY17" s="124">
        <f t="shared" si="38"/>
        <v>0</v>
      </c>
      <c r="BZ17" s="123"/>
      <c r="CA17" s="124">
        <f t="shared" si="39"/>
        <v>0</v>
      </c>
      <c r="CB17" s="123"/>
      <c r="CC17" s="124">
        <f t="shared" si="40"/>
        <v>0</v>
      </c>
      <c r="CD17" s="123"/>
      <c r="CE17" s="124">
        <f t="shared" si="41"/>
        <v>0</v>
      </c>
      <c r="CF17" s="125">
        <f t="shared" si="42"/>
        <v>0</v>
      </c>
      <c r="CG17" s="126">
        <f t="shared" si="43"/>
        <v>0</v>
      </c>
      <c r="CH17" s="123"/>
      <c r="CI17" s="124">
        <f t="shared" si="44"/>
        <v>0</v>
      </c>
      <c r="CJ17" s="123"/>
      <c r="CK17" s="124">
        <f t="shared" si="45"/>
        <v>0</v>
      </c>
      <c r="CL17" s="123"/>
      <c r="CM17" s="124">
        <f t="shared" si="46"/>
        <v>0</v>
      </c>
      <c r="CN17" s="123"/>
      <c r="CO17" s="124">
        <f t="shared" si="47"/>
        <v>0</v>
      </c>
      <c r="CP17" s="123"/>
      <c r="CQ17" s="124">
        <f t="shared" si="48"/>
        <v>0</v>
      </c>
      <c r="CR17" s="123"/>
      <c r="CS17" s="124">
        <f t="shared" si="49"/>
        <v>0</v>
      </c>
      <c r="CT17" s="123">
        <v>206</v>
      </c>
      <c r="CU17" s="124">
        <f t="shared" si="50"/>
        <v>206</v>
      </c>
      <c r="CV17" s="123">
        <v>480</v>
      </c>
      <c r="CW17" s="124">
        <f t="shared" si="51"/>
        <v>480</v>
      </c>
      <c r="CX17" s="123">
        <v>468</v>
      </c>
      <c r="CY17" s="124">
        <f t="shared" si="52"/>
        <v>468</v>
      </c>
      <c r="CZ17" s="123">
        <v>300</v>
      </c>
      <c r="DA17" s="124">
        <f t="shared" si="53"/>
        <v>300</v>
      </c>
      <c r="DB17" s="123">
        <v>120</v>
      </c>
      <c r="DC17" s="124">
        <f t="shared" si="54"/>
        <v>120</v>
      </c>
      <c r="DD17" s="123">
        <v>360</v>
      </c>
      <c r="DE17" s="124">
        <f t="shared" si="54"/>
        <v>360</v>
      </c>
      <c r="DF17" s="177">
        <f t="shared" si="0"/>
        <v>1934</v>
      </c>
      <c r="DG17" s="126">
        <f t="shared" si="55"/>
        <v>1934</v>
      </c>
      <c r="DH17" s="123">
        <v>643</v>
      </c>
      <c r="DI17" s="124">
        <f t="shared" si="56"/>
        <v>643</v>
      </c>
      <c r="DJ17" s="123">
        <v>639</v>
      </c>
      <c r="DK17" s="124">
        <f t="shared" si="57"/>
        <v>639</v>
      </c>
      <c r="DL17" s="123"/>
      <c r="DM17" s="124">
        <f t="shared" si="58"/>
        <v>0</v>
      </c>
      <c r="DN17" s="123"/>
      <c r="DO17" s="124">
        <f t="shared" si="59"/>
        <v>0</v>
      </c>
      <c r="DP17" s="123"/>
      <c r="DQ17" s="124">
        <f t="shared" si="60"/>
        <v>0</v>
      </c>
      <c r="DR17" s="123"/>
      <c r="DS17" s="124">
        <f t="shared" si="61"/>
        <v>0</v>
      </c>
      <c r="DT17" s="123"/>
      <c r="DU17" s="124">
        <f t="shared" si="62"/>
        <v>0</v>
      </c>
      <c r="DV17" s="123"/>
      <c r="DW17" s="124">
        <f t="shared" si="63"/>
        <v>0</v>
      </c>
      <c r="DX17" s="123"/>
      <c r="DY17" s="124">
        <f t="shared" si="64"/>
        <v>0</v>
      </c>
      <c r="DZ17" s="123"/>
      <c r="EA17" s="124">
        <f t="shared" si="65"/>
        <v>0</v>
      </c>
      <c r="EB17" s="123"/>
      <c r="EC17" s="124">
        <f t="shared" si="66"/>
        <v>0</v>
      </c>
      <c r="ED17" s="123"/>
      <c r="EE17" s="124">
        <f t="shared" si="67"/>
        <v>0</v>
      </c>
      <c r="EF17" s="27">
        <f t="shared" si="1"/>
        <v>1282</v>
      </c>
      <c r="EG17" s="124">
        <f t="shared" si="68"/>
        <v>1282</v>
      </c>
    </row>
    <row r="18" spans="1:137" ht="18" customHeight="1" x14ac:dyDescent="0.5">
      <c r="A18" s="117">
        <v>13</v>
      </c>
      <c r="B18" s="122" t="s">
        <v>145</v>
      </c>
      <c r="C18" s="122" t="s">
        <v>233</v>
      </c>
      <c r="D18" s="117">
        <f t="shared" si="70"/>
        <v>21</v>
      </c>
      <c r="E18" s="117">
        <v>0.6</v>
      </c>
      <c r="F18" s="117" t="s">
        <v>232</v>
      </c>
      <c r="G18" s="117">
        <v>1085</v>
      </c>
      <c r="H18" s="123"/>
      <c r="I18" s="124">
        <f t="shared" si="2"/>
        <v>0</v>
      </c>
      <c r="J18" s="123"/>
      <c r="K18" s="124">
        <f t="shared" si="3"/>
        <v>0</v>
      </c>
      <c r="L18" s="123"/>
      <c r="M18" s="124">
        <f t="shared" si="4"/>
        <v>0</v>
      </c>
      <c r="N18" s="123"/>
      <c r="O18" s="124">
        <f t="shared" si="5"/>
        <v>0</v>
      </c>
      <c r="P18" s="123"/>
      <c r="Q18" s="124">
        <f t="shared" si="6"/>
        <v>0</v>
      </c>
      <c r="R18" s="123"/>
      <c r="S18" s="124">
        <f t="shared" si="7"/>
        <v>0</v>
      </c>
      <c r="T18" s="123"/>
      <c r="U18" s="124">
        <f t="shared" si="8"/>
        <v>0</v>
      </c>
      <c r="V18" s="123"/>
      <c r="W18" s="124">
        <f t="shared" si="9"/>
        <v>0</v>
      </c>
      <c r="X18" s="123"/>
      <c r="Y18" s="124">
        <f t="shared" si="10"/>
        <v>0</v>
      </c>
      <c r="Z18" s="123"/>
      <c r="AA18" s="124">
        <f t="shared" si="11"/>
        <v>0</v>
      </c>
      <c r="AB18" s="123"/>
      <c r="AC18" s="124">
        <f t="shared" si="12"/>
        <v>0</v>
      </c>
      <c r="AD18" s="123"/>
      <c r="AE18" s="124">
        <f t="shared" si="13"/>
        <v>0</v>
      </c>
      <c r="AF18" s="125">
        <f t="shared" si="14"/>
        <v>0</v>
      </c>
      <c r="AG18" s="126">
        <f t="shared" si="15"/>
        <v>0</v>
      </c>
      <c r="AH18" s="11"/>
      <c r="AI18" s="124">
        <f t="shared" si="16"/>
        <v>0</v>
      </c>
      <c r="AJ18" s="15"/>
      <c r="AK18" s="124">
        <f t="shared" si="17"/>
        <v>0</v>
      </c>
      <c r="AL18" s="15"/>
      <c r="AM18" s="124">
        <f t="shared" si="18"/>
        <v>0</v>
      </c>
      <c r="AN18" s="16"/>
      <c r="AO18" s="124">
        <f t="shared" si="19"/>
        <v>0</v>
      </c>
      <c r="AP18" s="15"/>
      <c r="AQ18" s="124">
        <f t="shared" si="20"/>
        <v>0</v>
      </c>
      <c r="AR18" s="15"/>
      <c r="AS18" s="124">
        <f t="shared" si="21"/>
        <v>0</v>
      </c>
      <c r="AT18" s="17"/>
      <c r="AU18" s="124">
        <f t="shared" si="22"/>
        <v>0</v>
      </c>
      <c r="AV18" s="15"/>
      <c r="AW18" s="124">
        <f t="shared" si="23"/>
        <v>0</v>
      </c>
      <c r="AX18" s="15"/>
      <c r="AY18" s="124">
        <f t="shared" si="24"/>
        <v>0</v>
      </c>
      <c r="AZ18" s="17"/>
      <c r="BA18" s="124">
        <f t="shared" si="25"/>
        <v>0</v>
      </c>
      <c r="BB18" s="33"/>
      <c r="BC18" s="124">
        <f t="shared" si="26"/>
        <v>0</v>
      </c>
      <c r="BD18" s="33"/>
      <c r="BE18" s="124">
        <f t="shared" si="27"/>
        <v>0</v>
      </c>
      <c r="BF18" s="125">
        <f t="shared" si="28"/>
        <v>0</v>
      </c>
      <c r="BG18" s="126">
        <f t="shared" si="29"/>
        <v>0</v>
      </c>
      <c r="BH18" s="123"/>
      <c r="BI18" s="124">
        <f t="shared" si="30"/>
        <v>0</v>
      </c>
      <c r="BJ18" s="123"/>
      <c r="BK18" s="124">
        <f t="shared" si="31"/>
        <v>0</v>
      </c>
      <c r="BL18" s="123"/>
      <c r="BM18" s="124">
        <f t="shared" si="32"/>
        <v>0</v>
      </c>
      <c r="BN18" s="123"/>
      <c r="BO18" s="124">
        <f t="shared" si="33"/>
        <v>0</v>
      </c>
      <c r="BP18" s="123"/>
      <c r="BQ18" s="124">
        <f t="shared" si="34"/>
        <v>0</v>
      </c>
      <c r="BR18" s="123"/>
      <c r="BS18" s="124">
        <f t="shared" si="35"/>
        <v>0</v>
      </c>
      <c r="BT18" s="123"/>
      <c r="BU18" s="124">
        <f t="shared" si="36"/>
        <v>0</v>
      </c>
      <c r="BV18" s="123"/>
      <c r="BW18" s="124">
        <f t="shared" si="37"/>
        <v>0</v>
      </c>
      <c r="BX18" s="123"/>
      <c r="BY18" s="124">
        <f t="shared" si="38"/>
        <v>0</v>
      </c>
      <c r="BZ18" s="123"/>
      <c r="CA18" s="124">
        <f t="shared" si="39"/>
        <v>0</v>
      </c>
      <c r="CB18" s="123"/>
      <c r="CC18" s="124">
        <f t="shared" si="40"/>
        <v>0</v>
      </c>
      <c r="CD18" s="123"/>
      <c r="CE18" s="124">
        <f t="shared" si="41"/>
        <v>0</v>
      </c>
      <c r="CF18" s="125">
        <f t="shared" si="42"/>
        <v>0</v>
      </c>
      <c r="CG18" s="126">
        <f t="shared" si="43"/>
        <v>0</v>
      </c>
      <c r="CH18" s="123"/>
      <c r="CI18" s="124">
        <f t="shared" si="44"/>
        <v>0</v>
      </c>
      <c r="CJ18" s="123"/>
      <c r="CK18" s="124">
        <f t="shared" si="45"/>
        <v>0</v>
      </c>
      <c r="CL18" s="123"/>
      <c r="CM18" s="124">
        <f t="shared" si="46"/>
        <v>0</v>
      </c>
      <c r="CN18" s="123"/>
      <c r="CO18" s="124">
        <f t="shared" si="47"/>
        <v>0</v>
      </c>
      <c r="CP18" s="123"/>
      <c r="CQ18" s="124">
        <f t="shared" si="48"/>
        <v>0</v>
      </c>
      <c r="CR18" s="123"/>
      <c r="CS18" s="124">
        <f t="shared" si="49"/>
        <v>0</v>
      </c>
      <c r="CT18" s="123"/>
      <c r="CU18" s="124">
        <f t="shared" si="50"/>
        <v>0</v>
      </c>
      <c r="CV18" s="123"/>
      <c r="CW18" s="124">
        <f t="shared" si="51"/>
        <v>0</v>
      </c>
      <c r="CX18" s="123"/>
      <c r="CY18" s="124">
        <f t="shared" si="52"/>
        <v>0</v>
      </c>
      <c r="CZ18" s="123"/>
      <c r="DA18" s="124">
        <f t="shared" si="53"/>
        <v>0</v>
      </c>
      <c r="DB18" s="123"/>
      <c r="DC18" s="124">
        <f t="shared" si="54"/>
        <v>0</v>
      </c>
      <c r="DD18" s="123"/>
      <c r="DE18" s="124">
        <f t="shared" si="54"/>
        <v>0</v>
      </c>
      <c r="DF18" s="177">
        <f t="shared" si="0"/>
        <v>0</v>
      </c>
      <c r="DG18" s="126">
        <f t="shared" si="55"/>
        <v>0</v>
      </c>
      <c r="DH18" s="123"/>
      <c r="DI18" s="124">
        <f t="shared" si="56"/>
        <v>0</v>
      </c>
      <c r="DJ18" s="123"/>
      <c r="DK18" s="124">
        <f t="shared" si="57"/>
        <v>0</v>
      </c>
      <c r="DL18" s="123"/>
      <c r="DM18" s="124">
        <f t="shared" si="58"/>
        <v>0</v>
      </c>
      <c r="DN18" s="123"/>
      <c r="DO18" s="124">
        <f t="shared" si="59"/>
        <v>0</v>
      </c>
      <c r="DP18" s="123"/>
      <c r="DQ18" s="124">
        <f t="shared" si="60"/>
        <v>0</v>
      </c>
      <c r="DR18" s="123"/>
      <c r="DS18" s="124">
        <f t="shared" si="61"/>
        <v>0</v>
      </c>
      <c r="DT18" s="123"/>
      <c r="DU18" s="124">
        <f t="shared" si="62"/>
        <v>0</v>
      </c>
      <c r="DV18" s="123"/>
      <c r="DW18" s="124">
        <f t="shared" si="63"/>
        <v>0</v>
      </c>
      <c r="DX18" s="123"/>
      <c r="DY18" s="124">
        <f t="shared" si="64"/>
        <v>0</v>
      </c>
      <c r="DZ18" s="123"/>
      <c r="EA18" s="124">
        <f t="shared" si="65"/>
        <v>0</v>
      </c>
      <c r="EB18" s="123"/>
      <c r="EC18" s="124">
        <f t="shared" si="66"/>
        <v>0</v>
      </c>
      <c r="ED18" s="123"/>
      <c r="EE18" s="124">
        <f t="shared" si="67"/>
        <v>0</v>
      </c>
      <c r="EF18" s="27">
        <f t="shared" si="1"/>
        <v>0</v>
      </c>
      <c r="EG18" s="124">
        <f t="shared" si="68"/>
        <v>0</v>
      </c>
    </row>
    <row r="19" spans="1:137" ht="18" customHeight="1" x14ac:dyDescent="0.5">
      <c r="A19" s="117">
        <v>14</v>
      </c>
      <c r="B19" s="122" t="s">
        <v>146</v>
      </c>
      <c r="C19" s="122" t="s">
        <v>233</v>
      </c>
      <c r="D19" s="117">
        <f t="shared" si="70"/>
        <v>21</v>
      </c>
      <c r="E19" s="117">
        <v>0.6</v>
      </c>
      <c r="F19" s="117" t="s">
        <v>232</v>
      </c>
      <c r="G19" s="117"/>
      <c r="H19" s="123"/>
      <c r="I19" s="124">
        <f t="shared" si="2"/>
        <v>0</v>
      </c>
      <c r="J19" s="123"/>
      <c r="K19" s="124">
        <f t="shared" si="3"/>
        <v>0</v>
      </c>
      <c r="L19" s="123"/>
      <c r="M19" s="124">
        <f t="shared" si="4"/>
        <v>0</v>
      </c>
      <c r="N19" s="123"/>
      <c r="O19" s="124">
        <f t="shared" si="5"/>
        <v>0</v>
      </c>
      <c r="P19" s="123"/>
      <c r="Q19" s="124">
        <f t="shared" si="6"/>
        <v>0</v>
      </c>
      <c r="R19" s="123"/>
      <c r="S19" s="124">
        <f t="shared" si="7"/>
        <v>0</v>
      </c>
      <c r="T19" s="123"/>
      <c r="U19" s="124">
        <f t="shared" si="8"/>
        <v>0</v>
      </c>
      <c r="V19" s="123"/>
      <c r="W19" s="124">
        <f t="shared" si="9"/>
        <v>0</v>
      </c>
      <c r="X19" s="123"/>
      <c r="Y19" s="124">
        <f t="shared" si="10"/>
        <v>0</v>
      </c>
      <c r="Z19" s="123"/>
      <c r="AA19" s="124">
        <f t="shared" si="11"/>
        <v>0</v>
      </c>
      <c r="AB19" s="123"/>
      <c r="AC19" s="124">
        <f t="shared" si="12"/>
        <v>0</v>
      </c>
      <c r="AD19" s="123"/>
      <c r="AE19" s="124">
        <f t="shared" si="13"/>
        <v>0</v>
      </c>
      <c r="AF19" s="125">
        <f t="shared" si="14"/>
        <v>0</v>
      </c>
      <c r="AG19" s="126">
        <f t="shared" si="15"/>
        <v>0</v>
      </c>
      <c r="AH19" s="11"/>
      <c r="AI19" s="124">
        <f t="shared" si="16"/>
        <v>0</v>
      </c>
      <c r="AJ19" s="15"/>
      <c r="AK19" s="124">
        <f t="shared" si="17"/>
        <v>0</v>
      </c>
      <c r="AL19" s="15"/>
      <c r="AM19" s="124">
        <f t="shared" si="18"/>
        <v>0</v>
      </c>
      <c r="AN19" s="16"/>
      <c r="AO19" s="124">
        <f t="shared" si="19"/>
        <v>0</v>
      </c>
      <c r="AP19" s="15"/>
      <c r="AQ19" s="124">
        <f t="shared" si="20"/>
        <v>0</v>
      </c>
      <c r="AR19" s="15"/>
      <c r="AS19" s="124">
        <f t="shared" si="21"/>
        <v>0</v>
      </c>
      <c r="AT19" s="17"/>
      <c r="AU19" s="124">
        <f t="shared" si="22"/>
        <v>0</v>
      </c>
      <c r="AV19" s="15"/>
      <c r="AW19" s="124">
        <f t="shared" si="23"/>
        <v>0</v>
      </c>
      <c r="AX19" s="15"/>
      <c r="AY19" s="124">
        <f t="shared" si="24"/>
        <v>0</v>
      </c>
      <c r="AZ19" s="17"/>
      <c r="BA19" s="124">
        <f t="shared" si="25"/>
        <v>0</v>
      </c>
      <c r="BB19" s="33"/>
      <c r="BC19" s="124">
        <f t="shared" si="26"/>
        <v>0</v>
      </c>
      <c r="BD19" s="33"/>
      <c r="BE19" s="124">
        <f t="shared" si="27"/>
        <v>0</v>
      </c>
      <c r="BF19" s="125">
        <f t="shared" si="28"/>
        <v>0</v>
      </c>
      <c r="BG19" s="126">
        <f t="shared" si="29"/>
        <v>0</v>
      </c>
      <c r="BH19" s="123"/>
      <c r="BI19" s="124">
        <f t="shared" si="30"/>
        <v>0</v>
      </c>
      <c r="BJ19" s="123"/>
      <c r="BK19" s="124">
        <f t="shared" si="31"/>
        <v>0</v>
      </c>
      <c r="BL19" s="123"/>
      <c r="BM19" s="124">
        <f t="shared" si="32"/>
        <v>0</v>
      </c>
      <c r="BN19" s="123"/>
      <c r="BO19" s="124">
        <f t="shared" si="33"/>
        <v>0</v>
      </c>
      <c r="BP19" s="123"/>
      <c r="BQ19" s="124">
        <f t="shared" si="34"/>
        <v>0</v>
      </c>
      <c r="BR19" s="123"/>
      <c r="BS19" s="124">
        <f t="shared" si="35"/>
        <v>0</v>
      </c>
      <c r="BT19" s="123"/>
      <c r="BU19" s="124">
        <f t="shared" si="36"/>
        <v>0</v>
      </c>
      <c r="BV19" s="123"/>
      <c r="BW19" s="124">
        <f t="shared" si="37"/>
        <v>0</v>
      </c>
      <c r="BX19" s="123"/>
      <c r="BY19" s="124">
        <f t="shared" si="38"/>
        <v>0</v>
      </c>
      <c r="BZ19" s="123"/>
      <c r="CA19" s="124">
        <f t="shared" si="39"/>
        <v>0</v>
      </c>
      <c r="CB19" s="123"/>
      <c r="CC19" s="124">
        <f t="shared" si="40"/>
        <v>0</v>
      </c>
      <c r="CD19" s="123"/>
      <c r="CE19" s="124">
        <f t="shared" si="41"/>
        <v>0</v>
      </c>
      <c r="CF19" s="125">
        <f t="shared" si="42"/>
        <v>0</v>
      </c>
      <c r="CG19" s="126">
        <f t="shared" si="43"/>
        <v>0</v>
      </c>
      <c r="CH19" s="123"/>
      <c r="CI19" s="124">
        <f t="shared" si="44"/>
        <v>0</v>
      </c>
      <c r="CJ19" s="123"/>
      <c r="CK19" s="124">
        <f t="shared" si="45"/>
        <v>0</v>
      </c>
      <c r="CL19" s="123"/>
      <c r="CM19" s="124">
        <f t="shared" si="46"/>
        <v>0</v>
      </c>
      <c r="CN19" s="123"/>
      <c r="CO19" s="124">
        <f t="shared" si="47"/>
        <v>0</v>
      </c>
      <c r="CP19" s="123"/>
      <c r="CQ19" s="124">
        <f t="shared" si="48"/>
        <v>0</v>
      </c>
      <c r="CR19" s="123"/>
      <c r="CS19" s="124">
        <f t="shared" si="49"/>
        <v>0</v>
      </c>
      <c r="CT19" s="123"/>
      <c r="CU19" s="124">
        <f t="shared" si="50"/>
        <v>0</v>
      </c>
      <c r="CV19" s="123"/>
      <c r="CW19" s="124">
        <f t="shared" si="51"/>
        <v>0</v>
      </c>
      <c r="CX19" s="123"/>
      <c r="CY19" s="124">
        <f t="shared" si="52"/>
        <v>0</v>
      </c>
      <c r="CZ19" s="123"/>
      <c r="DA19" s="124">
        <f t="shared" si="53"/>
        <v>0</v>
      </c>
      <c r="DB19" s="123"/>
      <c r="DC19" s="124">
        <f t="shared" si="54"/>
        <v>0</v>
      </c>
      <c r="DD19" s="123"/>
      <c r="DE19" s="124">
        <f t="shared" si="54"/>
        <v>0</v>
      </c>
      <c r="DF19" s="177">
        <f t="shared" si="0"/>
        <v>0</v>
      </c>
      <c r="DG19" s="126">
        <f t="shared" si="55"/>
        <v>0</v>
      </c>
      <c r="DH19" s="123"/>
      <c r="DI19" s="124">
        <f t="shared" si="56"/>
        <v>0</v>
      </c>
      <c r="DJ19" s="123"/>
      <c r="DK19" s="124">
        <f t="shared" si="57"/>
        <v>0</v>
      </c>
      <c r="DL19" s="123"/>
      <c r="DM19" s="124">
        <f t="shared" si="58"/>
        <v>0</v>
      </c>
      <c r="DN19" s="123"/>
      <c r="DO19" s="124">
        <f t="shared" si="59"/>
        <v>0</v>
      </c>
      <c r="DP19" s="123"/>
      <c r="DQ19" s="124">
        <f t="shared" si="60"/>
        <v>0</v>
      </c>
      <c r="DR19" s="123"/>
      <c r="DS19" s="124">
        <f t="shared" si="61"/>
        <v>0</v>
      </c>
      <c r="DT19" s="123"/>
      <c r="DU19" s="124">
        <f t="shared" si="62"/>
        <v>0</v>
      </c>
      <c r="DV19" s="123"/>
      <c r="DW19" s="124">
        <f t="shared" si="63"/>
        <v>0</v>
      </c>
      <c r="DX19" s="123"/>
      <c r="DY19" s="124">
        <f t="shared" si="64"/>
        <v>0</v>
      </c>
      <c r="DZ19" s="123"/>
      <c r="EA19" s="124">
        <f t="shared" si="65"/>
        <v>0</v>
      </c>
      <c r="EB19" s="123"/>
      <c r="EC19" s="124">
        <f t="shared" si="66"/>
        <v>0</v>
      </c>
      <c r="ED19" s="123"/>
      <c r="EE19" s="124">
        <f t="shared" si="67"/>
        <v>0</v>
      </c>
      <c r="EF19" s="27">
        <f t="shared" si="1"/>
        <v>0</v>
      </c>
      <c r="EG19" s="124">
        <f t="shared" si="68"/>
        <v>0</v>
      </c>
    </row>
    <row r="20" spans="1:137" ht="18" customHeight="1" x14ac:dyDescent="0.5">
      <c r="A20" s="117">
        <v>15</v>
      </c>
      <c r="B20" s="122" t="s">
        <v>147</v>
      </c>
      <c r="C20" s="122" t="s">
        <v>233</v>
      </c>
      <c r="D20" s="117">
        <f t="shared" si="70"/>
        <v>21</v>
      </c>
      <c r="E20" s="117">
        <v>0.35</v>
      </c>
      <c r="F20" s="117" t="s">
        <v>234</v>
      </c>
      <c r="G20" s="117"/>
      <c r="H20" s="123"/>
      <c r="I20" s="124">
        <f t="shared" si="2"/>
        <v>0</v>
      </c>
      <c r="J20" s="123"/>
      <c r="K20" s="124">
        <f t="shared" si="3"/>
        <v>0</v>
      </c>
      <c r="L20" s="123"/>
      <c r="M20" s="124">
        <f t="shared" si="4"/>
        <v>0</v>
      </c>
      <c r="N20" s="123"/>
      <c r="O20" s="124">
        <f t="shared" si="5"/>
        <v>0</v>
      </c>
      <c r="P20" s="123"/>
      <c r="Q20" s="124">
        <f t="shared" si="6"/>
        <v>0</v>
      </c>
      <c r="R20" s="123"/>
      <c r="S20" s="124">
        <f t="shared" si="7"/>
        <v>0</v>
      </c>
      <c r="T20" s="123"/>
      <c r="U20" s="124">
        <f t="shared" si="8"/>
        <v>0</v>
      </c>
      <c r="V20" s="123"/>
      <c r="W20" s="124">
        <f t="shared" si="9"/>
        <v>0</v>
      </c>
      <c r="X20" s="123"/>
      <c r="Y20" s="124">
        <f t="shared" si="10"/>
        <v>0</v>
      </c>
      <c r="Z20" s="123"/>
      <c r="AA20" s="124">
        <f t="shared" si="11"/>
        <v>0</v>
      </c>
      <c r="AB20" s="123"/>
      <c r="AC20" s="124">
        <f t="shared" si="12"/>
        <v>0</v>
      </c>
      <c r="AD20" s="123"/>
      <c r="AE20" s="124">
        <f t="shared" si="13"/>
        <v>0</v>
      </c>
      <c r="AF20" s="125">
        <f t="shared" si="14"/>
        <v>0</v>
      </c>
      <c r="AG20" s="126">
        <f t="shared" si="15"/>
        <v>0</v>
      </c>
      <c r="AH20" s="11"/>
      <c r="AI20" s="124">
        <f t="shared" si="16"/>
        <v>0</v>
      </c>
      <c r="AJ20" s="15"/>
      <c r="AK20" s="124">
        <f t="shared" si="17"/>
        <v>0</v>
      </c>
      <c r="AL20" s="15"/>
      <c r="AM20" s="124">
        <f t="shared" si="18"/>
        <v>0</v>
      </c>
      <c r="AN20" s="16"/>
      <c r="AO20" s="124">
        <f t="shared" si="19"/>
        <v>0</v>
      </c>
      <c r="AP20" s="15"/>
      <c r="AQ20" s="124">
        <f t="shared" si="20"/>
        <v>0</v>
      </c>
      <c r="AR20" s="15"/>
      <c r="AS20" s="124">
        <f t="shared" si="21"/>
        <v>0</v>
      </c>
      <c r="AT20" s="17"/>
      <c r="AU20" s="124">
        <f t="shared" si="22"/>
        <v>0</v>
      </c>
      <c r="AV20" s="15"/>
      <c r="AW20" s="124">
        <f t="shared" si="23"/>
        <v>0</v>
      </c>
      <c r="AX20" s="15"/>
      <c r="AY20" s="124">
        <f t="shared" si="24"/>
        <v>0</v>
      </c>
      <c r="AZ20" s="17"/>
      <c r="BA20" s="124">
        <f t="shared" si="25"/>
        <v>0</v>
      </c>
      <c r="BB20" s="33"/>
      <c r="BC20" s="124">
        <f t="shared" si="26"/>
        <v>0</v>
      </c>
      <c r="BD20" s="33"/>
      <c r="BE20" s="124">
        <f t="shared" si="27"/>
        <v>0</v>
      </c>
      <c r="BF20" s="125">
        <f t="shared" si="28"/>
        <v>0</v>
      </c>
      <c r="BG20" s="126">
        <f t="shared" si="29"/>
        <v>0</v>
      </c>
      <c r="BH20" s="123"/>
      <c r="BI20" s="124">
        <f t="shared" si="30"/>
        <v>0</v>
      </c>
      <c r="BJ20" s="123"/>
      <c r="BK20" s="124">
        <f t="shared" si="31"/>
        <v>0</v>
      </c>
      <c r="BL20" s="123"/>
      <c r="BM20" s="124">
        <f t="shared" si="32"/>
        <v>0</v>
      </c>
      <c r="BN20" s="123"/>
      <c r="BO20" s="124">
        <f t="shared" si="33"/>
        <v>0</v>
      </c>
      <c r="BP20" s="123"/>
      <c r="BQ20" s="124">
        <f t="shared" si="34"/>
        <v>0</v>
      </c>
      <c r="BR20" s="123"/>
      <c r="BS20" s="124">
        <f t="shared" si="35"/>
        <v>0</v>
      </c>
      <c r="BT20" s="123"/>
      <c r="BU20" s="124">
        <f t="shared" si="36"/>
        <v>0</v>
      </c>
      <c r="BV20" s="123"/>
      <c r="BW20" s="124">
        <f t="shared" si="37"/>
        <v>0</v>
      </c>
      <c r="BX20" s="123"/>
      <c r="BY20" s="124">
        <f t="shared" si="38"/>
        <v>0</v>
      </c>
      <c r="BZ20" s="123"/>
      <c r="CA20" s="124">
        <f t="shared" si="39"/>
        <v>0</v>
      </c>
      <c r="CB20" s="123"/>
      <c r="CC20" s="124">
        <f t="shared" si="40"/>
        <v>0</v>
      </c>
      <c r="CD20" s="123"/>
      <c r="CE20" s="124">
        <f t="shared" si="41"/>
        <v>0</v>
      </c>
      <c r="CF20" s="125">
        <f t="shared" si="42"/>
        <v>0</v>
      </c>
      <c r="CG20" s="126">
        <f t="shared" si="43"/>
        <v>0</v>
      </c>
      <c r="CH20" s="123"/>
      <c r="CI20" s="124">
        <f t="shared" si="44"/>
        <v>0</v>
      </c>
      <c r="CJ20" s="123"/>
      <c r="CK20" s="124">
        <f t="shared" si="45"/>
        <v>0</v>
      </c>
      <c r="CL20" s="123"/>
      <c r="CM20" s="124">
        <f t="shared" si="46"/>
        <v>0</v>
      </c>
      <c r="CN20" s="123"/>
      <c r="CO20" s="124">
        <f t="shared" si="47"/>
        <v>0</v>
      </c>
      <c r="CP20" s="123"/>
      <c r="CQ20" s="124">
        <f t="shared" si="48"/>
        <v>0</v>
      </c>
      <c r="CR20" s="123"/>
      <c r="CS20" s="124">
        <f t="shared" si="49"/>
        <v>0</v>
      </c>
      <c r="CT20" s="123"/>
      <c r="CU20" s="124">
        <f t="shared" si="50"/>
        <v>0</v>
      </c>
      <c r="CV20" s="123"/>
      <c r="CW20" s="124">
        <f t="shared" si="51"/>
        <v>0</v>
      </c>
      <c r="CX20" s="123"/>
      <c r="CY20" s="124">
        <f t="shared" si="52"/>
        <v>0</v>
      </c>
      <c r="CZ20" s="123"/>
      <c r="DA20" s="124">
        <f t="shared" si="53"/>
        <v>0</v>
      </c>
      <c r="DB20" s="123"/>
      <c r="DC20" s="124">
        <f t="shared" si="54"/>
        <v>0</v>
      </c>
      <c r="DD20" s="123"/>
      <c r="DE20" s="124">
        <f t="shared" si="54"/>
        <v>0</v>
      </c>
      <c r="DF20" s="177">
        <f t="shared" si="0"/>
        <v>0</v>
      </c>
      <c r="DG20" s="126">
        <f t="shared" si="55"/>
        <v>0</v>
      </c>
      <c r="DH20" s="123"/>
      <c r="DI20" s="124">
        <f t="shared" si="56"/>
        <v>0</v>
      </c>
      <c r="DJ20" s="123"/>
      <c r="DK20" s="124">
        <f t="shared" si="57"/>
        <v>0</v>
      </c>
      <c r="DL20" s="123"/>
      <c r="DM20" s="124">
        <f t="shared" si="58"/>
        <v>0</v>
      </c>
      <c r="DN20" s="123"/>
      <c r="DO20" s="124">
        <f t="shared" si="59"/>
        <v>0</v>
      </c>
      <c r="DP20" s="123"/>
      <c r="DQ20" s="124">
        <f t="shared" si="60"/>
        <v>0</v>
      </c>
      <c r="DR20" s="123"/>
      <c r="DS20" s="124">
        <f t="shared" si="61"/>
        <v>0</v>
      </c>
      <c r="DT20" s="123"/>
      <c r="DU20" s="124">
        <f t="shared" si="62"/>
        <v>0</v>
      </c>
      <c r="DV20" s="123"/>
      <c r="DW20" s="124">
        <f t="shared" si="63"/>
        <v>0</v>
      </c>
      <c r="DX20" s="123"/>
      <c r="DY20" s="124">
        <f t="shared" si="64"/>
        <v>0</v>
      </c>
      <c r="DZ20" s="123"/>
      <c r="EA20" s="124">
        <f t="shared" si="65"/>
        <v>0</v>
      </c>
      <c r="EB20" s="123"/>
      <c r="EC20" s="124">
        <f t="shared" si="66"/>
        <v>0</v>
      </c>
      <c r="ED20" s="123"/>
      <c r="EE20" s="124">
        <f t="shared" si="67"/>
        <v>0</v>
      </c>
      <c r="EF20" s="27">
        <f t="shared" si="1"/>
        <v>0</v>
      </c>
      <c r="EG20" s="124">
        <f t="shared" si="68"/>
        <v>0</v>
      </c>
    </row>
    <row r="21" spans="1:137" ht="18" customHeight="1" x14ac:dyDescent="0.5">
      <c r="A21" s="117">
        <v>16</v>
      </c>
      <c r="B21" s="122" t="s">
        <v>148</v>
      </c>
      <c r="C21" s="122" t="s">
        <v>233</v>
      </c>
      <c r="D21" s="117">
        <f t="shared" si="70"/>
        <v>21</v>
      </c>
      <c r="E21" s="117">
        <v>0.35</v>
      </c>
      <c r="F21" s="117" t="s">
        <v>234</v>
      </c>
      <c r="G21" s="117"/>
      <c r="H21" s="123"/>
      <c r="I21" s="124">
        <f t="shared" si="2"/>
        <v>0</v>
      </c>
      <c r="J21" s="123"/>
      <c r="K21" s="124">
        <f t="shared" si="3"/>
        <v>0</v>
      </c>
      <c r="L21" s="123"/>
      <c r="M21" s="124">
        <f t="shared" si="4"/>
        <v>0</v>
      </c>
      <c r="N21" s="123"/>
      <c r="O21" s="124">
        <f t="shared" si="5"/>
        <v>0</v>
      </c>
      <c r="P21" s="123"/>
      <c r="Q21" s="124">
        <f t="shared" si="6"/>
        <v>0</v>
      </c>
      <c r="R21" s="123"/>
      <c r="S21" s="124">
        <f t="shared" si="7"/>
        <v>0</v>
      </c>
      <c r="T21" s="123"/>
      <c r="U21" s="124">
        <f t="shared" si="8"/>
        <v>0</v>
      </c>
      <c r="V21" s="123"/>
      <c r="W21" s="124">
        <f t="shared" si="9"/>
        <v>0</v>
      </c>
      <c r="X21" s="123"/>
      <c r="Y21" s="124">
        <f t="shared" si="10"/>
        <v>0</v>
      </c>
      <c r="Z21" s="123"/>
      <c r="AA21" s="124">
        <f t="shared" si="11"/>
        <v>0</v>
      </c>
      <c r="AB21" s="123"/>
      <c r="AC21" s="124">
        <f t="shared" si="12"/>
        <v>0</v>
      </c>
      <c r="AD21" s="123"/>
      <c r="AE21" s="124">
        <f t="shared" si="13"/>
        <v>0</v>
      </c>
      <c r="AF21" s="125">
        <f t="shared" si="14"/>
        <v>0</v>
      </c>
      <c r="AG21" s="126">
        <f t="shared" si="15"/>
        <v>0</v>
      </c>
      <c r="AH21" s="11"/>
      <c r="AI21" s="124">
        <f t="shared" si="16"/>
        <v>0</v>
      </c>
      <c r="AJ21" s="15"/>
      <c r="AK21" s="124">
        <f t="shared" si="17"/>
        <v>0</v>
      </c>
      <c r="AL21" s="15"/>
      <c r="AM21" s="124">
        <f t="shared" si="18"/>
        <v>0</v>
      </c>
      <c r="AN21" s="16"/>
      <c r="AO21" s="124">
        <f t="shared" si="19"/>
        <v>0</v>
      </c>
      <c r="AP21" s="15"/>
      <c r="AQ21" s="124">
        <f t="shared" si="20"/>
        <v>0</v>
      </c>
      <c r="AR21" s="15"/>
      <c r="AS21" s="124">
        <f t="shared" si="21"/>
        <v>0</v>
      </c>
      <c r="AT21" s="17"/>
      <c r="AU21" s="124">
        <f t="shared" si="22"/>
        <v>0</v>
      </c>
      <c r="AV21" s="15"/>
      <c r="AW21" s="124">
        <f t="shared" si="23"/>
        <v>0</v>
      </c>
      <c r="AX21" s="15"/>
      <c r="AY21" s="124">
        <f t="shared" si="24"/>
        <v>0</v>
      </c>
      <c r="AZ21" s="17"/>
      <c r="BA21" s="124">
        <f t="shared" si="25"/>
        <v>0</v>
      </c>
      <c r="BB21" s="33"/>
      <c r="BC21" s="124">
        <f t="shared" si="26"/>
        <v>0</v>
      </c>
      <c r="BD21" s="33"/>
      <c r="BE21" s="124">
        <f t="shared" si="27"/>
        <v>0</v>
      </c>
      <c r="BF21" s="125">
        <f t="shared" si="28"/>
        <v>0</v>
      </c>
      <c r="BG21" s="126">
        <f t="shared" si="29"/>
        <v>0</v>
      </c>
      <c r="BH21" s="123"/>
      <c r="BI21" s="124">
        <f t="shared" si="30"/>
        <v>0</v>
      </c>
      <c r="BJ21" s="123"/>
      <c r="BK21" s="124">
        <f t="shared" si="31"/>
        <v>0</v>
      </c>
      <c r="BL21" s="123"/>
      <c r="BM21" s="124">
        <f t="shared" si="32"/>
        <v>0</v>
      </c>
      <c r="BN21" s="123"/>
      <c r="BO21" s="124">
        <f t="shared" si="33"/>
        <v>0</v>
      </c>
      <c r="BP21" s="123"/>
      <c r="BQ21" s="124">
        <f t="shared" si="34"/>
        <v>0</v>
      </c>
      <c r="BR21" s="123"/>
      <c r="BS21" s="124">
        <f t="shared" si="35"/>
        <v>0</v>
      </c>
      <c r="BT21" s="123"/>
      <c r="BU21" s="124">
        <f t="shared" si="36"/>
        <v>0</v>
      </c>
      <c r="BV21" s="123"/>
      <c r="BW21" s="124">
        <f t="shared" si="37"/>
        <v>0</v>
      </c>
      <c r="BX21" s="123"/>
      <c r="BY21" s="124">
        <f t="shared" si="38"/>
        <v>0</v>
      </c>
      <c r="BZ21" s="123"/>
      <c r="CA21" s="124">
        <f t="shared" si="39"/>
        <v>0</v>
      </c>
      <c r="CB21" s="123"/>
      <c r="CC21" s="124">
        <f t="shared" si="40"/>
        <v>0</v>
      </c>
      <c r="CD21" s="123"/>
      <c r="CE21" s="124">
        <f t="shared" si="41"/>
        <v>0</v>
      </c>
      <c r="CF21" s="125">
        <f t="shared" si="42"/>
        <v>0</v>
      </c>
      <c r="CG21" s="126">
        <f t="shared" si="43"/>
        <v>0</v>
      </c>
      <c r="CH21" s="123"/>
      <c r="CI21" s="124">
        <f t="shared" si="44"/>
        <v>0</v>
      </c>
      <c r="CJ21" s="123"/>
      <c r="CK21" s="124">
        <f t="shared" si="45"/>
        <v>0</v>
      </c>
      <c r="CL21" s="123"/>
      <c r="CM21" s="124">
        <f t="shared" si="46"/>
        <v>0</v>
      </c>
      <c r="CN21" s="123"/>
      <c r="CO21" s="124">
        <f t="shared" si="47"/>
        <v>0</v>
      </c>
      <c r="CP21" s="123"/>
      <c r="CQ21" s="124">
        <f t="shared" si="48"/>
        <v>0</v>
      </c>
      <c r="CR21" s="123"/>
      <c r="CS21" s="124">
        <f t="shared" si="49"/>
        <v>0</v>
      </c>
      <c r="CT21" s="123"/>
      <c r="CU21" s="124">
        <f t="shared" si="50"/>
        <v>0</v>
      </c>
      <c r="CV21" s="123"/>
      <c r="CW21" s="124">
        <f t="shared" si="51"/>
        <v>0</v>
      </c>
      <c r="CX21" s="123"/>
      <c r="CY21" s="124">
        <f t="shared" si="52"/>
        <v>0</v>
      </c>
      <c r="CZ21" s="123"/>
      <c r="DA21" s="124">
        <f t="shared" si="53"/>
        <v>0</v>
      </c>
      <c r="DB21" s="123"/>
      <c r="DC21" s="124">
        <f t="shared" si="54"/>
        <v>0</v>
      </c>
      <c r="DD21" s="123"/>
      <c r="DE21" s="124">
        <f t="shared" si="54"/>
        <v>0</v>
      </c>
      <c r="DF21" s="177">
        <f t="shared" si="0"/>
        <v>0</v>
      </c>
      <c r="DG21" s="126">
        <f t="shared" si="55"/>
        <v>0</v>
      </c>
      <c r="DH21" s="123"/>
      <c r="DI21" s="124">
        <f t="shared" si="56"/>
        <v>0</v>
      </c>
      <c r="DJ21" s="123"/>
      <c r="DK21" s="124">
        <f t="shared" si="57"/>
        <v>0</v>
      </c>
      <c r="DL21" s="123"/>
      <c r="DM21" s="124">
        <f t="shared" si="58"/>
        <v>0</v>
      </c>
      <c r="DN21" s="123"/>
      <c r="DO21" s="124">
        <f t="shared" si="59"/>
        <v>0</v>
      </c>
      <c r="DP21" s="123"/>
      <c r="DQ21" s="124">
        <f t="shared" si="60"/>
        <v>0</v>
      </c>
      <c r="DR21" s="123"/>
      <c r="DS21" s="124">
        <f t="shared" si="61"/>
        <v>0</v>
      </c>
      <c r="DT21" s="123"/>
      <c r="DU21" s="124">
        <f t="shared" si="62"/>
        <v>0</v>
      </c>
      <c r="DV21" s="123"/>
      <c r="DW21" s="124">
        <f t="shared" si="63"/>
        <v>0</v>
      </c>
      <c r="DX21" s="123"/>
      <c r="DY21" s="124">
        <f t="shared" si="64"/>
        <v>0</v>
      </c>
      <c r="DZ21" s="123"/>
      <c r="EA21" s="124">
        <f t="shared" si="65"/>
        <v>0</v>
      </c>
      <c r="EB21" s="123"/>
      <c r="EC21" s="124">
        <f t="shared" si="66"/>
        <v>0</v>
      </c>
      <c r="ED21" s="123"/>
      <c r="EE21" s="124">
        <f t="shared" si="67"/>
        <v>0</v>
      </c>
      <c r="EF21" s="27">
        <f t="shared" si="1"/>
        <v>0</v>
      </c>
      <c r="EG21" s="124">
        <f t="shared" si="68"/>
        <v>0</v>
      </c>
    </row>
    <row r="22" spans="1:137" ht="18" customHeight="1" x14ac:dyDescent="0.5">
      <c r="A22" s="117">
        <v>17</v>
      </c>
      <c r="B22" s="122" t="s">
        <v>149</v>
      </c>
      <c r="C22" s="122" t="s">
        <v>231</v>
      </c>
      <c r="D22" s="117">
        <f t="shared" si="70"/>
        <v>8</v>
      </c>
      <c r="E22" s="117">
        <v>0.64</v>
      </c>
      <c r="F22" s="117" t="s">
        <v>236</v>
      </c>
      <c r="G22" s="117">
        <v>1250</v>
      </c>
      <c r="H22" s="123">
        <v>2660</v>
      </c>
      <c r="I22" s="124">
        <f t="shared" si="2"/>
        <v>1702.4</v>
      </c>
      <c r="J22" s="123">
        <v>700</v>
      </c>
      <c r="K22" s="124">
        <f t="shared" si="3"/>
        <v>448</v>
      </c>
      <c r="L22" s="123">
        <v>3654</v>
      </c>
      <c r="M22" s="124">
        <f t="shared" si="4"/>
        <v>2338.56</v>
      </c>
      <c r="N22" s="123">
        <v>4046</v>
      </c>
      <c r="O22" s="124">
        <f t="shared" si="5"/>
        <v>2589.44</v>
      </c>
      <c r="P22" s="123">
        <v>1540</v>
      </c>
      <c r="Q22" s="124">
        <f t="shared" si="6"/>
        <v>985.6</v>
      </c>
      <c r="R22" s="123">
        <v>3122</v>
      </c>
      <c r="S22" s="124">
        <f t="shared" si="7"/>
        <v>1998.0800000000002</v>
      </c>
      <c r="T22" s="123">
        <v>3906</v>
      </c>
      <c r="U22" s="124">
        <f t="shared" si="8"/>
        <v>2499.84</v>
      </c>
      <c r="V22" s="123">
        <v>3094</v>
      </c>
      <c r="W22" s="124">
        <f t="shared" si="9"/>
        <v>1980.16</v>
      </c>
      <c r="X22" s="123">
        <v>574</v>
      </c>
      <c r="Y22" s="124">
        <f t="shared" si="10"/>
        <v>367.36</v>
      </c>
      <c r="Z22" s="123">
        <v>1746</v>
      </c>
      <c r="AA22" s="124">
        <f t="shared" si="11"/>
        <v>1117.44</v>
      </c>
      <c r="AB22" s="123">
        <v>1344</v>
      </c>
      <c r="AC22" s="124">
        <f t="shared" si="12"/>
        <v>860.16</v>
      </c>
      <c r="AD22" s="123">
        <v>2758</v>
      </c>
      <c r="AE22" s="124">
        <f t="shared" si="13"/>
        <v>1765.1200000000001</v>
      </c>
      <c r="AF22" s="125">
        <f t="shared" si="14"/>
        <v>29144</v>
      </c>
      <c r="AG22" s="126">
        <f t="shared" si="15"/>
        <v>18652.16</v>
      </c>
      <c r="AH22" s="11"/>
      <c r="AI22" s="124">
        <f t="shared" si="16"/>
        <v>0</v>
      </c>
      <c r="AJ22" s="15">
        <v>1778</v>
      </c>
      <c r="AK22" s="124">
        <f t="shared" si="17"/>
        <v>1137.92</v>
      </c>
      <c r="AL22" s="15">
        <v>3640</v>
      </c>
      <c r="AM22" s="124">
        <f t="shared" si="18"/>
        <v>2329.6</v>
      </c>
      <c r="AN22" s="16">
        <v>2212</v>
      </c>
      <c r="AO22" s="124">
        <f t="shared" si="19"/>
        <v>1415.68</v>
      </c>
      <c r="AP22" s="15">
        <v>3696</v>
      </c>
      <c r="AQ22" s="124">
        <f t="shared" si="20"/>
        <v>2365.44</v>
      </c>
      <c r="AR22" s="15">
        <v>2394</v>
      </c>
      <c r="AS22" s="124">
        <f t="shared" si="21"/>
        <v>1532.16</v>
      </c>
      <c r="AT22" s="17">
        <v>3514</v>
      </c>
      <c r="AU22" s="124">
        <f t="shared" si="22"/>
        <v>2248.96</v>
      </c>
      <c r="AV22" s="15">
        <v>5068</v>
      </c>
      <c r="AW22" s="124">
        <f t="shared" si="23"/>
        <v>3243.52</v>
      </c>
      <c r="AX22" s="15">
        <v>602</v>
      </c>
      <c r="AY22" s="124">
        <f t="shared" si="24"/>
        <v>385.28000000000003</v>
      </c>
      <c r="AZ22" s="17">
        <v>1498</v>
      </c>
      <c r="BA22" s="124">
        <f t="shared" si="25"/>
        <v>958.72</v>
      </c>
      <c r="BB22" s="33">
        <v>2100</v>
      </c>
      <c r="BC22" s="124">
        <f t="shared" si="26"/>
        <v>1344</v>
      </c>
      <c r="BD22" s="33">
        <v>1470</v>
      </c>
      <c r="BE22" s="124">
        <f t="shared" si="27"/>
        <v>940.80000000000007</v>
      </c>
      <c r="BF22" s="125">
        <f t="shared" si="28"/>
        <v>27972</v>
      </c>
      <c r="BG22" s="126">
        <f t="shared" si="29"/>
        <v>17902.080000000002</v>
      </c>
      <c r="BH22" s="64">
        <v>1400</v>
      </c>
      <c r="BI22" s="124">
        <f t="shared" si="30"/>
        <v>896</v>
      </c>
      <c r="BJ22" s="64">
        <v>1960</v>
      </c>
      <c r="BK22" s="124">
        <f t="shared" si="31"/>
        <v>1254.4000000000001</v>
      </c>
      <c r="BL22" s="64">
        <v>2800</v>
      </c>
      <c r="BM22" s="124">
        <f t="shared" si="32"/>
        <v>1792</v>
      </c>
      <c r="BN22" s="64">
        <v>3500</v>
      </c>
      <c r="BO22" s="124">
        <f t="shared" si="33"/>
        <v>2240</v>
      </c>
      <c r="BP22" s="64">
        <v>2100</v>
      </c>
      <c r="BQ22" s="124">
        <f t="shared" si="34"/>
        <v>1344</v>
      </c>
      <c r="BR22" s="65">
        <v>4200</v>
      </c>
      <c r="BS22" s="124">
        <f t="shared" si="35"/>
        <v>2688</v>
      </c>
      <c r="BT22" s="71">
        <v>3500</v>
      </c>
      <c r="BU22" s="124">
        <f t="shared" si="36"/>
        <v>2240</v>
      </c>
      <c r="BV22" s="67">
        <v>3500</v>
      </c>
      <c r="BW22" s="124">
        <f t="shared" si="37"/>
        <v>2240</v>
      </c>
      <c r="BX22" s="67">
        <v>2800</v>
      </c>
      <c r="BY22" s="124">
        <f t="shared" si="38"/>
        <v>1792</v>
      </c>
      <c r="BZ22" s="67">
        <v>3500</v>
      </c>
      <c r="CA22" s="124">
        <f t="shared" si="39"/>
        <v>2240</v>
      </c>
      <c r="CB22" s="67">
        <v>4200</v>
      </c>
      <c r="CC22" s="124">
        <f t="shared" si="40"/>
        <v>2688</v>
      </c>
      <c r="CD22" s="67">
        <v>2800</v>
      </c>
      <c r="CE22" s="124">
        <f t="shared" si="41"/>
        <v>1792</v>
      </c>
      <c r="CF22" s="125">
        <f t="shared" si="42"/>
        <v>36260</v>
      </c>
      <c r="CG22" s="126">
        <f t="shared" si="43"/>
        <v>23206.400000000001</v>
      </c>
      <c r="CH22" s="123">
        <v>2800</v>
      </c>
      <c r="CI22" s="124">
        <f t="shared" si="44"/>
        <v>1792</v>
      </c>
      <c r="CJ22" s="123">
        <v>1400</v>
      </c>
      <c r="CK22" s="124">
        <f t="shared" si="45"/>
        <v>896</v>
      </c>
      <c r="CL22" s="123">
        <v>2800</v>
      </c>
      <c r="CM22" s="124">
        <f t="shared" si="46"/>
        <v>1792</v>
      </c>
      <c r="CN22" s="123">
        <v>4200</v>
      </c>
      <c r="CO22" s="124">
        <f t="shared" si="47"/>
        <v>2688</v>
      </c>
      <c r="CP22" s="123">
        <v>1400</v>
      </c>
      <c r="CQ22" s="124">
        <f t="shared" si="48"/>
        <v>896</v>
      </c>
      <c r="CR22" s="123">
        <v>2800</v>
      </c>
      <c r="CS22" s="124">
        <f t="shared" si="49"/>
        <v>1792</v>
      </c>
      <c r="CT22" s="123">
        <v>4200</v>
      </c>
      <c r="CU22" s="124">
        <f t="shared" si="50"/>
        <v>2688</v>
      </c>
      <c r="CV22" s="123">
        <v>1400</v>
      </c>
      <c r="CW22" s="124">
        <f t="shared" si="51"/>
        <v>896</v>
      </c>
      <c r="CX22" s="123">
        <v>2800</v>
      </c>
      <c r="CY22" s="124">
        <f t="shared" si="52"/>
        <v>1792</v>
      </c>
      <c r="CZ22" s="123">
        <v>2800</v>
      </c>
      <c r="DA22" s="124">
        <f t="shared" si="53"/>
        <v>1792</v>
      </c>
      <c r="DB22" s="123">
        <v>4200</v>
      </c>
      <c r="DC22" s="124">
        <f t="shared" si="54"/>
        <v>2688</v>
      </c>
      <c r="DD22" s="123"/>
      <c r="DE22" s="124">
        <f t="shared" si="54"/>
        <v>0</v>
      </c>
      <c r="DF22" s="177">
        <f t="shared" si="0"/>
        <v>30800</v>
      </c>
      <c r="DG22" s="126">
        <f t="shared" si="55"/>
        <v>19712</v>
      </c>
      <c r="DH22" s="123">
        <v>2842</v>
      </c>
      <c r="DI22" s="124">
        <f t="shared" si="56"/>
        <v>1818.88</v>
      </c>
      <c r="DJ22" s="123">
        <v>4200</v>
      </c>
      <c r="DK22" s="124">
        <f t="shared" si="57"/>
        <v>2688</v>
      </c>
      <c r="DL22" s="123"/>
      <c r="DM22" s="124">
        <f t="shared" si="58"/>
        <v>0</v>
      </c>
      <c r="DN22" s="123"/>
      <c r="DO22" s="124">
        <f t="shared" si="59"/>
        <v>0</v>
      </c>
      <c r="DP22" s="123"/>
      <c r="DQ22" s="124">
        <f t="shared" si="60"/>
        <v>0</v>
      </c>
      <c r="DR22" s="123"/>
      <c r="DS22" s="124">
        <f t="shared" si="61"/>
        <v>0</v>
      </c>
      <c r="DT22" s="123"/>
      <c r="DU22" s="124">
        <f t="shared" si="62"/>
        <v>0</v>
      </c>
      <c r="DV22" s="123"/>
      <c r="DW22" s="124">
        <f t="shared" si="63"/>
        <v>0</v>
      </c>
      <c r="DX22" s="123"/>
      <c r="DY22" s="124">
        <f t="shared" si="64"/>
        <v>0</v>
      </c>
      <c r="DZ22" s="123"/>
      <c r="EA22" s="124">
        <f t="shared" si="65"/>
        <v>0</v>
      </c>
      <c r="EB22" s="123"/>
      <c r="EC22" s="124">
        <f t="shared" si="66"/>
        <v>0</v>
      </c>
      <c r="ED22" s="123"/>
      <c r="EE22" s="124">
        <f t="shared" si="67"/>
        <v>0</v>
      </c>
      <c r="EF22" s="27">
        <f t="shared" si="1"/>
        <v>7042</v>
      </c>
      <c r="EG22" s="124">
        <f t="shared" si="68"/>
        <v>4506.88</v>
      </c>
    </row>
    <row r="23" spans="1:137" ht="18" customHeight="1" x14ac:dyDescent="0.5">
      <c r="A23" s="117">
        <v>18</v>
      </c>
      <c r="B23" s="122" t="s">
        <v>150</v>
      </c>
      <c r="C23" s="122" t="s">
        <v>231</v>
      </c>
      <c r="D23" s="117">
        <f t="shared" si="70"/>
        <v>21</v>
      </c>
      <c r="E23" s="117">
        <v>0.64</v>
      </c>
      <c r="F23" s="117" t="s">
        <v>236</v>
      </c>
      <c r="G23" s="117"/>
      <c r="H23" s="123"/>
      <c r="I23" s="124">
        <f t="shared" si="2"/>
        <v>0</v>
      </c>
      <c r="J23" s="123"/>
      <c r="K23" s="124">
        <f t="shared" si="3"/>
        <v>0</v>
      </c>
      <c r="L23" s="123"/>
      <c r="M23" s="124">
        <f t="shared" si="4"/>
        <v>0</v>
      </c>
      <c r="N23" s="123"/>
      <c r="O23" s="124">
        <f t="shared" si="5"/>
        <v>0</v>
      </c>
      <c r="P23" s="123"/>
      <c r="Q23" s="124">
        <f t="shared" si="6"/>
        <v>0</v>
      </c>
      <c r="R23" s="123"/>
      <c r="S23" s="124">
        <f t="shared" si="7"/>
        <v>0</v>
      </c>
      <c r="T23" s="123"/>
      <c r="U23" s="124">
        <f t="shared" si="8"/>
        <v>0</v>
      </c>
      <c r="V23" s="123"/>
      <c r="W23" s="124">
        <f t="shared" si="9"/>
        <v>0</v>
      </c>
      <c r="X23" s="123"/>
      <c r="Y23" s="124">
        <f t="shared" si="10"/>
        <v>0</v>
      </c>
      <c r="Z23" s="123"/>
      <c r="AA23" s="124">
        <f t="shared" si="11"/>
        <v>0</v>
      </c>
      <c r="AB23" s="123"/>
      <c r="AC23" s="124">
        <f t="shared" si="12"/>
        <v>0</v>
      </c>
      <c r="AD23" s="123"/>
      <c r="AE23" s="124">
        <f t="shared" si="13"/>
        <v>0</v>
      </c>
      <c r="AF23" s="125">
        <f t="shared" si="14"/>
        <v>0</v>
      </c>
      <c r="AG23" s="126">
        <f t="shared" si="15"/>
        <v>0</v>
      </c>
      <c r="AH23" s="11"/>
      <c r="AI23" s="124">
        <f t="shared" si="16"/>
        <v>0</v>
      </c>
      <c r="AJ23" s="15"/>
      <c r="AK23" s="124">
        <f t="shared" si="17"/>
        <v>0</v>
      </c>
      <c r="AL23" s="15"/>
      <c r="AM23" s="124">
        <f t="shared" si="18"/>
        <v>0</v>
      </c>
      <c r="AN23" s="16"/>
      <c r="AO23" s="124">
        <f t="shared" si="19"/>
        <v>0</v>
      </c>
      <c r="AP23" s="15"/>
      <c r="AQ23" s="124">
        <f t="shared" si="20"/>
        <v>0</v>
      </c>
      <c r="AR23" s="15"/>
      <c r="AS23" s="124">
        <f t="shared" si="21"/>
        <v>0</v>
      </c>
      <c r="AT23" s="17"/>
      <c r="AU23" s="124">
        <f t="shared" si="22"/>
        <v>0</v>
      </c>
      <c r="AV23" s="15"/>
      <c r="AW23" s="124">
        <f t="shared" si="23"/>
        <v>0</v>
      </c>
      <c r="AX23" s="15"/>
      <c r="AY23" s="124">
        <f t="shared" si="24"/>
        <v>0</v>
      </c>
      <c r="AZ23" s="17"/>
      <c r="BA23" s="124">
        <f t="shared" si="25"/>
        <v>0</v>
      </c>
      <c r="BB23" s="33"/>
      <c r="BC23" s="124">
        <f t="shared" si="26"/>
        <v>0</v>
      </c>
      <c r="BD23" s="33"/>
      <c r="BE23" s="124">
        <f t="shared" si="27"/>
        <v>0</v>
      </c>
      <c r="BF23" s="125">
        <f t="shared" si="28"/>
        <v>0</v>
      </c>
      <c r="BG23" s="126">
        <f t="shared" si="29"/>
        <v>0</v>
      </c>
      <c r="BH23" s="123"/>
      <c r="BI23" s="124">
        <f t="shared" si="30"/>
        <v>0</v>
      </c>
      <c r="BJ23" s="123"/>
      <c r="BK23" s="124">
        <f t="shared" si="31"/>
        <v>0</v>
      </c>
      <c r="BL23" s="123"/>
      <c r="BM23" s="124">
        <f t="shared" si="32"/>
        <v>0</v>
      </c>
      <c r="BN23" s="123"/>
      <c r="BO23" s="124">
        <f t="shared" si="33"/>
        <v>0</v>
      </c>
      <c r="BP23" s="123"/>
      <c r="BQ23" s="124">
        <f t="shared" si="34"/>
        <v>0</v>
      </c>
      <c r="BR23" s="123"/>
      <c r="BS23" s="124">
        <f t="shared" si="35"/>
        <v>0</v>
      </c>
      <c r="BT23" s="123"/>
      <c r="BU23" s="124">
        <f t="shared" si="36"/>
        <v>0</v>
      </c>
      <c r="BV23" s="123"/>
      <c r="BW23" s="124">
        <f t="shared" si="37"/>
        <v>0</v>
      </c>
      <c r="BX23" s="123"/>
      <c r="BY23" s="124">
        <f t="shared" si="38"/>
        <v>0</v>
      </c>
      <c r="BZ23" s="123"/>
      <c r="CA23" s="124">
        <f t="shared" si="39"/>
        <v>0</v>
      </c>
      <c r="CB23" s="123"/>
      <c r="CC23" s="124">
        <f t="shared" si="40"/>
        <v>0</v>
      </c>
      <c r="CD23" s="123"/>
      <c r="CE23" s="124">
        <f t="shared" si="41"/>
        <v>0</v>
      </c>
      <c r="CF23" s="125">
        <f t="shared" si="42"/>
        <v>0</v>
      </c>
      <c r="CG23" s="126">
        <f t="shared" si="43"/>
        <v>0</v>
      </c>
      <c r="CH23" s="123"/>
      <c r="CI23" s="124">
        <f t="shared" si="44"/>
        <v>0</v>
      </c>
      <c r="CJ23" s="123"/>
      <c r="CK23" s="124">
        <f t="shared" si="45"/>
        <v>0</v>
      </c>
      <c r="CL23" s="123"/>
      <c r="CM23" s="124">
        <f t="shared" si="46"/>
        <v>0</v>
      </c>
      <c r="CN23" s="123"/>
      <c r="CO23" s="124">
        <f t="shared" si="47"/>
        <v>0</v>
      </c>
      <c r="CP23" s="123"/>
      <c r="CQ23" s="124">
        <f t="shared" si="48"/>
        <v>0</v>
      </c>
      <c r="CR23" s="123"/>
      <c r="CS23" s="124">
        <f t="shared" si="49"/>
        <v>0</v>
      </c>
      <c r="CT23" s="123"/>
      <c r="CU23" s="124">
        <f t="shared" si="50"/>
        <v>0</v>
      </c>
      <c r="CV23" s="123"/>
      <c r="CW23" s="124">
        <f t="shared" si="51"/>
        <v>0</v>
      </c>
      <c r="CX23" s="123"/>
      <c r="CY23" s="124">
        <f t="shared" si="52"/>
        <v>0</v>
      </c>
      <c r="CZ23" s="123"/>
      <c r="DA23" s="124">
        <f t="shared" si="53"/>
        <v>0</v>
      </c>
      <c r="DB23" s="123"/>
      <c r="DC23" s="124">
        <f t="shared" si="54"/>
        <v>0</v>
      </c>
      <c r="DD23" s="123"/>
      <c r="DE23" s="124">
        <f t="shared" si="54"/>
        <v>0</v>
      </c>
      <c r="DF23" s="177">
        <f t="shared" si="0"/>
        <v>0</v>
      </c>
      <c r="DG23" s="126">
        <f t="shared" si="55"/>
        <v>0</v>
      </c>
      <c r="DH23" s="123"/>
      <c r="DI23" s="124">
        <f t="shared" si="56"/>
        <v>0</v>
      </c>
      <c r="DJ23" s="123"/>
      <c r="DK23" s="124">
        <f t="shared" si="57"/>
        <v>0</v>
      </c>
      <c r="DL23" s="123"/>
      <c r="DM23" s="124">
        <f t="shared" si="58"/>
        <v>0</v>
      </c>
      <c r="DN23" s="123"/>
      <c r="DO23" s="124">
        <f t="shared" si="59"/>
        <v>0</v>
      </c>
      <c r="DP23" s="123"/>
      <c r="DQ23" s="124">
        <f t="shared" si="60"/>
        <v>0</v>
      </c>
      <c r="DR23" s="123"/>
      <c r="DS23" s="124">
        <f t="shared" si="61"/>
        <v>0</v>
      </c>
      <c r="DT23" s="123"/>
      <c r="DU23" s="124">
        <f t="shared" si="62"/>
        <v>0</v>
      </c>
      <c r="DV23" s="123"/>
      <c r="DW23" s="124">
        <f t="shared" si="63"/>
        <v>0</v>
      </c>
      <c r="DX23" s="123"/>
      <c r="DY23" s="124">
        <f t="shared" si="64"/>
        <v>0</v>
      </c>
      <c r="DZ23" s="123"/>
      <c r="EA23" s="124">
        <f t="shared" si="65"/>
        <v>0</v>
      </c>
      <c r="EB23" s="123"/>
      <c r="EC23" s="124">
        <f t="shared" si="66"/>
        <v>0</v>
      </c>
      <c r="ED23" s="123"/>
      <c r="EE23" s="124">
        <f t="shared" si="67"/>
        <v>0</v>
      </c>
      <c r="EF23" s="27">
        <f t="shared" si="1"/>
        <v>0</v>
      </c>
      <c r="EG23" s="124">
        <f t="shared" si="68"/>
        <v>0</v>
      </c>
    </row>
    <row r="24" spans="1:137" ht="18" customHeight="1" x14ac:dyDescent="0.5">
      <c r="A24" s="117">
        <v>19</v>
      </c>
      <c r="B24" s="122" t="s">
        <v>151</v>
      </c>
      <c r="C24" s="122" t="s">
        <v>231</v>
      </c>
      <c r="D24" s="117">
        <f t="shared" si="70"/>
        <v>21</v>
      </c>
      <c r="E24" s="117">
        <v>0.64</v>
      </c>
      <c r="F24" s="117" t="s">
        <v>236</v>
      </c>
      <c r="G24" s="117"/>
      <c r="H24" s="123"/>
      <c r="I24" s="124">
        <f t="shared" si="2"/>
        <v>0</v>
      </c>
      <c r="J24" s="123"/>
      <c r="K24" s="124">
        <f t="shared" si="3"/>
        <v>0</v>
      </c>
      <c r="L24" s="123"/>
      <c r="M24" s="124">
        <f t="shared" si="4"/>
        <v>0</v>
      </c>
      <c r="N24" s="123"/>
      <c r="O24" s="124">
        <f t="shared" si="5"/>
        <v>0</v>
      </c>
      <c r="P24" s="123"/>
      <c r="Q24" s="124">
        <f t="shared" si="6"/>
        <v>0</v>
      </c>
      <c r="R24" s="123"/>
      <c r="S24" s="124">
        <f t="shared" si="7"/>
        <v>0</v>
      </c>
      <c r="T24" s="123"/>
      <c r="U24" s="124">
        <f t="shared" si="8"/>
        <v>0</v>
      </c>
      <c r="V24" s="123"/>
      <c r="W24" s="124">
        <f t="shared" si="9"/>
        <v>0</v>
      </c>
      <c r="X24" s="123"/>
      <c r="Y24" s="124">
        <f t="shared" si="10"/>
        <v>0</v>
      </c>
      <c r="Z24" s="123"/>
      <c r="AA24" s="124">
        <f t="shared" si="11"/>
        <v>0</v>
      </c>
      <c r="AB24" s="123"/>
      <c r="AC24" s="124">
        <f t="shared" si="12"/>
        <v>0</v>
      </c>
      <c r="AD24" s="123"/>
      <c r="AE24" s="124">
        <f t="shared" si="13"/>
        <v>0</v>
      </c>
      <c r="AF24" s="125">
        <f t="shared" si="14"/>
        <v>0</v>
      </c>
      <c r="AG24" s="126">
        <f t="shared" si="15"/>
        <v>0</v>
      </c>
      <c r="AH24" s="11"/>
      <c r="AI24" s="124">
        <f t="shared" si="16"/>
        <v>0</v>
      </c>
      <c r="AJ24" s="15"/>
      <c r="AK24" s="124">
        <f t="shared" si="17"/>
        <v>0</v>
      </c>
      <c r="AL24" s="15"/>
      <c r="AM24" s="124">
        <f t="shared" si="18"/>
        <v>0</v>
      </c>
      <c r="AN24" s="16"/>
      <c r="AO24" s="124">
        <f t="shared" si="19"/>
        <v>0</v>
      </c>
      <c r="AP24" s="15"/>
      <c r="AQ24" s="124">
        <f t="shared" si="20"/>
        <v>0</v>
      </c>
      <c r="AR24" s="15"/>
      <c r="AS24" s="124">
        <f t="shared" si="21"/>
        <v>0</v>
      </c>
      <c r="AT24" s="17"/>
      <c r="AU24" s="124">
        <f t="shared" si="22"/>
        <v>0</v>
      </c>
      <c r="AV24" s="15"/>
      <c r="AW24" s="124">
        <f t="shared" si="23"/>
        <v>0</v>
      </c>
      <c r="AX24" s="15"/>
      <c r="AY24" s="124">
        <f t="shared" si="24"/>
        <v>0</v>
      </c>
      <c r="AZ24" s="17"/>
      <c r="BA24" s="124">
        <f t="shared" si="25"/>
        <v>0</v>
      </c>
      <c r="BB24" s="33"/>
      <c r="BC24" s="124">
        <f t="shared" si="26"/>
        <v>0</v>
      </c>
      <c r="BD24" s="33"/>
      <c r="BE24" s="124">
        <f t="shared" si="27"/>
        <v>0</v>
      </c>
      <c r="BF24" s="125">
        <f t="shared" si="28"/>
        <v>0</v>
      </c>
      <c r="BG24" s="126">
        <f t="shared" si="29"/>
        <v>0</v>
      </c>
      <c r="BH24" s="123"/>
      <c r="BI24" s="124">
        <f t="shared" si="30"/>
        <v>0</v>
      </c>
      <c r="BJ24" s="123"/>
      <c r="BK24" s="124">
        <f t="shared" si="31"/>
        <v>0</v>
      </c>
      <c r="BL24" s="123"/>
      <c r="BM24" s="124">
        <f t="shared" si="32"/>
        <v>0</v>
      </c>
      <c r="BN24" s="123"/>
      <c r="BO24" s="124">
        <f t="shared" si="33"/>
        <v>0</v>
      </c>
      <c r="BP24" s="123"/>
      <c r="BQ24" s="124">
        <f t="shared" si="34"/>
        <v>0</v>
      </c>
      <c r="BR24" s="123"/>
      <c r="BS24" s="124">
        <f t="shared" si="35"/>
        <v>0</v>
      </c>
      <c r="BT24" s="123"/>
      <c r="BU24" s="124">
        <f t="shared" si="36"/>
        <v>0</v>
      </c>
      <c r="BV24" s="123"/>
      <c r="BW24" s="124">
        <f t="shared" si="37"/>
        <v>0</v>
      </c>
      <c r="BX24" s="123"/>
      <c r="BY24" s="124">
        <f t="shared" si="38"/>
        <v>0</v>
      </c>
      <c r="BZ24" s="123"/>
      <c r="CA24" s="124">
        <f t="shared" si="39"/>
        <v>0</v>
      </c>
      <c r="CB24" s="123"/>
      <c r="CC24" s="124">
        <f t="shared" si="40"/>
        <v>0</v>
      </c>
      <c r="CD24" s="123"/>
      <c r="CE24" s="124">
        <f t="shared" si="41"/>
        <v>0</v>
      </c>
      <c r="CF24" s="125">
        <f t="shared" si="42"/>
        <v>0</v>
      </c>
      <c r="CG24" s="126">
        <f t="shared" si="43"/>
        <v>0</v>
      </c>
      <c r="CH24" s="123"/>
      <c r="CI24" s="124">
        <f t="shared" si="44"/>
        <v>0</v>
      </c>
      <c r="CJ24" s="123"/>
      <c r="CK24" s="124">
        <f t="shared" si="45"/>
        <v>0</v>
      </c>
      <c r="CL24" s="123"/>
      <c r="CM24" s="124">
        <f t="shared" si="46"/>
        <v>0</v>
      </c>
      <c r="CN24" s="123"/>
      <c r="CO24" s="124">
        <f t="shared" si="47"/>
        <v>0</v>
      </c>
      <c r="CP24" s="123"/>
      <c r="CQ24" s="124">
        <f t="shared" si="48"/>
        <v>0</v>
      </c>
      <c r="CR24" s="123"/>
      <c r="CS24" s="124">
        <f t="shared" si="49"/>
        <v>0</v>
      </c>
      <c r="CT24" s="123"/>
      <c r="CU24" s="124">
        <f t="shared" si="50"/>
        <v>0</v>
      </c>
      <c r="CV24" s="123"/>
      <c r="CW24" s="124">
        <f t="shared" si="51"/>
        <v>0</v>
      </c>
      <c r="CX24" s="123"/>
      <c r="CY24" s="124">
        <f t="shared" si="52"/>
        <v>0</v>
      </c>
      <c r="CZ24" s="123"/>
      <c r="DA24" s="124">
        <f t="shared" si="53"/>
        <v>0</v>
      </c>
      <c r="DB24" s="123"/>
      <c r="DC24" s="124">
        <f t="shared" si="54"/>
        <v>0</v>
      </c>
      <c r="DD24" s="123"/>
      <c r="DE24" s="124">
        <f t="shared" si="54"/>
        <v>0</v>
      </c>
      <c r="DF24" s="177">
        <f t="shared" si="0"/>
        <v>0</v>
      </c>
      <c r="DG24" s="126">
        <f t="shared" si="55"/>
        <v>0</v>
      </c>
      <c r="DH24" s="123"/>
      <c r="DI24" s="124">
        <f t="shared" si="56"/>
        <v>0</v>
      </c>
      <c r="DJ24" s="123"/>
      <c r="DK24" s="124">
        <f t="shared" si="57"/>
        <v>0</v>
      </c>
      <c r="DL24" s="123"/>
      <c r="DM24" s="124">
        <f t="shared" si="58"/>
        <v>0</v>
      </c>
      <c r="DN24" s="123"/>
      <c r="DO24" s="124">
        <f t="shared" si="59"/>
        <v>0</v>
      </c>
      <c r="DP24" s="123"/>
      <c r="DQ24" s="124">
        <f t="shared" si="60"/>
        <v>0</v>
      </c>
      <c r="DR24" s="123"/>
      <c r="DS24" s="124">
        <f t="shared" si="61"/>
        <v>0</v>
      </c>
      <c r="DT24" s="123"/>
      <c r="DU24" s="124">
        <f t="shared" si="62"/>
        <v>0</v>
      </c>
      <c r="DV24" s="123"/>
      <c r="DW24" s="124">
        <f t="shared" si="63"/>
        <v>0</v>
      </c>
      <c r="DX24" s="123"/>
      <c r="DY24" s="124">
        <f t="shared" si="64"/>
        <v>0</v>
      </c>
      <c r="DZ24" s="123"/>
      <c r="EA24" s="124">
        <f t="shared" si="65"/>
        <v>0</v>
      </c>
      <c r="EB24" s="123"/>
      <c r="EC24" s="124">
        <f t="shared" si="66"/>
        <v>0</v>
      </c>
      <c r="ED24" s="123"/>
      <c r="EE24" s="124">
        <f t="shared" si="67"/>
        <v>0</v>
      </c>
      <c r="EF24" s="27">
        <f t="shared" si="1"/>
        <v>0</v>
      </c>
      <c r="EG24" s="124">
        <f t="shared" si="68"/>
        <v>0</v>
      </c>
    </row>
    <row r="25" spans="1:137" ht="18" customHeight="1" x14ac:dyDescent="0.5">
      <c r="A25" s="117"/>
      <c r="B25" s="122"/>
      <c r="C25" s="122"/>
      <c r="D25" s="117"/>
      <c r="E25" s="117"/>
      <c r="F25" s="117"/>
      <c r="G25" s="117"/>
      <c r="H25" s="123"/>
      <c r="I25" s="124">
        <f t="shared" si="2"/>
        <v>0</v>
      </c>
      <c r="J25" s="123"/>
      <c r="K25" s="124">
        <f t="shared" si="3"/>
        <v>0</v>
      </c>
      <c r="L25" s="123"/>
      <c r="M25" s="124">
        <f t="shared" si="4"/>
        <v>0</v>
      </c>
      <c r="N25" s="123"/>
      <c r="O25" s="124">
        <f t="shared" si="5"/>
        <v>0</v>
      </c>
      <c r="P25" s="123"/>
      <c r="Q25" s="124">
        <f t="shared" si="6"/>
        <v>0</v>
      </c>
      <c r="R25" s="123"/>
      <c r="S25" s="124">
        <f t="shared" si="7"/>
        <v>0</v>
      </c>
      <c r="T25" s="123"/>
      <c r="U25" s="124">
        <f t="shared" si="8"/>
        <v>0</v>
      </c>
      <c r="V25" s="123"/>
      <c r="W25" s="124">
        <f t="shared" si="9"/>
        <v>0</v>
      </c>
      <c r="X25" s="123"/>
      <c r="Y25" s="124">
        <f t="shared" si="10"/>
        <v>0</v>
      </c>
      <c r="Z25" s="123"/>
      <c r="AA25" s="124">
        <f t="shared" si="11"/>
        <v>0</v>
      </c>
      <c r="AB25" s="123"/>
      <c r="AC25" s="124">
        <f t="shared" si="12"/>
        <v>0</v>
      </c>
      <c r="AD25" s="123"/>
      <c r="AE25" s="124">
        <f t="shared" si="13"/>
        <v>0</v>
      </c>
      <c r="AF25" s="125">
        <f t="shared" si="14"/>
        <v>0</v>
      </c>
      <c r="AG25" s="126">
        <f t="shared" si="15"/>
        <v>0</v>
      </c>
      <c r="AH25" s="11"/>
      <c r="AI25" s="124">
        <f t="shared" si="16"/>
        <v>0</v>
      </c>
      <c r="AJ25" s="15"/>
      <c r="AK25" s="124">
        <f t="shared" si="17"/>
        <v>0</v>
      </c>
      <c r="AL25" s="15"/>
      <c r="AM25" s="124">
        <f t="shared" si="18"/>
        <v>0</v>
      </c>
      <c r="AN25" s="16"/>
      <c r="AO25" s="124">
        <f t="shared" si="19"/>
        <v>0</v>
      </c>
      <c r="AP25" s="15"/>
      <c r="AQ25" s="124">
        <f t="shared" si="20"/>
        <v>0</v>
      </c>
      <c r="AR25" s="15"/>
      <c r="AS25" s="124">
        <f t="shared" si="21"/>
        <v>0</v>
      </c>
      <c r="AT25" s="17"/>
      <c r="AU25" s="124">
        <f t="shared" si="22"/>
        <v>0</v>
      </c>
      <c r="AV25" s="15"/>
      <c r="AW25" s="124">
        <f t="shared" si="23"/>
        <v>0</v>
      </c>
      <c r="AX25" s="15"/>
      <c r="AY25" s="124">
        <f t="shared" si="24"/>
        <v>0</v>
      </c>
      <c r="AZ25" s="17"/>
      <c r="BA25" s="124">
        <f t="shared" si="25"/>
        <v>0</v>
      </c>
      <c r="BB25" s="33"/>
      <c r="BC25" s="124">
        <f t="shared" si="26"/>
        <v>0</v>
      </c>
      <c r="BD25" s="33"/>
      <c r="BE25" s="124">
        <f t="shared" si="27"/>
        <v>0</v>
      </c>
      <c r="BF25" s="125">
        <f t="shared" si="28"/>
        <v>0</v>
      </c>
      <c r="BG25" s="126">
        <f t="shared" si="29"/>
        <v>0</v>
      </c>
      <c r="BH25" s="123"/>
      <c r="BI25" s="124">
        <f t="shared" si="30"/>
        <v>0</v>
      </c>
      <c r="BJ25" s="123"/>
      <c r="BK25" s="124">
        <f t="shared" si="31"/>
        <v>0</v>
      </c>
      <c r="BL25" s="123"/>
      <c r="BM25" s="124">
        <f t="shared" si="32"/>
        <v>0</v>
      </c>
      <c r="BN25" s="123"/>
      <c r="BO25" s="124">
        <f t="shared" si="33"/>
        <v>0</v>
      </c>
      <c r="BP25" s="123"/>
      <c r="BQ25" s="124">
        <f t="shared" si="34"/>
        <v>0</v>
      </c>
      <c r="BR25" s="123"/>
      <c r="BS25" s="124">
        <f t="shared" si="35"/>
        <v>0</v>
      </c>
      <c r="BT25" s="123"/>
      <c r="BU25" s="124">
        <f t="shared" si="36"/>
        <v>0</v>
      </c>
      <c r="BV25" s="123"/>
      <c r="BW25" s="124">
        <f t="shared" si="37"/>
        <v>0</v>
      </c>
      <c r="BX25" s="123"/>
      <c r="BY25" s="124">
        <f t="shared" si="38"/>
        <v>0</v>
      </c>
      <c r="BZ25" s="123"/>
      <c r="CA25" s="124">
        <f t="shared" si="39"/>
        <v>0</v>
      </c>
      <c r="CB25" s="123"/>
      <c r="CC25" s="124">
        <f t="shared" si="40"/>
        <v>0</v>
      </c>
      <c r="CD25" s="123"/>
      <c r="CE25" s="124">
        <f t="shared" si="41"/>
        <v>0</v>
      </c>
      <c r="CF25" s="125">
        <f t="shared" si="42"/>
        <v>0</v>
      </c>
      <c r="CG25" s="126">
        <f t="shared" si="43"/>
        <v>0</v>
      </c>
      <c r="CH25" s="123"/>
      <c r="CI25" s="124">
        <f t="shared" si="44"/>
        <v>0</v>
      </c>
      <c r="CJ25" s="123"/>
      <c r="CK25" s="124">
        <f t="shared" si="45"/>
        <v>0</v>
      </c>
      <c r="CL25" s="123"/>
      <c r="CM25" s="124">
        <f t="shared" si="46"/>
        <v>0</v>
      </c>
      <c r="CN25" s="123"/>
      <c r="CO25" s="124">
        <f t="shared" si="47"/>
        <v>0</v>
      </c>
      <c r="CP25" s="123"/>
      <c r="CQ25" s="124">
        <f t="shared" si="48"/>
        <v>0</v>
      </c>
      <c r="CR25" s="123"/>
      <c r="CS25" s="124">
        <f t="shared" si="49"/>
        <v>0</v>
      </c>
      <c r="CT25" s="123"/>
      <c r="CU25" s="124">
        <f t="shared" si="50"/>
        <v>0</v>
      </c>
      <c r="CV25" s="123"/>
      <c r="CW25" s="124">
        <f t="shared" si="51"/>
        <v>0</v>
      </c>
      <c r="CX25" s="123"/>
      <c r="CY25" s="124">
        <f t="shared" si="52"/>
        <v>0</v>
      </c>
      <c r="CZ25" s="123"/>
      <c r="DA25" s="124">
        <f t="shared" si="53"/>
        <v>0</v>
      </c>
      <c r="DB25" s="123"/>
      <c r="DC25" s="124">
        <f t="shared" si="54"/>
        <v>0</v>
      </c>
      <c r="DD25" s="123"/>
      <c r="DE25" s="124">
        <f t="shared" si="54"/>
        <v>0</v>
      </c>
      <c r="DF25" s="177">
        <f t="shared" si="0"/>
        <v>0</v>
      </c>
      <c r="DG25" s="126">
        <f t="shared" si="55"/>
        <v>0</v>
      </c>
      <c r="DH25" s="123"/>
      <c r="DI25" s="124">
        <f t="shared" si="56"/>
        <v>0</v>
      </c>
      <c r="DJ25" s="123"/>
      <c r="DK25" s="124">
        <f t="shared" si="57"/>
        <v>0</v>
      </c>
      <c r="DL25" s="123"/>
      <c r="DM25" s="124">
        <f t="shared" si="58"/>
        <v>0</v>
      </c>
      <c r="DN25" s="123"/>
      <c r="DO25" s="124">
        <f t="shared" si="59"/>
        <v>0</v>
      </c>
      <c r="DP25" s="123"/>
      <c r="DQ25" s="124">
        <f t="shared" si="60"/>
        <v>0</v>
      </c>
      <c r="DR25" s="123"/>
      <c r="DS25" s="124">
        <f t="shared" si="61"/>
        <v>0</v>
      </c>
      <c r="DT25" s="123"/>
      <c r="DU25" s="124">
        <f t="shared" si="62"/>
        <v>0</v>
      </c>
      <c r="DV25" s="123"/>
      <c r="DW25" s="124">
        <f t="shared" si="63"/>
        <v>0</v>
      </c>
      <c r="DX25" s="123"/>
      <c r="DY25" s="124">
        <f t="shared" si="64"/>
        <v>0</v>
      </c>
      <c r="DZ25" s="123"/>
      <c r="EA25" s="124">
        <f t="shared" si="65"/>
        <v>0</v>
      </c>
      <c r="EB25" s="123"/>
      <c r="EC25" s="124">
        <f t="shared" si="66"/>
        <v>0</v>
      </c>
      <c r="ED25" s="123"/>
      <c r="EE25" s="124">
        <f t="shared" si="67"/>
        <v>0</v>
      </c>
      <c r="EF25" s="27">
        <f t="shared" si="1"/>
        <v>0</v>
      </c>
      <c r="EG25" s="124">
        <f t="shared" si="68"/>
        <v>0</v>
      </c>
    </row>
    <row r="26" spans="1:137" ht="18" customHeight="1" x14ac:dyDescent="0.5">
      <c r="A26" s="117">
        <v>20</v>
      </c>
      <c r="B26" s="122" t="s">
        <v>152</v>
      </c>
      <c r="C26" s="122" t="s">
        <v>233</v>
      </c>
      <c r="D26" s="117">
        <f>RANK(DF26,$DF$4:$DF$147)</f>
        <v>21</v>
      </c>
      <c r="E26" s="117">
        <v>1</v>
      </c>
      <c r="F26" s="117" t="s">
        <v>232</v>
      </c>
      <c r="G26" s="117"/>
      <c r="H26" s="123"/>
      <c r="I26" s="124">
        <f t="shared" si="2"/>
        <v>0</v>
      </c>
      <c r="J26" s="123"/>
      <c r="K26" s="124">
        <f t="shared" si="3"/>
        <v>0</v>
      </c>
      <c r="L26" s="123"/>
      <c r="M26" s="124">
        <f t="shared" si="4"/>
        <v>0</v>
      </c>
      <c r="N26" s="123"/>
      <c r="O26" s="124">
        <f t="shared" si="5"/>
        <v>0</v>
      </c>
      <c r="P26" s="123"/>
      <c r="Q26" s="124">
        <f t="shared" si="6"/>
        <v>0</v>
      </c>
      <c r="R26" s="123"/>
      <c r="S26" s="124">
        <f t="shared" si="7"/>
        <v>0</v>
      </c>
      <c r="T26" s="123"/>
      <c r="U26" s="124">
        <f t="shared" si="8"/>
        <v>0</v>
      </c>
      <c r="V26" s="123"/>
      <c r="W26" s="124">
        <f t="shared" si="9"/>
        <v>0</v>
      </c>
      <c r="X26" s="123"/>
      <c r="Y26" s="124">
        <f t="shared" si="10"/>
        <v>0</v>
      </c>
      <c r="Z26" s="123"/>
      <c r="AA26" s="124">
        <f t="shared" si="11"/>
        <v>0</v>
      </c>
      <c r="AB26" s="123"/>
      <c r="AC26" s="124">
        <f t="shared" si="12"/>
        <v>0</v>
      </c>
      <c r="AD26" s="123"/>
      <c r="AE26" s="124">
        <f t="shared" si="13"/>
        <v>0</v>
      </c>
      <c r="AF26" s="125">
        <f t="shared" si="14"/>
        <v>0</v>
      </c>
      <c r="AG26" s="126">
        <f t="shared" si="15"/>
        <v>0</v>
      </c>
      <c r="AH26" s="11"/>
      <c r="AI26" s="124">
        <f t="shared" si="16"/>
        <v>0</v>
      </c>
      <c r="AJ26" s="15"/>
      <c r="AK26" s="124">
        <f t="shared" si="17"/>
        <v>0</v>
      </c>
      <c r="AL26" s="15"/>
      <c r="AM26" s="124">
        <f t="shared" si="18"/>
        <v>0</v>
      </c>
      <c r="AN26" s="16"/>
      <c r="AO26" s="124">
        <f t="shared" si="19"/>
        <v>0</v>
      </c>
      <c r="AP26" s="15"/>
      <c r="AQ26" s="124">
        <f t="shared" si="20"/>
        <v>0</v>
      </c>
      <c r="AR26" s="15"/>
      <c r="AS26" s="124">
        <f t="shared" si="21"/>
        <v>0</v>
      </c>
      <c r="AT26" s="17"/>
      <c r="AU26" s="124">
        <f t="shared" si="22"/>
        <v>0</v>
      </c>
      <c r="AV26" s="15"/>
      <c r="AW26" s="124">
        <f t="shared" si="23"/>
        <v>0</v>
      </c>
      <c r="AX26" s="15"/>
      <c r="AY26" s="124">
        <f t="shared" si="24"/>
        <v>0</v>
      </c>
      <c r="AZ26" s="17"/>
      <c r="BA26" s="124">
        <f t="shared" si="25"/>
        <v>0</v>
      </c>
      <c r="BB26" s="33"/>
      <c r="BC26" s="124">
        <f t="shared" si="26"/>
        <v>0</v>
      </c>
      <c r="BD26" s="33"/>
      <c r="BE26" s="124">
        <f t="shared" si="27"/>
        <v>0</v>
      </c>
      <c r="BF26" s="125">
        <f t="shared" si="28"/>
        <v>0</v>
      </c>
      <c r="BG26" s="126">
        <f t="shared" si="29"/>
        <v>0</v>
      </c>
      <c r="BH26" s="123"/>
      <c r="BI26" s="124">
        <f t="shared" si="30"/>
        <v>0</v>
      </c>
      <c r="BJ26" s="123"/>
      <c r="BK26" s="124">
        <f t="shared" si="31"/>
        <v>0</v>
      </c>
      <c r="BL26" s="123"/>
      <c r="BM26" s="124">
        <f t="shared" si="32"/>
        <v>0</v>
      </c>
      <c r="BN26" s="123"/>
      <c r="BO26" s="124">
        <f t="shared" si="33"/>
        <v>0</v>
      </c>
      <c r="BP26" s="123"/>
      <c r="BQ26" s="124">
        <f t="shared" si="34"/>
        <v>0</v>
      </c>
      <c r="BR26" s="123"/>
      <c r="BS26" s="124">
        <f t="shared" si="35"/>
        <v>0</v>
      </c>
      <c r="BT26" s="123"/>
      <c r="BU26" s="124">
        <f t="shared" si="36"/>
        <v>0</v>
      </c>
      <c r="BV26" s="123"/>
      <c r="BW26" s="124">
        <f t="shared" si="37"/>
        <v>0</v>
      </c>
      <c r="BX26" s="123"/>
      <c r="BY26" s="124">
        <f t="shared" si="38"/>
        <v>0</v>
      </c>
      <c r="BZ26" s="123"/>
      <c r="CA26" s="124">
        <f t="shared" si="39"/>
        <v>0</v>
      </c>
      <c r="CB26" s="123"/>
      <c r="CC26" s="124">
        <f t="shared" si="40"/>
        <v>0</v>
      </c>
      <c r="CD26" s="123"/>
      <c r="CE26" s="124">
        <f t="shared" si="41"/>
        <v>0</v>
      </c>
      <c r="CF26" s="125">
        <f t="shared" si="42"/>
        <v>0</v>
      </c>
      <c r="CG26" s="126">
        <f t="shared" si="43"/>
        <v>0</v>
      </c>
      <c r="CH26" s="123"/>
      <c r="CI26" s="124">
        <f t="shared" si="44"/>
        <v>0</v>
      </c>
      <c r="CJ26" s="123"/>
      <c r="CK26" s="124">
        <f t="shared" si="45"/>
        <v>0</v>
      </c>
      <c r="CL26" s="123"/>
      <c r="CM26" s="124">
        <f t="shared" si="46"/>
        <v>0</v>
      </c>
      <c r="CN26" s="123"/>
      <c r="CO26" s="124">
        <f t="shared" si="47"/>
        <v>0</v>
      </c>
      <c r="CP26" s="123"/>
      <c r="CQ26" s="124">
        <f t="shared" si="48"/>
        <v>0</v>
      </c>
      <c r="CR26" s="123"/>
      <c r="CS26" s="124">
        <f t="shared" si="49"/>
        <v>0</v>
      </c>
      <c r="CT26" s="123"/>
      <c r="CU26" s="124">
        <f t="shared" si="50"/>
        <v>0</v>
      </c>
      <c r="CV26" s="123"/>
      <c r="CW26" s="124">
        <f t="shared" si="51"/>
        <v>0</v>
      </c>
      <c r="CX26" s="123"/>
      <c r="CY26" s="124">
        <f t="shared" si="52"/>
        <v>0</v>
      </c>
      <c r="CZ26" s="123"/>
      <c r="DA26" s="124">
        <f t="shared" si="53"/>
        <v>0</v>
      </c>
      <c r="DB26" s="123"/>
      <c r="DC26" s="124">
        <f t="shared" si="54"/>
        <v>0</v>
      </c>
      <c r="DD26" s="123"/>
      <c r="DE26" s="124">
        <f t="shared" si="54"/>
        <v>0</v>
      </c>
      <c r="DF26" s="177">
        <f t="shared" si="0"/>
        <v>0</v>
      </c>
      <c r="DG26" s="126">
        <f t="shared" si="55"/>
        <v>0</v>
      </c>
      <c r="DH26" s="123"/>
      <c r="DI26" s="124">
        <f t="shared" si="56"/>
        <v>0</v>
      </c>
      <c r="DJ26" s="123"/>
      <c r="DK26" s="124">
        <f t="shared" si="57"/>
        <v>0</v>
      </c>
      <c r="DL26" s="123"/>
      <c r="DM26" s="124">
        <f t="shared" si="58"/>
        <v>0</v>
      </c>
      <c r="DN26" s="123"/>
      <c r="DO26" s="124">
        <f t="shared" si="59"/>
        <v>0</v>
      </c>
      <c r="DP26" s="123"/>
      <c r="DQ26" s="124">
        <f t="shared" si="60"/>
        <v>0</v>
      </c>
      <c r="DR26" s="123"/>
      <c r="DS26" s="124">
        <f t="shared" si="61"/>
        <v>0</v>
      </c>
      <c r="DT26" s="123"/>
      <c r="DU26" s="124">
        <f t="shared" si="62"/>
        <v>0</v>
      </c>
      <c r="DV26" s="123"/>
      <c r="DW26" s="124">
        <f t="shared" si="63"/>
        <v>0</v>
      </c>
      <c r="DX26" s="123"/>
      <c r="DY26" s="124">
        <f t="shared" si="64"/>
        <v>0</v>
      </c>
      <c r="DZ26" s="123"/>
      <c r="EA26" s="124">
        <f t="shared" si="65"/>
        <v>0</v>
      </c>
      <c r="EB26" s="123"/>
      <c r="EC26" s="124">
        <f t="shared" si="66"/>
        <v>0</v>
      </c>
      <c r="ED26" s="123"/>
      <c r="EE26" s="124">
        <f t="shared" si="67"/>
        <v>0</v>
      </c>
      <c r="EF26" s="27">
        <f t="shared" si="1"/>
        <v>0</v>
      </c>
      <c r="EG26" s="124">
        <f t="shared" si="68"/>
        <v>0</v>
      </c>
    </row>
    <row r="27" spans="1:137" ht="18" customHeight="1" x14ac:dyDescent="0.5">
      <c r="A27" s="117">
        <v>21</v>
      </c>
      <c r="B27" s="122" t="s">
        <v>217</v>
      </c>
      <c r="C27" s="122" t="s">
        <v>233</v>
      </c>
      <c r="D27" s="117">
        <f>RANK(DF27,$DF$4:$DF$147)</f>
        <v>21</v>
      </c>
      <c r="E27" s="117">
        <v>0.6</v>
      </c>
      <c r="F27" s="117" t="s">
        <v>237</v>
      </c>
      <c r="G27" s="117"/>
      <c r="H27" s="123"/>
      <c r="I27" s="124">
        <f t="shared" si="2"/>
        <v>0</v>
      </c>
      <c r="J27" s="123"/>
      <c r="K27" s="124">
        <f t="shared" si="3"/>
        <v>0</v>
      </c>
      <c r="L27" s="123"/>
      <c r="M27" s="124">
        <f t="shared" si="4"/>
        <v>0</v>
      </c>
      <c r="N27" s="123"/>
      <c r="O27" s="124">
        <f t="shared" si="5"/>
        <v>0</v>
      </c>
      <c r="P27" s="123"/>
      <c r="Q27" s="124">
        <f t="shared" si="6"/>
        <v>0</v>
      </c>
      <c r="R27" s="123"/>
      <c r="S27" s="124">
        <f t="shared" si="7"/>
        <v>0</v>
      </c>
      <c r="T27" s="123"/>
      <c r="U27" s="124">
        <f t="shared" si="8"/>
        <v>0</v>
      </c>
      <c r="V27" s="123"/>
      <c r="W27" s="124">
        <f t="shared" si="9"/>
        <v>0</v>
      </c>
      <c r="X27" s="123"/>
      <c r="Y27" s="124">
        <f t="shared" si="10"/>
        <v>0</v>
      </c>
      <c r="Z27" s="123"/>
      <c r="AA27" s="124">
        <f t="shared" si="11"/>
        <v>0</v>
      </c>
      <c r="AB27" s="123"/>
      <c r="AC27" s="124">
        <f t="shared" si="12"/>
        <v>0</v>
      </c>
      <c r="AD27" s="123"/>
      <c r="AE27" s="124">
        <f t="shared" si="13"/>
        <v>0</v>
      </c>
      <c r="AF27" s="125">
        <f t="shared" si="14"/>
        <v>0</v>
      </c>
      <c r="AG27" s="126">
        <f t="shared" si="15"/>
        <v>0</v>
      </c>
      <c r="AH27" s="11"/>
      <c r="AI27" s="124">
        <f t="shared" si="16"/>
        <v>0</v>
      </c>
      <c r="AJ27" s="15"/>
      <c r="AK27" s="124">
        <f t="shared" si="17"/>
        <v>0</v>
      </c>
      <c r="AL27" s="15"/>
      <c r="AM27" s="124">
        <f t="shared" si="18"/>
        <v>0</v>
      </c>
      <c r="AN27" s="16"/>
      <c r="AO27" s="124">
        <f t="shared" si="19"/>
        <v>0</v>
      </c>
      <c r="AP27" s="15"/>
      <c r="AQ27" s="124">
        <f t="shared" si="20"/>
        <v>0</v>
      </c>
      <c r="AR27" s="15"/>
      <c r="AS27" s="124">
        <f t="shared" si="21"/>
        <v>0</v>
      </c>
      <c r="AT27" s="17"/>
      <c r="AU27" s="124">
        <f t="shared" si="22"/>
        <v>0</v>
      </c>
      <c r="AV27" s="15"/>
      <c r="AW27" s="124">
        <f t="shared" si="23"/>
        <v>0</v>
      </c>
      <c r="AX27" s="15"/>
      <c r="AY27" s="124">
        <f t="shared" si="24"/>
        <v>0</v>
      </c>
      <c r="AZ27" s="17"/>
      <c r="BA27" s="124">
        <f t="shared" si="25"/>
        <v>0</v>
      </c>
      <c r="BB27" s="33"/>
      <c r="BC27" s="124">
        <f t="shared" si="26"/>
        <v>0</v>
      </c>
      <c r="BD27" s="33"/>
      <c r="BE27" s="124">
        <f t="shared" si="27"/>
        <v>0</v>
      </c>
      <c r="BF27" s="125">
        <f t="shared" si="28"/>
        <v>0</v>
      </c>
      <c r="BG27" s="126">
        <f t="shared" si="29"/>
        <v>0</v>
      </c>
      <c r="BH27" s="123"/>
      <c r="BI27" s="124">
        <f t="shared" si="30"/>
        <v>0</v>
      </c>
      <c r="BJ27" s="123"/>
      <c r="BK27" s="124">
        <f t="shared" si="31"/>
        <v>0</v>
      </c>
      <c r="BL27" s="123"/>
      <c r="BM27" s="124">
        <f t="shared" si="32"/>
        <v>0</v>
      </c>
      <c r="BN27" s="123"/>
      <c r="BO27" s="124">
        <f t="shared" si="33"/>
        <v>0</v>
      </c>
      <c r="BP27" s="123"/>
      <c r="BQ27" s="124">
        <f t="shared" si="34"/>
        <v>0</v>
      </c>
      <c r="BR27" s="123"/>
      <c r="BS27" s="124">
        <f t="shared" si="35"/>
        <v>0</v>
      </c>
      <c r="BT27" s="123"/>
      <c r="BU27" s="124">
        <f t="shared" si="36"/>
        <v>0</v>
      </c>
      <c r="BV27" s="123"/>
      <c r="BW27" s="124">
        <f t="shared" si="37"/>
        <v>0</v>
      </c>
      <c r="BX27" s="123"/>
      <c r="BY27" s="124">
        <f t="shared" si="38"/>
        <v>0</v>
      </c>
      <c r="BZ27" s="123"/>
      <c r="CA27" s="124">
        <f t="shared" si="39"/>
        <v>0</v>
      </c>
      <c r="CB27" s="123"/>
      <c r="CC27" s="124">
        <f t="shared" si="40"/>
        <v>0</v>
      </c>
      <c r="CD27" s="123"/>
      <c r="CE27" s="124">
        <f t="shared" si="41"/>
        <v>0</v>
      </c>
      <c r="CF27" s="125">
        <f t="shared" si="42"/>
        <v>0</v>
      </c>
      <c r="CG27" s="126">
        <f t="shared" si="43"/>
        <v>0</v>
      </c>
      <c r="CH27" s="123"/>
      <c r="CI27" s="124">
        <f t="shared" si="44"/>
        <v>0</v>
      </c>
      <c r="CJ27" s="123"/>
      <c r="CK27" s="124">
        <f t="shared" si="45"/>
        <v>0</v>
      </c>
      <c r="CL27" s="123"/>
      <c r="CM27" s="124">
        <f t="shared" si="46"/>
        <v>0</v>
      </c>
      <c r="CN27" s="123"/>
      <c r="CO27" s="124">
        <f t="shared" si="47"/>
        <v>0</v>
      </c>
      <c r="CP27" s="123"/>
      <c r="CQ27" s="124">
        <f t="shared" si="48"/>
        <v>0</v>
      </c>
      <c r="CR27" s="123"/>
      <c r="CS27" s="124">
        <f t="shared" si="49"/>
        <v>0</v>
      </c>
      <c r="CT27" s="123"/>
      <c r="CU27" s="124">
        <f t="shared" si="50"/>
        <v>0</v>
      </c>
      <c r="CV27" s="123"/>
      <c r="CW27" s="124">
        <f t="shared" si="51"/>
        <v>0</v>
      </c>
      <c r="CX27" s="123"/>
      <c r="CY27" s="124">
        <f t="shared" si="52"/>
        <v>0</v>
      </c>
      <c r="CZ27" s="123"/>
      <c r="DA27" s="124">
        <f t="shared" si="53"/>
        <v>0</v>
      </c>
      <c r="DB27" s="123"/>
      <c r="DC27" s="124">
        <f t="shared" si="54"/>
        <v>0</v>
      </c>
      <c r="DD27" s="123"/>
      <c r="DE27" s="124">
        <f t="shared" si="54"/>
        <v>0</v>
      </c>
      <c r="DF27" s="177">
        <f t="shared" si="0"/>
        <v>0</v>
      </c>
      <c r="DG27" s="126">
        <f t="shared" si="55"/>
        <v>0</v>
      </c>
      <c r="DH27" s="123"/>
      <c r="DI27" s="124">
        <f t="shared" si="56"/>
        <v>0</v>
      </c>
      <c r="DJ27" s="123"/>
      <c r="DK27" s="124">
        <f t="shared" si="57"/>
        <v>0</v>
      </c>
      <c r="DL27" s="123"/>
      <c r="DM27" s="124">
        <f t="shared" si="58"/>
        <v>0</v>
      </c>
      <c r="DN27" s="123"/>
      <c r="DO27" s="124">
        <f t="shared" si="59"/>
        <v>0</v>
      </c>
      <c r="DP27" s="123"/>
      <c r="DQ27" s="124">
        <f t="shared" si="60"/>
        <v>0</v>
      </c>
      <c r="DR27" s="123"/>
      <c r="DS27" s="124">
        <f t="shared" si="61"/>
        <v>0</v>
      </c>
      <c r="DT27" s="123"/>
      <c r="DU27" s="124">
        <f t="shared" si="62"/>
        <v>0</v>
      </c>
      <c r="DV27" s="123"/>
      <c r="DW27" s="124">
        <f t="shared" si="63"/>
        <v>0</v>
      </c>
      <c r="DX27" s="123"/>
      <c r="DY27" s="124">
        <f t="shared" si="64"/>
        <v>0</v>
      </c>
      <c r="DZ27" s="123"/>
      <c r="EA27" s="124">
        <f t="shared" si="65"/>
        <v>0</v>
      </c>
      <c r="EB27" s="123"/>
      <c r="EC27" s="124">
        <f t="shared" si="66"/>
        <v>0</v>
      </c>
      <c r="ED27" s="123"/>
      <c r="EE27" s="124">
        <f t="shared" si="67"/>
        <v>0</v>
      </c>
      <c r="EF27" s="27">
        <f t="shared" si="1"/>
        <v>0</v>
      </c>
      <c r="EG27" s="124">
        <f t="shared" si="68"/>
        <v>0</v>
      </c>
    </row>
    <row r="28" spans="1:137" ht="18" customHeight="1" x14ac:dyDescent="0.5">
      <c r="A28" s="117">
        <v>22</v>
      </c>
      <c r="B28" s="122" t="s">
        <v>153</v>
      </c>
      <c r="C28" s="122" t="s">
        <v>231</v>
      </c>
      <c r="D28" s="117">
        <f>RANK(DF28,$DF$4:$DF$147)</f>
        <v>12</v>
      </c>
      <c r="E28" s="117">
        <v>0.64</v>
      </c>
      <c r="F28" s="117" t="s">
        <v>236</v>
      </c>
      <c r="G28" s="117"/>
      <c r="H28" s="123"/>
      <c r="I28" s="124">
        <f t="shared" si="2"/>
        <v>0</v>
      </c>
      <c r="J28" s="123"/>
      <c r="K28" s="124">
        <f t="shared" si="3"/>
        <v>0</v>
      </c>
      <c r="L28" s="123"/>
      <c r="M28" s="124">
        <f t="shared" si="4"/>
        <v>0</v>
      </c>
      <c r="N28" s="123"/>
      <c r="O28" s="124">
        <f t="shared" si="5"/>
        <v>0</v>
      </c>
      <c r="P28" s="123"/>
      <c r="Q28" s="124">
        <f t="shared" si="6"/>
        <v>0</v>
      </c>
      <c r="R28" s="123"/>
      <c r="S28" s="124">
        <f t="shared" si="7"/>
        <v>0</v>
      </c>
      <c r="T28" s="123"/>
      <c r="U28" s="124">
        <f t="shared" si="8"/>
        <v>0</v>
      </c>
      <c r="V28" s="123"/>
      <c r="W28" s="124">
        <f t="shared" si="9"/>
        <v>0</v>
      </c>
      <c r="X28" s="123"/>
      <c r="Y28" s="124">
        <f t="shared" si="10"/>
        <v>0</v>
      </c>
      <c r="Z28" s="123"/>
      <c r="AA28" s="124">
        <f t="shared" si="11"/>
        <v>0</v>
      </c>
      <c r="AB28" s="123"/>
      <c r="AC28" s="124">
        <f t="shared" si="12"/>
        <v>0</v>
      </c>
      <c r="AD28" s="123"/>
      <c r="AE28" s="124">
        <f t="shared" si="13"/>
        <v>0</v>
      </c>
      <c r="AF28" s="125">
        <f t="shared" si="14"/>
        <v>0</v>
      </c>
      <c r="AG28" s="126">
        <f t="shared" si="15"/>
        <v>0</v>
      </c>
      <c r="AH28" s="11"/>
      <c r="AI28" s="124">
        <f t="shared" si="16"/>
        <v>0</v>
      </c>
      <c r="AJ28" s="15"/>
      <c r="AK28" s="124">
        <f t="shared" si="17"/>
        <v>0</v>
      </c>
      <c r="AL28" s="15"/>
      <c r="AM28" s="124">
        <f t="shared" si="18"/>
        <v>0</v>
      </c>
      <c r="AN28" s="16"/>
      <c r="AO28" s="124">
        <f t="shared" si="19"/>
        <v>0</v>
      </c>
      <c r="AP28" s="15"/>
      <c r="AQ28" s="124">
        <f t="shared" si="20"/>
        <v>0</v>
      </c>
      <c r="AR28" s="15"/>
      <c r="AS28" s="124">
        <f t="shared" si="21"/>
        <v>0</v>
      </c>
      <c r="AT28" s="17"/>
      <c r="AU28" s="124">
        <f t="shared" si="22"/>
        <v>0</v>
      </c>
      <c r="AV28" s="15"/>
      <c r="AW28" s="124">
        <f t="shared" si="23"/>
        <v>0</v>
      </c>
      <c r="AX28" s="15"/>
      <c r="AY28" s="124">
        <f t="shared" si="24"/>
        <v>0</v>
      </c>
      <c r="AZ28" s="17"/>
      <c r="BA28" s="124">
        <f t="shared" si="25"/>
        <v>0</v>
      </c>
      <c r="BB28" s="33"/>
      <c r="BC28" s="124">
        <f t="shared" si="26"/>
        <v>0</v>
      </c>
      <c r="BD28" s="33"/>
      <c r="BE28" s="124">
        <f t="shared" si="27"/>
        <v>0</v>
      </c>
      <c r="BF28" s="125">
        <f t="shared" si="28"/>
        <v>0</v>
      </c>
      <c r="BG28" s="126">
        <f t="shared" si="29"/>
        <v>0</v>
      </c>
      <c r="BH28" s="123"/>
      <c r="BI28" s="124">
        <f t="shared" si="30"/>
        <v>0</v>
      </c>
      <c r="BJ28" s="123"/>
      <c r="BK28" s="124">
        <f t="shared" si="31"/>
        <v>0</v>
      </c>
      <c r="BL28" s="123"/>
      <c r="BM28" s="124">
        <f t="shared" si="32"/>
        <v>0</v>
      </c>
      <c r="BN28" s="123"/>
      <c r="BO28" s="124">
        <f t="shared" si="33"/>
        <v>0</v>
      </c>
      <c r="BP28" s="123"/>
      <c r="BQ28" s="124">
        <f t="shared" si="34"/>
        <v>0</v>
      </c>
      <c r="BR28" s="123"/>
      <c r="BS28" s="124">
        <f t="shared" si="35"/>
        <v>0</v>
      </c>
      <c r="BT28" s="123"/>
      <c r="BU28" s="124">
        <f t="shared" si="36"/>
        <v>0</v>
      </c>
      <c r="BV28" s="123"/>
      <c r="BW28" s="124">
        <f t="shared" si="37"/>
        <v>0</v>
      </c>
      <c r="BX28" s="123"/>
      <c r="BY28" s="124">
        <f t="shared" si="38"/>
        <v>0</v>
      </c>
      <c r="BZ28" s="123"/>
      <c r="CA28" s="124">
        <f t="shared" si="39"/>
        <v>0</v>
      </c>
      <c r="CB28" s="123"/>
      <c r="CC28" s="124">
        <f t="shared" si="40"/>
        <v>0</v>
      </c>
      <c r="CD28" s="123"/>
      <c r="CE28" s="124">
        <f t="shared" si="41"/>
        <v>0</v>
      </c>
      <c r="CF28" s="125">
        <f t="shared" si="42"/>
        <v>0</v>
      </c>
      <c r="CG28" s="126">
        <f t="shared" si="43"/>
        <v>0</v>
      </c>
      <c r="CH28" s="123"/>
      <c r="CI28" s="124">
        <f t="shared" si="44"/>
        <v>0</v>
      </c>
      <c r="CJ28" s="123"/>
      <c r="CK28" s="124">
        <f t="shared" si="45"/>
        <v>0</v>
      </c>
      <c r="CL28" s="123"/>
      <c r="CM28" s="124">
        <f t="shared" si="46"/>
        <v>0</v>
      </c>
      <c r="CN28" s="123"/>
      <c r="CO28" s="124">
        <f t="shared" si="47"/>
        <v>0</v>
      </c>
      <c r="CP28" s="123"/>
      <c r="CQ28" s="124">
        <f t="shared" si="48"/>
        <v>0</v>
      </c>
      <c r="CR28" s="123"/>
      <c r="CS28" s="124">
        <f t="shared" si="49"/>
        <v>0</v>
      </c>
      <c r="CT28" s="123">
        <v>700</v>
      </c>
      <c r="CU28" s="124">
        <f t="shared" si="50"/>
        <v>448</v>
      </c>
      <c r="CV28" s="123"/>
      <c r="CW28" s="124">
        <f t="shared" si="51"/>
        <v>0</v>
      </c>
      <c r="CX28" s="123">
        <v>700</v>
      </c>
      <c r="CY28" s="124">
        <f t="shared" si="52"/>
        <v>448</v>
      </c>
      <c r="CZ28" s="123"/>
      <c r="DA28" s="124">
        <f t="shared" si="53"/>
        <v>0</v>
      </c>
      <c r="DB28" s="123">
        <v>700</v>
      </c>
      <c r="DC28" s="124">
        <f t="shared" si="54"/>
        <v>448</v>
      </c>
      <c r="DD28" s="123">
        <v>700</v>
      </c>
      <c r="DE28" s="124">
        <f t="shared" si="54"/>
        <v>448</v>
      </c>
      <c r="DF28" s="177">
        <f t="shared" si="0"/>
        <v>2800</v>
      </c>
      <c r="DG28" s="126">
        <f t="shared" si="55"/>
        <v>1792</v>
      </c>
      <c r="DH28" s="123">
        <v>1400</v>
      </c>
      <c r="DI28" s="124">
        <f t="shared" si="56"/>
        <v>896</v>
      </c>
      <c r="DJ28" s="123"/>
      <c r="DK28" s="124">
        <f t="shared" si="57"/>
        <v>0</v>
      </c>
      <c r="DL28" s="123"/>
      <c r="DM28" s="124">
        <f t="shared" si="58"/>
        <v>0</v>
      </c>
      <c r="DN28" s="123"/>
      <c r="DO28" s="124">
        <f t="shared" si="59"/>
        <v>0</v>
      </c>
      <c r="DP28" s="123"/>
      <c r="DQ28" s="124">
        <f t="shared" si="60"/>
        <v>0</v>
      </c>
      <c r="DR28" s="123"/>
      <c r="DS28" s="124">
        <f t="shared" si="61"/>
        <v>0</v>
      </c>
      <c r="DT28" s="123"/>
      <c r="DU28" s="124">
        <f t="shared" si="62"/>
        <v>0</v>
      </c>
      <c r="DV28" s="123"/>
      <c r="DW28" s="124">
        <f t="shared" si="63"/>
        <v>0</v>
      </c>
      <c r="DX28" s="123"/>
      <c r="DY28" s="124">
        <f t="shared" si="64"/>
        <v>0</v>
      </c>
      <c r="DZ28" s="123"/>
      <c r="EA28" s="124">
        <f t="shared" si="65"/>
        <v>0</v>
      </c>
      <c r="EB28" s="123"/>
      <c r="EC28" s="124">
        <f t="shared" si="66"/>
        <v>0</v>
      </c>
      <c r="ED28" s="123"/>
      <c r="EE28" s="124">
        <f t="shared" si="67"/>
        <v>0</v>
      </c>
      <c r="EF28" s="27">
        <f t="shared" si="1"/>
        <v>1400</v>
      </c>
      <c r="EG28" s="124">
        <f t="shared" si="68"/>
        <v>896</v>
      </c>
    </row>
    <row r="29" spans="1:137" ht="18" customHeight="1" x14ac:dyDescent="0.5">
      <c r="A29" s="117">
        <v>23</v>
      </c>
      <c r="B29" s="122" t="s">
        <v>154</v>
      </c>
      <c r="C29" s="122" t="s">
        <v>231</v>
      </c>
      <c r="D29" s="117">
        <f>RANK(DF29,$DF$4:$DF$147)</f>
        <v>21</v>
      </c>
      <c r="E29" s="117">
        <v>0.64</v>
      </c>
      <c r="F29" s="117" t="s">
        <v>236</v>
      </c>
      <c r="G29" s="117"/>
      <c r="H29" s="123"/>
      <c r="I29" s="124">
        <f t="shared" si="2"/>
        <v>0</v>
      </c>
      <c r="J29" s="123"/>
      <c r="K29" s="124">
        <f t="shared" si="3"/>
        <v>0</v>
      </c>
      <c r="L29" s="123"/>
      <c r="M29" s="124">
        <f t="shared" si="4"/>
        <v>0</v>
      </c>
      <c r="N29" s="123"/>
      <c r="O29" s="124">
        <f t="shared" si="5"/>
        <v>0</v>
      </c>
      <c r="P29" s="123"/>
      <c r="Q29" s="124">
        <f t="shared" si="6"/>
        <v>0</v>
      </c>
      <c r="R29" s="123"/>
      <c r="S29" s="124">
        <f t="shared" si="7"/>
        <v>0</v>
      </c>
      <c r="T29" s="123"/>
      <c r="U29" s="124">
        <f t="shared" si="8"/>
        <v>0</v>
      </c>
      <c r="V29" s="123"/>
      <c r="W29" s="124">
        <f t="shared" si="9"/>
        <v>0</v>
      </c>
      <c r="X29" s="123"/>
      <c r="Y29" s="124">
        <f t="shared" si="10"/>
        <v>0</v>
      </c>
      <c r="Z29" s="123"/>
      <c r="AA29" s="124">
        <f t="shared" si="11"/>
        <v>0</v>
      </c>
      <c r="AB29" s="123"/>
      <c r="AC29" s="124">
        <f t="shared" si="12"/>
        <v>0</v>
      </c>
      <c r="AD29" s="123"/>
      <c r="AE29" s="124">
        <f t="shared" si="13"/>
        <v>0</v>
      </c>
      <c r="AF29" s="125">
        <f t="shared" si="14"/>
        <v>0</v>
      </c>
      <c r="AG29" s="126">
        <f t="shared" si="15"/>
        <v>0</v>
      </c>
      <c r="AH29" s="11"/>
      <c r="AI29" s="124">
        <f t="shared" si="16"/>
        <v>0</v>
      </c>
      <c r="AJ29" s="15"/>
      <c r="AK29" s="124">
        <f t="shared" si="17"/>
        <v>0</v>
      </c>
      <c r="AL29" s="15"/>
      <c r="AM29" s="124">
        <f t="shared" si="18"/>
        <v>0</v>
      </c>
      <c r="AN29" s="16"/>
      <c r="AO29" s="124">
        <f t="shared" si="19"/>
        <v>0</v>
      </c>
      <c r="AP29" s="15"/>
      <c r="AQ29" s="124">
        <f t="shared" si="20"/>
        <v>0</v>
      </c>
      <c r="AR29" s="15"/>
      <c r="AS29" s="124">
        <f t="shared" si="21"/>
        <v>0</v>
      </c>
      <c r="AT29" s="17"/>
      <c r="AU29" s="124">
        <f t="shared" si="22"/>
        <v>0</v>
      </c>
      <c r="AV29" s="15"/>
      <c r="AW29" s="124">
        <f t="shared" si="23"/>
        <v>0</v>
      </c>
      <c r="AX29" s="15"/>
      <c r="AY29" s="124">
        <f t="shared" si="24"/>
        <v>0</v>
      </c>
      <c r="AZ29" s="17"/>
      <c r="BA29" s="124">
        <f t="shared" si="25"/>
        <v>0</v>
      </c>
      <c r="BB29" s="33"/>
      <c r="BC29" s="124">
        <f t="shared" si="26"/>
        <v>0</v>
      </c>
      <c r="BD29" s="33"/>
      <c r="BE29" s="124">
        <f t="shared" si="27"/>
        <v>0</v>
      </c>
      <c r="BF29" s="125">
        <f t="shared" si="28"/>
        <v>0</v>
      </c>
      <c r="BG29" s="126">
        <f t="shared" si="29"/>
        <v>0</v>
      </c>
      <c r="BH29" s="123"/>
      <c r="BI29" s="124">
        <f t="shared" si="30"/>
        <v>0</v>
      </c>
      <c r="BJ29" s="123"/>
      <c r="BK29" s="124">
        <f t="shared" si="31"/>
        <v>0</v>
      </c>
      <c r="BL29" s="123"/>
      <c r="BM29" s="124">
        <f t="shared" si="32"/>
        <v>0</v>
      </c>
      <c r="BN29" s="123"/>
      <c r="BO29" s="124">
        <f t="shared" si="33"/>
        <v>0</v>
      </c>
      <c r="BP29" s="123"/>
      <c r="BQ29" s="124">
        <f t="shared" si="34"/>
        <v>0</v>
      </c>
      <c r="BR29" s="123"/>
      <c r="BS29" s="124">
        <f t="shared" si="35"/>
        <v>0</v>
      </c>
      <c r="BT29" s="123"/>
      <c r="BU29" s="124">
        <f t="shared" si="36"/>
        <v>0</v>
      </c>
      <c r="BV29" s="123"/>
      <c r="BW29" s="124">
        <f t="shared" si="37"/>
        <v>0</v>
      </c>
      <c r="BX29" s="123"/>
      <c r="BY29" s="124">
        <f t="shared" si="38"/>
        <v>0</v>
      </c>
      <c r="BZ29" s="123"/>
      <c r="CA29" s="124">
        <f t="shared" si="39"/>
        <v>0</v>
      </c>
      <c r="CB29" s="123"/>
      <c r="CC29" s="124">
        <f t="shared" si="40"/>
        <v>0</v>
      </c>
      <c r="CD29" s="123"/>
      <c r="CE29" s="124">
        <f t="shared" si="41"/>
        <v>0</v>
      </c>
      <c r="CF29" s="125">
        <f t="shared" si="42"/>
        <v>0</v>
      </c>
      <c r="CG29" s="126">
        <f t="shared" si="43"/>
        <v>0</v>
      </c>
      <c r="CH29" s="123"/>
      <c r="CI29" s="124">
        <f t="shared" si="44"/>
        <v>0</v>
      </c>
      <c r="CJ29" s="123"/>
      <c r="CK29" s="124">
        <f t="shared" si="45"/>
        <v>0</v>
      </c>
      <c r="CL29" s="123"/>
      <c r="CM29" s="124">
        <f t="shared" si="46"/>
        <v>0</v>
      </c>
      <c r="CN29" s="123"/>
      <c r="CO29" s="124">
        <f t="shared" si="47"/>
        <v>0</v>
      </c>
      <c r="CP29" s="123"/>
      <c r="CQ29" s="124">
        <f t="shared" si="48"/>
        <v>0</v>
      </c>
      <c r="CR29" s="123"/>
      <c r="CS29" s="124">
        <f t="shared" si="49"/>
        <v>0</v>
      </c>
      <c r="CT29" s="123"/>
      <c r="CU29" s="124">
        <f t="shared" si="50"/>
        <v>0</v>
      </c>
      <c r="CV29" s="123"/>
      <c r="CW29" s="124">
        <f t="shared" si="51"/>
        <v>0</v>
      </c>
      <c r="CX29" s="123"/>
      <c r="CY29" s="124">
        <f t="shared" si="52"/>
        <v>0</v>
      </c>
      <c r="CZ29" s="123"/>
      <c r="DA29" s="124">
        <f t="shared" si="53"/>
        <v>0</v>
      </c>
      <c r="DB29" s="123"/>
      <c r="DC29" s="124">
        <f t="shared" si="54"/>
        <v>0</v>
      </c>
      <c r="DD29" s="123"/>
      <c r="DE29" s="124">
        <f t="shared" si="54"/>
        <v>0</v>
      </c>
      <c r="DF29" s="177">
        <f t="shared" si="0"/>
        <v>0</v>
      </c>
      <c r="DG29" s="126">
        <f t="shared" si="55"/>
        <v>0</v>
      </c>
      <c r="DH29" s="123"/>
      <c r="DI29" s="124">
        <f t="shared" si="56"/>
        <v>0</v>
      </c>
      <c r="DJ29" s="123"/>
      <c r="DK29" s="124">
        <f t="shared" si="57"/>
        <v>0</v>
      </c>
      <c r="DL29" s="123"/>
      <c r="DM29" s="124">
        <f t="shared" si="58"/>
        <v>0</v>
      </c>
      <c r="DN29" s="123"/>
      <c r="DO29" s="124">
        <f t="shared" si="59"/>
        <v>0</v>
      </c>
      <c r="DP29" s="123"/>
      <c r="DQ29" s="124">
        <f t="shared" si="60"/>
        <v>0</v>
      </c>
      <c r="DR29" s="123"/>
      <c r="DS29" s="124">
        <f t="shared" si="61"/>
        <v>0</v>
      </c>
      <c r="DT29" s="123"/>
      <c r="DU29" s="124">
        <f t="shared" si="62"/>
        <v>0</v>
      </c>
      <c r="DV29" s="123"/>
      <c r="DW29" s="124">
        <f t="shared" si="63"/>
        <v>0</v>
      </c>
      <c r="DX29" s="123"/>
      <c r="DY29" s="124">
        <f t="shared" si="64"/>
        <v>0</v>
      </c>
      <c r="DZ29" s="123"/>
      <c r="EA29" s="124">
        <f t="shared" si="65"/>
        <v>0</v>
      </c>
      <c r="EB29" s="123"/>
      <c r="EC29" s="124">
        <f t="shared" si="66"/>
        <v>0</v>
      </c>
      <c r="ED29" s="123"/>
      <c r="EE29" s="124">
        <f t="shared" si="67"/>
        <v>0</v>
      </c>
      <c r="EF29" s="27">
        <f t="shared" si="1"/>
        <v>0</v>
      </c>
      <c r="EG29" s="124">
        <f t="shared" si="68"/>
        <v>0</v>
      </c>
    </row>
    <row r="30" spans="1:137" ht="18" customHeight="1" x14ac:dyDescent="0.5">
      <c r="A30" s="117"/>
      <c r="B30" s="122"/>
      <c r="C30" s="122"/>
      <c r="D30" s="117"/>
      <c r="E30" s="117"/>
      <c r="F30" s="117"/>
      <c r="G30" s="117"/>
      <c r="H30" s="123"/>
      <c r="I30" s="124">
        <f t="shared" si="2"/>
        <v>0</v>
      </c>
      <c r="J30" s="123"/>
      <c r="K30" s="124">
        <f t="shared" si="3"/>
        <v>0</v>
      </c>
      <c r="L30" s="123"/>
      <c r="M30" s="124">
        <f t="shared" si="4"/>
        <v>0</v>
      </c>
      <c r="N30" s="123"/>
      <c r="O30" s="124">
        <f t="shared" si="5"/>
        <v>0</v>
      </c>
      <c r="P30" s="123"/>
      <c r="Q30" s="124">
        <f t="shared" si="6"/>
        <v>0</v>
      </c>
      <c r="R30" s="123"/>
      <c r="S30" s="124">
        <f t="shared" si="7"/>
        <v>0</v>
      </c>
      <c r="T30" s="123"/>
      <c r="U30" s="124">
        <f t="shared" si="8"/>
        <v>0</v>
      </c>
      <c r="V30" s="123"/>
      <c r="W30" s="124">
        <f t="shared" si="9"/>
        <v>0</v>
      </c>
      <c r="X30" s="123"/>
      <c r="Y30" s="124">
        <f t="shared" si="10"/>
        <v>0</v>
      </c>
      <c r="Z30" s="123"/>
      <c r="AA30" s="124">
        <f t="shared" si="11"/>
        <v>0</v>
      </c>
      <c r="AB30" s="123"/>
      <c r="AC30" s="124">
        <f t="shared" si="12"/>
        <v>0</v>
      </c>
      <c r="AD30" s="123"/>
      <c r="AE30" s="124">
        <f t="shared" si="13"/>
        <v>0</v>
      </c>
      <c r="AF30" s="125">
        <f t="shared" si="14"/>
        <v>0</v>
      </c>
      <c r="AG30" s="126">
        <f t="shared" si="15"/>
        <v>0</v>
      </c>
      <c r="AH30" s="11"/>
      <c r="AI30" s="124">
        <f t="shared" si="16"/>
        <v>0</v>
      </c>
      <c r="AJ30" s="15"/>
      <c r="AK30" s="124">
        <f t="shared" si="17"/>
        <v>0</v>
      </c>
      <c r="AL30" s="15"/>
      <c r="AM30" s="124">
        <f t="shared" si="18"/>
        <v>0</v>
      </c>
      <c r="AN30" s="16"/>
      <c r="AO30" s="124">
        <f t="shared" si="19"/>
        <v>0</v>
      </c>
      <c r="AP30" s="15"/>
      <c r="AQ30" s="124">
        <f t="shared" si="20"/>
        <v>0</v>
      </c>
      <c r="AR30" s="15"/>
      <c r="AS30" s="124">
        <f t="shared" si="21"/>
        <v>0</v>
      </c>
      <c r="AT30" s="17"/>
      <c r="AU30" s="124">
        <f t="shared" si="22"/>
        <v>0</v>
      </c>
      <c r="AV30" s="15"/>
      <c r="AW30" s="124">
        <f t="shared" si="23"/>
        <v>0</v>
      </c>
      <c r="AX30" s="15"/>
      <c r="AY30" s="124">
        <f t="shared" si="24"/>
        <v>0</v>
      </c>
      <c r="AZ30" s="17"/>
      <c r="BA30" s="124">
        <f t="shared" si="25"/>
        <v>0</v>
      </c>
      <c r="BB30" s="33"/>
      <c r="BC30" s="124">
        <f t="shared" si="26"/>
        <v>0</v>
      </c>
      <c r="BD30" s="33"/>
      <c r="BE30" s="124">
        <f t="shared" si="27"/>
        <v>0</v>
      </c>
      <c r="BF30" s="125">
        <f t="shared" si="28"/>
        <v>0</v>
      </c>
      <c r="BG30" s="126">
        <f t="shared" si="29"/>
        <v>0</v>
      </c>
      <c r="BH30" s="123"/>
      <c r="BI30" s="124">
        <f t="shared" si="30"/>
        <v>0</v>
      </c>
      <c r="BJ30" s="123"/>
      <c r="BK30" s="124">
        <f t="shared" si="31"/>
        <v>0</v>
      </c>
      <c r="BL30" s="123"/>
      <c r="BM30" s="124">
        <f t="shared" si="32"/>
        <v>0</v>
      </c>
      <c r="BN30" s="123"/>
      <c r="BO30" s="124">
        <f t="shared" si="33"/>
        <v>0</v>
      </c>
      <c r="BP30" s="123"/>
      <c r="BQ30" s="124">
        <f t="shared" si="34"/>
        <v>0</v>
      </c>
      <c r="BR30" s="123"/>
      <c r="BS30" s="124">
        <f t="shared" si="35"/>
        <v>0</v>
      </c>
      <c r="BT30" s="123"/>
      <c r="BU30" s="124">
        <f t="shared" si="36"/>
        <v>0</v>
      </c>
      <c r="BV30" s="123"/>
      <c r="BW30" s="124">
        <f t="shared" si="37"/>
        <v>0</v>
      </c>
      <c r="BX30" s="123"/>
      <c r="BY30" s="124">
        <f t="shared" si="38"/>
        <v>0</v>
      </c>
      <c r="BZ30" s="123"/>
      <c r="CA30" s="124">
        <f t="shared" si="39"/>
        <v>0</v>
      </c>
      <c r="CB30" s="123"/>
      <c r="CC30" s="124">
        <f t="shared" si="40"/>
        <v>0</v>
      </c>
      <c r="CD30" s="123"/>
      <c r="CE30" s="124">
        <f t="shared" si="41"/>
        <v>0</v>
      </c>
      <c r="CF30" s="125">
        <f t="shared" si="42"/>
        <v>0</v>
      </c>
      <c r="CG30" s="126">
        <f t="shared" si="43"/>
        <v>0</v>
      </c>
      <c r="CH30" s="123"/>
      <c r="CI30" s="124">
        <f t="shared" si="44"/>
        <v>0</v>
      </c>
      <c r="CJ30" s="123"/>
      <c r="CK30" s="124">
        <f t="shared" si="45"/>
        <v>0</v>
      </c>
      <c r="CL30" s="123"/>
      <c r="CM30" s="124">
        <f t="shared" si="46"/>
        <v>0</v>
      </c>
      <c r="CN30" s="123"/>
      <c r="CO30" s="124">
        <f t="shared" si="47"/>
        <v>0</v>
      </c>
      <c r="CP30" s="123"/>
      <c r="CQ30" s="124">
        <f t="shared" si="48"/>
        <v>0</v>
      </c>
      <c r="CR30" s="123"/>
      <c r="CS30" s="124">
        <f t="shared" si="49"/>
        <v>0</v>
      </c>
      <c r="CT30" s="123"/>
      <c r="CU30" s="124">
        <f t="shared" si="50"/>
        <v>0</v>
      </c>
      <c r="CV30" s="123"/>
      <c r="CW30" s="124">
        <f t="shared" si="51"/>
        <v>0</v>
      </c>
      <c r="CX30" s="123"/>
      <c r="CY30" s="124">
        <f t="shared" si="52"/>
        <v>0</v>
      </c>
      <c r="CZ30" s="123"/>
      <c r="DA30" s="124">
        <f t="shared" si="53"/>
        <v>0</v>
      </c>
      <c r="DB30" s="123"/>
      <c r="DC30" s="124">
        <f t="shared" si="54"/>
        <v>0</v>
      </c>
      <c r="DD30" s="123"/>
      <c r="DE30" s="124">
        <f t="shared" si="54"/>
        <v>0</v>
      </c>
      <c r="DF30" s="177">
        <f t="shared" si="0"/>
        <v>0</v>
      </c>
      <c r="DG30" s="126">
        <f t="shared" si="55"/>
        <v>0</v>
      </c>
      <c r="DH30" s="123"/>
      <c r="DI30" s="124">
        <f t="shared" si="56"/>
        <v>0</v>
      </c>
      <c r="DJ30" s="123"/>
      <c r="DK30" s="124">
        <f t="shared" si="57"/>
        <v>0</v>
      </c>
      <c r="DL30" s="123"/>
      <c r="DM30" s="124">
        <f t="shared" si="58"/>
        <v>0</v>
      </c>
      <c r="DN30" s="123"/>
      <c r="DO30" s="124">
        <f t="shared" si="59"/>
        <v>0</v>
      </c>
      <c r="DP30" s="123"/>
      <c r="DQ30" s="124">
        <f t="shared" si="60"/>
        <v>0</v>
      </c>
      <c r="DR30" s="123"/>
      <c r="DS30" s="124">
        <f t="shared" si="61"/>
        <v>0</v>
      </c>
      <c r="DT30" s="123"/>
      <c r="DU30" s="124">
        <f t="shared" si="62"/>
        <v>0</v>
      </c>
      <c r="DV30" s="123"/>
      <c r="DW30" s="124">
        <f t="shared" si="63"/>
        <v>0</v>
      </c>
      <c r="DX30" s="123"/>
      <c r="DY30" s="124">
        <f t="shared" si="64"/>
        <v>0</v>
      </c>
      <c r="DZ30" s="123"/>
      <c r="EA30" s="124">
        <f t="shared" si="65"/>
        <v>0</v>
      </c>
      <c r="EB30" s="123"/>
      <c r="EC30" s="124">
        <f t="shared" si="66"/>
        <v>0</v>
      </c>
      <c r="ED30" s="123"/>
      <c r="EE30" s="124">
        <f t="shared" si="67"/>
        <v>0</v>
      </c>
      <c r="EF30" s="27">
        <f t="shared" si="1"/>
        <v>0</v>
      </c>
      <c r="EG30" s="124">
        <f t="shared" si="68"/>
        <v>0</v>
      </c>
    </row>
    <row r="31" spans="1:137" ht="18" customHeight="1" x14ac:dyDescent="0.5">
      <c r="A31" s="117">
        <v>24</v>
      </c>
      <c r="B31" s="122" t="s">
        <v>155</v>
      </c>
      <c r="C31" s="122" t="s">
        <v>233</v>
      </c>
      <c r="D31" s="117">
        <f t="shared" ref="D31:D47" si="71">RANK(DF31,$DF$4:$DF$147)</f>
        <v>2</v>
      </c>
      <c r="E31" s="117">
        <v>1</v>
      </c>
      <c r="F31" s="117" t="s">
        <v>232</v>
      </c>
      <c r="G31" s="117">
        <v>1710</v>
      </c>
      <c r="H31" s="123">
        <v>4800</v>
      </c>
      <c r="I31" s="124">
        <f t="shared" si="2"/>
        <v>4800</v>
      </c>
      <c r="J31" s="123">
        <v>3162</v>
      </c>
      <c r="K31" s="124">
        <f t="shared" si="3"/>
        <v>3162</v>
      </c>
      <c r="L31" s="123">
        <v>6744</v>
      </c>
      <c r="M31" s="124">
        <f t="shared" si="4"/>
        <v>6744</v>
      </c>
      <c r="N31" s="123">
        <v>5520</v>
      </c>
      <c r="O31" s="124">
        <f t="shared" si="5"/>
        <v>5520</v>
      </c>
      <c r="P31" s="123">
        <v>7056</v>
      </c>
      <c r="Q31" s="124">
        <f t="shared" si="6"/>
        <v>7056</v>
      </c>
      <c r="R31" s="123">
        <v>11280</v>
      </c>
      <c r="S31" s="124">
        <f t="shared" si="7"/>
        <v>11280</v>
      </c>
      <c r="T31" s="123">
        <v>8580</v>
      </c>
      <c r="U31" s="124">
        <f t="shared" si="8"/>
        <v>8580</v>
      </c>
      <c r="V31" s="123">
        <v>11088</v>
      </c>
      <c r="W31" s="124">
        <f t="shared" si="9"/>
        <v>11088</v>
      </c>
      <c r="X31" s="123">
        <v>16800</v>
      </c>
      <c r="Y31" s="124">
        <f t="shared" si="10"/>
        <v>16800</v>
      </c>
      <c r="Z31" s="123">
        <v>19092</v>
      </c>
      <c r="AA31" s="124">
        <f t="shared" si="11"/>
        <v>19092</v>
      </c>
      <c r="AB31" s="123">
        <v>14400</v>
      </c>
      <c r="AC31" s="124">
        <f t="shared" si="12"/>
        <v>14400</v>
      </c>
      <c r="AD31" s="123">
        <v>26640</v>
      </c>
      <c r="AE31" s="124">
        <f t="shared" si="13"/>
        <v>26640</v>
      </c>
      <c r="AF31" s="125">
        <f t="shared" si="14"/>
        <v>135162</v>
      </c>
      <c r="AG31" s="126">
        <f t="shared" si="15"/>
        <v>135162</v>
      </c>
      <c r="AH31" s="11">
        <v>31037</v>
      </c>
      <c r="AI31" s="124">
        <f t="shared" si="16"/>
        <v>31037</v>
      </c>
      <c r="AJ31" s="15">
        <v>19320</v>
      </c>
      <c r="AK31" s="124">
        <f t="shared" si="17"/>
        <v>19320</v>
      </c>
      <c r="AL31" s="15">
        <v>34224</v>
      </c>
      <c r="AM31" s="124">
        <f t="shared" si="18"/>
        <v>34224</v>
      </c>
      <c r="AN31" s="16">
        <v>33420</v>
      </c>
      <c r="AO31" s="124">
        <f t="shared" si="19"/>
        <v>33420</v>
      </c>
      <c r="AP31" s="15">
        <v>38700</v>
      </c>
      <c r="AQ31" s="124">
        <f t="shared" si="20"/>
        <v>38700</v>
      </c>
      <c r="AR31" s="15">
        <v>37776</v>
      </c>
      <c r="AS31" s="124">
        <f t="shared" si="21"/>
        <v>37776</v>
      </c>
      <c r="AT31" s="17">
        <v>33720</v>
      </c>
      <c r="AU31" s="124">
        <f t="shared" si="22"/>
        <v>33720</v>
      </c>
      <c r="AV31" s="15">
        <v>31248</v>
      </c>
      <c r="AW31" s="124">
        <f t="shared" si="23"/>
        <v>31248</v>
      </c>
      <c r="AX31" s="15">
        <v>32604</v>
      </c>
      <c r="AY31" s="124">
        <f t="shared" si="24"/>
        <v>32604</v>
      </c>
      <c r="AZ31" s="17">
        <v>28584</v>
      </c>
      <c r="BA31" s="124">
        <f t="shared" si="25"/>
        <v>28584</v>
      </c>
      <c r="BB31" s="33">
        <v>35292</v>
      </c>
      <c r="BC31" s="124">
        <f t="shared" si="26"/>
        <v>35292</v>
      </c>
      <c r="BD31" s="33">
        <v>43020</v>
      </c>
      <c r="BE31" s="124">
        <f t="shared" si="27"/>
        <v>43020</v>
      </c>
      <c r="BF31" s="125">
        <f t="shared" si="28"/>
        <v>398945</v>
      </c>
      <c r="BG31" s="126">
        <f t="shared" si="29"/>
        <v>398945</v>
      </c>
      <c r="BH31" s="64">
        <v>45624</v>
      </c>
      <c r="BI31" s="124">
        <f t="shared" si="30"/>
        <v>45624</v>
      </c>
      <c r="BJ31" s="67">
        <v>38316</v>
      </c>
      <c r="BK31" s="124">
        <f t="shared" si="31"/>
        <v>38316</v>
      </c>
      <c r="BL31" s="64">
        <v>51060</v>
      </c>
      <c r="BM31" s="124">
        <f t="shared" si="32"/>
        <v>51060</v>
      </c>
      <c r="BN31" s="64">
        <v>50352</v>
      </c>
      <c r="BO31" s="124">
        <f t="shared" si="33"/>
        <v>50352</v>
      </c>
      <c r="BP31" s="64">
        <v>42816</v>
      </c>
      <c r="BQ31" s="124">
        <f t="shared" si="34"/>
        <v>42816</v>
      </c>
      <c r="BR31" s="65">
        <v>58200</v>
      </c>
      <c r="BS31" s="124">
        <f t="shared" si="35"/>
        <v>58200</v>
      </c>
      <c r="BT31" s="71">
        <v>55260</v>
      </c>
      <c r="BU31" s="124">
        <f t="shared" si="36"/>
        <v>55260</v>
      </c>
      <c r="BV31" s="67">
        <v>72780</v>
      </c>
      <c r="BW31" s="124">
        <f t="shared" si="37"/>
        <v>72780</v>
      </c>
      <c r="BX31" s="67">
        <v>68988</v>
      </c>
      <c r="BY31" s="124">
        <f t="shared" si="38"/>
        <v>68988</v>
      </c>
      <c r="BZ31" s="67">
        <v>72912</v>
      </c>
      <c r="CA31" s="124">
        <f t="shared" si="39"/>
        <v>72912</v>
      </c>
      <c r="CB31" s="67">
        <v>50760</v>
      </c>
      <c r="CC31" s="124">
        <f t="shared" si="40"/>
        <v>50760</v>
      </c>
      <c r="CD31" s="67">
        <v>78252</v>
      </c>
      <c r="CE31" s="124">
        <f t="shared" si="41"/>
        <v>78252</v>
      </c>
      <c r="CF31" s="125">
        <f t="shared" si="42"/>
        <v>685320</v>
      </c>
      <c r="CG31" s="126">
        <f t="shared" si="43"/>
        <v>685320</v>
      </c>
      <c r="CH31" s="123">
        <v>77256</v>
      </c>
      <c r="CI31" s="124">
        <f t="shared" si="44"/>
        <v>77256</v>
      </c>
      <c r="CJ31" s="123">
        <v>72468</v>
      </c>
      <c r="CK31" s="124">
        <f t="shared" si="45"/>
        <v>72468</v>
      </c>
      <c r="CL31" s="123">
        <v>73320</v>
      </c>
      <c r="CM31" s="124">
        <f t="shared" si="46"/>
        <v>73320</v>
      </c>
      <c r="CN31" s="123">
        <v>36480</v>
      </c>
      <c r="CO31" s="124">
        <f t="shared" si="47"/>
        <v>36480</v>
      </c>
      <c r="CP31" s="123">
        <v>101580</v>
      </c>
      <c r="CQ31" s="124">
        <f t="shared" si="48"/>
        <v>101580</v>
      </c>
      <c r="CR31" s="123">
        <v>92916</v>
      </c>
      <c r="CS31" s="124">
        <f t="shared" si="49"/>
        <v>92916</v>
      </c>
      <c r="CT31" s="123">
        <v>82320</v>
      </c>
      <c r="CU31" s="124">
        <f t="shared" si="50"/>
        <v>82320</v>
      </c>
      <c r="CV31" s="123">
        <v>99240</v>
      </c>
      <c r="CW31" s="124">
        <f t="shared" si="51"/>
        <v>99240</v>
      </c>
      <c r="CX31" s="123">
        <v>101928</v>
      </c>
      <c r="CY31" s="124">
        <f t="shared" si="52"/>
        <v>101928</v>
      </c>
      <c r="CZ31" s="123">
        <v>86100</v>
      </c>
      <c r="DA31" s="124">
        <f t="shared" si="53"/>
        <v>86100</v>
      </c>
      <c r="DB31" s="123">
        <v>88980</v>
      </c>
      <c r="DC31" s="124">
        <f t="shared" si="54"/>
        <v>88980</v>
      </c>
      <c r="DD31" s="123">
        <v>104400</v>
      </c>
      <c r="DE31" s="124">
        <f t="shared" si="54"/>
        <v>104400</v>
      </c>
      <c r="DF31" s="177">
        <f t="shared" si="0"/>
        <v>1016988</v>
      </c>
      <c r="DG31" s="126">
        <f t="shared" si="55"/>
        <v>1016988</v>
      </c>
      <c r="DH31" s="123">
        <v>106800</v>
      </c>
      <c r="DI31" s="124">
        <f t="shared" si="56"/>
        <v>106800</v>
      </c>
      <c r="DJ31" s="123">
        <v>95340</v>
      </c>
      <c r="DK31" s="124">
        <f t="shared" si="57"/>
        <v>95340</v>
      </c>
      <c r="DL31" s="123"/>
      <c r="DM31" s="124">
        <f t="shared" si="58"/>
        <v>0</v>
      </c>
      <c r="DN31" s="123"/>
      <c r="DO31" s="124">
        <f t="shared" si="59"/>
        <v>0</v>
      </c>
      <c r="DP31" s="123"/>
      <c r="DQ31" s="124">
        <f t="shared" si="60"/>
        <v>0</v>
      </c>
      <c r="DR31" s="123"/>
      <c r="DS31" s="124">
        <f t="shared" si="61"/>
        <v>0</v>
      </c>
      <c r="DT31" s="123"/>
      <c r="DU31" s="124">
        <f t="shared" si="62"/>
        <v>0</v>
      </c>
      <c r="DV31" s="123"/>
      <c r="DW31" s="124">
        <f t="shared" si="63"/>
        <v>0</v>
      </c>
      <c r="DX31" s="123"/>
      <c r="DY31" s="124">
        <f t="shared" si="64"/>
        <v>0</v>
      </c>
      <c r="DZ31" s="123"/>
      <c r="EA31" s="124">
        <f t="shared" si="65"/>
        <v>0</v>
      </c>
      <c r="EB31" s="123"/>
      <c r="EC31" s="124">
        <f t="shared" si="66"/>
        <v>0</v>
      </c>
      <c r="ED31" s="123"/>
      <c r="EE31" s="124">
        <f t="shared" si="67"/>
        <v>0</v>
      </c>
      <c r="EF31" s="27">
        <f t="shared" si="1"/>
        <v>202140</v>
      </c>
      <c r="EG31" s="124">
        <f t="shared" si="68"/>
        <v>202140</v>
      </c>
    </row>
    <row r="32" spans="1:137" ht="18" customHeight="1" x14ac:dyDescent="0.5">
      <c r="A32" s="117">
        <v>25</v>
      </c>
      <c r="B32" s="122" t="s">
        <v>156</v>
      </c>
      <c r="C32" s="122" t="s">
        <v>233</v>
      </c>
      <c r="D32" s="117">
        <f t="shared" si="71"/>
        <v>21</v>
      </c>
      <c r="E32" s="117">
        <v>1</v>
      </c>
      <c r="F32" s="117" t="s">
        <v>232</v>
      </c>
      <c r="G32" s="117"/>
      <c r="H32" s="123"/>
      <c r="I32" s="124">
        <f t="shared" si="2"/>
        <v>0</v>
      </c>
      <c r="J32" s="123"/>
      <c r="K32" s="124">
        <f t="shared" si="3"/>
        <v>0</v>
      </c>
      <c r="L32" s="123"/>
      <c r="M32" s="124">
        <f t="shared" si="4"/>
        <v>0</v>
      </c>
      <c r="N32" s="123"/>
      <c r="O32" s="124">
        <f t="shared" si="5"/>
        <v>0</v>
      </c>
      <c r="P32" s="123"/>
      <c r="Q32" s="124">
        <f t="shared" si="6"/>
        <v>0</v>
      </c>
      <c r="R32" s="123"/>
      <c r="S32" s="124">
        <f t="shared" si="7"/>
        <v>0</v>
      </c>
      <c r="T32" s="123"/>
      <c r="U32" s="124">
        <f t="shared" si="8"/>
        <v>0</v>
      </c>
      <c r="V32" s="123"/>
      <c r="W32" s="124">
        <f t="shared" si="9"/>
        <v>0</v>
      </c>
      <c r="X32" s="123"/>
      <c r="Y32" s="124">
        <f t="shared" si="10"/>
        <v>0</v>
      </c>
      <c r="Z32" s="123"/>
      <c r="AA32" s="124">
        <f t="shared" si="11"/>
        <v>0</v>
      </c>
      <c r="AB32" s="123"/>
      <c r="AC32" s="124">
        <f t="shared" si="12"/>
        <v>0</v>
      </c>
      <c r="AD32" s="123"/>
      <c r="AE32" s="124">
        <f t="shared" si="13"/>
        <v>0</v>
      </c>
      <c r="AF32" s="125">
        <f t="shared" si="14"/>
        <v>0</v>
      </c>
      <c r="AG32" s="126">
        <f t="shared" si="15"/>
        <v>0</v>
      </c>
      <c r="AH32" s="11"/>
      <c r="AI32" s="124">
        <f t="shared" si="16"/>
        <v>0</v>
      </c>
      <c r="AJ32" s="15"/>
      <c r="AK32" s="124">
        <f t="shared" si="17"/>
        <v>0</v>
      </c>
      <c r="AL32" s="15"/>
      <c r="AM32" s="124">
        <f t="shared" si="18"/>
        <v>0</v>
      </c>
      <c r="AN32" s="16"/>
      <c r="AO32" s="124">
        <f t="shared" si="19"/>
        <v>0</v>
      </c>
      <c r="AP32" s="15"/>
      <c r="AQ32" s="124">
        <f t="shared" si="20"/>
        <v>0</v>
      </c>
      <c r="AR32" s="15"/>
      <c r="AS32" s="124">
        <f t="shared" si="21"/>
        <v>0</v>
      </c>
      <c r="AT32" s="17"/>
      <c r="AU32" s="124">
        <f t="shared" si="22"/>
        <v>0</v>
      </c>
      <c r="AV32" s="15"/>
      <c r="AW32" s="124">
        <f t="shared" si="23"/>
        <v>0</v>
      </c>
      <c r="AX32" s="15"/>
      <c r="AY32" s="124">
        <f t="shared" si="24"/>
        <v>0</v>
      </c>
      <c r="AZ32" s="17"/>
      <c r="BA32" s="124">
        <f t="shared" si="25"/>
        <v>0</v>
      </c>
      <c r="BB32" s="33"/>
      <c r="BC32" s="124">
        <f t="shared" si="26"/>
        <v>0</v>
      </c>
      <c r="BD32" s="33"/>
      <c r="BE32" s="124">
        <f t="shared" si="27"/>
        <v>0</v>
      </c>
      <c r="BF32" s="125">
        <f t="shared" si="28"/>
        <v>0</v>
      </c>
      <c r="BG32" s="126">
        <f t="shared" si="29"/>
        <v>0</v>
      </c>
      <c r="BH32" s="123"/>
      <c r="BI32" s="124">
        <f t="shared" si="30"/>
        <v>0</v>
      </c>
      <c r="BJ32" s="123"/>
      <c r="BK32" s="124">
        <f t="shared" si="31"/>
        <v>0</v>
      </c>
      <c r="BL32" s="123"/>
      <c r="BM32" s="124">
        <f t="shared" si="32"/>
        <v>0</v>
      </c>
      <c r="BN32" s="123"/>
      <c r="BO32" s="124">
        <f t="shared" si="33"/>
        <v>0</v>
      </c>
      <c r="BP32" s="123"/>
      <c r="BQ32" s="124">
        <f t="shared" si="34"/>
        <v>0</v>
      </c>
      <c r="BR32" s="65"/>
      <c r="BS32" s="124">
        <f t="shared" si="35"/>
        <v>0</v>
      </c>
      <c r="BT32" s="123"/>
      <c r="BU32" s="124">
        <f t="shared" si="36"/>
        <v>0</v>
      </c>
      <c r="BV32" s="123"/>
      <c r="BW32" s="124">
        <f t="shared" si="37"/>
        <v>0</v>
      </c>
      <c r="BX32" s="123"/>
      <c r="BY32" s="124">
        <f t="shared" si="38"/>
        <v>0</v>
      </c>
      <c r="BZ32" s="123"/>
      <c r="CA32" s="124">
        <f t="shared" si="39"/>
        <v>0</v>
      </c>
      <c r="CB32" s="123"/>
      <c r="CC32" s="124">
        <f t="shared" si="40"/>
        <v>0</v>
      </c>
      <c r="CD32" s="123"/>
      <c r="CE32" s="124">
        <f t="shared" si="41"/>
        <v>0</v>
      </c>
      <c r="CF32" s="125">
        <f t="shared" si="42"/>
        <v>0</v>
      </c>
      <c r="CG32" s="126">
        <f t="shared" si="43"/>
        <v>0</v>
      </c>
      <c r="CH32" s="123"/>
      <c r="CI32" s="124">
        <f t="shared" si="44"/>
        <v>0</v>
      </c>
      <c r="CJ32" s="123"/>
      <c r="CK32" s="124">
        <f t="shared" si="45"/>
        <v>0</v>
      </c>
      <c r="CL32" s="123"/>
      <c r="CM32" s="124">
        <f t="shared" si="46"/>
        <v>0</v>
      </c>
      <c r="CN32" s="123"/>
      <c r="CO32" s="124">
        <f t="shared" si="47"/>
        <v>0</v>
      </c>
      <c r="CP32" s="123"/>
      <c r="CQ32" s="124">
        <f t="shared" si="48"/>
        <v>0</v>
      </c>
      <c r="CR32" s="123"/>
      <c r="CS32" s="124">
        <f t="shared" si="49"/>
        <v>0</v>
      </c>
      <c r="CT32" s="123"/>
      <c r="CU32" s="124">
        <f t="shared" si="50"/>
        <v>0</v>
      </c>
      <c r="CV32" s="123"/>
      <c r="CW32" s="124">
        <f t="shared" si="51"/>
        <v>0</v>
      </c>
      <c r="CX32" s="123"/>
      <c r="CY32" s="124">
        <f t="shared" si="52"/>
        <v>0</v>
      </c>
      <c r="CZ32" s="123"/>
      <c r="DA32" s="124">
        <f t="shared" si="53"/>
        <v>0</v>
      </c>
      <c r="DB32" s="123"/>
      <c r="DC32" s="124">
        <f t="shared" si="54"/>
        <v>0</v>
      </c>
      <c r="DD32" s="123"/>
      <c r="DE32" s="124">
        <f t="shared" si="54"/>
        <v>0</v>
      </c>
      <c r="DF32" s="177">
        <f t="shared" si="0"/>
        <v>0</v>
      </c>
      <c r="DG32" s="126">
        <f t="shared" si="55"/>
        <v>0</v>
      </c>
      <c r="DH32" s="123"/>
      <c r="DI32" s="124">
        <f t="shared" si="56"/>
        <v>0</v>
      </c>
      <c r="DJ32" s="123"/>
      <c r="DK32" s="124">
        <f t="shared" si="57"/>
        <v>0</v>
      </c>
      <c r="DL32" s="123"/>
      <c r="DM32" s="124">
        <f t="shared" si="58"/>
        <v>0</v>
      </c>
      <c r="DN32" s="123"/>
      <c r="DO32" s="124">
        <f t="shared" si="59"/>
        <v>0</v>
      </c>
      <c r="DP32" s="123"/>
      <c r="DQ32" s="124">
        <f t="shared" si="60"/>
        <v>0</v>
      </c>
      <c r="DR32" s="123"/>
      <c r="DS32" s="124">
        <f t="shared" si="61"/>
        <v>0</v>
      </c>
      <c r="DT32" s="123"/>
      <c r="DU32" s="124">
        <f t="shared" si="62"/>
        <v>0</v>
      </c>
      <c r="DV32" s="123"/>
      <c r="DW32" s="124">
        <f t="shared" si="63"/>
        <v>0</v>
      </c>
      <c r="DX32" s="123"/>
      <c r="DY32" s="124">
        <f t="shared" si="64"/>
        <v>0</v>
      </c>
      <c r="DZ32" s="123"/>
      <c r="EA32" s="124">
        <f t="shared" si="65"/>
        <v>0</v>
      </c>
      <c r="EB32" s="123"/>
      <c r="EC32" s="124">
        <f t="shared" si="66"/>
        <v>0</v>
      </c>
      <c r="ED32" s="123"/>
      <c r="EE32" s="124">
        <f t="shared" si="67"/>
        <v>0</v>
      </c>
      <c r="EF32" s="27">
        <f t="shared" si="1"/>
        <v>0</v>
      </c>
      <c r="EG32" s="124">
        <f t="shared" si="68"/>
        <v>0</v>
      </c>
    </row>
    <row r="33" spans="1:137" ht="18" customHeight="1" x14ac:dyDescent="0.5">
      <c r="A33" s="117">
        <v>26</v>
      </c>
      <c r="B33" s="122" t="s">
        <v>157</v>
      </c>
      <c r="C33" s="122" t="s">
        <v>233</v>
      </c>
      <c r="D33" s="117">
        <f t="shared" si="71"/>
        <v>21</v>
      </c>
      <c r="E33" s="117">
        <v>0.6</v>
      </c>
      <c r="F33" s="117" t="s">
        <v>232</v>
      </c>
      <c r="G33" s="117"/>
      <c r="H33" s="123"/>
      <c r="I33" s="124">
        <f t="shared" si="2"/>
        <v>0</v>
      </c>
      <c r="J33" s="123"/>
      <c r="K33" s="124">
        <f t="shared" si="3"/>
        <v>0</v>
      </c>
      <c r="L33" s="123"/>
      <c r="M33" s="124">
        <f t="shared" si="4"/>
        <v>0</v>
      </c>
      <c r="N33" s="123"/>
      <c r="O33" s="124">
        <f t="shared" si="5"/>
        <v>0</v>
      </c>
      <c r="P33" s="123"/>
      <c r="Q33" s="124">
        <f t="shared" si="6"/>
        <v>0</v>
      </c>
      <c r="R33" s="123"/>
      <c r="S33" s="124">
        <f t="shared" si="7"/>
        <v>0</v>
      </c>
      <c r="T33" s="123"/>
      <c r="U33" s="124">
        <f t="shared" si="8"/>
        <v>0</v>
      </c>
      <c r="V33" s="123"/>
      <c r="W33" s="124">
        <f t="shared" si="9"/>
        <v>0</v>
      </c>
      <c r="X33" s="123"/>
      <c r="Y33" s="124">
        <f t="shared" si="10"/>
        <v>0</v>
      </c>
      <c r="Z33" s="123"/>
      <c r="AA33" s="124">
        <f t="shared" si="11"/>
        <v>0</v>
      </c>
      <c r="AB33" s="123"/>
      <c r="AC33" s="124">
        <f t="shared" si="12"/>
        <v>0</v>
      </c>
      <c r="AD33" s="123"/>
      <c r="AE33" s="124">
        <f t="shared" si="13"/>
        <v>0</v>
      </c>
      <c r="AF33" s="125">
        <f t="shared" si="14"/>
        <v>0</v>
      </c>
      <c r="AG33" s="126">
        <f t="shared" si="15"/>
        <v>0</v>
      </c>
      <c r="AH33" s="11"/>
      <c r="AI33" s="124">
        <f t="shared" si="16"/>
        <v>0</v>
      </c>
      <c r="AJ33" s="15"/>
      <c r="AK33" s="124">
        <f t="shared" si="17"/>
        <v>0</v>
      </c>
      <c r="AL33" s="15"/>
      <c r="AM33" s="124">
        <f t="shared" si="18"/>
        <v>0</v>
      </c>
      <c r="AN33" s="16"/>
      <c r="AO33" s="124">
        <f t="shared" si="19"/>
        <v>0</v>
      </c>
      <c r="AP33" s="15"/>
      <c r="AQ33" s="124">
        <f t="shared" si="20"/>
        <v>0</v>
      </c>
      <c r="AR33" s="15"/>
      <c r="AS33" s="124">
        <f t="shared" si="21"/>
        <v>0</v>
      </c>
      <c r="AT33" s="17"/>
      <c r="AU33" s="124">
        <f t="shared" si="22"/>
        <v>0</v>
      </c>
      <c r="AV33" s="15"/>
      <c r="AW33" s="124">
        <f t="shared" si="23"/>
        <v>0</v>
      </c>
      <c r="AX33" s="15"/>
      <c r="AY33" s="124">
        <f t="shared" si="24"/>
        <v>0</v>
      </c>
      <c r="AZ33" s="17"/>
      <c r="BA33" s="124">
        <f t="shared" si="25"/>
        <v>0</v>
      </c>
      <c r="BB33" s="33"/>
      <c r="BC33" s="124">
        <f t="shared" si="26"/>
        <v>0</v>
      </c>
      <c r="BD33" s="33"/>
      <c r="BE33" s="124">
        <f t="shared" si="27"/>
        <v>0</v>
      </c>
      <c r="BF33" s="125">
        <f t="shared" si="28"/>
        <v>0</v>
      </c>
      <c r="BG33" s="126">
        <f t="shared" si="29"/>
        <v>0</v>
      </c>
      <c r="BH33" s="123"/>
      <c r="BI33" s="124">
        <f t="shared" si="30"/>
        <v>0</v>
      </c>
      <c r="BJ33" s="123"/>
      <c r="BK33" s="124">
        <f t="shared" si="31"/>
        <v>0</v>
      </c>
      <c r="BL33" s="123"/>
      <c r="BM33" s="124">
        <f t="shared" si="32"/>
        <v>0</v>
      </c>
      <c r="BN33" s="123"/>
      <c r="BO33" s="124">
        <f t="shared" si="33"/>
        <v>0</v>
      </c>
      <c r="BP33" s="123"/>
      <c r="BQ33" s="124">
        <f t="shared" si="34"/>
        <v>0</v>
      </c>
      <c r="BR33" s="123"/>
      <c r="BS33" s="124">
        <f t="shared" si="35"/>
        <v>0</v>
      </c>
      <c r="BT33" s="123"/>
      <c r="BU33" s="124">
        <f t="shared" si="36"/>
        <v>0</v>
      </c>
      <c r="BV33" s="123"/>
      <c r="BW33" s="124">
        <f t="shared" si="37"/>
        <v>0</v>
      </c>
      <c r="BX33" s="123"/>
      <c r="BY33" s="124">
        <f t="shared" si="38"/>
        <v>0</v>
      </c>
      <c r="BZ33" s="123"/>
      <c r="CA33" s="124">
        <f t="shared" si="39"/>
        <v>0</v>
      </c>
      <c r="CB33" s="123"/>
      <c r="CC33" s="124">
        <f t="shared" si="40"/>
        <v>0</v>
      </c>
      <c r="CD33" s="123"/>
      <c r="CE33" s="124">
        <f t="shared" si="41"/>
        <v>0</v>
      </c>
      <c r="CF33" s="125">
        <f t="shared" si="42"/>
        <v>0</v>
      </c>
      <c r="CG33" s="126">
        <f t="shared" si="43"/>
        <v>0</v>
      </c>
      <c r="CH33" s="123"/>
      <c r="CI33" s="124">
        <f t="shared" si="44"/>
        <v>0</v>
      </c>
      <c r="CJ33" s="123"/>
      <c r="CK33" s="124">
        <f t="shared" si="45"/>
        <v>0</v>
      </c>
      <c r="CL33" s="123"/>
      <c r="CM33" s="124">
        <f t="shared" si="46"/>
        <v>0</v>
      </c>
      <c r="CN33" s="123"/>
      <c r="CO33" s="124">
        <f t="shared" si="47"/>
        <v>0</v>
      </c>
      <c r="CP33" s="123"/>
      <c r="CQ33" s="124">
        <f t="shared" si="48"/>
        <v>0</v>
      </c>
      <c r="CR33" s="123"/>
      <c r="CS33" s="124">
        <f t="shared" si="49"/>
        <v>0</v>
      </c>
      <c r="CT33" s="123"/>
      <c r="CU33" s="124">
        <f t="shared" si="50"/>
        <v>0</v>
      </c>
      <c r="CV33" s="123"/>
      <c r="CW33" s="124">
        <f t="shared" si="51"/>
        <v>0</v>
      </c>
      <c r="CX33" s="123"/>
      <c r="CY33" s="124">
        <f t="shared" si="52"/>
        <v>0</v>
      </c>
      <c r="CZ33" s="123"/>
      <c r="DA33" s="124">
        <f t="shared" si="53"/>
        <v>0</v>
      </c>
      <c r="DB33" s="123"/>
      <c r="DC33" s="124">
        <f t="shared" si="54"/>
        <v>0</v>
      </c>
      <c r="DD33" s="123"/>
      <c r="DE33" s="124">
        <f t="shared" si="54"/>
        <v>0</v>
      </c>
      <c r="DF33" s="177">
        <f t="shared" si="0"/>
        <v>0</v>
      </c>
      <c r="DG33" s="126">
        <f t="shared" si="55"/>
        <v>0</v>
      </c>
      <c r="DH33" s="123"/>
      <c r="DI33" s="124">
        <f t="shared" si="56"/>
        <v>0</v>
      </c>
      <c r="DJ33" s="123"/>
      <c r="DK33" s="124">
        <f t="shared" si="57"/>
        <v>0</v>
      </c>
      <c r="DL33" s="123"/>
      <c r="DM33" s="124">
        <f t="shared" si="58"/>
        <v>0</v>
      </c>
      <c r="DN33" s="123"/>
      <c r="DO33" s="124">
        <f t="shared" si="59"/>
        <v>0</v>
      </c>
      <c r="DP33" s="123"/>
      <c r="DQ33" s="124">
        <f t="shared" si="60"/>
        <v>0</v>
      </c>
      <c r="DR33" s="123"/>
      <c r="DS33" s="124">
        <f t="shared" si="61"/>
        <v>0</v>
      </c>
      <c r="DT33" s="123"/>
      <c r="DU33" s="124">
        <f t="shared" si="62"/>
        <v>0</v>
      </c>
      <c r="DV33" s="123"/>
      <c r="DW33" s="124">
        <f t="shared" si="63"/>
        <v>0</v>
      </c>
      <c r="DX33" s="123"/>
      <c r="DY33" s="124">
        <f t="shared" si="64"/>
        <v>0</v>
      </c>
      <c r="DZ33" s="123"/>
      <c r="EA33" s="124">
        <f t="shared" si="65"/>
        <v>0</v>
      </c>
      <c r="EB33" s="123"/>
      <c r="EC33" s="124">
        <f t="shared" si="66"/>
        <v>0</v>
      </c>
      <c r="ED33" s="123"/>
      <c r="EE33" s="124">
        <f t="shared" si="67"/>
        <v>0</v>
      </c>
      <c r="EF33" s="27">
        <f t="shared" si="1"/>
        <v>0</v>
      </c>
      <c r="EG33" s="124">
        <f t="shared" si="68"/>
        <v>0</v>
      </c>
    </row>
    <row r="34" spans="1:137" ht="18" customHeight="1" x14ac:dyDescent="0.5">
      <c r="A34" s="117">
        <v>27</v>
      </c>
      <c r="B34" s="122" t="s">
        <v>158</v>
      </c>
      <c r="C34" s="122" t="s">
        <v>233</v>
      </c>
      <c r="D34" s="117">
        <f t="shared" si="71"/>
        <v>21</v>
      </c>
      <c r="E34" s="117">
        <v>0.6</v>
      </c>
      <c r="F34" s="117" t="s">
        <v>232</v>
      </c>
      <c r="G34" s="117"/>
      <c r="H34" s="123"/>
      <c r="I34" s="124">
        <f t="shared" si="2"/>
        <v>0</v>
      </c>
      <c r="J34" s="123"/>
      <c r="K34" s="124">
        <f t="shared" si="3"/>
        <v>0</v>
      </c>
      <c r="L34" s="123"/>
      <c r="M34" s="124">
        <f t="shared" si="4"/>
        <v>0</v>
      </c>
      <c r="N34" s="123"/>
      <c r="O34" s="124">
        <f t="shared" si="5"/>
        <v>0</v>
      </c>
      <c r="P34" s="123"/>
      <c r="Q34" s="124">
        <f t="shared" si="6"/>
        <v>0</v>
      </c>
      <c r="R34" s="123"/>
      <c r="S34" s="124">
        <f t="shared" si="7"/>
        <v>0</v>
      </c>
      <c r="T34" s="123"/>
      <c r="U34" s="124">
        <f t="shared" si="8"/>
        <v>0</v>
      </c>
      <c r="V34" s="123"/>
      <c r="W34" s="124">
        <f t="shared" si="9"/>
        <v>0</v>
      </c>
      <c r="X34" s="123"/>
      <c r="Y34" s="124">
        <f t="shared" si="10"/>
        <v>0</v>
      </c>
      <c r="Z34" s="123"/>
      <c r="AA34" s="124">
        <f t="shared" si="11"/>
        <v>0</v>
      </c>
      <c r="AB34" s="123"/>
      <c r="AC34" s="124">
        <f t="shared" si="12"/>
        <v>0</v>
      </c>
      <c r="AD34" s="123"/>
      <c r="AE34" s="124">
        <f t="shared" si="13"/>
        <v>0</v>
      </c>
      <c r="AF34" s="125">
        <f t="shared" si="14"/>
        <v>0</v>
      </c>
      <c r="AG34" s="126">
        <f t="shared" si="15"/>
        <v>0</v>
      </c>
      <c r="AH34" s="11"/>
      <c r="AI34" s="124">
        <f t="shared" si="16"/>
        <v>0</v>
      </c>
      <c r="AJ34" s="15"/>
      <c r="AK34" s="124">
        <f t="shared" si="17"/>
        <v>0</v>
      </c>
      <c r="AL34" s="15"/>
      <c r="AM34" s="124">
        <f t="shared" si="18"/>
        <v>0</v>
      </c>
      <c r="AN34" s="16"/>
      <c r="AO34" s="124">
        <f t="shared" si="19"/>
        <v>0</v>
      </c>
      <c r="AP34" s="15"/>
      <c r="AQ34" s="124">
        <f t="shared" si="20"/>
        <v>0</v>
      </c>
      <c r="AR34" s="15"/>
      <c r="AS34" s="124">
        <f t="shared" si="21"/>
        <v>0</v>
      </c>
      <c r="AT34" s="17"/>
      <c r="AU34" s="124">
        <f t="shared" si="22"/>
        <v>0</v>
      </c>
      <c r="AV34" s="15"/>
      <c r="AW34" s="124">
        <f t="shared" si="23"/>
        <v>0</v>
      </c>
      <c r="AX34" s="15"/>
      <c r="AY34" s="124">
        <f t="shared" si="24"/>
        <v>0</v>
      </c>
      <c r="AZ34" s="17"/>
      <c r="BA34" s="124">
        <f t="shared" si="25"/>
        <v>0</v>
      </c>
      <c r="BB34" s="33"/>
      <c r="BC34" s="124">
        <f t="shared" si="26"/>
        <v>0</v>
      </c>
      <c r="BD34" s="33"/>
      <c r="BE34" s="124">
        <f t="shared" si="27"/>
        <v>0</v>
      </c>
      <c r="BF34" s="125">
        <f t="shared" si="28"/>
        <v>0</v>
      </c>
      <c r="BG34" s="126">
        <f t="shared" si="29"/>
        <v>0</v>
      </c>
      <c r="BH34" s="123"/>
      <c r="BI34" s="124">
        <f t="shared" si="30"/>
        <v>0</v>
      </c>
      <c r="BJ34" s="123"/>
      <c r="BK34" s="124">
        <f t="shared" si="31"/>
        <v>0</v>
      </c>
      <c r="BL34" s="123"/>
      <c r="BM34" s="124">
        <f t="shared" si="32"/>
        <v>0</v>
      </c>
      <c r="BN34" s="123"/>
      <c r="BO34" s="124">
        <f t="shared" si="33"/>
        <v>0</v>
      </c>
      <c r="BP34" s="123"/>
      <c r="BQ34" s="124">
        <f t="shared" si="34"/>
        <v>0</v>
      </c>
      <c r="BR34" s="123"/>
      <c r="BS34" s="124">
        <f t="shared" si="35"/>
        <v>0</v>
      </c>
      <c r="BT34" s="123"/>
      <c r="BU34" s="124">
        <f t="shared" si="36"/>
        <v>0</v>
      </c>
      <c r="BV34" s="123"/>
      <c r="BW34" s="124">
        <f t="shared" si="37"/>
        <v>0</v>
      </c>
      <c r="BX34" s="123"/>
      <c r="BY34" s="124">
        <f t="shared" si="38"/>
        <v>0</v>
      </c>
      <c r="BZ34" s="123"/>
      <c r="CA34" s="124">
        <f t="shared" si="39"/>
        <v>0</v>
      </c>
      <c r="CB34" s="123"/>
      <c r="CC34" s="124">
        <f t="shared" si="40"/>
        <v>0</v>
      </c>
      <c r="CD34" s="123"/>
      <c r="CE34" s="124">
        <f t="shared" si="41"/>
        <v>0</v>
      </c>
      <c r="CF34" s="125">
        <f t="shared" si="42"/>
        <v>0</v>
      </c>
      <c r="CG34" s="126">
        <f t="shared" si="43"/>
        <v>0</v>
      </c>
      <c r="CH34" s="123"/>
      <c r="CI34" s="124">
        <f t="shared" si="44"/>
        <v>0</v>
      </c>
      <c r="CJ34" s="123"/>
      <c r="CK34" s="124">
        <f t="shared" si="45"/>
        <v>0</v>
      </c>
      <c r="CL34" s="123"/>
      <c r="CM34" s="124">
        <f t="shared" si="46"/>
        <v>0</v>
      </c>
      <c r="CN34" s="123"/>
      <c r="CO34" s="124">
        <f t="shared" si="47"/>
        <v>0</v>
      </c>
      <c r="CP34" s="123"/>
      <c r="CQ34" s="124">
        <f t="shared" si="48"/>
        <v>0</v>
      </c>
      <c r="CR34" s="123"/>
      <c r="CS34" s="124">
        <f t="shared" si="49"/>
        <v>0</v>
      </c>
      <c r="CT34" s="123"/>
      <c r="CU34" s="124">
        <f t="shared" si="50"/>
        <v>0</v>
      </c>
      <c r="CV34" s="123"/>
      <c r="CW34" s="124">
        <f t="shared" si="51"/>
        <v>0</v>
      </c>
      <c r="CX34" s="123"/>
      <c r="CY34" s="124">
        <f t="shared" si="52"/>
        <v>0</v>
      </c>
      <c r="CZ34" s="123"/>
      <c r="DA34" s="124">
        <f t="shared" si="53"/>
        <v>0</v>
      </c>
      <c r="DB34" s="123"/>
      <c r="DC34" s="124">
        <f t="shared" si="54"/>
        <v>0</v>
      </c>
      <c r="DD34" s="123"/>
      <c r="DE34" s="124">
        <f t="shared" si="54"/>
        <v>0</v>
      </c>
      <c r="DF34" s="177">
        <f t="shared" si="0"/>
        <v>0</v>
      </c>
      <c r="DG34" s="126">
        <f t="shared" si="55"/>
        <v>0</v>
      </c>
      <c r="DH34" s="123"/>
      <c r="DI34" s="124">
        <f t="shared" si="56"/>
        <v>0</v>
      </c>
      <c r="DJ34" s="123"/>
      <c r="DK34" s="124">
        <f t="shared" si="57"/>
        <v>0</v>
      </c>
      <c r="DL34" s="123"/>
      <c r="DM34" s="124">
        <f t="shared" si="58"/>
        <v>0</v>
      </c>
      <c r="DN34" s="123"/>
      <c r="DO34" s="124">
        <f t="shared" si="59"/>
        <v>0</v>
      </c>
      <c r="DP34" s="123"/>
      <c r="DQ34" s="124">
        <f t="shared" si="60"/>
        <v>0</v>
      </c>
      <c r="DR34" s="123"/>
      <c r="DS34" s="124">
        <f t="shared" si="61"/>
        <v>0</v>
      </c>
      <c r="DT34" s="123"/>
      <c r="DU34" s="124">
        <f t="shared" si="62"/>
        <v>0</v>
      </c>
      <c r="DV34" s="123"/>
      <c r="DW34" s="124">
        <f t="shared" si="63"/>
        <v>0</v>
      </c>
      <c r="DX34" s="123"/>
      <c r="DY34" s="124">
        <f t="shared" si="64"/>
        <v>0</v>
      </c>
      <c r="DZ34" s="123"/>
      <c r="EA34" s="124">
        <f t="shared" si="65"/>
        <v>0</v>
      </c>
      <c r="EB34" s="123"/>
      <c r="EC34" s="124">
        <f t="shared" si="66"/>
        <v>0</v>
      </c>
      <c r="ED34" s="123"/>
      <c r="EE34" s="124">
        <f t="shared" si="67"/>
        <v>0</v>
      </c>
      <c r="EF34" s="27">
        <f t="shared" si="1"/>
        <v>0</v>
      </c>
      <c r="EG34" s="124">
        <f t="shared" si="68"/>
        <v>0</v>
      </c>
    </row>
    <row r="35" spans="1:137" ht="18" customHeight="1" x14ac:dyDescent="0.5">
      <c r="A35" s="117">
        <v>28</v>
      </c>
      <c r="B35" s="122" t="s">
        <v>159</v>
      </c>
      <c r="C35" s="122" t="s">
        <v>233</v>
      </c>
      <c r="D35" s="117">
        <f t="shared" si="71"/>
        <v>21</v>
      </c>
      <c r="E35" s="117">
        <v>0.35</v>
      </c>
      <c r="F35" s="117" t="s">
        <v>234</v>
      </c>
      <c r="G35" s="117"/>
      <c r="H35" s="123"/>
      <c r="I35" s="124">
        <f t="shared" si="2"/>
        <v>0</v>
      </c>
      <c r="J35" s="123"/>
      <c r="K35" s="124">
        <f t="shared" si="3"/>
        <v>0</v>
      </c>
      <c r="L35" s="123"/>
      <c r="M35" s="124">
        <f t="shared" si="4"/>
        <v>0</v>
      </c>
      <c r="N35" s="123"/>
      <c r="O35" s="124">
        <f t="shared" si="5"/>
        <v>0</v>
      </c>
      <c r="P35" s="123"/>
      <c r="Q35" s="124">
        <f t="shared" si="6"/>
        <v>0</v>
      </c>
      <c r="R35" s="123"/>
      <c r="S35" s="124">
        <f t="shared" si="7"/>
        <v>0</v>
      </c>
      <c r="T35" s="123"/>
      <c r="U35" s="124">
        <f t="shared" si="8"/>
        <v>0</v>
      </c>
      <c r="V35" s="123"/>
      <c r="W35" s="124">
        <f t="shared" si="9"/>
        <v>0</v>
      </c>
      <c r="X35" s="123"/>
      <c r="Y35" s="124">
        <f t="shared" si="10"/>
        <v>0</v>
      </c>
      <c r="Z35" s="123"/>
      <c r="AA35" s="124">
        <f t="shared" si="11"/>
        <v>0</v>
      </c>
      <c r="AB35" s="123"/>
      <c r="AC35" s="124">
        <f t="shared" si="12"/>
        <v>0</v>
      </c>
      <c r="AD35" s="123"/>
      <c r="AE35" s="124">
        <f t="shared" si="13"/>
        <v>0</v>
      </c>
      <c r="AF35" s="125">
        <f t="shared" si="14"/>
        <v>0</v>
      </c>
      <c r="AG35" s="126">
        <f t="shared" si="15"/>
        <v>0</v>
      </c>
      <c r="AH35" s="11"/>
      <c r="AI35" s="124">
        <f t="shared" si="16"/>
        <v>0</v>
      </c>
      <c r="AJ35" s="15"/>
      <c r="AK35" s="124">
        <f t="shared" si="17"/>
        <v>0</v>
      </c>
      <c r="AL35" s="15"/>
      <c r="AM35" s="124">
        <f t="shared" si="18"/>
        <v>0</v>
      </c>
      <c r="AN35" s="16"/>
      <c r="AO35" s="124">
        <f t="shared" si="19"/>
        <v>0</v>
      </c>
      <c r="AP35" s="15"/>
      <c r="AQ35" s="124">
        <f t="shared" si="20"/>
        <v>0</v>
      </c>
      <c r="AR35" s="15"/>
      <c r="AS35" s="124">
        <f t="shared" si="21"/>
        <v>0</v>
      </c>
      <c r="AT35" s="17"/>
      <c r="AU35" s="124">
        <f t="shared" si="22"/>
        <v>0</v>
      </c>
      <c r="AV35" s="15"/>
      <c r="AW35" s="124">
        <f t="shared" si="23"/>
        <v>0</v>
      </c>
      <c r="AX35" s="15"/>
      <c r="AY35" s="124">
        <f t="shared" si="24"/>
        <v>0</v>
      </c>
      <c r="AZ35" s="17"/>
      <c r="BA35" s="124">
        <f t="shared" si="25"/>
        <v>0</v>
      </c>
      <c r="BB35" s="33"/>
      <c r="BC35" s="124">
        <f t="shared" si="26"/>
        <v>0</v>
      </c>
      <c r="BD35" s="33"/>
      <c r="BE35" s="124">
        <f t="shared" si="27"/>
        <v>0</v>
      </c>
      <c r="BF35" s="125">
        <f t="shared" si="28"/>
        <v>0</v>
      </c>
      <c r="BG35" s="126">
        <f t="shared" si="29"/>
        <v>0</v>
      </c>
      <c r="BH35" s="123"/>
      <c r="BI35" s="124">
        <f t="shared" si="30"/>
        <v>0</v>
      </c>
      <c r="BJ35" s="123"/>
      <c r="BK35" s="124">
        <f t="shared" si="31"/>
        <v>0</v>
      </c>
      <c r="BL35" s="123"/>
      <c r="BM35" s="124">
        <f t="shared" si="32"/>
        <v>0</v>
      </c>
      <c r="BN35" s="123"/>
      <c r="BO35" s="124">
        <f t="shared" si="33"/>
        <v>0</v>
      </c>
      <c r="BP35" s="123"/>
      <c r="BQ35" s="124">
        <f t="shared" si="34"/>
        <v>0</v>
      </c>
      <c r="BR35" s="123"/>
      <c r="BS35" s="124">
        <f t="shared" si="35"/>
        <v>0</v>
      </c>
      <c r="BT35" s="123"/>
      <c r="BU35" s="124">
        <f t="shared" si="36"/>
        <v>0</v>
      </c>
      <c r="BV35" s="123"/>
      <c r="BW35" s="124">
        <f t="shared" si="37"/>
        <v>0</v>
      </c>
      <c r="BX35" s="123"/>
      <c r="BY35" s="124">
        <f t="shared" si="38"/>
        <v>0</v>
      </c>
      <c r="BZ35" s="123"/>
      <c r="CA35" s="124">
        <f t="shared" si="39"/>
        <v>0</v>
      </c>
      <c r="CB35" s="123"/>
      <c r="CC35" s="124">
        <f t="shared" si="40"/>
        <v>0</v>
      </c>
      <c r="CD35" s="123"/>
      <c r="CE35" s="124">
        <f t="shared" si="41"/>
        <v>0</v>
      </c>
      <c r="CF35" s="125">
        <f t="shared" si="42"/>
        <v>0</v>
      </c>
      <c r="CG35" s="126">
        <f t="shared" si="43"/>
        <v>0</v>
      </c>
      <c r="CH35" s="123"/>
      <c r="CI35" s="124">
        <f t="shared" si="44"/>
        <v>0</v>
      </c>
      <c r="CJ35" s="123"/>
      <c r="CK35" s="124">
        <f t="shared" si="45"/>
        <v>0</v>
      </c>
      <c r="CL35" s="123"/>
      <c r="CM35" s="124">
        <f t="shared" si="46"/>
        <v>0</v>
      </c>
      <c r="CN35" s="123"/>
      <c r="CO35" s="124">
        <f t="shared" si="47"/>
        <v>0</v>
      </c>
      <c r="CP35" s="123"/>
      <c r="CQ35" s="124">
        <f t="shared" si="48"/>
        <v>0</v>
      </c>
      <c r="CR35" s="123"/>
      <c r="CS35" s="124">
        <f t="shared" si="49"/>
        <v>0</v>
      </c>
      <c r="CT35" s="123"/>
      <c r="CU35" s="124">
        <f t="shared" si="50"/>
        <v>0</v>
      </c>
      <c r="CV35" s="123"/>
      <c r="CW35" s="124">
        <f t="shared" si="51"/>
        <v>0</v>
      </c>
      <c r="CX35" s="123"/>
      <c r="CY35" s="124">
        <f t="shared" si="52"/>
        <v>0</v>
      </c>
      <c r="CZ35" s="123"/>
      <c r="DA35" s="124">
        <f t="shared" si="53"/>
        <v>0</v>
      </c>
      <c r="DB35" s="123"/>
      <c r="DC35" s="124">
        <f t="shared" si="54"/>
        <v>0</v>
      </c>
      <c r="DD35" s="123"/>
      <c r="DE35" s="124">
        <f t="shared" si="54"/>
        <v>0</v>
      </c>
      <c r="DF35" s="177">
        <f t="shared" si="0"/>
        <v>0</v>
      </c>
      <c r="DG35" s="126">
        <f t="shared" si="55"/>
        <v>0</v>
      </c>
      <c r="DH35" s="123"/>
      <c r="DI35" s="124">
        <f t="shared" si="56"/>
        <v>0</v>
      </c>
      <c r="DJ35" s="123"/>
      <c r="DK35" s="124">
        <f t="shared" si="57"/>
        <v>0</v>
      </c>
      <c r="DL35" s="123"/>
      <c r="DM35" s="124">
        <f t="shared" si="58"/>
        <v>0</v>
      </c>
      <c r="DN35" s="123"/>
      <c r="DO35" s="124">
        <f t="shared" si="59"/>
        <v>0</v>
      </c>
      <c r="DP35" s="123"/>
      <c r="DQ35" s="124">
        <f t="shared" si="60"/>
        <v>0</v>
      </c>
      <c r="DR35" s="123"/>
      <c r="DS35" s="124">
        <f t="shared" si="61"/>
        <v>0</v>
      </c>
      <c r="DT35" s="123"/>
      <c r="DU35" s="124">
        <f t="shared" si="62"/>
        <v>0</v>
      </c>
      <c r="DV35" s="123"/>
      <c r="DW35" s="124">
        <f t="shared" si="63"/>
        <v>0</v>
      </c>
      <c r="DX35" s="123"/>
      <c r="DY35" s="124">
        <f t="shared" si="64"/>
        <v>0</v>
      </c>
      <c r="DZ35" s="123"/>
      <c r="EA35" s="124">
        <f t="shared" si="65"/>
        <v>0</v>
      </c>
      <c r="EB35" s="123"/>
      <c r="EC35" s="124">
        <f t="shared" si="66"/>
        <v>0</v>
      </c>
      <c r="ED35" s="123"/>
      <c r="EE35" s="124">
        <f t="shared" si="67"/>
        <v>0</v>
      </c>
      <c r="EF35" s="27">
        <f t="shared" si="1"/>
        <v>0</v>
      </c>
      <c r="EG35" s="124">
        <f t="shared" si="68"/>
        <v>0</v>
      </c>
    </row>
    <row r="36" spans="1:137" ht="18" customHeight="1" x14ac:dyDescent="0.5">
      <c r="A36" s="117">
        <v>29</v>
      </c>
      <c r="B36" s="122" t="s">
        <v>160</v>
      </c>
      <c r="C36" s="122" t="s">
        <v>231</v>
      </c>
      <c r="D36" s="117">
        <f t="shared" si="71"/>
        <v>21</v>
      </c>
      <c r="E36" s="117">
        <v>0.7</v>
      </c>
      <c r="F36" s="117" t="s">
        <v>232</v>
      </c>
      <c r="G36" s="117"/>
      <c r="H36" s="123"/>
      <c r="I36" s="124">
        <f t="shared" si="2"/>
        <v>0</v>
      </c>
      <c r="J36" s="123"/>
      <c r="K36" s="124">
        <f t="shared" si="3"/>
        <v>0</v>
      </c>
      <c r="L36" s="123"/>
      <c r="M36" s="124">
        <f t="shared" si="4"/>
        <v>0</v>
      </c>
      <c r="N36" s="123"/>
      <c r="O36" s="124">
        <f t="shared" si="5"/>
        <v>0</v>
      </c>
      <c r="P36" s="123"/>
      <c r="Q36" s="124">
        <f t="shared" si="6"/>
        <v>0</v>
      </c>
      <c r="R36" s="123"/>
      <c r="S36" s="124">
        <f t="shared" si="7"/>
        <v>0</v>
      </c>
      <c r="T36" s="123"/>
      <c r="U36" s="124">
        <f t="shared" si="8"/>
        <v>0</v>
      </c>
      <c r="V36" s="123"/>
      <c r="W36" s="124">
        <f t="shared" si="9"/>
        <v>0</v>
      </c>
      <c r="X36" s="123"/>
      <c r="Y36" s="124">
        <f t="shared" si="10"/>
        <v>0</v>
      </c>
      <c r="Z36" s="123"/>
      <c r="AA36" s="124">
        <f t="shared" si="11"/>
        <v>0</v>
      </c>
      <c r="AB36" s="123"/>
      <c r="AC36" s="124">
        <f t="shared" si="12"/>
        <v>0</v>
      </c>
      <c r="AD36" s="123"/>
      <c r="AE36" s="124">
        <f t="shared" si="13"/>
        <v>0</v>
      </c>
      <c r="AF36" s="125">
        <f t="shared" si="14"/>
        <v>0</v>
      </c>
      <c r="AG36" s="126">
        <f t="shared" si="15"/>
        <v>0</v>
      </c>
      <c r="AH36" s="11"/>
      <c r="AI36" s="124">
        <f t="shared" si="16"/>
        <v>0</v>
      </c>
      <c r="AJ36" s="15"/>
      <c r="AK36" s="124">
        <f t="shared" si="17"/>
        <v>0</v>
      </c>
      <c r="AL36" s="15"/>
      <c r="AM36" s="124">
        <f t="shared" si="18"/>
        <v>0</v>
      </c>
      <c r="AN36" s="16"/>
      <c r="AO36" s="124">
        <f t="shared" si="19"/>
        <v>0</v>
      </c>
      <c r="AP36" s="15"/>
      <c r="AQ36" s="124">
        <f t="shared" si="20"/>
        <v>0</v>
      </c>
      <c r="AR36" s="15"/>
      <c r="AS36" s="124">
        <f t="shared" si="21"/>
        <v>0</v>
      </c>
      <c r="AT36" s="17"/>
      <c r="AU36" s="124">
        <f t="shared" si="22"/>
        <v>0</v>
      </c>
      <c r="AV36" s="15"/>
      <c r="AW36" s="124">
        <f t="shared" si="23"/>
        <v>0</v>
      </c>
      <c r="AX36" s="15"/>
      <c r="AY36" s="124">
        <f t="shared" si="24"/>
        <v>0</v>
      </c>
      <c r="AZ36" s="17"/>
      <c r="BA36" s="124">
        <f t="shared" si="25"/>
        <v>0</v>
      </c>
      <c r="BB36" s="33"/>
      <c r="BC36" s="124">
        <f t="shared" si="26"/>
        <v>0</v>
      </c>
      <c r="BD36" s="33"/>
      <c r="BE36" s="124">
        <f t="shared" si="27"/>
        <v>0</v>
      </c>
      <c r="BF36" s="125">
        <f t="shared" si="28"/>
        <v>0</v>
      </c>
      <c r="BG36" s="126">
        <f t="shared" si="29"/>
        <v>0</v>
      </c>
      <c r="BH36" s="123"/>
      <c r="BI36" s="124">
        <f t="shared" si="30"/>
        <v>0</v>
      </c>
      <c r="BJ36" s="123"/>
      <c r="BK36" s="124">
        <f t="shared" si="31"/>
        <v>0</v>
      </c>
      <c r="BL36" s="123"/>
      <c r="BM36" s="124">
        <f t="shared" si="32"/>
        <v>0</v>
      </c>
      <c r="BN36" s="123"/>
      <c r="BO36" s="124">
        <f t="shared" si="33"/>
        <v>0</v>
      </c>
      <c r="BP36" s="123"/>
      <c r="BQ36" s="124">
        <f t="shared" si="34"/>
        <v>0</v>
      </c>
      <c r="BR36" s="123"/>
      <c r="BS36" s="124">
        <f t="shared" si="35"/>
        <v>0</v>
      </c>
      <c r="BT36" s="123"/>
      <c r="BU36" s="124">
        <f t="shared" si="36"/>
        <v>0</v>
      </c>
      <c r="BV36" s="123"/>
      <c r="BW36" s="124">
        <f t="shared" si="37"/>
        <v>0</v>
      </c>
      <c r="BX36" s="123"/>
      <c r="BY36" s="124">
        <f t="shared" si="38"/>
        <v>0</v>
      </c>
      <c r="BZ36" s="123"/>
      <c r="CA36" s="124">
        <f t="shared" si="39"/>
        <v>0</v>
      </c>
      <c r="CB36" s="123"/>
      <c r="CC36" s="124">
        <f t="shared" si="40"/>
        <v>0</v>
      </c>
      <c r="CD36" s="123"/>
      <c r="CE36" s="124">
        <f t="shared" si="41"/>
        <v>0</v>
      </c>
      <c r="CF36" s="125">
        <f t="shared" si="42"/>
        <v>0</v>
      </c>
      <c r="CG36" s="126">
        <f t="shared" si="43"/>
        <v>0</v>
      </c>
      <c r="CH36" s="123"/>
      <c r="CI36" s="124">
        <f t="shared" si="44"/>
        <v>0</v>
      </c>
      <c r="CJ36" s="123"/>
      <c r="CK36" s="124">
        <f t="shared" si="45"/>
        <v>0</v>
      </c>
      <c r="CL36" s="123"/>
      <c r="CM36" s="124">
        <f t="shared" si="46"/>
        <v>0</v>
      </c>
      <c r="CN36" s="123"/>
      <c r="CO36" s="124">
        <f t="shared" si="47"/>
        <v>0</v>
      </c>
      <c r="CP36" s="123"/>
      <c r="CQ36" s="124">
        <f t="shared" si="48"/>
        <v>0</v>
      </c>
      <c r="CR36" s="123"/>
      <c r="CS36" s="124">
        <f t="shared" si="49"/>
        <v>0</v>
      </c>
      <c r="CT36" s="123"/>
      <c r="CU36" s="124">
        <f t="shared" si="50"/>
        <v>0</v>
      </c>
      <c r="CV36" s="123"/>
      <c r="CW36" s="124">
        <f t="shared" si="51"/>
        <v>0</v>
      </c>
      <c r="CX36" s="123"/>
      <c r="CY36" s="124">
        <f t="shared" si="52"/>
        <v>0</v>
      </c>
      <c r="CZ36" s="123"/>
      <c r="DA36" s="124">
        <f t="shared" si="53"/>
        <v>0</v>
      </c>
      <c r="DB36" s="123"/>
      <c r="DC36" s="124">
        <f t="shared" si="54"/>
        <v>0</v>
      </c>
      <c r="DD36" s="123"/>
      <c r="DE36" s="124">
        <f t="shared" si="54"/>
        <v>0</v>
      </c>
      <c r="DF36" s="177">
        <f t="shared" si="0"/>
        <v>0</v>
      </c>
      <c r="DG36" s="126">
        <f t="shared" si="55"/>
        <v>0</v>
      </c>
      <c r="DH36" s="123"/>
      <c r="DI36" s="124">
        <f t="shared" si="56"/>
        <v>0</v>
      </c>
      <c r="DJ36" s="123"/>
      <c r="DK36" s="124">
        <f t="shared" si="57"/>
        <v>0</v>
      </c>
      <c r="DL36" s="123"/>
      <c r="DM36" s="124">
        <f t="shared" si="58"/>
        <v>0</v>
      </c>
      <c r="DN36" s="123"/>
      <c r="DO36" s="124">
        <f t="shared" si="59"/>
        <v>0</v>
      </c>
      <c r="DP36" s="123"/>
      <c r="DQ36" s="124">
        <f t="shared" si="60"/>
        <v>0</v>
      </c>
      <c r="DR36" s="123"/>
      <c r="DS36" s="124">
        <f t="shared" si="61"/>
        <v>0</v>
      </c>
      <c r="DT36" s="123"/>
      <c r="DU36" s="124">
        <f t="shared" si="62"/>
        <v>0</v>
      </c>
      <c r="DV36" s="123"/>
      <c r="DW36" s="124">
        <f t="shared" si="63"/>
        <v>0</v>
      </c>
      <c r="DX36" s="123"/>
      <c r="DY36" s="124">
        <f t="shared" si="64"/>
        <v>0</v>
      </c>
      <c r="DZ36" s="123"/>
      <c r="EA36" s="124">
        <f t="shared" si="65"/>
        <v>0</v>
      </c>
      <c r="EB36" s="123"/>
      <c r="EC36" s="124">
        <f t="shared" si="66"/>
        <v>0</v>
      </c>
      <c r="ED36" s="123"/>
      <c r="EE36" s="124">
        <f t="shared" si="67"/>
        <v>0</v>
      </c>
      <c r="EF36" s="27">
        <f t="shared" si="1"/>
        <v>0</v>
      </c>
      <c r="EG36" s="124">
        <f t="shared" si="68"/>
        <v>0</v>
      </c>
    </row>
    <row r="37" spans="1:137" ht="18" customHeight="1" x14ac:dyDescent="0.5">
      <c r="A37" s="117">
        <v>30</v>
      </c>
      <c r="B37" s="122" t="s">
        <v>161</v>
      </c>
      <c r="C37" s="122" t="s">
        <v>231</v>
      </c>
      <c r="D37" s="117">
        <f t="shared" si="71"/>
        <v>21</v>
      </c>
      <c r="E37" s="117">
        <v>0.7</v>
      </c>
      <c r="F37" s="117" t="s">
        <v>232</v>
      </c>
      <c r="G37" s="117"/>
      <c r="H37" s="123"/>
      <c r="I37" s="124">
        <f t="shared" si="2"/>
        <v>0</v>
      </c>
      <c r="J37" s="123"/>
      <c r="K37" s="124">
        <f t="shared" si="3"/>
        <v>0</v>
      </c>
      <c r="L37" s="123"/>
      <c r="M37" s="124">
        <f t="shared" si="4"/>
        <v>0</v>
      </c>
      <c r="N37" s="123"/>
      <c r="O37" s="124">
        <f t="shared" si="5"/>
        <v>0</v>
      </c>
      <c r="P37" s="123"/>
      <c r="Q37" s="124">
        <f t="shared" si="6"/>
        <v>0</v>
      </c>
      <c r="R37" s="123"/>
      <c r="S37" s="124">
        <f t="shared" si="7"/>
        <v>0</v>
      </c>
      <c r="T37" s="123"/>
      <c r="U37" s="124">
        <f t="shared" si="8"/>
        <v>0</v>
      </c>
      <c r="V37" s="123"/>
      <c r="W37" s="124">
        <f t="shared" si="9"/>
        <v>0</v>
      </c>
      <c r="X37" s="123"/>
      <c r="Y37" s="124">
        <f t="shared" si="10"/>
        <v>0</v>
      </c>
      <c r="Z37" s="123"/>
      <c r="AA37" s="124">
        <f t="shared" si="11"/>
        <v>0</v>
      </c>
      <c r="AB37" s="123"/>
      <c r="AC37" s="124">
        <f t="shared" si="12"/>
        <v>0</v>
      </c>
      <c r="AD37" s="123"/>
      <c r="AE37" s="124">
        <f t="shared" si="13"/>
        <v>0</v>
      </c>
      <c r="AF37" s="125">
        <f t="shared" si="14"/>
        <v>0</v>
      </c>
      <c r="AG37" s="126">
        <f t="shared" si="15"/>
        <v>0</v>
      </c>
      <c r="AH37" s="11"/>
      <c r="AI37" s="124">
        <f t="shared" si="16"/>
        <v>0</v>
      </c>
      <c r="AJ37" s="15"/>
      <c r="AK37" s="124">
        <f t="shared" si="17"/>
        <v>0</v>
      </c>
      <c r="AL37" s="15"/>
      <c r="AM37" s="124">
        <f t="shared" si="18"/>
        <v>0</v>
      </c>
      <c r="AN37" s="16"/>
      <c r="AO37" s="124">
        <f t="shared" si="19"/>
        <v>0</v>
      </c>
      <c r="AP37" s="15"/>
      <c r="AQ37" s="124">
        <f t="shared" si="20"/>
        <v>0</v>
      </c>
      <c r="AR37" s="15"/>
      <c r="AS37" s="124">
        <f t="shared" si="21"/>
        <v>0</v>
      </c>
      <c r="AT37" s="17"/>
      <c r="AU37" s="124">
        <f t="shared" si="22"/>
        <v>0</v>
      </c>
      <c r="AV37" s="15"/>
      <c r="AW37" s="124">
        <f t="shared" si="23"/>
        <v>0</v>
      </c>
      <c r="AX37" s="15"/>
      <c r="AY37" s="124">
        <f t="shared" si="24"/>
        <v>0</v>
      </c>
      <c r="AZ37" s="17"/>
      <c r="BA37" s="124">
        <f t="shared" si="25"/>
        <v>0</v>
      </c>
      <c r="BB37" s="33"/>
      <c r="BC37" s="124">
        <f t="shared" si="26"/>
        <v>0</v>
      </c>
      <c r="BD37" s="33"/>
      <c r="BE37" s="124">
        <f t="shared" si="27"/>
        <v>0</v>
      </c>
      <c r="BF37" s="125">
        <f t="shared" si="28"/>
        <v>0</v>
      </c>
      <c r="BG37" s="126">
        <f t="shared" si="29"/>
        <v>0</v>
      </c>
      <c r="BH37" s="123"/>
      <c r="BI37" s="124">
        <f t="shared" si="30"/>
        <v>0</v>
      </c>
      <c r="BJ37" s="123"/>
      <c r="BK37" s="124">
        <f t="shared" si="31"/>
        <v>0</v>
      </c>
      <c r="BL37" s="123"/>
      <c r="BM37" s="124">
        <f t="shared" si="32"/>
        <v>0</v>
      </c>
      <c r="BN37" s="123"/>
      <c r="BO37" s="124">
        <f t="shared" si="33"/>
        <v>0</v>
      </c>
      <c r="BP37" s="123"/>
      <c r="BQ37" s="124">
        <f t="shared" si="34"/>
        <v>0</v>
      </c>
      <c r="BR37" s="123"/>
      <c r="BS37" s="124">
        <f t="shared" si="35"/>
        <v>0</v>
      </c>
      <c r="BT37" s="123"/>
      <c r="BU37" s="124">
        <f t="shared" si="36"/>
        <v>0</v>
      </c>
      <c r="BV37" s="123"/>
      <c r="BW37" s="124">
        <f t="shared" si="37"/>
        <v>0</v>
      </c>
      <c r="BX37" s="123"/>
      <c r="BY37" s="124">
        <f t="shared" si="38"/>
        <v>0</v>
      </c>
      <c r="BZ37" s="123"/>
      <c r="CA37" s="124">
        <f t="shared" si="39"/>
        <v>0</v>
      </c>
      <c r="CB37" s="123"/>
      <c r="CC37" s="124">
        <f t="shared" si="40"/>
        <v>0</v>
      </c>
      <c r="CD37" s="123"/>
      <c r="CE37" s="124">
        <f t="shared" si="41"/>
        <v>0</v>
      </c>
      <c r="CF37" s="125">
        <f t="shared" si="42"/>
        <v>0</v>
      </c>
      <c r="CG37" s="126">
        <f t="shared" si="43"/>
        <v>0</v>
      </c>
      <c r="CH37" s="123"/>
      <c r="CI37" s="124">
        <f t="shared" si="44"/>
        <v>0</v>
      </c>
      <c r="CJ37" s="123"/>
      <c r="CK37" s="124">
        <f t="shared" si="45"/>
        <v>0</v>
      </c>
      <c r="CL37" s="123"/>
      <c r="CM37" s="124">
        <f t="shared" si="46"/>
        <v>0</v>
      </c>
      <c r="CN37" s="123"/>
      <c r="CO37" s="124">
        <f t="shared" si="47"/>
        <v>0</v>
      </c>
      <c r="CP37" s="123"/>
      <c r="CQ37" s="124">
        <f t="shared" si="48"/>
        <v>0</v>
      </c>
      <c r="CR37" s="123"/>
      <c r="CS37" s="124">
        <f t="shared" si="49"/>
        <v>0</v>
      </c>
      <c r="CT37" s="123"/>
      <c r="CU37" s="124">
        <f t="shared" si="50"/>
        <v>0</v>
      </c>
      <c r="CV37" s="123"/>
      <c r="CW37" s="124">
        <f t="shared" si="51"/>
        <v>0</v>
      </c>
      <c r="CX37" s="123"/>
      <c r="CY37" s="124">
        <f t="shared" si="52"/>
        <v>0</v>
      </c>
      <c r="CZ37" s="123"/>
      <c r="DA37" s="124">
        <f t="shared" si="53"/>
        <v>0</v>
      </c>
      <c r="DB37" s="123"/>
      <c r="DC37" s="124">
        <f t="shared" si="54"/>
        <v>0</v>
      </c>
      <c r="DD37" s="123"/>
      <c r="DE37" s="124">
        <f t="shared" si="54"/>
        <v>0</v>
      </c>
      <c r="DF37" s="177">
        <f t="shared" si="0"/>
        <v>0</v>
      </c>
      <c r="DG37" s="126">
        <f t="shared" si="55"/>
        <v>0</v>
      </c>
      <c r="DH37" s="123"/>
      <c r="DI37" s="124">
        <f t="shared" si="56"/>
        <v>0</v>
      </c>
      <c r="DJ37" s="123"/>
      <c r="DK37" s="124">
        <f t="shared" si="57"/>
        <v>0</v>
      </c>
      <c r="DL37" s="123"/>
      <c r="DM37" s="124">
        <f t="shared" si="58"/>
        <v>0</v>
      </c>
      <c r="DN37" s="123"/>
      <c r="DO37" s="124">
        <f t="shared" si="59"/>
        <v>0</v>
      </c>
      <c r="DP37" s="123"/>
      <c r="DQ37" s="124">
        <f t="shared" si="60"/>
        <v>0</v>
      </c>
      <c r="DR37" s="123"/>
      <c r="DS37" s="124">
        <f t="shared" si="61"/>
        <v>0</v>
      </c>
      <c r="DT37" s="123"/>
      <c r="DU37" s="124">
        <f t="shared" si="62"/>
        <v>0</v>
      </c>
      <c r="DV37" s="123"/>
      <c r="DW37" s="124">
        <f t="shared" si="63"/>
        <v>0</v>
      </c>
      <c r="DX37" s="123"/>
      <c r="DY37" s="124">
        <f t="shared" si="64"/>
        <v>0</v>
      </c>
      <c r="DZ37" s="123"/>
      <c r="EA37" s="124">
        <f t="shared" si="65"/>
        <v>0</v>
      </c>
      <c r="EB37" s="123"/>
      <c r="EC37" s="124">
        <f t="shared" si="66"/>
        <v>0</v>
      </c>
      <c r="ED37" s="123"/>
      <c r="EE37" s="124">
        <f t="shared" si="67"/>
        <v>0</v>
      </c>
      <c r="EF37" s="27">
        <f t="shared" si="1"/>
        <v>0</v>
      </c>
      <c r="EG37" s="124">
        <f t="shared" si="68"/>
        <v>0</v>
      </c>
    </row>
    <row r="38" spans="1:137" ht="18" customHeight="1" x14ac:dyDescent="0.5">
      <c r="A38" s="117">
        <v>31</v>
      </c>
      <c r="B38" s="122" t="s">
        <v>162</v>
      </c>
      <c r="C38" s="122" t="s">
        <v>231</v>
      </c>
      <c r="D38" s="117">
        <f t="shared" si="71"/>
        <v>21</v>
      </c>
      <c r="E38" s="117">
        <v>0.68</v>
      </c>
      <c r="F38" s="117" t="s">
        <v>232</v>
      </c>
      <c r="G38" s="117"/>
      <c r="H38" s="123"/>
      <c r="I38" s="124">
        <f t="shared" si="2"/>
        <v>0</v>
      </c>
      <c r="J38" s="123"/>
      <c r="K38" s="124">
        <f t="shared" si="3"/>
        <v>0</v>
      </c>
      <c r="L38" s="123"/>
      <c r="M38" s="124">
        <f t="shared" si="4"/>
        <v>0</v>
      </c>
      <c r="N38" s="123"/>
      <c r="O38" s="124">
        <f t="shared" si="5"/>
        <v>0</v>
      </c>
      <c r="P38" s="123"/>
      <c r="Q38" s="124">
        <f t="shared" si="6"/>
        <v>0</v>
      </c>
      <c r="R38" s="123"/>
      <c r="S38" s="124">
        <f t="shared" si="7"/>
        <v>0</v>
      </c>
      <c r="T38" s="123"/>
      <c r="U38" s="124">
        <f t="shared" si="8"/>
        <v>0</v>
      </c>
      <c r="V38" s="123"/>
      <c r="W38" s="124">
        <f t="shared" si="9"/>
        <v>0</v>
      </c>
      <c r="X38" s="123"/>
      <c r="Y38" s="124">
        <f t="shared" si="10"/>
        <v>0</v>
      </c>
      <c r="Z38" s="123"/>
      <c r="AA38" s="124">
        <f t="shared" si="11"/>
        <v>0</v>
      </c>
      <c r="AB38" s="123"/>
      <c r="AC38" s="124">
        <f t="shared" si="12"/>
        <v>0</v>
      </c>
      <c r="AD38" s="123"/>
      <c r="AE38" s="124">
        <f t="shared" si="13"/>
        <v>0</v>
      </c>
      <c r="AF38" s="125">
        <f t="shared" si="14"/>
        <v>0</v>
      </c>
      <c r="AG38" s="126">
        <f t="shared" si="15"/>
        <v>0</v>
      </c>
      <c r="AH38" s="11"/>
      <c r="AI38" s="124">
        <f t="shared" si="16"/>
        <v>0</v>
      </c>
      <c r="AJ38" s="15"/>
      <c r="AK38" s="124">
        <f t="shared" si="17"/>
        <v>0</v>
      </c>
      <c r="AL38" s="15"/>
      <c r="AM38" s="124">
        <f t="shared" si="18"/>
        <v>0</v>
      </c>
      <c r="AN38" s="16"/>
      <c r="AO38" s="124">
        <f t="shared" si="19"/>
        <v>0</v>
      </c>
      <c r="AP38" s="15"/>
      <c r="AQ38" s="124">
        <f t="shared" si="20"/>
        <v>0</v>
      </c>
      <c r="AR38" s="15"/>
      <c r="AS38" s="124">
        <f t="shared" si="21"/>
        <v>0</v>
      </c>
      <c r="AT38" s="17"/>
      <c r="AU38" s="124">
        <f t="shared" si="22"/>
        <v>0</v>
      </c>
      <c r="AV38" s="15"/>
      <c r="AW38" s="124">
        <f t="shared" si="23"/>
        <v>0</v>
      </c>
      <c r="AX38" s="15"/>
      <c r="AY38" s="124">
        <f t="shared" si="24"/>
        <v>0</v>
      </c>
      <c r="AZ38" s="17"/>
      <c r="BA38" s="124">
        <f t="shared" si="25"/>
        <v>0</v>
      </c>
      <c r="BB38" s="33"/>
      <c r="BC38" s="124">
        <f t="shared" si="26"/>
        <v>0</v>
      </c>
      <c r="BD38" s="33"/>
      <c r="BE38" s="124">
        <f t="shared" si="27"/>
        <v>0</v>
      </c>
      <c r="BF38" s="125">
        <f t="shared" si="28"/>
        <v>0</v>
      </c>
      <c r="BG38" s="126">
        <f t="shared" si="29"/>
        <v>0</v>
      </c>
      <c r="BH38" s="123"/>
      <c r="BI38" s="124">
        <f t="shared" si="30"/>
        <v>0</v>
      </c>
      <c r="BJ38" s="123"/>
      <c r="BK38" s="124">
        <f t="shared" si="31"/>
        <v>0</v>
      </c>
      <c r="BL38" s="123"/>
      <c r="BM38" s="124">
        <f t="shared" si="32"/>
        <v>0</v>
      </c>
      <c r="BN38" s="123"/>
      <c r="BO38" s="124">
        <f t="shared" si="33"/>
        <v>0</v>
      </c>
      <c r="BP38" s="123"/>
      <c r="BQ38" s="124">
        <f t="shared" si="34"/>
        <v>0</v>
      </c>
      <c r="BR38" s="123"/>
      <c r="BS38" s="124">
        <f t="shared" si="35"/>
        <v>0</v>
      </c>
      <c r="BT38" s="123"/>
      <c r="BU38" s="124">
        <f t="shared" si="36"/>
        <v>0</v>
      </c>
      <c r="BV38" s="123"/>
      <c r="BW38" s="124">
        <f t="shared" si="37"/>
        <v>0</v>
      </c>
      <c r="BX38" s="123"/>
      <c r="BY38" s="124">
        <f t="shared" si="38"/>
        <v>0</v>
      </c>
      <c r="BZ38" s="123"/>
      <c r="CA38" s="124">
        <f t="shared" si="39"/>
        <v>0</v>
      </c>
      <c r="CB38" s="123"/>
      <c r="CC38" s="124">
        <f t="shared" si="40"/>
        <v>0</v>
      </c>
      <c r="CD38" s="123"/>
      <c r="CE38" s="124">
        <f t="shared" si="41"/>
        <v>0</v>
      </c>
      <c r="CF38" s="125">
        <f t="shared" si="42"/>
        <v>0</v>
      </c>
      <c r="CG38" s="126">
        <f t="shared" si="43"/>
        <v>0</v>
      </c>
      <c r="CH38" s="123"/>
      <c r="CI38" s="124">
        <f t="shared" si="44"/>
        <v>0</v>
      </c>
      <c r="CJ38" s="123"/>
      <c r="CK38" s="124">
        <f t="shared" si="45"/>
        <v>0</v>
      </c>
      <c r="CL38" s="123"/>
      <c r="CM38" s="124">
        <f t="shared" si="46"/>
        <v>0</v>
      </c>
      <c r="CN38" s="123"/>
      <c r="CO38" s="124">
        <f t="shared" si="47"/>
        <v>0</v>
      </c>
      <c r="CP38" s="123"/>
      <c r="CQ38" s="124">
        <f t="shared" si="48"/>
        <v>0</v>
      </c>
      <c r="CR38" s="123"/>
      <c r="CS38" s="124">
        <f t="shared" si="49"/>
        <v>0</v>
      </c>
      <c r="CT38" s="123"/>
      <c r="CU38" s="124">
        <f t="shared" si="50"/>
        <v>0</v>
      </c>
      <c r="CV38" s="123"/>
      <c r="CW38" s="124">
        <f t="shared" si="51"/>
        <v>0</v>
      </c>
      <c r="CX38" s="123"/>
      <c r="CY38" s="124">
        <f t="shared" si="52"/>
        <v>0</v>
      </c>
      <c r="CZ38" s="123"/>
      <c r="DA38" s="124">
        <f t="shared" si="53"/>
        <v>0</v>
      </c>
      <c r="DB38" s="123"/>
      <c r="DC38" s="124">
        <f t="shared" si="54"/>
        <v>0</v>
      </c>
      <c r="DD38" s="123"/>
      <c r="DE38" s="124">
        <f t="shared" si="54"/>
        <v>0</v>
      </c>
      <c r="DF38" s="177">
        <f t="shared" si="0"/>
        <v>0</v>
      </c>
      <c r="DG38" s="126">
        <f t="shared" si="55"/>
        <v>0</v>
      </c>
      <c r="DH38" s="123"/>
      <c r="DI38" s="124">
        <f t="shared" si="56"/>
        <v>0</v>
      </c>
      <c r="DJ38" s="123"/>
      <c r="DK38" s="124">
        <f t="shared" si="57"/>
        <v>0</v>
      </c>
      <c r="DL38" s="123"/>
      <c r="DM38" s="124">
        <f t="shared" si="58"/>
        <v>0</v>
      </c>
      <c r="DN38" s="123"/>
      <c r="DO38" s="124">
        <f t="shared" si="59"/>
        <v>0</v>
      </c>
      <c r="DP38" s="123"/>
      <c r="DQ38" s="124">
        <f t="shared" si="60"/>
        <v>0</v>
      </c>
      <c r="DR38" s="123"/>
      <c r="DS38" s="124">
        <f t="shared" si="61"/>
        <v>0</v>
      </c>
      <c r="DT38" s="123"/>
      <c r="DU38" s="124">
        <f t="shared" si="62"/>
        <v>0</v>
      </c>
      <c r="DV38" s="123"/>
      <c r="DW38" s="124">
        <f t="shared" si="63"/>
        <v>0</v>
      </c>
      <c r="DX38" s="123"/>
      <c r="DY38" s="124">
        <f t="shared" si="64"/>
        <v>0</v>
      </c>
      <c r="DZ38" s="123"/>
      <c r="EA38" s="124">
        <f t="shared" si="65"/>
        <v>0</v>
      </c>
      <c r="EB38" s="123"/>
      <c r="EC38" s="124">
        <f t="shared" si="66"/>
        <v>0</v>
      </c>
      <c r="ED38" s="123"/>
      <c r="EE38" s="124">
        <f t="shared" si="67"/>
        <v>0</v>
      </c>
      <c r="EF38" s="27">
        <f t="shared" si="1"/>
        <v>0</v>
      </c>
      <c r="EG38" s="124">
        <f t="shared" si="68"/>
        <v>0</v>
      </c>
    </row>
    <row r="39" spans="1:137" ht="18" customHeight="1" x14ac:dyDescent="0.5">
      <c r="A39" s="117">
        <v>32</v>
      </c>
      <c r="B39" s="122" t="s">
        <v>162</v>
      </c>
      <c r="C39" s="122" t="s">
        <v>231</v>
      </c>
      <c r="D39" s="117">
        <f t="shared" si="71"/>
        <v>7</v>
      </c>
      <c r="E39" s="117">
        <v>0.64</v>
      </c>
      <c r="F39" s="117" t="s">
        <v>232</v>
      </c>
      <c r="G39" s="117">
        <v>1500</v>
      </c>
      <c r="H39" s="123">
        <v>5460</v>
      </c>
      <c r="I39" s="124">
        <f t="shared" si="2"/>
        <v>3494.4</v>
      </c>
      <c r="J39" s="123">
        <v>7616</v>
      </c>
      <c r="K39" s="124">
        <f t="shared" si="3"/>
        <v>4874.24</v>
      </c>
      <c r="L39" s="123">
        <v>7112</v>
      </c>
      <c r="M39" s="124">
        <f t="shared" si="4"/>
        <v>4551.68</v>
      </c>
      <c r="N39" s="123">
        <v>6524</v>
      </c>
      <c r="O39" s="124">
        <f t="shared" si="5"/>
        <v>4175.3599999999997</v>
      </c>
      <c r="P39" s="123">
        <v>8260</v>
      </c>
      <c r="Q39" s="124">
        <f t="shared" si="6"/>
        <v>5286.4000000000005</v>
      </c>
      <c r="R39" s="123">
        <v>8862</v>
      </c>
      <c r="S39" s="124">
        <f t="shared" si="7"/>
        <v>5671.68</v>
      </c>
      <c r="T39" s="123">
        <v>2884</v>
      </c>
      <c r="U39" s="124">
        <f t="shared" si="8"/>
        <v>1845.76</v>
      </c>
      <c r="V39" s="123">
        <v>4592</v>
      </c>
      <c r="W39" s="124">
        <f t="shared" si="9"/>
        <v>2938.88</v>
      </c>
      <c r="X39" s="123">
        <v>2800</v>
      </c>
      <c r="Y39" s="124">
        <f t="shared" si="10"/>
        <v>1792</v>
      </c>
      <c r="Z39" s="123">
        <v>4144</v>
      </c>
      <c r="AA39" s="124">
        <f t="shared" si="11"/>
        <v>2652.16</v>
      </c>
      <c r="AB39" s="123">
        <v>5236</v>
      </c>
      <c r="AC39" s="124">
        <f t="shared" si="12"/>
        <v>3351.04</v>
      </c>
      <c r="AD39" s="123">
        <v>2940</v>
      </c>
      <c r="AE39" s="124">
        <f t="shared" si="13"/>
        <v>1881.6000000000001</v>
      </c>
      <c r="AF39" s="125">
        <f t="shared" si="14"/>
        <v>66430</v>
      </c>
      <c r="AG39" s="126">
        <f t="shared" si="15"/>
        <v>42515.200000000004</v>
      </c>
      <c r="AH39" s="11">
        <v>4438</v>
      </c>
      <c r="AI39" s="124">
        <f t="shared" si="16"/>
        <v>2840.32</v>
      </c>
      <c r="AJ39" s="15">
        <v>4284</v>
      </c>
      <c r="AK39" s="124">
        <f t="shared" si="17"/>
        <v>2741.76</v>
      </c>
      <c r="AL39" s="15">
        <v>5320</v>
      </c>
      <c r="AM39" s="124">
        <f t="shared" si="18"/>
        <v>3404.8</v>
      </c>
      <c r="AN39" s="16">
        <v>3010</v>
      </c>
      <c r="AO39" s="124">
        <f t="shared" si="19"/>
        <v>1926.4</v>
      </c>
      <c r="AP39" s="15">
        <v>4144</v>
      </c>
      <c r="AQ39" s="124">
        <f t="shared" si="20"/>
        <v>2652.16</v>
      </c>
      <c r="AR39" s="15">
        <v>5096</v>
      </c>
      <c r="AS39" s="124">
        <f t="shared" si="21"/>
        <v>3261.44</v>
      </c>
      <c r="AT39" s="17">
        <v>4130</v>
      </c>
      <c r="AU39" s="124">
        <f t="shared" si="22"/>
        <v>2643.2000000000003</v>
      </c>
      <c r="AV39" s="15">
        <v>6650</v>
      </c>
      <c r="AW39" s="124">
        <f t="shared" si="23"/>
        <v>4256</v>
      </c>
      <c r="AX39" s="15">
        <v>2548</v>
      </c>
      <c r="AY39" s="124">
        <f t="shared" si="24"/>
        <v>1630.72</v>
      </c>
      <c r="AZ39" s="17">
        <v>966</v>
      </c>
      <c r="BA39" s="124">
        <f t="shared" si="25"/>
        <v>618.24</v>
      </c>
      <c r="BB39" s="33">
        <v>5110</v>
      </c>
      <c r="BC39" s="124">
        <f t="shared" si="26"/>
        <v>3270.4</v>
      </c>
      <c r="BD39" s="33">
        <v>2198</v>
      </c>
      <c r="BE39" s="124">
        <f t="shared" si="27"/>
        <v>1406.72</v>
      </c>
      <c r="BF39" s="125">
        <f t="shared" si="28"/>
        <v>47894</v>
      </c>
      <c r="BG39" s="126">
        <f t="shared" si="29"/>
        <v>30652.16</v>
      </c>
      <c r="BH39" s="64">
        <v>4200</v>
      </c>
      <c r="BI39" s="124">
        <f t="shared" si="30"/>
        <v>2688</v>
      </c>
      <c r="BJ39" s="64">
        <v>3416</v>
      </c>
      <c r="BK39" s="124">
        <f t="shared" si="31"/>
        <v>2186.2400000000002</v>
      </c>
      <c r="BL39" s="67">
        <v>3612</v>
      </c>
      <c r="BM39" s="124">
        <f t="shared" si="32"/>
        <v>2311.6799999999998</v>
      </c>
      <c r="BN39" s="76">
        <v>3990</v>
      </c>
      <c r="BO39" s="124">
        <f t="shared" si="33"/>
        <v>2553.6</v>
      </c>
      <c r="BP39" s="64">
        <v>4564</v>
      </c>
      <c r="BQ39" s="124">
        <f t="shared" si="34"/>
        <v>2920.96</v>
      </c>
      <c r="BR39" s="65">
        <v>4830</v>
      </c>
      <c r="BS39" s="124">
        <f t="shared" si="35"/>
        <v>3091.2000000000003</v>
      </c>
      <c r="BT39" s="71">
        <v>4270</v>
      </c>
      <c r="BU39" s="124">
        <f t="shared" si="36"/>
        <v>2732.8</v>
      </c>
      <c r="BV39" s="75">
        <v>6440</v>
      </c>
      <c r="BW39" s="124">
        <f t="shared" si="37"/>
        <v>4121.6000000000004</v>
      </c>
      <c r="BX39" s="67">
        <v>4690</v>
      </c>
      <c r="BY39" s="124">
        <f t="shared" si="38"/>
        <v>3001.6</v>
      </c>
      <c r="BZ39" s="67">
        <v>6580</v>
      </c>
      <c r="CA39" s="124">
        <f t="shared" si="39"/>
        <v>4211.2</v>
      </c>
      <c r="CB39" s="69">
        <v>3990</v>
      </c>
      <c r="CC39" s="124">
        <f t="shared" si="40"/>
        <v>2553.6</v>
      </c>
      <c r="CD39" s="69">
        <v>3570</v>
      </c>
      <c r="CE39" s="124">
        <f t="shared" si="41"/>
        <v>2284.8000000000002</v>
      </c>
      <c r="CF39" s="125">
        <f t="shared" si="42"/>
        <v>54152</v>
      </c>
      <c r="CG39" s="126">
        <f t="shared" si="43"/>
        <v>34657.279999999999</v>
      </c>
      <c r="CH39" s="123">
        <v>3430</v>
      </c>
      <c r="CI39" s="124">
        <f t="shared" si="44"/>
        <v>2195.2000000000003</v>
      </c>
      <c r="CJ39" s="123">
        <v>3150</v>
      </c>
      <c r="CK39" s="124">
        <f t="shared" si="45"/>
        <v>2016</v>
      </c>
      <c r="CL39" s="123">
        <v>5670</v>
      </c>
      <c r="CM39" s="124">
        <f t="shared" si="46"/>
        <v>3628.8</v>
      </c>
      <c r="CN39" s="123">
        <v>2800</v>
      </c>
      <c r="CO39" s="124">
        <f t="shared" si="47"/>
        <v>1792</v>
      </c>
      <c r="CP39" s="123">
        <v>6272</v>
      </c>
      <c r="CQ39" s="124">
        <f t="shared" si="48"/>
        <v>4014.08</v>
      </c>
      <c r="CR39" s="123">
        <v>4340</v>
      </c>
      <c r="CS39" s="124">
        <f t="shared" si="49"/>
        <v>2777.6</v>
      </c>
      <c r="CT39" s="123">
        <v>5810</v>
      </c>
      <c r="CU39" s="124">
        <f t="shared" si="50"/>
        <v>3718.4</v>
      </c>
      <c r="CV39" s="123">
        <v>4676</v>
      </c>
      <c r="CW39" s="124">
        <f t="shared" si="51"/>
        <v>2992.64</v>
      </c>
      <c r="CX39" s="123">
        <v>3640</v>
      </c>
      <c r="CY39" s="124">
        <f t="shared" si="52"/>
        <v>2329.6</v>
      </c>
      <c r="CZ39" s="123">
        <v>6622</v>
      </c>
      <c r="DA39" s="124">
        <f t="shared" si="53"/>
        <v>4238.08</v>
      </c>
      <c r="DB39" s="123">
        <v>3570</v>
      </c>
      <c r="DC39" s="124">
        <f t="shared" si="54"/>
        <v>2284.8000000000002</v>
      </c>
      <c r="DD39" s="123">
        <v>7000</v>
      </c>
      <c r="DE39" s="124">
        <f t="shared" si="54"/>
        <v>4480</v>
      </c>
      <c r="DF39" s="177">
        <f t="shared" si="0"/>
        <v>56980</v>
      </c>
      <c r="DG39" s="126">
        <f t="shared" si="55"/>
        <v>36467.200000000004</v>
      </c>
      <c r="DH39" s="123">
        <v>1610</v>
      </c>
      <c r="DI39" s="124">
        <f t="shared" si="56"/>
        <v>1030.4000000000001</v>
      </c>
      <c r="DJ39" s="123">
        <v>2870</v>
      </c>
      <c r="DK39" s="124">
        <f t="shared" si="57"/>
        <v>1836.8</v>
      </c>
      <c r="DL39" s="123"/>
      <c r="DM39" s="124">
        <f t="shared" si="58"/>
        <v>0</v>
      </c>
      <c r="DN39" s="123"/>
      <c r="DO39" s="124">
        <f t="shared" si="59"/>
        <v>0</v>
      </c>
      <c r="DP39" s="123"/>
      <c r="DQ39" s="124">
        <f t="shared" si="60"/>
        <v>0</v>
      </c>
      <c r="DR39" s="123"/>
      <c r="DS39" s="124">
        <f t="shared" si="61"/>
        <v>0</v>
      </c>
      <c r="DT39" s="123"/>
      <c r="DU39" s="124">
        <f t="shared" si="62"/>
        <v>0</v>
      </c>
      <c r="DV39" s="123"/>
      <c r="DW39" s="124">
        <f t="shared" si="63"/>
        <v>0</v>
      </c>
      <c r="DX39" s="123"/>
      <c r="DY39" s="124">
        <f t="shared" si="64"/>
        <v>0</v>
      </c>
      <c r="DZ39" s="123"/>
      <c r="EA39" s="124">
        <f t="shared" si="65"/>
        <v>0</v>
      </c>
      <c r="EB39" s="123"/>
      <c r="EC39" s="124">
        <f t="shared" si="66"/>
        <v>0</v>
      </c>
      <c r="ED39" s="123"/>
      <c r="EE39" s="124">
        <f t="shared" si="67"/>
        <v>0</v>
      </c>
      <c r="EF39" s="27">
        <f t="shared" si="1"/>
        <v>4480</v>
      </c>
      <c r="EG39" s="124">
        <f t="shared" si="68"/>
        <v>2867.2000000000003</v>
      </c>
    </row>
    <row r="40" spans="1:137" ht="18" customHeight="1" x14ac:dyDescent="0.5">
      <c r="A40" s="117">
        <v>33</v>
      </c>
      <c r="B40" s="122" t="s">
        <v>163</v>
      </c>
      <c r="C40" s="122" t="s">
        <v>231</v>
      </c>
      <c r="D40" s="117">
        <f t="shared" si="71"/>
        <v>21</v>
      </c>
      <c r="E40" s="117">
        <v>0.64</v>
      </c>
      <c r="F40" s="117" t="s">
        <v>236</v>
      </c>
      <c r="G40" s="117"/>
      <c r="H40" s="123"/>
      <c r="I40" s="124">
        <f t="shared" si="2"/>
        <v>0</v>
      </c>
      <c r="J40" s="123"/>
      <c r="K40" s="124">
        <f t="shared" si="3"/>
        <v>0</v>
      </c>
      <c r="L40" s="123"/>
      <c r="M40" s="124">
        <f t="shared" si="4"/>
        <v>0</v>
      </c>
      <c r="N40" s="123"/>
      <c r="O40" s="124">
        <f t="shared" si="5"/>
        <v>0</v>
      </c>
      <c r="P40" s="123"/>
      <c r="Q40" s="124">
        <f t="shared" si="6"/>
        <v>0</v>
      </c>
      <c r="R40" s="123"/>
      <c r="S40" s="124">
        <f t="shared" si="7"/>
        <v>0</v>
      </c>
      <c r="T40" s="123"/>
      <c r="U40" s="124">
        <f t="shared" si="8"/>
        <v>0</v>
      </c>
      <c r="V40" s="123"/>
      <c r="W40" s="124">
        <f t="shared" si="9"/>
        <v>0</v>
      </c>
      <c r="X40" s="123"/>
      <c r="Y40" s="124">
        <f t="shared" si="10"/>
        <v>0</v>
      </c>
      <c r="Z40" s="123"/>
      <c r="AA40" s="124">
        <f t="shared" si="11"/>
        <v>0</v>
      </c>
      <c r="AB40" s="123"/>
      <c r="AC40" s="124">
        <f t="shared" si="12"/>
        <v>0</v>
      </c>
      <c r="AD40" s="123"/>
      <c r="AE40" s="124">
        <f t="shared" si="13"/>
        <v>0</v>
      </c>
      <c r="AF40" s="125">
        <f t="shared" si="14"/>
        <v>0</v>
      </c>
      <c r="AG40" s="126">
        <f t="shared" si="15"/>
        <v>0</v>
      </c>
      <c r="AH40" s="11"/>
      <c r="AI40" s="124">
        <f t="shared" si="16"/>
        <v>0</v>
      </c>
      <c r="AJ40" s="15"/>
      <c r="AK40" s="124">
        <f t="shared" si="17"/>
        <v>0</v>
      </c>
      <c r="AL40" s="15"/>
      <c r="AM40" s="124">
        <f t="shared" si="18"/>
        <v>0</v>
      </c>
      <c r="AN40" s="16"/>
      <c r="AO40" s="124">
        <f t="shared" si="19"/>
        <v>0</v>
      </c>
      <c r="AP40" s="15"/>
      <c r="AQ40" s="124">
        <f t="shared" si="20"/>
        <v>0</v>
      </c>
      <c r="AR40" s="15"/>
      <c r="AS40" s="124">
        <f t="shared" si="21"/>
        <v>0</v>
      </c>
      <c r="AT40" s="17"/>
      <c r="AU40" s="124">
        <f t="shared" si="22"/>
        <v>0</v>
      </c>
      <c r="AV40" s="15"/>
      <c r="AW40" s="124">
        <f t="shared" si="23"/>
        <v>0</v>
      </c>
      <c r="AX40" s="15"/>
      <c r="AY40" s="124">
        <f t="shared" si="24"/>
        <v>0</v>
      </c>
      <c r="AZ40" s="17"/>
      <c r="BA40" s="124">
        <f t="shared" si="25"/>
        <v>0</v>
      </c>
      <c r="BB40" s="33"/>
      <c r="BC40" s="124">
        <f t="shared" si="26"/>
        <v>0</v>
      </c>
      <c r="BD40" s="33"/>
      <c r="BE40" s="124">
        <f t="shared" si="27"/>
        <v>0</v>
      </c>
      <c r="BF40" s="125">
        <f t="shared" si="28"/>
        <v>0</v>
      </c>
      <c r="BG40" s="126">
        <f t="shared" si="29"/>
        <v>0</v>
      </c>
      <c r="BH40" s="123"/>
      <c r="BI40" s="124">
        <f t="shared" si="30"/>
        <v>0</v>
      </c>
      <c r="BJ40" s="123"/>
      <c r="BK40" s="124">
        <f t="shared" si="31"/>
        <v>0</v>
      </c>
      <c r="BL40" s="123"/>
      <c r="BM40" s="124">
        <f t="shared" si="32"/>
        <v>0</v>
      </c>
      <c r="BN40" s="123"/>
      <c r="BO40" s="124">
        <f t="shared" si="33"/>
        <v>0</v>
      </c>
      <c r="BP40" s="123"/>
      <c r="BQ40" s="124">
        <f t="shared" si="34"/>
        <v>0</v>
      </c>
      <c r="BR40" s="123"/>
      <c r="BS40" s="124">
        <f t="shared" si="35"/>
        <v>0</v>
      </c>
      <c r="BT40" s="123"/>
      <c r="BU40" s="124">
        <f t="shared" si="36"/>
        <v>0</v>
      </c>
      <c r="BV40" s="123"/>
      <c r="BW40" s="124">
        <f t="shared" si="37"/>
        <v>0</v>
      </c>
      <c r="BX40" s="123"/>
      <c r="BY40" s="124">
        <f t="shared" si="38"/>
        <v>0</v>
      </c>
      <c r="BZ40" s="123"/>
      <c r="CA40" s="124">
        <f t="shared" si="39"/>
        <v>0</v>
      </c>
      <c r="CB40" s="123"/>
      <c r="CC40" s="124">
        <f t="shared" si="40"/>
        <v>0</v>
      </c>
      <c r="CD40" s="123"/>
      <c r="CE40" s="124">
        <f t="shared" si="41"/>
        <v>0</v>
      </c>
      <c r="CF40" s="125">
        <f t="shared" si="42"/>
        <v>0</v>
      </c>
      <c r="CG40" s="126">
        <f t="shared" si="43"/>
        <v>0</v>
      </c>
      <c r="CH40" s="123"/>
      <c r="CI40" s="124">
        <f t="shared" si="44"/>
        <v>0</v>
      </c>
      <c r="CJ40" s="123"/>
      <c r="CK40" s="124">
        <f t="shared" si="45"/>
        <v>0</v>
      </c>
      <c r="CL40" s="123"/>
      <c r="CM40" s="124">
        <f t="shared" si="46"/>
        <v>0</v>
      </c>
      <c r="CN40" s="123"/>
      <c r="CO40" s="124">
        <f t="shared" si="47"/>
        <v>0</v>
      </c>
      <c r="CP40" s="123"/>
      <c r="CQ40" s="124">
        <f t="shared" si="48"/>
        <v>0</v>
      </c>
      <c r="CR40" s="123"/>
      <c r="CS40" s="124">
        <f t="shared" si="49"/>
        <v>0</v>
      </c>
      <c r="CT40" s="123"/>
      <c r="CU40" s="124">
        <f t="shared" si="50"/>
        <v>0</v>
      </c>
      <c r="CV40" s="123"/>
      <c r="CW40" s="124">
        <f t="shared" si="51"/>
        <v>0</v>
      </c>
      <c r="CX40" s="123"/>
      <c r="CY40" s="124">
        <f t="shared" si="52"/>
        <v>0</v>
      </c>
      <c r="CZ40" s="123"/>
      <c r="DA40" s="124">
        <f t="shared" si="53"/>
        <v>0</v>
      </c>
      <c r="DB40" s="123"/>
      <c r="DC40" s="124">
        <f t="shared" si="54"/>
        <v>0</v>
      </c>
      <c r="DD40" s="123"/>
      <c r="DE40" s="124">
        <f t="shared" si="54"/>
        <v>0</v>
      </c>
      <c r="DF40" s="177">
        <f t="shared" si="0"/>
        <v>0</v>
      </c>
      <c r="DG40" s="126">
        <f t="shared" si="55"/>
        <v>0</v>
      </c>
      <c r="DH40" s="123"/>
      <c r="DI40" s="124">
        <f t="shared" si="56"/>
        <v>0</v>
      </c>
      <c r="DJ40" s="123"/>
      <c r="DK40" s="124">
        <f t="shared" si="57"/>
        <v>0</v>
      </c>
      <c r="DL40" s="123"/>
      <c r="DM40" s="124">
        <f t="shared" si="58"/>
        <v>0</v>
      </c>
      <c r="DN40" s="123"/>
      <c r="DO40" s="124">
        <f t="shared" si="59"/>
        <v>0</v>
      </c>
      <c r="DP40" s="123"/>
      <c r="DQ40" s="124">
        <f t="shared" si="60"/>
        <v>0</v>
      </c>
      <c r="DR40" s="123"/>
      <c r="DS40" s="124">
        <f t="shared" si="61"/>
        <v>0</v>
      </c>
      <c r="DT40" s="123"/>
      <c r="DU40" s="124">
        <f t="shared" si="62"/>
        <v>0</v>
      </c>
      <c r="DV40" s="123"/>
      <c r="DW40" s="124">
        <f t="shared" si="63"/>
        <v>0</v>
      </c>
      <c r="DX40" s="123"/>
      <c r="DY40" s="124">
        <f t="shared" si="64"/>
        <v>0</v>
      </c>
      <c r="DZ40" s="123"/>
      <c r="EA40" s="124">
        <f t="shared" si="65"/>
        <v>0</v>
      </c>
      <c r="EB40" s="123"/>
      <c r="EC40" s="124">
        <f t="shared" si="66"/>
        <v>0</v>
      </c>
      <c r="ED40" s="123"/>
      <c r="EE40" s="124">
        <f t="shared" si="67"/>
        <v>0</v>
      </c>
      <c r="EF40" s="27">
        <f t="shared" si="1"/>
        <v>0</v>
      </c>
      <c r="EG40" s="124">
        <f t="shared" si="68"/>
        <v>0</v>
      </c>
    </row>
    <row r="41" spans="1:137" ht="18" customHeight="1" x14ac:dyDescent="0.5">
      <c r="A41" s="117">
        <v>34</v>
      </c>
      <c r="B41" s="122" t="s">
        <v>161</v>
      </c>
      <c r="C41" s="122" t="s">
        <v>231</v>
      </c>
      <c r="D41" s="117">
        <f t="shared" si="71"/>
        <v>1</v>
      </c>
      <c r="E41" s="117">
        <v>0.64</v>
      </c>
      <c r="F41" s="117" t="s">
        <v>236</v>
      </c>
      <c r="G41" s="117">
        <v>1350</v>
      </c>
      <c r="H41" s="123">
        <v>197988</v>
      </c>
      <c r="I41" s="124">
        <f t="shared" si="2"/>
        <v>126712.32000000001</v>
      </c>
      <c r="J41" s="123">
        <v>195006</v>
      </c>
      <c r="K41" s="124">
        <f t="shared" si="3"/>
        <v>124803.84</v>
      </c>
      <c r="L41" s="123">
        <v>228872</v>
      </c>
      <c r="M41" s="124">
        <f t="shared" si="4"/>
        <v>146478.08000000002</v>
      </c>
      <c r="N41" s="123">
        <v>204638</v>
      </c>
      <c r="O41" s="124">
        <f t="shared" si="5"/>
        <v>130968.32000000001</v>
      </c>
      <c r="P41" s="123">
        <v>258090</v>
      </c>
      <c r="Q41" s="124">
        <f t="shared" si="6"/>
        <v>165177.60000000001</v>
      </c>
      <c r="R41" s="123">
        <v>234402</v>
      </c>
      <c r="S41" s="124">
        <f t="shared" si="7"/>
        <v>150017.28</v>
      </c>
      <c r="T41" s="123">
        <v>201726</v>
      </c>
      <c r="U41" s="124">
        <f t="shared" si="8"/>
        <v>129104.64</v>
      </c>
      <c r="V41" s="123">
        <v>232624</v>
      </c>
      <c r="W41" s="124">
        <f t="shared" si="9"/>
        <v>148879.36000000002</v>
      </c>
      <c r="X41" s="123">
        <v>197246</v>
      </c>
      <c r="Y41" s="124">
        <f t="shared" si="10"/>
        <v>126237.44</v>
      </c>
      <c r="Z41" s="123">
        <v>167538</v>
      </c>
      <c r="AA41" s="124">
        <f t="shared" si="11"/>
        <v>107224.32000000001</v>
      </c>
      <c r="AB41" s="123">
        <v>166432</v>
      </c>
      <c r="AC41" s="124">
        <f t="shared" si="12"/>
        <v>106516.48</v>
      </c>
      <c r="AD41" s="123">
        <v>203588</v>
      </c>
      <c r="AE41" s="124">
        <f t="shared" si="13"/>
        <v>130296.32000000001</v>
      </c>
      <c r="AF41" s="125">
        <f t="shared" si="14"/>
        <v>2488150</v>
      </c>
      <c r="AG41" s="126">
        <f t="shared" si="15"/>
        <v>1592416</v>
      </c>
      <c r="AH41" s="11">
        <v>193046</v>
      </c>
      <c r="AI41" s="124">
        <f t="shared" si="16"/>
        <v>123549.44</v>
      </c>
      <c r="AJ41" s="15">
        <v>170534</v>
      </c>
      <c r="AK41" s="124">
        <f t="shared" si="17"/>
        <v>109141.76000000001</v>
      </c>
      <c r="AL41" s="15">
        <v>206766</v>
      </c>
      <c r="AM41" s="124">
        <f t="shared" si="18"/>
        <v>132330.23999999999</v>
      </c>
      <c r="AN41" s="16">
        <v>196672</v>
      </c>
      <c r="AO41" s="124">
        <f t="shared" si="19"/>
        <v>125870.08</v>
      </c>
      <c r="AP41" s="15">
        <v>207984</v>
      </c>
      <c r="AQ41" s="124">
        <f t="shared" si="20"/>
        <v>133109.76000000001</v>
      </c>
      <c r="AR41" s="15">
        <v>188433</v>
      </c>
      <c r="AS41" s="124">
        <f t="shared" si="21"/>
        <v>120597.12</v>
      </c>
      <c r="AT41" s="17">
        <v>204092</v>
      </c>
      <c r="AU41" s="124">
        <f t="shared" si="22"/>
        <v>130618.88</v>
      </c>
      <c r="AV41" s="15">
        <v>223622</v>
      </c>
      <c r="AW41" s="124">
        <f t="shared" si="23"/>
        <v>143118.08000000002</v>
      </c>
      <c r="AX41" s="15">
        <v>112728</v>
      </c>
      <c r="AY41" s="124">
        <f t="shared" si="24"/>
        <v>72145.919999999998</v>
      </c>
      <c r="AZ41" s="17">
        <v>134912</v>
      </c>
      <c r="BA41" s="124">
        <f t="shared" si="25"/>
        <v>86343.680000000008</v>
      </c>
      <c r="BB41" s="33">
        <v>153678</v>
      </c>
      <c r="BC41" s="124">
        <f t="shared" si="26"/>
        <v>98353.919999999998</v>
      </c>
      <c r="BD41" s="33">
        <v>171570</v>
      </c>
      <c r="BE41" s="124">
        <f t="shared" si="27"/>
        <v>109804.8</v>
      </c>
      <c r="BF41" s="125">
        <f t="shared" si="28"/>
        <v>2164037</v>
      </c>
      <c r="BG41" s="126">
        <f t="shared" si="29"/>
        <v>1384983.68</v>
      </c>
      <c r="BH41" s="67">
        <v>157346</v>
      </c>
      <c r="BI41" s="124">
        <f t="shared" si="30"/>
        <v>100701.44</v>
      </c>
      <c r="BJ41" s="67">
        <v>138684</v>
      </c>
      <c r="BK41" s="124">
        <f t="shared" si="31"/>
        <v>88757.759999999995</v>
      </c>
      <c r="BL41" s="67">
        <v>176428</v>
      </c>
      <c r="BM41" s="124">
        <f t="shared" si="32"/>
        <v>112913.92</v>
      </c>
      <c r="BN41" s="67">
        <v>172830</v>
      </c>
      <c r="BO41" s="124">
        <f t="shared" si="33"/>
        <v>110611.2</v>
      </c>
      <c r="BP41" s="67">
        <v>184324</v>
      </c>
      <c r="BQ41" s="124">
        <f t="shared" si="34"/>
        <v>117967.36</v>
      </c>
      <c r="BR41" s="65">
        <v>173068</v>
      </c>
      <c r="BS41" s="124">
        <f t="shared" si="35"/>
        <v>110763.52</v>
      </c>
      <c r="BT41" s="67">
        <v>155078</v>
      </c>
      <c r="BU41" s="124">
        <f t="shared" si="36"/>
        <v>99249.919999999998</v>
      </c>
      <c r="BV41" s="67">
        <v>193578</v>
      </c>
      <c r="BW41" s="124">
        <f t="shared" si="37"/>
        <v>123889.92</v>
      </c>
      <c r="BX41" s="67">
        <v>148946</v>
      </c>
      <c r="BY41" s="124">
        <f t="shared" si="38"/>
        <v>95325.440000000002</v>
      </c>
      <c r="BZ41" s="67">
        <v>163114</v>
      </c>
      <c r="CA41" s="124">
        <f t="shared" si="39"/>
        <v>104392.96000000001</v>
      </c>
      <c r="CB41" s="67">
        <v>118650</v>
      </c>
      <c r="CC41" s="124">
        <f t="shared" si="40"/>
        <v>75936</v>
      </c>
      <c r="CD41" s="67">
        <v>137214</v>
      </c>
      <c r="CE41" s="124">
        <f t="shared" si="41"/>
        <v>87816.960000000006</v>
      </c>
      <c r="CF41" s="125">
        <f t="shared" si="42"/>
        <v>1919260</v>
      </c>
      <c r="CG41" s="126">
        <f t="shared" si="43"/>
        <v>1228326.4000000001</v>
      </c>
      <c r="CH41" s="123">
        <v>135310</v>
      </c>
      <c r="CI41" s="124">
        <f t="shared" si="44"/>
        <v>86598.400000000009</v>
      </c>
      <c r="CJ41" s="123">
        <v>139650</v>
      </c>
      <c r="CK41" s="124">
        <f t="shared" si="45"/>
        <v>89376</v>
      </c>
      <c r="CL41" s="123">
        <v>179326</v>
      </c>
      <c r="CM41" s="124">
        <f t="shared" si="46"/>
        <v>114768.64</v>
      </c>
      <c r="CN41" s="123">
        <v>134876</v>
      </c>
      <c r="CO41" s="124">
        <f t="shared" si="47"/>
        <v>86320.639999999999</v>
      </c>
      <c r="CP41" s="123">
        <v>171486</v>
      </c>
      <c r="CQ41" s="124">
        <f t="shared" si="48"/>
        <v>109751.04000000001</v>
      </c>
      <c r="CR41" s="123">
        <v>165102</v>
      </c>
      <c r="CS41" s="124">
        <f t="shared" si="49"/>
        <v>105665.28</v>
      </c>
      <c r="CT41" s="123">
        <v>139048</v>
      </c>
      <c r="CU41" s="124">
        <f t="shared" si="50"/>
        <v>88990.720000000001</v>
      </c>
      <c r="CV41" s="123">
        <v>129962</v>
      </c>
      <c r="CW41" s="124">
        <f t="shared" si="51"/>
        <v>83175.680000000008</v>
      </c>
      <c r="CX41" s="123">
        <v>127554</v>
      </c>
      <c r="CY41" s="124">
        <f t="shared" si="52"/>
        <v>81634.559999999998</v>
      </c>
      <c r="CZ41" s="123">
        <v>135898</v>
      </c>
      <c r="DA41" s="124">
        <f t="shared" si="53"/>
        <v>86974.720000000001</v>
      </c>
      <c r="DB41" s="123">
        <v>107828</v>
      </c>
      <c r="DC41" s="124">
        <f t="shared" si="54"/>
        <v>69009.919999999998</v>
      </c>
      <c r="DD41" s="123">
        <v>115878</v>
      </c>
      <c r="DE41" s="124">
        <f t="shared" si="54"/>
        <v>74161.919999999998</v>
      </c>
      <c r="DF41" s="177">
        <f t="shared" si="0"/>
        <v>1681918</v>
      </c>
      <c r="DG41" s="126">
        <f t="shared" si="55"/>
        <v>1076427.52</v>
      </c>
      <c r="DH41" s="123">
        <v>114394</v>
      </c>
      <c r="DI41" s="124">
        <f t="shared" si="56"/>
        <v>73212.160000000003</v>
      </c>
      <c r="DJ41" s="123">
        <v>112644</v>
      </c>
      <c r="DK41" s="124">
        <f t="shared" si="57"/>
        <v>72092.160000000003</v>
      </c>
      <c r="DL41" s="123"/>
      <c r="DM41" s="124">
        <f t="shared" si="58"/>
        <v>0</v>
      </c>
      <c r="DN41" s="123"/>
      <c r="DO41" s="124">
        <f t="shared" si="59"/>
        <v>0</v>
      </c>
      <c r="DP41" s="123"/>
      <c r="DQ41" s="124">
        <f t="shared" si="60"/>
        <v>0</v>
      </c>
      <c r="DR41" s="123"/>
      <c r="DS41" s="124">
        <f t="shared" si="61"/>
        <v>0</v>
      </c>
      <c r="DT41" s="123"/>
      <c r="DU41" s="124">
        <f t="shared" si="62"/>
        <v>0</v>
      </c>
      <c r="DV41" s="123"/>
      <c r="DW41" s="124">
        <f t="shared" si="63"/>
        <v>0</v>
      </c>
      <c r="DX41" s="123"/>
      <c r="DY41" s="124">
        <f t="shared" si="64"/>
        <v>0</v>
      </c>
      <c r="DZ41" s="123"/>
      <c r="EA41" s="124">
        <f t="shared" si="65"/>
        <v>0</v>
      </c>
      <c r="EB41" s="123"/>
      <c r="EC41" s="124">
        <f t="shared" si="66"/>
        <v>0</v>
      </c>
      <c r="ED41" s="123"/>
      <c r="EE41" s="124">
        <f t="shared" si="67"/>
        <v>0</v>
      </c>
      <c r="EF41" s="27">
        <f t="shared" si="1"/>
        <v>227038</v>
      </c>
      <c r="EG41" s="124">
        <f t="shared" si="68"/>
        <v>145304.32000000001</v>
      </c>
    </row>
    <row r="42" spans="1:137" ht="18" customHeight="1" x14ac:dyDescent="0.5">
      <c r="A42" s="117">
        <v>35</v>
      </c>
      <c r="B42" s="122" t="s">
        <v>161</v>
      </c>
      <c r="C42" s="122" t="s">
        <v>231</v>
      </c>
      <c r="D42" s="117">
        <f t="shared" si="71"/>
        <v>10</v>
      </c>
      <c r="E42" s="117">
        <v>0.64</v>
      </c>
      <c r="F42" s="117" t="s">
        <v>235</v>
      </c>
      <c r="G42" s="117">
        <v>1350</v>
      </c>
      <c r="H42" s="123">
        <v>1800</v>
      </c>
      <c r="I42" s="124">
        <f t="shared" si="2"/>
        <v>1152</v>
      </c>
      <c r="J42" s="123">
        <v>1800</v>
      </c>
      <c r="K42" s="124">
        <f t="shared" si="3"/>
        <v>1152</v>
      </c>
      <c r="L42" s="123">
        <v>2520</v>
      </c>
      <c r="M42" s="124">
        <f t="shared" si="4"/>
        <v>1612.8</v>
      </c>
      <c r="N42" s="123">
        <v>1464</v>
      </c>
      <c r="O42" s="124">
        <f t="shared" si="5"/>
        <v>936.96</v>
      </c>
      <c r="P42" s="123">
        <v>3120</v>
      </c>
      <c r="Q42" s="124">
        <f t="shared" si="6"/>
        <v>1996.8</v>
      </c>
      <c r="R42" s="123">
        <v>2400</v>
      </c>
      <c r="S42" s="124">
        <f t="shared" si="7"/>
        <v>1536</v>
      </c>
      <c r="T42" s="123">
        <v>2640</v>
      </c>
      <c r="U42" s="124">
        <f t="shared" si="8"/>
        <v>1689.6000000000001</v>
      </c>
      <c r="V42" s="123">
        <v>4320</v>
      </c>
      <c r="W42" s="124">
        <f t="shared" si="9"/>
        <v>2764.8</v>
      </c>
      <c r="X42" s="123">
        <v>3600</v>
      </c>
      <c r="Y42" s="124">
        <f t="shared" si="10"/>
        <v>2304</v>
      </c>
      <c r="Z42" s="123">
        <v>720</v>
      </c>
      <c r="AA42" s="124">
        <f t="shared" si="11"/>
        <v>460.8</v>
      </c>
      <c r="AB42" s="123">
        <v>3000</v>
      </c>
      <c r="AC42" s="124">
        <f t="shared" si="12"/>
        <v>1920</v>
      </c>
      <c r="AD42" s="123">
        <v>1920</v>
      </c>
      <c r="AE42" s="124">
        <f t="shared" si="13"/>
        <v>1228.8</v>
      </c>
      <c r="AF42" s="125">
        <f t="shared" si="14"/>
        <v>29304</v>
      </c>
      <c r="AG42" s="126">
        <f t="shared" si="15"/>
        <v>18754.560000000001</v>
      </c>
      <c r="AH42" s="11">
        <v>2160</v>
      </c>
      <c r="AI42" s="124">
        <f t="shared" si="16"/>
        <v>1382.4</v>
      </c>
      <c r="AJ42" s="15">
        <v>2160</v>
      </c>
      <c r="AK42" s="124">
        <f t="shared" si="17"/>
        <v>1382.4</v>
      </c>
      <c r="AL42" s="15">
        <v>3120</v>
      </c>
      <c r="AM42" s="124">
        <f t="shared" si="18"/>
        <v>1996.8</v>
      </c>
      <c r="AN42" s="16">
        <v>720</v>
      </c>
      <c r="AO42" s="124">
        <f t="shared" si="19"/>
        <v>460.8</v>
      </c>
      <c r="AP42" s="15"/>
      <c r="AQ42" s="124">
        <f t="shared" si="20"/>
        <v>0</v>
      </c>
      <c r="AR42" s="15">
        <v>1680</v>
      </c>
      <c r="AS42" s="124">
        <f t="shared" si="21"/>
        <v>1075.2</v>
      </c>
      <c r="AT42" s="17"/>
      <c r="AU42" s="124">
        <f t="shared" si="22"/>
        <v>0</v>
      </c>
      <c r="AV42" s="15">
        <v>720</v>
      </c>
      <c r="AW42" s="124">
        <f t="shared" si="23"/>
        <v>460.8</v>
      </c>
      <c r="AX42" s="15"/>
      <c r="AY42" s="124">
        <f t="shared" si="24"/>
        <v>0</v>
      </c>
      <c r="AZ42" s="17">
        <v>1560</v>
      </c>
      <c r="BA42" s="124">
        <f t="shared" si="25"/>
        <v>998.4</v>
      </c>
      <c r="BB42" s="33">
        <v>480</v>
      </c>
      <c r="BC42" s="124">
        <f t="shared" si="26"/>
        <v>307.2</v>
      </c>
      <c r="BD42" s="33">
        <v>1320</v>
      </c>
      <c r="BE42" s="124">
        <f t="shared" si="27"/>
        <v>844.80000000000007</v>
      </c>
      <c r="BF42" s="125">
        <f t="shared" si="28"/>
        <v>13920</v>
      </c>
      <c r="BG42" s="126">
        <f t="shared" si="29"/>
        <v>8908.8000000000011</v>
      </c>
      <c r="BH42" s="64">
        <v>1200</v>
      </c>
      <c r="BI42" s="124">
        <f t="shared" si="30"/>
        <v>768</v>
      </c>
      <c r="BJ42" s="64">
        <v>720</v>
      </c>
      <c r="BK42" s="124">
        <f t="shared" si="31"/>
        <v>460.8</v>
      </c>
      <c r="BL42" s="64">
        <v>960</v>
      </c>
      <c r="BM42" s="124">
        <f t="shared" si="32"/>
        <v>614.4</v>
      </c>
      <c r="BN42" s="64">
        <v>720</v>
      </c>
      <c r="BO42" s="124">
        <f t="shared" si="33"/>
        <v>460.8</v>
      </c>
      <c r="BP42" s="64">
        <v>1920</v>
      </c>
      <c r="BQ42" s="124">
        <f t="shared" si="34"/>
        <v>1228.8</v>
      </c>
      <c r="BR42" s="65"/>
      <c r="BS42" s="124">
        <f t="shared" si="35"/>
        <v>0</v>
      </c>
      <c r="BT42" s="67">
        <v>1200</v>
      </c>
      <c r="BU42" s="124">
        <f t="shared" si="36"/>
        <v>768</v>
      </c>
      <c r="BV42" s="67"/>
      <c r="BW42" s="124">
        <f t="shared" si="37"/>
        <v>0</v>
      </c>
      <c r="BX42" s="67">
        <v>2160</v>
      </c>
      <c r="BY42" s="124">
        <f t="shared" si="38"/>
        <v>1382.4</v>
      </c>
      <c r="BZ42" s="67">
        <v>480</v>
      </c>
      <c r="CA42" s="124">
        <f t="shared" si="39"/>
        <v>307.2</v>
      </c>
      <c r="CB42" s="69">
        <v>2400</v>
      </c>
      <c r="CC42" s="124">
        <f t="shared" si="40"/>
        <v>1536</v>
      </c>
      <c r="CD42" s="69">
        <v>1200</v>
      </c>
      <c r="CE42" s="124">
        <f t="shared" si="41"/>
        <v>768</v>
      </c>
      <c r="CF42" s="125">
        <f t="shared" si="42"/>
        <v>12960</v>
      </c>
      <c r="CG42" s="126">
        <f t="shared" si="43"/>
        <v>8294.4</v>
      </c>
      <c r="CH42" s="123">
        <v>2400</v>
      </c>
      <c r="CI42" s="124">
        <f t="shared" si="44"/>
        <v>1536</v>
      </c>
      <c r="CJ42" s="123"/>
      <c r="CK42" s="124">
        <f t="shared" si="45"/>
        <v>0</v>
      </c>
      <c r="CL42" s="123">
        <v>2880</v>
      </c>
      <c r="CM42" s="124">
        <f t="shared" si="46"/>
        <v>1843.2</v>
      </c>
      <c r="CN42" s="123"/>
      <c r="CO42" s="124">
        <f t="shared" si="47"/>
        <v>0</v>
      </c>
      <c r="CP42" s="123"/>
      <c r="CQ42" s="124">
        <f t="shared" si="48"/>
        <v>0</v>
      </c>
      <c r="CR42" s="123"/>
      <c r="CS42" s="124">
        <f t="shared" si="49"/>
        <v>0</v>
      </c>
      <c r="CT42" s="123"/>
      <c r="CU42" s="124">
        <f t="shared" si="50"/>
        <v>0</v>
      </c>
      <c r="CV42" s="123"/>
      <c r="CW42" s="124">
        <f t="shared" si="51"/>
        <v>0</v>
      </c>
      <c r="CX42" s="123"/>
      <c r="CY42" s="124">
        <f t="shared" si="52"/>
        <v>0</v>
      </c>
      <c r="CZ42" s="123">
        <v>1200</v>
      </c>
      <c r="DA42" s="124">
        <f t="shared" si="53"/>
        <v>768</v>
      </c>
      <c r="DB42" s="123">
        <v>720</v>
      </c>
      <c r="DC42" s="124">
        <f t="shared" si="54"/>
        <v>460.8</v>
      </c>
      <c r="DD42" s="123">
        <v>1440</v>
      </c>
      <c r="DE42" s="124">
        <f t="shared" si="54"/>
        <v>921.6</v>
      </c>
      <c r="DF42" s="177">
        <f t="shared" si="0"/>
        <v>8640</v>
      </c>
      <c r="DG42" s="126">
        <f t="shared" si="55"/>
        <v>5529.6</v>
      </c>
      <c r="DH42" s="123"/>
      <c r="DI42" s="124">
        <f t="shared" si="56"/>
        <v>0</v>
      </c>
      <c r="DJ42" s="123">
        <v>720</v>
      </c>
      <c r="DK42" s="124">
        <f t="shared" si="57"/>
        <v>460.8</v>
      </c>
      <c r="DL42" s="123"/>
      <c r="DM42" s="124">
        <f t="shared" si="58"/>
        <v>0</v>
      </c>
      <c r="DN42" s="123"/>
      <c r="DO42" s="124">
        <f t="shared" si="59"/>
        <v>0</v>
      </c>
      <c r="DP42" s="123"/>
      <c r="DQ42" s="124">
        <f t="shared" si="60"/>
        <v>0</v>
      </c>
      <c r="DR42" s="123"/>
      <c r="DS42" s="124">
        <f t="shared" si="61"/>
        <v>0</v>
      </c>
      <c r="DT42" s="123"/>
      <c r="DU42" s="124">
        <f t="shared" si="62"/>
        <v>0</v>
      </c>
      <c r="DV42" s="123"/>
      <c r="DW42" s="124">
        <f t="shared" si="63"/>
        <v>0</v>
      </c>
      <c r="DX42" s="123"/>
      <c r="DY42" s="124">
        <f t="shared" si="64"/>
        <v>0</v>
      </c>
      <c r="DZ42" s="123"/>
      <c r="EA42" s="124">
        <f t="shared" si="65"/>
        <v>0</v>
      </c>
      <c r="EB42" s="123"/>
      <c r="EC42" s="124">
        <f t="shared" si="66"/>
        <v>0</v>
      </c>
      <c r="ED42" s="123"/>
      <c r="EE42" s="124">
        <f t="shared" si="67"/>
        <v>0</v>
      </c>
      <c r="EF42" s="27">
        <f t="shared" si="1"/>
        <v>720</v>
      </c>
      <c r="EG42" s="124">
        <f t="shared" si="68"/>
        <v>460.8</v>
      </c>
    </row>
    <row r="43" spans="1:137" ht="18" customHeight="1" x14ac:dyDescent="0.5">
      <c r="A43" s="117">
        <v>36</v>
      </c>
      <c r="B43" s="122" t="s">
        <v>46</v>
      </c>
      <c r="C43" s="122" t="s">
        <v>231</v>
      </c>
      <c r="D43" s="117">
        <f t="shared" si="71"/>
        <v>21</v>
      </c>
      <c r="E43" s="117">
        <v>0.68</v>
      </c>
      <c r="F43" s="117" t="s">
        <v>236</v>
      </c>
      <c r="G43" s="117"/>
      <c r="H43" s="123"/>
      <c r="I43" s="124">
        <f t="shared" si="2"/>
        <v>0</v>
      </c>
      <c r="J43" s="123"/>
      <c r="K43" s="124">
        <f t="shared" si="3"/>
        <v>0</v>
      </c>
      <c r="L43" s="123"/>
      <c r="M43" s="124">
        <f t="shared" si="4"/>
        <v>0</v>
      </c>
      <c r="N43" s="123"/>
      <c r="O43" s="124">
        <f t="shared" si="5"/>
        <v>0</v>
      </c>
      <c r="P43" s="123"/>
      <c r="Q43" s="124">
        <f t="shared" si="6"/>
        <v>0</v>
      </c>
      <c r="R43" s="123"/>
      <c r="S43" s="124">
        <f t="shared" si="7"/>
        <v>0</v>
      </c>
      <c r="T43" s="123"/>
      <c r="U43" s="124">
        <f t="shared" si="8"/>
        <v>0</v>
      </c>
      <c r="V43" s="123"/>
      <c r="W43" s="124">
        <f t="shared" si="9"/>
        <v>0</v>
      </c>
      <c r="X43" s="123"/>
      <c r="Y43" s="124">
        <f t="shared" si="10"/>
        <v>0</v>
      </c>
      <c r="Z43" s="123"/>
      <c r="AA43" s="124">
        <f t="shared" si="11"/>
        <v>0</v>
      </c>
      <c r="AB43" s="123"/>
      <c r="AC43" s="124">
        <f t="shared" si="12"/>
        <v>0</v>
      </c>
      <c r="AD43" s="123"/>
      <c r="AE43" s="124">
        <f t="shared" si="13"/>
        <v>0</v>
      </c>
      <c r="AF43" s="125">
        <f t="shared" si="14"/>
        <v>0</v>
      </c>
      <c r="AG43" s="126">
        <f t="shared" si="15"/>
        <v>0</v>
      </c>
      <c r="AH43" s="11"/>
      <c r="AI43" s="124">
        <f t="shared" si="16"/>
        <v>0</v>
      </c>
      <c r="AJ43" s="15"/>
      <c r="AK43" s="124">
        <f t="shared" si="17"/>
        <v>0</v>
      </c>
      <c r="AL43" s="15"/>
      <c r="AM43" s="124">
        <f t="shared" si="18"/>
        <v>0</v>
      </c>
      <c r="AN43" s="16"/>
      <c r="AO43" s="124">
        <f t="shared" si="19"/>
        <v>0</v>
      </c>
      <c r="AP43" s="15"/>
      <c r="AQ43" s="124">
        <f t="shared" si="20"/>
        <v>0</v>
      </c>
      <c r="AR43" s="15"/>
      <c r="AS43" s="124">
        <f t="shared" si="21"/>
        <v>0</v>
      </c>
      <c r="AT43" s="17"/>
      <c r="AU43" s="124">
        <f t="shared" si="22"/>
        <v>0</v>
      </c>
      <c r="AV43" s="15"/>
      <c r="AW43" s="124">
        <f t="shared" si="23"/>
        <v>0</v>
      </c>
      <c r="AX43" s="15"/>
      <c r="AY43" s="124">
        <f t="shared" si="24"/>
        <v>0</v>
      </c>
      <c r="AZ43" s="17"/>
      <c r="BA43" s="124">
        <f t="shared" si="25"/>
        <v>0</v>
      </c>
      <c r="BB43" s="33"/>
      <c r="BC43" s="124">
        <f t="shared" si="26"/>
        <v>0</v>
      </c>
      <c r="BD43" s="33"/>
      <c r="BE43" s="124">
        <f t="shared" si="27"/>
        <v>0</v>
      </c>
      <c r="BF43" s="125">
        <f t="shared" si="28"/>
        <v>0</v>
      </c>
      <c r="BG43" s="126">
        <f t="shared" si="29"/>
        <v>0</v>
      </c>
      <c r="BH43" s="123"/>
      <c r="BI43" s="124">
        <f t="shared" si="30"/>
        <v>0</v>
      </c>
      <c r="BJ43" s="123"/>
      <c r="BK43" s="124">
        <f t="shared" si="31"/>
        <v>0</v>
      </c>
      <c r="BL43" s="123"/>
      <c r="BM43" s="124">
        <f t="shared" si="32"/>
        <v>0</v>
      </c>
      <c r="BN43" s="123"/>
      <c r="BO43" s="124">
        <f t="shared" si="33"/>
        <v>0</v>
      </c>
      <c r="BP43" s="123"/>
      <c r="BQ43" s="124">
        <f t="shared" si="34"/>
        <v>0</v>
      </c>
      <c r="BR43" s="123"/>
      <c r="BS43" s="124">
        <f t="shared" si="35"/>
        <v>0</v>
      </c>
      <c r="BT43" s="123"/>
      <c r="BU43" s="124">
        <f t="shared" si="36"/>
        <v>0</v>
      </c>
      <c r="BV43" s="123"/>
      <c r="BW43" s="124">
        <f t="shared" si="37"/>
        <v>0</v>
      </c>
      <c r="BX43" s="123"/>
      <c r="BY43" s="124">
        <f t="shared" si="38"/>
        <v>0</v>
      </c>
      <c r="BZ43" s="123"/>
      <c r="CA43" s="124">
        <f t="shared" si="39"/>
        <v>0</v>
      </c>
      <c r="CB43" s="123"/>
      <c r="CC43" s="124">
        <f t="shared" si="40"/>
        <v>0</v>
      </c>
      <c r="CD43" s="123"/>
      <c r="CE43" s="124">
        <f t="shared" si="41"/>
        <v>0</v>
      </c>
      <c r="CF43" s="125">
        <f t="shared" si="42"/>
        <v>0</v>
      </c>
      <c r="CG43" s="126">
        <f t="shared" si="43"/>
        <v>0</v>
      </c>
      <c r="CH43" s="123"/>
      <c r="CI43" s="124">
        <f t="shared" si="44"/>
        <v>0</v>
      </c>
      <c r="CJ43" s="123"/>
      <c r="CK43" s="124">
        <f t="shared" si="45"/>
        <v>0</v>
      </c>
      <c r="CL43" s="123"/>
      <c r="CM43" s="124">
        <f t="shared" si="46"/>
        <v>0</v>
      </c>
      <c r="CN43" s="123"/>
      <c r="CO43" s="124">
        <f t="shared" si="47"/>
        <v>0</v>
      </c>
      <c r="CP43" s="123"/>
      <c r="CQ43" s="124">
        <f t="shared" si="48"/>
        <v>0</v>
      </c>
      <c r="CR43" s="123"/>
      <c r="CS43" s="124">
        <f t="shared" si="49"/>
        <v>0</v>
      </c>
      <c r="CT43" s="123"/>
      <c r="CU43" s="124">
        <f t="shared" si="50"/>
        <v>0</v>
      </c>
      <c r="CV43" s="123"/>
      <c r="CW43" s="124">
        <f t="shared" si="51"/>
        <v>0</v>
      </c>
      <c r="CX43" s="123"/>
      <c r="CY43" s="124">
        <f t="shared" si="52"/>
        <v>0</v>
      </c>
      <c r="CZ43" s="123"/>
      <c r="DA43" s="124">
        <f t="shared" si="53"/>
        <v>0</v>
      </c>
      <c r="DB43" s="123"/>
      <c r="DC43" s="124">
        <f t="shared" si="54"/>
        <v>0</v>
      </c>
      <c r="DD43" s="123"/>
      <c r="DE43" s="124">
        <f t="shared" si="54"/>
        <v>0</v>
      </c>
      <c r="DF43" s="177">
        <f t="shared" si="0"/>
        <v>0</v>
      </c>
      <c r="DG43" s="126">
        <f t="shared" si="55"/>
        <v>0</v>
      </c>
      <c r="DH43" s="123"/>
      <c r="DI43" s="124">
        <f t="shared" si="56"/>
        <v>0</v>
      </c>
      <c r="DJ43" s="123"/>
      <c r="DK43" s="124">
        <f t="shared" si="57"/>
        <v>0</v>
      </c>
      <c r="DL43" s="123"/>
      <c r="DM43" s="124">
        <f t="shared" si="58"/>
        <v>0</v>
      </c>
      <c r="DN43" s="123"/>
      <c r="DO43" s="124">
        <f t="shared" si="59"/>
        <v>0</v>
      </c>
      <c r="DP43" s="123"/>
      <c r="DQ43" s="124">
        <f t="shared" si="60"/>
        <v>0</v>
      </c>
      <c r="DR43" s="123"/>
      <c r="DS43" s="124">
        <f t="shared" si="61"/>
        <v>0</v>
      </c>
      <c r="DT43" s="123"/>
      <c r="DU43" s="124">
        <f t="shared" si="62"/>
        <v>0</v>
      </c>
      <c r="DV43" s="123"/>
      <c r="DW43" s="124">
        <f t="shared" si="63"/>
        <v>0</v>
      </c>
      <c r="DX43" s="123"/>
      <c r="DY43" s="124">
        <f t="shared" si="64"/>
        <v>0</v>
      </c>
      <c r="DZ43" s="123"/>
      <c r="EA43" s="124">
        <f t="shared" si="65"/>
        <v>0</v>
      </c>
      <c r="EB43" s="123"/>
      <c r="EC43" s="124">
        <f t="shared" si="66"/>
        <v>0</v>
      </c>
      <c r="ED43" s="123"/>
      <c r="EE43" s="124">
        <f t="shared" si="67"/>
        <v>0</v>
      </c>
      <c r="EF43" s="27">
        <f t="shared" si="1"/>
        <v>0</v>
      </c>
      <c r="EG43" s="124">
        <f t="shared" si="68"/>
        <v>0</v>
      </c>
    </row>
    <row r="44" spans="1:137" ht="18" customHeight="1" x14ac:dyDescent="0.5">
      <c r="A44" s="117">
        <v>37</v>
      </c>
      <c r="B44" s="122" t="s">
        <v>46</v>
      </c>
      <c r="C44" s="122" t="s">
        <v>231</v>
      </c>
      <c r="D44" s="117">
        <f t="shared" si="71"/>
        <v>5</v>
      </c>
      <c r="E44" s="117">
        <v>0.64</v>
      </c>
      <c r="F44" s="117" t="s">
        <v>236</v>
      </c>
      <c r="G44" s="117">
        <v>1800</v>
      </c>
      <c r="H44" s="123">
        <v>10962</v>
      </c>
      <c r="I44" s="124">
        <f t="shared" si="2"/>
        <v>7015.68</v>
      </c>
      <c r="J44" s="123">
        <v>9142</v>
      </c>
      <c r="K44" s="124">
        <f t="shared" si="3"/>
        <v>5850.88</v>
      </c>
      <c r="L44" s="123">
        <v>14070</v>
      </c>
      <c r="M44" s="124">
        <f t="shared" si="4"/>
        <v>9004.8000000000011</v>
      </c>
      <c r="N44" s="123">
        <v>11732</v>
      </c>
      <c r="O44" s="124">
        <f t="shared" si="5"/>
        <v>7508.4800000000005</v>
      </c>
      <c r="P44" s="123">
        <v>11284</v>
      </c>
      <c r="Q44" s="124">
        <f t="shared" si="6"/>
        <v>7221.76</v>
      </c>
      <c r="R44" s="123">
        <v>10640</v>
      </c>
      <c r="S44" s="124">
        <f t="shared" si="7"/>
        <v>6809.6</v>
      </c>
      <c r="T44" s="123">
        <v>12838</v>
      </c>
      <c r="U44" s="124">
        <f t="shared" si="8"/>
        <v>8216.32</v>
      </c>
      <c r="V44" s="123">
        <v>10766</v>
      </c>
      <c r="W44" s="124">
        <f t="shared" si="9"/>
        <v>6890.24</v>
      </c>
      <c r="X44" s="123">
        <v>11592</v>
      </c>
      <c r="Y44" s="124">
        <f t="shared" si="10"/>
        <v>7418.88</v>
      </c>
      <c r="Z44" s="123">
        <v>8932</v>
      </c>
      <c r="AA44" s="124">
        <f t="shared" si="11"/>
        <v>5716.4800000000005</v>
      </c>
      <c r="AB44" s="123">
        <v>10906</v>
      </c>
      <c r="AC44" s="124">
        <f t="shared" si="12"/>
        <v>6979.84</v>
      </c>
      <c r="AD44" s="123">
        <v>10878</v>
      </c>
      <c r="AE44" s="124">
        <f t="shared" si="13"/>
        <v>6961.92</v>
      </c>
      <c r="AF44" s="125">
        <f t="shared" si="14"/>
        <v>133742</v>
      </c>
      <c r="AG44" s="126">
        <f t="shared" si="15"/>
        <v>85594.880000000005</v>
      </c>
      <c r="AH44" s="11">
        <v>12544</v>
      </c>
      <c r="AI44" s="124">
        <f t="shared" si="16"/>
        <v>8028.16</v>
      </c>
      <c r="AJ44" s="15">
        <v>11606</v>
      </c>
      <c r="AK44" s="124">
        <f t="shared" si="17"/>
        <v>7427.84</v>
      </c>
      <c r="AL44" s="15">
        <v>10738</v>
      </c>
      <c r="AM44" s="124">
        <f t="shared" si="18"/>
        <v>6872.32</v>
      </c>
      <c r="AN44" s="16">
        <v>12502</v>
      </c>
      <c r="AO44" s="124">
        <f t="shared" si="19"/>
        <v>8001.28</v>
      </c>
      <c r="AP44" s="15">
        <v>10906</v>
      </c>
      <c r="AQ44" s="124">
        <f t="shared" si="20"/>
        <v>6979.84</v>
      </c>
      <c r="AR44" s="15">
        <v>11970</v>
      </c>
      <c r="AS44" s="124">
        <f t="shared" si="21"/>
        <v>7660.8</v>
      </c>
      <c r="AT44" s="17">
        <v>11956</v>
      </c>
      <c r="AU44" s="124">
        <f t="shared" si="22"/>
        <v>7651.84</v>
      </c>
      <c r="AV44" s="15">
        <v>13230</v>
      </c>
      <c r="AW44" s="124">
        <f t="shared" si="23"/>
        <v>8467.2000000000007</v>
      </c>
      <c r="AX44" s="15">
        <v>7238</v>
      </c>
      <c r="AY44" s="124">
        <f t="shared" si="24"/>
        <v>4632.32</v>
      </c>
      <c r="AZ44" s="17">
        <v>8988</v>
      </c>
      <c r="BA44" s="124">
        <f t="shared" si="25"/>
        <v>5752.32</v>
      </c>
      <c r="BB44" s="33">
        <v>8456</v>
      </c>
      <c r="BC44" s="124">
        <f t="shared" si="26"/>
        <v>5411.84</v>
      </c>
      <c r="BD44" s="33">
        <v>9730</v>
      </c>
      <c r="BE44" s="124">
        <f t="shared" si="27"/>
        <v>6227.2</v>
      </c>
      <c r="BF44" s="125">
        <f t="shared" si="28"/>
        <v>129864</v>
      </c>
      <c r="BG44" s="126">
        <f t="shared" si="29"/>
        <v>83112.960000000006</v>
      </c>
      <c r="BH44" s="64">
        <v>11410</v>
      </c>
      <c r="BI44" s="124">
        <f t="shared" si="30"/>
        <v>7302.4000000000005</v>
      </c>
      <c r="BJ44" s="64">
        <v>12726</v>
      </c>
      <c r="BK44" s="124">
        <f t="shared" si="31"/>
        <v>8144.64</v>
      </c>
      <c r="BL44" s="64">
        <v>9450</v>
      </c>
      <c r="BM44" s="124">
        <f t="shared" si="32"/>
        <v>6048</v>
      </c>
      <c r="BN44" s="64">
        <v>11620</v>
      </c>
      <c r="BO44" s="124">
        <f t="shared" si="33"/>
        <v>7436.8</v>
      </c>
      <c r="BP44" s="64">
        <v>14826</v>
      </c>
      <c r="BQ44" s="124">
        <f t="shared" si="34"/>
        <v>9488.64</v>
      </c>
      <c r="BR44" s="65">
        <v>12180</v>
      </c>
      <c r="BS44" s="124">
        <f t="shared" si="35"/>
        <v>7795.2</v>
      </c>
      <c r="BT44" s="71">
        <v>14840</v>
      </c>
      <c r="BU44" s="124">
        <f t="shared" si="36"/>
        <v>9497.6</v>
      </c>
      <c r="BV44" s="67">
        <v>11410</v>
      </c>
      <c r="BW44" s="124">
        <f t="shared" si="37"/>
        <v>7302.4000000000005</v>
      </c>
      <c r="BX44" s="67">
        <v>10150</v>
      </c>
      <c r="BY44" s="124">
        <f t="shared" si="38"/>
        <v>6496</v>
      </c>
      <c r="BZ44" s="67">
        <v>10500</v>
      </c>
      <c r="CA44" s="124">
        <f t="shared" si="39"/>
        <v>6720</v>
      </c>
      <c r="CB44" s="67">
        <v>12040</v>
      </c>
      <c r="CC44" s="124">
        <f t="shared" si="40"/>
        <v>7705.6</v>
      </c>
      <c r="CD44" s="67">
        <v>14070</v>
      </c>
      <c r="CE44" s="124">
        <f t="shared" si="41"/>
        <v>9004.8000000000011</v>
      </c>
      <c r="CF44" s="125">
        <f t="shared" si="42"/>
        <v>145222</v>
      </c>
      <c r="CG44" s="126">
        <f t="shared" si="43"/>
        <v>92942.080000000002</v>
      </c>
      <c r="CH44" s="123">
        <v>11480</v>
      </c>
      <c r="CI44" s="124">
        <f t="shared" si="44"/>
        <v>7347.2</v>
      </c>
      <c r="CJ44" s="123">
        <v>14070</v>
      </c>
      <c r="CK44" s="124">
        <f t="shared" si="45"/>
        <v>9004.8000000000011</v>
      </c>
      <c r="CL44" s="123">
        <v>18662</v>
      </c>
      <c r="CM44" s="124">
        <f t="shared" si="46"/>
        <v>11943.68</v>
      </c>
      <c r="CN44" s="123">
        <v>10780</v>
      </c>
      <c r="CO44" s="124">
        <f t="shared" si="47"/>
        <v>6899.2</v>
      </c>
      <c r="CP44" s="123">
        <v>17850</v>
      </c>
      <c r="CQ44" s="124">
        <f t="shared" si="48"/>
        <v>11424</v>
      </c>
      <c r="CR44" s="123">
        <v>14714</v>
      </c>
      <c r="CS44" s="124">
        <f t="shared" si="49"/>
        <v>9416.9600000000009</v>
      </c>
      <c r="CT44" s="123">
        <v>15890</v>
      </c>
      <c r="CU44" s="124">
        <f t="shared" si="50"/>
        <v>10169.6</v>
      </c>
      <c r="CV44" s="123">
        <v>12670</v>
      </c>
      <c r="CW44" s="124">
        <f t="shared" si="51"/>
        <v>8108.8</v>
      </c>
      <c r="CX44" s="123">
        <v>15442</v>
      </c>
      <c r="CY44" s="124">
        <f t="shared" si="52"/>
        <v>9882.880000000001</v>
      </c>
      <c r="CZ44" s="123">
        <v>14212</v>
      </c>
      <c r="DA44" s="124">
        <f t="shared" si="53"/>
        <v>9095.68</v>
      </c>
      <c r="DB44" s="123">
        <v>17220</v>
      </c>
      <c r="DC44" s="124">
        <f t="shared" si="54"/>
        <v>11020.800000000001</v>
      </c>
      <c r="DD44" s="123">
        <v>19166</v>
      </c>
      <c r="DE44" s="124">
        <f t="shared" si="54"/>
        <v>12266.24</v>
      </c>
      <c r="DF44" s="177">
        <f t="shared" si="0"/>
        <v>182156</v>
      </c>
      <c r="DG44" s="126">
        <f t="shared" si="55"/>
        <v>116579.84</v>
      </c>
      <c r="DH44" s="123">
        <v>16534</v>
      </c>
      <c r="DI44" s="124">
        <f t="shared" si="56"/>
        <v>10581.76</v>
      </c>
      <c r="DJ44" s="123">
        <v>14210</v>
      </c>
      <c r="DK44" s="124">
        <f t="shared" si="57"/>
        <v>9094.4</v>
      </c>
      <c r="DL44" s="123"/>
      <c r="DM44" s="124">
        <f t="shared" si="58"/>
        <v>0</v>
      </c>
      <c r="DN44" s="123"/>
      <c r="DO44" s="124">
        <f t="shared" si="59"/>
        <v>0</v>
      </c>
      <c r="DP44" s="123"/>
      <c r="DQ44" s="124">
        <f t="shared" si="60"/>
        <v>0</v>
      </c>
      <c r="DR44" s="123"/>
      <c r="DS44" s="124">
        <f t="shared" si="61"/>
        <v>0</v>
      </c>
      <c r="DT44" s="123"/>
      <c r="DU44" s="124">
        <f t="shared" si="62"/>
        <v>0</v>
      </c>
      <c r="DV44" s="123"/>
      <c r="DW44" s="124">
        <f t="shared" si="63"/>
        <v>0</v>
      </c>
      <c r="DX44" s="123"/>
      <c r="DY44" s="124">
        <f t="shared" si="64"/>
        <v>0</v>
      </c>
      <c r="DZ44" s="123"/>
      <c r="EA44" s="124">
        <f t="shared" si="65"/>
        <v>0</v>
      </c>
      <c r="EB44" s="123"/>
      <c r="EC44" s="124">
        <f t="shared" si="66"/>
        <v>0</v>
      </c>
      <c r="ED44" s="123"/>
      <c r="EE44" s="124">
        <f t="shared" si="67"/>
        <v>0</v>
      </c>
      <c r="EF44" s="27">
        <f t="shared" si="1"/>
        <v>30744</v>
      </c>
      <c r="EG44" s="124">
        <f t="shared" si="68"/>
        <v>19676.16</v>
      </c>
    </row>
    <row r="45" spans="1:137" ht="18" customHeight="1" x14ac:dyDescent="0.5">
      <c r="A45" s="117">
        <v>38</v>
      </c>
      <c r="B45" s="122" t="s">
        <v>164</v>
      </c>
      <c r="C45" s="122" t="s">
        <v>231</v>
      </c>
      <c r="D45" s="117">
        <f t="shared" si="71"/>
        <v>21</v>
      </c>
      <c r="E45" s="117">
        <v>0.64</v>
      </c>
      <c r="F45" s="117" t="s">
        <v>236</v>
      </c>
      <c r="G45" s="117"/>
      <c r="H45" s="123"/>
      <c r="I45" s="124">
        <f t="shared" si="2"/>
        <v>0</v>
      </c>
      <c r="J45" s="123"/>
      <c r="K45" s="124">
        <f t="shared" si="3"/>
        <v>0</v>
      </c>
      <c r="L45" s="123"/>
      <c r="M45" s="124">
        <f t="shared" si="4"/>
        <v>0</v>
      </c>
      <c r="N45" s="123"/>
      <c r="O45" s="124">
        <f t="shared" si="5"/>
        <v>0</v>
      </c>
      <c r="P45" s="123"/>
      <c r="Q45" s="124">
        <f t="shared" si="6"/>
        <v>0</v>
      </c>
      <c r="R45" s="123"/>
      <c r="S45" s="124">
        <f t="shared" si="7"/>
        <v>0</v>
      </c>
      <c r="T45" s="123"/>
      <c r="U45" s="124">
        <f t="shared" si="8"/>
        <v>0</v>
      </c>
      <c r="V45" s="123"/>
      <c r="W45" s="124">
        <f t="shared" si="9"/>
        <v>0</v>
      </c>
      <c r="X45" s="123"/>
      <c r="Y45" s="124">
        <f t="shared" si="10"/>
        <v>0</v>
      </c>
      <c r="Z45" s="123"/>
      <c r="AA45" s="124">
        <f t="shared" si="11"/>
        <v>0</v>
      </c>
      <c r="AB45" s="123"/>
      <c r="AC45" s="124">
        <f t="shared" si="12"/>
        <v>0</v>
      </c>
      <c r="AD45" s="123"/>
      <c r="AE45" s="124">
        <f t="shared" si="13"/>
        <v>0</v>
      </c>
      <c r="AF45" s="125">
        <f t="shared" si="14"/>
        <v>0</v>
      </c>
      <c r="AG45" s="126">
        <f t="shared" si="15"/>
        <v>0</v>
      </c>
      <c r="AH45" s="11"/>
      <c r="AI45" s="124">
        <f t="shared" si="16"/>
        <v>0</v>
      </c>
      <c r="AJ45" s="15"/>
      <c r="AK45" s="124">
        <f t="shared" si="17"/>
        <v>0</v>
      </c>
      <c r="AL45" s="15"/>
      <c r="AM45" s="124">
        <f t="shared" si="18"/>
        <v>0</v>
      </c>
      <c r="AN45" s="16"/>
      <c r="AO45" s="124">
        <f t="shared" si="19"/>
        <v>0</v>
      </c>
      <c r="AP45" s="15"/>
      <c r="AQ45" s="124">
        <f t="shared" si="20"/>
        <v>0</v>
      </c>
      <c r="AR45" s="15"/>
      <c r="AS45" s="124">
        <f t="shared" si="21"/>
        <v>0</v>
      </c>
      <c r="AT45" s="17"/>
      <c r="AU45" s="124">
        <f t="shared" si="22"/>
        <v>0</v>
      </c>
      <c r="AV45" s="15"/>
      <c r="AW45" s="124">
        <f t="shared" si="23"/>
        <v>0</v>
      </c>
      <c r="AX45" s="15"/>
      <c r="AY45" s="124">
        <f t="shared" si="24"/>
        <v>0</v>
      </c>
      <c r="AZ45" s="17"/>
      <c r="BA45" s="124">
        <f t="shared" si="25"/>
        <v>0</v>
      </c>
      <c r="BB45" s="33"/>
      <c r="BC45" s="124">
        <f t="shared" si="26"/>
        <v>0</v>
      </c>
      <c r="BD45" s="33"/>
      <c r="BE45" s="124">
        <f t="shared" si="27"/>
        <v>0</v>
      </c>
      <c r="BF45" s="125">
        <f t="shared" si="28"/>
        <v>0</v>
      </c>
      <c r="BG45" s="126">
        <f t="shared" si="29"/>
        <v>0</v>
      </c>
      <c r="BH45" s="123"/>
      <c r="BI45" s="124">
        <f t="shared" si="30"/>
        <v>0</v>
      </c>
      <c r="BJ45" s="123"/>
      <c r="BK45" s="124">
        <f t="shared" si="31"/>
        <v>0</v>
      </c>
      <c r="BL45" s="123"/>
      <c r="BM45" s="124">
        <f t="shared" si="32"/>
        <v>0</v>
      </c>
      <c r="BN45" s="123"/>
      <c r="BO45" s="124">
        <f t="shared" si="33"/>
        <v>0</v>
      </c>
      <c r="BP45" s="123"/>
      <c r="BQ45" s="124">
        <f t="shared" si="34"/>
        <v>0</v>
      </c>
      <c r="BR45" s="123"/>
      <c r="BS45" s="124">
        <f t="shared" si="35"/>
        <v>0</v>
      </c>
      <c r="BT45" s="123"/>
      <c r="BU45" s="124">
        <f t="shared" si="36"/>
        <v>0</v>
      </c>
      <c r="BV45" s="123"/>
      <c r="BW45" s="124">
        <f t="shared" si="37"/>
        <v>0</v>
      </c>
      <c r="BX45" s="123"/>
      <c r="BY45" s="124">
        <f t="shared" si="38"/>
        <v>0</v>
      </c>
      <c r="BZ45" s="123"/>
      <c r="CA45" s="124">
        <f t="shared" si="39"/>
        <v>0</v>
      </c>
      <c r="CB45" s="123"/>
      <c r="CC45" s="124">
        <f t="shared" si="40"/>
        <v>0</v>
      </c>
      <c r="CD45" s="123"/>
      <c r="CE45" s="124">
        <f t="shared" si="41"/>
        <v>0</v>
      </c>
      <c r="CF45" s="125">
        <f t="shared" si="42"/>
        <v>0</v>
      </c>
      <c r="CG45" s="126">
        <f t="shared" si="43"/>
        <v>0</v>
      </c>
      <c r="CH45" s="123"/>
      <c r="CI45" s="124">
        <f t="shared" si="44"/>
        <v>0</v>
      </c>
      <c r="CJ45" s="123"/>
      <c r="CK45" s="124">
        <f t="shared" si="45"/>
        <v>0</v>
      </c>
      <c r="CL45" s="123"/>
      <c r="CM45" s="124">
        <f t="shared" si="46"/>
        <v>0</v>
      </c>
      <c r="CN45" s="123"/>
      <c r="CO45" s="124">
        <f t="shared" si="47"/>
        <v>0</v>
      </c>
      <c r="CP45" s="123"/>
      <c r="CQ45" s="124">
        <f t="shared" si="48"/>
        <v>0</v>
      </c>
      <c r="CR45" s="123"/>
      <c r="CS45" s="124">
        <f t="shared" si="49"/>
        <v>0</v>
      </c>
      <c r="CT45" s="123"/>
      <c r="CU45" s="124">
        <f t="shared" si="50"/>
        <v>0</v>
      </c>
      <c r="CV45" s="123"/>
      <c r="CW45" s="124">
        <f t="shared" si="51"/>
        <v>0</v>
      </c>
      <c r="CX45" s="123"/>
      <c r="CY45" s="124">
        <f t="shared" si="52"/>
        <v>0</v>
      </c>
      <c r="CZ45" s="123"/>
      <c r="DA45" s="124">
        <f t="shared" si="53"/>
        <v>0</v>
      </c>
      <c r="DB45" s="123"/>
      <c r="DC45" s="124">
        <f t="shared" si="54"/>
        <v>0</v>
      </c>
      <c r="DD45" s="123"/>
      <c r="DE45" s="124">
        <f t="shared" si="54"/>
        <v>0</v>
      </c>
      <c r="DF45" s="177">
        <f t="shared" si="0"/>
        <v>0</v>
      </c>
      <c r="DG45" s="126">
        <f t="shared" si="55"/>
        <v>0</v>
      </c>
      <c r="DH45" s="123"/>
      <c r="DI45" s="124">
        <f t="shared" si="56"/>
        <v>0</v>
      </c>
      <c r="DJ45" s="123"/>
      <c r="DK45" s="124">
        <f t="shared" si="57"/>
        <v>0</v>
      </c>
      <c r="DL45" s="123"/>
      <c r="DM45" s="124">
        <f t="shared" si="58"/>
        <v>0</v>
      </c>
      <c r="DN45" s="123"/>
      <c r="DO45" s="124">
        <f t="shared" si="59"/>
        <v>0</v>
      </c>
      <c r="DP45" s="123"/>
      <c r="DQ45" s="124">
        <f t="shared" si="60"/>
        <v>0</v>
      </c>
      <c r="DR45" s="123"/>
      <c r="DS45" s="124">
        <f t="shared" si="61"/>
        <v>0</v>
      </c>
      <c r="DT45" s="123"/>
      <c r="DU45" s="124">
        <f t="shared" si="62"/>
        <v>0</v>
      </c>
      <c r="DV45" s="123"/>
      <c r="DW45" s="124">
        <f t="shared" si="63"/>
        <v>0</v>
      </c>
      <c r="DX45" s="123"/>
      <c r="DY45" s="124">
        <f t="shared" si="64"/>
        <v>0</v>
      </c>
      <c r="DZ45" s="123"/>
      <c r="EA45" s="124">
        <f t="shared" si="65"/>
        <v>0</v>
      </c>
      <c r="EB45" s="123"/>
      <c r="EC45" s="124">
        <f t="shared" si="66"/>
        <v>0</v>
      </c>
      <c r="ED45" s="123"/>
      <c r="EE45" s="124">
        <f t="shared" si="67"/>
        <v>0</v>
      </c>
      <c r="EF45" s="27">
        <f t="shared" si="1"/>
        <v>0</v>
      </c>
      <c r="EG45" s="124">
        <f t="shared" si="68"/>
        <v>0</v>
      </c>
    </row>
    <row r="46" spans="1:137" ht="18" customHeight="1" x14ac:dyDescent="0.5">
      <c r="A46" s="117">
        <v>39</v>
      </c>
      <c r="B46" s="122" t="s">
        <v>164</v>
      </c>
      <c r="C46" s="122" t="s">
        <v>231</v>
      </c>
      <c r="D46" s="117">
        <f t="shared" si="71"/>
        <v>21</v>
      </c>
      <c r="E46" s="117">
        <v>0.64</v>
      </c>
      <c r="F46" s="117" t="s">
        <v>236</v>
      </c>
      <c r="G46" s="117"/>
      <c r="H46" s="123"/>
      <c r="I46" s="124">
        <f t="shared" si="2"/>
        <v>0</v>
      </c>
      <c r="J46" s="123"/>
      <c r="K46" s="124">
        <f t="shared" si="3"/>
        <v>0</v>
      </c>
      <c r="L46" s="123"/>
      <c r="M46" s="124">
        <f t="shared" si="4"/>
        <v>0</v>
      </c>
      <c r="N46" s="123"/>
      <c r="O46" s="124">
        <f t="shared" si="5"/>
        <v>0</v>
      </c>
      <c r="P46" s="123"/>
      <c r="Q46" s="124">
        <f t="shared" si="6"/>
        <v>0</v>
      </c>
      <c r="R46" s="123"/>
      <c r="S46" s="124">
        <f t="shared" si="7"/>
        <v>0</v>
      </c>
      <c r="T46" s="123"/>
      <c r="U46" s="124">
        <f t="shared" si="8"/>
        <v>0</v>
      </c>
      <c r="V46" s="123"/>
      <c r="W46" s="124">
        <f t="shared" si="9"/>
        <v>0</v>
      </c>
      <c r="X46" s="123"/>
      <c r="Y46" s="124">
        <f t="shared" si="10"/>
        <v>0</v>
      </c>
      <c r="Z46" s="123"/>
      <c r="AA46" s="124">
        <f t="shared" si="11"/>
        <v>0</v>
      </c>
      <c r="AB46" s="123"/>
      <c r="AC46" s="124">
        <f t="shared" si="12"/>
        <v>0</v>
      </c>
      <c r="AD46" s="123"/>
      <c r="AE46" s="124">
        <f t="shared" si="13"/>
        <v>0</v>
      </c>
      <c r="AF46" s="125">
        <f t="shared" si="14"/>
        <v>0</v>
      </c>
      <c r="AG46" s="126">
        <f t="shared" si="15"/>
        <v>0</v>
      </c>
      <c r="AH46" s="11"/>
      <c r="AI46" s="124">
        <f t="shared" si="16"/>
        <v>0</v>
      </c>
      <c r="AJ46" s="15"/>
      <c r="AK46" s="124">
        <f t="shared" si="17"/>
        <v>0</v>
      </c>
      <c r="AL46" s="15"/>
      <c r="AM46" s="124">
        <f t="shared" si="18"/>
        <v>0</v>
      </c>
      <c r="AN46" s="16"/>
      <c r="AO46" s="124">
        <f t="shared" si="19"/>
        <v>0</v>
      </c>
      <c r="AP46" s="15"/>
      <c r="AQ46" s="124">
        <f t="shared" si="20"/>
        <v>0</v>
      </c>
      <c r="AR46" s="15"/>
      <c r="AS46" s="124">
        <f t="shared" si="21"/>
        <v>0</v>
      </c>
      <c r="AT46" s="17"/>
      <c r="AU46" s="124">
        <f t="shared" si="22"/>
        <v>0</v>
      </c>
      <c r="AV46" s="15"/>
      <c r="AW46" s="124">
        <f t="shared" si="23"/>
        <v>0</v>
      </c>
      <c r="AX46" s="15"/>
      <c r="AY46" s="124">
        <f t="shared" si="24"/>
        <v>0</v>
      </c>
      <c r="AZ46" s="17"/>
      <c r="BA46" s="124">
        <f t="shared" si="25"/>
        <v>0</v>
      </c>
      <c r="BB46" s="33"/>
      <c r="BC46" s="124">
        <f t="shared" si="26"/>
        <v>0</v>
      </c>
      <c r="BD46" s="33"/>
      <c r="BE46" s="124">
        <f t="shared" si="27"/>
        <v>0</v>
      </c>
      <c r="BF46" s="125">
        <f t="shared" si="28"/>
        <v>0</v>
      </c>
      <c r="BG46" s="126">
        <f t="shared" si="29"/>
        <v>0</v>
      </c>
      <c r="BH46" s="123"/>
      <c r="BI46" s="124">
        <f t="shared" si="30"/>
        <v>0</v>
      </c>
      <c r="BJ46" s="123"/>
      <c r="BK46" s="124">
        <f t="shared" si="31"/>
        <v>0</v>
      </c>
      <c r="BL46" s="123"/>
      <c r="BM46" s="124">
        <f t="shared" si="32"/>
        <v>0</v>
      </c>
      <c r="BN46" s="123"/>
      <c r="BO46" s="124">
        <f t="shared" si="33"/>
        <v>0</v>
      </c>
      <c r="BP46" s="123"/>
      <c r="BQ46" s="124">
        <f t="shared" si="34"/>
        <v>0</v>
      </c>
      <c r="BR46" s="123"/>
      <c r="BS46" s="124">
        <f t="shared" si="35"/>
        <v>0</v>
      </c>
      <c r="BT46" s="123"/>
      <c r="BU46" s="124">
        <f t="shared" si="36"/>
        <v>0</v>
      </c>
      <c r="BV46" s="123"/>
      <c r="BW46" s="124">
        <f t="shared" si="37"/>
        <v>0</v>
      </c>
      <c r="BX46" s="123"/>
      <c r="BY46" s="124">
        <f t="shared" si="38"/>
        <v>0</v>
      </c>
      <c r="BZ46" s="123"/>
      <c r="CA46" s="124">
        <f t="shared" si="39"/>
        <v>0</v>
      </c>
      <c r="CB46" s="123"/>
      <c r="CC46" s="124">
        <f t="shared" si="40"/>
        <v>0</v>
      </c>
      <c r="CD46" s="123"/>
      <c r="CE46" s="124">
        <f t="shared" si="41"/>
        <v>0</v>
      </c>
      <c r="CF46" s="125">
        <f t="shared" si="42"/>
        <v>0</v>
      </c>
      <c r="CG46" s="126">
        <f t="shared" si="43"/>
        <v>0</v>
      </c>
      <c r="CH46" s="123"/>
      <c r="CI46" s="124">
        <f t="shared" si="44"/>
        <v>0</v>
      </c>
      <c r="CJ46" s="123"/>
      <c r="CK46" s="124">
        <f t="shared" si="45"/>
        <v>0</v>
      </c>
      <c r="CL46" s="123"/>
      <c r="CM46" s="124">
        <f t="shared" si="46"/>
        <v>0</v>
      </c>
      <c r="CN46" s="123"/>
      <c r="CO46" s="124">
        <f t="shared" si="47"/>
        <v>0</v>
      </c>
      <c r="CP46" s="123"/>
      <c r="CQ46" s="124">
        <f t="shared" si="48"/>
        <v>0</v>
      </c>
      <c r="CR46" s="123"/>
      <c r="CS46" s="124">
        <f t="shared" si="49"/>
        <v>0</v>
      </c>
      <c r="CT46" s="123"/>
      <c r="CU46" s="124">
        <f t="shared" si="50"/>
        <v>0</v>
      </c>
      <c r="CV46" s="123"/>
      <c r="CW46" s="124">
        <f t="shared" si="51"/>
        <v>0</v>
      </c>
      <c r="CX46" s="123"/>
      <c r="CY46" s="124">
        <f t="shared" si="52"/>
        <v>0</v>
      </c>
      <c r="CZ46" s="123"/>
      <c r="DA46" s="124">
        <f t="shared" si="53"/>
        <v>0</v>
      </c>
      <c r="DB46" s="123"/>
      <c r="DC46" s="124">
        <f t="shared" si="54"/>
        <v>0</v>
      </c>
      <c r="DD46" s="123"/>
      <c r="DE46" s="124">
        <f t="shared" si="54"/>
        <v>0</v>
      </c>
      <c r="DF46" s="177">
        <f t="shared" si="0"/>
        <v>0</v>
      </c>
      <c r="DG46" s="126">
        <f t="shared" si="55"/>
        <v>0</v>
      </c>
      <c r="DH46" s="123"/>
      <c r="DI46" s="124">
        <f t="shared" si="56"/>
        <v>0</v>
      </c>
      <c r="DJ46" s="123"/>
      <c r="DK46" s="124">
        <f t="shared" si="57"/>
        <v>0</v>
      </c>
      <c r="DL46" s="123"/>
      <c r="DM46" s="124">
        <f t="shared" si="58"/>
        <v>0</v>
      </c>
      <c r="DN46" s="123"/>
      <c r="DO46" s="124">
        <f t="shared" si="59"/>
        <v>0</v>
      </c>
      <c r="DP46" s="123"/>
      <c r="DQ46" s="124">
        <f t="shared" si="60"/>
        <v>0</v>
      </c>
      <c r="DR46" s="123"/>
      <c r="DS46" s="124">
        <f t="shared" si="61"/>
        <v>0</v>
      </c>
      <c r="DT46" s="123"/>
      <c r="DU46" s="124">
        <f t="shared" si="62"/>
        <v>0</v>
      </c>
      <c r="DV46" s="123"/>
      <c r="DW46" s="124">
        <f t="shared" si="63"/>
        <v>0</v>
      </c>
      <c r="DX46" s="123"/>
      <c r="DY46" s="124">
        <f t="shared" si="64"/>
        <v>0</v>
      </c>
      <c r="DZ46" s="123"/>
      <c r="EA46" s="124">
        <f t="shared" si="65"/>
        <v>0</v>
      </c>
      <c r="EB46" s="123"/>
      <c r="EC46" s="124">
        <f t="shared" si="66"/>
        <v>0</v>
      </c>
      <c r="ED46" s="123"/>
      <c r="EE46" s="124">
        <f t="shared" si="67"/>
        <v>0</v>
      </c>
      <c r="EF46" s="27">
        <f t="shared" si="1"/>
        <v>0</v>
      </c>
      <c r="EG46" s="124">
        <f t="shared" si="68"/>
        <v>0</v>
      </c>
    </row>
    <row r="47" spans="1:137" ht="18" customHeight="1" x14ac:dyDescent="0.5">
      <c r="A47" s="117">
        <v>40</v>
      </c>
      <c r="B47" s="122" t="s">
        <v>164</v>
      </c>
      <c r="C47" s="122" t="s">
        <v>231</v>
      </c>
      <c r="D47" s="117">
        <f t="shared" si="71"/>
        <v>21</v>
      </c>
      <c r="E47" s="117">
        <v>0.64</v>
      </c>
      <c r="F47" s="117" t="s">
        <v>236</v>
      </c>
      <c r="G47" s="117"/>
      <c r="H47" s="123"/>
      <c r="I47" s="124">
        <f t="shared" si="2"/>
        <v>0</v>
      </c>
      <c r="J47" s="123"/>
      <c r="K47" s="124">
        <f t="shared" si="3"/>
        <v>0</v>
      </c>
      <c r="L47" s="123"/>
      <c r="M47" s="124">
        <f t="shared" si="4"/>
        <v>0</v>
      </c>
      <c r="N47" s="123"/>
      <c r="O47" s="124">
        <f t="shared" si="5"/>
        <v>0</v>
      </c>
      <c r="P47" s="123"/>
      <c r="Q47" s="124">
        <f t="shared" si="6"/>
        <v>0</v>
      </c>
      <c r="R47" s="123"/>
      <c r="S47" s="124">
        <f t="shared" si="7"/>
        <v>0</v>
      </c>
      <c r="T47" s="123"/>
      <c r="U47" s="124">
        <f t="shared" si="8"/>
        <v>0</v>
      </c>
      <c r="V47" s="123"/>
      <c r="W47" s="124">
        <f t="shared" si="9"/>
        <v>0</v>
      </c>
      <c r="X47" s="123"/>
      <c r="Y47" s="124">
        <f t="shared" si="10"/>
        <v>0</v>
      </c>
      <c r="Z47" s="123"/>
      <c r="AA47" s="124">
        <f t="shared" si="11"/>
        <v>0</v>
      </c>
      <c r="AB47" s="123"/>
      <c r="AC47" s="124">
        <f t="shared" si="12"/>
        <v>0</v>
      </c>
      <c r="AD47" s="123"/>
      <c r="AE47" s="124">
        <f t="shared" si="13"/>
        <v>0</v>
      </c>
      <c r="AF47" s="125">
        <f t="shared" si="14"/>
        <v>0</v>
      </c>
      <c r="AG47" s="126">
        <f t="shared" si="15"/>
        <v>0</v>
      </c>
      <c r="AH47" s="11"/>
      <c r="AI47" s="124">
        <f t="shared" si="16"/>
        <v>0</v>
      </c>
      <c r="AJ47" s="15"/>
      <c r="AK47" s="124">
        <f t="shared" si="17"/>
        <v>0</v>
      </c>
      <c r="AL47" s="15"/>
      <c r="AM47" s="124">
        <f t="shared" si="18"/>
        <v>0</v>
      </c>
      <c r="AN47" s="16"/>
      <c r="AO47" s="124">
        <f t="shared" si="19"/>
        <v>0</v>
      </c>
      <c r="AP47" s="15"/>
      <c r="AQ47" s="124">
        <f t="shared" si="20"/>
        <v>0</v>
      </c>
      <c r="AR47" s="15"/>
      <c r="AS47" s="124">
        <f t="shared" si="21"/>
        <v>0</v>
      </c>
      <c r="AT47" s="17"/>
      <c r="AU47" s="124">
        <f t="shared" si="22"/>
        <v>0</v>
      </c>
      <c r="AV47" s="15"/>
      <c r="AW47" s="124">
        <f t="shared" si="23"/>
        <v>0</v>
      </c>
      <c r="AX47" s="15"/>
      <c r="AY47" s="124">
        <f t="shared" si="24"/>
        <v>0</v>
      </c>
      <c r="AZ47" s="17"/>
      <c r="BA47" s="124">
        <f t="shared" si="25"/>
        <v>0</v>
      </c>
      <c r="BB47" s="33"/>
      <c r="BC47" s="124">
        <f t="shared" si="26"/>
        <v>0</v>
      </c>
      <c r="BD47" s="33"/>
      <c r="BE47" s="124">
        <f t="shared" si="27"/>
        <v>0</v>
      </c>
      <c r="BF47" s="125">
        <f t="shared" si="28"/>
        <v>0</v>
      </c>
      <c r="BG47" s="126">
        <f t="shared" si="29"/>
        <v>0</v>
      </c>
      <c r="BH47" s="123"/>
      <c r="BI47" s="124">
        <f t="shared" si="30"/>
        <v>0</v>
      </c>
      <c r="BJ47" s="123"/>
      <c r="BK47" s="124">
        <f t="shared" si="31"/>
        <v>0</v>
      </c>
      <c r="BL47" s="123"/>
      <c r="BM47" s="124">
        <f t="shared" si="32"/>
        <v>0</v>
      </c>
      <c r="BN47" s="123"/>
      <c r="BO47" s="124">
        <f t="shared" si="33"/>
        <v>0</v>
      </c>
      <c r="BP47" s="123"/>
      <c r="BQ47" s="124">
        <f t="shared" si="34"/>
        <v>0</v>
      </c>
      <c r="BR47" s="123"/>
      <c r="BS47" s="124">
        <f t="shared" si="35"/>
        <v>0</v>
      </c>
      <c r="BT47" s="123"/>
      <c r="BU47" s="124">
        <f t="shared" si="36"/>
        <v>0</v>
      </c>
      <c r="BV47" s="123"/>
      <c r="BW47" s="124">
        <f t="shared" si="37"/>
        <v>0</v>
      </c>
      <c r="BX47" s="123"/>
      <c r="BY47" s="124">
        <f t="shared" si="38"/>
        <v>0</v>
      </c>
      <c r="BZ47" s="123"/>
      <c r="CA47" s="124">
        <f t="shared" si="39"/>
        <v>0</v>
      </c>
      <c r="CB47" s="123"/>
      <c r="CC47" s="124">
        <f t="shared" si="40"/>
        <v>0</v>
      </c>
      <c r="CD47" s="123"/>
      <c r="CE47" s="124">
        <f t="shared" si="41"/>
        <v>0</v>
      </c>
      <c r="CF47" s="125">
        <f t="shared" si="42"/>
        <v>0</v>
      </c>
      <c r="CG47" s="126">
        <f t="shared" si="43"/>
        <v>0</v>
      </c>
      <c r="CH47" s="123"/>
      <c r="CI47" s="124">
        <f t="shared" si="44"/>
        <v>0</v>
      </c>
      <c r="CJ47" s="123"/>
      <c r="CK47" s="124">
        <f t="shared" si="45"/>
        <v>0</v>
      </c>
      <c r="CL47" s="123"/>
      <c r="CM47" s="124">
        <f t="shared" si="46"/>
        <v>0</v>
      </c>
      <c r="CN47" s="123"/>
      <c r="CO47" s="124">
        <f t="shared" si="47"/>
        <v>0</v>
      </c>
      <c r="CP47" s="123"/>
      <c r="CQ47" s="124">
        <f t="shared" si="48"/>
        <v>0</v>
      </c>
      <c r="CR47" s="123"/>
      <c r="CS47" s="124">
        <f t="shared" si="49"/>
        <v>0</v>
      </c>
      <c r="CT47" s="123"/>
      <c r="CU47" s="124">
        <f t="shared" si="50"/>
        <v>0</v>
      </c>
      <c r="CV47" s="123"/>
      <c r="CW47" s="124">
        <f t="shared" si="51"/>
        <v>0</v>
      </c>
      <c r="CX47" s="123"/>
      <c r="CY47" s="124">
        <f t="shared" si="52"/>
        <v>0</v>
      </c>
      <c r="CZ47" s="123"/>
      <c r="DA47" s="124">
        <f t="shared" si="53"/>
        <v>0</v>
      </c>
      <c r="DB47" s="123"/>
      <c r="DC47" s="124">
        <f t="shared" si="54"/>
        <v>0</v>
      </c>
      <c r="DD47" s="123"/>
      <c r="DE47" s="124">
        <f t="shared" si="54"/>
        <v>0</v>
      </c>
      <c r="DF47" s="177">
        <f t="shared" si="0"/>
        <v>0</v>
      </c>
      <c r="DG47" s="126">
        <f t="shared" si="55"/>
        <v>0</v>
      </c>
      <c r="DH47" s="123"/>
      <c r="DI47" s="124">
        <f t="shared" si="56"/>
        <v>0</v>
      </c>
      <c r="DJ47" s="123"/>
      <c r="DK47" s="124">
        <f t="shared" si="57"/>
        <v>0</v>
      </c>
      <c r="DL47" s="123"/>
      <c r="DM47" s="124">
        <f t="shared" si="58"/>
        <v>0</v>
      </c>
      <c r="DN47" s="123"/>
      <c r="DO47" s="124">
        <f t="shared" si="59"/>
        <v>0</v>
      </c>
      <c r="DP47" s="123"/>
      <c r="DQ47" s="124">
        <f t="shared" si="60"/>
        <v>0</v>
      </c>
      <c r="DR47" s="123"/>
      <c r="DS47" s="124">
        <f t="shared" si="61"/>
        <v>0</v>
      </c>
      <c r="DT47" s="123"/>
      <c r="DU47" s="124">
        <f t="shared" si="62"/>
        <v>0</v>
      </c>
      <c r="DV47" s="123"/>
      <c r="DW47" s="124">
        <f t="shared" si="63"/>
        <v>0</v>
      </c>
      <c r="DX47" s="123"/>
      <c r="DY47" s="124">
        <f t="shared" si="64"/>
        <v>0</v>
      </c>
      <c r="DZ47" s="123"/>
      <c r="EA47" s="124">
        <f t="shared" si="65"/>
        <v>0</v>
      </c>
      <c r="EB47" s="123"/>
      <c r="EC47" s="124">
        <f t="shared" si="66"/>
        <v>0</v>
      </c>
      <c r="ED47" s="123"/>
      <c r="EE47" s="124">
        <f t="shared" si="67"/>
        <v>0</v>
      </c>
      <c r="EF47" s="27">
        <f t="shared" si="1"/>
        <v>0</v>
      </c>
      <c r="EG47" s="124">
        <f t="shared" si="68"/>
        <v>0</v>
      </c>
    </row>
    <row r="48" spans="1:137" ht="18" customHeight="1" x14ac:dyDescent="0.5">
      <c r="A48" s="117"/>
      <c r="B48" s="122"/>
      <c r="C48" s="122"/>
      <c r="D48" s="117"/>
      <c r="E48" s="117"/>
      <c r="F48" s="117"/>
      <c r="G48" s="117"/>
      <c r="H48" s="123"/>
      <c r="I48" s="124">
        <f t="shared" si="2"/>
        <v>0</v>
      </c>
      <c r="J48" s="123"/>
      <c r="K48" s="124">
        <f t="shared" si="3"/>
        <v>0</v>
      </c>
      <c r="L48" s="123"/>
      <c r="M48" s="124">
        <f t="shared" si="4"/>
        <v>0</v>
      </c>
      <c r="N48" s="123"/>
      <c r="O48" s="124">
        <f t="shared" si="5"/>
        <v>0</v>
      </c>
      <c r="P48" s="123"/>
      <c r="Q48" s="124">
        <f t="shared" si="6"/>
        <v>0</v>
      </c>
      <c r="R48" s="123"/>
      <c r="S48" s="124">
        <f t="shared" si="7"/>
        <v>0</v>
      </c>
      <c r="T48" s="123"/>
      <c r="U48" s="124">
        <f t="shared" si="8"/>
        <v>0</v>
      </c>
      <c r="V48" s="123"/>
      <c r="W48" s="124">
        <f t="shared" si="9"/>
        <v>0</v>
      </c>
      <c r="X48" s="123"/>
      <c r="Y48" s="124">
        <f t="shared" si="10"/>
        <v>0</v>
      </c>
      <c r="Z48" s="123"/>
      <c r="AA48" s="124">
        <f t="shared" si="11"/>
        <v>0</v>
      </c>
      <c r="AB48" s="123"/>
      <c r="AC48" s="124">
        <f t="shared" si="12"/>
        <v>0</v>
      </c>
      <c r="AD48" s="123"/>
      <c r="AE48" s="124">
        <f t="shared" si="13"/>
        <v>0</v>
      </c>
      <c r="AF48" s="125">
        <f t="shared" si="14"/>
        <v>0</v>
      </c>
      <c r="AG48" s="126">
        <f t="shared" si="15"/>
        <v>0</v>
      </c>
      <c r="AH48" s="11"/>
      <c r="AI48" s="124">
        <f t="shared" si="16"/>
        <v>0</v>
      </c>
      <c r="AJ48" s="15"/>
      <c r="AK48" s="124">
        <f t="shared" si="17"/>
        <v>0</v>
      </c>
      <c r="AL48" s="15"/>
      <c r="AM48" s="124">
        <f t="shared" si="18"/>
        <v>0</v>
      </c>
      <c r="AN48" s="16"/>
      <c r="AO48" s="124">
        <f t="shared" si="19"/>
        <v>0</v>
      </c>
      <c r="AP48" s="15"/>
      <c r="AQ48" s="124">
        <f t="shared" si="20"/>
        <v>0</v>
      </c>
      <c r="AR48" s="15"/>
      <c r="AS48" s="124">
        <f t="shared" si="21"/>
        <v>0</v>
      </c>
      <c r="AT48" s="17"/>
      <c r="AU48" s="124">
        <f t="shared" si="22"/>
        <v>0</v>
      </c>
      <c r="AV48" s="15"/>
      <c r="AW48" s="124">
        <f t="shared" si="23"/>
        <v>0</v>
      </c>
      <c r="AX48" s="15"/>
      <c r="AY48" s="124">
        <f t="shared" si="24"/>
        <v>0</v>
      </c>
      <c r="AZ48" s="17"/>
      <c r="BA48" s="124">
        <f t="shared" si="25"/>
        <v>0</v>
      </c>
      <c r="BB48" s="33"/>
      <c r="BC48" s="124">
        <f t="shared" si="26"/>
        <v>0</v>
      </c>
      <c r="BD48" s="33"/>
      <c r="BE48" s="124">
        <f t="shared" si="27"/>
        <v>0</v>
      </c>
      <c r="BF48" s="125">
        <f t="shared" si="28"/>
        <v>0</v>
      </c>
      <c r="BG48" s="126">
        <f t="shared" si="29"/>
        <v>0</v>
      </c>
      <c r="BH48" s="123"/>
      <c r="BI48" s="124">
        <f t="shared" si="30"/>
        <v>0</v>
      </c>
      <c r="BJ48" s="123"/>
      <c r="BK48" s="124">
        <f t="shared" si="31"/>
        <v>0</v>
      </c>
      <c r="BL48" s="123"/>
      <c r="BM48" s="124">
        <f t="shared" si="32"/>
        <v>0</v>
      </c>
      <c r="BN48" s="123"/>
      <c r="BO48" s="124">
        <f t="shared" si="33"/>
        <v>0</v>
      </c>
      <c r="BP48" s="123"/>
      <c r="BQ48" s="124">
        <f t="shared" si="34"/>
        <v>0</v>
      </c>
      <c r="BR48" s="123"/>
      <c r="BS48" s="124">
        <f t="shared" si="35"/>
        <v>0</v>
      </c>
      <c r="BT48" s="123"/>
      <c r="BU48" s="124">
        <f t="shared" si="36"/>
        <v>0</v>
      </c>
      <c r="BV48" s="123"/>
      <c r="BW48" s="124">
        <f t="shared" si="37"/>
        <v>0</v>
      </c>
      <c r="BX48" s="123"/>
      <c r="BY48" s="124">
        <f t="shared" si="38"/>
        <v>0</v>
      </c>
      <c r="BZ48" s="123"/>
      <c r="CA48" s="124">
        <f t="shared" si="39"/>
        <v>0</v>
      </c>
      <c r="CB48" s="123"/>
      <c r="CC48" s="124">
        <f t="shared" si="40"/>
        <v>0</v>
      </c>
      <c r="CD48" s="123"/>
      <c r="CE48" s="124">
        <f t="shared" si="41"/>
        <v>0</v>
      </c>
      <c r="CF48" s="125">
        <f t="shared" si="42"/>
        <v>0</v>
      </c>
      <c r="CG48" s="126">
        <f t="shared" si="43"/>
        <v>0</v>
      </c>
      <c r="CH48" s="123"/>
      <c r="CI48" s="124">
        <f t="shared" si="44"/>
        <v>0</v>
      </c>
      <c r="CJ48" s="123"/>
      <c r="CK48" s="124">
        <f t="shared" si="45"/>
        <v>0</v>
      </c>
      <c r="CL48" s="123"/>
      <c r="CM48" s="124">
        <f t="shared" si="46"/>
        <v>0</v>
      </c>
      <c r="CN48" s="123"/>
      <c r="CO48" s="124">
        <f t="shared" si="47"/>
        <v>0</v>
      </c>
      <c r="CP48" s="123"/>
      <c r="CQ48" s="124">
        <f t="shared" si="48"/>
        <v>0</v>
      </c>
      <c r="CR48" s="123"/>
      <c r="CS48" s="124">
        <f t="shared" si="49"/>
        <v>0</v>
      </c>
      <c r="CT48" s="123"/>
      <c r="CU48" s="124">
        <f t="shared" si="50"/>
        <v>0</v>
      </c>
      <c r="CV48" s="123"/>
      <c r="CW48" s="124">
        <f t="shared" si="51"/>
        <v>0</v>
      </c>
      <c r="CX48" s="123"/>
      <c r="CY48" s="124">
        <f t="shared" si="52"/>
        <v>0</v>
      </c>
      <c r="CZ48" s="123"/>
      <c r="DA48" s="124">
        <f t="shared" si="53"/>
        <v>0</v>
      </c>
      <c r="DB48" s="123"/>
      <c r="DC48" s="124">
        <f t="shared" si="54"/>
        <v>0</v>
      </c>
      <c r="DD48" s="123"/>
      <c r="DE48" s="124">
        <f t="shared" si="54"/>
        <v>0</v>
      </c>
      <c r="DF48" s="177">
        <f t="shared" si="0"/>
        <v>0</v>
      </c>
      <c r="DG48" s="126">
        <f t="shared" si="55"/>
        <v>0</v>
      </c>
      <c r="DH48" s="123"/>
      <c r="DI48" s="124">
        <f t="shared" si="56"/>
        <v>0</v>
      </c>
      <c r="DJ48" s="123"/>
      <c r="DK48" s="124">
        <f t="shared" si="57"/>
        <v>0</v>
      </c>
      <c r="DL48" s="123"/>
      <c r="DM48" s="124">
        <f t="shared" si="58"/>
        <v>0</v>
      </c>
      <c r="DN48" s="123"/>
      <c r="DO48" s="124">
        <f t="shared" si="59"/>
        <v>0</v>
      </c>
      <c r="DP48" s="123"/>
      <c r="DQ48" s="124">
        <f t="shared" si="60"/>
        <v>0</v>
      </c>
      <c r="DR48" s="123"/>
      <c r="DS48" s="124">
        <f t="shared" si="61"/>
        <v>0</v>
      </c>
      <c r="DT48" s="123"/>
      <c r="DU48" s="124">
        <f t="shared" si="62"/>
        <v>0</v>
      </c>
      <c r="DV48" s="123"/>
      <c r="DW48" s="124">
        <f t="shared" si="63"/>
        <v>0</v>
      </c>
      <c r="DX48" s="123"/>
      <c r="DY48" s="124">
        <f t="shared" si="64"/>
        <v>0</v>
      </c>
      <c r="DZ48" s="123"/>
      <c r="EA48" s="124">
        <f t="shared" si="65"/>
        <v>0</v>
      </c>
      <c r="EB48" s="123"/>
      <c r="EC48" s="124">
        <f t="shared" si="66"/>
        <v>0</v>
      </c>
      <c r="ED48" s="123"/>
      <c r="EE48" s="124">
        <f t="shared" si="67"/>
        <v>0</v>
      </c>
      <c r="EF48" s="27">
        <f t="shared" si="1"/>
        <v>0</v>
      </c>
      <c r="EG48" s="124">
        <f t="shared" si="68"/>
        <v>0</v>
      </c>
    </row>
    <row r="49" spans="1:137" ht="18" customHeight="1" x14ac:dyDescent="0.5">
      <c r="A49" s="117">
        <v>41</v>
      </c>
      <c r="B49" s="122" t="s">
        <v>165</v>
      </c>
      <c r="C49" s="122" t="s">
        <v>233</v>
      </c>
      <c r="D49" s="117">
        <f>RANK(DF49,$DF$4:$DF$147)</f>
        <v>21</v>
      </c>
      <c r="E49" s="117">
        <v>1</v>
      </c>
      <c r="F49" s="117" t="s">
        <v>232</v>
      </c>
      <c r="G49" s="117"/>
      <c r="H49" s="123"/>
      <c r="I49" s="124">
        <f t="shared" si="2"/>
        <v>0</v>
      </c>
      <c r="J49" s="123"/>
      <c r="K49" s="124">
        <f t="shared" si="3"/>
        <v>0</v>
      </c>
      <c r="L49" s="123"/>
      <c r="M49" s="124">
        <f t="shared" si="4"/>
        <v>0</v>
      </c>
      <c r="N49" s="123"/>
      <c r="O49" s="124">
        <f t="shared" si="5"/>
        <v>0</v>
      </c>
      <c r="P49" s="123"/>
      <c r="Q49" s="124">
        <f t="shared" si="6"/>
        <v>0</v>
      </c>
      <c r="R49" s="123"/>
      <c r="S49" s="124">
        <f t="shared" si="7"/>
        <v>0</v>
      </c>
      <c r="T49" s="123"/>
      <c r="U49" s="124">
        <f t="shared" si="8"/>
        <v>0</v>
      </c>
      <c r="V49" s="123"/>
      <c r="W49" s="124">
        <f t="shared" si="9"/>
        <v>0</v>
      </c>
      <c r="X49" s="123"/>
      <c r="Y49" s="124">
        <f t="shared" si="10"/>
        <v>0</v>
      </c>
      <c r="Z49" s="123"/>
      <c r="AA49" s="124">
        <f t="shared" si="11"/>
        <v>0</v>
      </c>
      <c r="AB49" s="123"/>
      <c r="AC49" s="124">
        <f t="shared" si="12"/>
        <v>0</v>
      </c>
      <c r="AD49" s="123"/>
      <c r="AE49" s="124">
        <f t="shared" si="13"/>
        <v>0</v>
      </c>
      <c r="AF49" s="125">
        <f t="shared" si="14"/>
        <v>0</v>
      </c>
      <c r="AG49" s="126">
        <f t="shared" si="15"/>
        <v>0</v>
      </c>
      <c r="AH49" s="11"/>
      <c r="AI49" s="124">
        <f t="shared" si="16"/>
        <v>0</v>
      </c>
      <c r="AJ49" s="15"/>
      <c r="AK49" s="124">
        <f t="shared" si="17"/>
        <v>0</v>
      </c>
      <c r="AL49" s="15"/>
      <c r="AM49" s="124">
        <f t="shared" si="18"/>
        <v>0</v>
      </c>
      <c r="AN49" s="16"/>
      <c r="AO49" s="124">
        <f t="shared" si="19"/>
        <v>0</v>
      </c>
      <c r="AP49" s="15"/>
      <c r="AQ49" s="124">
        <f t="shared" si="20"/>
        <v>0</v>
      </c>
      <c r="AR49" s="15"/>
      <c r="AS49" s="124">
        <f t="shared" si="21"/>
        <v>0</v>
      </c>
      <c r="AT49" s="17"/>
      <c r="AU49" s="124">
        <f t="shared" si="22"/>
        <v>0</v>
      </c>
      <c r="AV49" s="15"/>
      <c r="AW49" s="124">
        <f t="shared" si="23"/>
        <v>0</v>
      </c>
      <c r="AX49" s="15"/>
      <c r="AY49" s="124">
        <f t="shared" si="24"/>
        <v>0</v>
      </c>
      <c r="AZ49" s="17"/>
      <c r="BA49" s="124">
        <f t="shared" si="25"/>
        <v>0</v>
      </c>
      <c r="BB49" s="33"/>
      <c r="BC49" s="124">
        <f t="shared" si="26"/>
        <v>0</v>
      </c>
      <c r="BD49" s="33"/>
      <c r="BE49" s="124">
        <f t="shared" si="27"/>
        <v>0</v>
      </c>
      <c r="BF49" s="125">
        <f t="shared" si="28"/>
        <v>0</v>
      </c>
      <c r="BG49" s="126">
        <f t="shared" si="29"/>
        <v>0</v>
      </c>
      <c r="BH49" s="123"/>
      <c r="BI49" s="124">
        <f t="shared" si="30"/>
        <v>0</v>
      </c>
      <c r="BJ49" s="123"/>
      <c r="BK49" s="124">
        <f t="shared" si="31"/>
        <v>0</v>
      </c>
      <c r="BL49" s="123"/>
      <c r="BM49" s="124">
        <f t="shared" si="32"/>
        <v>0</v>
      </c>
      <c r="BN49" s="123"/>
      <c r="BO49" s="124">
        <f t="shared" si="33"/>
        <v>0</v>
      </c>
      <c r="BP49" s="123"/>
      <c r="BQ49" s="124">
        <f t="shared" si="34"/>
        <v>0</v>
      </c>
      <c r="BR49" s="123"/>
      <c r="BS49" s="124">
        <f t="shared" si="35"/>
        <v>0</v>
      </c>
      <c r="BT49" s="123"/>
      <c r="BU49" s="124">
        <f t="shared" si="36"/>
        <v>0</v>
      </c>
      <c r="BV49" s="123"/>
      <c r="BW49" s="124">
        <f t="shared" si="37"/>
        <v>0</v>
      </c>
      <c r="BX49" s="123"/>
      <c r="BY49" s="124">
        <f t="shared" si="38"/>
        <v>0</v>
      </c>
      <c r="BZ49" s="123"/>
      <c r="CA49" s="124">
        <f t="shared" si="39"/>
        <v>0</v>
      </c>
      <c r="CB49" s="123"/>
      <c r="CC49" s="124">
        <f t="shared" si="40"/>
        <v>0</v>
      </c>
      <c r="CD49" s="123"/>
      <c r="CE49" s="124">
        <f t="shared" si="41"/>
        <v>0</v>
      </c>
      <c r="CF49" s="125">
        <f t="shared" si="42"/>
        <v>0</v>
      </c>
      <c r="CG49" s="126">
        <f t="shared" si="43"/>
        <v>0</v>
      </c>
      <c r="CH49" s="123"/>
      <c r="CI49" s="124">
        <f t="shared" si="44"/>
        <v>0</v>
      </c>
      <c r="CJ49" s="123"/>
      <c r="CK49" s="124">
        <f t="shared" si="45"/>
        <v>0</v>
      </c>
      <c r="CL49" s="123"/>
      <c r="CM49" s="124">
        <f t="shared" si="46"/>
        <v>0</v>
      </c>
      <c r="CN49" s="123"/>
      <c r="CO49" s="124">
        <f t="shared" si="47"/>
        <v>0</v>
      </c>
      <c r="CP49" s="123"/>
      <c r="CQ49" s="124">
        <f t="shared" si="48"/>
        <v>0</v>
      </c>
      <c r="CR49" s="123"/>
      <c r="CS49" s="124">
        <f t="shared" si="49"/>
        <v>0</v>
      </c>
      <c r="CT49" s="123"/>
      <c r="CU49" s="124">
        <f t="shared" si="50"/>
        <v>0</v>
      </c>
      <c r="CV49" s="123"/>
      <c r="CW49" s="124">
        <f t="shared" si="51"/>
        <v>0</v>
      </c>
      <c r="CX49" s="123"/>
      <c r="CY49" s="124">
        <f t="shared" si="52"/>
        <v>0</v>
      </c>
      <c r="CZ49" s="123"/>
      <c r="DA49" s="124">
        <f t="shared" si="53"/>
        <v>0</v>
      </c>
      <c r="DB49" s="123"/>
      <c r="DC49" s="124">
        <f t="shared" si="54"/>
        <v>0</v>
      </c>
      <c r="DD49" s="123"/>
      <c r="DE49" s="124">
        <f t="shared" si="54"/>
        <v>0</v>
      </c>
      <c r="DF49" s="177">
        <f t="shared" si="0"/>
        <v>0</v>
      </c>
      <c r="DG49" s="126">
        <f t="shared" si="55"/>
        <v>0</v>
      </c>
      <c r="DH49" s="123"/>
      <c r="DI49" s="124">
        <f t="shared" si="56"/>
        <v>0</v>
      </c>
      <c r="DJ49" s="123"/>
      <c r="DK49" s="124">
        <f t="shared" si="57"/>
        <v>0</v>
      </c>
      <c r="DL49" s="123"/>
      <c r="DM49" s="124">
        <f t="shared" si="58"/>
        <v>0</v>
      </c>
      <c r="DN49" s="123"/>
      <c r="DO49" s="124">
        <f t="shared" si="59"/>
        <v>0</v>
      </c>
      <c r="DP49" s="123"/>
      <c r="DQ49" s="124">
        <f t="shared" si="60"/>
        <v>0</v>
      </c>
      <c r="DR49" s="123"/>
      <c r="DS49" s="124">
        <f t="shared" si="61"/>
        <v>0</v>
      </c>
      <c r="DT49" s="123"/>
      <c r="DU49" s="124">
        <f t="shared" si="62"/>
        <v>0</v>
      </c>
      <c r="DV49" s="123"/>
      <c r="DW49" s="124">
        <f t="shared" si="63"/>
        <v>0</v>
      </c>
      <c r="DX49" s="123"/>
      <c r="DY49" s="124">
        <f t="shared" si="64"/>
        <v>0</v>
      </c>
      <c r="DZ49" s="123"/>
      <c r="EA49" s="124">
        <f t="shared" si="65"/>
        <v>0</v>
      </c>
      <c r="EB49" s="123"/>
      <c r="EC49" s="124">
        <f t="shared" si="66"/>
        <v>0</v>
      </c>
      <c r="ED49" s="123"/>
      <c r="EE49" s="124">
        <f t="shared" si="67"/>
        <v>0</v>
      </c>
      <c r="EF49" s="27">
        <f t="shared" si="1"/>
        <v>0</v>
      </c>
      <c r="EG49" s="124">
        <f t="shared" si="68"/>
        <v>0</v>
      </c>
    </row>
    <row r="50" spans="1:137" ht="18" customHeight="1" x14ac:dyDescent="0.5">
      <c r="A50" s="117">
        <v>42</v>
      </c>
      <c r="B50" s="122" t="s">
        <v>165</v>
      </c>
      <c r="C50" s="122" t="s">
        <v>233</v>
      </c>
      <c r="D50" s="117">
        <f>RANK(DF50,$DF$4:$DF$147)</f>
        <v>21</v>
      </c>
      <c r="E50" s="117">
        <v>1</v>
      </c>
      <c r="F50" s="117" t="s">
        <v>235</v>
      </c>
      <c r="G50" s="117"/>
      <c r="H50" s="123"/>
      <c r="I50" s="124">
        <f t="shared" si="2"/>
        <v>0</v>
      </c>
      <c r="J50" s="123"/>
      <c r="K50" s="124">
        <f t="shared" si="3"/>
        <v>0</v>
      </c>
      <c r="L50" s="123"/>
      <c r="M50" s="124">
        <f t="shared" si="4"/>
        <v>0</v>
      </c>
      <c r="N50" s="123"/>
      <c r="O50" s="124">
        <f t="shared" si="5"/>
        <v>0</v>
      </c>
      <c r="P50" s="123"/>
      <c r="Q50" s="124">
        <f t="shared" si="6"/>
        <v>0</v>
      </c>
      <c r="R50" s="123"/>
      <c r="S50" s="124">
        <f t="shared" si="7"/>
        <v>0</v>
      </c>
      <c r="T50" s="123"/>
      <c r="U50" s="124">
        <f t="shared" si="8"/>
        <v>0</v>
      </c>
      <c r="V50" s="123"/>
      <c r="W50" s="124">
        <f t="shared" si="9"/>
        <v>0</v>
      </c>
      <c r="X50" s="123"/>
      <c r="Y50" s="124">
        <f t="shared" si="10"/>
        <v>0</v>
      </c>
      <c r="Z50" s="123"/>
      <c r="AA50" s="124">
        <f t="shared" si="11"/>
        <v>0</v>
      </c>
      <c r="AB50" s="123"/>
      <c r="AC50" s="124">
        <f t="shared" si="12"/>
        <v>0</v>
      </c>
      <c r="AD50" s="123"/>
      <c r="AE50" s="124">
        <f t="shared" si="13"/>
        <v>0</v>
      </c>
      <c r="AF50" s="125">
        <f t="shared" si="14"/>
        <v>0</v>
      </c>
      <c r="AG50" s="126">
        <f t="shared" si="15"/>
        <v>0</v>
      </c>
      <c r="AH50" s="11"/>
      <c r="AI50" s="124">
        <f t="shared" si="16"/>
        <v>0</v>
      </c>
      <c r="AJ50" s="15"/>
      <c r="AK50" s="124">
        <f t="shared" si="17"/>
        <v>0</v>
      </c>
      <c r="AL50" s="15"/>
      <c r="AM50" s="124">
        <f t="shared" si="18"/>
        <v>0</v>
      </c>
      <c r="AN50" s="16"/>
      <c r="AO50" s="124">
        <f t="shared" si="19"/>
        <v>0</v>
      </c>
      <c r="AP50" s="15"/>
      <c r="AQ50" s="124">
        <f t="shared" si="20"/>
        <v>0</v>
      </c>
      <c r="AR50" s="15"/>
      <c r="AS50" s="124">
        <f t="shared" si="21"/>
        <v>0</v>
      </c>
      <c r="AT50" s="17"/>
      <c r="AU50" s="124">
        <f t="shared" si="22"/>
        <v>0</v>
      </c>
      <c r="AV50" s="15"/>
      <c r="AW50" s="124">
        <f t="shared" si="23"/>
        <v>0</v>
      </c>
      <c r="AX50" s="15"/>
      <c r="AY50" s="124">
        <f t="shared" si="24"/>
        <v>0</v>
      </c>
      <c r="AZ50" s="17"/>
      <c r="BA50" s="124">
        <f t="shared" si="25"/>
        <v>0</v>
      </c>
      <c r="BB50" s="33"/>
      <c r="BC50" s="124">
        <f t="shared" si="26"/>
        <v>0</v>
      </c>
      <c r="BD50" s="33"/>
      <c r="BE50" s="124">
        <f t="shared" si="27"/>
        <v>0</v>
      </c>
      <c r="BF50" s="125">
        <f t="shared" si="28"/>
        <v>0</v>
      </c>
      <c r="BG50" s="126">
        <f t="shared" si="29"/>
        <v>0</v>
      </c>
      <c r="BH50" s="123"/>
      <c r="BI50" s="124">
        <f t="shared" si="30"/>
        <v>0</v>
      </c>
      <c r="BJ50" s="123"/>
      <c r="BK50" s="124">
        <f t="shared" si="31"/>
        <v>0</v>
      </c>
      <c r="BL50" s="123"/>
      <c r="BM50" s="124">
        <f t="shared" si="32"/>
        <v>0</v>
      </c>
      <c r="BN50" s="123"/>
      <c r="BO50" s="124">
        <f t="shared" si="33"/>
        <v>0</v>
      </c>
      <c r="BP50" s="123"/>
      <c r="BQ50" s="124">
        <f t="shared" si="34"/>
        <v>0</v>
      </c>
      <c r="BR50" s="123"/>
      <c r="BS50" s="124">
        <f t="shared" si="35"/>
        <v>0</v>
      </c>
      <c r="BT50" s="123"/>
      <c r="BU50" s="124">
        <f t="shared" si="36"/>
        <v>0</v>
      </c>
      <c r="BV50" s="123"/>
      <c r="BW50" s="124">
        <f t="shared" si="37"/>
        <v>0</v>
      </c>
      <c r="BX50" s="123"/>
      <c r="BY50" s="124">
        <f t="shared" si="38"/>
        <v>0</v>
      </c>
      <c r="BZ50" s="123"/>
      <c r="CA50" s="124">
        <f t="shared" si="39"/>
        <v>0</v>
      </c>
      <c r="CB50" s="123"/>
      <c r="CC50" s="124">
        <f t="shared" si="40"/>
        <v>0</v>
      </c>
      <c r="CD50" s="123"/>
      <c r="CE50" s="124">
        <f t="shared" si="41"/>
        <v>0</v>
      </c>
      <c r="CF50" s="125">
        <f t="shared" si="42"/>
        <v>0</v>
      </c>
      <c r="CG50" s="126">
        <f t="shared" si="43"/>
        <v>0</v>
      </c>
      <c r="CH50" s="123"/>
      <c r="CI50" s="124">
        <f t="shared" si="44"/>
        <v>0</v>
      </c>
      <c r="CJ50" s="123"/>
      <c r="CK50" s="124">
        <f t="shared" si="45"/>
        <v>0</v>
      </c>
      <c r="CL50" s="123"/>
      <c r="CM50" s="124">
        <f t="shared" si="46"/>
        <v>0</v>
      </c>
      <c r="CN50" s="123"/>
      <c r="CO50" s="124">
        <f t="shared" si="47"/>
        <v>0</v>
      </c>
      <c r="CP50" s="123"/>
      <c r="CQ50" s="124">
        <f t="shared" si="48"/>
        <v>0</v>
      </c>
      <c r="CR50" s="123"/>
      <c r="CS50" s="124">
        <f t="shared" si="49"/>
        <v>0</v>
      </c>
      <c r="CT50" s="123"/>
      <c r="CU50" s="124">
        <f t="shared" si="50"/>
        <v>0</v>
      </c>
      <c r="CV50" s="123"/>
      <c r="CW50" s="124">
        <f t="shared" si="51"/>
        <v>0</v>
      </c>
      <c r="CX50" s="123"/>
      <c r="CY50" s="124">
        <f t="shared" si="52"/>
        <v>0</v>
      </c>
      <c r="CZ50" s="123"/>
      <c r="DA50" s="124">
        <f t="shared" si="53"/>
        <v>0</v>
      </c>
      <c r="DB50" s="123"/>
      <c r="DC50" s="124">
        <f t="shared" si="54"/>
        <v>0</v>
      </c>
      <c r="DD50" s="123"/>
      <c r="DE50" s="124">
        <f t="shared" si="54"/>
        <v>0</v>
      </c>
      <c r="DF50" s="177">
        <f t="shared" si="0"/>
        <v>0</v>
      </c>
      <c r="DG50" s="126">
        <f t="shared" si="55"/>
        <v>0</v>
      </c>
      <c r="DH50" s="123"/>
      <c r="DI50" s="124">
        <f t="shared" si="56"/>
        <v>0</v>
      </c>
      <c r="DJ50" s="123"/>
      <c r="DK50" s="124">
        <f t="shared" si="57"/>
        <v>0</v>
      </c>
      <c r="DL50" s="123"/>
      <c r="DM50" s="124">
        <f t="shared" si="58"/>
        <v>0</v>
      </c>
      <c r="DN50" s="123"/>
      <c r="DO50" s="124">
        <f t="shared" si="59"/>
        <v>0</v>
      </c>
      <c r="DP50" s="123"/>
      <c r="DQ50" s="124">
        <f t="shared" si="60"/>
        <v>0</v>
      </c>
      <c r="DR50" s="123"/>
      <c r="DS50" s="124">
        <f t="shared" si="61"/>
        <v>0</v>
      </c>
      <c r="DT50" s="123"/>
      <c r="DU50" s="124">
        <f t="shared" si="62"/>
        <v>0</v>
      </c>
      <c r="DV50" s="123"/>
      <c r="DW50" s="124">
        <f t="shared" si="63"/>
        <v>0</v>
      </c>
      <c r="DX50" s="123"/>
      <c r="DY50" s="124">
        <f t="shared" si="64"/>
        <v>0</v>
      </c>
      <c r="DZ50" s="123"/>
      <c r="EA50" s="124">
        <f t="shared" si="65"/>
        <v>0</v>
      </c>
      <c r="EB50" s="123"/>
      <c r="EC50" s="124">
        <f t="shared" si="66"/>
        <v>0</v>
      </c>
      <c r="ED50" s="123"/>
      <c r="EE50" s="124">
        <f t="shared" si="67"/>
        <v>0</v>
      </c>
      <c r="EF50" s="27">
        <f t="shared" si="1"/>
        <v>0</v>
      </c>
      <c r="EG50" s="124">
        <f t="shared" si="68"/>
        <v>0</v>
      </c>
    </row>
    <row r="51" spans="1:137" ht="18" customHeight="1" x14ac:dyDescent="0.5">
      <c r="A51" s="117">
        <v>43</v>
      </c>
      <c r="B51" s="122" t="s">
        <v>166</v>
      </c>
      <c r="C51" s="122" t="s">
        <v>231</v>
      </c>
      <c r="D51" s="117">
        <f>RANK(DF51,$DF$4:$DF$147)</f>
        <v>21</v>
      </c>
      <c r="E51" s="117">
        <v>0.64</v>
      </c>
      <c r="F51" s="117" t="s">
        <v>236</v>
      </c>
      <c r="G51" s="117"/>
      <c r="H51" s="123"/>
      <c r="I51" s="124">
        <f t="shared" si="2"/>
        <v>0</v>
      </c>
      <c r="J51" s="123"/>
      <c r="K51" s="124">
        <f t="shared" si="3"/>
        <v>0</v>
      </c>
      <c r="L51" s="123"/>
      <c r="M51" s="124">
        <f t="shared" si="4"/>
        <v>0</v>
      </c>
      <c r="N51" s="123"/>
      <c r="O51" s="124">
        <f t="shared" si="5"/>
        <v>0</v>
      </c>
      <c r="P51" s="123"/>
      <c r="Q51" s="124">
        <f t="shared" si="6"/>
        <v>0</v>
      </c>
      <c r="R51" s="123"/>
      <c r="S51" s="124">
        <f t="shared" si="7"/>
        <v>0</v>
      </c>
      <c r="T51" s="123"/>
      <c r="U51" s="124">
        <f t="shared" si="8"/>
        <v>0</v>
      </c>
      <c r="V51" s="123"/>
      <c r="W51" s="124">
        <f t="shared" si="9"/>
        <v>0</v>
      </c>
      <c r="X51" s="123"/>
      <c r="Y51" s="124">
        <f t="shared" si="10"/>
        <v>0</v>
      </c>
      <c r="Z51" s="123"/>
      <c r="AA51" s="124">
        <f t="shared" si="11"/>
        <v>0</v>
      </c>
      <c r="AB51" s="123"/>
      <c r="AC51" s="124">
        <f t="shared" si="12"/>
        <v>0</v>
      </c>
      <c r="AD51" s="123"/>
      <c r="AE51" s="124">
        <f t="shared" si="13"/>
        <v>0</v>
      </c>
      <c r="AF51" s="125">
        <f t="shared" si="14"/>
        <v>0</v>
      </c>
      <c r="AG51" s="126">
        <f t="shared" si="15"/>
        <v>0</v>
      </c>
      <c r="AH51" s="11"/>
      <c r="AI51" s="124">
        <f t="shared" si="16"/>
        <v>0</v>
      </c>
      <c r="AJ51" s="15"/>
      <c r="AK51" s="124">
        <f t="shared" si="17"/>
        <v>0</v>
      </c>
      <c r="AL51" s="15"/>
      <c r="AM51" s="124">
        <f t="shared" si="18"/>
        <v>0</v>
      </c>
      <c r="AN51" s="16"/>
      <c r="AO51" s="124">
        <f t="shared" si="19"/>
        <v>0</v>
      </c>
      <c r="AP51" s="15"/>
      <c r="AQ51" s="124">
        <f t="shared" si="20"/>
        <v>0</v>
      </c>
      <c r="AR51" s="15"/>
      <c r="AS51" s="124">
        <f t="shared" si="21"/>
        <v>0</v>
      </c>
      <c r="AT51" s="17"/>
      <c r="AU51" s="124">
        <f t="shared" si="22"/>
        <v>0</v>
      </c>
      <c r="AV51" s="15"/>
      <c r="AW51" s="124">
        <f t="shared" si="23"/>
        <v>0</v>
      </c>
      <c r="AX51" s="15"/>
      <c r="AY51" s="124">
        <f t="shared" si="24"/>
        <v>0</v>
      </c>
      <c r="AZ51" s="17"/>
      <c r="BA51" s="124">
        <f t="shared" si="25"/>
        <v>0</v>
      </c>
      <c r="BB51" s="33"/>
      <c r="BC51" s="124">
        <f t="shared" si="26"/>
        <v>0</v>
      </c>
      <c r="BD51" s="33"/>
      <c r="BE51" s="124">
        <f t="shared" si="27"/>
        <v>0</v>
      </c>
      <c r="BF51" s="125">
        <f t="shared" si="28"/>
        <v>0</v>
      </c>
      <c r="BG51" s="126">
        <f t="shared" si="29"/>
        <v>0</v>
      </c>
      <c r="BH51" s="123"/>
      <c r="BI51" s="124">
        <f t="shared" si="30"/>
        <v>0</v>
      </c>
      <c r="BJ51" s="123"/>
      <c r="BK51" s="124">
        <f t="shared" si="31"/>
        <v>0</v>
      </c>
      <c r="BL51" s="123"/>
      <c r="BM51" s="124">
        <f t="shared" si="32"/>
        <v>0</v>
      </c>
      <c r="BN51" s="123"/>
      <c r="BO51" s="124">
        <f t="shared" si="33"/>
        <v>0</v>
      </c>
      <c r="BP51" s="123"/>
      <c r="BQ51" s="124">
        <f t="shared" si="34"/>
        <v>0</v>
      </c>
      <c r="BR51" s="123"/>
      <c r="BS51" s="124">
        <f t="shared" si="35"/>
        <v>0</v>
      </c>
      <c r="BT51" s="123"/>
      <c r="BU51" s="124">
        <f t="shared" si="36"/>
        <v>0</v>
      </c>
      <c r="BV51" s="123"/>
      <c r="BW51" s="124">
        <f t="shared" si="37"/>
        <v>0</v>
      </c>
      <c r="BX51" s="123"/>
      <c r="BY51" s="124">
        <f t="shared" si="38"/>
        <v>0</v>
      </c>
      <c r="BZ51" s="123"/>
      <c r="CA51" s="124">
        <f t="shared" si="39"/>
        <v>0</v>
      </c>
      <c r="CB51" s="123"/>
      <c r="CC51" s="124">
        <f t="shared" si="40"/>
        <v>0</v>
      </c>
      <c r="CD51" s="123"/>
      <c r="CE51" s="124">
        <f t="shared" si="41"/>
        <v>0</v>
      </c>
      <c r="CF51" s="125">
        <f t="shared" si="42"/>
        <v>0</v>
      </c>
      <c r="CG51" s="126">
        <f t="shared" si="43"/>
        <v>0</v>
      </c>
      <c r="CH51" s="123"/>
      <c r="CI51" s="124">
        <f t="shared" si="44"/>
        <v>0</v>
      </c>
      <c r="CJ51" s="123"/>
      <c r="CK51" s="124">
        <f t="shared" si="45"/>
        <v>0</v>
      </c>
      <c r="CL51" s="123"/>
      <c r="CM51" s="124">
        <f t="shared" si="46"/>
        <v>0</v>
      </c>
      <c r="CN51" s="123"/>
      <c r="CO51" s="124">
        <f t="shared" si="47"/>
        <v>0</v>
      </c>
      <c r="CP51" s="123"/>
      <c r="CQ51" s="124">
        <f t="shared" si="48"/>
        <v>0</v>
      </c>
      <c r="CR51" s="123"/>
      <c r="CS51" s="124">
        <f t="shared" si="49"/>
        <v>0</v>
      </c>
      <c r="CT51" s="123"/>
      <c r="CU51" s="124">
        <f t="shared" si="50"/>
        <v>0</v>
      </c>
      <c r="CV51" s="123"/>
      <c r="CW51" s="124">
        <f t="shared" si="51"/>
        <v>0</v>
      </c>
      <c r="CX51" s="123"/>
      <c r="CY51" s="124">
        <f t="shared" si="52"/>
        <v>0</v>
      </c>
      <c r="CZ51" s="123"/>
      <c r="DA51" s="124">
        <f t="shared" si="53"/>
        <v>0</v>
      </c>
      <c r="DB51" s="123"/>
      <c r="DC51" s="124">
        <f t="shared" si="54"/>
        <v>0</v>
      </c>
      <c r="DD51" s="123"/>
      <c r="DE51" s="124">
        <f t="shared" si="54"/>
        <v>0</v>
      </c>
      <c r="DF51" s="177">
        <f t="shared" si="0"/>
        <v>0</v>
      </c>
      <c r="DG51" s="126">
        <f t="shared" si="55"/>
        <v>0</v>
      </c>
      <c r="DH51" s="123"/>
      <c r="DI51" s="124">
        <f t="shared" si="56"/>
        <v>0</v>
      </c>
      <c r="DJ51" s="123"/>
      <c r="DK51" s="124">
        <f t="shared" si="57"/>
        <v>0</v>
      </c>
      <c r="DL51" s="123"/>
      <c r="DM51" s="124">
        <f t="shared" si="58"/>
        <v>0</v>
      </c>
      <c r="DN51" s="123"/>
      <c r="DO51" s="124">
        <f t="shared" si="59"/>
        <v>0</v>
      </c>
      <c r="DP51" s="123"/>
      <c r="DQ51" s="124">
        <f t="shared" si="60"/>
        <v>0</v>
      </c>
      <c r="DR51" s="123"/>
      <c r="DS51" s="124">
        <f t="shared" si="61"/>
        <v>0</v>
      </c>
      <c r="DT51" s="123"/>
      <c r="DU51" s="124">
        <f t="shared" si="62"/>
        <v>0</v>
      </c>
      <c r="DV51" s="123"/>
      <c r="DW51" s="124">
        <f t="shared" si="63"/>
        <v>0</v>
      </c>
      <c r="DX51" s="123"/>
      <c r="DY51" s="124">
        <f t="shared" si="64"/>
        <v>0</v>
      </c>
      <c r="DZ51" s="123"/>
      <c r="EA51" s="124">
        <f t="shared" si="65"/>
        <v>0</v>
      </c>
      <c r="EB51" s="123"/>
      <c r="EC51" s="124">
        <f t="shared" si="66"/>
        <v>0</v>
      </c>
      <c r="ED51" s="123"/>
      <c r="EE51" s="124">
        <f t="shared" si="67"/>
        <v>0</v>
      </c>
      <c r="EF51" s="27">
        <f t="shared" si="1"/>
        <v>0</v>
      </c>
      <c r="EG51" s="124">
        <f t="shared" si="68"/>
        <v>0</v>
      </c>
    </row>
    <row r="52" spans="1:137" ht="18" customHeight="1" x14ac:dyDescent="0.5">
      <c r="A52" s="117">
        <v>44</v>
      </c>
      <c r="B52" s="122" t="s">
        <v>166</v>
      </c>
      <c r="C52" s="122" t="s">
        <v>231</v>
      </c>
      <c r="D52" s="117">
        <f>RANK(DF52,$DF$4:$DF$147)</f>
        <v>21</v>
      </c>
      <c r="E52" s="117">
        <v>0.64</v>
      </c>
      <c r="F52" s="117" t="s">
        <v>235</v>
      </c>
      <c r="G52" s="117"/>
      <c r="H52" s="123"/>
      <c r="I52" s="124">
        <f t="shared" si="2"/>
        <v>0</v>
      </c>
      <c r="J52" s="123"/>
      <c r="K52" s="124">
        <f t="shared" si="3"/>
        <v>0</v>
      </c>
      <c r="L52" s="123"/>
      <c r="M52" s="124">
        <f t="shared" si="4"/>
        <v>0</v>
      </c>
      <c r="N52" s="123"/>
      <c r="O52" s="124">
        <f t="shared" si="5"/>
        <v>0</v>
      </c>
      <c r="P52" s="123"/>
      <c r="Q52" s="124">
        <f t="shared" si="6"/>
        <v>0</v>
      </c>
      <c r="R52" s="123"/>
      <c r="S52" s="124">
        <f t="shared" si="7"/>
        <v>0</v>
      </c>
      <c r="T52" s="123"/>
      <c r="U52" s="124">
        <f t="shared" si="8"/>
        <v>0</v>
      </c>
      <c r="V52" s="123"/>
      <c r="W52" s="124">
        <f t="shared" si="9"/>
        <v>0</v>
      </c>
      <c r="X52" s="123"/>
      <c r="Y52" s="124">
        <f t="shared" si="10"/>
        <v>0</v>
      </c>
      <c r="Z52" s="123"/>
      <c r="AA52" s="124">
        <f t="shared" si="11"/>
        <v>0</v>
      </c>
      <c r="AB52" s="123"/>
      <c r="AC52" s="124">
        <f t="shared" si="12"/>
        <v>0</v>
      </c>
      <c r="AD52" s="123"/>
      <c r="AE52" s="124">
        <f t="shared" si="13"/>
        <v>0</v>
      </c>
      <c r="AF52" s="125">
        <f t="shared" si="14"/>
        <v>0</v>
      </c>
      <c r="AG52" s="126">
        <f t="shared" si="15"/>
        <v>0</v>
      </c>
      <c r="AH52" s="11"/>
      <c r="AI52" s="124">
        <f t="shared" si="16"/>
        <v>0</v>
      </c>
      <c r="AJ52" s="15"/>
      <c r="AK52" s="124">
        <f t="shared" si="17"/>
        <v>0</v>
      </c>
      <c r="AL52" s="15"/>
      <c r="AM52" s="124">
        <f t="shared" si="18"/>
        <v>0</v>
      </c>
      <c r="AN52" s="16"/>
      <c r="AO52" s="124">
        <f t="shared" si="19"/>
        <v>0</v>
      </c>
      <c r="AP52" s="15"/>
      <c r="AQ52" s="124">
        <f t="shared" si="20"/>
        <v>0</v>
      </c>
      <c r="AR52" s="15"/>
      <c r="AS52" s="124">
        <f t="shared" si="21"/>
        <v>0</v>
      </c>
      <c r="AT52" s="17"/>
      <c r="AU52" s="124">
        <f t="shared" si="22"/>
        <v>0</v>
      </c>
      <c r="AV52" s="15"/>
      <c r="AW52" s="124">
        <f t="shared" si="23"/>
        <v>0</v>
      </c>
      <c r="AX52" s="15"/>
      <c r="AY52" s="124">
        <f t="shared" si="24"/>
        <v>0</v>
      </c>
      <c r="AZ52" s="17"/>
      <c r="BA52" s="124">
        <f t="shared" si="25"/>
        <v>0</v>
      </c>
      <c r="BB52" s="33"/>
      <c r="BC52" s="124">
        <f t="shared" si="26"/>
        <v>0</v>
      </c>
      <c r="BD52" s="33"/>
      <c r="BE52" s="124">
        <f t="shared" si="27"/>
        <v>0</v>
      </c>
      <c r="BF52" s="125">
        <f t="shared" si="28"/>
        <v>0</v>
      </c>
      <c r="BG52" s="126">
        <f t="shared" si="29"/>
        <v>0</v>
      </c>
      <c r="BH52" s="123"/>
      <c r="BI52" s="124">
        <f t="shared" si="30"/>
        <v>0</v>
      </c>
      <c r="BJ52" s="123"/>
      <c r="BK52" s="124">
        <f t="shared" si="31"/>
        <v>0</v>
      </c>
      <c r="BL52" s="123"/>
      <c r="BM52" s="124">
        <f t="shared" si="32"/>
        <v>0</v>
      </c>
      <c r="BN52" s="123"/>
      <c r="BO52" s="124">
        <f t="shared" si="33"/>
        <v>0</v>
      </c>
      <c r="BP52" s="123"/>
      <c r="BQ52" s="124">
        <f t="shared" si="34"/>
        <v>0</v>
      </c>
      <c r="BR52" s="123"/>
      <c r="BS52" s="124">
        <f t="shared" si="35"/>
        <v>0</v>
      </c>
      <c r="BT52" s="123"/>
      <c r="BU52" s="124">
        <f t="shared" si="36"/>
        <v>0</v>
      </c>
      <c r="BV52" s="123"/>
      <c r="BW52" s="124">
        <f t="shared" si="37"/>
        <v>0</v>
      </c>
      <c r="BX52" s="123"/>
      <c r="BY52" s="124">
        <f t="shared" si="38"/>
        <v>0</v>
      </c>
      <c r="BZ52" s="123"/>
      <c r="CA52" s="124">
        <f t="shared" si="39"/>
        <v>0</v>
      </c>
      <c r="CB52" s="123"/>
      <c r="CC52" s="124">
        <f t="shared" si="40"/>
        <v>0</v>
      </c>
      <c r="CD52" s="123"/>
      <c r="CE52" s="124">
        <f t="shared" si="41"/>
        <v>0</v>
      </c>
      <c r="CF52" s="125">
        <f t="shared" si="42"/>
        <v>0</v>
      </c>
      <c r="CG52" s="126">
        <f t="shared" si="43"/>
        <v>0</v>
      </c>
      <c r="CH52" s="123"/>
      <c r="CI52" s="124">
        <f t="shared" si="44"/>
        <v>0</v>
      </c>
      <c r="CJ52" s="123"/>
      <c r="CK52" s="124">
        <f t="shared" si="45"/>
        <v>0</v>
      </c>
      <c r="CL52" s="123"/>
      <c r="CM52" s="124">
        <f t="shared" si="46"/>
        <v>0</v>
      </c>
      <c r="CN52" s="123"/>
      <c r="CO52" s="124">
        <f t="shared" si="47"/>
        <v>0</v>
      </c>
      <c r="CP52" s="123"/>
      <c r="CQ52" s="124">
        <f t="shared" si="48"/>
        <v>0</v>
      </c>
      <c r="CR52" s="123"/>
      <c r="CS52" s="124">
        <f t="shared" si="49"/>
        <v>0</v>
      </c>
      <c r="CT52" s="123"/>
      <c r="CU52" s="124">
        <f t="shared" si="50"/>
        <v>0</v>
      </c>
      <c r="CV52" s="123"/>
      <c r="CW52" s="124">
        <f t="shared" si="51"/>
        <v>0</v>
      </c>
      <c r="CX52" s="123"/>
      <c r="CY52" s="124">
        <f t="shared" si="52"/>
        <v>0</v>
      </c>
      <c r="CZ52" s="123"/>
      <c r="DA52" s="124">
        <f t="shared" si="53"/>
        <v>0</v>
      </c>
      <c r="DB52" s="123"/>
      <c r="DC52" s="124">
        <f t="shared" si="54"/>
        <v>0</v>
      </c>
      <c r="DD52" s="123"/>
      <c r="DE52" s="124">
        <f t="shared" si="54"/>
        <v>0</v>
      </c>
      <c r="DF52" s="177">
        <f t="shared" si="0"/>
        <v>0</v>
      </c>
      <c r="DG52" s="126">
        <f t="shared" si="55"/>
        <v>0</v>
      </c>
      <c r="DH52" s="123"/>
      <c r="DI52" s="124">
        <f t="shared" si="56"/>
        <v>0</v>
      </c>
      <c r="DJ52" s="123"/>
      <c r="DK52" s="124">
        <f t="shared" si="57"/>
        <v>0</v>
      </c>
      <c r="DL52" s="123"/>
      <c r="DM52" s="124">
        <f t="shared" si="58"/>
        <v>0</v>
      </c>
      <c r="DN52" s="123"/>
      <c r="DO52" s="124">
        <f t="shared" si="59"/>
        <v>0</v>
      </c>
      <c r="DP52" s="123"/>
      <c r="DQ52" s="124">
        <f t="shared" si="60"/>
        <v>0</v>
      </c>
      <c r="DR52" s="123"/>
      <c r="DS52" s="124">
        <f t="shared" si="61"/>
        <v>0</v>
      </c>
      <c r="DT52" s="123"/>
      <c r="DU52" s="124">
        <f t="shared" si="62"/>
        <v>0</v>
      </c>
      <c r="DV52" s="123"/>
      <c r="DW52" s="124">
        <f t="shared" si="63"/>
        <v>0</v>
      </c>
      <c r="DX52" s="123"/>
      <c r="DY52" s="124">
        <f t="shared" si="64"/>
        <v>0</v>
      </c>
      <c r="DZ52" s="123"/>
      <c r="EA52" s="124">
        <f t="shared" si="65"/>
        <v>0</v>
      </c>
      <c r="EB52" s="123"/>
      <c r="EC52" s="124">
        <f t="shared" si="66"/>
        <v>0</v>
      </c>
      <c r="ED52" s="123"/>
      <c r="EE52" s="124">
        <f t="shared" si="67"/>
        <v>0</v>
      </c>
      <c r="EF52" s="27">
        <f t="shared" si="1"/>
        <v>0</v>
      </c>
      <c r="EG52" s="124">
        <f t="shared" si="68"/>
        <v>0</v>
      </c>
    </row>
    <row r="53" spans="1:137" ht="18" customHeight="1" x14ac:dyDescent="0.5">
      <c r="A53" s="117"/>
      <c r="B53" s="122"/>
      <c r="C53" s="122"/>
      <c r="D53" s="117"/>
      <c r="E53" s="117"/>
      <c r="F53" s="117"/>
      <c r="G53" s="117"/>
      <c r="H53" s="123"/>
      <c r="I53" s="124">
        <f t="shared" si="2"/>
        <v>0</v>
      </c>
      <c r="J53" s="123"/>
      <c r="K53" s="124">
        <f t="shared" si="3"/>
        <v>0</v>
      </c>
      <c r="L53" s="123"/>
      <c r="M53" s="124">
        <f t="shared" si="4"/>
        <v>0</v>
      </c>
      <c r="N53" s="123"/>
      <c r="O53" s="124">
        <f t="shared" si="5"/>
        <v>0</v>
      </c>
      <c r="P53" s="123"/>
      <c r="Q53" s="124">
        <f t="shared" si="6"/>
        <v>0</v>
      </c>
      <c r="R53" s="123"/>
      <c r="S53" s="124">
        <f t="shared" si="7"/>
        <v>0</v>
      </c>
      <c r="T53" s="123"/>
      <c r="U53" s="124">
        <f t="shared" si="8"/>
        <v>0</v>
      </c>
      <c r="V53" s="123"/>
      <c r="W53" s="124">
        <f t="shared" si="9"/>
        <v>0</v>
      </c>
      <c r="X53" s="123"/>
      <c r="Y53" s="124">
        <f t="shared" si="10"/>
        <v>0</v>
      </c>
      <c r="Z53" s="123"/>
      <c r="AA53" s="124">
        <f t="shared" si="11"/>
        <v>0</v>
      </c>
      <c r="AB53" s="123"/>
      <c r="AC53" s="124">
        <f t="shared" si="12"/>
        <v>0</v>
      </c>
      <c r="AD53" s="123"/>
      <c r="AE53" s="124">
        <f t="shared" si="13"/>
        <v>0</v>
      </c>
      <c r="AF53" s="125">
        <f t="shared" si="14"/>
        <v>0</v>
      </c>
      <c r="AG53" s="126">
        <f t="shared" si="15"/>
        <v>0</v>
      </c>
      <c r="AH53" s="11"/>
      <c r="AI53" s="124">
        <f t="shared" si="16"/>
        <v>0</v>
      </c>
      <c r="AJ53" s="15"/>
      <c r="AK53" s="124">
        <f t="shared" si="17"/>
        <v>0</v>
      </c>
      <c r="AL53" s="15"/>
      <c r="AM53" s="124">
        <f t="shared" si="18"/>
        <v>0</v>
      </c>
      <c r="AN53" s="16"/>
      <c r="AO53" s="124">
        <f t="shared" si="19"/>
        <v>0</v>
      </c>
      <c r="AP53" s="15"/>
      <c r="AQ53" s="124">
        <f t="shared" si="20"/>
        <v>0</v>
      </c>
      <c r="AR53" s="15"/>
      <c r="AS53" s="124">
        <f t="shared" si="21"/>
        <v>0</v>
      </c>
      <c r="AT53" s="17"/>
      <c r="AU53" s="124">
        <f t="shared" si="22"/>
        <v>0</v>
      </c>
      <c r="AV53" s="15"/>
      <c r="AW53" s="124">
        <f t="shared" si="23"/>
        <v>0</v>
      </c>
      <c r="AX53" s="15"/>
      <c r="AY53" s="124">
        <f t="shared" si="24"/>
        <v>0</v>
      </c>
      <c r="AZ53" s="17"/>
      <c r="BA53" s="124">
        <f t="shared" si="25"/>
        <v>0</v>
      </c>
      <c r="BB53" s="33"/>
      <c r="BC53" s="124">
        <f t="shared" si="26"/>
        <v>0</v>
      </c>
      <c r="BD53" s="33"/>
      <c r="BE53" s="124">
        <f t="shared" si="27"/>
        <v>0</v>
      </c>
      <c r="BF53" s="125">
        <f t="shared" si="28"/>
        <v>0</v>
      </c>
      <c r="BG53" s="126">
        <f t="shared" si="29"/>
        <v>0</v>
      </c>
      <c r="BH53" s="123"/>
      <c r="BI53" s="124">
        <f t="shared" si="30"/>
        <v>0</v>
      </c>
      <c r="BJ53" s="123"/>
      <c r="BK53" s="124">
        <f t="shared" si="31"/>
        <v>0</v>
      </c>
      <c r="BL53" s="123"/>
      <c r="BM53" s="124">
        <f t="shared" si="32"/>
        <v>0</v>
      </c>
      <c r="BN53" s="123"/>
      <c r="BO53" s="124">
        <f t="shared" si="33"/>
        <v>0</v>
      </c>
      <c r="BP53" s="123"/>
      <c r="BQ53" s="124">
        <f t="shared" si="34"/>
        <v>0</v>
      </c>
      <c r="BR53" s="123"/>
      <c r="BS53" s="124">
        <f t="shared" si="35"/>
        <v>0</v>
      </c>
      <c r="BT53" s="123"/>
      <c r="BU53" s="124">
        <f t="shared" si="36"/>
        <v>0</v>
      </c>
      <c r="BV53" s="123"/>
      <c r="BW53" s="124">
        <f t="shared" si="37"/>
        <v>0</v>
      </c>
      <c r="BX53" s="123"/>
      <c r="BY53" s="124">
        <f t="shared" si="38"/>
        <v>0</v>
      </c>
      <c r="BZ53" s="123"/>
      <c r="CA53" s="124">
        <f t="shared" si="39"/>
        <v>0</v>
      </c>
      <c r="CB53" s="123"/>
      <c r="CC53" s="124">
        <f t="shared" si="40"/>
        <v>0</v>
      </c>
      <c r="CD53" s="123"/>
      <c r="CE53" s="124">
        <f t="shared" si="41"/>
        <v>0</v>
      </c>
      <c r="CF53" s="125">
        <f t="shared" si="42"/>
        <v>0</v>
      </c>
      <c r="CG53" s="126">
        <f t="shared" si="43"/>
        <v>0</v>
      </c>
      <c r="CH53" s="123"/>
      <c r="CI53" s="124">
        <f t="shared" si="44"/>
        <v>0</v>
      </c>
      <c r="CJ53" s="123"/>
      <c r="CK53" s="124">
        <f t="shared" si="45"/>
        <v>0</v>
      </c>
      <c r="CL53" s="123"/>
      <c r="CM53" s="124">
        <f t="shared" si="46"/>
        <v>0</v>
      </c>
      <c r="CN53" s="123"/>
      <c r="CO53" s="124">
        <f t="shared" si="47"/>
        <v>0</v>
      </c>
      <c r="CP53" s="123"/>
      <c r="CQ53" s="124">
        <f t="shared" si="48"/>
        <v>0</v>
      </c>
      <c r="CR53" s="123"/>
      <c r="CS53" s="124">
        <f t="shared" si="49"/>
        <v>0</v>
      </c>
      <c r="CT53" s="123"/>
      <c r="CU53" s="124">
        <f t="shared" si="50"/>
        <v>0</v>
      </c>
      <c r="CV53" s="123"/>
      <c r="CW53" s="124">
        <f t="shared" si="51"/>
        <v>0</v>
      </c>
      <c r="CX53" s="123"/>
      <c r="CY53" s="124">
        <f t="shared" si="52"/>
        <v>0</v>
      </c>
      <c r="CZ53" s="123"/>
      <c r="DA53" s="124">
        <f t="shared" si="53"/>
        <v>0</v>
      </c>
      <c r="DB53" s="123"/>
      <c r="DC53" s="124">
        <f t="shared" si="54"/>
        <v>0</v>
      </c>
      <c r="DD53" s="123"/>
      <c r="DE53" s="124">
        <f t="shared" si="54"/>
        <v>0</v>
      </c>
      <c r="DF53" s="177">
        <f t="shared" si="0"/>
        <v>0</v>
      </c>
      <c r="DG53" s="126">
        <f t="shared" si="55"/>
        <v>0</v>
      </c>
      <c r="DH53" s="123"/>
      <c r="DI53" s="124">
        <f t="shared" si="56"/>
        <v>0</v>
      </c>
      <c r="DJ53" s="123"/>
      <c r="DK53" s="124">
        <f t="shared" si="57"/>
        <v>0</v>
      </c>
      <c r="DL53" s="123"/>
      <c r="DM53" s="124">
        <f t="shared" si="58"/>
        <v>0</v>
      </c>
      <c r="DN53" s="123"/>
      <c r="DO53" s="124">
        <f t="shared" si="59"/>
        <v>0</v>
      </c>
      <c r="DP53" s="123"/>
      <c r="DQ53" s="124">
        <f t="shared" si="60"/>
        <v>0</v>
      </c>
      <c r="DR53" s="123"/>
      <c r="DS53" s="124">
        <f t="shared" si="61"/>
        <v>0</v>
      </c>
      <c r="DT53" s="123"/>
      <c r="DU53" s="124">
        <f t="shared" si="62"/>
        <v>0</v>
      </c>
      <c r="DV53" s="123"/>
      <c r="DW53" s="124">
        <f t="shared" si="63"/>
        <v>0</v>
      </c>
      <c r="DX53" s="123"/>
      <c r="DY53" s="124">
        <f t="shared" si="64"/>
        <v>0</v>
      </c>
      <c r="DZ53" s="123"/>
      <c r="EA53" s="124">
        <f t="shared" si="65"/>
        <v>0</v>
      </c>
      <c r="EB53" s="123"/>
      <c r="EC53" s="124">
        <f t="shared" si="66"/>
        <v>0</v>
      </c>
      <c r="ED53" s="123"/>
      <c r="EE53" s="124">
        <f t="shared" si="67"/>
        <v>0</v>
      </c>
      <c r="EF53" s="27">
        <f t="shared" si="1"/>
        <v>0</v>
      </c>
      <c r="EG53" s="124">
        <f t="shared" si="68"/>
        <v>0</v>
      </c>
    </row>
    <row r="54" spans="1:137" ht="18" customHeight="1" x14ac:dyDescent="0.5">
      <c r="A54" s="117"/>
      <c r="B54" s="122"/>
      <c r="C54" s="122"/>
      <c r="D54" s="117"/>
      <c r="E54" s="117"/>
      <c r="F54" s="117"/>
      <c r="G54" s="117"/>
      <c r="H54" s="123"/>
      <c r="I54" s="124">
        <f t="shared" si="2"/>
        <v>0</v>
      </c>
      <c r="J54" s="123"/>
      <c r="K54" s="124">
        <f t="shared" si="3"/>
        <v>0</v>
      </c>
      <c r="L54" s="123"/>
      <c r="M54" s="124">
        <f t="shared" si="4"/>
        <v>0</v>
      </c>
      <c r="N54" s="123"/>
      <c r="O54" s="124">
        <f t="shared" si="5"/>
        <v>0</v>
      </c>
      <c r="P54" s="123"/>
      <c r="Q54" s="124">
        <f t="shared" si="6"/>
        <v>0</v>
      </c>
      <c r="R54" s="123"/>
      <c r="S54" s="124">
        <f t="shared" si="7"/>
        <v>0</v>
      </c>
      <c r="T54" s="123"/>
      <c r="U54" s="124">
        <f t="shared" si="8"/>
        <v>0</v>
      </c>
      <c r="V54" s="123"/>
      <c r="W54" s="124">
        <f t="shared" si="9"/>
        <v>0</v>
      </c>
      <c r="X54" s="123"/>
      <c r="Y54" s="124">
        <f t="shared" si="10"/>
        <v>0</v>
      </c>
      <c r="Z54" s="123"/>
      <c r="AA54" s="124">
        <f t="shared" si="11"/>
        <v>0</v>
      </c>
      <c r="AB54" s="123"/>
      <c r="AC54" s="124">
        <f t="shared" si="12"/>
        <v>0</v>
      </c>
      <c r="AD54" s="123"/>
      <c r="AE54" s="124">
        <f t="shared" si="13"/>
        <v>0</v>
      </c>
      <c r="AF54" s="125">
        <f t="shared" si="14"/>
        <v>0</v>
      </c>
      <c r="AG54" s="126">
        <f t="shared" si="15"/>
        <v>0</v>
      </c>
      <c r="AH54" s="11"/>
      <c r="AI54" s="124">
        <f t="shared" si="16"/>
        <v>0</v>
      </c>
      <c r="AJ54" s="15"/>
      <c r="AK54" s="124">
        <f t="shared" si="17"/>
        <v>0</v>
      </c>
      <c r="AL54" s="15"/>
      <c r="AM54" s="124">
        <f t="shared" si="18"/>
        <v>0</v>
      </c>
      <c r="AN54" s="16"/>
      <c r="AO54" s="124">
        <f t="shared" si="19"/>
        <v>0</v>
      </c>
      <c r="AP54" s="15"/>
      <c r="AQ54" s="124">
        <f t="shared" si="20"/>
        <v>0</v>
      </c>
      <c r="AR54" s="15"/>
      <c r="AS54" s="124">
        <f t="shared" si="21"/>
        <v>0</v>
      </c>
      <c r="AT54" s="17"/>
      <c r="AU54" s="124">
        <f t="shared" si="22"/>
        <v>0</v>
      </c>
      <c r="AV54" s="15"/>
      <c r="AW54" s="124">
        <f t="shared" si="23"/>
        <v>0</v>
      </c>
      <c r="AX54" s="15"/>
      <c r="AY54" s="124">
        <f t="shared" si="24"/>
        <v>0</v>
      </c>
      <c r="AZ54" s="17"/>
      <c r="BA54" s="124">
        <f t="shared" si="25"/>
        <v>0</v>
      </c>
      <c r="BB54" s="33"/>
      <c r="BC54" s="124">
        <f t="shared" si="26"/>
        <v>0</v>
      </c>
      <c r="BD54" s="33"/>
      <c r="BE54" s="124">
        <f t="shared" si="27"/>
        <v>0</v>
      </c>
      <c r="BF54" s="125">
        <f t="shared" si="28"/>
        <v>0</v>
      </c>
      <c r="BG54" s="126">
        <f t="shared" si="29"/>
        <v>0</v>
      </c>
      <c r="BH54" s="123"/>
      <c r="BI54" s="124">
        <f t="shared" si="30"/>
        <v>0</v>
      </c>
      <c r="BJ54" s="123"/>
      <c r="BK54" s="124">
        <f t="shared" si="31"/>
        <v>0</v>
      </c>
      <c r="BL54" s="123"/>
      <c r="BM54" s="124">
        <f t="shared" si="32"/>
        <v>0</v>
      </c>
      <c r="BN54" s="123"/>
      <c r="BO54" s="124">
        <f t="shared" si="33"/>
        <v>0</v>
      </c>
      <c r="BP54" s="123"/>
      <c r="BQ54" s="124">
        <f t="shared" si="34"/>
        <v>0</v>
      </c>
      <c r="BR54" s="123"/>
      <c r="BS54" s="124">
        <f t="shared" si="35"/>
        <v>0</v>
      </c>
      <c r="BT54" s="123"/>
      <c r="BU54" s="124">
        <f t="shared" si="36"/>
        <v>0</v>
      </c>
      <c r="BV54" s="123"/>
      <c r="BW54" s="124">
        <f t="shared" si="37"/>
        <v>0</v>
      </c>
      <c r="BX54" s="123"/>
      <c r="BY54" s="124">
        <f t="shared" si="38"/>
        <v>0</v>
      </c>
      <c r="BZ54" s="123"/>
      <c r="CA54" s="124">
        <f t="shared" si="39"/>
        <v>0</v>
      </c>
      <c r="CB54" s="123"/>
      <c r="CC54" s="124">
        <f t="shared" si="40"/>
        <v>0</v>
      </c>
      <c r="CD54" s="123"/>
      <c r="CE54" s="124">
        <f t="shared" si="41"/>
        <v>0</v>
      </c>
      <c r="CF54" s="125">
        <f t="shared" si="42"/>
        <v>0</v>
      </c>
      <c r="CG54" s="126">
        <f t="shared" si="43"/>
        <v>0</v>
      </c>
      <c r="CH54" s="123"/>
      <c r="CI54" s="124">
        <f t="shared" si="44"/>
        <v>0</v>
      </c>
      <c r="CJ54" s="123"/>
      <c r="CK54" s="124">
        <f t="shared" si="45"/>
        <v>0</v>
      </c>
      <c r="CL54" s="123"/>
      <c r="CM54" s="124">
        <f t="shared" si="46"/>
        <v>0</v>
      </c>
      <c r="CN54" s="123"/>
      <c r="CO54" s="124">
        <f t="shared" si="47"/>
        <v>0</v>
      </c>
      <c r="CP54" s="123"/>
      <c r="CQ54" s="124">
        <f t="shared" si="48"/>
        <v>0</v>
      </c>
      <c r="CR54" s="123"/>
      <c r="CS54" s="124">
        <f t="shared" si="49"/>
        <v>0</v>
      </c>
      <c r="CT54" s="123"/>
      <c r="CU54" s="124">
        <f t="shared" si="50"/>
        <v>0</v>
      </c>
      <c r="CV54" s="123"/>
      <c r="CW54" s="124">
        <f t="shared" si="51"/>
        <v>0</v>
      </c>
      <c r="CX54" s="123"/>
      <c r="CY54" s="124">
        <f t="shared" si="52"/>
        <v>0</v>
      </c>
      <c r="CZ54" s="123"/>
      <c r="DA54" s="124">
        <f t="shared" si="53"/>
        <v>0</v>
      </c>
      <c r="DB54" s="123"/>
      <c r="DC54" s="124">
        <f t="shared" si="54"/>
        <v>0</v>
      </c>
      <c r="DD54" s="123"/>
      <c r="DE54" s="124">
        <f t="shared" si="54"/>
        <v>0</v>
      </c>
      <c r="DF54" s="177">
        <f t="shared" si="0"/>
        <v>0</v>
      </c>
      <c r="DG54" s="126">
        <f t="shared" si="55"/>
        <v>0</v>
      </c>
      <c r="DH54" s="123"/>
      <c r="DI54" s="124">
        <f t="shared" si="56"/>
        <v>0</v>
      </c>
      <c r="DJ54" s="123"/>
      <c r="DK54" s="124">
        <f t="shared" si="57"/>
        <v>0</v>
      </c>
      <c r="DL54" s="123"/>
      <c r="DM54" s="124">
        <f t="shared" si="58"/>
        <v>0</v>
      </c>
      <c r="DN54" s="123"/>
      <c r="DO54" s="124">
        <f t="shared" si="59"/>
        <v>0</v>
      </c>
      <c r="DP54" s="123"/>
      <c r="DQ54" s="124">
        <f t="shared" si="60"/>
        <v>0</v>
      </c>
      <c r="DR54" s="123"/>
      <c r="DS54" s="124">
        <f t="shared" si="61"/>
        <v>0</v>
      </c>
      <c r="DT54" s="123"/>
      <c r="DU54" s="124">
        <f t="shared" si="62"/>
        <v>0</v>
      </c>
      <c r="DV54" s="123"/>
      <c r="DW54" s="124">
        <f t="shared" si="63"/>
        <v>0</v>
      </c>
      <c r="DX54" s="123"/>
      <c r="DY54" s="124">
        <f t="shared" si="64"/>
        <v>0</v>
      </c>
      <c r="DZ54" s="123"/>
      <c r="EA54" s="124">
        <f t="shared" si="65"/>
        <v>0</v>
      </c>
      <c r="EB54" s="123"/>
      <c r="EC54" s="124">
        <f t="shared" si="66"/>
        <v>0</v>
      </c>
      <c r="ED54" s="123"/>
      <c r="EE54" s="124">
        <f t="shared" si="67"/>
        <v>0</v>
      </c>
      <c r="EF54" s="27">
        <f t="shared" si="1"/>
        <v>0</v>
      </c>
      <c r="EG54" s="124">
        <f t="shared" si="68"/>
        <v>0</v>
      </c>
    </row>
    <row r="55" spans="1:137" ht="18" customHeight="1" x14ac:dyDescent="0.5">
      <c r="A55" s="117">
        <v>45</v>
      </c>
      <c r="B55" s="122" t="s">
        <v>167</v>
      </c>
      <c r="C55" s="122" t="s">
        <v>233</v>
      </c>
      <c r="D55" s="117">
        <f>RANK(DF55,$DF$4:$DF$147)</f>
        <v>21</v>
      </c>
      <c r="E55" s="117">
        <v>1</v>
      </c>
      <c r="F55" s="117" t="s">
        <v>232</v>
      </c>
      <c r="G55" s="117"/>
      <c r="H55" s="123"/>
      <c r="I55" s="124">
        <f t="shared" si="2"/>
        <v>0</v>
      </c>
      <c r="J55" s="123"/>
      <c r="K55" s="124">
        <f t="shared" si="3"/>
        <v>0</v>
      </c>
      <c r="L55" s="123"/>
      <c r="M55" s="124">
        <f t="shared" si="4"/>
        <v>0</v>
      </c>
      <c r="N55" s="123"/>
      <c r="O55" s="124">
        <f t="shared" si="5"/>
        <v>0</v>
      </c>
      <c r="P55" s="123"/>
      <c r="Q55" s="124">
        <f t="shared" si="6"/>
        <v>0</v>
      </c>
      <c r="R55" s="123"/>
      <c r="S55" s="124">
        <f t="shared" si="7"/>
        <v>0</v>
      </c>
      <c r="T55" s="123"/>
      <c r="U55" s="124">
        <f t="shared" si="8"/>
        <v>0</v>
      </c>
      <c r="V55" s="123"/>
      <c r="W55" s="124">
        <f t="shared" si="9"/>
        <v>0</v>
      </c>
      <c r="X55" s="123"/>
      <c r="Y55" s="124">
        <f t="shared" si="10"/>
        <v>0</v>
      </c>
      <c r="Z55" s="123"/>
      <c r="AA55" s="124">
        <f t="shared" si="11"/>
        <v>0</v>
      </c>
      <c r="AB55" s="123"/>
      <c r="AC55" s="124">
        <f t="shared" si="12"/>
        <v>0</v>
      </c>
      <c r="AD55" s="123"/>
      <c r="AE55" s="124">
        <f t="shared" si="13"/>
        <v>0</v>
      </c>
      <c r="AF55" s="125">
        <f t="shared" si="14"/>
        <v>0</v>
      </c>
      <c r="AG55" s="126">
        <f t="shared" si="15"/>
        <v>0</v>
      </c>
      <c r="AH55" s="11"/>
      <c r="AI55" s="124">
        <f t="shared" si="16"/>
        <v>0</v>
      </c>
      <c r="AJ55" s="15"/>
      <c r="AK55" s="124">
        <f t="shared" si="17"/>
        <v>0</v>
      </c>
      <c r="AL55" s="15"/>
      <c r="AM55" s="124">
        <f t="shared" si="18"/>
        <v>0</v>
      </c>
      <c r="AN55" s="16"/>
      <c r="AO55" s="124">
        <f t="shared" si="19"/>
        <v>0</v>
      </c>
      <c r="AP55" s="15"/>
      <c r="AQ55" s="124">
        <f t="shared" si="20"/>
        <v>0</v>
      </c>
      <c r="AR55" s="15"/>
      <c r="AS55" s="124">
        <f t="shared" si="21"/>
        <v>0</v>
      </c>
      <c r="AT55" s="17"/>
      <c r="AU55" s="124">
        <f t="shared" si="22"/>
        <v>0</v>
      </c>
      <c r="AV55" s="15"/>
      <c r="AW55" s="124">
        <f t="shared" si="23"/>
        <v>0</v>
      </c>
      <c r="AX55" s="15"/>
      <c r="AY55" s="124">
        <f t="shared" si="24"/>
        <v>0</v>
      </c>
      <c r="AZ55" s="17"/>
      <c r="BA55" s="124">
        <f t="shared" si="25"/>
        <v>0</v>
      </c>
      <c r="BB55" s="33"/>
      <c r="BC55" s="124">
        <f t="shared" si="26"/>
        <v>0</v>
      </c>
      <c r="BD55" s="33"/>
      <c r="BE55" s="124">
        <f t="shared" si="27"/>
        <v>0</v>
      </c>
      <c r="BF55" s="125">
        <f t="shared" si="28"/>
        <v>0</v>
      </c>
      <c r="BG55" s="126">
        <f t="shared" si="29"/>
        <v>0</v>
      </c>
      <c r="BH55" s="123"/>
      <c r="BI55" s="124">
        <f t="shared" si="30"/>
        <v>0</v>
      </c>
      <c r="BJ55" s="123"/>
      <c r="BK55" s="124">
        <f t="shared" si="31"/>
        <v>0</v>
      </c>
      <c r="BL55" s="123"/>
      <c r="BM55" s="124">
        <f t="shared" si="32"/>
        <v>0</v>
      </c>
      <c r="BN55" s="123"/>
      <c r="BO55" s="124">
        <f t="shared" si="33"/>
        <v>0</v>
      </c>
      <c r="BP55" s="123"/>
      <c r="BQ55" s="124">
        <f t="shared" si="34"/>
        <v>0</v>
      </c>
      <c r="BR55" s="123"/>
      <c r="BS55" s="124">
        <f t="shared" si="35"/>
        <v>0</v>
      </c>
      <c r="BT55" s="123"/>
      <c r="BU55" s="124">
        <f t="shared" si="36"/>
        <v>0</v>
      </c>
      <c r="BV55" s="123"/>
      <c r="BW55" s="124">
        <f t="shared" si="37"/>
        <v>0</v>
      </c>
      <c r="BX55" s="123"/>
      <c r="BY55" s="124">
        <f t="shared" si="38"/>
        <v>0</v>
      </c>
      <c r="BZ55" s="123"/>
      <c r="CA55" s="124">
        <f t="shared" si="39"/>
        <v>0</v>
      </c>
      <c r="CB55" s="123"/>
      <c r="CC55" s="124">
        <f t="shared" si="40"/>
        <v>0</v>
      </c>
      <c r="CD55" s="123"/>
      <c r="CE55" s="124">
        <f t="shared" si="41"/>
        <v>0</v>
      </c>
      <c r="CF55" s="125">
        <f t="shared" si="42"/>
        <v>0</v>
      </c>
      <c r="CG55" s="126">
        <f t="shared" si="43"/>
        <v>0</v>
      </c>
      <c r="CH55" s="123"/>
      <c r="CI55" s="124">
        <f t="shared" si="44"/>
        <v>0</v>
      </c>
      <c r="CJ55" s="123"/>
      <c r="CK55" s="124">
        <f t="shared" si="45"/>
        <v>0</v>
      </c>
      <c r="CL55" s="123"/>
      <c r="CM55" s="124">
        <f t="shared" si="46"/>
        <v>0</v>
      </c>
      <c r="CN55" s="123"/>
      <c r="CO55" s="124">
        <f t="shared" si="47"/>
        <v>0</v>
      </c>
      <c r="CP55" s="123"/>
      <c r="CQ55" s="124">
        <f t="shared" si="48"/>
        <v>0</v>
      </c>
      <c r="CR55" s="123"/>
      <c r="CS55" s="124">
        <f t="shared" si="49"/>
        <v>0</v>
      </c>
      <c r="CT55" s="123"/>
      <c r="CU55" s="124">
        <f t="shared" si="50"/>
        <v>0</v>
      </c>
      <c r="CV55" s="123"/>
      <c r="CW55" s="124">
        <f t="shared" si="51"/>
        <v>0</v>
      </c>
      <c r="CX55" s="123"/>
      <c r="CY55" s="124">
        <f t="shared" si="52"/>
        <v>0</v>
      </c>
      <c r="CZ55" s="123"/>
      <c r="DA55" s="124">
        <f t="shared" si="53"/>
        <v>0</v>
      </c>
      <c r="DB55" s="123"/>
      <c r="DC55" s="124">
        <f t="shared" si="54"/>
        <v>0</v>
      </c>
      <c r="DD55" s="123"/>
      <c r="DE55" s="124">
        <f t="shared" si="54"/>
        <v>0</v>
      </c>
      <c r="DF55" s="177">
        <f t="shared" si="0"/>
        <v>0</v>
      </c>
      <c r="DG55" s="126">
        <f t="shared" si="55"/>
        <v>0</v>
      </c>
      <c r="DH55" s="123"/>
      <c r="DI55" s="124">
        <f t="shared" si="56"/>
        <v>0</v>
      </c>
      <c r="DJ55" s="123"/>
      <c r="DK55" s="124">
        <f t="shared" si="57"/>
        <v>0</v>
      </c>
      <c r="DL55" s="123"/>
      <c r="DM55" s="124">
        <f t="shared" si="58"/>
        <v>0</v>
      </c>
      <c r="DN55" s="123"/>
      <c r="DO55" s="124">
        <f t="shared" si="59"/>
        <v>0</v>
      </c>
      <c r="DP55" s="123"/>
      <c r="DQ55" s="124">
        <f t="shared" si="60"/>
        <v>0</v>
      </c>
      <c r="DR55" s="123"/>
      <c r="DS55" s="124">
        <f t="shared" si="61"/>
        <v>0</v>
      </c>
      <c r="DT55" s="123"/>
      <c r="DU55" s="124">
        <f t="shared" si="62"/>
        <v>0</v>
      </c>
      <c r="DV55" s="123"/>
      <c r="DW55" s="124">
        <f t="shared" si="63"/>
        <v>0</v>
      </c>
      <c r="DX55" s="123"/>
      <c r="DY55" s="124">
        <f t="shared" si="64"/>
        <v>0</v>
      </c>
      <c r="DZ55" s="123"/>
      <c r="EA55" s="124">
        <f t="shared" si="65"/>
        <v>0</v>
      </c>
      <c r="EB55" s="123"/>
      <c r="EC55" s="124">
        <f t="shared" si="66"/>
        <v>0</v>
      </c>
      <c r="ED55" s="123"/>
      <c r="EE55" s="124">
        <f t="shared" si="67"/>
        <v>0</v>
      </c>
      <c r="EF55" s="27">
        <f t="shared" si="1"/>
        <v>0</v>
      </c>
      <c r="EG55" s="124">
        <f t="shared" si="68"/>
        <v>0</v>
      </c>
    </row>
    <row r="56" spans="1:137" ht="18" customHeight="1" x14ac:dyDescent="0.5">
      <c r="A56" s="117">
        <v>46</v>
      </c>
      <c r="B56" s="122" t="s">
        <v>168</v>
      </c>
      <c r="C56" s="122" t="s">
        <v>233</v>
      </c>
      <c r="D56" s="117">
        <f>RANK(DF56,$DF$4:$DF$147)</f>
        <v>21</v>
      </c>
      <c r="E56" s="117">
        <v>0.6</v>
      </c>
      <c r="F56" s="117" t="s">
        <v>232</v>
      </c>
      <c r="G56" s="117"/>
      <c r="H56" s="123"/>
      <c r="I56" s="124">
        <f t="shared" si="2"/>
        <v>0</v>
      </c>
      <c r="J56" s="123"/>
      <c r="K56" s="124">
        <f t="shared" si="3"/>
        <v>0</v>
      </c>
      <c r="L56" s="123"/>
      <c r="M56" s="124">
        <f t="shared" si="4"/>
        <v>0</v>
      </c>
      <c r="N56" s="123"/>
      <c r="O56" s="124">
        <f t="shared" si="5"/>
        <v>0</v>
      </c>
      <c r="P56" s="123"/>
      <c r="Q56" s="124">
        <f t="shared" si="6"/>
        <v>0</v>
      </c>
      <c r="R56" s="123"/>
      <c r="S56" s="124">
        <f t="shared" si="7"/>
        <v>0</v>
      </c>
      <c r="T56" s="123"/>
      <c r="U56" s="124">
        <f t="shared" si="8"/>
        <v>0</v>
      </c>
      <c r="V56" s="123"/>
      <c r="W56" s="124">
        <f t="shared" si="9"/>
        <v>0</v>
      </c>
      <c r="X56" s="123"/>
      <c r="Y56" s="124">
        <f t="shared" si="10"/>
        <v>0</v>
      </c>
      <c r="Z56" s="123"/>
      <c r="AA56" s="124">
        <f t="shared" si="11"/>
        <v>0</v>
      </c>
      <c r="AB56" s="123"/>
      <c r="AC56" s="124">
        <f t="shared" si="12"/>
        <v>0</v>
      </c>
      <c r="AD56" s="123"/>
      <c r="AE56" s="124">
        <f t="shared" si="13"/>
        <v>0</v>
      </c>
      <c r="AF56" s="125">
        <f t="shared" si="14"/>
        <v>0</v>
      </c>
      <c r="AG56" s="126">
        <f t="shared" si="15"/>
        <v>0</v>
      </c>
      <c r="AH56" s="11"/>
      <c r="AI56" s="124">
        <f t="shared" si="16"/>
        <v>0</v>
      </c>
      <c r="AJ56" s="15"/>
      <c r="AK56" s="124">
        <f t="shared" si="17"/>
        <v>0</v>
      </c>
      <c r="AL56" s="15"/>
      <c r="AM56" s="124">
        <f t="shared" si="18"/>
        <v>0</v>
      </c>
      <c r="AN56" s="16"/>
      <c r="AO56" s="124">
        <f t="shared" si="19"/>
        <v>0</v>
      </c>
      <c r="AP56" s="15"/>
      <c r="AQ56" s="124">
        <f t="shared" si="20"/>
        <v>0</v>
      </c>
      <c r="AR56" s="15"/>
      <c r="AS56" s="124">
        <f t="shared" si="21"/>
        <v>0</v>
      </c>
      <c r="AT56" s="17"/>
      <c r="AU56" s="124">
        <f t="shared" si="22"/>
        <v>0</v>
      </c>
      <c r="AV56" s="15"/>
      <c r="AW56" s="124">
        <f t="shared" si="23"/>
        <v>0</v>
      </c>
      <c r="AX56" s="15"/>
      <c r="AY56" s="124">
        <f t="shared" si="24"/>
        <v>0</v>
      </c>
      <c r="AZ56" s="17"/>
      <c r="BA56" s="124">
        <f t="shared" si="25"/>
        <v>0</v>
      </c>
      <c r="BB56" s="33"/>
      <c r="BC56" s="124">
        <f t="shared" si="26"/>
        <v>0</v>
      </c>
      <c r="BD56" s="33"/>
      <c r="BE56" s="124">
        <f t="shared" si="27"/>
        <v>0</v>
      </c>
      <c r="BF56" s="125">
        <f t="shared" si="28"/>
        <v>0</v>
      </c>
      <c r="BG56" s="126">
        <f t="shared" si="29"/>
        <v>0</v>
      </c>
      <c r="BH56" s="123"/>
      <c r="BI56" s="124">
        <f t="shared" si="30"/>
        <v>0</v>
      </c>
      <c r="BJ56" s="123"/>
      <c r="BK56" s="124">
        <f t="shared" si="31"/>
        <v>0</v>
      </c>
      <c r="BL56" s="123"/>
      <c r="BM56" s="124">
        <f t="shared" si="32"/>
        <v>0</v>
      </c>
      <c r="BN56" s="123"/>
      <c r="BO56" s="124">
        <f t="shared" si="33"/>
        <v>0</v>
      </c>
      <c r="BP56" s="123"/>
      <c r="BQ56" s="124">
        <f t="shared" si="34"/>
        <v>0</v>
      </c>
      <c r="BR56" s="123"/>
      <c r="BS56" s="124">
        <f t="shared" si="35"/>
        <v>0</v>
      </c>
      <c r="BT56" s="123"/>
      <c r="BU56" s="124">
        <f t="shared" si="36"/>
        <v>0</v>
      </c>
      <c r="BV56" s="123"/>
      <c r="BW56" s="124">
        <f t="shared" si="37"/>
        <v>0</v>
      </c>
      <c r="BX56" s="123"/>
      <c r="BY56" s="124">
        <f t="shared" si="38"/>
        <v>0</v>
      </c>
      <c r="BZ56" s="123"/>
      <c r="CA56" s="124">
        <f t="shared" si="39"/>
        <v>0</v>
      </c>
      <c r="CB56" s="123"/>
      <c r="CC56" s="124">
        <f t="shared" si="40"/>
        <v>0</v>
      </c>
      <c r="CD56" s="123"/>
      <c r="CE56" s="124">
        <f t="shared" si="41"/>
        <v>0</v>
      </c>
      <c r="CF56" s="125">
        <f t="shared" si="42"/>
        <v>0</v>
      </c>
      <c r="CG56" s="126">
        <f t="shared" si="43"/>
        <v>0</v>
      </c>
      <c r="CH56" s="123"/>
      <c r="CI56" s="124">
        <f t="shared" si="44"/>
        <v>0</v>
      </c>
      <c r="CJ56" s="123"/>
      <c r="CK56" s="124">
        <f t="shared" si="45"/>
        <v>0</v>
      </c>
      <c r="CL56" s="123"/>
      <c r="CM56" s="124">
        <f t="shared" si="46"/>
        <v>0</v>
      </c>
      <c r="CN56" s="123"/>
      <c r="CO56" s="124">
        <f t="shared" si="47"/>
        <v>0</v>
      </c>
      <c r="CP56" s="123"/>
      <c r="CQ56" s="124">
        <f t="shared" si="48"/>
        <v>0</v>
      </c>
      <c r="CR56" s="123"/>
      <c r="CS56" s="124">
        <f t="shared" si="49"/>
        <v>0</v>
      </c>
      <c r="CT56" s="123"/>
      <c r="CU56" s="124">
        <f t="shared" si="50"/>
        <v>0</v>
      </c>
      <c r="CV56" s="123"/>
      <c r="CW56" s="124">
        <f t="shared" si="51"/>
        <v>0</v>
      </c>
      <c r="CX56" s="123"/>
      <c r="CY56" s="124">
        <f t="shared" si="52"/>
        <v>0</v>
      </c>
      <c r="CZ56" s="123"/>
      <c r="DA56" s="124">
        <f t="shared" si="53"/>
        <v>0</v>
      </c>
      <c r="DB56" s="123"/>
      <c r="DC56" s="124">
        <f t="shared" si="54"/>
        <v>0</v>
      </c>
      <c r="DD56" s="123"/>
      <c r="DE56" s="124">
        <f t="shared" si="54"/>
        <v>0</v>
      </c>
      <c r="DF56" s="177">
        <f t="shared" si="0"/>
        <v>0</v>
      </c>
      <c r="DG56" s="126">
        <f t="shared" si="55"/>
        <v>0</v>
      </c>
      <c r="DH56" s="123"/>
      <c r="DI56" s="124">
        <f t="shared" si="56"/>
        <v>0</v>
      </c>
      <c r="DJ56" s="123"/>
      <c r="DK56" s="124">
        <f t="shared" si="57"/>
        <v>0</v>
      </c>
      <c r="DL56" s="123"/>
      <c r="DM56" s="124">
        <f t="shared" si="58"/>
        <v>0</v>
      </c>
      <c r="DN56" s="123"/>
      <c r="DO56" s="124">
        <f t="shared" si="59"/>
        <v>0</v>
      </c>
      <c r="DP56" s="123"/>
      <c r="DQ56" s="124">
        <f t="shared" si="60"/>
        <v>0</v>
      </c>
      <c r="DR56" s="123"/>
      <c r="DS56" s="124">
        <f t="shared" si="61"/>
        <v>0</v>
      </c>
      <c r="DT56" s="123"/>
      <c r="DU56" s="124">
        <f t="shared" si="62"/>
        <v>0</v>
      </c>
      <c r="DV56" s="123"/>
      <c r="DW56" s="124">
        <f t="shared" si="63"/>
        <v>0</v>
      </c>
      <c r="DX56" s="123"/>
      <c r="DY56" s="124">
        <f t="shared" si="64"/>
        <v>0</v>
      </c>
      <c r="DZ56" s="123"/>
      <c r="EA56" s="124">
        <f t="shared" si="65"/>
        <v>0</v>
      </c>
      <c r="EB56" s="123"/>
      <c r="EC56" s="124">
        <f t="shared" si="66"/>
        <v>0</v>
      </c>
      <c r="ED56" s="123"/>
      <c r="EE56" s="124">
        <f t="shared" si="67"/>
        <v>0</v>
      </c>
      <c r="EF56" s="27">
        <f t="shared" si="1"/>
        <v>0</v>
      </c>
      <c r="EG56" s="124">
        <f t="shared" si="68"/>
        <v>0</v>
      </c>
    </row>
    <row r="57" spans="1:137" ht="18" customHeight="1" x14ac:dyDescent="0.5">
      <c r="A57" s="117">
        <v>47</v>
      </c>
      <c r="B57" s="122" t="s">
        <v>249</v>
      </c>
      <c r="C57" s="122" t="s">
        <v>231</v>
      </c>
      <c r="D57" s="117">
        <f>RANK(DF57,$DF$4:$DF$147)</f>
        <v>21</v>
      </c>
      <c r="E57" s="117">
        <v>0.64</v>
      </c>
      <c r="F57" s="117" t="s">
        <v>236</v>
      </c>
      <c r="G57" s="117"/>
      <c r="H57" s="123"/>
      <c r="I57" s="124">
        <f t="shared" si="2"/>
        <v>0</v>
      </c>
      <c r="J57" s="123"/>
      <c r="K57" s="124">
        <f t="shared" si="3"/>
        <v>0</v>
      </c>
      <c r="L57" s="123"/>
      <c r="M57" s="124">
        <f t="shared" si="4"/>
        <v>0</v>
      </c>
      <c r="N57" s="123"/>
      <c r="O57" s="124">
        <f t="shared" si="5"/>
        <v>0</v>
      </c>
      <c r="P57" s="123"/>
      <c r="Q57" s="124">
        <f t="shared" si="6"/>
        <v>0</v>
      </c>
      <c r="R57" s="123"/>
      <c r="S57" s="124">
        <f t="shared" si="7"/>
        <v>0</v>
      </c>
      <c r="T57" s="123"/>
      <c r="U57" s="124">
        <f t="shared" si="8"/>
        <v>0</v>
      </c>
      <c r="V57" s="123"/>
      <c r="W57" s="124">
        <f t="shared" si="9"/>
        <v>0</v>
      </c>
      <c r="X57" s="123"/>
      <c r="Y57" s="124">
        <f t="shared" si="10"/>
        <v>0</v>
      </c>
      <c r="Z57" s="123"/>
      <c r="AA57" s="124">
        <f t="shared" si="11"/>
        <v>0</v>
      </c>
      <c r="AB57" s="123"/>
      <c r="AC57" s="124">
        <f t="shared" si="12"/>
        <v>0</v>
      </c>
      <c r="AD57" s="123"/>
      <c r="AE57" s="124">
        <f t="shared" si="13"/>
        <v>0</v>
      </c>
      <c r="AF57" s="125">
        <f t="shared" si="14"/>
        <v>0</v>
      </c>
      <c r="AG57" s="126">
        <f t="shared" si="15"/>
        <v>0</v>
      </c>
      <c r="AH57" s="11"/>
      <c r="AI57" s="124">
        <f t="shared" si="16"/>
        <v>0</v>
      </c>
      <c r="AJ57" s="15"/>
      <c r="AK57" s="124">
        <f t="shared" si="17"/>
        <v>0</v>
      </c>
      <c r="AL57" s="15"/>
      <c r="AM57" s="124">
        <f t="shared" si="18"/>
        <v>0</v>
      </c>
      <c r="AN57" s="16"/>
      <c r="AO57" s="124">
        <f t="shared" si="19"/>
        <v>0</v>
      </c>
      <c r="AP57" s="15"/>
      <c r="AQ57" s="124">
        <f t="shared" si="20"/>
        <v>0</v>
      </c>
      <c r="AR57" s="15"/>
      <c r="AS57" s="124">
        <f t="shared" si="21"/>
        <v>0</v>
      </c>
      <c r="AT57" s="17"/>
      <c r="AU57" s="124">
        <f t="shared" si="22"/>
        <v>0</v>
      </c>
      <c r="AV57" s="15"/>
      <c r="AW57" s="124">
        <f t="shared" si="23"/>
        <v>0</v>
      </c>
      <c r="AX57" s="15"/>
      <c r="AY57" s="124">
        <f t="shared" si="24"/>
        <v>0</v>
      </c>
      <c r="AZ57" s="17"/>
      <c r="BA57" s="124">
        <f t="shared" si="25"/>
        <v>0</v>
      </c>
      <c r="BB57" s="33"/>
      <c r="BC57" s="124">
        <f t="shared" si="26"/>
        <v>0</v>
      </c>
      <c r="BD57" s="33"/>
      <c r="BE57" s="124">
        <f t="shared" si="27"/>
        <v>0</v>
      </c>
      <c r="BF57" s="125">
        <f t="shared" si="28"/>
        <v>0</v>
      </c>
      <c r="BG57" s="126">
        <f t="shared" si="29"/>
        <v>0</v>
      </c>
      <c r="BH57" s="123"/>
      <c r="BI57" s="124">
        <f t="shared" si="30"/>
        <v>0</v>
      </c>
      <c r="BJ57" s="123"/>
      <c r="BK57" s="124">
        <f t="shared" si="31"/>
        <v>0</v>
      </c>
      <c r="BL57" s="123"/>
      <c r="BM57" s="124">
        <f t="shared" si="32"/>
        <v>0</v>
      </c>
      <c r="BN57" s="123"/>
      <c r="BO57" s="124">
        <f t="shared" si="33"/>
        <v>0</v>
      </c>
      <c r="BP57" s="123"/>
      <c r="BQ57" s="124">
        <f t="shared" si="34"/>
        <v>0</v>
      </c>
      <c r="BR57" s="123"/>
      <c r="BS57" s="124">
        <f t="shared" si="35"/>
        <v>0</v>
      </c>
      <c r="BT57" s="123"/>
      <c r="BU57" s="124">
        <f t="shared" si="36"/>
        <v>0</v>
      </c>
      <c r="BV57" s="123"/>
      <c r="BW57" s="124">
        <f t="shared" si="37"/>
        <v>0</v>
      </c>
      <c r="BX57" s="123"/>
      <c r="BY57" s="124">
        <f t="shared" si="38"/>
        <v>0</v>
      </c>
      <c r="BZ57" s="123"/>
      <c r="CA57" s="124">
        <f t="shared" si="39"/>
        <v>0</v>
      </c>
      <c r="CB57" s="123"/>
      <c r="CC57" s="124">
        <f t="shared" si="40"/>
        <v>0</v>
      </c>
      <c r="CD57" s="123"/>
      <c r="CE57" s="124">
        <f t="shared" si="41"/>
        <v>0</v>
      </c>
      <c r="CF57" s="125">
        <f t="shared" si="42"/>
        <v>0</v>
      </c>
      <c r="CG57" s="126">
        <f t="shared" si="43"/>
        <v>0</v>
      </c>
      <c r="CH57" s="123"/>
      <c r="CI57" s="124">
        <f t="shared" si="44"/>
        <v>0</v>
      </c>
      <c r="CJ57" s="123"/>
      <c r="CK57" s="124">
        <f t="shared" si="45"/>
        <v>0</v>
      </c>
      <c r="CL57" s="123"/>
      <c r="CM57" s="124">
        <f t="shared" si="46"/>
        <v>0</v>
      </c>
      <c r="CN57" s="123"/>
      <c r="CO57" s="124">
        <f t="shared" si="47"/>
        <v>0</v>
      </c>
      <c r="CP57" s="123"/>
      <c r="CQ57" s="124">
        <f t="shared" si="48"/>
        <v>0</v>
      </c>
      <c r="CR57" s="123"/>
      <c r="CS57" s="124">
        <f t="shared" si="49"/>
        <v>0</v>
      </c>
      <c r="CT57" s="123"/>
      <c r="CU57" s="124">
        <f t="shared" si="50"/>
        <v>0</v>
      </c>
      <c r="CV57" s="123"/>
      <c r="CW57" s="124">
        <f t="shared" si="51"/>
        <v>0</v>
      </c>
      <c r="CX57" s="123"/>
      <c r="CY57" s="124">
        <f t="shared" si="52"/>
        <v>0</v>
      </c>
      <c r="CZ57" s="123"/>
      <c r="DA57" s="124">
        <f t="shared" si="53"/>
        <v>0</v>
      </c>
      <c r="DB57" s="123"/>
      <c r="DC57" s="124">
        <f t="shared" si="54"/>
        <v>0</v>
      </c>
      <c r="DD57" s="123"/>
      <c r="DE57" s="124">
        <f t="shared" si="54"/>
        <v>0</v>
      </c>
      <c r="DF57" s="177">
        <f t="shared" si="0"/>
        <v>0</v>
      </c>
      <c r="DG57" s="126">
        <f t="shared" si="55"/>
        <v>0</v>
      </c>
      <c r="DH57" s="123"/>
      <c r="DI57" s="124">
        <f t="shared" si="56"/>
        <v>0</v>
      </c>
      <c r="DJ57" s="123"/>
      <c r="DK57" s="124">
        <f t="shared" si="57"/>
        <v>0</v>
      </c>
      <c r="DL57" s="123"/>
      <c r="DM57" s="124">
        <f t="shared" si="58"/>
        <v>0</v>
      </c>
      <c r="DN57" s="123"/>
      <c r="DO57" s="124">
        <f t="shared" si="59"/>
        <v>0</v>
      </c>
      <c r="DP57" s="123"/>
      <c r="DQ57" s="124">
        <f t="shared" si="60"/>
        <v>0</v>
      </c>
      <c r="DR57" s="123"/>
      <c r="DS57" s="124">
        <f t="shared" si="61"/>
        <v>0</v>
      </c>
      <c r="DT57" s="123"/>
      <c r="DU57" s="124">
        <f t="shared" si="62"/>
        <v>0</v>
      </c>
      <c r="DV57" s="123"/>
      <c r="DW57" s="124">
        <f t="shared" si="63"/>
        <v>0</v>
      </c>
      <c r="DX57" s="123"/>
      <c r="DY57" s="124">
        <f t="shared" si="64"/>
        <v>0</v>
      </c>
      <c r="DZ57" s="123"/>
      <c r="EA57" s="124">
        <f t="shared" si="65"/>
        <v>0</v>
      </c>
      <c r="EB57" s="123"/>
      <c r="EC57" s="124">
        <f t="shared" si="66"/>
        <v>0</v>
      </c>
      <c r="ED57" s="123"/>
      <c r="EE57" s="124">
        <f t="shared" si="67"/>
        <v>0</v>
      </c>
      <c r="EF57" s="27">
        <f t="shared" si="1"/>
        <v>0</v>
      </c>
      <c r="EG57" s="124">
        <f t="shared" si="68"/>
        <v>0</v>
      </c>
    </row>
    <row r="58" spans="1:137" ht="18" customHeight="1" x14ac:dyDescent="0.5">
      <c r="A58" s="117">
        <v>48</v>
      </c>
      <c r="B58" s="122" t="s">
        <v>249</v>
      </c>
      <c r="C58" s="122" t="s">
        <v>231</v>
      </c>
      <c r="D58" s="117">
        <f>RANK(DF58,$DF$4:$DF$147)</f>
        <v>21</v>
      </c>
      <c r="E58" s="117">
        <v>0.64</v>
      </c>
      <c r="F58" s="117" t="s">
        <v>235</v>
      </c>
      <c r="G58" s="117"/>
      <c r="H58" s="123"/>
      <c r="I58" s="124">
        <f t="shared" si="2"/>
        <v>0</v>
      </c>
      <c r="J58" s="123"/>
      <c r="K58" s="124">
        <f t="shared" si="3"/>
        <v>0</v>
      </c>
      <c r="L58" s="123"/>
      <c r="M58" s="124">
        <f t="shared" si="4"/>
        <v>0</v>
      </c>
      <c r="N58" s="123"/>
      <c r="O58" s="124">
        <f t="shared" si="5"/>
        <v>0</v>
      </c>
      <c r="P58" s="123"/>
      <c r="Q58" s="124">
        <f t="shared" si="6"/>
        <v>0</v>
      </c>
      <c r="R58" s="123"/>
      <c r="S58" s="124">
        <f t="shared" si="7"/>
        <v>0</v>
      </c>
      <c r="T58" s="123"/>
      <c r="U58" s="124">
        <f t="shared" si="8"/>
        <v>0</v>
      </c>
      <c r="V58" s="123"/>
      <c r="W58" s="124">
        <f t="shared" si="9"/>
        <v>0</v>
      </c>
      <c r="X58" s="123"/>
      <c r="Y58" s="124">
        <f t="shared" si="10"/>
        <v>0</v>
      </c>
      <c r="Z58" s="123"/>
      <c r="AA58" s="124">
        <f t="shared" si="11"/>
        <v>0</v>
      </c>
      <c r="AB58" s="123"/>
      <c r="AC58" s="124">
        <f t="shared" si="12"/>
        <v>0</v>
      </c>
      <c r="AD58" s="123"/>
      <c r="AE58" s="124">
        <f t="shared" si="13"/>
        <v>0</v>
      </c>
      <c r="AF58" s="125">
        <f t="shared" si="14"/>
        <v>0</v>
      </c>
      <c r="AG58" s="126">
        <f t="shared" si="15"/>
        <v>0</v>
      </c>
      <c r="AH58" s="11"/>
      <c r="AI58" s="124">
        <f t="shared" si="16"/>
        <v>0</v>
      </c>
      <c r="AJ58" s="15"/>
      <c r="AK58" s="124">
        <f t="shared" si="17"/>
        <v>0</v>
      </c>
      <c r="AL58" s="15"/>
      <c r="AM58" s="124">
        <f t="shared" si="18"/>
        <v>0</v>
      </c>
      <c r="AN58" s="16"/>
      <c r="AO58" s="124">
        <f t="shared" si="19"/>
        <v>0</v>
      </c>
      <c r="AP58" s="15"/>
      <c r="AQ58" s="124">
        <f t="shared" si="20"/>
        <v>0</v>
      </c>
      <c r="AR58" s="15"/>
      <c r="AS58" s="124">
        <f t="shared" si="21"/>
        <v>0</v>
      </c>
      <c r="AT58" s="17"/>
      <c r="AU58" s="124">
        <f t="shared" si="22"/>
        <v>0</v>
      </c>
      <c r="AV58" s="15"/>
      <c r="AW58" s="124">
        <f t="shared" si="23"/>
        <v>0</v>
      </c>
      <c r="AX58" s="15"/>
      <c r="AY58" s="124">
        <f t="shared" si="24"/>
        <v>0</v>
      </c>
      <c r="AZ58" s="17"/>
      <c r="BA58" s="124">
        <f t="shared" si="25"/>
        <v>0</v>
      </c>
      <c r="BB58" s="33"/>
      <c r="BC58" s="124">
        <f t="shared" si="26"/>
        <v>0</v>
      </c>
      <c r="BD58" s="33"/>
      <c r="BE58" s="124">
        <f t="shared" si="27"/>
        <v>0</v>
      </c>
      <c r="BF58" s="125">
        <f t="shared" si="28"/>
        <v>0</v>
      </c>
      <c r="BG58" s="126">
        <f t="shared" si="29"/>
        <v>0</v>
      </c>
      <c r="BH58" s="123"/>
      <c r="BI58" s="124">
        <f t="shared" si="30"/>
        <v>0</v>
      </c>
      <c r="BJ58" s="123"/>
      <c r="BK58" s="124">
        <f t="shared" si="31"/>
        <v>0</v>
      </c>
      <c r="BL58" s="123"/>
      <c r="BM58" s="124">
        <f t="shared" si="32"/>
        <v>0</v>
      </c>
      <c r="BN58" s="123"/>
      <c r="BO58" s="124">
        <f t="shared" si="33"/>
        <v>0</v>
      </c>
      <c r="BP58" s="123"/>
      <c r="BQ58" s="124">
        <f t="shared" si="34"/>
        <v>0</v>
      </c>
      <c r="BR58" s="123"/>
      <c r="BS58" s="124">
        <f t="shared" si="35"/>
        <v>0</v>
      </c>
      <c r="BT58" s="123"/>
      <c r="BU58" s="124">
        <f t="shared" si="36"/>
        <v>0</v>
      </c>
      <c r="BV58" s="123"/>
      <c r="BW58" s="124">
        <f t="shared" si="37"/>
        <v>0</v>
      </c>
      <c r="BX58" s="123"/>
      <c r="BY58" s="124">
        <f t="shared" si="38"/>
        <v>0</v>
      </c>
      <c r="BZ58" s="123"/>
      <c r="CA58" s="124">
        <f t="shared" si="39"/>
        <v>0</v>
      </c>
      <c r="CB58" s="123"/>
      <c r="CC58" s="124">
        <f t="shared" si="40"/>
        <v>0</v>
      </c>
      <c r="CD58" s="123"/>
      <c r="CE58" s="124">
        <f t="shared" si="41"/>
        <v>0</v>
      </c>
      <c r="CF58" s="125">
        <f t="shared" si="42"/>
        <v>0</v>
      </c>
      <c r="CG58" s="126">
        <f t="shared" si="43"/>
        <v>0</v>
      </c>
      <c r="CH58" s="123"/>
      <c r="CI58" s="124">
        <f t="shared" si="44"/>
        <v>0</v>
      </c>
      <c r="CJ58" s="123"/>
      <c r="CK58" s="124">
        <f t="shared" si="45"/>
        <v>0</v>
      </c>
      <c r="CL58" s="123"/>
      <c r="CM58" s="124">
        <f t="shared" si="46"/>
        <v>0</v>
      </c>
      <c r="CN58" s="123"/>
      <c r="CO58" s="124">
        <f t="shared" si="47"/>
        <v>0</v>
      </c>
      <c r="CP58" s="123"/>
      <c r="CQ58" s="124">
        <f t="shared" si="48"/>
        <v>0</v>
      </c>
      <c r="CR58" s="123"/>
      <c r="CS58" s="124">
        <f t="shared" si="49"/>
        <v>0</v>
      </c>
      <c r="CT58" s="123"/>
      <c r="CU58" s="124">
        <f t="shared" si="50"/>
        <v>0</v>
      </c>
      <c r="CV58" s="123"/>
      <c r="CW58" s="124">
        <f t="shared" si="51"/>
        <v>0</v>
      </c>
      <c r="CX58" s="123"/>
      <c r="CY58" s="124">
        <f t="shared" si="52"/>
        <v>0</v>
      </c>
      <c r="CZ58" s="123"/>
      <c r="DA58" s="124">
        <f t="shared" si="53"/>
        <v>0</v>
      </c>
      <c r="DB58" s="123"/>
      <c r="DC58" s="124">
        <f t="shared" si="54"/>
        <v>0</v>
      </c>
      <c r="DD58" s="123"/>
      <c r="DE58" s="124">
        <f t="shared" si="54"/>
        <v>0</v>
      </c>
      <c r="DF58" s="177">
        <f t="shared" si="0"/>
        <v>0</v>
      </c>
      <c r="DG58" s="126">
        <f t="shared" si="55"/>
        <v>0</v>
      </c>
      <c r="DH58" s="123"/>
      <c r="DI58" s="124">
        <f t="shared" si="56"/>
        <v>0</v>
      </c>
      <c r="DJ58" s="123"/>
      <c r="DK58" s="124">
        <f t="shared" si="57"/>
        <v>0</v>
      </c>
      <c r="DL58" s="123"/>
      <c r="DM58" s="124">
        <f t="shared" si="58"/>
        <v>0</v>
      </c>
      <c r="DN58" s="123"/>
      <c r="DO58" s="124">
        <f t="shared" si="59"/>
        <v>0</v>
      </c>
      <c r="DP58" s="123"/>
      <c r="DQ58" s="124">
        <f t="shared" si="60"/>
        <v>0</v>
      </c>
      <c r="DR58" s="123"/>
      <c r="DS58" s="124">
        <f t="shared" si="61"/>
        <v>0</v>
      </c>
      <c r="DT58" s="123"/>
      <c r="DU58" s="124">
        <f t="shared" si="62"/>
        <v>0</v>
      </c>
      <c r="DV58" s="123"/>
      <c r="DW58" s="124">
        <f t="shared" si="63"/>
        <v>0</v>
      </c>
      <c r="DX58" s="123"/>
      <c r="DY58" s="124">
        <f t="shared" si="64"/>
        <v>0</v>
      </c>
      <c r="DZ58" s="123"/>
      <c r="EA58" s="124">
        <f t="shared" si="65"/>
        <v>0</v>
      </c>
      <c r="EB58" s="123"/>
      <c r="EC58" s="124">
        <f t="shared" si="66"/>
        <v>0</v>
      </c>
      <c r="ED58" s="123"/>
      <c r="EE58" s="124">
        <f t="shared" si="67"/>
        <v>0</v>
      </c>
      <c r="EF58" s="27">
        <f t="shared" si="1"/>
        <v>0</v>
      </c>
      <c r="EG58" s="124">
        <f t="shared" si="68"/>
        <v>0</v>
      </c>
    </row>
    <row r="59" spans="1:137" ht="18" customHeight="1" x14ac:dyDescent="0.5">
      <c r="A59" s="117"/>
      <c r="B59" s="122"/>
      <c r="C59" s="122"/>
      <c r="D59" s="117"/>
      <c r="E59" s="117"/>
      <c r="F59" s="117"/>
      <c r="G59" s="117"/>
      <c r="H59" s="123"/>
      <c r="I59" s="124">
        <f t="shared" si="2"/>
        <v>0</v>
      </c>
      <c r="J59" s="123"/>
      <c r="K59" s="124">
        <f t="shared" si="3"/>
        <v>0</v>
      </c>
      <c r="L59" s="123"/>
      <c r="M59" s="124">
        <f t="shared" si="4"/>
        <v>0</v>
      </c>
      <c r="N59" s="123"/>
      <c r="O59" s="124">
        <f t="shared" si="5"/>
        <v>0</v>
      </c>
      <c r="P59" s="123"/>
      <c r="Q59" s="124">
        <f t="shared" si="6"/>
        <v>0</v>
      </c>
      <c r="R59" s="123"/>
      <c r="S59" s="124">
        <f t="shared" si="7"/>
        <v>0</v>
      </c>
      <c r="T59" s="123"/>
      <c r="U59" s="124">
        <f t="shared" si="8"/>
        <v>0</v>
      </c>
      <c r="V59" s="123"/>
      <c r="W59" s="124">
        <f t="shared" si="9"/>
        <v>0</v>
      </c>
      <c r="X59" s="123"/>
      <c r="Y59" s="124">
        <f t="shared" si="10"/>
        <v>0</v>
      </c>
      <c r="Z59" s="123"/>
      <c r="AA59" s="124">
        <f t="shared" si="11"/>
        <v>0</v>
      </c>
      <c r="AB59" s="123"/>
      <c r="AC59" s="124">
        <f t="shared" si="12"/>
        <v>0</v>
      </c>
      <c r="AD59" s="123"/>
      <c r="AE59" s="124">
        <f t="shared" si="13"/>
        <v>0</v>
      </c>
      <c r="AF59" s="125">
        <f t="shared" si="14"/>
        <v>0</v>
      </c>
      <c r="AG59" s="126">
        <f t="shared" si="15"/>
        <v>0</v>
      </c>
      <c r="AH59" s="11"/>
      <c r="AI59" s="124">
        <f t="shared" si="16"/>
        <v>0</v>
      </c>
      <c r="AJ59" s="15"/>
      <c r="AK59" s="124">
        <f t="shared" si="17"/>
        <v>0</v>
      </c>
      <c r="AL59" s="15"/>
      <c r="AM59" s="124">
        <f t="shared" si="18"/>
        <v>0</v>
      </c>
      <c r="AN59" s="16"/>
      <c r="AO59" s="124">
        <f t="shared" si="19"/>
        <v>0</v>
      </c>
      <c r="AP59" s="15"/>
      <c r="AQ59" s="124">
        <f t="shared" si="20"/>
        <v>0</v>
      </c>
      <c r="AR59" s="15"/>
      <c r="AS59" s="124">
        <f t="shared" si="21"/>
        <v>0</v>
      </c>
      <c r="AT59" s="17"/>
      <c r="AU59" s="124">
        <f t="shared" si="22"/>
        <v>0</v>
      </c>
      <c r="AV59" s="15"/>
      <c r="AW59" s="124">
        <f t="shared" si="23"/>
        <v>0</v>
      </c>
      <c r="AX59" s="15"/>
      <c r="AY59" s="124">
        <f t="shared" si="24"/>
        <v>0</v>
      </c>
      <c r="AZ59" s="17"/>
      <c r="BA59" s="124">
        <f t="shared" si="25"/>
        <v>0</v>
      </c>
      <c r="BB59" s="33"/>
      <c r="BC59" s="124">
        <f t="shared" si="26"/>
        <v>0</v>
      </c>
      <c r="BD59" s="33"/>
      <c r="BE59" s="124">
        <f t="shared" si="27"/>
        <v>0</v>
      </c>
      <c r="BF59" s="125">
        <f t="shared" si="28"/>
        <v>0</v>
      </c>
      <c r="BG59" s="126">
        <f t="shared" si="29"/>
        <v>0</v>
      </c>
      <c r="BH59" s="123"/>
      <c r="BI59" s="124">
        <f t="shared" si="30"/>
        <v>0</v>
      </c>
      <c r="BJ59" s="123"/>
      <c r="BK59" s="124">
        <f t="shared" si="31"/>
        <v>0</v>
      </c>
      <c r="BL59" s="123"/>
      <c r="BM59" s="124">
        <f t="shared" si="32"/>
        <v>0</v>
      </c>
      <c r="BN59" s="123"/>
      <c r="BO59" s="124">
        <f t="shared" si="33"/>
        <v>0</v>
      </c>
      <c r="BP59" s="123"/>
      <c r="BQ59" s="124">
        <f t="shared" si="34"/>
        <v>0</v>
      </c>
      <c r="BR59" s="123"/>
      <c r="BS59" s="124">
        <f t="shared" si="35"/>
        <v>0</v>
      </c>
      <c r="BT59" s="123"/>
      <c r="BU59" s="124">
        <f t="shared" si="36"/>
        <v>0</v>
      </c>
      <c r="BV59" s="123"/>
      <c r="BW59" s="124">
        <f t="shared" si="37"/>
        <v>0</v>
      </c>
      <c r="BX59" s="123"/>
      <c r="BY59" s="124">
        <f t="shared" si="38"/>
        <v>0</v>
      </c>
      <c r="BZ59" s="123"/>
      <c r="CA59" s="124">
        <f t="shared" si="39"/>
        <v>0</v>
      </c>
      <c r="CB59" s="123"/>
      <c r="CC59" s="124">
        <f t="shared" si="40"/>
        <v>0</v>
      </c>
      <c r="CD59" s="123"/>
      <c r="CE59" s="124">
        <f t="shared" si="41"/>
        <v>0</v>
      </c>
      <c r="CF59" s="125">
        <f t="shared" si="42"/>
        <v>0</v>
      </c>
      <c r="CG59" s="126">
        <f t="shared" si="43"/>
        <v>0</v>
      </c>
      <c r="CH59" s="123"/>
      <c r="CI59" s="124">
        <f t="shared" si="44"/>
        <v>0</v>
      </c>
      <c r="CJ59" s="123"/>
      <c r="CK59" s="124">
        <f t="shared" si="45"/>
        <v>0</v>
      </c>
      <c r="CL59" s="123"/>
      <c r="CM59" s="124">
        <f t="shared" si="46"/>
        <v>0</v>
      </c>
      <c r="CN59" s="123"/>
      <c r="CO59" s="124">
        <f t="shared" si="47"/>
        <v>0</v>
      </c>
      <c r="CP59" s="123"/>
      <c r="CQ59" s="124">
        <f t="shared" si="48"/>
        <v>0</v>
      </c>
      <c r="CR59" s="123"/>
      <c r="CS59" s="124">
        <f t="shared" si="49"/>
        <v>0</v>
      </c>
      <c r="CT59" s="123"/>
      <c r="CU59" s="124">
        <f t="shared" si="50"/>
        <v>0</v>
      </c>
      <c r="CV59" s="123"/>
      <c r="CW59" s="124">
        <f t="shared" si="51"/>
        <v>0</v>
      </c>
      <c r="CX59" s="123"/>
      <c r="CY59" s="124">
        <f t="shared" si="52"/>
        <v>0</v>
      </c>
      <c r="CZ59" s="123"/>
      <c r="DA59" s="124">
        <f t="shared" si="53"/>
        <v>0</v>
      </c>
      <c r="DB59" s="123"/>
      <c r="DC59" s="124">
        <f t="shared" si="54"/>
        <v>0</v>
      </c>
      <c r="DD59" s="123"/>
      <c r="DE59" s="124">
        <f t="shared" si="54"/>
        <v>0</v>
      </c>
      <c r="DF59" s="177">
        <f t="shared" si="0"/>
        <v>0</v>
      </c>
      <c r="DG59" s="126">
        <f t="shared" si="55"/>
        <v>0</v>
      </c>
      <c r="DH59" s="123"/>
      <c r="DI59" s="124">
        <f t="shared" si="56"/>
        <v>0</v>
      </c>
      <c r="DJ59" s="123"/>
      <c r="DK59" s="124">
        <f t="shared" si="57"/>
        <v>0</v>
      </c>
      <c r="DL59" s="123"/>
      <c r="DM59" s="124">
        <f t="shared" si="58"/>
        <v>0</v>
      </c>
      <c r="DN59" s="123"/>
      <c r="DO59" s="124">
        <f t="shared" si="59"/>
        <v>0</v>
      </c>
      <c r="DP59" s="123"/>
      <c r="DQ59" s="124">
        <f t="shared" si="60"/>
        <v>0</v>
      </c>
      <c r="DR59" s="123"/>
      <c r="DS59" s="124">
        <f t="shared" si="61"/>
        <v>0</v>
      </c>
      <c r="DT59" s="123"/>
      <c r="DU59" s="124">
        <f t="shared" si="62"/>
        <v>0</v>
      </c>
      <c r="DV59" s="123"/>
      <c r="DW59" s="124">
        <f t="shared" si="63"/>
        <v>0</v>
      </c>
      <c r="DX59" s="123"/>
      <c r="DY59" s="124">
        <f t="shared" si="64"/>
        <v>0</v>
      </c>
      <c r="DZ59" s="123"/>
      <c r="EA59" s="124">
        <f t="shared" si="65"/>
        <v>0</v>
      </c>
      <c r="EB59" s="123"/>
      <c r="EC59" s="124">
        <f t="shared" si="66"/>
        <v>0</v>
      </c>
      <c r="ED59" s="123"/>
      <c r="EE59" s="124">
        <f t="shared" si="67"/>
        <v>0</v>
      </c>
      <c r="EF59" s="27">
        <f t="shared" si="1"/>
        <v>0</v>
      </c>
      <c r="EG59" s="124">
        <f t="shared" si="68"/>
        <v>0</v>
      </c>
    </row>
    <row r="60" spans="1:137" ht="18" customHeight="1" x14ac:dyDescent="0.5">
      <c r="A60" s="117">
        <v>49</v>
      </c>
      <c r="B60" s="122" t="s">
        <v>169</v>
      </c>
      <c r="C60" s="122" t="s">
        <v>233</v>
      </c>
      <c r="D60" s="117">
        <f>RANK(DF60,$DF$4:$DF$147)</f>
        <v>15</v>
      </c>
      <c r="E60" s="117">
        <v>1</v>
      </c>
      <c r="F60" s="117" t="s">
        <v>232</v>
      </c>
      <c r="G60" s="117">
        <v>1600</v>
      </c>
      <c r="H60" s="123"/>
      <c r="I60" s="124">
        <f t="shared" si="2"/>
        <v>0</v>
      </c>
      <c r="J60" s="123"/>
      <c r="K60" s="124">
        <f t="shared" si="3"/>
        <v>0</v>
      </c>
      <c r="L60" s="123"/>
      <c r="M60" s="124">
        <f t="shared" si="4"/>
        <v>0</v>
      </c>
      <c r="N60" s="123"/>
      <c r="O60" s="124">
        <f t="shared" si="5"/>
        <v>0</v>
      </c>
      <c r="P60" s="123"/>
      <c r="Q60" s="124">
        <f t="shared" si="6"/>
        <v>0</v>
      </c>
      <c r="R60" s="123"/>
      <c r="S60" s="124">
        <f t="shared" si="7"/>
        <v>0</v>
      </c>
      <c r="T60" s="123"/>
      <c r="U60" s="124">
        <f t="shared" si="8"/>
        <v>0</v>
      </c>
      <c r="V60" s="123"/>
      <c r="W60" s="124">
        <f t="shared" si="9"/>
        <v>0</v>
      </c>
      <c r="X60" s="123"/>
      <c r="Y60" s="124">
        <f t="shared" si="10"/>
        <v>0</v>
      </c>
      <c r="Z60" s="123"/>
      <c r="AA60" s="124">
        <f t="shared" si="11"/>
        <v>0</v>
      </c>
      <c r="AB60" s="123"/>
      <c r="AC60" s="124">
        <f t="shared" si="12"/>
        <v>0</v>
      </c>
      <c r="AD60" s="123">
        <v>842</v>
      </c>
      <c r="AE60" s="124">
        <f t="shared" si="13"/>
        <v>842</v>
      </c>
      <c r="AF60" s="125">
        <f t="shared" si="14"/>
        <v>842</v>
      </c>
      <c r="AG60" s="126">
        <f t="shared" si="15"/>
        <v>842</v>
      </c>
      <c r="AH60" s="11">
        <v>756</v>
      </c>
      <c r="AI60" s="124">
        <f t="shared" si="16"/>
        <v>756</v>
      </c>
      <c r="AJ60" s="15">
        <v>574</v>
      </c>
      <c r="AK60" s="124">
        <f t="shared" si="17"/>
        <v>574</v>
      </c>
      <c r="AL60" s="15">
        <v>540</v>
      </c>
      <c r="AM60" s="124">
        <f t="shared" si="18"/>
        <v>540</v>
      </c>
      <c r="AN60" s="16">
        <v>204</v>
      </c>
      <c r="AO60" s="124">
        <f t="shared" si="19"/>
        <v>204</v>
      </c>
      <c r="AP60" s="15">
        <v>912</v>
      </c>
      <c r="AQ60" s="124">
        <f t="shared" si="20"/>
        <v>912</v>
      </c>
      <c r="AR60" s="15">
        <v>108</v>
      </c>
      <c r="AS60" s="124">
        <f t="shared" si="21"/>
        <v>108</v>
      </c>
      <c r="AT60" s="17"/>
      <c r="AU60" s="124">
        <f t="shared" si="22"/>
        <v>0</v>
      </c>
      <c r="AV60" s="15">
        <v>108</v>
      </c>
      <c r="AW60" s="124">
        <f t="shared" si="23"/>
        <v>108</v>
      </c>
      <c r="AX60" s="15">
        <v>264</v>
      </c>
      <c r="AY60" s="124">
        <f t="shared" si="24"/>
        <v>264</v>
      </c>
      <c r="AZ60" s="17">
        <v>252</v>
      </c>
      <c r="BA60" s="124">
        <f t="shared" si="25"/>
        <v>252</v>
      </c>
      <c r="BB60" s="33">
        <v>180</v>
      </c>
      <c r="BC60" s="124">
        <f t="shared" si="26"/>
        <v>180</v>
      </c>
      <c r="BD60" s="33">
        <v>204</v>
      </c>
      <c r="BE60" s="124">
        <f t="shared" si="27"/>
        <v>204</v>
      </c>
      <c r="BF60" s="125">
        <f t="shared" si="28"/>
        <v>4102</v>
      </c>
      <c r="BG60" s="126">
        <f t="shared" si="29"/>
        <v>4102</v>
      </c>
      <c r="BH60" s="64">
        <v>24</v>
      </c>
      <c r="BI60" s="124">
        <f t="shared" si="30"/>
        <v>24</v>
      </c>
      <c r="BJ60" s="64">
        <v>252</v>
      </c>
      <c r="BK60" s="124">
        <f t="shared" si="31"/>
        <v>252</v>
      </c>
      <c r="BL60" s="64">
        <v>24</v>
      </c>
      <c r="BM60" s="124">
        <f t="shared" si="32"/>
        <v>24</v>
      </c>
      <c r="BN60" s="64">
        <v>108</v>
      </c>
      <c r="BO60" s="124">
        <f t="shared" si="33"/>
        <v>108</v>
      </c>
      <c r="BP60" s="64">
        <v>24</v>
      </c>
      <c r="BQ60" s="124">
        <f t="shared" si="34"/>
        <v>24</v>
      </c>
      <c r="BR60" s="65">
        <v>156</v>
      </c>
      <c r="BS60" s="124">
        <f t="shared" si="35"/>
        <v>156</v>
      </c>
      <c r="BT60" s="64">
        <v>24</v>
      </c>
      <c r="BU60" s="124">
        <f t="shared" si="36"/>
        <v>24</v>
      </c>
      <c r="BV60" s="75">
        <v>216</v>
      </c>
      <c r="BW60" s="124">
        <f t="shared" si="37"/>
        <v>216</v>
      </c>
      <c r="BX60" s="67">
        <v>120</v>
      </c>
      <c r="BY60" s="124">
        <f t="shared" si="38"/>
        <v>120</v>
      </c>
      <c r="BZ60" s="67">
        <v>180</v>
      </c>
      <c r="CA60" s="124">
        <f t="shared" si="39"/>
        <v>180</v>
      </c>
      <c r="CB60" s="67">
        <v>132</v>
      </c>
      <c r="CC60" s="124">
        <f t="shared" si="40"/>
        <v>132</v>
      </c>
      <c r="CD60" s="67">
        <v>420</v>
      </c>
      <c r="CE60" s="124">
        <f t="shared" si="41"/>
        <v>420</v>
      </c>
      <c r="CF60" s="125">
        <f t="shared" si="42"/>
        <v>1680</v>
      </c>
      <c r="CG60" s="126">
        <f t="shared" si="43"/>
        <v>1680</v>
      </c>
      <c r="CH60" s="123">
        <v>84</v>
      </c>
      <c r="CI60" s="124">
        <f t="shared" si="44"/>
        <v>84</v>
      </c>
      <c r="CJ60" s="123">
        <v>36</v>
      </c>
      <c r="CK60" s="124">
        <f t="shared" si="45"/>
        <v>36</v>
      </c>
      <c r="CL60" s="123">
        <v>60</v>
      </c>
      <c r="CM60" s="124">
        <f t="shared" si="46"/>
        <v>60</v>
      </c>
      <c r="CN60" s="123">
        <v>96</v>
      </c>
      <c r="CO60" s="124">
        <f t="shared" si="47"/>
        <v>96</v>
      </c>
      <c r="CP60" s="123">
        <v>360</v>
      </c>
      <c r="CQ60" s="124">
        <f t="shared" si="48"/>
        <v>360</v>
      </c>
      <c r="CR60" s="123">
        <v>72</v>
      </c>
      <c r="CS60" s="124">
        <f t="shared" si="49"/>
        <v>72</v>
      </c>
      <c r="CT60" s="123">
        <v>336</v>
      </c>
      <c r="CU60" s="124">
        <f t="shared" si="50"/>
        <v>336</v>
      </c>
      <c r="CV60" s="123">
        <v>264</v>
      </c>
      <c r="CW60" s="124">
        <f t="shared" si="51"/>
        <v>264</v>
      </c>
      <c r="CX60" s="123">
        <v>228</v>
      </c>
      <c r="CY60" s="124">
        <f t="shared" si="52"/>
        <v>228</v>
      </c>
      <c r="CZ60" s="123">
        <v>168</v>
      </c>
      <c r="DA60" s="124">
        <f t="shared" si="53"/>
        <v>168</v>
      </c>
      <c r="DB60" s="123">
        <v>84</v>
      </c>
      <c r="DC60" s="124">
        <f t="shared" si="54"/>
        <v>84</v>
      </c>
      <c r="DD60" s="123">
        <v>84</v>
      </c>
      <c r="DE60" s="124">
        <f t="shared" si="54"/>
        <v>84</v>
      </c>
      <c r="DF60" s="177">
        <f t="shared" si="0"/>
        <v>1872</v>
      </c>
      <c r="DG60" s="126">
        <f t="shared" si="55"/>
        <v>1872</v>
      </c>
      <c r="DH60" s="123">
        <v>215</v>
      </c>
      <c r="DI60" s="124">
        <f t="shared" si="56"/>
        <v>215</v>
      </c>
      <c r="DJ60" s="123">
        <v>933</v>
      </c>
      <c r="DK60" s="124">
        <f t="shared" si="57"/>
        <v>933</v>
      </c>
      <c r="DL60" s="123"/>
      <c r="DM60" s="124">
        <f t="shared" si="58"/>
        <v>0</v>
      </c>
      <c r="DN60" s="123"/>
      <c r="DO60" s="124">
        <f t="shared" si="59"/>
        <v>0</v>
      </c>
      <c r="DP60" s="123"/>
      <c r="DQ60" s="124">
        <f t="shared" si="60"/>
        <v>0</v>
      </c>
      <c r="DR60" s="123"/>
      <c r="DS60" s="124">
        <f t="shared" si="61"/>
        <v>0</v>
      </c>
      <c r="DT60" s="123"/>
      <c r="DU60" s="124">
        <f t="shared" si="62"/>
        <v>0</v>
      </c>
      <c r="DV60" s="123"/>
      <c r="DW60" s="124">
        <f t="shared" si="63"/>
        <v>0</v>
      </c>
      <c r="DX60" s="123"/>
      <c r="DY60" s="124">
        <f t="shared" si="64"/>
        <v>0</v>
      </c>
      <c r="DZ60" s="123"/>
      <c r="EA60" s="124">
        <f t="shared" si="65"/>
        <v>0</v>
      </c>
      <c r="EB60" s="123"/>
      <c r="EC60" s="124">
        <f t="shared" si="66"/>
        <v>0</v>
      </c>
      <c r="ED60" s="123"/>
      <c r="EE60" s="124">
        <f t="shared" si="67"/>
        <v>0</v>
      </c>
      <c r="EF60" s="27">
        <f t="shared" si="1"/>
        <v>1148</v>
      </c>
      <c r="EG60" s="124">
        <f t="shared" si="68"/>
        <v>1148</v>
      </c>
    </row>
    <row r="61" spans="1:137" ht="18" customHeight="1" x14ac:dyDescent="0.5">
      <c r="A61" s="117">
        <v>50</v>
      </c>
      <c r="B61" s="128" t="s">
        <v>238</v>
      </c>
      <c r="C61" s="117"/>
      <c r="D61" s="117"/>
      <c r="E61" s="117">
        <v>0.6</v>
      </c>
      <c r="F61" s="117"/>
      <c r="G61" s="117"/>
      <c r="H61" s="123"/>
      <c r="I61" s="124">
        <f t="shared" si="2"/>
        <v>0</v>
      </c>
      <c r="J61" s="123"/>
      <c r="K61" s="124">
        <f t="shared" si="3"/>
        <v>0</v>
      </c>
      <c r="L61" s="123"/>
      <c r="M61" s="124">
        <f t="shared" si="4"/>
        <v>0</v>
      </c>
      <c r="N61" s="123"/>
      <c r="O61" s="124">
        <f t="shared" si="5"/>
        <v>0</v>
      </c>
      <c r="P61" s="123"/>
      <c r="Q61" s="124">
        <f t="shared" si="6"/>
        <v>0</v>
      </c>
      <c r="R61" s="123"/>
      <c r="S61" s="124">
        <f t="shared" si="7"/>
        <v>0</v>
      </c>
      <c r="T61" s="123"/>
      <c r="U61" s="124">
        <f t="shared" si="8"/>
        <v>0</v>
      </c>
      <c r="V61" s="123"/>
      <c r="W61" s="124">
        <f t="shared" si="9"/>
        <v>0</v>
      </c>
      <c r="X61" s="123"/>
      <c r="Y61" s="124">
        <f t="shared" si="10"/>
        <v>0</v>
      </c>
      <c r="Z61" s="123"/>
      <c r="AA61" s="124">
        <f t="shared" si="11"/>
        <v>0</v>
      </c>
      <c r="AB61" s="123"/>
      <c r="AC61" s="124">
        <f t="shared" si="12"/>
        <v>0</v>
      </c>
      <c r="AD61" s="123"/>
      <c r="AE61" s="124">
        <f t="shared" si="13"/>
        <v>0</v>
      </c>
      <c r="AF61" s="125">
        <f t="shared" si="14"/>
        <v>0</v>
      </c>
      <c r="AG61" s="126">
        <f t="shared" si="15"/>
        <v>0</v>
      </c>
      <c r="AH61" s="11"/>
      <c r="AI61" s="124">
        <f t="shared" si="16"/>
        <v>0</v>
      </c>
      <c r="AJ61" s="15"/>
      <c r="AK61" s="124">
        <f t="shared" si="17"/>
        <v>0</v>
      </c>
      <c r="AL61" s="15"/>
      <c r="AM61" s="124">
        <f t="shared" si="18"/>
        <v>0</v>
      </c>
      <c r="AN61" s="16"/>
      <c r="AO61" s="124">
        <f t="shared" si="19"/>
        <v>0</v>
      </c>
      <c r="AP61" s="15"/>
      <c r="AQ61" s="124">
        <f t="shared" si="20"/>
        <v>0</v>
      </c>
      <c r="AR61" s="15"/>
      <c r="AS61" s="124">
        <f t="shared" si="21"/>
        <v>0</v>
      </c>
      <c r="AT61" s="17"/>
      <c r="AU61" s="124">
        <f t="shared" si="22"/>
        <v>0</v>
      </c>
      <c r="AV61" s="15"/>
      <c r="AW61" s="124">
        <f t="shared" si="23"/>
        <v>0</v>
      </c>
      <c r="AX61" s="15"/>
      <c r="AY61" s="124">
        <f t="shared" si="24"/>
        <v>0</v>
      </c>
      <c r="AZ61" s="17"/>
      <c r="BA61" s="124">
        <f t="shared" si="25"/>
        <v>0</v>
      </c>
      <c r="BB61" s="33"/>
      <c r="BC61" s="124">
        <f t="shared" si="26"/>
        <v>0</v>
      </c>
      <c r="BD61" s="33"/>
      <c r="BE61" s="124">
        <f t="shared" si="27"/>
        <v>0</v>
      </c>
      <c r="BF61" s="125">
        <f t="shared" si="28"/>
        <v>0</v>
      </c>
      <c r="BG61" s="126">
        <f t="shared" si="29"/>
        <v>0</v>
      </c>
      <c r="BH61" s="123"/>
      <c r="BI61" s="124">
        <f t="shared" si="30"/>
        <v>0</v>
      </c>
      <c r="BJ61" s="123"/>
      <c r="BK61" s="124">
        <f t="shared" si="31"/>
        <v>0</v>
      </c>
      <c r="BL61" s="123"/>
      <c r="BM61" s="124">
        <f t="shared" si="32"/>
        <v>0</v>
      </c>
      <c r="BN61" s="123"/>
      <c r="BO61" s="124">
        <f t="shared" si="33"/>
        <v>0</v>
      </c>
      <c r="BP61" s="123"/>
      <c r="BQ61" s="124">
        <f t="shared" si="34"/>
        <v>0</v>
      </c>
      <c r="BR61" s="123"/>
      <c r="BS61" s="124">
        <f t="shared" si="35"/>
        <v>0</v>
      </c>
      <c r="BT61" s="123"/>
      <c r="BU61" s="124">
        <f t="shared" si="36"/>
        <v>0</v>
      </c>
      <c r="BV61" s="123"/>
      <c r="BW61" s="124">
        <f t="shared" si="37"/>
        <v>0</v>
      </c>
      <c r="BX61" s="123"/>
      <c r="BY61" s="124">
        <f t="shared" si="38"/>
        <v>0</v>
      </c>
      <c r="BZ61" s="123"/>
      <c r="CA61" s="124">
        <f t="shared" si="39"/>
        <v>0</v>
      </c>
      <c r="CB61" s="123"/>
      <c r="CC61" s="124">
        <f t="shared" si="40"/>
        <v>0</v>
      </c>
      <c r="CD61" s="123"/>
      <c r="CE61" s="124">
        <f t="shared" si="41"/>
        <v>0</v>
      </c>
      <c r="CF61" s="125">
        <f t="shared" si="42"/>
        <v>0</v>
      </c>
      <c r="CG61" s="126">
        <f t="shared" si="43"/>
        <v>0</v>
      </c>
      <c r="CH61" s="123"/>
      <c r="CI61" s="124">
        <f t="shared" si="44"/>
        <v>0</v>
      </c>
      <c r="CJ61" s="123"/>
      <c r="CK61" s="124">
        <f t="shared" si="45"/>
        <v>0</v>
      </c>
      <c r="CL61" s="123"/>
      <c r="CM61" s="124">
        <f t="shared" si="46"/>
        <v>0</v>
      </c>
      <c r="CN61" s="123"/>
      <c r="CO61" s="124">
        <f t="shared" si="47"/>
        <v>0</v>
      </c>
      <c r="CP61" s="123"/>
      <c r="CQ61" s="124">
        <f t="shared" si="48"/>
        <v>0</v>
      </c>
      <c r="CR61" s="123"/>
      <c r="CS61" s="124">
        <f t="shared" si="49"/>
        <v>0</v>
      </c>
      <c r="CT61" s="123"/>
      <c r="CU61" s="124">
        <f t="shared" si="50"/>
        <v>0</v>
      </c>
      <c r="CV61" s="123"/>
      <c r="CW61" s="124">
        <f t="shared" si="51"/>
        <v>0</v>
      </c>
      <c r="CX61" s="123"/>
      <c r="CY61" s="124">
        <f t="shared" si="52"/>
        <v>0</v>
      </c>
      <c r="CZ61" s="123"/>
      <c r="DA61" s="124">
        <f t="shared" si="53"/>
        <v>0</v>
      </c>
      <c r="DB61" s="123"/>
      <c r="DC61" s="124">
        <f t="shared" si="54"/>
        <v>0</v>
      </c>
      <c r="DD61" s="123"/>
      <c r="DE61" s="124">
        <f t="shared" si="54"/>
        <v>0</v>
      </c>
      <c r="DF61" s="177">
        <f t="shared" si="0"/>
        <v>0</v>
      </c>
      <c r="DG61" s="126">
        <f t="shared" si="55"/>
        <v>0</v>
      </c>
      <c r="DH61" s="123"/>
      <c r="DI61" s="124">
        <f t="shared" si="56"/>
        <v>0</v>
      </c>
      <c r="DJ61" s="123"/>
      <c r="DK61" s="124">
        <f t="shared" si="57"/>
        <v>0</v>
      </c>
      <c r="DL61" s="123"/>
      <c r="DM61" s="124">
        <f t="shared" si="58"/>
        <v>0</v>
      </c>
      <c r="DN61" s="123"/>
      <c r="DO61" s="124">
        <f t="shared" si="59"/>
        <v>0</v>
      </c>
      <c r="DP61" s="123"/>
      <c r="DQ61" s="124">
        <f t="shared" si="60"/>
        <v>0</v>
      </c>
      <c r="DR61" s="123"/>
      <c r="DS61" s="124">
        <f t="shared" si="61"/>
        <v>0</v>
      </c>
      <c r="DT61" s="123"/>
      <c r="DU61" s="124">
        <f t="shared" si="62"/>
        <v>0</v>
      </c>
      <c r="DV61" s="123"/>
      <c r="DW61" s="124">
        <f t="shared" si="63"/>
        <v>0</v>
      </c>
      <c r="DX61" s="123"/>
      <c r="DY61" s="124">
        <f t="shared" si="64"/>
        <v>0</v>
      </c>
      <c r="DZ61" s="123"/>
      <c r="EA61" s="124">
        <f t="shared" si="65"/>
        <v>0</v>
      </c>
      <c r="EB61" s="123"/>
      <c r="EC61" s="124">
        <f t="shared" si="66"/>
        <v>0</v>
      </c>
      <c r="ED61" s="123"/>
      <c r="EE61" s="124">
        <f t="shared" si="67"/>
        <v>0</v>
      </c>
      <c r="EF61" s="27">
        <f t="shared" si="1"/>
        <v>0</v>
      </c>
      <c r="EG61" s="124">
        <f t="shared" si="68"/>
        <v>0</v>
      </c>
    </row>
    <row r="62" spans="1:137" ht="18" customHeight="1" x14ac:dyDescent="0.5">
      <c r="A62" s="117">
        <v>51</v>
      </c>
      <c r="B62" s="122" t="s">
        <v>170</v>
      </c>
      <c r="C62" s="122" t="s">
        <v>233</v>
      </c>
      <c r="D62" s="117">
        <f>RANK(DF62,$DF$4:$DF$147)</f>
        <v>21</v>
      </c>
      <c r="E62" s="117">
        <v>0.35</v>
      </c>
      <c r="F62" s="117" t="s">
        <v>234</v>
      </c>
      <c r="G62" s="117"/>
      <c r="H62" s="123"/>
      <c r="I62" s="124">
        <f t="shared" si="2"/>
        <v>0</v>
      </c>
      <c r="J62" s="123"/>
      <c r="K62" s="124">
        <f t="shared" si="3"/>
        <v>0</v>
      </c>
      <c r="L62" s="123"/>
      <c r="M62" s="124">
        <f t="shared" si="4"/>
        <v>0</v>
      </c>
      <c r="N62" s="123"/>
      <c r="O62" s="124">
        <f t="shared" si="5"/>
        <v>0</v>
      </c>
      <c r="P62" s="123"/>
      <c r="Q62" s="124">
        <f t="shared" si="6"/>
        <v>0</v>
      </c>
      <c r="R62" s="123"/>
      <c r="S62" s="124">
        <f t="shared" si="7"/>
        <v>0</v>
      </c>
      <c r="T62" s="123"/>
      <c r="U62" s="124">
        <f t="shared" si="8"/>
        <v>0</v>
      </c>
      <c r="V62" s="123"/>
      <c r="W62" s="124">
        <f t="shared" si="9"/>
        <v>0</v>
      </c>
      <c r="X62" s="123"/>
      <c r="Y62" s="124">
        <f t="shared" si="10"/>
        <v>0</v>
      </c>
      <c r="Z62" s="123"/>
      <c r="AA62" s="124">
        <f t="shared" si="11"/>
        <v>0</v>
      </c>
      <c r="AB62" s="123"/>
      <c r="AC62" s="124">
        <f t="shared" si="12"/>
        <v>0</v>
      </c>
      <c r="AD62" s="123"/>
      <c r="AE62" s="124">
        <f t="shared" si="13"/>
        <v>0</v>
      </c>
      <c r="AF62" s="125">
        <f t="shared" si="14"/>
        <v>0</v>
      </c>
      <c r="AG62" s="126">
        <f t="shared" si="15"/>
        <v>0</v>
      </c>
      <c r="AH62" s="11"/>
      <c r="AI62" s="124">
        <f t="shared" si="16"/>
        <v>0</v>
      </c>
      <c r="AJ62" s="15"/>
      <c r="AK62" s="124">
        <f t="shared" si="17"/>
        <v>0</v>
      </c>
      <c r="AL62" s="15"/>
      <c r="AM62" s="124">
        <f t="shared" si="18"/>
        <v>0</v>
      </c>
      <c r="AN62" s="16"/>
      <c r="AO62" s="124">
        <f t="shared" si="19"/>
        <v>0</v>
      </c>
      <c r="AP62" s="15"/>
      <c r="AQ62" s="124">
        <f t="shared" si="20"/>
        <v>0</v>
      </c>
      <c r="AR62" s="15"/>
      <c r="AS62" s="124">
        <f t="shared" si="21"/>
        <v>0</v>
      </c>
      <c r="AT62" s="17"/>
      <c r="AU62" s="124">
        <f t="shared" si="22"/>
        <v>0</v>
      </c>
      <c r="AV62" s="15"/>
      <c r="AW62" s="124">
        <f t="shared" si="23"/>
        <v>0</v>
      </c>
      <c r="AX62" s="15"/>
      <c r="AY62" s="124">
        <f t="shared" si="24"/>
        <v>0</v>
      </c>
      <c r="AZ62" s="17"/>
      <c r="BA62" s="124">
        <f t="shared" si="25"/>
        <v>0</v>
      </c>
      <c r="BB62" s="33"/>
      <c r="BC62" s="124">
        <f t="shared" si="26"/>
        <v>0</v>
      </c>
      <c r="BD62" s="33"/>
      <c r="BE62" s="124">
        <f t="shared" si="27"/>
        <v>0</v>
      </c>
      <c r="BF62" s="125">
        <f t="shared" si="28"/>
        <v>0</v>
      </c>
      <c r="BG62" s="126">
        <f t="shared" si="29"/>
        <v>0</v>
      </c>
      <c r="BH62" s="123"/>
      <c r="BI62" s="124">
        <f t="shared" si="30"/>
        <v>0</v>
      </c>
      <c r="BJ62" s="123"/>
      <c r="BK62" s="124">
        <f t="shared" si="31"/>
        <v>0</v>
      </c>
      <c r="BL62" s="123"/>
      <c r="BM62" s="124">
        <f t="shared" si="32"/>
        <v>0</v>
      </c>
      <c r="BN62" s="123"/>
      <c r="BO62" s="124">
        <f t="shared" si="33"/>
        <v>0</v>
      </c>
      <c r="BP62" s="123"/>
      <c r="BQ62" s="124">
        <f t="shared" si="34"/>
        <v>0</v>
      </c>
      <c r="BR62" s="123"/>
      <c r="BS62" s="124">
        <f t="shared" si="35"/>
        <v>0</v>
      </c>
      <c r="BT62" s="123"/>
      <c r="BU62" s="124">
        <f t="shared" si="36"/>
        <v>0</v>
      </c>
      <c r="BV62" s="123"/>
      <c r="BW62" s="124">
        <f t="shared" si="37"/>
        <v>0</v>
      </c>
      <c r="BX62" s="123"/>
      <c r="BY62" s="124">
        <f t="shared" si="38"/>
        <v>0</v>
      </c>
      <c r="BZ62" s="123"/>
      <c r="CA62" s="124">
        <f t="shared" si="39"/>
        <v>0</v>
      </c>
      <c r="CB62" s="123"/>
      <c r="CC62" s="124">
        <f t="shared" si="40"/>
        <v>0</v>
      </c>
      <c r="CD62" s="123"/>
      <c r="CE62" s="124">
        <f t="shared" si="41"/>
        <v>0</v>
      </c>
      <c r="CF62" s="125">
        <f t="shared" si="42"/>
        <v>0</v>
      </c>
      <c r="CG62" s="126">
        <f t="shared" si="43"/>
        <v>0</v>
      </c>
      <c r="CH62" s="123"/>
      <c r="CI62" s="124">
        <f t="shared" si="44"/>
        <v>0</v>
      </c>
      <c r="CJ62" s="123"/>
      <c r="CK62" s="124">
        <f t="shared" si="45"/>
        <v>0</v>
      </c>
      <c r="CL62" s="123"/>
      <c r="CM62" s="124">
        <f t="shared" si="46"/>
        <v>0</v>
      </c>
      <c r="CN62" s="123"/>
      <c r="CO62" s="124">
        <f t="shared" si="47"/>
        <v>0</v>
      </c>
      <c r="CP62" s="123"/>
      <c r="CQ62" s="124">
        <f t="shared" si="48"/>
        <v>0</v>
      </c>
      <c r="CR62" s="123"/>
      <c r="CS62" s="124">
        <f t="shared" si="49"/>
        <v>0</v>
      </c>
      <c r="CT62" s="123"/>
      <c r="CU62" s="124">
        <f t="shared" si="50"/>
        <v>0</v>
      </c>
      <c r="CV62" s="123"/>
      <c r="CW62" s="124">
        <f t="shared" si="51"/>
        <v>0</v>
      </c>
      <c r="CX62" s="123"/>
      <c r="CY62" s="124">
        <f t="shared" si="52"/>
        <v>0</v>
      </c>
      <c r="CZ62" s="123"/>
      <c r="DA62" s="124">
        <f t="shared" si="53"/>
        <v>0</v>
      </c>
      <c r="DB62" s="123"/>
      <c r="DC62" s="124">
        <f t="shared" si="54"/>
        <v>0</v>
      </c>
      <c r="DD62" s="123"/>
      <c r="DE62" s="124">
        <f t="shared" si="54"/>
        <v>0</v>
      </c>
      <c r="DF62" s="177">
        <f t="shared" si="0"/>
        <v>0</v>
      </c>
      <c r="DG62" s="126">
        <f t="shared" si="55"/>
        <v>0</v>
      </c>
      <c r="DH62" s="123"/>
      <c r="DI62" s="124">
        <f t="shared" si="56"/>
        <v>0</v>
      </c>
      <c r="DJ62" s="123"/>
      <c r="DK62" s="124">
        <f t="shared" si="57"/>
        <v>0</v>
      </c>
      <c r="DL62" s="123"/>
      <c r="DM62" s="124">
        <f t="shared" si="58"/>
        <v>0</v>
      </c>
      <c r="DN62" s="123"/>
      <c r="DO62" s="124">
        <f t="shared" si="59"/>
        <v>0</v>
      </c>
      <c r="DP62" s="123"/>
      <c r="DQ62" s="124">
        <f t="shared" si="60"/>
        <v>0</v>
      </c>
      <c r="DR62" s="123"/>
      <c r="DS62" s="124">
        <f t="shared" si="61"/>
        <v>0</v>
      </c>
      <c r="DT62" s="123"/>
      <c r="DU62" s="124">
        <f t="shared" si="62"/>
        <v>0</v>
      </c>
      <c r="DV62" s="123"/>
      <c r="DW62" s="124">
        <f t="shared" si="63"/>
        <v>0</v>
      </c>
      <c r="DX62" s="123"/>
      <c r="DY62" s="124">
        <f t="shared" si="64"/>
        <v>0</v>
      </c>
      <c r="DZ62" s="123"/>
      <c r="EA62" s="124">
        <f t="shared" si="65"/>
        <v>0</v>
      </c>
      <c r="EB62" s="123"/>
      <c r="EC62" s="124">
        <f t="shared" si="66"/>
        <v>0</v>
      </c>
      <c r="ED62" s="123"/>
      <c r="EE62" s="124">
        <f t="shared" si="67"/>
        <v>0</v>
      </c>
      <c r="EF62" s="27">
        <f t="shared" si="1"/>
        <v>0</v>
      </c>
      <c r="EG62" s="124">
        <f t="shared" si="68"/>
        <v>0</v>
      </c>
    </row>
    <row r="63" spans="1:137" ht="18" customHeight="1" x14ac:dyDescent="0.5">
      <c r="A63" s="117">
        <v>52</v>
      </c>
      <c r="B63" s="122" t="s">
        <v>171</v>
      </c>
      <c r="C63" s="122" t="s">
        <v>231</v>
      </c>
      <c r="D63" s="117">
        <f>RANK(DF63,$DF$4:$DF$147)</f>
        <v>21</v>
      </c>
      <c r="E63" s="117">
        <v>0.64</v>
      </c>
      <c r="F63" s="117" t="s">
        <v>236</v>
      </c>
      <c r="G63" s="117"/>
      <c r="H63" s="123"/>
      <c r="I63" s="124">
        <f t="shared" si="2"/>
        <v>0</v>
      </c>
      <c r="J63" s="123"/>
      <c r="K63" s="124">
        <f t="shared" si="3"/>
        <v>0</v>
      </c>
      <c r="L63" s="123"/>
      <c r="M63" s="124">
        <f t="shared" si="4"/>
        <v>0</v>
      </c>
      <c r="N63" s="123"/>
      <c r="O63" s="124">
        <f t="shared" si="5"/>
        <v>0</v>
      </c>
      <c r="P63" s="123"/>
      <c r="Q63" s="124">
        <f t="shared" si="6"/>
        <v>0</v>
      </c>
      <c r="R63" s="123"/>
      <c r="S63" s="124">
        <f t="shared" si="7"/>
        <v>0</v>
      </c>
      <c r="T63" s="123"/>
      <c r="U63" s="124">
        <f t="shared" si="8"/>
        <v>0</v>
      </c>
      <c r="V63" s="123"/>
      <c r="W63" s="124">
        <f t="shared" si="9"/>
        <v>0</v>
      </c>
      <c r="X63" s="123"/>
      <c r="Y63" s="124">
        <f t="shared" si="10"/>
        <v>0</v>
      </c>
      <c r="Z63" s="123"/>
      <c r="AA63" s="124">
        <f t="shared" si="11"/>
        <v>0</v>
      </c>
      <c r="AB63" s="123"/>
      <c r="AC63" s="124">
        <f t="shared" si="12"/>
        <v>0</v>
      </c>
      <c r="AD63" s="123"/>
      <c r="AE63" s="124">
        <f t="shared" si="13"/>
        <v>0</v>
      </c>
      <c r="AF63" s="125">
        <f t="shared" si="14"/>
        <v>0</v>
      </c>
      <c r="AG63" s="126">
        <f t="shared" si="15"/>
        <v>0</v>
      </c>
      <c r="AH63" s="11"/>
      <c r="AI63" s="124">
        <f t="shared" si="16"/>
        <v>0</v>
      </c>
      <c r="AJ63" s="15"/>
      <c r="AK63" s="124">
        <f t="shared" si="17"/>
        <v>0</v>
      </c>
      <c r="AL63" s="15"/>
      <c r="AM63" s="124">
        <f t="shared" si="18"/>
        <v>0</v>
      </c>
      <c r="AN63" s="16"/>
      <c r="AO63" s="124">
        <f t="shared" si="19"/>
        <v>0</v>
      </c>
      <c r="AP63" s="15"/>
      <c r="AQ63" s="124">
        <f t="shared" si="20"/>
        <v>0</v>
      </c>
      <c r="AR63" s="15"/>
      <c r="AS63" s="124">
        <f t="shared" si="21"/>
        <v>0</v>
      </c>
      <c r="AT63" s="17"/>
      <c r="AU63" s="124">
        <f t="shared" si="22"/>
        <v>0</v>
      </c>
      <c r="AV63" s="15"/>
      <c r="AW63" s="124">
        <f t="shared" si="23"/>
        <v>0</v>
      </c>
      <c r="AX63" s="15"/>
      <c r="AY63" s="124">
        <f t="shared" si="24"/>
        <v>0</v>
      </c>
      <c r="AZ63" s="17"/>
      <c r="BA63" s="124">
        <f t="shared" si="25"/>
        <v>0</v>
      </c>
      <c r="BB63" s="33"/>
      <c r="BC63" s="124">
        <f t="shared" si="26"/>
        <v>0</v>
      </c>
      <c r="BD63" s="33"/>
      <c r="BE63" s="124">
        <f t="shared" si="27"/>
        <v>0</v>
      </c>
      <c r="BF63" s="125">
        <f t="shared" si="28"/>
        <v>0</v>
      </c>
      <c r="BG63" s="126">
        <f t="shared" si="29"/>
        <v>0</v>
      </c>
      <c r="BH63" s="123"/>
      <c r="BI63" s="124">
        <f t="shared" si="30"/>
        <v>0</v>
      </c>
      <c r="BJ63" s="123"/>
      <c r="BK63" s="124">
        <f t="shared" si="31"/>
        <v>0</v>
      </c>
      <c r="BL63" s="123"/>
      <c r="BM63" s="124">
        <f t="shared" si="32"/>
        <v>0</v>
      </c>
      <c r="BN63" s="123"/>
      <c r="BO63" s="124">
        <f t="shared" si="33"/>
        <v>0</v>
      </c>
      <c r="BP63" s="123"/>
      <c r="BQ63" s="124">
        <f t="shared" si="34"/>
        <v>0</v>
      </c>
      <c r="BR63" s="123"/>
      <c r="BS63" s="124">
        <f t="shared" si="35"/>
        <v>0</v>
      </c>
      <c r="BT63" s="123"/>
      <c r="BU63" s="124">
        <f t="shared" si="36"/>
        <v>0</v>
      </c>
      <c r="BV63" s="123"/>
      <c r="BW63" s="124">
        <f t="shared" si="37"/>
        <v>0</v>
      </c>
      <c r="BX63" s="123"/>
      <c r="BY63" s="124">
        <f t="shared" si="38"/>
        <v>0</v>
      </c>
      <c r="BZ63" s="123"/>
      <c r="CA63" s="124">
        <f t="shared" si="39"/>
        <v>0</v>
      </c>
      <c r="CB63" s="123"/>
      <c r="CC63" s="124">
        <f t="shared" si="40"/>
        <v>0</v>
      </c>
      <c r="CD63" s="123"/>
      <c r="CE63" s="124">
        <f t="shared" si="41"/>
        <v>0</v>
      </c>
      <c r="CF63" s="125">
        <f t="shared" si="42"/>
        <v>0</v>
      </c>
      <c r="CG63" s="126">
        <f t="shared" si="43"/>
        <v>0</v>
      </c>
      <c r="CH63" s="123"/>
      <c r="CI63" s="124">
        <f t="shared" si="44"/>
        <v>0</v>
      </c>
      <c r="CJ63" s="123"/>
      <c r="CK63" s="124">
        <f t="shared" si="45"/>
        <v>0</v>
      </c>
      <c r="CL63" s="123"/>
      <c r="CM63" s="124">
        <f t="shared" si="46"/>
        <v>0</v>
      </c>
      <c r="CN63" s="123"/>
      <c r="CO63" s="124">
        <f t="shared" si="47"/>
        <v>0</v>
      </c>
      <c r="CP63" s="123"/>
      <c r="CQ63" s="124">
        <f t="shared" si="48"/>
        <v>0</v>
      </c>
      <c r="CR63" s="123"/>
      <c r="CS63" s="124">
        <f t="shared" si="49"/>
        <v>0</v>
      </c>
      <c r="CT63" s="123"/>
      <c r="CU63" s="124">
        <f t="shared" si="50"/>
        <v>0</v>
      </c>
      <c r="CV63" s="123"/>
      <c r="CW63" s="124">
        <f t="shared" si="51"/>
        <v>0</v>
      </c>
      <c r="CX63" s="123"/>
      <c r="CY63" s="124">
        <f t="shared" si="52"/>
        <v>0</v>
      </c>
      <c r="CZ63" s="123"/>
      <c r="DA63" s="124">
        <f t="shared" si="53"/>
        <v>0</v>
      </c>
      <c r="DB63" s="123"/>
      <c r="DC63" s="124">
        <f t="shared" si="54"/>
        <v>0</v>
      </c>
      <c r="DD63" s="123"/>
      <c r="DE63" s="124">
        <f t="shared" si="54"/>
        <v>0</v>
      </c>
      <c r="DF63" s="177">
        <f t="shared" si="0"/>
        <v>0</v>
      </c>
      <c r="DG63" s="126">
        <f t="shared" si="55"/>
        <v>0</v>
      </c>
      <c r="DH63" s="123"/>
      <c r="DI63" s="124">
        <f t="shared" si="56"/>
        <v>0</v>
      </c>
      <c r="DJ63" s="123"/>
      <c r="DK63" s="124">
        <f t="shared" si="57"/>
        <v>0</v>
      </c>
      <c r="DL63" s="123"/>
      <c r="DM63" s="124">
        <f t="shared" si="58"/>
        <v>0</v>
      </c>
      <c r="DN63" s="123"/>
      <c r="DO63" s="124">
        <f t="shared" si="59"/>
        <v>0</v>
      </c>
      <c r="DP63" s="123"/>
      <c r="DQ63" s="124">
        <f t="shared" si="60"/>
        <v>0</v>
      </c>
      <c r="DR63" s="123"/>
      <c r="DS63" s="124">
        <f t="shared" si="61"/>
        <v>0</v>
      </c>
      <c r="DT63" s="123"/>
      <c r="DU63" s="124">
        <f t="shared" si="62"/>
        <v>0</v>
      </c>
      <c r="DV63" s="123"/>
      <c r="DW63" s="124">
        <f t="shared" si="63"/>
        <v>0</v>
      </c>
      <c r="DX63" s="123"/>
      <c r="DY63" s="124">
        <f t="shared" si="64"/>
        <v>0</v>
      </c>
      <c r="DZ63" s="123"/>
      <c r="EA63" s="124">
        <f t="shared" si="65"/>
        <v>0</v>
      </c>
      <c r="EB63" s="123"/>
      <c r="EC63" s="124">
        <f t="shared" si="66"/>
        <v>0</v>
      </c>
      <c r="ED63" s="123"/>
      <c r="EE63" s="124">
        <f t="shared" si="67"/>
        <v>0</v>
      </c>
      <c r="EF63" s="27">
        <f t="shared" si="1"/>
        <v>0</v>
      </c>
      <c r="EG63" s="124">
        <f t="shared" si="68"/>
        <v>0</v>
      </c>
    </row>
    <row r="64" spans="1:137" ht="18" customHeight="1" x14ac:dyDescent="0.5">
      <c r="A64" s="117">
        <v>53</v>
      </c>
      <c r="B64" s="122" t="s">
        <v>172</v>
      </c>
      <c r="C64" s="122" t="s">
        <v>231</v>
      </c>
      <c r="D64" s="117">
        <f>RANK(DF64,$DF$4:$DF$147)</f>
        <v>21</v>
      </c>
      <c r="E64" s="117">
        <v>0.64</v>
      </c>
      <c r="F64" s="117" t="s">
        <v>236</v>
      </c>
      <c r="G64" s="117"/>
      <c r="H64" s="123"/>
      <c r="I64" s="124">
        <f t="shared" si="2"/>
        <v>0</v>
      </c>
      <c r="J64" s="123"/>
      <c r="K64" s="124">
        <f t="shared" si="3"/>
        <v>0</v>
      </c>
      <c r="L64" s="123"/>
      <c r="M64" s="124">
        <f t="shared" si="4"/>
        <v>0</v>
      </c>
      <c r="N64" s="123"/>
      <c r="O64" s="124">
        <f t="shared" si="5"/>
        <v>0</v>
      </c>
      <c r="P64" s="123"/>
      <c r="Q64" s="124">
        <f t="shared" si="6"/>
        <v>0</v>
      </c>
      <c r="R64" s="123"/>
      <c r="S64" s="124">
        <f t="shared" si="7"/>
        <v>0</v>
      </c>
      <c r="T64" s="123"/>
      <c r="U64" s="124">
        <f t="shared" si="8"/>
        <v>0</v>
      </c>
      <c r="V64" s="123"/>
      <c r="W64" s="124">
        <f t="shared" si="9"/>
        <v>0</v>
      </c>
      <c r="X64" s="123"/>
      <c r="Y64" s="124">
        <f t="shared" si="10"/>
        <v>0</v>
      </c>
      <c r="Z64" s="123"/>
      <c r="AA64" s="124">
        <f t="shared" si="11"/>
        <v>0</v>
      </c>
      <c r="AB64" s="123"/>
      <c r="AC64" s="124">
        <f t="shared" si="12"/>
        <v>0</v>
      </c>
      <c r="AD64" s="123"/>
      <c r="AE64" s="124">
        <f t="shared" si="13"/>
        <v>0</v>
      </c>
      <c r="AF64" s="125">
        <f t="shared" si="14"/>
        <v>0</v>
      </c>
      <c r="AG64" s="126">
        <f t="shared" si="15"/>
        <v>0</v>
      </c>
      <c r="AH64" s="11">
        <v>1596</v>
      </c>
      <c r="AI64" s="124">
        <f t="shared" si="16"/>
        <v>1021.44</v>
      </c>
      <c r="AJ64" s="15"/>
      <c r="AK64" s="124">
        <f t="shared" si="17"/>
        <v>0</v>
      </c>
      <c r="AL64" s="15"/>
      <c r="AM64" s="124">
        <f t="shared" si="18"/>
        <v>0</v>
      </c>
      <c r="AN64" s="16"/>
      <c r="AO64" s="124">
        <f t="shared" si="19"/>
        <v>0</v>
      </c>
      <c r="AP64" s="15"/>
      <c r="AQ64" s="124">
        <f t="shared" si="20"/>
        <v>0</v>
      </c>
      <c r="AR64" s="15"/>
      <c r="AS64" s="124">
        <f t="shared" si="21"/>
        <v>0</v>
      </c>
      <c r="AT64" s="17"/>
      <c r="AU64" s="124">
        <f t="shared" si="22"/>
        <v>0</v>
      </c>
      <c r="AV64" s="15"/>
      <c r="AW64" s="124">
        <f t="shared" si="23"/>
        <v>0</v>
      </c>
      <c r="AX64" s="15"/>
      <c r="AY64" s="124">
        <f t="shared" si="24"/>
        <v>0</v>
      </c>
      <c r="AZ64" s="17"/>
      <c r="BA64" s="124">
        <f t="shared" si="25"/>
        <v>0</v>
      </c>
      <c r="BB64" s="33"/>
      <c r="BC64" s="124">
        <f t="shared" si="26"/>
        <v>0</v>
      </c>
      <c r="BD64" s="33"/>
      <c r="BE64" s="124">
        <f t="shared" si="27"/>
        <v>0</v>
      </c>
      <c r="BF64" s="125">
        <f t="shared" si="28"/>
        <v>1596</v>
      </c>
      <c r="BG64" s="126">
        <f t="shared" si="29"/>
        <v>1021.44</v>
      </c>
      <c r="BH64" s="123"/>
      <c r="BI64" s="124">
        <f t="shared" si="30"/>
        <v>0</v>
      </c>
      <c r="BJ64" s="123"/>
      <c r="BK64" s="124">
        <f t="shared" si="31"/>
        <v>0</v>
      </c>
      <c r="BL64" s="123"/>
      <c r="BM64" s="124">
        <f t="shared" si="32"/>
        <v>0</v>
      </c>
      <c r="BN64" s="123"/>
      <c r="BO64" s="124">
        <f t="shared" si="33"/>
        <v>0</v>
      </c>
      <c r="BP64" s="123"/>
      <c r="BQ64" s="124">
        <f t="shared" si="34"/>
        <v>0</v>
      </c>
      <c r="BR64" s="123"/>
      <c r="BS64" s="124">
        <f t="shared" si="35"/>
        <v>0</v>
      </c>
      <c r="BT64" s="123"/>
      <c r="BU64" s="124">
        <f t="shared" si="36"/>
        <v>0</v>
      </c>
      <c r="BV64" s="123"/>
      <c r="BW64" s="124">
        <f t="shared" si="37"/>
        <v>0</v>
      </c>
      <c r="BX64" s="123"/>
      <c r="BY64" s="124">
        <f t="shared" si="38"/>
        <v>0</v>
      </c>
      <c r="BZ64" s="123"/>
      <c r="CA64" s="124">
        <f t="shared" si="39"/>
        <v>0</v>
      </c>
      <c r="CB64" s="123"/>
      <c r="CC64" s="124">
        <f t="shared" si="40"/>
        <v>0</v>
      </c>
      <c r="CD64" s="123"/>
      <c r="CE64" s="124">
        <f t="shared" si="41"/>
        <v>0</v>
      </c>
      <c r="CF64" s="125">
        <f t="shared" si="42"/>
        <v>0</v>
      </c>
      <c r="CG64" s="126">
        <f t="shared" si="43"/>
        <v>0</v>
      </c>
      <c r="CH64" s="123"/>
      <c r="CI64" s="124">
        <f t="shared" si="44"/>
        <v>0</v>
      </c>
      <c r="CJ64" s="123"/>
      <c r="CK64" s="124">
        <f t="shared" si="45"/>
        <v>0</v>
      </c>
      <c r="CL64" s="123"/>
      <c r="CM64" s="124">
        <f t="shared" si="46"/>
        <v>0</v>
      </c>
      <c r="CN64" s="123"/>
      <c r="CO64" s="124">
        <f t="shared" si="47"/>
        <v>0</v>
      </c>
      <c r="CP64" s="123"/>
      <c r="CQ64" s="124">
        <f t="shared" si="48"/>
        <v>0</v>
      </c>
      <c r="CR64" s="123"/>
      <c r="CS64" s="124">
        <f t="shared" si="49"/>
        <v>0</v>
      </c>
      <c r="CT64" s="123"/>
      <c r="CU64" s="124">
        <f t="shared" si="50"/>
        <v>0</v>
      </c>
      <c r="CV64" s="123"/>
      <c r="CW64" s="124">
        <f t="shared" si="51"/>
        <v>0</v>
      </c>
      <c r="CX64" s="123"/>
      <c r="CY64" s="124">
        <f t="shared" si="52"/>
        <v>0</v>
      </c>
      <c r="CZ64" s="123"/>
      <c r="DA64" s="124">
        <f t="shared" si="53"/>
        <v>0</v>
      </c>
      <c r="DB64" s="123"/>
      <c r="DC64" s="124">
        <f t="shared" si="54"/>
        <v>0</v>
      </c>
      <c r="DD64" s="123"/>
      <c r="DE64" s="124">
        <f t="shared" si="54"/>
        <v>0</v>
      </c>
      <c r="DF64" s="177">
        <f t="shared" si="0"/>
        <v>0</v>
      </c>
      <c r="DG64" s="126">
        <f t="shared" si="55"/>
        <v>0</v>
      </c>
      <c r="DH64" s="123"/>
      <c r="DI64" s="124">
        <f t="shared" si="56"/>
        <v>0</v>
      </c>
      <c r="DJ64" s="123"/>
      <c r="DK64" s="124">
        <f t="shared" si="57"/>
        <v>0</v>
      </c>
      <c r="DL64" s="123"/>
      <c r="DM64" s="124">
        <f t="shared" si="58"/>
        <v>0</v>
      </c>
      <c r="DN64" s="123"/>
      <c r="DO64" s="124">
        <f t="shared" si="59"/>
        <v>0</v>
      </c>
      <c r="DP64" s="123"/>
      <c r="DQ64" s="124">
        <f t="shared" si="60"/>
        <v>0</v>
      </c>
      <c r="DR64" s="123"/>
      <c r="DS64" s="124">
        <f t="shared" si="61"/>
        <v>0</v>
      </c>
      <c r="DT64" s="123"/>
      <c r="DU64" s="124">
        <f t="shared" si="62"/>
        <v>0</v>
      </c>
      <c r="DV64" s="123"/>
      <c r="DW64" s="124">
        <f t="shared" si="63"/>
        <v>0</v>
      </c>
      <c r="DX64" s="123"/>
      <c r="DY64" s="124">
        <f t="shared" si="64"/>
        <v>0</v>
      </c>
      <c r="DZ64" s="123"/>
      <c r="EA64" s="124">
        <f t="shared" si="65"/>
        <v>0</v>
      </c>
      <c r="EB64" s="123"/>
      <c r="EC64" s="124">
        <f t="shared" si="66"/>
        <v>0</v>
      </c>
      <c r="ED64" s="123"/>
      <c r="EE64" s="124">
        <f t="shared" si="67"/>
        <v>0</v>
      </c>
      <c r="EF64" s="27">
        <f t="shared" si="1"/>
        <v>0</v>
      </c>
      <c r="EG64" s="124">
        <f t="shared" si="68"/>
        <v>0</v>
      </c>
    </row>
    <row r="65" spans="1:137" ht="18" customHeight="1" x14ac:dyDescent="0.5">
      <c r="A65" s="117"/>
      <c r="B65" s="122"/>
      <c r="C65" s="122"/>
      <c r="D65" s="117"/>
      <c r="E65" s="117"/>
      <c r="F65" s="117"/>
      <c r="G65" s="117"/>
      <c r="H65" s="123"/>
      <c r="I65" s="124">
        <f t="shared" si="2"/>
        <v>0</v>
      </c>
      <c r="J65" s="123"/>
      <c r="K65" s="124">
        <f t="shared" si="3"/>
        <v>0</v>
      </c>
      <c r="L65" s="123"/>
      <c r="M65" s="124">
        <f t="shared" si="4"/>
        <v>0</v>
      </c>
      <c r="N65" s="123"/>
      <c r="O65" s="124">
        <f t="shared" si="5"/>
        <v>0</v>
      </c>
      <c r="P65" s="123"/>
      <c r="Q65" s="124">
        <f t="shared" si="6"/>
        <v>0</v>
      </c>
      <c r="R65" s="123"/>
      <c r="S65" s="124">
        <f t="shared" si="7"/>
        <v>0</v>
      </c>
      <c r="T65" s="123"/>
      <c r="U65" s="124">
        <f t="shared" si="8"/>
        <v>0</v>
      </c>
      <c r="V65" s="123"/>
      <c r="W65" s="124">
        <f t="shared" si="9"/>
        <v>0</v>
      </c>
      <c r="X65" s="123"/>
      <c r="Y65" s="124">
        <f t="shared" si="10"/>
        <v>0</v>
      </c>
      <c r="Z65" s="123"/>
      <c r="AA65" s="124">
        <f t="shared" si="11"/>
        <v>0</v>
      </c>
      <c r="AB65" s="123"/>
      <c r="AC65" s="124">
        <f t="shared" si="12"/>
        <v>0</v>
      </c>
      <c r="AD65" s="123"/>
      <c r="AE65" s="124">
        <f t="shared" si="13"/>
        <v>0</v>
      </c>
      <c r="AF65" s="125">
        <f t="shared" si="14"/>
        <v>0</v>
      </c>
      <c r="AG65" s="126">
        <f t="shared" si="15"/>
        <v>0</v>
      </c>
      <c r="AH65" s="11"/>
      <c r="AI65" s="124">
        <f t="shared" si="16"/>
        <v>0</v>
      </c>
      <c r="AJ65" s="15"/>
      <c r="AK65" s="124">
        <f t="shared" si="17"/>
        <v>0</v>
      </c>
      <c r="AL65" s="15"/>
      <c r="AM65" s="124">
        <f t="shared" si="18"/>
        <v>0</v>
      </c>
      <c r="AN65" s="16"/>
      <c r="AO65" s="124">
        <f t="shared" si="19"/>
        <v>0</v>
      </c>
      <c r="AP65" s="15"/>
      <c r="AQ65" s="124">
        <f t="shared" si="20"/>
        <v>0</v>
      </c>
      <c r="AR65" s="15"/>
      <c r="AS65" s="124">
        <f t="shared" si="21"/>
        <v>0</v>
      </c>
      <c r="AT65" s="17"/>
      <c r="AU65" s="124">
        <f t="shared" si="22"/>
        <v>0</v>
      </c>
      <c r="AV65" s="15"/>
      <c r="AW65" s="124">
        <f t="shared" si="23"/>
        <v>0</v>
      </c>
      <c r="AX65" s="15"/>
      <c r="AY65" s="124">
        <f t="shared" si="24"/>
        <v>0</v>
      </c>
      <c r="AZ65" s="17"/>
      <c r="BA65" s="124">
        <f t="shared" si="25"/>
        <v>0</v>
      </c>
      <c r="BB65" s="33"/>
      <c r="BC65" s="124">
        <f t="shared" si="26"/>
        <v>0</v>
      </c>
      <c r="BD65" s="33"/>
      <c r="BE65" s="124">
        <f t="shared" si="27"/>
        <v>0</v>
      </c>
      <c r="BF65" s="125">
        <f t="shared" si="28"/>
        <v>0</v>
      </c>
      <c r="BG65" s="126">
        <f t="shared" si="29"/>
        <v>0</v>
      </c>
      <c r="BH65" s="123"/>
      <c r="BI65" s="124">
        <f t="shared" si="30"/>
        <v>0</v>
      </c>
      <c r="BJ65" s="123"/>
      <c r="BK65" s="124">
        <f t="shared" si="31"/>
        <v>0</v>
      </c>
      <c r="BL65" s="123"/>
      <c r="BM65" s="124">
        <f t="shared" si="32"/>
        <v>0</v>
      </c>
      <c r="BN65" s="123"/>
      <c r="BO65" s="124">
        <f t="shared" si="33"/>
        <v>0</v>
      </c>
      <c r="BP65" s="123"/>
      <c r="BQ65" s="124">
        <f t="shared" si="34"/>
        <v>0</v>
      </c>
      <c r="BR65" s="123"/>
      <c r="BS65" s="124">
        <f t="shared" si="35"/>
        <v>0</v>
      </c>
      <c r="BT65" s="123"/>
      <c r="BU65" s="124">
        <f t="shared" si="36"/>
        <v>0</v>
      </c>
      <c r="BV65" s="123"/>
      <c r="BW65" s="124">
        <f t="shared" si="37"/>
        <v>0</v>
      </c>
      <c r="BX65" s="123"/>
      <c r="BY65" s="124">
        <f t="shared" si="38"/>
        <v>0</v>
      </c>
      <c r="BZ65" s="123"/>
      <c r="CA65" s="124">
        <f t="shared" si="39"/>
        <v>0</v>
      </c>
      <c r="CB65" s="123"/>
      <c r="CC65" s="124">
        <f t="shared" si="40"/>
        <v>0</v>
      </c>
      <c r="CD65" s="123"/>
      <c r="CE65" s="124">
        <f t="shared" si="41"/>
        <v>0</v>
      </c>
      <c r="CF65" s="125">
        <f t="shared" si="42"/>
        <v>0</v>
      </c>
      <c r="CG65" s="126">
        <f t="shared" si="43"/>
        <v>0</v>
      </c>
      <c r="CH65" s="123"/>
      <c r="CI65" s="124">
        <f t="shared" si="44"/>
        <v>0</v>
      </c>
      <c r="CJ65" s="123"/>
      <c r="CK65" s="124">
        <f t="shared" si="45"/>
        <v>0</v>
      </c>
      <c r="CL65" s="123"/>
      <c r="CM65" s="124">
        <f t="shared" si="46"/>
        <v>0</v>
      </c>
      <c r="CN65" s="123"/>
      <c r="CO65" s="124">
        <f t="shared" si="47"/>
        <v>0</v>
      </c>
      <c r="CP65" s="123"/>
      <c r="CQ65" s="124">
        <f t="shared" si="48"/>
        <v>0</v>
      </c>
      <c r="CR65" s="123"/>
      <c r="CS65" s="124">
        <f t="shared" si="49"/>
        <v>0</v>
      </c>
      <c r="CT65" s="123"/>
      <c r="CU65" s="124">
        <f t="shared" si="50"/>
        <v>0</v>
      </c>
      <c r="CV65" s="123"/>
      <c r="CW65" s="124">
        <f t="shared" si="51"/>
        <v>0</v>
      </c>
      <c r="CX65" s="123"/>
      <c r="CY65" s="124">
        <f t="shared" si="52"/>
        <v>0</v>
      </c>
      <c r="CZ65" s="123"/>
      <c r="DA65" s="124">
        <f t="shared" si="53"/>
        <v>0</v>
      </c>
      <c r="DB65" s="123"/>
      <c r="DC65" s="124">
        <f t="shared" si="54"/>
        <v>0</v>
      </c>
      <c r="DD65" s="123"/>
      <c r="DE65" s="124">
        <f t="shared" si="54"/>
        <v>0</v>
      </c>
      <c r="DF65" s="177">
        <f t="shared" si="0"/>
        <v>0</v>
      </c>
      <c r="DG65" s="126">
        <f t="shared" si="55"/>
        <v>0</v>
      </c>
      <c r="DH65" s="123"/>
      <c r="DI65" s="124">
        <f t="shared" si="56"/>
        <v>0</v>
      </c>
      <c r="DJ65" s="123"/>
      <c r="DK65" s="124">
        <f t="shared" si="57"/>
        <v>0</v>
      </c>
      <c r="DL65" s="123"/>
      <c r="DM65" s="124">
        <f t="shared" si="58"/>
        <v>0</v>
      </c>
      <c r="DN65" s="123"/>
      <c r="DO65" s="124">
        <f t="shared" si="59"/>
        <v>0</v>
      </c>
      <c r="DP65" s="123"/>
      <c r="DQ65" s="124">
        <f t="shared" si="60"/>
        <v>0</v>
      </c>
      <c r="DR65" s="123"/>
      <c r="DS65" s="124">
        <f t="shared" si="61"/>
        <v>0</v>
      </c>
      <c r="DT65" s="123"/>
      <c r="DU65" s="124">
        <f t="shared" si="62"/>
        <v>0</v>
      </c>
      <c r="DV65" s="123"/>
      <c r="DW65" s="124">
        <f t="shared" si="63"/>
        <v>0</v>
      </c>
      <c r="DX65" s="123"/>
      <c r="DY65" s="124">
        <f t="shared" si="64"/>
        <v>0</v>
      </c>
      <c r="DZ65" s="123"/>
      <c r="EA65" s="124">
        <f t="shared" si="65"/>
        <v>0</v>
      </c>
      <c r="EB65" s="123"/>
      <c r="EC65" s="124">
        <f t="shared" si="66"/>
        <v>0</v>
      </c>
      <c r="ED65" s="123"/>
      <c r="EE65" s="124">
        <f t="shared" si="67"/>
        <v>0</v>
      </c>
      <c r="EF65" s="27">
        <f t="shared" si="1"/>
        <v>0</v>
      </c>
      <c r="EG65" s="124">
        <f t="shared" si="68"/>
        <v>0</v>
      </c>
    </row>
    <row r="66" spans="1:137" ht="18" customHeight="1" x14ac:dyDescent="0.5">
      <c r="A66" s="117">
        <v>54</v>
      </c>
      <c r="B66" s="122" t="s">
        <v>173</v>
      </c>
      <c r="C66" s="122" t="s">
        <v>233</v>
      </c>
      <c r="D66" s="117">
        <f>RANK(DF66,$DF$4:$DF$147)</f>
        <v>21</v>
      </c>
      <c r="E66" s="117">
        <v>1</v>
      </c>
      <c r="F66" s="117" t="s">
        <v>232</v>
      </c>
      <c r="G66" s="117"/>
      <c r="H66" s="123"/>
      <c r="I66" s="124">
        <f t="shared" si="2"/>
        <v>0</v>
      </c>
      <c r="J66" s="123"/>
      <c r="K66" s="124">
        <f t="shared" si="3"/>
        <v>0</v>
      </c>
      <c r="L66" s="123"/>
      <c r="M66" s="124">
        <f t="shared" si="4"/>
        <v>0</v>
      </c>
      <c r="N66" s="123"/>
      <c r="O66" s="124">
        <f t="shared" si="5"/>
        <v>0</v>
      </c>
      <c r="P66" s="123"/>
      <c r="Q66" s="124">
        <f t="shared" si="6"/>
        <v>0</v>
      </c>
      <c r="R66" s="123"/>
      <c r="S66" s="124">
        <f t="shared" si="7"/>
        <v>0</v>
      </c>
      <c r="T66" s="123"/>
      <c r="U66" s="124">
        <f t="shared" si="8"/>
        <v>0</v>
      </c>
      <c r="V66" s="123"/>
      <c r="W66" s="124">
        <f t="shared" si="9"/>
        <v>0</v>
      </c>
      <c r="X66" s="123"/>
      <c r="Y66" s="124">
        <f t="shared" si="10"/>
        <v>0</v>
      </c>
      <c r="Z66" s="123"/>
      <c r="AA66" s="124">
        <f t="shared" si="11"/>
        <v>0</v>
      </c>
      <c r="AB66" s="123"/>
      <c r="AC66" s="124">
        <f t="shared" si="12"/>
        <v>0</v>
      </c>
      <c r="AD66" s="123"/>
      <c r="AE66" s="124">
        <f t="shared" si="13"/>
        <v>0</v>
      </c>
      <c r="AF66" s="125">
        <f t="shared" si="14"/>
        <v>0</v>
      </c>
      <c r="AG66" s="126">
        <f t="shared" si="15"/>
        <v>0</v>
      </c>
      <c r="AH66" s="11"/>
      <c r="AI66" s="124">
        <f t="shared" si="16"/>
        <v>0</v>
      </c>
      <c r="AJ66" s="15"/>
      <c r="AK66" s="124">
        <f t="shared" si="17"/>
        <v>0</v>
      </c>
      <c r="AL66" s="15"/>
      <c r="AM66" s="124">
        <f t="shared" si="18"/>
        <v>0</v>
      </c>
      <c r="AN66" s="16"/>
      <c r="AO66" s="124">
        <f t="shared" si="19"/>
        <v>0</v>
      </c>
      <c r="AP66" s="15"/>
      <c r="AQ66" s="124">
        <f t="shared" si="20"/>
        <v>0</v>
      </c>
      <c r="AR66" s="15"/>
      <c r="AS66" s="124">
        <f t="shared" si="21"/>
        <v>0</v>
      </c>
      <c r="AT66" s="17"/>
      <c r="AU66" s="124">
        <f t="shared" si="22"/>
        <v>0</v>
      </c>
      <c r="AV66" s="15"/>
      <c r="AW66" s="124">
        <f t="shared" si="23"/>
        <v>0</v>
      </c>
      <c r="AX66" s="15"/>
      <c r="AY66" s="124">
        <f t="shared" si="24"/>
        <v>0</v>
      </c>
      <c r="AZ66" s="17"/>
      <c r="BA66" s="124">
        <f t="shared" si="25"/>
        <v>0</v>
      </c>
      <c r="BB66" s="33"/>
      <c r="BC66" s="124">
        <f t="shared" si="26"/>
        <v>0</v>
      </c>
      <c r="BD66" s="33"/>
      <c r="BE66" s="124">
        <f t="shared" si="27"/>
        <v>0</v>
      </c>
      <c r="BF66" s="125">
        <f t="shared" si="28"/>
        <v>0</v>
      </c>
      <c r="BG66" s="126">
        <f t="shared" si="29"/>
        <v>0</v>
      </c>
      <c r="BH66" s="123"/>
      <c r="BI66" s="124">
        <f t="shared" si="30"/>
        <v>0</v>
      </c>
      <c r="BJ66" s="123"/>
      <c r="BK66" s="124">
        <f t="shared" si="31"/>
        <v>0</v>
      </c>
      <c r="BL66" s="123"/>
      <c r="BM66" s="124">
        <f t="shared" si="32"/>
        <v>0</v>
      </c>
      <c r="BN66" s="123"/>
      <c r="BO66" s="124">
        <f t="shared" si="33"/>
        <v>0</v>
      </c>
      <c r="BP66" s="123"/>
      <c r="BQ66" s="124">
        <f t="shared" si="34"/>
        <v>0</v>
      </c>
      <c r="BR66" s="123"/>
      <c r="BS66" s="124">
        <f t="shared" si="35"/>
        <v>0</v>
      </c>
      <c r="BT66" s="123"/>
      <c r="BU66" s="124">
        <f t="shared" si="36"/>
        <v>0</v>
      </c>
      <c r="BV66" s="123"/>
      <c r="BW66" s="124">
        <f t="shared" si="37"/>
        <v>0</v>
      </c>
      <c r="BX66" s="123"/>
      <c r="BY66" s="124">
        <f t="shared" si="38"/>
        <v>0</v>
      </c>
      <c r="BZ66" s="123"/>
      <c r="CA66" s="124">
        <f t="shared" si="39"/>
        <v>0</v>
      </c>
      <c r="CB66" s="123"/>
      <c r="CC66" s="124">
        <f t="shared" si="40"/>
        <v>0</v>
      </c>
      <c r="CD66" s="123"/>
      <c r="CE66" s="124">
        <f t="shared" si="41"/>
        <v>0</v>
      </c>
      <c r="CF66" s="125">
        <f t="shared" si="42"/>
        <v>0</v>
      </c>
      <c r="CG66" s="126">
        <f t="shared" si="43"/>
        <v>0</v>
      </c>
      <c r="CH66" s="123"/>
      <c r="CI66" s="124">
        <f t="shared" si="44"/>
        <v>0</v>
      </c>
      <c r="CJ66" s="123"/>
      <c r="CK66" s="124">
        <f t="shared" si="45"/>
        <v>0</v>
      </c>
      <c r="CL66" s="123"/>
      <c r="CM66" s="124">
        <f t="shared" si="46"/>
        <v>0</v>
      </c>
      <c r="CN66" s="123"/>
      <c r="CO66" s="124">
        <f t="shared" si="47"/>
        <v>0</v>
      </c>
      <c r="CP66" s="123"/>
      <c r="CQ66" s="124">
        <f t="shared" si="48"/>
        <v>0</v>
      </c>
      <c r="CR66" s="123"/>
      <c r="CS66" s="124">
        <f t="shared" si="49"/>
        <v>0</v>
      </c>
      <c r="CT66" s="123"/>
      <c r="CU66" s="124">
        <f t="shared" si="50"/>
        <v>0</v>
      </c>
      <c r="CV66" s="123"/>
      <c r="CW66" s="124">
        <f t="shared" si="51"/>
        <v>0</v>
      </c>
      <c r="CX66" s="123"/>
      <c r="CY66" s="124">
        <f t="shared" si="52"/>
        <v>0</v>
      </c>
      <c r="CZ66" s="123"/>
      <c r="DA66" s="124">
        <f t="shared" si="53"/>
        <v>0</v>
      </c>
      <c r="DB66" s="123"/>
      <c r="DC66" s="124">
        <f t="shared" si="54"/>
        <v>0</v>
      </c>
      <c r="DD66" s="123"/>
      <c r="DE66" s="124">
        <f t="shared" si="54"/>
        <v>0</v>
      </c>
      <c r="DF66" s="177">
        <f t="shared" si="0"/>
        <v>0</v>
      </c>
      <c r="DG66" s="126">
        <f t="shared" si="55"/>
        <v>0</v>
      </c>
      <c r="DH66" s="123"/>
      <c r="DI66" s="124">
        <f t="shared" si="56"/>
        <v>0</v>
      </c>
      <c r="DJ66" s="123"/>
      <c r="DK66" s="124">
        <f t="shared" si="57"/>
        <v>0</v>
      </c>
      <c r="DL66" s="123"/>
      <c r="DM66" s="124">
        <f t="shared" si="58"/>
        <v>0</v>
      </c>
      <c r="DN66" s="123"/>
      <c r="DO66" s="124">
        <f t="shared" si="59"/>
        <v>0</v>
      </c>
      <c r="DP66" s="123"/>
      <c r="DQ66" s="124">
        <f t="shared" si="60"/>
        <v>0</v>
      </c>
      <c r="DR66" s="123"/>
      <c r="DS66" s="124">
        <f t="shared" si="61"/>
        <v>0</v>
      </c>
      <c r="DT66" s="123"/>
      <c r="DU66" s="124">
        <f t="shared" si="62"/>
        <v>0</v>
      </c>
      <c r="DV66" s="123"/>
      <c r="DW66" s="124">
        <f t="shared" si="63"/>
        <v>0</v>
      </c>
      <c r="DX66" s="123"/>
      <c r="DY66" s="124">
        <f t="shared" si="64"/>
        <v>0</v>
      </c>
      <c r="DZ66" s="123"/>
      <c r="EA66" s="124">
        <f t="shared" si="65"/>
        <v>0</v>
      </c>
      <c r="EB66" s="123"/>
      <c r="EC66" s="124">
        <f t="shared" si="66"/>
        <v>0</v>
      </c>
      <c r="ED66" s="123"/>
      <c r="EE66" s="124">
        <f t="shared" si="67"/>
        <v>0</v>
      </c>
      <c r="EF66" s="27">
        <f t="shared" si="1"/>
        <v>0</v>
      </c>
      <c r="EG66" s="124">
        <f t="shared" si="68"/>
        <v>0</v>
      </c>
    </row>
    <row r="67" spans="1:137" ht="18" customHeight="1" x14ac:dyDescent="0.5">
      <c r="A67" s="117">
        <v>55</v>
      </c>
      <c r="B67" s="122" t="s">
        <v>174</v>
      </c>
      <c r="C67" s="122" t="s">
        <v>233</v>
      </c>
      <c r="D67" s="117">
        <f>RANK(DF67,$DF$4:$DF$147)</f>
        <v>21</v>
      </c>
      <c r="E67" s="117">
        <v>0.6</v>
      </c>
      <c r="F67" s="117" t="s">
        <v>232</v>
      </c>
      <c r="G67" s="117"/>
      <c r="H67" s="123"/>
      <c r="I67" s="124">
        <f t="shared" si="2"/>
        <v>0</v>
      </c>
      <c r="J67" s="123"/>
      <c r="K67" s="124">
        <f t="shared" si="3"/>
        <v>0</v>
      </c>
      <c r="L67" s="123"/>
      <c r="M67" s="124">
        <f t="shared" si="4"/>
        <v>0</v>
      </c>
      <c r="N67" s="123"/>
      <c r="O67" s="124">
        <f t="shared" si="5"/>
        <v>0</v>
      </c>
      <c r="P67" s="123"/>
      <c r="Q67" s="124">
        <f t="shared" si="6"/>
        <v>0</v>
      </c>
      <c r="R67" s="123"/>
      <c r="S67" s="124">
        <f t="shared" si="7"/>
        <v>0</v>
      </c>
      <c r="T67" s="123"/>
      <c r="U67" s="124">
        <f t="shared" si="8"/>
        <v>0</v>
      </c>
      <c r="V67" s="123"/>
      <c r="W67" s="124">
        <f t="shared" si="9"/>
        <v>0</v>
      </c>
      <c r="X67" s="123"/>
      <c r="Y67" s="124">
        <f t="shared" si="10"/>
        <v>0</v>
      </c>
      <c r="Z67" s="123"/>
      <c r="AA67" s="124">
        <f t="shared" si="11"/>
        <v>0</v>
      </c>
      <c r="AB67" s="123"/>
      <c r="AC67" s="124">
        <f t="shared" si="12"/>
        <v>0</v>
      </c>
      <c r="AD67" s="123"/>
      <c r="AE67" s="124">
        <f t="shared" si="13"/>
        <v>0</v>
      </c>
      <c r="AF67" s="125">
        <f t="shared" si="14"/>
        <v>0</v>
      </c>
      <c r="AG67" s="126">
        <f t="shared" si="15"/>
        <v>0</v>
      </c>
      <c r="AH67" s="11"/>
      <c r="AI67" s="124">
        <f t="shared" si="16"/>
        <v>0</v>
      </c>
      <c r="AJ67" s="15"/>
      <c r="AK67" s="124">
        <f t="shared" si="17"/>
        <v>0</v>
      </c>
      <c r="AL67" s="15"/>
      <c r="AM67" s="124">
        <f t="shared" si="18"/>
        <v>0</v>
      </c>
      <c r="AN67" s="16"/>
      <c r="AO67" s="124">
        <f t="shared" si="19"/>
        <v>0</v>
      </c>
      <c r="AP67" s="15"/>
      <c r="AQ67" s="124">
        <f t="shared" si="20"/>
        <v>0</v>
      </c>
      <c r="AR67" s="15"/>
      <c r="AS67" s="124">
        <f t="shared" si="21"/>
        <v>0</v>
      </c>
      <c r="AT67" s="17"/>
      <c r="AU67" s="124">
        <f t="shared" si="22"/>
        <v>0</v>
      </c>
      <c r="AV67" s="15"/>
      <c r="AW67" s="124">
        <f t="shared" si="23"/>
        <v>0</v>
      </c>
      <c r="AX67" s="15"/>
      <c r="AY67" s="124">
        <f t="shared" si="24"/>
        <v>0</v>
      </c>
      <c r="AZ67" s="17"/>
      <c r="BA67" s="124">
        <f t="shared" si="25"/>
        <v>0</v>
      </c>
      <c r="BB67" s="33"/>
      <c r="BC67" s="124">
        <f t="shared" si="26"/>
        <v>0</v>
      </c>
      <c r="BD67" s="33"/>
      <c r="BE67" s="124">
        <f t="shared" si="27"/>
        <v>0</v>
      </c>
      <c r="BF67" s="125">
        <f t="shared" si="28"/>
        <v>0</v>
      </c>
      <c r="BG67" s="126">
        <f t="shared" si="29"/>
        <v>0</v>
      </c>
      <c r="BH67" s="123"/>
      <c r="BI67" s="124">
        <f t="shared" si="30"/>
        <v>0</v>
      </c>
      <c r="BJ67" s="123"/>
      <c r="BK67" s="124">
        <f t="shared" si="31"/>
        <v>0</v>
      </c>
      <c r="BL67" s="123"/>
      <c r="BM67" s="124">
        <f t="shared" si="32"/>
        <v>0</v>
      </c>
      <c r="BN67" s="123"/>
      <c r="BO67" s="124">
        <f t="shared" si="33"/>
        <v>0</v>
      </c>
      <c r="BP67" s="123"/>
      <c r="BQ67" s="124">
        <f t="shared" si="34"/>
        <v>0</v>
      </c>
      <c r="BR67" s="123"/>
      <c r="BS67" s="124">
        <f t="shared" si="35"/>
        <v>0</v>
      </c>
      <c r="BT67" s="123"/>
      <c r="BU67" s="124">
        <f t="shared" si="36"/>
        <v>0</v>
      </c>
      <c r="BV67" s="123"/>
      <c r="BW67" s="124">
        <f t="shared" si="37"/>
        <v>0</v>
      </c>
      <c r="BX67" s="123"/>
      <c r="BY67" s="124">
        <f t="shared" si="38"/>
        <v>0</v>
      </c>
      <c r="BZ67" s="123"/>
      <c r="CA67" s="124">
        <f t="shared" si="39"/>
        <v>0</v>
      </c>
      <c r="CB67" s="123"/>
      <c r="CC67" s="124">
        <f t="shared" si="40"/>
        <v>0</v>
      </c>
      <c r="CD67" s="123"/>
      <c r="CE67" s="124">
        <f t="shared" si="41"/>
        <v>0</v>
      </c>
      <c r="CF67" s="125">
        <f t="shared" si="42"/>
        <v>0</v>
      </c>
      <c r="CG67" s="126">
        <f t="shared" si="43"/>
        <v>0</v>
      </c>
      <c r="CH67" s="123"/>
      <c r="CI67" s="124">
        <f t="shared" si="44"/>
        <v>0</v>
      </c>
      <c r="CJ67" s="123"/>
      <c r="CK67" s="124">
        <f t="shared" si="45"/>
        <v>0</v>
      </c>
      <c r="CL67" s="123"/>
      <c r="CM67" s="124">
        <f t="shared" si="46"/>
        <v>0</v>
      </c>
      <c r="CN67" s="123"/>
      <c r="CO67" s="124">
        <f t="shared" si="47"/>
        <v>0</v>
      </c>
      <c r="CP67" s="123"/>
      <c r="CQ67" s="124">
        <f t="shared" si="48"/>
        <v>0</v>
      </c>
      <c r="CR67" s="123"/>
      <c r="CS67" s="124">
        <f t="shared" si="49"/>
        <v>0</v>
      </c>
      <c r="CT67" s="123"/>
      <c r="CU67" s="124">
        <f t="shared" si="50"/>
        <v>0</v>
      </c>
      <c r="CV67" s="123"/>
      <c r="CW67" s="124">
        <f t="shared" si="51"/>
        <v>0</v>
      </c>
      <c r="CX67" s="123"/>
      <c r="CY67" s="124">
        <f t="shared" si="52"/>
        <v>0</v>
      </c>
      <c r="CZ67" s="123"/>
      <c r="DA67" s="124">
        <f t="shared" si="53"/>
        <v>0</v>
      </c>
      <c r="DB67" s="123"/>
      <c r="DC67" s="124">
        <f t="shared" si="54"/>
        <v>0</v>
      </c>
      <c r="DD67" s="123"/>
      <c r="DE67" s="124">
        <f t="shared" si="54"/>
        <v>0</v>
      </c>
      <c r="DF67" s="177">
        <f t="shared" si="0"/>
        <v>0</v>
      </c>
      <c r="DG67" s="126">
        <f t="shared" si="55"/>
        <v>0</v>
      </c>
      <c r="DH67" s="123"/>
      <c r="DI67" s="124">
        <f t="shared" si="56"/>
        <v>0</v>
      </c>
      <c r="DJ67" s="123"/>
      <c r="DK67" s="124">
        <f t="shared" si="57"/>
        <v>0</v>
      </c>
      <c r="DL67" s="123"/>
      <c r="DM67" s="124">
        <f t="shared" si="58"/>
        <v>0</v>
      </c>
      <c r="DN67" s="123"/>
      <c r="DO67" s="124">
        <f t="shared" si="59"/>
        <v>0</v>
      </c>
      <c r="DP67" s="123"/>
      <c r="DQ67" s="124">
        <f t="shared" si="60"/>
        <v>0</v>
      </c>
      <c r="DR67" s="123"/>
      <c r="DS67" s="124">
        <f t="shared" si="61"/>
        <v>0</v>
      </c>
      <c r="DT67" s="123"/>
      <c r="DU67" s="124">
        <f t="shared" si="62"/>
        <v>0</v>
      </c>
      <c r="DV67" s="123"/>
      <c r="DW67" s="124">
        <f t="shared" si="63"/>
        <v>0</v>
      </c>
      <c r="DX67" s="123"/>
      <c r="DY67" s="124">
        <f t="shared" si="64"/>
        <v>0</v>
      </c>
      <c r="DZ67" s="123"/>
      <c r="EA67" s="124">
        <f t="shared" si="65"/>
        <v>0</v>
      </c>
      <c r="EB67" s="123"/>
      <c r="EC67" s="124">
        <f t="shared" si="66"/>
        <v>0</v>
      </c>
      <c r="ED67" s="123"/>
      <c r="EE67" s="124">
        <f t="shared" si="67"/>
        <v>0</v>
      </c>
      <c r="EF67" s="27">
        <f t="shared" si="1"/>
        <v>0</v>
      </c>
      <c r="EG67" s="124">
        <f t="shared" si="68"/>
        <v>0</v>
      </c>
    </row>
    <row r="68" spans="1:137" ht="18" customHeight="1" x14ac:dyDescent="0.5">
      <c r="A68" s="117">
        <v>56</v>
      </c>
      <c r="B68" s="122" t="s">
        <v>175</v>
      </c>
      <c r="C68" s="122" t="s">
        <v>231</v>
      </c>
      <c r="D68" s="117">
        <f>RANK(DF68,$DF$4:$DF$147)</f>
        <v>21</v>
      </c>
      <c r="E68" s="117">
        <v>0.64</v>
      </c>
      <c r="F68" s="117" t="s">
        <v>236</v>
      </c>
      <c r="G68" s="117"/>
      <c r="H68" s="123"/>
      <c r="I68" s="124">
        <f t="shared" si="2"/>
        <v>0</v>
      </c>
      <c r="J68" s="123"/>
      <c r="K68" s="124">
        <f t="shared" si="3"/>
        <v>0</v>
      </c>
      <c r="L68" s="123"/>
      <c r="M68" s="124">
        <f t="shared" si="4"/>
        <v>0</v>
      </c>
      <c r="N68" s="123"/>
      <c r="O68" s="124">
        <f t="shared" si="5"/>
        <v>0</v>
      </c>
      <c r="P68" s="123"/>
      <c r="Q68" s="124">
        <f t="shared" si="6"/>
        <v>0</v>
      </c>
      <c r="R68" s="123"/>
      <c r="S68" s="124">
        <f t="shared" si="7"/>
        <v>0</v>
      </c>
      <c r="T68" s="123"/>
      <c r="U68" s="124">
        <f t="shared" si="8"/>
        <v>0</v>
      </c>
      <c r="V68" s="123"/>
      <c r="W68" s="124">
        <f t="shared" si="9"/>
        <v>0</v>
      </c>
      <c r="X68" s="123"/>
      <c r="Y68" s="124">
        <f t="shared" si="10"/>
        <v>0</v>
      </c>
      <c r="Z68" s="123"/>
      <c r="AA68" s="124">
        <f t="shared" si="11"/>
        <v>0</v>
      </c>
      <c r="AB68" s="123"/>
      <c r="AC68" s="124">
        <f t="shared" si="12"/>
        <v>0</v>
      </c>
      <c r="AD68" s="123"/>
      <c r="AE68" s="124">
        <f t="shared" si="13"/>
        <v>0</v>
      </c>
      <c r="AF68" s="125">
        <f t="shared" si="14"/>
        <v>0</v>
      </c>
      <c r="AG68" s="126">
        <f t="shared" si="15"/>
        <v>0</v>
      </c>
      <c r="AH68" s="11"/>
      <c r="AI68" s="124">
        <f t="shared" si="16"/>
        <v>0</v>
      </c>
      <c r="AJ68" s="15"/>
      <c r="AK68" s="124">
        <f t="shared" si="17"/>
        <v>0</v>
      </c>
      <c r="AL68" s="15"/>
      <c r="AM68" s="124">
        <f t="shared" si="18"/>
        <v>0</v>
      </c>
      <c r="AN68" s="16"/>
      <c r="AO68" s="124">
        <f t="shared" si="19"/>
        <v>0</v>
      </c>
      <c r="AP68" s="15"/>
      <c r="AQ68" s="124">
        <f t="shared" si="20"/>
        <v>0</v>
      </c>
      <c r="AR68" s="15"/>
      <c r="AS68" s="124">
        <f t="shared" si="21"/>
        <v>0</v>
      </c>
      <c r="AT68" s="17"/>
      <c r="AU68" s="124">
        <f t="shared" si="22"/>
        <v>0</v>
      </c>
      <c r="AV68" s="15"/>
      <c r="AW68" s="124">
        <f t="shared" si="23"/>
        <v>0</v>
      </c>
      <c r="AX68" s="15"/>
      <c r="AY68" s="124">
        <f t="shared" si="24"/>
        <v>0</v>
      </c>
      <c r="AZ68" s="17"/>
      <c r="BA68" s="124">
        <f t="shared" si="25"/>
        <v>0</v>
      </c>
      <c r="BB68" s="33"/>
      <c r="BC68" s="124">
        <f t="shared" si="26"/>
        <v>0</v>
      </c>
      <c r="BD68" s="33"/>
      <c r="BE68" s="124">
        <f t="shared" si="27"/>
        <v>0</v>
      </c>
      <c r="BF68" s="125">
        <f t="shared" si="28"/>
        <v>0</v>
      </c>
      <c r="BG68" s="126">
        <f t="shared" si="29"/>
        <v>0</v>
      </c>
      <c r="BH68" s="123"/>
      <c r="BI68" s="124">
        <f t="shared" si="30"/>
        <v>0</v>
      </c>
      <c r="BJ68" s="123"/>
      <c r="BK68" s="124">
        <f t="shared" si="31"/>
        <v>0</v>
      </c>
      <c r="BL68" s="123"/>
      <c r="BM68" s="124">
        <f t="shared" si="32"/>
        <v>0</v>
      </c>
      <c r="BN68" s="123"/>
      <c r="BO68" s="124">
        <f t="shared" si="33"/>
        <v>0</v>
      </c>
      <c r="BP68" s="123"/>
      <c r="BQ68" s="124">
        <f t="shared" si="34"/>
        <v>0</v>
      </c>
      <c r="BR68" s="123"/>
      <c r="BS68" s="124">
        <f t="shared" si="35"/>
        <v>0</v>
      </c>
      <c r="BT68" s="123"/>
      <c r="BU68" s="124">
        <f t="shared" si="36"/>
        <v>0</v>
      </c>
      <c r="BV68" s="123"/>
      <c r="BW68" s="124">
        <f t="shared" si="37"/>
        <v>0</v>
      </c>
      <c r="BX68" s="123"/>
      <c r="BY68" s="124">
        <f t="shared" si="38"/>
        <v>0</v>
      </c>
      <c r="BZ68" s="123"/>
      <c r="CA68" s="124">
        <f t="shared" si="39"/>
        <v>0</v>
      </c>
      <c r="CB68" s="123"/>
      <c r="CC68" s="124">
        <f t="shared" si="40"/>
        <v>0</v>
      </c>
      <c r="CD68" s="123"/>
      <c r="CE68" s="124">
        <f t="shared" si="41"/>
        <v>0</v>
      </c>
      <c r="CF68" s="125">
        <f t="shared" si="42"/>
        <v>0</v>
      </c>
      <c r="CG68" s="126">
        <f t="shared" si="43"/>
        <v>0</v>
      </c>
      <c r="CH68" s="123"/>
      <c r="CI68" s="124">
        <f t="shared" si="44"/>
        <v>0</v>
      </c>
      <c r="CJ68" s="123"/>
      <c r="CK68" s="124">
        <f t="shared" si="45"/>
        <v>0</v>
      </c>
      <c r="CL68" s="123"/>
      <c r="CM68" s="124">
        <f t="shared" si="46"/>
        <v>0</v>
      </c>
      <c r="CN68" s="123"/>
      <c r="CO68" s="124">
        <f t="shared" si="47"/>
        <v>0</v>
      </c>
      <c r="CP68" s="123"/>
      <c r="CQ68" s="124">
        <f t="shared" si="48"/>
        <v>0</v>
      </c>
      <c r="CR68" s="123"/>
      <c r="CS68" s="124">
        <f t="shared" si="49"/>
        <v>0</v>
      </c>
      <c r="CT68" s="123"/>
      <c r="CU68" s="124">
        <f t="shared" si="50"/>
        <v>0</v>
      </c>
      <c r="CV68" s="123"/>
      <c r="CW68" s="124">
        <f t="shared" si="51"/>
        <v>0</v>
      </c>
      <c r="CX68" s="123"/>
      <c r="CY68" s="124">
        <f t="shared" si="52"/>
        <v>0</v>
      </c>
      <c r="CZ68" s="123"/>
      <c r="DA68" s="124">
        <f t="shared" si="53"/>
        <v>0</v>
      </c>
      <c r="DB68" s="123"/>
      <c r="DC68" s="124">
        <f t="shared" si="54"/>
        <v>0</v>
      </c>
      <c r="DD68" s="123"/>
      <c r="DE68" s="124">
        <f t="shared" si="54"/>
        <v>0</v>
      </c>
      <c r="DF68" s="177">
        <f t="shared" ref="DF68:DF140" si="72">SUM(CH68,CJ68,CL68,CN68,CP68,CR68,CT68,CV68,CX68,CZ68,DB68,DD68)</f>
        <v>0</v>
      </c>
      <c r="DG68" s="126">
        <f t="shared" si="55"/>
        <v>0</v>
      </c>
      <c r="DH68" s="123"/>
      <c r="DI68" s="124">
        <f t="shared" si="56"/>
        <v>0</v>
      </c>
      <c r="DJ68" s="123"/>
      <c r="DK68" s="124">
        <f t="shared" si="57"/>
        <v>0</v>
      </c>
      <c r="DL68" s="123"/>
      <c r="DM68" s="124">
        <f t="shared" si="58"/>
        <v>0</v>
      </c>
      <c r="DN68" s="123"/>
      <c r="DO68" s="124">
        <f t="shared" si="59"/>
        <v>0</v>
      </c>
      <c r="DP68" s="123"/>
      <c r="DQ68" s="124">
        <f t="shared" si="60"/>
        <v>0</v>
      </c>
      <c r="DR68" s="123"/>
      <c r="DS68" s="124">
        <f t="shared" si="61"/>
        <v>0</v>
      </c>
      <c r="DT68" s="123"/>
      <c r="DU68" s="124">
        <f t="shared" si="62"/>
        <v>0</v>
      </c>
      <c r="DV68" s="123"/>
      <c r="DW68" s="124">
        <f t="shared" si="63"/>
        <v>0</v>
      </c>
      <c r="DX68" s="123"/>
      <c r="DY68" s="124">
        <f t="shared" si="64"/>
        <v>0</v>
      </c>
      <c r="DZ68" s="123"/>
      <c r="EA68" s="124">
        <f t="shared" si="65"/>
        <v>0</v>
      </c>
      <c r="EB68" s="123"/>
      <c r="EC68" s="124">
        <f t="shared" si="66"/>
        <v>0</v>
      </c>
      <c r="ED68" s="123"/>
      <c r="EE68" s="124">
        <f t="shared" si="67"/>
        <v>0</v>
      </c>
      <c r="EF68" s="27">
        <f t="shared" ref="EF68:EF140" si="73">SUM(DH68,DJ68,DL68,DN68,DP68,DR68,DT68,DV68,DX68,DZ68,EB68,ED68)</f>
        <v>0</v>
      </c>
      <c r="EG68" s="124">
        <f t="shared" si="68"/>
        <v>0</v>
      </c>
    </row>
    <row r="69" spans="1:137" ht="18" customHeight="1" x14ac:dyDescent="0.5">
      <c r="A69" s="117"/>
      <c r="B69" s="122"/>
      <c r="C69" s="122"/>
      <c r="D69" s="117"/>
      <c r="E69" s="117"/>
      <c r="F69" s="117"/>
      <c r="G69" s="117"/>
      <c r="H69" s="123"/>
      <c r="I69" s="124">
        <f t="shared" ref="I69:I129" si="74">H69*$E69</f>
        <v>0</v>
      </c>
      <c r="J69" s="123"/>
      <c r="K69" s="124">
        <f t="shared" ref="K69:K129" si="75">J69*$E69</f>
        <v>0</v>
      </c>
      <c r="L69" s="123"/>
      <c r="M69" s="124">
        <f t="shared" ref="M69:M130" si="76">L69*$E69</f>
        <v>0</v>
      </c>
      <c r="N69" s="123"/>
      <c r="O69" s="124">
        <f t="shared" ref="O69:O129" si="77">N69*$E69</f>
        <v>0</v>
      </c>
      <c r="P69" s="123"/>
      <c r="Q69" s="124">
        <f t="shared" ref="Q69:Q129" si="78">P69*$E69</f>
        <v>0</v>
      </c>
      <c r="R69" s="123"/>
      <c r="S69" s="124">
        <f t="shared" ref="S69:S129" si="79">R69*$E69</f>
        <v>0</v>
      </c>
      <c r="T69" s="123"/>
      <c r="U69" s="124">
        <f t="shared" ref="U69:U129" si="80">T69*$E69</f>
        <v>0</v>
      </c>
      <c r="V69" s="123"/>
      <c r="W69" s="124">
        <f t="shared" ref="W69:W129" si="81">V69*$E69</f>
        <v>0</v>
      </c>
      <c r="X69" s="123"/>
      <c r="Y69" s="124">
        <f t="shared" ref="Y69:Y129" si="82">X69*$E69</f>
        <v>0</v>
      </c>
      <c r="Z69" s="123"/>
      <c r="AA69" s="124">
        <f t="shared" ref="AA69:AA129" si="83">Z69*$E69</f>
        <v>0</v>
      </c>
      <c r="AB69" s="123"/>
      <c r="AC69" s="124">
        <f t="shared" ref="AC69:AC129" si="84">AB69*$E69</f>
        <v>0</v>
      </c>
      <c r="AD69" s="123"/>
      <c r="AE69" s="124">
        <f t="shared" ref="AE69:AE129" si="85">AD69*$E69</f>
        <v>0</v>
      </c>
      <c r="AF69" s="125">
        <f t="shared" ref="AF69:AF143" si="86">(AD69+AB69+Z69+X69+V69+T69+R69+P69+N69+L69+J69+H69)/1</f>
        <v>0</v>
      </c>
      <c r="AG69" s="126">
        <f t="shared" ref="AG69:AG129" si="87">AF69*$E69</f>
        <v>0</v>
      </c>
      <c r="AH69" s="11"/>
      <c r="AI69" s="124">
        <f t="shared" ref="AI69:AI129" si="88">AH69*$E69</f>
        <v>0</v>
      </c>
      <c r="AJ69" s="15"/>
      <c r="AK69" s="124">
        <f t="shared" ref="AK69:AK129" si="89">AJ69*$E69</f>
        <v>0</v>
      </c>
      <c r="AL69" s="15"/>
      <c r="AM69" s="124">
        <f t="shared" ref="AM69:AM129" si="90">AL69*$E69</f>
        <v>0</v>
      </c>
      <c r="AN69" s="16"/>
      <c r="AO69" s="124">
        <f t="shared" ref="AO69:AO129" si="91">AN69*$E69</f>
        <v>0</v>
      </c>
      <c r="AP69" s="15"/>
      <c r="AQ69" s="124">
        <f t="shared" ref="AQ69:AQ129" si="92">AP69*$E69</f>
        <v>0</v>
      </c>
      <c r="AR69" s="15"/>
      <c r="AS69" s="124">
        <f t="shared" ref="AS69:AS129" si="93">AR69*$E69</f>
        <v>0</v>
      </c>
      <c r="AT69" s="17"/>
      <c r="AU69" s="124">
        <f t="shared" ref="AU69:AU129" si="94">AT69*$E69</f>
        <v>0</v>
      </c>
      <c r="AV69" s="15"/>
      <c r="AW69" s="124">
        <f t="shared" ref="AW69:AW129" si="95">AV69*$E69</f>
        <v>0</v>
      </c>
      <c r="AX69" s="15"/>
      <c r="AY69" s="124">
        <f t="shared" ref="AY69:AY129" si="96">AX69*$E69</f>
        <v>0</v>
      </c>
      <c r="AZ69" s="17"/>
      <c r="BA69" s="124">
        <f t="shared" ref="BA69:BA129" si="97">AZ69*$E69</f>
        <v>0</v>
      </c>
      <c r="BB69" s="33"/>
      <c r="BC69" s="124">
        <f t="shared" ref="BC69:BC129" si="98">BB69*$E69</f>
        <v>0</v>
      </c>
      <c r="BD69" s="33"/>
      <c r="BE69" s="124">
        <f t="shared" ref="BE69:BE129" si="99">BD69*$E69</f>
        <v>0</v>
      </c>
      <c r="BF69" s="125">
        <f t="shared" ref="BF69:BF143" si="100">(BD69+BB69+AZ69+AX69+AV69+AT69+AR69+AP69+AN69+AL69+AJ69+AH69)/1</f>
        <v>0</v>
      </c>
      <c r="BG69" s="126">
        <f t="shared" ref="BG69:BG129" si="101">BF69*$E69</f>
        <v>0</v>
      </c>
      <c r="BH69" s="123"/>
      <c r="BI69" s="124">
        <f t="shared" ref="BI69:BI118" si="102">BH69*$E69</f>
        <v>0</v>
      </c>
      <c r="BJ69" s="123"/>
      <c r="BK69" s="124">
        <f t="shared" ref="BK69:BK129" si="103">BJ69*$E69</f>
        <v>0</v>
      </c>
      <c r="BL69" s="123"/>
      <c r="BM69" s="124">
        <f t="shared" ref="BM69:BM129" si="104">BL69*$E69</f>
        <v>0</v>
      </c>
      <c r="BN69" s="123"/>
      <c r="BO69" s="124">
        <f t="shared" ref="BO69:BO129" si="105">BN69*$E69</f>
        <v>0</v>
      </c>
      <c r="BP69" s="123"/>
      <c r="BQ69" s="124">
        <f t="shared" ref="BQ69:BQ129" si="106">BP69*$E69</f>
        <v>0</v>
      </c>
      <c r="BR69" s="123"/>
      <c r="BS69" s="124">
        <f t="shared" ref="BS69:BS129" si="107">BR69*$E69</f>
        <v>0</v>
      </c>
      <c r="BT69" s="123"/>
      <c r="BU69" s="124">
        <f t="shared" ref="BU69:BU129" si="108">BT69*$E69</f>
        <v>0</v>
      </c>
      <c r="BV69" s="123"/>
      <c r="BW69" s="124">
        <f t="shared" ref="BW69:BW129" si="109">BV69*$E69</f>
        <v>0</v>
      </c>
      <c r="BX69" s="123"/>
      <c r="BY69" s="124">
        <f t="shared" ref="BY69:BY129" si="110">BX69*$E69</f>
        <v>0</v>
      </c>
      <c r="BZ69" s="123"/>
      <c r="CA69" s="124">
        <f t="shared" ref="CA69:CA129" si="111">BZ69*$E69</f>
        <v>0</v>
      </c>
      <c r="CB69" s="123"/>
      <c r="CC69" s="124">
        <f t="shared" ref="CC69:CC129" si="112">CB69*$E69</f>
        <v>0</v>
      </c>
      <c r="CD69" s="123"/>
      <c r="CE69" s="124">
        <f t="shared" ref="CE69:CE129" si="113">CD69*$E69</f>
        <v>0</v>
      </c>
      <c r="CF69" s="125">
        <f t="shared" ref="CF69:CF143" si="114">(CD69+CB69+BZ69+BX69+BV69+BT69+BR69+BP69+BN69+BL69+BJ69+BH69)/1</f>
        <v>0</v>
      </c>
      <c r="CG69" s="126">
        <f t="shared" ref="CG69:CG129" si="115">CF69*$E69</f>
        <v>0</v>
      </c>
      <c r="CH69" s="123"/>
      <c r="CI69" s="124">
        <f t="shared" ref="CI69:CI129" si="116">CH69*$E69</f>
        <v>0</v>
      </c>
      <c r="CJ69" s="123"/>
      <c r="CK69" s="124">
        <f t="shared" ref="CK69:CK129" si="117">CJ69*$E69</f>
        <v>0</v>
      </c>
      <c r="CL69" s="123"/>
      <c r="CM69" s="124">
        <f t="shared" ref="CM69:CM118" si="118">CL69*$E69</f>
        <v>0</v>
      </c>
      <c r="CN69" s="123"/>
      <c r="CO69" s="124">
        <f t="shared" ref="CO69:CO129" si="119">CN69*$E69</f>
        <v>0</v>
      </c>
      <c r="CP69" s="123"/>
      <c r="CQ69" s="124">
        <f t="shared" ref="CQ69:CQ129" si="120">CP69*$E69</f>
        <v>0</v>
      </c>
      <c r="CR69" s="123"/>
      <c r="CS69" s="124">
        <f t="shared" ref="CS69:CS129" si="121">CR69*$E69</f>
        <v>0</v>
      </c>
      <c r="CT69" s="123"/>
      <c r="CU69" s="124">
        <f t="shared" ref="CU69:CU129" si="122">CT69*$E69</f>
        <v>0</v>
      </c>
      <c r="CV69" s="123"/>
      <c r="CW69" s="124">
        <f t="shared" ref="CW69:CW129" si="123">CV69*$E69</f>
        <v>0</v>
      </c>
      <c r="CX69" s="123"/>
      <c r="CY69" s="124">
        <f t="shared" ref="CY69:CY136" si="124">CX69*$E69</f>
        <v>0</v>
      </c>
      <c r="CZ69" s="123"/>
      <c r="DA69" s="124">
        <f t="shared" ref="DA69:DA136" si="125">CZ69*$E69</f>
        <v>0</v>
      </c>
      <c r="DB69" s="123"/>
      <c r="DC69" s="124">
        <f t="shared" ref="DC69:DE143" si="126">DB69*$E69</f>
        <v>0</v>
      </c>
      <c r="DD69" s="123"/>
      <c r="DE69" s="124">
        <f t="shared" si="126"/>
        <v>0</v>
      </c>
      <c r="DF69" s="177">
        <f t="shared" si="72"/>
        <v>0</v>
      </c>
      <c r="DG69" s="126">
        <f t="shared" ref="DG69:DG143" si="127">DF69*$E69</f>
        <v>0</v>
      </c>
      <c r="DH69" s="123"/>
      <c r="DI69" s="124">
        <f t="shared" ref="DI69:DI129" si="128">DH69*$E69</f>
        <v>0</v>
      </c>
      <c r="DJ69" s="123"/>
      <c r="DK69" s="124">
        <f t="shared" ref="DK69:DK129" si="129">DJ69*$E69</f>
        <v>0</v>
      </c>
      <c r="DL69" s="123"/>
      <c r="DM69" s="124">
        <f t="shared" ref="DM69:DM129" si="130">DL69*$E69</f>
        <v>0</v>
      </c>
      <c r="DN69" s="123"/>
      <c r="DO69" s="124">
        <f t="shared" ref="DO69:DO129" si="131">DN69*$E69</f>
        <v>0</v>
      </c>
      <c r="DP69" s="123"/>
      <c r="DQ69" s="124">
        <f t="shared" ref="DQ69:DQ129" si="132">DP69*$E69</f>
        <v>0</v>
      </c>
      <c r="DR69" s="123"/>
      <c r="DS69" s="124">
        <f t="shared" ref="DS69:DS129" si="133">DR69*$E69</f>
        <v>0</v>
      </c>
      <c r="DT69" s="123"/>
      <c r="DU69" s="124">
        <f t="shared" ref="DU69:DU129" si="134">DT69*$E69</f>
        <v>0</v>
      </c>
      <c r="DV69" s="123"/>
      <c r="DW69" s="124">
        <f t="shared" ref="DW69:DW129" si="135">DV69*$E69</f>
        <v>0</v>
      </c>
      <c r="DX69" s="123"/>
      <c r="DY69" s="124">
        <f t="shared" ref="DY69:DY136" si="136">DX69*$E69</f>
        <v>0</v>
      </c>
      <c r="DZ69" s="123"/>
      <c r="EA69" s="124">
        <f t="shared" ref="EA69:EA136" si="137">DZ69*$E69</f>
        <v>0</v>
      </c>
      <c r="EB69" s="123"/>
      <c r="EC69" s="124">
        <f t="shared" ref="EC69:EC129" si="138">EB69*$E69</f>
        <v>0</v>
      </c>
      <c r="ED69" s="123"/>
      <c r="EE69" s="124">
        <f t="shared" ref="EE69:EE129" si="139">ED69*$E69</f>
        <v>0</v>
      </c>
      <c r="EF69" s="27">
        <f t="shared" si="73"/>
        <v>0</v>
      </c>
      <c r="EG69" s="124">
        <f t="shared" ref="EG69:EG143" si="140">EF69*$E69</f>
        <v>0</v>
      </c>
    </row>
    <row r="70" spans="1:137" ht="18" customHeight="1" x14ac:dyDescent="0.5">
      <c r="A70" s="117">
        <v>57</v>
      </c>
      <c r="B70" s="122" t="s">
        <v>176</v>
      </c>
      <c r="C70" s="122" t="s">
        <v>233</v>
      </c>
      <c r="D70" s="117">
        <f>RANK(DF70,$DF$4:$DF$147)</f>
        <v>21</v>
      </c>
      <c r="E70" s="117">
        <v>1</v>
      </c>
      <c r="F70" s="117" t="s">
        <v>232</v>
      </c>
      <c r="G70" s="117"/>
      <c r="H70" s="123"/>
      <c r="I70" s="124">
        <f t="shared" si="74"/>
        <v>0</v>
      </c>
      <c r="J70" s="123"/>
      <c r="K70" s="124">
        <f t="shared" si="75"/>
        <v>0</v>
      </c>
      <c r="L70" s="123"/>
      <c r="M70" s="124">
        <f t="shared" si="76"/>
        <v>0</v>
      </c>
      <c r="N70" s="123"/>
      <c r="O70" s="124">
        <f t="shared" si="77"/>
        <v>0</v>
      </c>
      <c r="P70" s="123"/>
      <c r="Q70" s="124">
        <f t="shared" si="78"/>
        <v>0</v>
      </c>
      <c r="R70" s="123"/>
      <c r="S70" s="124">
        <f t="shared" si="79"/>
        <v>0</v>
      </c>
      <c r="T70" s="123"/>
      <c r="U70" s="124">
        <f t="shared" si="80"/>
        <v>0</v>
      </c>
      <c r="V70" s="123"/>
      <c r="W70" s="124">
        <f t="shared" si="81"/>
        <v>0</v>
      </c>
      <c r="X70" s="123"/>
      <c r="Y70" s="124">
        <f t="shared" si="82"/>
        <v>0</v>
      </c>
      <c r="Z70" s="123"/>
      <c r="AA70" s="124">
        <f t="shared" si="83"/>
        <v>0</v>
      </c>
      <c r="AB70" s="123"/>
      <c r="AC70" s="124">
        <f t="shared" si="84"/>
        <v>0</v>
      </c>
      <c r="AD70" s="123"/>
      <c r="AE70" s="124">
        <f t="shared" si="85"/>
        <v>0</v>
      </c>
      <c r="AF70" s="125">
        <f t="shared" si="86"/>
        <v>0</v>
      </c>
      <c r="AG70" s="126">
        <f t="shared" si="87"/>
        <v>0</v>
      </c>
      <c r="AH70" s="11"/>
      <c r="AI70" s="124">
        <f t="shared" si="88"/>
        <v>0</v>
      </c>
      <c r="AJ70" s="15"/>
      <c r="AK70" s="124">
        <f t="shared" si="89"/>
        <v>0</v>
      </c>
      <c r="AL70" s="15"/>
      <c r="AM70" s="124">
        <f t="shared" si="90"/>
        <v>0</v>
      </c>
      <c r="AN70" s="16"/>
      <c r="AO70" s="124">
        <f t="shared" si="91"/>
        <v>0</v>
      </c>
      <c r="AP70" s="15"/>
      <c r="AQ70" s="124">
        <f t="shared" si="92"/>
        <v>0</v>
      </c>
      <c r="AR70" s="15"/>
      <c r="AS70" s="124">
        <f t="shared" si="93"/>
        <v>0</v>
      </c>
      <c r="AT70" s="17"/>
      <c r="AU70" s="124">
        <f t="shared" si="94"/>
        <v>0</v>
      </c>
      <c r="AV70" s="15"/>
      <c r="AW70" s="124">
        <f t="shared" si="95"/>
        <v>0</v>
      </c>
      <c r="AX70" s="15"/>
      <c r="AY70" s="124">
        <f t="shared" si="96"/>
        <v>0</v>
      </c>
      <c r="AZ70" s="17"/>
      <c r="BA70" s="124">
        <f t="shared" si="97"/>
        <v>0</v>
      </c>
      <c r="BB70" s="33"/>
      <c r="BC70" s="124">
        <f t="shared" si="98"/>
        <v>0</v>
      </c>
      <c r="BD70" s="33"/>
      <c r="BE70" s="124">
        <f t="shared" si="99"/>
        <v>0</v>
      </c>
      <c r="BF70" s="125">
        <f t="shared" si="100"/>
        <v>0</v>
      </c>
      <c r="BG70" s="126">
        <f t="shared" si="101"/>
        <v>0</v>
      </c>
      <c r="BH70" s="123"/>
      <c r="BI70" s="124">
        <f t="shared" si="102"/>
        <v>0</v>
      </c>
      <c r="BJ70" s="123"/>
      <c r="BK70" s="124">
        <f t="shared" si="103"/>
        <v>0</v>
      </c>
      <c r="BL70" s="123"/>
      <c r="BM70" s="124">
        <f t="shared" si="104"/>
        <v>0</v>
      </c>
      <c r="BN70" s="123"/>
      <c r="BO70" s="124">
        <f t="shared" si="105"/>
        <v>0</v>
      </c>
      <c r="BP70" s="123"/>
      <c r="BQ70" s="124">
        <f t="shared" si="106"/>
        <v>0</v>
      </c>
      <c r="BR70" s="123"/>
      <c r="BS70" s="124">
        <f t="shared" si="107"/>
        <v>0</v>
      </c>
      <c r="BT70" s="123"/>
      <c r="BU70" s="124">
        <f t="shared" si="108"/>
        <v>0</v>
      </c>
      <c r="BV70" s="123"/>
      <c r="BW70" s="124">
        <f t="shared" si="109"/>
        <v>0</v>
      </c>
      <c r="BX70" s="123"/>
      <c r="BY70" s="124">
        <f t="shared" si="110"/>
        <v>0</v>
      </c>
      <c r="BZ70" s="123"/>
      <c r="CA70" s="124">
        <f t="shared" si="111"/>
        <v>0</v>
      </c>
      <c r="CB70" s="123"/>
      <c r="CC70" s="124">
        <f t="shared" si="112"/>
        <v>0</v>
      </c>
      <c r="CD70" s="123"/>
      <c r="CE70" s="124">
        <f t="shared" si="113"/>
        <v>0</v>
      </c>
      <c r="CF70" s="125">
        <f t="shared" si="114"/>
        <v>0</v>
      </c>
      <c r="CG70" s="126">
        <f t="shared" si="115"/>
        <v>0</v>
      </c>
      <c r="CH70" s="123"/>
      <c r="CI70" s="124">
        <f t="shared" si="116"/>
        <v>0</v>
      </c>
      <c r="CJ70" s="123"/>
      <c r="CK70" s="124">
        <f t="shared" si="117"/>
        <v>0</v>
      </c>
      <c r="CL70" s="123"/>
      <c r="CM70" s="124">
        <f t="shared" si="118"/>
        <v>0</v>
      </c>
      <c r="CN70" s="123"/>
      <c r="CO70" s="124">
        <f t="shared" si="119"/>
        <v>0</v>
      </c>
      <c r="CP70" s="123"/>
      <c r="CQ70" s="124">
        <f t="shared" si="120"/>
        <v>0</v>
      </c>
      <c r="CR70" s="123"/>
      <c r="CS70" s="124">
        <f t="shared" si="121"/>
        <v>0</v>
      </c>
      <c r="CT70" s="123"/>
      <c r="CU70" s="124">
        <f t="shared" si="122"/>
        <v>0</v>
      </c>
      <c r="CV70" s="123"/>
      <c r="CW70" s="124">
        <f t="shared" si="123"/>
        <v>0</v>
      </c>
      <c r="CX70" s="123"/>
      <c r="CY70" s="124">
        <f t="shared" si="124"/>
        <v>0</v>
      </c>
      <c r="CZ70" s="123"/>
      <c r="DA70" s="124">
        <f t="shared" si="125"/>
        <v>0</v>
      </c>
      <c r="DB70" s="123"/>
      <c r="DC70" s="124">
        <f t="shared" si="126"/>
        <v>0</v>
      </c>
      <c r="DD70" s="123"/>
      <c r="DE70" s="124">
        <f t="shared" si="126"/>
        <v>0</v>
      </c>
      <c r="DF70" s="177">
        <f t="shared" si="72"/>
        <v>0</v>
      </c>
      <c r="DG70" s="126">
        <f t="shared" si="127"/>
        <v>0</v>
      </c>
      <c r="DH70" s="123"/>
      <c r="DI70" s="124">
        <f t="shared" si="128"/>
        <v>0</v>
      </c>
      <c r="DJ70" s="123"/>
      <c r="DK70" s="124">
        <f t="shared" si="129"/>
        <v>0</v>
      </c>
      <c r="DL70" s="123"/>
      <c r="DM70" s="124">
        <f t="shared" si="130"/>
        <v>0</v>
      </c>
      <c r="DN70" s="123"/>
      <c r="DO70" s="124">
        <f t="shared" si="131"/>
        <v>0</v>
      </c>
      <c r="DP70" s="123"/>
      <c r="DQ70" s="124">
        <f t="shared" si="132"/>
        <v>0</v>
      </c>
      <c r="DR70" s="123"/>
      <c r="DS70" s="124">
        <f t="shared" si="133"/>
        <v>0</v>
      </c>
      <c r="DT70" s="123"/>
      <c r="DU70" s="124">
        <f t="shared" si="134"/>
        <v>0</v>
      </c>
      <c r="DV70" s="123"/>
      <c r="DW70" s="124">
        <f t="shared" si="135"/>
        <v>0</v>
      </c>
      <c r="DX70" s="123"/>
      <c r="DY70" s="124">
        <f t="shared" si="136"/>
        <v>0</v>
      </c>
      <c r="DZ70" s="123"/>
      <c r="EA70" s="124">
        <f t="shared" si="137"/>
        <v>0</v>
      </c>
      <c r="EB70" s="123"/>
      <c r="EC70" s="124">
        <f t="shared" si="138"/>
        <v>0</v>
      </c>
      <c r="ED70" s="123"/>
      <c r="EE70" s="124">
        <f t="shared" si="139"/>
        <v>0</v>
      </c>
      <c r="EF70" s="27">
        <f t="shared" si="73"/>
        <v>0</v>
      </c>
      <c r="EG70" s="124">
        <f t="shared" si="140"/>
        <v>0</v>
      </c>
    </row>
    <row r="71" spans="1:137" ht="18" customHeight="1" x14ac:dyDescent="0.5">
      <c r="A71" s="117">
        <v>58</v>
      </c>
      <c r="B71" s="122" t="s">
        <v>177</v>
      </c>
      <c r="C71" s="122" t="s">
        <v>233</v>
      </c>
      <c r="D71" s="117">
        <f>RANK(DF71,$DF$4:$DF$147)</f>
        <v>21</v>
      </c>
      <c r="E71" s="117">
        <v>0.6</v>
      </c>
      <c r="F71" s="117" t="s">
        <v>232</v>
      </c>
      <c r="G71" s="117"/>
      <c r="H71" s="123"/>
      <c r="I71" s="124">
        <f t="shared" si="74"/>
        <v>0</v>
      </c>
      <c r="J71" s="123"/>
      <c r="K71" s="124">
        <f t="shared" si="75"/>
        <v>0</v>
      </c>
      <c r="L71" s="123"/>
      <c r="M71" s="124">
        <f t="shared" si="76"/>
        <v>0</v>
      </c>
      <c r="N71" s="123"/>
      <c r="O71" s="124">
        <f t="shared" si="77"/>
        <v>0</v>
      </c>
      <c r="P71" s="123"/>
      <c r="Q71" s="124">
        <f t="shared" si="78"/>
        <v>0</v>
      </c>
      <c r="R71" s="123"/>
      <c r="S71" s="124">
        <f t="shared" si="79"/>
        <v>0</v>
      </c>
      <c r="T71" s="123"/>
      <c r="U71" s="124">
        <f t="shared" si="80"/>
        <v>0</v>
      </c>
      <c r="V71" s="123"/>
      <c r="W71" s="124">
        <f t="shared" si="81"/>
        <v>0</v>
      </c>
      <c r="X71" s="123"/>
      <c r="Y71" s="124">
        <f t="shared" si="82"/>
        <v>0</v>
      </c>
      <c r="Z71" s="123"/>
      <c r="AA71" s="124">
        <f t="shared" si="83"/>
        <v>0</v>
      </c>
      <c r="AB71" s="123"/>
      <c r="AC71" s="124">
        <f t="shared" si="84"/>
        <v>0</v>
      </c>
      <c r="AD71" s="123"/>
      <c r="AE71" s="124">
        <f t="shared" si="85"/>
        <v>0</v>
      </c>
      <c r="AF71" s="125">
        <f t="shared" si="86"/>
        <v>0</v>
      </c>
      <c r="AG71" s="126">
        <f t="shared" si="87"/>
        <v>0</v>
      </c>
      <c r="AH71" s="11"/>
      <c r="AI71" s="124">
        <f t="shared" si="88"/>
        <v>0</v>
      </c>
      <c r="AJ71" s="15"/>
      <c r="AK71" s="124">
        <f t="shared" si="89"/>
        <v>0</v>
      </c>
      <c r="AL71" s="15"/>
      <c r="AM71" s="124">
        <f t="shared" si="90"/>
        <v>0</v>
      </c>
      <c r="AN71" s="16"/>
      <c r="AO71" s="124">
        <f t="shared" si="91"/>
        <v>0</v>
      </c>
      <c r="AP71" s="15"/>
      <c r="AQ71" s="124">
        <f t="shared" si="92"/>
        <v>0</v>
      </c>
      <c r="AR71" s="15"/>
      <c r="AS71" s="124">
        <f t="shared" si="93"/>
        <v>0</v>
      </c>
      <c r="AT71" s="17"/>
      <c r="AU71" s="124">
        <f t="shared" si="94"/>
        <v>0</v>
      </c>
      <c r="AV71" s="15"/>
      <c r="AW71" s="124">
        <f t="shared" si="95"/>
        <v>0</v>
      </c>
      <c r="AX71" s="15"/>
      <c r="AY71" s="124">
        <f t="shared" si="96"/>
        <v>0</v>
      </c>
      <c r="AZ71" s="17"/>
      <c r="BA71" s="124">
        <f t="shared" si="97"/>
        <v>0</v>
      </c>
      <c r="BB71" s="33"/>
      <c r="BC71" s="124">
        <f t="shared" si="98"/>
        <v>0</v>
      </c>
      <c r="BD71" s="33"/>
      <c r="BE71" s="124">
        <f t="shared" si="99"/>
        <v>0</v>
      </c>
      <c r="BF71" s="125">
        <f t="shared" si="100"/>
        <v>0</v>
      </c>
      <c r="BG71" s="126">
        <f t="shared" si="101"/>
        <v>0</v>
      </c>
      <c r="BH71" s="123"/>
      <c r="BI71" s="124">
        <f t="shared" si="102"/>
        <v>0</v>
      </c>
      <c r="BJ71" s="123"/>
      <c r="BK71" s="124">
        <f t="shared" si="103"/>
        <v>0</v>
      </c>
      <c r="BL71" s="123"/>
      <c r="BM71" s="124">
        <f t="shared" si="104"/>
        <v>0</v>
      </c>
      <c r="BN71" s="123"/>
      <c r="BO71" s="124">
        <f t="shared" si="105"/>
        <v>0</v>
      </c>
      <c r="BP71" s="123"/>
      <c r="BQ71" s="124">
        <f t="shared" si="106"/>
        <v>0</v>
      </c>
      <c r="BR71" s="123"/>
      <c r="BS71" s="124">
        <f t="shared" si="107"/>
        <v>0</v>
      </c>
      <c r="BT71" s="123"/>
      <c r="BU71" s="124">
        <f t="shared" si="108"/>
        <v>0</v>
      </c>
      <c r="BV71" s="123"/>
      <c r="BW71" s="124">
        <f t="shared" si="109"/>
        <v>0</v>
      </c>
      <c r="BX71" s="123"/>
      <c r="BY71" s="124">
        <f t="shared" si="110"/>
        <v>0</v>
      </c>
      <c r="BZ71" s="123"/>
      <c r="CA71" s="124">
        <f t="shared" si="111"/>
        <v>0</v>
      </c>
      <c r="CB71" s="123"/>
      <c r="CC71" s="124">
        <f t="shared" si="112"/>
        <v>0</v>
      </c>
      <c r="CD71" s="123"/>
      <c r="CE71" s="124">
        <f t="shared" si="113"/>
        <v>0</v>
      </c>
      <c r="CF71" s="125">
        <f t="shared" si="114"/>
        <v>0</v>
      </c>
      <c r="CG71" s="126">
        <f t="shared" si="115"/>
        <v>0</v>
      </c>
      <c r="CH71" s="123"/>
      <c r="CI71" s="124">
        <f t="shared" si="116"/>
        <v>0</v>
      </c>
      <c r="CJ71" s="123"/>
      <c r="CK71" s="124">
        <f t="shared" si="117"/>
        <v>0</v>
      </c>
      <c r="CL71" s="123"/>
      <c r="CM71" s="124">
        <f t="shared" si="118"/>
        <v>0</v>
      </c>
      <c r="CN71" s="123"/>
      <c r="CO71" s="124">
        <f t="shared" si="119"/>
        <v>0</v>
      </c>
      <c r="CP71" s="123"/>
      <c r="CQ71" s="124">
        <f t="shared" si="120"/>
        <v>0</v>
      </c>
      <c r="CR71" s="123"/>
      <c r="CS71" s="124">
        <f t="shared" si="121"/>
        <v>0</v>
      </c>
      <c r="CT71" s="123"/>
      <c r="CU71" s="124">
        <f t="shared" si="122"/>
        <v>0</v>
      </c>
      <c r="CV71" s="123"/>
      <c r="CW71" s="124">
        <f t="shared" si="123"/>
        <v>0</v>
      </c>
      <c r="CX71" s="123"/>
      <c r="CY71" s="124">
        <f t="shared" si="124"/>
        <v>0</v>
      </c>
      <c r="CZ71" s="123"/>
      <c r="DA71" s="124">
        <f t="shared" si="125"/>
        <v>0</v>
      </c>
      <c r="DB71" s="123"/>
      <c r="DC71" s="124">
        <f t="shared" si="126"/>
        <v>0</v>
      </c>
      <c r="DD71" s="123"/>
      <c r="DE71" s="124">
        <f t="shared" si="126"/>
        <v>0</v>
      </c>
      <c r="DF71" s="177">
        <f t="shared" si="72"/>
        <v>0</v>
      </c>
      <c r="DG71" s="126">
        <f t="shared" si="127"/>
        <v>0</v>
      </c>
      <c r="DH71" s="123"/>
      <c r="DI71" s="124">
        <f t="shared" si="128"/>
        <v>0</v>
      </c>
      <c r="DJ71" s="123"/>
      <c r="DK71" s="124">
        <f t="shared" si="129"/>
        <v>0</v>
      </c>
      <c r="DL71" s="123"/>
      <c r="DM71" s="124">
        <f t="shared" si="130"/>
        <v>0</v>
      </c>
      <c r="DN71" s="123"/>
      <c r="DO71" s="124">
        <f t="shared" si="131"/>
        <v>0</v>
      </c>
      <c r="DP71" s="123"/>
      <c r="DQ71" s="124">
        <f t="shared" si="132"/>
        <v>0</v>
      </c>
      <c r="DR71" s="123"/>
      <c r="DS71" s="124">
        <f t="shared" si="133"/>
        <v>0</v>
      </c>
      <c r="DT71" s="123"/>
      <c r="DU71" s="124">
        <f t="shared" si="134"/>
        <v>0</v>
      </c>
      <c r="DV71" s="123"/>
      <c r="DW71" s="124">
        <f t="shared" si="135"/>
        <v>0</v>
      </c>
      <c r="DX71" s="123"/>
      <c r="DY71" s="124">
        <f t="shared" si="136"/>
        <v>0</v>
      </c>
      <c r="DZ71" s="123"/>
      <c r="EA71" s="124">
        <f t="shared" si="137"/>
        <v>0</v>
      </c>
      <c r="EB71" s="123"/>
      <c r="EC71" s="124">
        <f t="shared" si="138"/>
        <v>0</v>
      </c>
      <c r="ED71" s="123"/>
      <c r="EE71" s="124">
        <f t="shared" si="139"/>
        <v>0</v>
      </c>
      <c r="EF71" s="27">
        <f t="shared" si="73"/>
        <v>0</v>
      </c>
      <c r="EG71" s="124">
        <f t="shared" si="140"/>
        <v>0</v>
      </c>
    </row>
    <row r="72" spans="1:137" ht="18" customHeight="1" x14ac:dyDescent="0.5">
      <c r="A72" s="117">
        <v>59</v>
      </c>
      <c r="B72" s="122" t="s">
        <v>178</v>
      </c>
      <c r="C72" s="122" t="s">
        <v>231</v>
      </c>
      <c r="D72" s="117">
        <f>RANK(DF72,$DF$4:$DF$147)</f>
        <v>21</v>
      </c>
      <c r="E72" s="117">
        <v>0.64</v>
      </c>
      <c r="F72" s="117" t="s">
        <v>236</v>
      </c>
      <c r="G72" s="117"/>
      <c r="H72" s="123"/>
      <c r="I72" s="124">
        <f t="shared" si="74"/>
        <v>0</v>
      </c>
      <c r="J72" s="123"/>
      <c r="K72" s="124">
        <f t="shared" si="75"/>
        <v>0</v>
      </c>
      <c r="L72" s="123"/>
      <c r="M72" s="124">
        <f t="shared" si="76"/>
        <v>0</v>
      </c>
      <c r="N72" s="123"/>
      <c r="O72" s="124">
        <f t="shared" si="77"/>
        <v>0</v>
      </c>
      <c r="P72" s="123"/>
      <c r="Q72" s="124">
        <f t="shared" si="78"/>
        <v>0</v>
      </c>
      <c r="R72" s="123"/>
      <c r="S72" s="124">
        <f t="shared" si="79"/>
        <v>0</v>
      </c>
      <c r="T72" s="123"/>
      <c r="U72" s="124">
        <f t="shared" si="80"/>
        <v>0</v>
      </c>
      <c r="V72" s="123"/>
      <c r="W72" s="124">
        <f t="shared" si="81"/>
        <v>0</v>
      </c>
      <c r="X72" s="123"/>
      <c r="Y72" s="124">
        <f t="shared" si="82"/>
        <v>0</v>
      </c>
      <c r="Z72" s="123"/>
      <c r="AA72" s="124">
        <f t="shared" si="83"/>
        <v>0</v>
      </c>
      <c r="AB72" s="123"/>
      <c r="AC72" s="124">
        <f t="shared" si="84"/>
        <v>0</v>
      </c>
      <c r="AD72" s="123"/>
      <c r="AE72" s="124">
        <f t="shared" si="85"/>
        <v>0</v>
      </c>
      <c r="AF72" s="125">
        <f t="shared" si="86"/>
        <v>0</v>
      </c>
      <c r="AG72" s="126">
        <f t="shared" si="87"/>
        <v>0</v>
      </c>
      <c r="AH72" s="11"/>
      <c r="AI72" s="124">
        <f t="shared" si="88"/>
        <v>0</v>
      </c>
      <c r="AJ72" s="15"/>
      <c r="AK72" s="124">
        <f t="shared" si="89"/>
        <v>0</v>
      </c>
      <c r="AL72" s="15"/>
      <c r="AM72" s="124">
        <f t="shared" si="90"/>
        <v>0</v>
      </c>
      <c r="AN72" s="16"/>
      <c r="AO72" s="124">
        <f t="shared" si="91"/>
        <v>0</v>
      </c>
      <c r="AP72" s="15"/>
      <c r="AQ72" s="124">
        <f t="shared" si="92"/>
        <v>0</v>
      </c>
      <c r="AR72" s="15"/>
      <c r="AS72" s="124">
        <f t="shared" si="93"/>
        <v>0</v>
      </c>
      <c r="AT72" s="17"/>
      <c r="AU72" s="124">
        <f t="shared" si="94"/>
        <v>0</v>
      </c>
      <c r="AV72" s="15"/>
      <c r="AW72" s="124">
        <f t="shared" si="95"/>
        <v>0</v>
      </c>
      <c r="AX72" s="15"/>
      <c r="AY72" s="124">
        <f t="shared" si="96"/>
        <v>0</v>
      </c>
      <c r="AZ72" s="17"/>
      <c r="BA72" s="124">
        <f t="shared" si="97"/>
        <v>0</v>
      </c>
      <c r="BB72" s="33"/>
      <c r="BC72" s="124">
        <f t="shared" si="98"/>
        <v>0</v>
      </c>
      <c r="BD72" s="33"/>
      <c r="BE72" s="124">
        <f t="shared" si="99"/>
        <v>0</v>
      </c>
      <c r="BF72" s="125">
        <f t="shared" si="100"/>
        <v>0</v>
      </c>
      <c r="BG72" s="126">
        <f t="shared" si="101"/>
        <v>0</v>
      </c>
      <c r="BH72" s="123"/>
      <c r="BI72" s="124">
        <f t="shared" si="102"/>
        <v>0</v>
      </c>
      <c r="BJ72" s="123"/>
      <c r="BK72" s="124">
        <f t="shared" si="103"/>
        <v>0</v>
      </c>
      <c r="BL72" s="123"/>
      <c r="BM72" s="124">
        <f t="shared" si="104"/>
        <v>0</v>
      </c>
      <c r="BN72" s="123"/>
      <c r="BO72" s="124">
        <f t="shared" si="105"/>
        <v>0</v>
      </c>
      <c r="BP72" s="123"/>
      <c r="BQ72" s="124">
        <f t="shared" si="106"/>
        <v>0</v>
      </c>
      <c r="BR72" s="123"/>
      <c r="BS72" s="124">
        <f t="shared" si="107"/>
        <v>0</v>
      </c>
      <c r="BT72" s="123"/>
      <c r="BU72" s="124">
        <f t="shared" si="108"/>
        <v>0</v>
      </c>
      <c r="BV72" s="123"/>
      <c r="BW72" s="124">
        <f t="shared" si="109"/>
        <v>0</v>
      </c>
      <c r="BX72" s="123"/>
      <c r="BY72" s="124">
        <f t="shared" si="110"/>
        <v>0</v>
      </c>
      <c r="BZ72" s="123"/>
      <c r="CA72" s="124">
        <f t="shared" si="111"/>
        <v>0</v>
      </c>
      <c r="CB72" s="123"/>
      <c r="CC72" s="124">
        <f t="shared" si="112"/>
        <v>0</v>
      </c>
      <c r="CD72" s="123"/>
      <c r="CE72" s="124">
        <f t="shared" si="113"/>
        <v>0</v>
      </c>
      <c r="CF72" s="125">
        <f t="shared" si="114"/>
        <v>0</v>
      </c>
      <c r="CG72" s="126">
        <f t="shared" si="115"/>
        <v>0</v>
      </c>
      <c r="CH72" s="123"/>
      <c r="CI72" s="124">
        <f t="shared" si="116"/>
        <v>0</v>
      </c>
      <c r="CJ72" s="123"/>
      <c r="CK72" s="124">
        <f t="shared" si="117"/>
        <v>0</v>
      </c>
      <c r="CL72" s="123"/>
      <c r="CM72" s="124">
        <f t="shared" si="118"/>
        <v>0</v>
      </c>
      <c r="CN72" s="123"/>
      <c r="CO72" s="124">
        <f t="shared" si="119"/>
        <v>0</v>
      </c>
      <c r="CP72" s="123"/>
      <c r="CQ72" s="124">
        <f t="shared" si="120"/>
        <v>0</v>
      </c>
      <c r="CR72" s="123"/>
      <c r="CS72" s="124">
        <f t="shared" si="121"/>
        <v>0</v>
      </c>
      <c r="CT72" s="123"/>
      <c r="CU72" s="124">
        <f t="shared" si="122"/>
        <v>0</v>
      </c>
      <c r="CV72" s="123"/>
      <c r="CW72" s="124">
        <f t="shared" si="123"/>
        <v>0</v>
      </c>
      <c r="CX72" s="123"/>
      <c r="CY72" s="124">
        <f t="shared" si="124"/>
        <v>0</v>
      </c>
      <c r="CZ72" s="123"/>
      <c r="DA72" s="124">
        <f t="shared" si="125"/>
        <v>0</v>
      </c>
      <c r="DB72" s="123"/>
      <c r="DC72" s="124">
        <f t="shared" si="126"/>
        <v>0</v>
      </c>
      <c r="DD72" s="123"/>
      <c r="DE72" s="124">
        <f t="shared" si="126"/>
        <v>0</v>
      </c>
      <c r="DF72" s="177">
        <f t="shared" si="72"/>
        <v>0</v>
      </c>
      <c r="DG72" s="126">
        <f t="shared" si="127"/>
        <v>0</v>
      </c>
      <c r="DH72" s="123"/>
      <c r="DI72" s="124">
        <f t="shared" si="128"/>
        <v>0</v>
      </c>
      <c r="DJ72" s="123"/>
      <c r="DK72" s="124">
        <f t="shared" si="129"/>
        <v>0</v>
      </c>
      <c r="DL72" s="123"/>
      <c r="DM72" s="124">
        <f t="shared" si="130"/>
        <v>0</v>
      </c>
      <c r="DN72" s="123"/>
      <c r="DO72" s="124">
        <f t="shared" si="131"/>
        <v>0</v>
      </c>
      <c r="DP72" s="123"/>
      <c r="DQ72" s="124">
        <f t="shared" si="132"/>
        <v>0</v>
      </c>
      <c r="DR72" s="123"/>
      <c r="DS72" s="124">
        <f t="shared" si="133"/>
        <v>0</v>
      </c>
      <c r="DT72" s="123"/>
      <c r="DU72" s="124">
        <f t="shared" si="134"/>
        <v>0</v>
      </c>
      <c r="DV72" s="123"/>
      <c r="DW72" s="124">
        <f t="shared" si="135"/>
        <v>0</v>
      </c>
      <c r="DX72" s="123"/>
      <c r="DY72" s="124">
        <f t="shared" si="136"/>
        <v>0</v>
      </c>
      <c r="DZ72" s="123"/>
      <c r="EA72" s="124">
        <f t="shared" si="137"/>
        <v>0</v>
      </c>
      <c r="EB72" s="123"/>
      <c r="EC72" s="124">
        <f t="shared" si="138"/>
        <v>0</v>
      </c>
      <c r="ED72" s="123"/>
      <c r="EE72" s="124">
        <f t="shared" si="139"/>
        <v>0</v>
      </c>
      <c r="EF72" s="27">
        <f t="shared" si="73"/>
        <v>0</v>
      </c>
      <c r="EG72" s="124">
        <f t="shared" si="140"/>
        <v>0</v>
      </c>
    </row>
    <row r="73" spans="1:137" ht="18" customHeight="1" x14ac:dyDescent="0.5">
      <c r="A73" s="117"/>
      <c r="B73" s="122"/>
      <c r="C73" s="122"/>
      <c r="D73" s="117"/>
      <c r="E73" s="117"/>
      <c r="F73" s="117"/>
      <c r="G73" s="117"/>
      <c r="H73" s="123"/>
      <c r="I73" s="124">
        <f t="shared" si="74"/>
        <v>0</v>
      </c>
      <c r="J73" s="123"/>
      <c r="K73" s="124">
        <f t="shared" si="75"/>
        <v>0</v>
      </c>
      <c r="L73" s="123"/>
      <c r="M73" s="124">
        <f t="shared" si="76"/>
        <v>0</v>
      </c>
      <c r="N73" s="123"/>
      <c r="O73" s="124">
        <f t="shared" si="77"/>
        <v>0</v>
      </c>
      <c r="P73" s="123"/>
      <c r="Q73" s="124">
        <f t="shared" si="78"/>
        <v>0</v>
      </c>
      <c r="R73" s="123"/>
      <c r="S73" s="124">
        <f t="shared" si="79"/>
        <v>0</v>
      </c>
      <c r="T73" s="123"/>
      <c r="U73" s="124">
        <f t="shared" si="80"/>
        <v>0</v>
      </c>
      <c r="V73" s="123"/>
      <c r="W73" s="124">
        <f t="shared" si="81"/>
        <v>0</v>
      </c>
      <c r="X73" s="123"/>
      <c r="Y73" s="124">
        <f t="shared" si="82"/>
        <v>0</v>
      </c>
      <c r="Z73" s="123"/>
      <c r="AA73" s="124">
        <f t="shared" si="83"/>
        <v>0</v>
      </c>
      <c r="AB73" s="123"/>
      <c r="AC73" s="124">
        <f t="shared" si="84"/>
        <v>0</v>
      </c>
      <c r="AD73" s="123"/>
      <c r="AE73" s="124">
        <f t="shared" si="85"/>
        <v>0</v>
      </c>
      <c r="AF73" s="125">
        <f t="shared" si="86"/>
        <v>0</v>
      </c>
      <c r="AG73" s="126">
        <f t="shared" si="87"/>
        <v>0</v>
      </c>
      <c r="AH73" s="11"/>
      <c r="AI73" s="124">
        <f t="shared" si="88"/>
        <v>0</v>
      </c>
      <c r="AJ73" s="15"/>
      <c r="AK73" s="124">
        <f t="shared" si="89"/>
        <v>0</v>
      </c>
      <c r="AL73" s="15"/>
      <c r="AM73" s="124">
        <f t="shared" si="90"/>
        <v>0</v>
      </c>
      <c r="AN73" s="16"/>
      <c r="AO73" s="124">
        <f t="shared" si="91"/>
        <v>0</v>
      </c>
      <c r="AP73" s="15"/>
      <c r="AQ73" s="124">
        <f t="shared" si="92"/>
        <v>0</v>
      </c>
      <c r="AR73" s="15"/>
      <c r="AS73" s="124">
        <f t="shared" si="93"/>
        <v>0</v>
      </c>
      <c r="AT73" s="17"/>
      <c r="AU73" s="124">
        <f t="shared" si="94"/>
        <v>0</v>
      </c>
      <c r="AV73" s="15"/>
      <c r="AW73" s="124">
        <f t="shared" si="95"/>
        <v>0</v>
      </c>
      <c r="AX73" s="15"/>
      <c r="AY73" s="124">
        <f t="shared" si="96"/>
        <v>0</v>
      </c>
      <c r="AZ73" s="17"/>
      <c r="BA73" s="124">
        <f t="shared" si="97"/>
        <v>0</v>
      </c>
      <c r="BB73" s="33"/>
      <c r="BC73" s="124">
        <f t="shared" si="98"/>
        <v>0</v>
      </c>
      <c r="BD73" s="33"/>
      <c r="BE73" s="124">
        <f t="shared" si="99"/>
        <v>0</v>
      </c>
      <c r="BF73" s="125">
        <f t="shared" si="100"/>
        <v>0</v>
      </c>
      <c r="BG73" s="126">
        <f t="shared" si="101"/>
        <v>0</v>
      </c>
      <c r="BH73" s="123"/>
      <c r="BI73" s="124">
        <f t="shared" si="102"/>
        <v>0</v>
      </c>
      <c r="BJ73" s="123"/>
      <c r="BK73" s="124">
        <f t="shared" si="103"/>
        <v>0</v>
      </c>
      <c r="BL73" s="123"/>
      <c r="BM73" s="124">
        <f t="shared" si="104"/>
        <v>0</v>
      </c>
      <c r="BN73" s="123"/>
      <c r="BO73" s="124">
        <f t="shared" si="105"/>
        <v>0</v>
      </c>
      <c r="BP73" s="123"/>
      <c r="BQ73" s="124">
        <f t="shared" si="106"/>
        <v>0</v>
      </c>
      <c r="BR73" s="123"/>
      <c r="BS73" s="124">
        <f t="shared" si="107"/>
        <v>0</v>
      </c>
      <c r="BT73" s="123"/>
      <c r="BU73" s="124">
        <f t="shared" si="108"/>
        <v>0</v>
      </c>
      <c r="BV73" s="123"/>
      <c r="BW73" s="124">
        <f t="shared" si="109"/>
        <v>0</v>
      </c>
      <c r="BX73" s="123"/>
      <c r="BY73" s="124">
        <f t="shared" si="110"/>
        <v>0</v>
      </c>
      <c r="BZ73" s="123"/>
      <c r="CA73" s="124">
        <f t="shared" si="111"/>
        <v>0</v>
      </c>
      <c r="CB73" s="123"/>
      <c r="CC73" s="124">
        <f t="shared" si="112"/>
        <v>0</v>
      </c>
      <c r="CD73" s="123"/>
      <c r="CE73" s="124">
        <f t="shared" si="113"/>
        <v>0</v>
      </c>
      <c r="CF73" s="125">
        <f t="shared" si="114"/>
        <v>0</v>
      </c>
      <c r="CG73" s="126">
        <f t="shared" si="115"/>
        <v>0</v>
      </c>
      <c r="CH73" s="123"/>
      <c r="CI73" s="124">
        <f t="shared" si="116"/>
        <v>0</v>
      </c>
      <c r="CJ73" s="123"/>
      <c r="CK73" s="124">
        <f t="shared" si="117"/>
        <v>0</v>
      </c>
      <c r="CL73" s="123"/>
      <c r="CM73" s="124">
        <f t="shared" si="118"/>
        <v>0</v>
      </c>
      <c r="CN73" s="123"/>
      <c r="CO73" s="124">
        <f t="shared" si="119"/>
        <v>0</v>
      </c>
      <c r="CP73" s="123"/>
      <c r="CQ73" s="124">
        <f t="shared" si="120"/>
        <v>0</v>
      </c>
      <c r="CR73" s="123"/>
      <c r="CS73" s="124">
        <f t="shared" si="121"/>
        <v>0</v>
      </c>
      <c r="CT73" s="123"/>
      <c r="CU73" s="124">
        <f t="shared" si="122"/>
        <v>0</v>
      </c>
      <c r="CV73" s="123"/>
      <c r="CW73" s="124">
        <f t="shared" si="123"/>
        <v>0</v>
      </c>
      <c r="CX73" s="123"/>
      <c r="CY73" s="124">
        <f t="shared" si="124"/>
        <v>0</v>
      </c>
      <c r="CZ73" s="123"/>
      <c r="DA73" s="124">
        <f t="shared" si="125"/>
        <v>0</v>
      </c>
      <c r="DB73" s="123"/>
      <c r="DC73" s="124">
        <f t="shared" si="126"/>
        <v>0</v>
      </c>
      <c r="DD73" s="123"/>
      <c r="DE73" s="124">
        <f t="shared" si="126"/>
        <v>0</v>
      </c>
      <c r="DF73" s="177">
        <f t="shared" si="72"/>
        <v>0</v>
      </c>
      <c r="DG73" s="126">
        <f t="shared" si="127"/>
        <v>0</v>
      </c>
      <c r="DH73" s="123"/>
      <c r="DI73" s="124">
        <f t="shared" si="128"/>
        <v>0</v>
      </c>
      <c r="DJ73" s="123"/>
      <c r="DK73" s="124">
        <f t="shared" si="129"/>
        <v>0</v>
      </c>
      <c r="DL73" s="123"/>
      <c r="DM73" s="124">
        <f t="shared" si="130"/>
        <v>0</v>
      </c>
      <c r="DN73" s="123"/>
      <c r="DO73" s="124">
        <f t="shared" si="131"/>
        <v>0</v>
      </c>
      <c r="DP73" s="123"/>
      <c r="DQ73" s="124">
        <f t="shared" si="132"/>
        <v>0</v>
      </c>
      <c r="DR73" s="123"/>
      <c r="DS73" s="124">
        <f t="shared" si="133"/>
        <v>0</v>
      </c>
      <c r="DT73" s="123"/>
      <c r="DU73" s="124">
        <f t="shared" si="134"/>
        <v>0</v>
      </c>
      <c r="DV73" s="123"/>
      <c r="DW73" s="124">
        <f t="shared" si="135"/>
        <v>0</v>
      </c>
      <c r="DX73" s="123"/>
      <c r="DY73" s="124">
        <f t="shared" si="136"/>
        <v>0</v>
      </c>
      <c r="DZ73" s="123"/>
      <c r="EA73" s="124">
        <f t="shared" si="137"/>
        <v>0</v>
      </c>
      <c r="EB73" s="123"/>
      <c r="EC73" s="124">
        <f t="shared" si="138"/>
        <v>0</v>
      </c>
      <c r="ED73" s="123"/>
      <c r="EE73" s="124">
        <f t="shared" si="139"/>
        <v>0</v>
      </c>
      <c r="EF73" s="27">
        <f t="shared" si="73"/>
        <v>0</v>
      </c>
      <c r="EG73" s="124">
        <f t="shared" si="140"/>
        <v>0</v>
      </c>
    </row>
    <row r="74" spans="1:137" ht="18" customHeight="1" x14ac:dyDescent="0.5">
      <c r="A74" s="117">
        <v>60</v>
      </c>
      <c r="B74" s="122" t="s">
        <v>179</v>
      </c>
      <c r="C74" s="122" t="s">
        <v>231</v>
      </c>
      <c r="D74" s="117">
        <f>RANK(DF74,$DF$4:$DF$147)</f>
        <v>13</v>
      </c>
      <c r="E74" s="117">
        <v>0.64</v>
      </c>
      <c r="F74" s="117" t="s">
        <v>236</v>
      </c>
      <c r="G74" s="117">
        <v>1350</v>
      </c>
      <c r="H74" s="123">
        <v>360</v>
      </c>
      <c r="I74" s="124">
        <f t="shared" si="74"/>
        <v>230.4</v>
      </c>
      <c r="J74" s="123">
        <v>480</v>
      </c>
      <c r="K74" s="124">
        <f t="shared" si="75"/>
        <v>307.2</v>
      </c>
      <c r="L74" s="123">
        <v>1200</v>
      </c>
      <c r="M74" s="124">
        <f t="shared" si="76"/>
        <v>768</v>
      </c>
      <c r="N74" s="123">
        <v>840</v>
      </c>
      <c r="O74" s="124">
        <f t="shared" si="77"/>
        <v>537.6</v>
      </c>
      <c r="P74" s="123">
        <v>840</v>
      </c>
      <c r="Q74" s="124">
        <f t="shared" si="78"/>
        <v>537.6</v>
      </c>
      <c r="R74" s="123">
        <v>744</v>
      </c>
      <c r="S74" s="124">
        <f t="shared" si="79"/>
        <v>476.16</v>
      </c>
      <c r="T74" s="123">
        <v>120</v>
      </c>
      <c r="U74" s="124">
        <f t="shared" si="80"/>
        <v>76.8</v>
      </c>
      <c r="V74" s="123">
        <v>1560</v>
      </c>
      <c r="W74" s="124">
        <f t="shared" si="81"/>
        <v>998.4</v>
      </c>
      <c r="X74" s="123">
        <v>360</v>
      </c>
      <c r="Y74" s="124">
        <f t="shared" si="82"/>
        <v>230.4</v>
      </c>
      <c r="Z74" s="123">
        <v>1272</v>
      </c>
      <c r="AA74" s="124">
        <f t="shared" si="83"/>
        <v>814.08</v>
      </c>
      <c r="AB74" s="123">
        <v>360</v>
      </c>
      <c r="AC74" s="124">
        <f t="shared" si="84"/>
        <v>230.4</v>
      </c>
      <c r="AD74" s="123">
        <v>600</v>
      </c>
      <c r="AE74" s="124">
        <f t="shared" si="85"/>
        <v>384</v>
      </c>
      <c r="AF74" s="125">
        <f t="shared" si="86"/>
        <v>8736</v>
      </c>
      <c r="AG74" s="126">
        <f t="shared" si="87"/>
        <v>5591.04</v>
      </c>
      <c r="AH74" s="11">
        <v>360</v>
      </c>
      <c r="AI74" s="124">
        <f t="shared" si="88"/>
        <v>230.4</v>
      </c>
      <c r="AJ74" s="15">
        <v>360</v>
      </c>
      <c r="AK74" s="124">
        <f t="shared" si="89"/>
        <v>230.4</v>
      </c>
      <c r="AL74" s="15">
        <v>1200</v>
      </c>
      <c r="AM74" s="124">
        <f t="shared" si="90"/>
        <v>768</v>
      </c>
      <c r="AN74" s="16">
        <v>360</v>
      </c>
      <c r="AO74" s="124">
        <f t="shared" si="91"/>
        <v>230.4</v>
      </c>
      <c r="AP74" s="15">
        <v>840</v>
      </c>
      <c r="AQ74" s="124">
        <f t="shared" si="92"/>
        <v>537.6</v>
      </c>
      <c r="AR74" s="15">
        <v>360</v>
      </c>
      <c r="AS74" s="124">
        <f t="shared" si="93"/>
        <v>230.4</v>
      </c>
      <c r="AT74" s="17">
        <v>384</v>
      </c>
      <c r="AU74" s="124">
        <f t="shared" si="94"/>
        <v>245.76</v>
      </c>
      <c r="AV74" s="15">
        <v>242</v>
      </c>
      <c r="AW74" s="124">
        <f t="shared" si="95"/>
        <v>154.88</v>
      </c>
      <c r="AX74" s="15">
        <v>1968</v>
      </c>
      <c r="AY74" s="124">
        <f t="shared" si="96"/>
        <v>1259.52</v>
      </c>
      <c r="AZ74" s="17">
        <v>238</v>
      </c>
      <c r="BA74" s="124">
        <f t="shared" si="97"/>
        <v>152.32</v>
      </c>
      <c r="BB74" s="33">
        <v>112</v>
      </c>
      <c r="BC74" s="124">
        <f t="shared" si="98"/>
        <v>71.680000000000007</v>
      </c>
      <c r="BD74" s="33">
        <v>588</v>
      </c>
      <c r="BE74" s="124">
        <f t="shared" si="99"/>
        <v>376.32</v>
      </c>
      <c r="BF74" s="125">
        <f t="shared" si="100"/>
        <v>7012</v>
      </c>
      <c r="BG74" s="126">
        <f t="shared" si="101"/>
        <v>4487.68</v>
      </c>
      <c r="BH74" s="64">
        <v>434</v>
      </c>
      <c r="BI74" s="124">
        <f t="shared" si="102"/>
        <v>277.76</v>
      </c>
      <c r="BJ74" s="64">
        <v>322</v>
      </c>
      <c r="BK74" s="124">
        <f t="shared" si="103"/>
        <v>206.08</v>
      </c>
      <c r="BL74" s="64">
        <v>336</v>
      </c>
      <c r="BM74" s="124">
        <f t="shared" si="104"/>
        <v>215.04</v>
      </c>
      <c r="BN74" s="64">
        <v>546</v>
      </c>
      <c r="BO74" s="124">
        <f t="shared" si="105"/>
        <v>349.44</v>
      </c>
      <c r="BP74" s="64">
        <v>280</v>
      </c>
      <c r="BQ74" s="124">
        <f t="shared" si="106"/>
        <v>179.20000000000002</v>
      </c>
      <c r="BR74" s="65">
        <v>504</v>
      </c>
      <c r="BS74" s="124">
        <f t="shared" si="107"/>
        <v>322.56</v>
      </c>
      <c r="BT74" s="71">
        <v>588</v>
      </c>
      <c r="BU74" s="124">
        <f t="shared" si="108"/>
        <v>376.32</v>
      </c>
      <c r="BV74" s="67"/>
      <c r="BW74" s="124">
        <f t="shared" si="109"/>
        <v>0</v>
      </c>
      <c r="BX74" s="67">
        <v>154</v>
      </c>
      <c r="BY74" s="124">
        <f t="shared" si="110"/>
        <v>98.56</v>
      </c>
      <c r="BZ74" s="69">
        <v>196</v>
      </c>
      <c r="CA74" s="124">
        <f t="shared" si="111"/>
        <v>125.44</v>
      </c>
      <c r="CB74" s="69">
        <v>434</v>
      </c>
      <c r="CC74" s="124">
        <f t="shared" si="112"/>
        <v>277.76</v>
      </c>
      <c r="CD74" s="69">
        <v>140</v>
      </c>
      <c r="CE74" s="124">
        <f t="shared" si="113"/>
        <v>89.600000000000009</v>
      </c>
      <c r="CF74" s="125">
        <f t="shared" si="114"/>
        <v>3934</v>
      </c>
      <c r="CG74" s="126">
        <f t="shared" si="115"/>
        <v>2517.7600000000002</v>
      </c>
      <c r="CH74" s="123">
        <v>350</v>
      </c>
      <c r="CI74" s="124">
        <f t="shared" si="116"/>
        <v>224</v>
      </c>
      <c r="CJ74" s="123">
        <v>70</v>
      </c>
      <c r="CK74" s="124">
        <f t="shared" si="117"/>
        <v>44.800000000000004</v>
      </c>
      <c r="CL74" s="123">
        <v>210</v>
      </c>
      <c r="CM74" s="124">
        <f t="shared" si="118"/>
        <v>134.4</v>
      </c>
      <c r="CN74" s="123">
        <v>518</v>
      </c>
      <c r="CO74" s="124">
        <f t="shared" si="119"/>
        <v>331.52</v>
      </c>
      <c r="CP74" s="123">
        <v>70</v>
      </c>
      <c r="CQ74" s="124">
        <f t="shared" si="120"/>
        <v>44.800000000000004</v>
      </c>
      <c r="CR74" s="123">
        <v>140</v>
      </c>
      <c r="CS74" s="124">
        <f t="shared" si="121"/>
        <v>89.600000000000009</v>
      </c>
      <c r="CT74" s="123">
        <v>42</v>
      </c>
      <c r="CU74" s="124">
        <f t="shared" si="122"/>
        <v>26.88</v>
      </c>
      <c r="CV74" s="123">
        <v>98</v>
      </c>
      <c r="CW74" s="124">
        <f t="shared" si="123"/>
        <v>62.72</v>
      </c>
      <c r="CX74" s="123">
        <v>210</v>
      </c>
      <c r="CY74" s="124">
        <f t="shared" si="124"/>
        <v>134.4</v>
      </c>
      <c r="CZ74" s="123">
        <v>308</v>
      </c>
      <c r="DA74" s="124">
        <f t="shared" si="125"/>
        <v>197.12</v>
      </c>
      <c r="DB74" s="123">
        <v>336</v>
      </c>
      <c r="DC74" s="124">
        <f t="shared" si="126"/>
        <v>215.04</v>
      </c>
      <c r="DD74" s="123">
        <v>210</v>
      </c>
      <c r="DE74" s="124">
        <f t="shared" si="126"/>
        <v>134.4</v>
      </c>
      <c r="DF74" s="177">
        <f t="shared" si="72"/>
        <v>2562</v>
      </c>
      <c r="DG74" s="126">
        <f t="shared" si="127"/>
        <v>1639.68</v>
      </c>
      <c r="DH74" s="123">
        <v>241</v>
      </c>
      <c r="DI74" s="124">
        <f t="shared" si="128"/>
        <v>154.24</v>
      </c>
      <c r="DJ74" s="123">
        <v>378</v>
      </c>
      <c r="DK74" s="124">
        <f t="shared" si="129"/>
        <v>241.92000000000002</v>
      </c>
      <c r="DL74" s="123"/>
      <c r="DM74" s="124">
        <f t="shared" si="130"/>
        <v>0</v>
      </c>
      <c r="DN74" s="123"/>
      <c r="DO74" s="124">
        <f t="shared" si="131"/>
        <v>0</v>
      </c>
      <c r="DP74" s="123"/>
      <c r="DQ74" s="124">
        <f t="shared" si="132"/>
        <v>0</v>
      </c>
      <c r="DR74" s="123"/>
      <c r="DS74" s="124">
        <f t="shared" si="133"/>
        <v>0</v>
      </c>
      <c r="DT74" s="123"/>
      <c r="DU74" s="124">
        <f t="shared" si="134"/>
        <v>0</v>
      </c>
      <c r="DV74" s="123"/>
      <c r="DW74" s="124">
        <f t="shared" si="135"/>
        <v>0</v>
      </c>
      <c r="DX74" s="123"/>
      <c r="DY74" s="124">
        <f t="shared" si="136"/>
        <v>0</v>
      </c>
      <c r="DZ74" s="123"/>
      <c r="EA74" s="124">
        <f t="shared" si="137"/>
        <v>0</v>
      </c>
      <c r="EB74" s="123"/>
      <c r="EC74" s="124">
        <f t="shared" si="138"/>
        <v>0</v>
      </c>
      <c r="ED74" s="123"/>
      <c r="EE74" s="124">
        <f t="shared" si="139"/>
        <v>0</v>
      </c>
      <c r="EF74" s="27">
        <f t="shared" si="73"/>
        <v>619</v>
      </c>
      <c r="EG74" s="124">
        <f t="shared" si="140"/>
        <v>396.16</v>
      </c>
    </row>
    <row r="75" spans="1:137" ht="18" customHeight="1" x14ac:dyDescent="0.5">
      <c r="A75" s="117">
        <v>61</v>
      </c>
      <c r="B75" s="122" t="s">
        <v>179</v>
      </c>
      <c r="C75" s="122" t="s">
        <v>231</v>
      </c>
      <c r="D75" s="117">
        <f>RANK(DF75,$DF$4:$DF$147)</f>
        <v>21</v>
      </c>
      <c r="E75" s="117">
        <v>0.64</v>
      </c>
      <c r="F75" s="117" t="s">
        <v>235</v>
      </c>
      <c r="G75" s="117">
        <v>1350</v>
      </c>
      <c r="H75" s="123"/>
      <c r="I75" s="124">
        <f t="shared" si="74"/>
        <v>0</v>
      </c>
      <c r="J75" s="123"/>
      <c r="K75" s="124">
        <f t="shared" si="75"/>
        <v>0</v>
      </c>
      <c r="L75" s="123"/>
      <c r="M75" s="124">
        <f t="shared" si="76"/>
        <v>0</v>
      </c>
      <c r="N75" s="123"/>
      <c r="O75" s="124">
        <f t="shared" si="77"/>
        <v>0</v>
      </c>
      <c r="P75" s="123"/>
      <c r="Q75" s="124">
        <f t="shared" si="78"/>
        <v>0</v>
      </c>
      <c r="R75" s="123"/>
      <c r="S75" s="124">
        <f t="shared" si="79"/>
        <v>0</v>
      </c>
      <c r="T75" s="123"/>
      <c r="U75" s="124">
        <f t="shared" si="80"/>
        <v>0</v>
      </c>
      <c r="V75" s="123"/>
      <c r="W75" s="124">
        <f t="shared" si="81"/>
        <v>0</v>
      </c>
      <c r="X75" s="123"/>
      <c r="Y75" s="124">
        <f t="shared" si="82"/>
        <v>0</v>
      </c>
      <c r="Z75" s="123"/>
      <c r="AA75" s="124">
        <f t="shared" si="83"/>
        <v>0</v>
      </c>
      <c r="AB75" s="123"/>
      <c r="AC75" s="124">
        <f t="shared" si="84"/>
        <v>0</v>
      </c>
      <c r="AD75" s="123"/>
      <c r="AE75" s="124">
        <f t="shared" si="85"/>
        <v>0</v>
      </c>
      <c r="AF75" s="125">
        <f t="shared" si="86"/>
        <v>0</v>
      </c>
      <c r="AG75" s="126">
        <f t="shared" si="87"/>
        <v>0</v>
      </c>
      <c r="AH75" s="11"/>
      <c r="AI75" s="124">
        <f t="shared" si="88"/>
        <v>0</v>
      </c>
      <c r="AJ75" s="15"/>
      <c r="AK75" s="124">
        <f t="shared" si="89"/>
        <v>0</v>
      </c>
      <c r="AL75" s="15"/>
      <c r="AM75" s="124">
        <f t="shared" si="90"/>
        <v>0</v>
      </c>
      <c r="AN75" s="16"/>
      <c r="AO75" s="124">
        <f t="shared" si="91"/>
        <v>0</v>
      </c>
      <c r="AP75" s="15"/>
      <c r="AQ75" s="124">
        <f t="shared" si="92"/>
        <v>0</v>
      </c>
      <c r="AR75" s="15"/>
      <c r="AS75" s="124">
        <f t="shared" si="93"/>
        <v>0</v>
      </c>
      <c r="AT75" s="17"/>
      <c r="AU75" s="124">
        <f t="shared" si="94"/>
        <v>0</v>
      </c>
      <c r="AV75" s="15"/>
      <c r="AW75" s="124">
        <f t="shared" si="95"/>
        <v>0</v>
      </c>
      <c r="AX75" s="15"/>
      <c r="AY75" s="124">
        <f t="shared" si="96"/>
        <v>0</v>
      </c>
      <c r="AZ75" s="17">
        <v>216</v>
      </c>
      <c r="BA75" s="124">
        <f t="shared" si="97"/>
        <v>138.24</v>
      </c>
      <c r="BB75" s="33">
        <v>552</v>
      </c>
      <c r="BC75" s="124">
        <f t="shared" si="98"/>
        <v>353.28000000000003</v>
      </c>
      <c r="BD75" s="33">
        <v>120</v>
      </c>
      <c r="BE75" s="124">
        <f t="shared" si="99"/>
        <v>76.8</v>
      </c>
      <c r="BF75" s="125">
        <f t="shared" si="100"/>
        <v>888</v>
      </c>
      <c r="BG75" s="126">
        <f t="shared" si="101"/>
        <v>568.32000000000005</v>
      </c>
      <c r="BH75" s="64">
        <v>18648</v>
      </c>
      <c r="BI75" s="124">
        <f t="shared" si="102"/>
        <v>11934.72</v>
      </c>
      <c r="BJ75" s="77"/>
      <c r="BK75" s="124">
        <f t="shared" si="103"/>
        <v>0</v>
      </c>
      <c r="BL75" s="77"/>
      <c r="BM75" s="124">
        <f t="shared" si="104"/>
        <v>0</v>
      </c>
      <c r="BN75" s="78"/>
      <c r="BO75" s="124">
        <f t="shared" si="105"/>
        <v>0</v>
      </c>
      <c r="BP75" s="67"/>
      <c r="BQ75" s="124">
        <f t="shared" si="106"/>
        <v>0</v>
      </c>
      <c r="BR75" s="65"/>
      <c r="BS75" s="124">
        <f t="shared" si="107"/>
        <v>0</v>
      </c>
      <c r="BT75" s="67"/>
      <c r="BU75" s="124">
        <f t="shared" si="108"/>
        <v>0</v>
      </c>
      <c r="BV75" s="67"/>
      <c r="BW75" s="124">
        <f t="shared" si="109"/>
        <v>0</v>
      </c>
      <c r="BX75" s="67"/>
      <c r="BY75" s="124">
        <f t="shared" si="110"/>
        <v>0</v>
      </c>
      <c r="BZ75" s="69"/>
      <c r="CA75" s="124">
        <f t="shared" si="111"/>
        <v>0</v>
      </c>
      <c r="CB75" s="67"/>
      <c r="CC75" s="124">
        <f t="shared" si="112"/>
        <v>0</v>
      </c>
      <c r="CD75" s="67"/>
      <c r="CE75" s="124">
        <f t="shared" si="113"/>
        <v>0</v>
      </c>
      <c r="CF75" s="125">
        <f t="shared" si="114"/>
        <v>18648</v>
      </c>
      <c r="CG75" s="126">
        <f t="shared" si="115"/>
        <v>11934.72</v>
      </c>
      <c r="CH75" s="123"/>
      <c r="CI75" s="124">
        <f t="shared" si="116"/>
        <v>0</v>
      </c>
      <c r="CJ75" s="123"/>
      <c r="CK75" s="124">
        <f t="shared" si="117"/>
        <v>0</v>
      </c>
      <c r="CL75" s="123"/>
      <c r="CM75" s="124">
        <f t="shared" si="118"/>
        <v>0</v>
      </c>
      <c r="CN75" s="123"/>
      <c r="CO75" s="124">
        <f t="shared" si="119"/>
        <v>0</v>
      </c>
      <c r="CP75" s="123"/>
      <c r="CQ75" s="124">
        <f t="shared" si="120"/>
        <v>0</v>
      </c>
      <c r="CR75" s="123"/>
      <c r="CS75" s="124">
        <f t="shared" si="121"/>
        <v>0</v>
      </c>
      <c r="CT75" s="123"/>
      <c r="CU75" s="124">
        <f t="shared" si="122"/>
        <v>0</v>
      </c>
      <c r="CV75" s="123"/>
      <c r="CW75" s="124">
        <f t="shared" si="123"/>
        <v>0</v>
      </c>
      <c r="CX75" s="123"/>
      <c r="CY75" s="124">
        <f t="shared" si="124"/>
        <v>0</v>
      </c>
      <c r="CZ75" s="123"/>
      <c r="DA75" s="124">
        <f t="shared" si="125"/>
        <v>0</v>
      </c>
      <c r="DB75" s="123"/>
      <c r="DC75" s="124">
        <f t="shared" si="126"/>
        <v>0</v>
      </c>
      <c r="DD75" s="123"/>
      <c r="DE75" s="124">
        <f t="shared" si="126"/>
        <v>0</v>
      </c>
      <c r="DF75" s="177">
        <f t="shared" si="72"/>
        <v>0</v>
      </c>
      <c r="DG75" s="126">
        <f t="shared" si="127"/>
        <v>0</v>
      </c>
      <c r="DH75" s="123"/>
      <c r="DI75" s="124">
        <f t="shared" si="128"/>
        <v>0</v>
      </c>
      <c r="DJ75" s="123"/>
      <c r="DK75" s="124">
        <f t="shared" si="129"/>
        <v>0</v>
      </c>
      <c r="DL75" s="123"/>
      <c r="DM75" s="124">
        <f t="shared" si="130"/>
        <v>0</v>
      </c>
      <c r="DN75" s="123"/>
      <c r="DO75" s="124">
        <f t="shared" si="131"/>
        <v>0</v>
      </c>
      <c r="DP75" s="123"/>
      <c r="DQ75" s="124">
        <f t="shared" si="132"/>
        <v>0</v>
      </c>
      <c r="DR75" s="123"/>
      <c r="DS75" s="124">
        <f t="shared" si="133"/>
        <v>0</v>
      </c>
      <c r="DT75" s="123"/>
      <c r="DU75" s="124">
        <f t="shared" si="134"/>
        <v>0</v>
      </c>
      <c r="DV75" s="123"/>
      <c r="DW75" s="124">
        <f t="shared" si="135"/>
        <v>0</v>
      </c>
      <c r="DX75" s="123"/>
      <c r="DY75" s="124">
        <f t="shared" si="136"/>
        <v>0</v>
      </c>
      <c r="DZ75" s="123"/>
      <c r="EA75" s="124">
        <f t="shared" si="137"/>
        <v>0</v>
      </c>
      <c r="EB75" s="123"/>
      <c r="EC75" s="124">
        <f t="shared" si="138"/>
        <v>0</v>
      </c>
      <c r="ED75" s="123"/>
      <c r="EE75" s="124">
        <f t="shared" si="139"/>
        <v>0</v>
      </c>
      <c r="EF75" s="27">
        <f t="shared" si="73"/>
        <v>0</v>
      </c>
      <c r="EG75" s="124">
        <f t="shared" si="140"/>
        <v>0</v>
      </c>
    </row>
    <row r="76" spans="1:137" ht="18" customHeight="1" x14ac:dyDescent="0.5">
      <c r="A76" s="117"/>
      <c r="B76" s="122"/>
      <c r="C76" s="122"/>
      <c r="D76" s="117"/>
      <c r="E76" s="117"/>
      <c r="F76" s="117"/>
      <c r="G76" s="117"/>
      <c r="H76" s="123"/>
      <c r="I76" s="124">
        <f t="shared" si="74"/>
        <v>0</v>
      </c>
      <c r="J76" s="123"/>
      <c r="K76" s="124">
        <f t="shared" si="75"/>
        <v>0</v>
      </c>
      <c r="L76" s="123"/>
      <c r="M76" s="124">
        <f t="shared" si="76"/>
        <v>0</v>
      </c>
      <c r="N76" s="123"/>
      <c r="O76" s="124">
        <f t="shared" si="77"/>
        <v>0</v>
      </c>
      <c r="P76" s="123"/>
      <c r="Q76" s="124">
        <f t="shared" si="78"/>
        <v>0</v>
      </c>
      <c r="R76" s="123"/>
      <c r="S76" s="124">
        <f t="shared" si="79"/>
        <v>0</v>
      </c>
      <c r="T76" s="123"/>
      <c r="U76" s="124">
        <f t="shared" si="80"/>
        <v>0</v>
      </c>
      <c r="V76" s="123"/>
      <c r="W76" s="124">
        <f t="shared" si="81"/>
        <v>0</v>
      </c>
      <c r="X76" s="123"/>
      <c r="Y76" s="124">
        <f t="shared" si="82"/>
        <v>0</v>
      </c>
      <c r="Z76" s="123"/>
      <c r="AA76" s="124">
        <f t="shared" si="83"/>
        <v>0</v>
      </c>
      <c r="AB76" s="123"/>
      <c r="AC76" s="124">
        <f t="shared" si="84"/>
        <v>0</v>
      </c>
      <c r="AD76" s="123"/>
      <c r="AE76" s="124">
        <f t="shared" si="85"/>
        <v>0</v>
      </c>
      <c r="AF76" s="125">
        <f t="shared" si="86"/>
        <v>0</v>
      </c>
      <c r="AG76" s="126">
        <f t="shared" si="87"/>
        <v>0</v>
      </c>
      <c r="AH76" s="11"/>
      <c r="AI76" s="124">
        <f t="shared" si="88"/>
        <v>0</v>
      </c>
      <c r="AJ76" s="15"/>
      <c r="AK76" s="124">
        <f t="shared" si="89"/>
        <v>0</v>
      </c>
      <c r="AL76" s="15"/>
      <c r="AM76" s="124">
        <f t="shared" si="90"/>
        <v>0</v>
      </c>
      <c r="AN76" s="16"/>
      <c r="AO76" s="124">
        <f t="shared" si="91"/>
        <v>0</v>
      </c>
      <c r="AP76" s="15"/>
      <c r="AQ76" s="124">
        <f t="shared" si="92"/>
        <v>0</v>
      </c>
      <c r="AR76" s="15"/>
      <c r="AS76" s="124">
        <f t="shared" si="93"/>
        <v>0</v>
      </c>
      <c r="AT76" s="17"/>
      <c r="AU76" s="124">
        <f t="shared" si="94"/>
        <v>0</v>
      </c>
      <c r="AV76" s="15"/>
      <c r="AW76" s="124">
        <f t="shared" si="95"/>
        <v>0</v>
      </c>
      <c r="AX76" s="15"/>
      <c r="AY76" s="124">
        <f t="shared" si="96"/>
        <v>0</v>
      </c>
      <c r="AZ76" s="17"/>
      <c r="BA76" s="124">
        <f t="shared" si="97"/>
        <v>0</v>
      </c>
      <c r="BB76" s="33"/>
      <c r="BC76" s="124">
        <f t="shared" si="98"/>
        <v>0</v>
      </c>
      <c r="BD76" s="33"/>
      <c r="BE76" s="124">
        <f t="shared" si="99"/>
        <v>0</v>
      </c>
      <c r="BF76" s="125">
        <f t="shared" si="100"/>
        <v>0</v>
      </c>
      <c r="BG76" s="126">
        <f t="shared" si="101"/>
        <v>0</v>
      </c>
      <c r="BH76" s="123"/>
      <c r="BI76" s="124">
        <f t="shared" si="102"/>
        <v>0</v>
      </c>
      <c r="BJ76" s="123"/>
      <c r="BK76" s="124">
        <f t="shared" si="103"/>
        <v>0</v>
      </c>
      <c r="BL76" s="123"/>
      <c r="BM76" s="124">
        <f t="shared" si="104"/>
        <v>0</v>
      </c>
      <c r="BN76" s="123"/>
      <c r="BO76" s="124">
        <f t="shared" si="105"/>
        <v>0</v>
      </c>
      <c r="BP76" s="123"/>
      <c r="BQ76" s="124">
        <f t="shared" si="106"/>
        <v>0</v>
      </c>
      <c r="BR76" s="123"/>
      <c r="BS76" s="124">
        <f t="shared" si="107"/>
        <v>0</v>
      </c>
      <c r="BT76" s="123"/>
      <c r="BU76" s="124">
        <f t="shared" si="108"/>
        <v>0</v>
      </c>
      <c r="BV76" s="123"/>
      <c r="BW76" s="124">
        <f t="shared" si="109"/>
        <v>0</v>
      </c>
      <c r="BX76" s="123"/>
      <c r="BY76" s="124">
        <f t="shared" si="110"/>
        <v>0</v>
      </c>
      <c r="BZ76" s="123"/>
      <c r="CA76" s="124">
        <f t="shared" si="111"/>
        <v>0</v>
      </c>
      <c r="CB76" s="123"/>
      <c r="CC76" s="124">
        <f t="shared" si="112"/>
        <v>0</v>
      </c>
      <c r="CD76" s="123"/>
      <c r="CE76" s="124">
        <f t="shared" si="113"/>
        <v>0</v>
      </c>
      <c r="CF76" s="125">
        <f t="shared" si="114"/>
        <v>0</v>
      </c>
      <c r="CG76" s="126">
        <f t="shared" si="115"/>
        <v>0</v>
      </c>
      <c r="CH76" s="123"/>
      <c r="CI76" s="124">
        <f t="shared" si="116"/>
        <v>0</v>
      </c>
      <c r="CJ76" s="123"/>
      <c r="CK76" s="124">
        <f t="shared" si="117"/>
        <v>0</v>
      </c>
      <c r="CL76" s="123"/>
      <c r="CM76" s="124">
        <f t="shared" si="118"/>
        <v>0</v>
      </c>
      <c r="CN76" s="123"/>
      <c r="CO76" s="124">
        <f t="shared" si="119"/>
        <v>0</v>
      </c>
      <c r="CP76" s="123"/>
      <c r="CQ76" s="124">
        <f t="shared" si="120"/>
        <v>0</v>
      </c>
      <c r="CR76" s="123"/>
      <c r="CS76" s="124">
        <f t="shared" si="121"/>
        <v>0</v>
      </c>
      <c r="CT76" s="123"/>
      <c r="CU76" s="124">
        <f t="shared" si="122"/>
        <v>0</v>
      </c>
      <c r="CV76" s="123"/>
      <c r="CW76" s="124">
        <f t="shared" si="123"/>
        <v>0</v>
      </c>
      <c r="CX76" s="123"/>
      <c r="CY76" s="124">
        <f t="shared" si="124"/>
        <v>0</v>
      </c>
      <c r="CZ76" s="123"/>
      <c r="DA76" s="124">
        <f t="shared" si="125"/>
        <v>0</v>
      </c>
      <c r="DB76" s="123"/>
      <c r="DC76" s="124">
        <f t="shared" si="126"/>
        <v>0</v>
      </c>
      <c r="DD76" s="123"/>
      <c r="DE76" s="124">
        <f t="shared" si="126"/>
        <v>0</v>
      </c>
      <c r="DF76" s="177">
        <f t="shared" si="72"/>
        <v>0</v>
      </c>
      <c r="DG76" s="126">
        <f t="shared" si="127"/>
        <v>0</v>
      </c>
      <c r="DH76" s="123"/>
      <c r="DI76" s="124">
        <f t="shared" si="128"/>
        <v>0</v>
      </c>
      <c r="DJ76" s="123"/>
      <c r="DK76" s="124">
        <f t="shared" si="129"/>
        <v>0</v>
      </c>
      <c r="DL76" s="123"/>
      <c r="DM76" s="124">
        <f t="shared" si="130"/>
        <v>0</v>
      </c>
      <c r="DN76" s="123"/>
      <c r="DO76" s="124">
        <f t="shared" si="131"/>
        <v>0</v>
      </c>
      <c r="DP76" s="123"/>
      <c r="DQ76" s="124">
        <f t="shared" si="132"/>
        <v>0</v>
      </c>
      <c r="DR76" s="123"/>
      <c r="DS76" s="124">
        <f t="shared" si="133"/>
        <v>0</v>
      </c>
      <c r="DT76" s="123"/>
      <c r="DU76" s="124">
        <f t="shared" si="134"/>
        <v>0</v>
      </c>
      <c r="DV76" s="123"/>
      <c r="DW76" s="124">
        <f t="shared" si="135"/>
        <v>0</v>
      </c>
      <c r="DX76" s="123"/>
      <c r="DY76" s="124">
        <f t="shared" si="136"/>
        <v>0</v>
      </c>
      <c r="DZ76" s="123"/>
      <c r="EA76" s="124">
        <f t="shared" si="137"/>
        <v>0</v>
      </c>
      <c r="EB76" s="123"/>
      <c r="EC76" s="124">
        <f t="shared" si="138"/>
        <v>0</v>
      </c>
      <c r="ED76" s="123"/>
      <c r="EE76" s="124">
        <f t="shared" si="139"/>
        <v>0</v>
      </c>
      <c r="EF76" s="27">
        <f t="shared" si="73"/>
        <v>0</v>
      </c>
      <c r="EG76" s="124">
        <f t="shared" si="140"/>
        <v>0</v>
      </c>
    </row>
    <row r="77" spans="1:137" ht="18" customHeight="1" x14ac:dyDescent="0.5">
      <c r="A77" s="117">
        <v>62</v>
      </c>
      <c r="B77" s="122" t="s">
        <v>180</v>
      </c>
      <c r="C77" s="122" t="s">
        <v>231</v>
      </c>
      <c r="D77" s="117">
        <f>RANK(DF77,$DF$4:$DF$147)</f>
        <v>21</v>
      </c>
      <c r="E77" s="117">
        <v>0.64</v>
      </c>
      <c r="F77" s="117" t="s">
        <v>236</v>
      </c>
      <c r="G77" s="117"/>
      <c r="H77" s="123"/>
      <c r="I77" s="124">
        <f t="shared" si="74"/>
        <v>0</v>
      </c>
      <c r="J77" s="123"/>
      <c r="K77" s="124">
        <f t="shared" si="75"/>
        <v>0</v>
      </c>
      <c r="L77" s="123"/>
      <c r="M77" s="124">
        <f t="shared" si="76"/>
        <v>0</v>
      </c>
      <c r="N77" s="123"/>
      <c r="O77" s="124">
        <f t="shared" si="77"/>
        <v>0</v>
      </c>
      <c r="P77" s="123"/>
      <c r="Q77" s="124">
        <f t="shared" si="78"/>
        <v>0</v>
      </c>
      <c r="R77" s="123"/>
      <c r="S77" s="124">
        <f t="shared" si="79"/>
        <v>0</v>
      </c>
      <c r="T77" s="123"/>
      <c r="U77" s="124">
        <f t="shared" si="80"/>
        <v>0</v>
      </c>
      <c r="V77" s="123"/>
      <c r="W77" s="124">
        <f t="shared" si="81"/>
        <v>0</v>
      </c>
      <c r="X77" s="123"/>
      <c r="Y77" s="124">
        <f t="shared" si="82"/>
        <v>0</v>
      </c>
      <c r="Z77" s="123"/>
      <c r="AA77" s="124">
        <f t="shared" si="83"/>
        <v>0</v>
      </c>
      <c r="AB77" s="123"/>
      <c r="AC77" s="124">
        <f t="shared" si="84"/>
        <v>0</v>
      </c>
      <c r="AD77" s="123"/>
      <c r="AE77" s="124">
        <f t="shared" si="85"/>
        <v>0</v>
      </c>
      <c r="AF77" s="125">
        <f t="shared" si="86"/>
        <v>0</v>
      </c>
      <c r="AG77" s="126">
        <f t="shared" si="87"/>
        <v>0</v>
      </c>
      <c r="AH77" s="11"/>
      <c r="AI77" s="124">
        <f t="shared" si="88"/>
        <v>0</v>
      </c>
      <c r="AJ77" s="15"/>
      <c r="AK77" s="124">
        <f t="shared" si="89"/>
        <v>0</v>
      </c>
      <c r="AL77" s="15"/>
      <c r="AM77" s="124">
        <f t="shared" si="90"/>
        <v>0</v>
      </c>
      <c r="AN77" s="16"/>
      <c r="AO77" s="124">
        <f t="shared" si="91"/>
        <v>0</v>
      </c>
      <c r="AP77" s="15"/>
      <c r="AQ77" s="124">
        <f t="shared" si="92"/>
        <v>0</v>
      </c>
      <c r="AR77" s="15"/>
      <c r="AS77" s="124">
        <f t="shared" si="93"/>
        <v>0</v>
      </c>
      <c r="AT77" s="17"/>
      <c r="AU77" s="124">
        <f t="shared" si="94"/>
        <v>0</v>
      </c>
      <c r="AV77" s="15"/>
      <c r="AW77" s="124">
        <f t="shared" si="95"/>
        <v>0</v>
      </c>
      <c r="AX77" s="15"/>
      <c r="AY77" s="124">
        <f t="shared" si="96"/>
        <v>0</v>
      </c>
      <c r="AZ77" s="17"/>
      <c r="BA77" s="124">
        <f t="shared" si="97"/>
        <v>0</v>
      </c>
      <c r="BB77" s="33"/>
      <c r="BC77" s="124">
        <f t="shared" si="98"/>
        <v>0</v>
      </c>
      <c r="BD77" s="33"/>
      <c r="BE77" s="124">
        <f t="shared" si="99"/>
        <v>0</v>
      </c>
      <c r="BF77" s="125">
        <f t="shared" si="100"/>
        <v>0</v>
      </c>
      <c r="BG77" s="126">
        <f t="shared" si="101"/>
        <v>0</v>
      </c>
      <c r="BH77" s="123"/>
      <c r="BI77" s="124">
        <f t="shared" si="102"/>
        <v>0</v>
      </c>
      <c r="BJ77" s="123"/>
      <c r="BK77" s="124">
        <f t="shared" si="103"/>
        <v>0</v>
      </c>
      <c r="BL77" s="123"/>
      <c r="BM77" s="124">
        <f t="shared" si="104"/>
        <v>0</v>
      </c>
      <c r="BN77" s="123"/>
      <c r="BO77" s="124">
        <f t="shared" si="105"/>
        <v>0</v>
      </c>
      <c r="BP77" s="123"/>
      <c r="BQ77" s="124">
        <f t="shared" si="106"/>
        <v>0</v>
      </c>
      <c r="BR77" s="123"/>
      <c r="BS77" s="124">
        <f t="shared" si="107"/>
        <v>0</v>
      </c>
      <c r="BT77" s="123"/>
      <c r="BU77" s="124">
        <f t="shared" si="108"/>
        <v>0</v>
      </c>
      <c r="BV77" s="123"/>
      <c r="BW77" s="124">
        <f t="shared" si="109"/>
        <v>0</v>
      </c>
      <c r="BX77" s="123"/>
      <c r="BY77" s="124">
        <f t="shared" si="110"/>
        <v>0</v>
      </c>
      <c r="BZ77" s="123"/>
      <c r="CA77" s="124">
        <f t="shared" si="111"/>
        <v>0</v>
      </c>
      <c r="CB77" s="123"/>
      <c r="CC77" s="124">
        <f t="shared" si="112"/>
        <v>0</v>
      </c>
      <c r="CD77" s="123"/>
      <c r="CE77" s="124">
        <f t="shared" si="113"/>
        <v>0</v>
      </c>
      <c r="CF77" s="125">
        <f t="shared" si="114"/>
        <v>0</v>
      </c>
      <c r="CG77" s="126">
        <f t="shared" si="115"/>
        <v>0</v>
      </c>
      <c r="CH77" s="123"/>
      <c r="CI77" s="124">
        <f t="shared" si="116"/>
        <v>0</v>
      </c>
      <c r="CJ77" s="123"/>
      <c r="CK77" s="124">
        <f t="shared" si="117"/>
        <v>0</v>
      </c>
      <c r="CL77" s="123"/>
      <c r="CM77" s="124">
        <f t="shared" si="118"/>
        <v>0</v>
      </c>
      <c r="CN77" s="123"/>
      <c r="CO77" s="124">
        <f t="shared" si="119"/>
        <v>0</v>
      </c>
      <c r="CP77" s="123"/>
      <c r="CQ77" s="124">
        <f t="shared" si="120"/>
        <v>0</v>
      </c>
      <c r="CR77" s="123"/>
      <c r="CS77" s="124">
        <f t="shared" si="121"/>
        <v>0</v>
      </c>
      <c r="CT77" s="123"/>
      <c r="CU77" s="124">
        <f t="shared" si="122"/>
        <v>0</v>
      </c>
      <c r="CV77" s="123"/>
      <c r="CW77" s="124">
        <f t="shared" si="123"/>
        <v>0</v>
      </c>
      <c r="CX77" s="123"/>
      <c r="CY77" s="124">
        <f t="shared" si="124"/>
        <v>0</v>
      </c>
      <c r="CZ77" s="123"/>
      <c r="DA77" s="124">
        <f t="shared" si="125"/>
        <v>0</v>
      </c>
      <c r="DB77" s="123"/>
      <c r="DC77" s="124">
        <f t="shared" si="126"/>
        <v>0</v>
      </c>
      <c r="DD77" s="123"/>
      <c r="DE77" s="124">
        <f t="shared" si="126"/>
        <v>0</v>
      </c>
      <c r="DF77" s="177">
        <f t="shared" si="72"/>
        <v>0</v>
      </c>
      <c r="DG77" s="126">
        <f t="shared" si="127"/>
        <v>0</v>
      </c>
      <c r="DH77" s="123"/>
      <c r="DI77" s="124">
        <f t="shared" si="128"/>
        <v>0</v>
      </c>
      <c r="DJ77" s="123"/>
      <c r="DK77" s="124">
        <f t="shared" si="129"/>
        <v>0</v>
      </c>
      <c r="DL77" s="123"/>
      <c r="DM77" s="124">
        <f t="shared" si="130"/>
        <v>0</v>
      </c>
      <c r="DN77" s="123"/>
      <c r="DO77" s="124">
        <f t="shared" si="131"/>
        <v>0</v>
      </c>
      <c r="DP77" s="123"/>
      <c r="DQ77" s="124">
        <f t="shared" si="132"/>
        <v>0</v>
      </c>
      <c r="DR77" s="123"/>
      <c r="DS77" s="124">
        <f t="shared" si="133"/>
        <v>0</v>
      </c>
      <c r="DT77" s="123"/>
      <c r="DU77" s="124">
        <f t="shared" si="134"/>
        <v>0</v>
      </c>
      <c r="DV77" s="123"/>
      <c r="DW77" s="124">
        <f t="shared" si="135"/>
        <v>0</v>
      </c>
      <c r="DX77" s="123"/>
      <c r="DY77" s="124">
        <f t="shared" si="136"/>
        <v>0</v>
      </c>
      <c r="DZ77" s="123"/>
      <c r="EA77" s="124">
        <f t="shared" si="137"/>
        <v>0</v>
      </c>
      <c r="EB77" s="123"/>
      <c r="EC77" s="124">
        <f t="shared" si="138"/>
        <v>0</v>
      </c>
      <c r="ED77" s="123"/>
      <c r="EE77" s="124">
        <f t="shared" si="139"/>
        <v>0</v>
      </c>
      <c r="EF77" s="27">
        <f t="shared" si="73"/>
        <v>0</v>
      </c>
      <c r="EG77" s="124">
        <f t="shared" si="140"/>
        <v>0</v>
      </c>
    </row>
    <row r="78" spans="1:137" ht="18" customHeight="1" x14ac:dyDescent="0.5">
      <c r="A78" s="117">
        <v>63</v>
      </c>
      <c r="B78" s="122" t="s">
        <v>180</v>
      </c>
      <c r="C78" s="122" t="s">
        <v>231</v>
      </c>
      <c r="D78" s="117">
        <f>RANK(DF78,$DF$4:$DF$147)</f>
        <v>21</v>
      </c>
      <c r="E78" s="117">
        <v>0.64</v>
      </c>
      <c r="F78" s="117" t="s">
        <v>235</v>
      </c>
      <c r="G78" s="117"/>
      <c r="H78" s="123"/>
      <c r="I78" s="124">
        <f t="shared" si="74"/>
        <v>0</v>
      </c>
      <c r="J78" s="123"/>
      <c r="K78" s="124">
        <f t="shared" si="75"/>
        <v>0</v>
      </c>
      <c r="L78" s="123"/>
      <c r="M78" s="124">
        <f t="shared" si="76"/>
        <v>0</v>
      </c>
      <c r="N78" s="123"/>
      <c r="O78" s="124">
        <f t="shared" si="77"/>
        <v>0</v>
      </c>
      <c r="P78" s="123"/>
      <c r="Q78" s="124">
        <f t="shared" si="78"/>
        <v>0</v>
      </c>
      <c r="R78" s="123"/>
      <c r="S78" s="124">
        <f t="shared" si="79"/>
        <v>0</v>
      </c>
      <c r="T78" s="123"/>
      <c r="U78" s="124">
        <f t="shared" si="80"/>
        <v>0</v>
      </c>
      <c r="V78" s="123"/>
      <c r="W78" s="124">
        <f t="shared" si="81"/>
        <v>0</v>
      </c>
      <c r="X78" s="123"/>
      <c r="Y78" s="124">
        <f t="shared" si="82"/>
        <v>0</v>
      </c>
      <c r="Z78" s="123"/>
      <c r="AA78" s="124">
        <f t="shared" si="83"/>
        <v>0</v>
      </c>
      <c r="AB78" s="123"/>
      <c r="AC78" s="124">
        <f t="shared" si="84"/>
        <v>0</v>
      </c>
      <c r="AD78" s="123"/>
      <c r="AE78" s="124">
        <f t="shared" si="85"/>
        <v>0</v>
      </c>
      <c r="AF78" s="125">
        <f t="shared" si="86"/>
        <v>0</v>
      </c>
      <c r="AG78" s="126">
        <f t="shared" si="87"/>
        <v>0</v>
      </c>
      <c r="AH78" s="11"/>
      <c r="AI78" s="124">
        <f t="shared" si="88"/>
        <v>0</v>
      </c>
      <c r="AJ78" s="15"/>
      <c r="AK78" s="124">
        <f t="shared" si="89"/>
        <v>0</v>
      </c>
      <c r="AL78" s="15"/>
      <c r="AM78" s="124">
        <f t="shared" si="90"/>
        <v>0</v>
      </c>
      <c r="AN78" s="16"/>
      <c r="AO78" s="124">
        <f t="shared" si="91"/>
        <v>0</v>
      </c>
      <c r="AP78" s="15"/>
      <c r="AQ78" s="124">
        <f t="shared" si="92"/>
        <v>0</v>
      </c>
      <c r="AR78" s="15"/>
      <c r="AS78" s="124">
        <f t="shared" si="93"/>
        <v>0</v>
      </c>
      <c r="AT78" s="17"/>
      <c r="AU78" s="124">
        <f t="shared" si="94"/>
        <v>0</v>
      </c>
      <c r="AV78" s="15"/>
      <c r="AW78" s="124">
        <f t="shared" si="95"/>
        <v>0</v>
      </c>
      <c r="AX78" s="15"/>
      <c r="AY78" s="124">
        <f t="shared" si="96"/>
        <v>0</v>
      </c>
      <c r="AZ78" s="17"/>
      <c r="BA78" s="124">
        <f t="shared" si="97"/>
        <v>0</v>
      </c>
      <c r="BB78" s="33"/>
      <c r="BC78" s="124">
        <f t="shared" si="98"/>
        <v>0</v>
      </c>
      <c r="BD78" s="33"/>
      <c r="BE78" s="124">
        <f t="shared" si="99"/>
        <v>0</v>
      </c>
      <c r="BF78" s="125">
        <f t="shared" si="100"/>
        <v>0</v>
      </c>
      <c r="BG78" s="126">
        <f t="shared" si="101"/>
        <v>0</v>
      </c>
      <c r="BH78" s="123"/>
      <c r="BI78" s="124">
        <f t="shared" si="102"/>
        <v>0</v>
      </c>
      <c r="BJ78" s="123"/>
      <c r="BK78" s="124">
        <f t="shared" si="103"/>
        <v>0</v>
      </c>
      <c r="BL78" s="123"/>
      <c r="BM78" s="124">
        <f t="shared" si="104"/>
        <v>0</v>
      </c>
      <c r="BN78" s="123"/>
      <c r="BO78" s="124">
        <f t="shared" si="105"/>
        <v>0</v>
      </c>
      <c r="BP78" s="123"/>
      <c r="BQ78" s="124">
        <f t="shared" si="106"/>
        <v>0</v>
      </c>
      <c r="BR78" s="123"/>
      <c r="BS78" s="124">
        <f t="shared" si="107"/>
        <v>0</v>
      </c>
      <c r="BT78" s="123"/>
      <c r="BU78" s="124">
        <f t="shared" si="108"/>
        <v>0</v>
      </c>
      <c r="BV78" s="123"/>
      <c r="BW78" s="124">
        <f t="shared" si="109"/>
        <v>0</v>
      </c>
      <c r="BX78" s="123"/>
      <c r="BY78" s="124">
        <f t="shared" si="110"/>
        <v>0</v>
      </c>
      <c r="BZ78" s="123"/>
      <c r="CA78" s="124">
        <f t="shared" si="111"/>
        <v>0</v>
      </c>
      <c r="CB78" s="123"/>
      <c r="CC78" s="124">
        <f t="shared" si="112"/>
        <v>0</v>
      </c>
      <c r="CD78" s="123"/>
      <c r="CE78" s="124">
        <f t="shared" si="113"/>
        <v>0</v>
      </c>
      <c r="CF78" s="125">
        <f t="shared" si="114"/>
        <v>0</v>
      </c>
      <c r="CG78" s="126">
        <f t="shared" si="115"/>
        <v>0</v>
      </c>
      <c r="CH78" s="123"/>
      <c r="CI78" s="124">
        <f t="shared" si="116"/>
        <v>0</v>
      </c>
      <c r="CJ78" s="123"/>
      <c r="CK78" s="124">
        <f t="shared" si="117"/>
        <v>0</v>
      </c>
      <c r="CL78" s="123"/>
      <c r="CM78" s="124">
        <f t="shared" si="118"/>
        <v>0</v>
      </c>
      <c r="CN78" s="123"/>
      <c r="CO78" s="124">
        <f t="shared" si="119"/>
        <v>0</v>
      </c>
      <c r="CP78" s="123"/>
      <c r="CQ78" s="124">
        <f t="shared" si="120"/>
        <v>0</v>
      </c>
      <c r="CR78" s="123"/>
      <c r="CS78" s="124">
        <f t="shared" si="121"/>
        <v>0</v>
      </c>
      <c r="CT78" s="123"/>
      <c r="CU78" s="124">
        <f t="shared" si="122"/>
        <v>0</v>
      </c>
      <c r="CV78" s="123"/>
      <c r="CW78" s="124">
        <f t="shared" si="123"/>
        <v>0</v>
      </c>
      <c r="CX78" s="123"/>
      <c r="CY78" s="124">
        <f t="shared" si="124"/>
        <v>0</v>
      </c>
      <c r="CZ78" s="123"/>
      <c r="DA78" s="124">
        <f t="shared" si="125"/>
        <v>0</v>
      </c>
      <c r="DB78" s="123"/>
      <c r="DC78" s="124">
        <f t="shared" si="126"/>
        <v>0</v>
      </c>
      <c r="DD78" s="123"/>
      <c r="DE78" s="124">
        <f t="shared" si="126"/>
        <v>0</v>
      </c>
      <c r="DF78" s="177">
        <f t="shared" si="72"/>
        <v>0</v>
      </c>
      <c r="DG78" s="126">
        <f t="shared" si="127"/>
        <v>0</v>
      </c>
      <c r="DH78" s="123"/>
      <c r="DI78" s="124">
        <f t="shared" si="128"/>
        <v>0</v>
      </c>
      <c r="DJ78" s="123"/>
      <c r="DK78" s="124">
        <f t="shared" si="129"/>
        <v>0</v>
      </c>
      <c r="DL78" s="123"/>
      <c r="DM78" s="124">
        <f t="shared" si="130"/>
        <v>0</v>
      </c>
      <c r="DN78" s="123"/>
      <c r="DO78" s="124">
        <f t="shared" si="131"/>
        <v>0</v>
      </c>
      <c r="DP78" s="123"/>
      <c r="DQ78" s="124">
        <f t="shared" si="132"/>
        <v>0</v>
      </c>
      <c r="DR78" s="123"/>
      <c r="DS78" s="124">
        <f t="shared" si="133"/>
        <v>0</v>
      </c>
      <c r="DT78" s="123"/>
      <c r="DU78" s="124">
        <f t="shared" si="134"/>
        <v>0</v>
      </c>
      <c r="DV78" s="123"/>
      <c r="DW78" s="124">
        <f t="shared" si="135"/>
        <v>0</v>
      </c>
      <c r="DX78" s="123"/>
      <c r="DY78" s="124">
        <f t="shared" si="136"/>
        <v>0</v>
      </c>
      <c r="DZ78" s="123"/>
      <c r="EA78" s="124">
        <f t="shared" si="137"/>
        <v>0</v>
      </c>
      <c r="EB78" s="123"/>
      <c r="EC78" s="124">
        <f t="shared" si="138"/>
        <v>0</v>
      </c>
      <c r="ED78" s="123"/>
      <c r="EE78" s="124">
        <f t="shared" si="139"/>
        <v>0</v>
      </c>
      <c r="EF78" s="27">
        <f t="shared" si="73"/>
        <v>0</v>
      </c>
      <c r="EG78" s="124">
        <f t="shared" si="140"/>
        <v>0</v>
      </c>
    </row>
    <row r="79" spans="1:137" ht="18" customHeight="1" x14ac:dyDescent="0.5">
      <c r="A79" s="117"/>
      <c r="B79" s="122"/>
      <c r="C79" s="122"/>
      <c r="D79" s="117"/>
      <c r="E79" s="117"/>
      <c r="F79" s="117"/>
      <c r="G79" s="117"/>
      <c r="H79" s="123"/>
      <c r="I79" s="124">
        <f t="shared" si="74"/>
        <v>0</v>
      </c>
      <c r="J79" s="123"/>
      <c r="K79" s="124">
        <f t="shared" si="75"/>
        <v>0</v>
      </c>
      <c r="L79" s="123"/>
      <c r="M79" s="124">
        <f t="shared" si="76"/>
        <v>0</v>
      </c>
      <c r="N79" s="123"/>
      <c r="O79" s="124">
        <f t="shared" si="77"/>
        <v>0</v>
      </c>
      <c r="P79" s="123"/>
      <c r="Q79" s="124">
        <f t="shared" si="78"/>
        <v>0</v>
      </c>
      <c r="R79" s="123"/>
      <c r="S79" s="124">
        <f t="shared" si="79"/>
        <v>0</v>
      </c>
      <c r="T79" s="123"/>
      <c r="U79" s="124">
        <f t="shared" si="80"/>
        <v>0</v>
      </c>
      <c r="V79" s="123"/>
      <c r="W79" s="124">
        <f t="shared" si="81"/>
        <v>0</v>
      </c>
      <c r="X79" s="123"/>
      <c r="Y79" s="124">
        <f t="shared" si="82"/>
        <v>0</v>
      </c>
      <c r="Z79" s="123"/>
      <c r="AA79" s="124">
        <f t="shared" si="83"/>
        <v>0</v>
      </c>
      <c r="AB79" s="123"/>
      <c r="AC79" s="124">
        <f t="shared" si="84"/>
        <v>0</v>
      </c>
      <c r="AD79" s="123"/>
      <c r="AE79" s="124">
        <f t="shared" si="85"/>
        <v>0</v>
      </c>
      <c r="AF79" s="125">
        <f t="shared" si="86"/>
        <v>0</v>
      </c>
      <c r="AG79" s="126">
        <f t="shared" si="87"/>
        <v>0</v>
      </c>
      <c r="AH79" s="11"/>
      <c r="AI79" s="124">
        <f t="shared" si="88"/>
        <v>0</v>
      </c>
      <c r="AJ79" s="15"/>
      <c r="AK79" s="124">
        <f t="shared" si="89"/>
        <v>0</v>
      </c>
      <c r="AL79" s="15"/>
      <c r="AM79" s="124">
        <f t="shared" si="90"/>
        <v>0</v>
      </c>
      <c r="AN79" s="16"/>
      <c r="AO79" s="124">
        <f t="shared" si="91"/>
        <v>0</v>
      </c>
      <c r="AP79" s="15"/>
      <c r="AQ79" s="124">
        <f t="shared" si="92"/>
        <v>0</v>
      </c>
      <c r="AR79" s="15"/>
      <c r="AS79" s="124">
        <f t="shared" si="93"/>
        <v>0</v>
      </c>
      <c r="AT79" s="17"/>
      <c r="AU79" s="124">
        <f t="shared" si="94"/>
        <v>0</v>
      </c>
      <c r="AV79" s="15"/>
      <c r="AW79" s="124">
        <f t="shared" si="95"/>
        <v>0</v>
      </c>
      <c r="AX79" s="15"/>
      <c r="AY79" s="124">
        <f t="shared" si="96"/>
        <v>0</v>
      </c>
      <c r="AZ79" s="17"/>
      <c r="BA79" s="124">
        <f t="shared" si="97"/>
        <v>0</v>
      </c>
      <c r="BB79" s="33"/>
      <c r="BC79" s="124">
        <f t="shared" si="98"/>
        <v>0</v>
      </c>
      <c r="BD79" s="33"/>
      <c r="BE79" s="124">
        <f t="shared" si="99"/>
        <v>0</v>
      </c>
      <c r="BF79" s="125">
        <f t="shared" si="100"/>
        <v>0</v>
      </c>
      <c r="BG79" s="126">
        <f t="shared" si="101"/>
        <v>0</v>
      </c>
      <c r="BH79" s="123"/>
      <c r="BI79" s="124">
        <f t="shared" si="102"/>
        <v>0</v>
      </c>
      <c r="BJ79" s="123"/>
      <c r="BK79" s="124">
        <f t="shared" si="103"/>
        <v>0</v>
      </c>
      <c r="BL79" s="123"/>
      <c r="BM79" s="124">
        <f t="shared" si="104"/>
        <v>0</v>
      </c>
      <c r="BN79" s="123"/>
      <c r="BO79" s="124">
        <f t="shared" si="105"/>
        <v>0</v>
      </c>
      <c r="BP79" s="123"/>
      <c r="BQ79" s="124">
        <f t="shared" si="106"/>
        <v>0</v>
      </c>
      <c r="BR79" s="123"/>
      <c r="BS79" s="124">
        <f t="shared" si="107"/>
        <v>0</v>
      </c>
      <c r="BT79" s="123"/>
      <c r="BU79" s="124">
        <f t="shared" si="108"/>
        <v>0</v>
      </c>
      <c r="BV79" s="123"/>
      <c r="BW79" s="124">
        <f t="shared" si="109"/>
        <v>0</v>
      </c>
      <c r="BX79" s="123"/>
      <c r="BY79" s="124">
        <f t="shared" si="110"/>
        <v>0</v>
      </c>
      <c r="BZ79" s="123"/>
      <c r="CA79" s="124">
        <f t="shared" si="111"/>
        <v>0</v>
      </c>
      <c r="CB79" s="123"/>
      <c r="CC79" s="124">
        <f t="shared" si="112"/>
        <v>0</v>
      </c>
      <c r="CD79" s="123"/>
      <c r="CE79" s="124">
        <f t="shared" si="113"/>
        <v>0</v>
      </c>
      <c r="CF79" s="125">
        <f t="shared" si="114"/>
        <v>0</v>
      </c>
      <c r="CG79" s="126">
        <f t="shared" si="115"/>
        <v>0</v>
      </c>
      <c r="CH79" s="123"/>
      <c r="CI79" s="124">
        <f t="shared" si="116"/>
        <v>0</v>
      </c>
      <c r="CJ79" s="123"/>
      <c r="CK79" s="124">
        <f t="shared" si="117"/>
        <v>0</v>
      </c>
      <c r="CL79" s="123"/>
      <c r="CM79" s="124">
        <f t="shared" si="118"/>
        <v>0</v>
      </c>
      <c r="CN79" s="123"/>
      <c r="CO79" s="124">
        <f t="shared" si="119"/>
        <v>0</v>
      </c>
      <c r="CP79" s="123"/>
      <c r="CQ79" s="124">
        <f t="shared" si="120"/>
        <v>0</v>
      </c>
      <c r="CR79" s="123"/>
      <c r="CS79" s="124">
        <f t="shared" si="121"/>
        <v>0</v>
      </c>
      <c r="CT79" s="123"/>
      <c r="CU79" s="124">
        <f t="shared" si="122"/>
        <v>0</v>
      </c>
      <c r="CV79" s="123"/>
      <c r="CW79" s="124">
        <f t="shared" si="123"/>
        <v>0</v>
      </c>
      <c r="CX79" s="123"/>
      <c r="CY79" s="124">
        <f t="shared" si="124"/>
        <v>0</v>
      </c>
      <c r="CZ79" s="123"/>
      <c r="DA79" s="124">
        <f t="shared" si="125"/>
        <v>0</v>
      </c>
      <c r="DB79" s="123"/>
      <c r="DC79" s="124">
        <f t="shared" si="126"/>
        <v>0</v>
      </c>
      <c r="DD79" s="123"/>
      <c r="DE79" s="124">
        <f t="shared" si="126"/>
        <v>0</v>
      </c>
      <c r="DF79" s="177">
        <f t="shared" si="72"/>
        <v>0</v>
      </c>
      <c r="DG79" s="126">
        <f t="shared" si="127"/>
        <v>0</v>
      </c>
      <c r="DH79" s="123"/>
      <c r="DI79" s="124">
        <f t="shared" si="128"/>
        <v>0</v>
      </c>
      <c r="DJ79" s="123"/>
      <c r="DK79" s="124">
        <f t="shared" si="129"/>
        <v>0</v>
      </c>
      <c r="DL79" s="123"/>
      <c r="DM79" s="124">
        <f t="shared" si="130"/>
        <v>0</v>
      </c>
      <c r="DN79" s="123"/>
      <c r="DO79" s="124">
        <f t="shared" si="131"/>
        <v>0</v>
      </c>
      <c r="DP79" s="123"/>
      <c r="DQ79" s="124">
        <f t="shared" si="132"/>
        <v>0</v>
      </c>
      <c r="DR79" s="123"/>
      <c r="DS79" s="124">
        <f t="shared" si="133"/>
        <v>0</v>
      </c>
      <c r="DT79" s="123"/>
      <c r="DU79" s="124">
        <f t="shared" si="134"/>
        <v>0</v>
      </c>
      <c r="DV79" s="123"/>
      <c r="DW79" s="124">
        <f t="shared" si="135"/>
        <v>0</v>
      </c>
      <c r="DX79" s="123"/>
      <c r="DY79" s="124">
        <f t="shared" si="136"/>
        <v>0</v>
      </c>
      <c r="DZ79" s="123"/>
      <c r="EA79" s="124">
        <f t="shared" si="137"/>
        <v>0</v>
      </c>
      <c r="EB79" s="123"/>
      <c r="EC79" s="124">
        <f t="shared" si="138"/>
        <v>0</v>
      </c>
      <c r="ED79" s="123"/>
      <c r="EE79" s="124">
        <f t="shared" si="139"/>
        <v>0</v>
      </c>
      <c r="EF79" s="27">
        <f t="shared" si="73"/>
        <v>0</v>
      </c>
      <c r="EG79" s="124">
        <f t="shared" si="140"/>
        <v>0</v>
      </c>
    </row>
    <row r="80" spans="1:137" ht="18" customHeight="1" x14ac:dyDescent="0.5">
      <c r="A80" s="117">
        <v>64</v>
      </c>
      <c r="B80" s="122" t="s">
        <v>181</v>
      </c>
      <c r="C80" s="122" t="s">
        <v>231</v>
      </c>
      <c r="D80" s="117">
        <f>RANK(DF80,$DF$4:$DF$147)</f>
        <v>21</v>
      </c>
      <c r="E80" s="117">
        <v>0.64</v>
      </c>
      <c r="F80" s="117" t="s">
        <v>235</v>
      </c>
      <c r="G80" s="117"/>
      <c r="H80" s="123"/>
      <c r="I80" s="124">
        <f t="shared" si="74"/>
        <v>0</v>
      </c>
      <c r="J80" s="123"/>
      <c r="K80" s="124">
        <f t="shared" si="75"/>
        <v>0</v>
      </c>
      <c r="L80" s="123"/>
      <c r="M80" s="124">
        <f t="shared" si="76"/>
        <v>0</v>
      </c>
      <c r="N80" s="123"/>
      <c r="O80" s="124">
        <f t="shared" si="77"/>
        <v>0</v>
      </c>
      <c r="P80" s="123"/>
      <c r="Q80" s="124">
        <f t="shared" si="78"/>
        <v>0</v>
      </c>
      <c r="R80" s="123"/>
      <c r="S80" s="124">
        <f t="shared" si="79"/>
        <v>0</v>
      </c>
      <c r="T80" s="123"/>
      <c r="U80" s="124">
        <f t="shared" si="80"/>
        <v>0</v>
      </c>
      <c r="V80" s="123"/>
      <c r="W80" s="124">
        <f t="shared" si="81"/>
        <v>0</v>
      </c>
      <c r="X80" s="123"/>
      <c r="Y80" s="124">
        <f t="shared" si="82"/>
        <v>0</v>
      </c>
      <c r="Z80" s="123"/>
      <c r="AA80" s="124">
        <f t="shared" si="83"/>
        <v>0</v>
      </c>
      <c r="AB80" s="123"/>
      <c r="AC80" s="124">
        <f t="shared" si="84"/>
        <v>0</v>
      </c>
      <c r="AD80" s="123"/>
      <c r="AE80" s="124">
        <f t="shared" si="85"/>
        <v>0</v>
      </c>
      <c r="AF80" s="125">
        <f t="shared" si="86"/>
        <v>0</v>
      </c>
      <c r="AG80" s="126">
        <f t="shared" si="87"/>
        <v>0</v>
      </c>
      <c r="AH80" s="11"/>
      <c r="AI80" s="124">
        <f t="shared" si="88"/>
        <v>0</v>
      </c>
      <c r="AJ80" s="15"/>
      <c r="AK80" s="124">
        <f t="shared" si="89"/>
        <v>0</v>
      </c>
      <c r="AL80" s="15"/>
      <c r="AM80" s="124">
        <f t="shared" si="90"/>
        <v>0</v>
      </c>
      <c r="AN80" s="16"/>
      <c r="AO80" s="124">
        <f t="shared" si="91"/>
        <v>0</v>
      </c>
      <c r="AP80" s="15"/>
      <c r="AQ80" s="124">
        <f t="shared" si="92"/>
        <v>0</v>
      </c>
      <c r="AR80" s="15"/>
      <c r="AS80" s="124">
        <f t="shared" si="93"/>
        <v>0</v>
      </c>
      <c r="AT80" s="17"/>
      <c r="AU80" s="124">
        <f t="shared" si="94"/>
        <v>0</v>
      </c>
      <c r="AV80" s="15"/>
      <c r="AW80" s="124">
        <f t="shared" si="95"/>
        <v>0</v>
      </c>
      <c r="AX80" s="15"/>
      <c r="AY80" s="124">
        <f t="shared" si="96"/>
        <v>0</v>
      </c>
      <c r="AZ80" s="17"/>
      <c r="BA80" s="124">
        <f t="shared" si="97"/>
        <v>0</v>
      </c>
      <c r="BB80" s="33"/>
      <c r="BC80" s="124">
        <f t="shared" si="98"/>
        <v>0</v>
      </c>
      <c r="BD80" s="33"/>
      <c r="BE80" s="124">
        <f t="shared" si="99"/>
        <v>0</v>
      </c>
      <c r="BF80" s="125">
        <f t="shared" si="100"/>
        <v>0</v>
      </c>
      <c r="BG80" s="126">
        <f t="shared" si="101"/>
        <v>0</v>
      </c>
      <c r="BH80" s="123"/>
      <c r="BI80" s="124">
        <f t="shared" si="102"/>
        <v>0</v>
      </c>
      <c r="BJ80" s="123"/>
      <c r="BK80" s="124">
        <f t="shared" si="103"/>
        <v>0</v>
      </c>
      <c r="BL80" s="123"/>
      <c r="BM80" s="124">
        <f t="shared" si="104"/>
        <v>0</v>
      </c>
      <c r="BN80" s="123"/>
      <c r="BO80" s="124">
        <f t="shared" si="105"/>
        <v>0</v>
      </c>
      <c r="BP80" s="123"/>
      <c r="BQ80" s="124">
        <f t="shared" si="106"/>
        <v>0</v>
      </c>
      <c r="BR80" s="123"/>
      <c r="BS80" s="124">
        <f t="shared" si="107"/>
        <v>0</v>
      </c>
      <c r="BT80" s="123"/>
      <c r="BU80" s="124">
        <f t="shared" si="108"/>
        <v>0</v>
      </c>
      <c r="BV80" s="123"/>
      <c r="BW80" s="124">
        <f t="shared" si="109"/>
        <v>0</v>
      </c>
      <c r="BX80" s="123"/>
      <c r="BY80" s="124">
        <f t="shared" si="110"/>
        <v>0</v>
      </c>
      <c r="BZ80" s="123"/>
      <c r="CA80" s="124">
        <f t="shared" si="111"/>
        <v>0</v>
      </c>
      <c r="CB80" s="123"/>
      <c r="CC80" s="124">
        <f t="shared" si="112"/>
        <v>0</v>
      </c>
      <c r="CD80" s="123"/>
      <c r="CE80" s="124">
        <f t="shared" si="113"/>
        <v>0</v>
      </c>
      <c r="CF80" s="125">
        <f t="shared" si="114"/>
        <v>0</v>
      </c>
      <c r="CG80" s="126">
        <f t="shared" si="115"/>
        <v>0</v>
      </c>
      <c r="CH80" s="123"/>
      <c r="CI80" s="124">
        <f t="shared" si="116"/>
        <v>0</v>
      </c>
      <c r="CJ80" s="123"/>
      <c r="CK80" s="124">
        <f t="shared" si="117"/>
        <v>0</v>
      </c>
      <c r="CL80" s="123"/>
      <c r="CM80" s="124">
        <f t="shared" si="118"/>
        <v>0</v>
      </c>
      <c r="CN80" s="123"/>
      <c r="CO80" s="124">
        <f t="shared" si="119"/>
        <v>0</v>
      </c>
      <c r="CP80" s="123"/>
      <c r="CQ80" s="124">
        <f t="shared" si="120"/>
        <v>0</v>
      </c>
      <c r="CR80" s="123"/>
      <c r="CS80" s="124">
        <f t="shared" si="121"/>
        <v>0</v>
      </c>
      <c r="CT80" s="123"/>
      <c r="CU80" s="124">
        <f t="shared" si="122"/>
        <v>0</v>
      </c>
      <c r="CV80" s="123"/>
      <c r="CW80" s="124">
        <f t="shared" si="123"/>
        <v>0</v>
      </c>
      <c r="CX80" s="123"/>
      <c r="CY80" s="124">
        <f t="shared" si="124"/>
        <v>0</v>
      </c>
      <c r="CZ80" s="123"/>
      <c r="DA80" s="124">
        <f t="shared" si="125"/>
        <v>0</v>
      </c>
      <c r="DB80" s="123"/>
      <c r="DC80" s="124">
        <f t="shared" si="126"/>
        <v>0</v>
      </c>
      <c r="DD80" s="123"/>
      <c r="DE80" s="124">
        <f t="shared" si="126"/>
        <v>0</v>
      </c>
      <c r="DF80" s="177">
        <f t="shared" si="72"/>
        <v>0</v>
      </c>
      <c r="DG80" s="126">
        <f t="shared" si="127"/>
        <v>0</v>
      </c>
      <c r="DH80" s="123"/>
      <c r="DI80" s="124">
        <f t="shared" si="128"/>
        <v>0</v>
      </c>
      <c r="DJ80" s="123"/>
      <c r="DK80" s="124">
        <f t="shared" si="129"/>
        <v>0</v>
      </c>
      <c r="DL80" s="123"/>
      <c r="DM80" s="124">
        <f t="shared" si="130"/>
        <v>0</v>
      </c>
      <c r="DN80" s="123"/>
      <c r="DO80" s="124">
        <f t="shared" si="131"/>
        <v>0</v>
      </c>
      <c r="DP80" s="123"/>
      <c r="DQ80" s="124">
        <f t="shared" si="132"/>
        <v>0</v>
      </c>
      <c r="DR80" s="123"/>
      <c r="DS80" s="124">
        <f t="shared" si="133"/>
        <v>0</v>
      </c>
      <c r="DT80" s="123"/>
      <c r="DU80" s="124">
        <f t="shared" si="134"/>
        <v>0</v>
      </c>
      <c r="DV80" s="123"/>
      <c r="DW80" s="124">
        <f t="shared" si="135"/>
        <v>0</v>
      </c>
      <c r="DX80" s="123"/>
      <c r="DY80" s="124">
        <f t="shared" si="136"/>
        <v>0</v>
      </c>
      <c r="DZ80" s="123"/>
      <c r="EA80" s="124">
        <f t="shared" si="137"/>
        <v>0</v>
      </c>
      <c r="EB80" s="123"/>
      <c r="EC80" s="124">
        <f t="shared" si="138"/>
        <v>0</v>
      </c>
      <c r="ED80" s="123"/>
      <c r="EE80" s="124">
        <f t="shared" si="139"/>
        <v>0</v>
      </c>
      <c r="EF80" s="27">
        <f t="shared" si="73"/>
        <v>0</v>
      </c>
      <c r="EG80" s="124">
        <f t="shared" si="140"/>
        <v>0</v>
      </c>
    </row>
    <row r="81" spans="1:137" ht="18" customHeight="1" x14ac:dyDescent="0.5">
      <c r="A81" s="117">
        <v>65</v>
      </c>
      <c r="B81" s="122" t="s">
        <v>182</v>
      </c>
      <c r="C81" s="122" t="s">
        <v>231</v>
      </c>
      <c r="D81" s="117">
        <f>RANK(DF81,$DF$4:$DF$147)</f>
        <v>21</v>
      </c>
      <c r="E81" s="117">
        <v>0.64</v>
      </c>
      <c r="F81" s="117" t="s">
        <v>232</v>
      </c>
      <c r="G81" s="117"/>
      <c r="H81" s="123"/>
      <c r="I81" s="124">
        <f t="shared" si="74"/>
        <v>0</v>
      </c>
      <c r="J81" s="123"/>
      <c r="K81" s="124">
        <f t="shared" si="75"/>
        <v>0</v>
      </c>
      <c r="L81" s="123"/>
      <c r="M81" s="124">
        <f t="shared" si="76"/>
        <v>0</v>
      </c>
      <c r="N81" s="123"/>
      <c r="O81" s="124">
        <f t="shared" si="77"/>
        <v>0</v>
      </c>
      <c r="P81" s="123"/>
      <c r="Q81" s="124">
        <f t="shared" si="78"/>
        <v>0</v>
      </c>
      <c r="R81" s="123"/>
      <c r="S81" s="124">
        <f t="shared" si="79"/>
        <v>0</v>
      </c>
      <c r="T81" s="123"/>
      <c r="U81" s="124">
        <f t="shared" si="80"/>
        <v>0</v>
      </c>
      <c r="V81" s="123"/>
      <c r="W81" s="124">
        <f t="shared" si="81"/>
        <v>0</v>
      </c>
      <c r="X81" s="123"/>
      <c r="Y81" s="124">
        <f t="shared" si="82"/>
        <v>0</v>
      </c>
      <c r="Z81" s="123"/>
      <c r="AA81" s="124">
        <f t="shared" si="83"/>
        <v>0</v>
      </c>
      <c r="AB81" s="123"/>
      <c r="AC81" s="124">
        <f t="shared" si="84"/>
        <v>0</v>
      </c>
      <c r="AD81" s="123"/>
      <c r="AE81" s="124">
        <f t="shared" si="85"/>
        <v>0</v>
      </c>
      <c r="AF81" s="125">
        <f t="shared" si="86"/>
        <v>0</v>
      </c>
      <c r="AG81" s="126">
        <f t="shared" si="87"/>
        <v>0</v>
      </c>
      <c r="AH81" s="11"/>
      <c r="AI81" s="124">
        <f t="shared" si="88"/>
        <v>0</v>
      </c>
      <c r="AJ81" s="15"/>
      <c r="AK81" s="124">
        <f t="shared" si="89"/>
        <v>0</v>
      </c>
      <c r="AL81" s="15"/>
      <c r="AM81" s="124">
        <f t="shared" si="90"/>
        <v>0</v>
      </c>
      <c r="AN81" s="16"/>
      <c r="AO81" s="124">
        <f t="shared" si="91"/>
        <v>0</v>
      </c>
      <c r="AP81" s="15"/>
      <c r="AQ81" s="124">
        <f t="shared" si="92"/>
        <v>0</v>
      </c>
      <c r="AR81" s="15"/>
      <c r="AS81" s="124">
        <f t="shared" si="93"/>
        <v>0</v>
      </c>
      <c r="AT81" s="17"/>
      <c r="AU81" s="124">
        <f t="shared" si="94"/>
        <v>0</v>
      </c>
      <c r="AV81" s="15"/>
      <c r="AW81" s="124">
        <f t="shared" si="95"/>
        <v>0</v>
      </c>
      <c r="AX81" s="15"/>
      <c r="AY81" s="124">
        <f t="shared" si="96"/>
        <v>0</v>
      </c>
      <c r="AZ81" s="17"/>
      <c r="BA81" s="124">
        <f t="shared" si="97"/>
        <v>0</v>
      </c>
      <c r="BB81" s="33"/>
      <c r="BC81" s="124">
        <f t="shared" si="98"/>
        <v>0</v>
      </c>
      <c r="BD81" s="33"/>
      <c r="BE81" s="124">
        <f t="shared" si="99"/>
        <v>0</v>
      </c>
      <c r="BF81" s="125">
        <f t="shared" si="100"/>
        <v>0</v>
      </c>
      <c r="BG81" s="126">
        <f t="shared" si="101"/>
        <v>0</v>
      </c>
      <c r="BH81" s="123"/>
      <c r="BI81" s="124">
        <f t="shared" si="102"/>
        <v>0</v>
      </c>
      <c r="BJ81" s="123"/>
      <c r="BK81" s="124">
        <f t="shared" si="103"/>
        <v>0</v>
      </c>
      <c r="BL81" s="123"/>
      <c r="BM81" s="124">
        <f t="shared" si="104"/>
        <v>0</v>
      </c>
      <c r="BN81" s="123"/>
      <c r="BO81" s="124">
        <f t="shared" si="105"/>
        <v>0</v>
      </c>
      <c r="BP81" s="123"/>
      <c r="BQ81" s="124">
        <f t="shared" si="106"/>
        <v>0</v>
      </c>
      <c r="BR81" s="123"/>
      <c r="BS81" s="124">
        <f t="shared" si="107"/>
        <v>0</v>
      </c>
      <c r="BT81" s="123"/>
      <c r="BU81" s="124">
        <f t="shared" si="108"/>
        <v>0</v>
      </c>
      <c r="BV81" s="123"/>
      <c r="BW81" s="124">
        <f t="shared" si="109"/>
        <v>0</v>
      </c>
      <c r="BX81" s="123"/>
      <c r="BY81" s="124">
        <f t="shared" si="110"/>
        <v>0</v>
      </c>
      <c r="BZ81" s="123"/>
      <c r="CA81" s="124">
        <f t="shared" si="111"/>
        <v>0</v>
      </c>
      <c r="CB81" s="123"/>
      <c r="CC81" s="124">
        <f t="shared" si="112"/>
        <v>0</v>
      </c>
      <c r="CD81" s="123"/>
      <c r="CE81" s="124">
        <f t="shared" si="113"/>
        <v>0</v>
      </c>
      <c r="CF81" s="125">
        <f t="shared" si="114"/>
        <v>0</v>
      </c>
      <c r="CG81" s="126">
        <f t="shared" si="115"/>
        <v>0</v>
      </c>
      <c r="CH81" s="123"/>
      <c r="CI81" s="124">
        <f t="shared" si="116"/>
        <v>0</v>
      </c>
      <c r="CJ81" s="123"/>
      <c r="CK81" s="124">
        <f t="shared" si="117"/>
        <v>0</v>
      </c>
      <c r="CL81" s="123"/>
      <c r="CM81" s="124">
        <f t="shared" si="118"/>
        <v>0</v>
      </c>
      <c r="CN81" s="123"/>
      <c r="CO81" s="124">
        <f t="shared" si="119"/>
        <v>0</v>
      </c>
      <c r="CP81" s="123"/>
      <c r="CQ81" s="124">
        <f t="shared" si="120"/>
        <v>0</v>
      </c>
      <c r="CR81" s="123"/>
      <c r="CS81" s="124">
        <f t="shared" si="121"/>
        <v>0</v>
      </c>
      <c r="CT81" s="123"/>
      <c r="CU81" s="124">
        <f t="shared" si="122"/>
        <v>0</v>
      </c>
      <c r="CV81" s="123"/>
      <c r="CW81" s="124">
        <f t="shared" si="123"/>
        <v>0</v>
      </c>
      <c r="CX81" s="123"/>
      <c r="CY81" s="124">
        <f t="shared" si="124"/>
        <v>0</v>
      </c>
      <c r="CZ81" s="123"/>
      <c r="DA81" s="124">
        <f t="shared" si="125"/>
        <v>0</v>
      </c>
      <c r="DB81" s="123"/>
      <c r="DC81" s="124">
        <f t="shared" si="126"/>
        <v>0</v>
      </c>
      <c r="DD81" s="123"/>
      <c r="DE81" s="124">
        <f t="shared" si="126"/>
        <v>0</v>
      </c>
      <c r="DF81" s="177">
        <f t="shared" si="72"/>
        <v>0</v>
      </c>
      <c r="DG81" s="126">
        <f t="shared" si="127"/>
        <v>0</v>
      </c>
      <c r="DH81" s="123"/>
      <c r="DI81" s="124">
        <f t="shared" si="128"/>
        <v>0</v>
      </c>
      <c r="DJ81" s="123"/>
      <c r="DK81" s="124">
        <f t="shared" si="129"/>
        <v>0</v>
      </c>
      <c r="DL81" s="123"/>
      <c r="DM81" s="124">
        <f t="shared" si="130"/>
        <v>0</v>
      </c>
      <c r="DN81" s="123"/>
      <c r="DO81" s="124">
        <f t="shared" si="131"/>
        <v>0</v>
      </c>
      <c r="DP81" s="123"/>
      <c r="DQ81" s="124">
        <f t="shared" si="132"/>
        <v>0</v>
      </c>
      <c r="DR81" s="123"/>
      <c r="DS81" s="124">
        <f t="shared" si="133"/>
        <v>0</v>
      </c>
      <c r="DT81" s="123"/>
      <c r="DU81" s="124">
        <f t="shared" si="134"/>
        <v>0</v>
      </c>
      <c r="DV81" s="123"/>
      <c r="DW81" s="124">
        <f t="shared" si="135"/>
        <v>0</v>
      </c>
      <c r="DX81" s="123"/>
      <c r="DY81" s="124">
        <f t="shared" si="136"/>
        <v>0</v>
      </c>
      <c r="DZ81" s="123"/>
      <c r="EA81" s="124">
        <f t="shared" si="137"/>
        <v>0</v>
      </c>
      <c r="EB81" s="123"/>
      <c r="EC81" s="124">
        <f t="shared" si="138"/>
        <v>0</v>
      </c>
      <c r="ED81" s="123"/>
      <c r="EE81" s="124">
        <f t="shared" si="139"/>
        <v>0</v>
      </c>
      <c r="EF81" s="27">
        <f t="shared" si="73"/>
        <v>0</v>
      </c>
      <c r="EG81" s="124">
        <f t="shared" si="140"/>
        <v>0</v>
      </c>
    </row>
    <row r="82" spans="1:137" ht="18" customHeight="1" x14ac:dyDescent="0.5">
      <c r="A82" s="117">
        <v>66</v>
      </c>
      <c r="B82" s="122" t="s">
        <v>250</v>
      </c>
      <c r="C82" s="122" t="s">
        <v>231</v>
      </c>
      <c r="D82" s="117"/>
      <c r="E82" s="117">
        <v>0.64</v>
      </c>
      <c r="F82" s="117" t="s">
        <v>236</v>
      </c>
      <c r="G82" s="117"/>
      <c r="H82" s="123"/>
      <c r="I82" s="124">
        <f t="shared" si="74"/>
        <v>0</v>
      </c>
      <c r="J82" s="123"/>
      <c r="K82" s="124">
        <f t="shared" si="75"/>
        <v>0</v>
      </c>
      <c r="L82" s="123"/>
      <c r="M82" s="124">
        <f t="shared" si="76"/>
        <v>0</v>
      </c>
      <c r="N82" s="123"/>
      <c r="O82" s="124">
        <f t="shared" si="77"/>
        <v>0</v>
      </c>
      <c r="P82" s="123"/>
      <c r="Q82" s="124">
        <f t="shared" si="78"/>
        <v>0</v>
      </c>
      <c r="R82" s="123"/>
      <c r="S82" s="124">
        <f t="shared" si="79"/>
        <v>0</v>
      </c>
      <c r="T82" s="123"/>
      <c r="U82" s="124">
        <f t="shared" si="80"/>
        <v>0</v>
      </c>
      <c r="V82" s="123"/>
      <c r="W82" s="124">
        <f t="shared" si="81"/>
        <v>0</v>
      </c>
      <c r="X82" s="123"/>
      <c r="Y82" s="124">
        <f t="shared" si="82"/>
        <v>0</v>
      </c>
      <c r="Z82" s="123"/>
      <c r="AA82" s="124">
        <f t="shared" si="83"/>
        <v>0</v>
      </c>
      <c r="AB82" s="123"/>
      <c r="AC82" s="124">
        <f t="shared" si="84"/>
        <v>0</v>
      </c>
      <c r="AD82" s="123"/>
      <c r="AE82" s="124">
        <f t="shared" si="85"/>
        <v>0</v>
      </c>
      <c r="AF82" s="125">
        <f t="shared" si="86"/>
        <v>0</v>
      </c>
      <c r="AG82" s="126">
        <f t="shared" si="87"/>
        <v>0</v>
      </c>
      <c r="AH82" s="11"/>
      <c r="AI82" s="124">
        <f t="shared" si="88"/>
        <v>0</v>
      </c>
      <c r="AJ82" s="15"/>
      <c r="AK82" s="124">
        <f t="shared" si="89"/>
        <v>0</v>
      </c>
      <c r="AL82" s="15"/>
      <c r="AM82" s="124">
        <f t="shared" si="90"/>
        <v>0</v>
      </c>
      <c r="AN82" s="16"/>
      <c r="AO82" s="124">
        <f t="shared" si="91"/>
        <v>0</v>
      </c>
      <c r="AP82" s="15"/>
      <c r="AQ82" s="124">
        <f t="shared" si="92"/>
        <v>0</v>
      </c>
      <c r="AR82" s="15"/>
      <c r="AS82" s="124">
        <f t="shared" si="93"/>
        <v>0</v>
      </c>
      <c r="AT82" s="17"/>
      <c r="AU82" s="124">
        <f t="shared" si="94"/>
        <v>0</v>
      </c>
      <c r="AV82" s="15"/>
      <c r="AW82" s="124">
        <f t="shared" si="95"/>
        <v>0</v>
      </c>
      <c r="AX82" s="15"/>
      <c r="AY82" s="124">
        <f t="shared" si="96"/>
        <v>0</v>
      </c>
      <c r="AZ82" s="17"/>
      <c r="BA82" s="124">
        <f t="shared" si="97"/>
        <v>0</v>
      </c>
      <c r="BB82" s="33"/>
      <c r="BC82" s="124">
        <f t="shared" si="98"/>
        <v>0</v>
      </c>
      <c r="BD82" s="33"/>
      <c r="BE82" s="124">
        <f t="shared" si="99"/>
        <v>0</v>
      </c>
      <c r="BF82" s="125">
        <f t="shared" si="100"/>
        <v>0</v>
      </c>
      <c r="BG82" s="126">
        <f t="shared" si="101"/>
        <v>0</v>
      </c>
      <c r="BH82" s="123"/>
      <c r="BI82" s="124">
        <f t="shared" si="102"/>
        <v>0</v>
      </c>
      <c r="BJ82" s="123"/>
      <c r="BK82" s="124">
        <f t="shared" si="103"/>
        <v>0</v>
      </c>
      <c r="BL82" s="123"/>
      <c r="BM82" s="124">
        <f t="shared" si="104"/>
        <v>0</v>
      </c>
      <c r="BN82" s="123"/>
      <c r="BO82" s="124">
        <f t="shared" si="105"/>
        <v>0</v>
      </c>
      <c r="BP82" s="123"/>
      <c r="BQ82" s="124">
        <f t="shared" si="106"/>
        <v>0</v>
      </c>
      <c r="BR82" s="123"/>
      <c r="BS82" s="124">
        <f t="shared" si="107"/>
        <v>0</v>
      </c>
      <c r="BT82" s="123"/>
      <c r="BU82" s="124">
        <f t="shared" si="108"/>
        <v>0</v>
      </c>
      <c r="BV82" s="123"/>
      <c r="BW82" s="124">
        <f t="shared" si="109"/>
        <v>0</v>
      </c>
      <c r="BX82" s="123"/>
      <c r="BY82" s="124">
        <f t="shared" si="110"/>
        <v>0</v>
      </c>
      <c r="BZ82" s="123"/>
      <c r="CA82" s="124">
        <f t="shared" si="111"/>
        <v>0</v>
      </c>
      <c r="CB82" s="123"/>
      <c r="CC82" s="124">
        <f t="shared" si="112"/>
        <v>0</v>
      </c>
      <c r="CD82" s="123"/>
      <c r="CE82" s="124">
        <f t="shared" si="113"/>
        <v>0</v>
      </c>
      <c r="CF82" s="125">
        <f t="shared" si="114"/>
        <v>0</v>
      </c>
      <c r="CG82" s="126">
        <f t="shared" si="115"/>
        <v>0</v>
      </c>
      <c r="CH82" s="123"/>
      <c r="CI82" s="124">
        <f t="shared" si="116"/>
        <v>0</v>
      </c>
      <c r="CJ82" s="123"/>
      <c r="CK82" s="124">
        <f t="shared" si="117"/>
        <v>0</v>
      </c>
      <c r="CL82" s="123"/>
      <c r="CM82" s="124">
        <f t="shared" si="118"/>
        <v>0</v>
      </c>
      <c r="CN82" s="123"/>
      <c r="CO82" s="124">
        <f t="shared" si="119"/>
        <v>0</v>
      </c>
      <c r="CP82" s="123"/>
      <c r="CQ82" s="124">
        <f t="shared" si="120"/>
        <v>0</v>
      </c>
      <c r="CR82" s="123"/>
      <c r="CS82" s="124">
        <f t="shared" si="121"/>
        <v>0</v>
      </c>
      <c r="CT82" s="123"/>
      <c r="CU82" s="124">
        <f t="shared" si="122"/>
        <v>0</v>
      </c>
      <c r="CV82" s="123"/>
      <c r="CW82" s="124">
        <f t="shared" si="123"/>
        <v>0</v>
      </c>
      <c r="CX82" s="123"/>
      <c r="CY82" s="124">
        <f t="shared" si="124"/>
        <v>0</v>
      </c>
      <c r="CZ82" s="123"/>
      <c r="DA82" s="124">
        <f t="shared" si="125"/>
        <v>0</v>
      </c>
      <c r="DB82" s="123"/>
      <c r="DC82" s="124">
        <f t="shared" si="126"/>
        <v>0</v>
      </c>
      <c r="DD82" s="123"/>
      <c r="DE82" s="124">
        <f t="shared" si="126"/>
        <v>0</v>
      </c>
      <c r="DF82" s="177">
        <f t="shared" si="72"/>
        <v>0</v>
      </c>
      <c r="DG82" s="126">
        <f t="shared" si="127"/>
        <v>0</v>
      </c>
      <c r="DH82" s="123"/>
      <c r="DI82" s="124">
        <f t="shared" si="128"/>
        <v>0</v>
      </c>
      <c r="DJ82" s="123"/>
      <c r="DK82" s="124">
        <f t="shared" si="129"/>
        <v>0</v>
      </c>
      <c r="DL82" s="123"/>
      <c r="DM82" s="124">
        <f t="shared" si="130"/>
        <v>0</v>
      </c>
      <c r="DN82" s="123"/>
      <c r="DO82" s="124">
        <f t="shared" si="131"/>
        <v>0</v>
      </c>
      <c r="DP82" s="123"/>
      <c r="DQ82" s="124">
        <f t="shared" si="132"/>
        <v>0</v>
      </c>
      <c r="DR82" s="123"/>
      <c r="DS82" s="124">
        <f t="shared" si="133"/>
        <v>0</v>
      </c>
      <c r="DT82" s="123"/>
      <c r="DU82" s="124">
        <f t="shared" si="134"/>
        <v>0</v>
      </c>
      <c r="DV82" s="123"/>
      <c r="DW82" s="124">
        <f t="shared" si="135"/>
        <v>0</v>
      </c>
      <c r="DX82" s="123"/>
      <c r="DY82" s="124">
        <f t="shared" si="136"/>
        <v>0</v>
      </c>
      <c r="DZ82" s="123"/>
      <c r="EA82" s="124">
        <f t="shared" si="137"/>
        <v>0</v>
      </c>
      <c r="EB82" s="123"/>
      <c r="EC82" s="124">
        <f t="shared" si="138"/>
        <v>0</v>
      </c>
      <c r="ED82" s="123"/>
      <c r="EE82" s="124">
        <f t="shared" si="139"/>
        <v>0</v>
      </c>
      <c r="EF82" s="27">
        <f t="shared" si="73"/>
        <v>0</v>
      </c>
      <c r="EG82" s="124">
        <f t="shared" si="140"/>
        <v>0</v>
      </c>
    </row>
    <row r="83" spans="1:137" ht="18" customHeight="1" x14ac:dyDescent="0.5">
      <c r="A83" s="117">
        <v>67</v>
      </c>
      <c r="B83" s="122" t="s">
        <v>250</v>
      </c>
      <c r="C83" s="122" t="s">
        <v>233</v>
      </c>
      <c r="D83" s="117"/>
      <c r="E83" s="117">
        <v>1</v>
      </c>
      <c r="F83" s="117" t="s">
        <v>232</v>
      </c>
      <c r="G83" s="117"/>
      <c r="H83" s="123"/>
      <c r="I83" s="124">
        <f t="shared" si="74"/>
        <v>0</v>
      </c>
      <c r="J83" s="123"/>
      <c r="K83" s="124">
        <f t="shared" si="75"/>
        <v>0</v>
      </c>
      <c r="L83" s="123"/>
      <c r="M83" s="124">
        <f t="shared" si="76"/>
        <v>0</v>
      </c>
      <c r="N83" s="123"/>
      <c r="O83" s="124">
        <f t="shared" si="77"/>
        <v>0</v>
      </c>
      <c r="P83" s="123"/>
      <c r="Q83" s="124">
        <f t="shared" si="78"/>
        <v>0</v>
      </c>
      <c r="R83" s="123"/>
      <c r="S83" s="124">
        <f t="shared" si="79"/>
        <v>0</v>
      </c>
      <c r="T83" s="123"/>
      <c r="U83" s="124">
        <f t="shared" si="80"/>
        <v>0</v>
      </c>
      <c r="V83" s="123"/>
      <c r="W83" s="124">
        <f t="shared" si="81"/>
        <v>0</v>
      </c>
      <c r="X83" s="123"/>
      <c r="Y83" s="124">
        <f t="shared" si="82"/>
        <v>0</v>
      </c>
      <c r="Z83" s="123"/>
      <c r="AA83" s="124">
        <f t="shared" si="83"/>
        <v>0</v>
      </c>
      <c r="AB83" s="123"/>
      <c r="AC83" s="124">
        <f t="shared" si="84"/>
        <v>0</v>
      </c>
      <c r="AD83" s="123"/>
      <c r="AE83" s="124">
        <f t="shared" si="85"/>
        <v>0</v>
      </c>
      <c r="AF83" s="125">
        <f t="shared" si="86"/>
        <v>0</v>
      </c>
      <c r="AG83" s="126">
        <f t="shared" si="87"/>
        <v>0</v>
      </c>
      <c r="AH83" s="11"/>
      <c r="AI83" s="124">
        <f t="shared" si="88"/>
        <v>0</v>
      </c>
      <c r="AJ83" s="15"/>
      <c r="AK83" s="124">
        <f t="shared" si="89"/>
        <v>0</v>
      </c>
      <c r="AL83" s="15"/>
      <c r="AM83" s="124">
        <f t="shared" si="90"/>
        <v>0</v>
      </c>
      <c r="AN83" s="16"/>
      <c r="AO83" s="124">
        <f t="shared" si="91"/>
        <v>0</v>
      </c>
      <c r="AP83" s="15"/>
      <c r="AQ83" s="124">
        <f t="shared" si="92"/>
        <v>0</v>
      </c>
      <c r="AR83" s="15"/>
      <c r="AS83" s="124">
        <f t="shared" si="93"/>
        <v>0</v>
      </c>
      <c r="AT83" s="17"/>
      <c r="AU83" s="124">
        <f t="shared" si="94"/>
        <v>0</v>
      </c>
      <c r="AV83" s="15"/>
      <c r="AW83" s="124">
        <f t="shared" si="95"/>
        <v>0</v>
      </c>
      <c r="AX83" s="15"/>
      <c r="AY83" s="124">
        <f t="shared" si="96"/>
        <v>0</v>
      </c>
      <c r="AZ83" s="17"/>
      <c r="BA83" s="124">
        <f t="shared" si="97"/>
        <v>0</v>
      </c>
      <c r="BB83" s="33"/>
      <c r="BC83" s="124">
        <f t="shared" si="98"/>
        <v>0</v>
      </c>
      <c r="BD83" s="33"/>
      <c r="BE83" s="124">
        <f t="shared" si="99"/>
        <v>0</v>
      </c>
      <c r="BF83" s="125">
        <f t="shared" si="100"/>
        <v>0</v>
      </c>
      <c r="BG83" s="126">
        <f t="shared" si="101"/>
        <v>0</v>
      </c>
      <c r="BH83" s="123"/>
      <c r="BI83" s="124">
        <f t="shared" si="102"/>
        <v>0</v>
      </c>
      <c r="BJ83" s="123"/>
      <c r="BK83" s="124">
        <f t="shared" si="103"/>
        <v>0</v>
      </c>
      <c r="BL83" s="123"/>
      <c r="BM83" s="124">
        <f t="shared" si="104"/>
        <v>0</v>
      </c>
      <c r="BN83" s="123"/>
      <c r="BO83" s="124">
        <f t="shared" si="105"/>
        <v>0</v>
      </c>
      <c r="BP83" s="123"/>
      <c r="BQ83" s="124">
        <f t="shared" si="106"/>
        <v>0</v>
      </c>
      <c r="BR83" s="123"/>
      <c r="BS83" s="124">
        <f t="shared" si="107"/>
        <v>0</v>
      </c>
      <c r="BT83" s="123"/>
      <c r="BU83" s="124">
        <f t="shared" si="108"/>
        <v>0</v>
      </c>
      <c r="BV83" s="123"/>
      <c r="BW83" s="124">
        <f t="shared" si="109"/>
        <v>0</v>
      </c>
      <c r="BX83" s="123"/>
      <c r="BY83" s="124">
        <f t="shared" si="110"/>
        <v>0</v>
      </c>
      <c r="BZ83" s="123"/>
      <c r="CA83" s="124">
        <f t="shared" si="111"/>
        <v>0</v>
      </c>
      <c r="CB83" s="123"/>
      <c r="CC83" s="124">
        <f t="shared" si="112"/>
        <v>0</v>
      </c>
      <c r="CD83" s="123"/>
      <c r="CE83" s="124">
        <f t="shared" si="113"/>
        <v>0</v>
      </c>
      <c r="CF83" s="125">
        <f t="shared" si="114"/>
        <v>0</v>
      </c>
      <c r="CG83" s="126">
        <f t="shared" si="115"/>
        <v>0</v>
      </c>
      <c r="CH83" s="123"/>
      <c r="CI83" s="124">
        <f t="shared" si="116"/>
        <v>0</v>
      </c>
      <c r="CJ83" s="123"/>
      <c r="CK83" s="124">
        <f t="shared" si="117"/>
        <v>0</v>
      </c>
      <c r="CL83" s="123"/>
      <c r="CM83" s="124">
        <f t="shared" si="118"/>
        <v>0</v>
      </c>
      <c r="CN83" s="123"/>
      <c r="CO83" s="124">
        <f t="shared" si="119"/>
        <v>0</v>
      </c>
      <c r="CP83" s="123"/>
      <c r="CQ83" s="124">
        <f t="shared" si="120"/>
        <v>0</v>
      </c>
      <c r="CR83" s="123"/>
      <c r="CS83" s="124">
        <f t="shared" si="121"/>
        <v>0</v>
      </c>
      <c r="CT83" s="123"/>
      <c r="CU83" s="124">
        <f t="shared" si="122"/>
        <v>0</v>
      </c>
      <c r="CV83" s="123"/>
      <c r="CW83" s="124">
        <f t="shared" si="123"/>
        <v>0</v>
      </c>
      <c r="CX83" s="123"/>
      <c r="CY83" s="124">
        <f t="shared" si="124"/>
        <v>0</v>
      </c>
      <c r="CZ83" s="123"/>
      <c r="DA83" s="124">
        <f t="shared" si="125"/>
        <v>0</v>
      </c>
      <c r="DB83" s="123"/>
      <c r="DC83" s="124">
        <f t="shared" si="126"/>
        <v>0</v>
      </c>
      <c r="DD83" s="123"/>
      <c r="DE83" s="124">
        <f t="shared" si="126"/>
        <v>0</v>
      </c>
      <c r="DF83" s="177">
        <f t="shared" si="72"/>
        <v>0</v>
      </c>
      <c r="DG83" s="126">
        <f t="shared" si="127"/>
        <v>0</v>
      </c>
      <c r="DH83" s="123"/>
      <c r="DI83" s="124">
        <f t="shared" si="128"/>
        <v>0</v>
      </c>
      <c r="DJ83" s="123"/>
      <c r="DK83" s="124">
        <f t="shared" si="129"/>
        <v>0</v>
      </c>
      <c r="DL83" s="123"/>
      <c r="DM83" s="124">
        <f t="shared" si="130"/>
        <v>0</v>
      </c>
      <c r="DN83" s="123"/>
      <c r="DO83" s="124">
        <f t="shared" si="131"/>
        <v>0</v>
      </c>
      <c r="DP83" s="123"/>
      <c r="DQ83" s="124">
        <f t="shared" si="132"/>
        <v>0</v>
      </c>
      <c r="DR83" s="123"/>
      <c r="DS83" s="124">
        <f t="shared" si="133"/>
        <v>0</v>
      </c>
      <c r="DT83" s="123"/>
      <c r="DU83" s="124">
        <f t="shared" si="134"/>
        <v>0</v>
      </c>
      <c r="DV83" s="123"/>
      <c r="DW83" s="124">
        <f t="shared" si="135"/>
        <v>0</v>
      </c>
      <c r="DX83" s="123"/>
      <c r="DY83" s="124">
        <f t="shared" si="136"/>
        <v>0</v>
      </c>
      <c r="DZ83" s="123"/>
      <c r="EA83" s="124">
        <f t="shared" si="137"/>
        <v>0</v>
      </c>
      <c r="EB83" s="123"/>
      <c r="EC83" s="124">
        <f t="shared" si="138"/>
        <v>0</v>
      </c>
      <c r="ED83" s="123"/>
      <c r="EE83" s="124">
        <f t="shared" si="139"/>
        <v>0</v>
      </c>
      <c r="EF83" s="27">
        <f t="shared" si="73"/>
        <v>0</v>
      </c>
      <c r="EG83" s="124">
        <f t="shared" si="140"/>
        <v>0</v>
      </c>
    </row>
    <row r="84" spans="1:137" ht="18" customHeight="1" x14ac:dyDescent="0.5">
      <c r="A84" s="117">
        <v>68</v>
      </c>
      <c r="B84" s="122" t="s">
        <v>191</v>
      </c>
      <c r="C84" s="122" t="s">
        <v>233</v>
      </c>
      <c r="D84" s="117">
        <f>RANK(DF84,$DF$4:$DF$147)</f>
        <v>21</v>
      </c>
      <c r="E84" s="117">
        <v>1</v>
      </c>
      <c r="F84" s="117" t="s">
        <v>232</v>
      </c>
      <c r="G84" s="117"/>
      <c r="H84" s="123"/>
      <c r="I84" s="124">
        <f t="shared" si="74"/>
        <v>0</v>
      </c>
      <c r="J84" s="123"/>
      <c r="K84" s="124">
        <f t="shared" si="75"/>
        <v>0</v>
      </c>
      <c r="L84" s="123"/>
      <c r="M84" s="124">
        <f t="shared" si="76"/>
        <v>0</v>
      </c>
      <c r="N84" s="123"/>
      <c r="O84" s="124">
        <f t="shared" si="77"/>
        <v>0</v>
      </c>
      <c r="P84" s="123"/>
      <c r="Q84" s="124">
        <f t="shared" si="78"/>
        <v>0</v>
      </c>
      <c r="R84" s="123"/>
      <c r="S84" s="124">
        <f t="shared" si="79"/>
        <v>0</v>
      </c>
      <c r="T84" s="123"/>
      <c r="U84" s="124">
        <f t="shared" si="80"/>
        <v>0</v>
      </c>
      <c r="V84" s="123"/>
      <c r="W84" s="124">
        <f t="shared" si="81"/>
        <v>0</v>
      </c>
      <c r="X84" s="123"/>
      <c r="Y84" s="124">
        <f t="shared" si="82"/>
        <v>0</v>
      </c>
      <c r="Z84" s="123"/>
      <c r="AA84" s="124">
        <f t="shared" si="83"/>
        <v>0</v>
      </c>
      <c r="AB84" s="123"/>
      <c r="AC84" s="124">
        <f t="shared" si="84"/>
        <v>0</v>
      </c>
      <c r="AD84" s="123"/>
      <c r="AE84" s="124">
        <f t="shared" si="85"/>
        <v>0</v>
      </c>
      <c r="AF84" s="125">
        <f t="shared" si="86"/>
        <v>0</v>
      </c>
      <c r="AG84" s="126">
        <f t="shared" si="87"/>
        <v>0</v>
      </c>
      <c r="AH84" s="11"/>
      <c r="AI84" s="124">
        <f t="shared" si="88"/>
        <v>0</v>
      </c>
      <c r="AJ84" s="15"/>
      <c r="AK84" s="124">
        <f t="shared" si="89"/>
        <v>0</v>
      </c>
      <c r="AL84" s="15"/>
      <c r="AM84" s="124">
        <f t="shared" si="90"/>
        <v>0</v>
      </c>
      <c r="AN84" s="16"/>
      <c r="AO84" s="124">
        <f t="shared" si="91"/>
        <v>0</v>
      </c>
      <c r="AP84" s="15"/>
      <c r="AQ84" s="124">
        <f t="shared" si="92"/>
        <v>0</v>
      </c>
      <c r="AR84" s="15"/>
      <c r="AS84" s="124">
        <f t="shared" si="93"/>
        <v>0</v>
      </c>
      <c r="AT84" s="17"/>
      <c r="AU84" s="124">
        <f t="shared" si="94"/>
        <v>0</v>
      </c>
      <c r="AV84" s="15"/>
      <c r="AW84" s="124">
        <f t="shared" si="95"/>
        <v>0</v>
      </c>
      <c r="AX84" s="15"/>
      <c r="AY84" s="124">
        <f t="shared" si="96"/>
        <v>0</v>
      </c>
      <c r="AZ84" s="17"/>
      <c r="BA84" s="124">
        <f t="shared" si="97"/>
        <v>0</v>
      </c>
      <c r="BB84" s="33"/>
      <c r="BC84" s="124">
        <f t="shared" si="98"/>
        <v>0</v>
      </c>
      <c r="BD84" s="33"/>
      <c r="BE84" s="124">
        <f t="shared" si="99"/>
        <v>0</v>
      </c>
      <c r="BF84" s="125">
        <f t="shared" si="100"/>
        <v>0</v>
      </c>
      <c r="BG84" s="126">
        <f t="shared" si="101"/>
        <v>0</v>
      </c>
      <c r="BH84" s="123"/>
      <c r="BI84" s="124">
        <f t="shared" si="102"/>
        <v>0</v>
      </c>
      <c r="BJ84" s="123"/>
      <c r="BK84" s="124">
        <f t="shared" si="103"/>
        <v>0</v>
      </c>
      <c r="BL84" s="123"/>
      <c r="BM84" s="124">
        <f t="shared" si="104"/>
        <v>0</v>
      </c>
      <c r="BN84" s="123"/>
      <c r="BO84" s="124">
        <f t="shared" si="105"/>
        <v>0</v>
      </c>
      <c r="BP84" s="123"/>
      <c r="BQ84" s="124">
        <f t="shared" si="106"/>
        <v>0</v>
      </c>
      <c r="BR84" s="123"/>
      <c r="BS84" s="124">
        <f t="shared" si="107"/>
        <v>0</v>
      </c>
      <c r="BT84" s="123"/>
      <c r="BU84" s="124">
        <f t="shared" si="108"/>
        <v>0</v>
      </c>
      <c r="BV84" s="123"/>
      <c r="BW84" s="124">
        <f t="shared" si="109"/>
        <v>0</v>
      </c>
      <c r="BX84" s="123"/>
      <c r="BY84" s="124">
        <f t="shared" si="110"/>
        <v>0</v>
      </c>
      <c r="BZ84" s="123"/>
      <c r="CA84" s="124">
        <f t="shared" si="111"/>
        <v>0</v>
      </c>
      <c r="CB84" s="123"/>
      <c r="CC84" s="124">
        <f t="shared" si="112"/>
        <v>0</v>
      </c>
      <c r="CD84" s="123"/>
      <c r="CE84" s="124">
        <f t="shared" si="113"/>
        <v>0</v>
      </c>
      <c r="CF84" s="125">
        <f t="shared" si="114"/>
        <v>0</v>
      </c>
      <c r="CG84" s="126">
        <f t="shared" si="115"/>
        <v>0</v>
      </c>
      <c r="CH84" s="123"/>
      <c r="CI84" s="124">
        <f t="shared" si="116"/>
        <v>0</v>
      </c>
      <c r="CJ84" s="123"/>
      <c r="CK84" s="124">
        <f t="shared" si="117"/>
        <v>0</v>
      </c>
      <c r="CL84" s="123"/>
      <c r="CM84" s="124">
        <f t="shared" si="118"/>
        <v>0</v>
      </c>
      <c r="CN84" s="123"/>
      <c r="CO84" s="124">
        <f t="shared" si="119"/>
        <v>0</v>
      </c>
      <c r="CP84" s="123"/>
      <c r="CQ84" s="124">
        <f t="shared" si="120"/>
        <v>0</v>
      </c>
      <c r="CR84" s="123"/>
      <c r="CS84" s="124">
        <f t="shared" si="121"/>
        <v>0</v>
      </c>
      <c r="CT84" s="123"/>
      <c r="CU84" s="124">
        <f t="shared" si="122"/>
        <v>0</v>
      </c>
      <c r="CV84" s="123"/>
      <c r="CW84" s="124">
        <f t="shared" si="123"/>
        <v>0</v>
      </c>
      <c r="CX84" s="123"/>
      <c r="CY84" s="124">
        <f t="shared" si="124"/>
        <v>0</v>
      </c>
      <c r="CZ84" s="123"/>
      <c r="DA84" s="124">
        <f t="shared" si="125"/>
        <v>0</v>
      </c>
      <c r="DB84" s="123"/>
      <c r="DC84" s="124">
        <f t="shared" si="126"/>
        <v>0</v>
      </c>
      <c r="DD84" s="123"/>
      <c r="DE84" s="124">
        <f t="shared" si="126"/>
        <v>0</v>
      </c>
      <c r="DF84" s="177">
        <f t="shared" si="72"/>
        <v>0</v>
      </c>
      <c r="DG84" s="126">
        <f t="shared" si="127"/>
        <v>0</v>
      </c>
      <c r="DH84" s="123"/>
      <c r="DI84" s="124">
        <f t="shared" si="128"/>
        <v>0</v>
      </c>
      <c r="DJ84" s="123"/>
      <c r="DK84" s="124">
        <f t="shared" si="129"/>
        <v>0</v>
      </c>
      <c r="DL84" s="123"/>
      <c r="DM84" s="124">
        <f t="shared" si="130"/>
        <v>0</v>
      </c>
      <c r="DN84" s="123"/>
      <c r="DO84" s="124">
        <f t="shared" si="131"/>
        <v>0</v>
      </c>
      <c r="DP84" s="123"/>
      <c r="DQ84" s="124">
        <f t="shared" si="132"/>
        <v>0</v>
      </c>
      <c r="DR84" s="123"/>
      <c r="DS84" s="124">
        <f t="shared" si="133"/>
        <v>0</v>
      </c>
      <c r="DT84" s="123"/>
      <c r="DU84" s="124">
        <f t="shared" si="134"/>
        <v>0</v>
      </c>
      <c r="DV84" s="123"/>
      <c r="DW84" s="124">
        <f t="shared" si="135"/>
        <v>0</v>
      </c>
      <c r="DX84" s="123"/>
      <c r="DY84" s="124">
        <f t="shared" si="136"/>
        <v>0</v>
      </c>
      <c r="DZ84" s="123"/>
      <c r="EA84" s="124">
        <f t="shared" si="137"/>
        <v>0</v>
      </c>
      <c r="EB84" s="123"/>
      <c r="EC84" s="124">
        <f t="shared" si="138"/>
        <v>0</v>
      </c>
      <c r="ED84" s="123"/>
      <c r="EE84" s="124">
        <f t="shared" si="139"/>
        <v>0</v>
      </c>
      <c r="EF84" s="27">
        <f t="shared" si="73"/>
        <v>0</v>
      </c>
      <c r="EG84" s="124">
        <f t="shared" si="140"/>
        <v>0</v>
      </c>
    </row>
    <row r="85" spans="1:137" ht="18" customHeight="1" x14ac:dyDescent="0.5">
      <c r="A85" s="117"/>
      <c r="B85" s="122"/>
      <c r="C85" s="122"/>
      <c r="D85" s="117"/>
      <c r="E85" s="117"/>
      <c r="F85" s="117"/>
      <c r="G85" s="117"/>
      <c r="H85" s="123"/>
      <c r="I85" s="124">
        <f t="shared" si="74"/>
        <v>0</v>
      </c>
      <c r="J85" s="123"/>
      <c r="K85" s="124">
        <f t="shared" si="75"/>
        <v>0</v>
      </c>
      <c r="L85" s="123"/>
      <c r="M85" s="124">
        <f t="shared" si="76"/>
        <v>0</v>
      </c>
      <c r="N85" s="123"/>
      <c r="O85" s="124">
        <f t="shared" si="77"/>
        <v>0</v>
      </c>
      <c r="P85" s="123"/>
      <c r="Q85" s="124">
        <f t="shared" si="78"/>
        <v>0</v>
      </c>
      <c r="R85" s="123"/>
      <c r="S85" s="124">
        <f t="shared" si="79"/>
        <v>0</v>
      </c>
      <c r="T85" s="123"/>
      <c r="U85" s="124">
        <f t="shared" si="80"/>
        <v>0</v>
      </c>
      <c r="V85" s="123"/>
      <c r="W85" s="124">
        <f t="shared" si="81"/>
        <v>0</v>
      </c>
      <c r="X85" s="123"/>
      <c r="Y85" s="124">
        <f t="shared" si="82"/>
        <v>0</v>
      </c>
      <c r="Z85" s="123"/>
      <c r="AA85" s="124">
        <f t="shared" si="83"/>
        <v>0</v>
      </c>
      <c r="AB85" s="123"/>
      <c r="AC85" s="124">
        <f t="shared" si="84"/>
        <v>0</v>
      </c>
      <c r="AD85" s="123"/>
      <c r="AE85" s="124">
        <f t="shared" si="85"/>
        <v>0</v>
      </c>
      <c r="AF85" s="125">
        <f t="shared" si="86"/>
        <v>0</v>
      </c>
      <c r="AG85" s="126">
        <f t="shared" si="87"/>
        <v>0</v>
      </c>
      <c r="AH85" s="11"/>
      <c r="AI85" s="124">
        <f t="shared" si="88"/>
        <v>0</v>
      </c>
      <c r="AJ85" s="15"/>
      <c r="AK85" s="124">
        <f t="shared" si="89"/>
        <v>0</v>
      </c>
      <c r="AL85" s="15"/>
      <c r="AM85" s="124">
        <f t="shared" si="90"/>
        <v>0</v>
      </c>
      <c r="AN85" s="16"/>
      <c r="AO85" s="124">
        <f t="shared" si="91"/>
        <v>0</v>
      </c>
      <c r="AP85" s="15"/>
      <c r="AQ85" s="124">
        <f t="shared" si="92"/>
        <v>0</v>
      </c>
      <c r="AR85" s="15"/>
      <c r="AS85" s="124">
        <f t="shared" si="93"/>
        <v>0</v>
      </c>
      <c r="AT85" s="17"/>
      <c r="AU85" s="124">
        <f t="shared" si="94"/>
        <v>0</v>
      </c>
      <c r="AV85" s="15"/>
      <c r="AW85" s="124">
        <f t="shared" si="95"/>
        <v>0</v>
      </c>
      <c r="AX85" s="15"/>
      <c r="AY85" s="124">
        <f t="shared" si="96"/>
        <v>0</v>
      </c>
      <c r="AZ85" s="17"/>
      <c r="BA85" s="124">
        <f t="shared" si="97"/>
        <v>0</v>
      </c>
      <c r="BB85" s="33"/>
      <c r="BC85" s="124">
        <f t="shared" si="98"/>
        <v>0</v>
      </c>
      <c r="BD85" s="33"/>
      <c r="BE85" s="124">
        <f t="shared" si="99"/>
        <v>0</v>
      </c>
      <c r="BF85" s="125">
        <f t="shared" si="100"/>
        <v>0</v>
      </c>
      <c r="BG85" s="126">
        <f t="shared" si="101"/>
        <v>0</v>
      </c>
      <c r="BH85" s="123"/>
      <c r="BI85" s="124">
        <f t="shared" si="102"/>
        <v>0</v>
      </c>
      <c r="BJ85" s="123"/>
      <c r="BK85" s="124">
        <f t="shared" si="103"/>
        <v>0</v>
      </c>
      <c r="BL85" s="123"/>
      <c r="BM85" s="124">
        <f t="shared" si="104"/>
        <v>0</v>
      </c>
      <c r="BN85" s="123"/>
      <c r="BO85" s="124">
        <f t="shared" si="105"/>
        <v>0</v>
      </c>
      <c r="BP85" s="123"/>
      <c r="BQ85" s="124">
        <f t="shared" si="106"/>
        <v>0</v>
      </c>
      <c r="BR85" s="123"/>
      <c r="BS85" s="124">
        <f t="shared" si="107"/>
        <v>0</v>
      </c>
      <c r="BT85" s="123"/>
      <c r="BU85" s="124">
        <f t="shared" si="108"/>
        <v>0</v>
      </c>
      <c r="BV85" s="123"/>
      <c r="BW85" s="124">
        <f t="shared" si="109"/>
        <v>0</v>
      </c>
      <c r="BX85" s="123"/>
      <c r="BY85" s="124">
        <f t="shared" si="110"/>
        <v>0</v>
      </c>
      <c r="BZ85" s="123"/>
      <c r="CA85" s="124">
        <f t="shared" si="111"/>
        <v>0</v>
      </c>
      <c r="CB85" s="123"/>
      <c r="CC85" s="124">
        <f t="shared" si="112"/>
        <v>0</v>
      </c>
      <c r="CD85" s="123"/>
      <c r="CE85" s="124">
        <f t="shared" si="113"/>
        <v>0</v>
      </c>
      <c r="CF85" s="125">
        <f t="shared" si="114"/>
        <v>0</v>
      </c>
      <c r="CG85" s="126">
        <f t="shared" si="115"/>
        <v>0</v>
      </c>
      <c r="CH85" s="123"/>
      <c r="CI85" s="124">
        <f t="shared" si="116"/>
        <v>0</v>
      </c>
      <c r="CJ85" s="123"/>
      <c r="CK85" s="124">
        <f t="shared" si="117"/>
        <v>0</v>
      </c>
      <c r="CL85" s="123"/>
      <c r="CM85" s="124">
        <f t="shared" si="118"/>
        <v>0</v>
      </c>
      <c r="CN85" s="123"/>
      <c r="CO85" s="124">
        <f t="shared" si="119"/>
        <v>0</v>
      </c>
      <c r="CP85" s="123"/>
      <c r="CQ85" s="124">
        <f t="shared" si="120"/>
        <v>0</v>
      </c>
      <c r="CR85" s="123"/>
      <c r="CS85" s="124">
        <f t="shared" si="121"/>
        <v>0</v>
      </c>
      <c r="CT85" s="123"/>
      <c r="CU85" s="124">
        <f t="shared" si="122"/>
        <v>0</v>
      </c>
      <c r="CV85" s="123"/>
      <c r="CW85" s="124">
        <f t="shared" si="123"/>
        <v>0</v>
      </c>
      <c r="CX85" s="123"/>
      <c r="CY85" s="124">
        <f t="shared" si="124"/>
        <v>0</v>
      </c>
      <c r="CZ85" s="123"/>
      <c r="DA85" s="124">
        <f t="shared" si="125"/>
        <v>0</v>
      </c>
      <c r="DB85" s="123"/>
      <c r="DC85" s="124">
        <f t="shared" si="126"/>
        <v>0</v>
      </c>
      <c r="DD85" s="123"/>
      <c r="DE85" s="124">
        <f t="shared" si="126"/>
        <v>0</v>
      </c>
      <c r="DF85" s="177">
        <f t="shared" si="72"/>
        <v>0</v>
      </c>
      <c r="DG85" s="126">
        <f t="shared" si="127"/>
        <v>0</v>
      </c>
      <c r="DH85" s="123"/>
      <c r="DI85" s="124">
        <f t="shared" si="128"/>
        <v>0</v>
      </c>
      <c r="DJ85" s="123"/>
      <c r="DK85" s="124">
        <f t="shared" si="129"/>
        <v>0</v>
      </c>
      <c r="DL85" s="123"/>
      <c r="DM85" s="124">
        <f t="shared" si="130"/>
        <v>0</v>
      </c>
      <c r="DN85" s="123"/>
      <c r="DO85" s="124">
        <f t="shared" si="131"/>
        <v>0</v>
      </c>
      <c r="DP85" s="123"/>
      <c r="DQ85" s="124">
        <f t="shared" si="132"/>
        <v>0</v>
      </c>
      <c r="DR85" s="123"/>
      <c r="DS85" s="124">
        <f t="shared" si="133"/>
        <v>0</v>
      </c>
      <c r="DT85" s="123"/>
      <c r="DU85" s="124">
        <f t="shared" si="134"/>
        <v>0</v>
      </c>
      <c r="DV85" s="123"/>
      <c r="DW85" s="124">
        <f t="shared" si="135"/>
        <v>0</v>
      </c>
      <c r="DX85" s="123"/>
      <c r="DY85" s="124">
        <f t="shared" si="136"/>
        <v>0</v>
      </c>
      <c r="DZ85" s="123"/>
      <c r="EA85" s="124">
        <f t="shared" si="137"/>
        <v>0</v>
      </c>
      <c r="EB85" s="123"/>
      <c r="EC85" s="124">
        <f t="shared" si="138"/>
        <v>0</v>
      </c>
      <c r="ED85" s="123"/>
      <c r="EE85" s="124">
        <f t="shared" si="139"/>
        <v>0</v>
      </c>
      <c r="EF85" s="27">
        <f t="shared" si="73"/>
        <v>0</v>
      </c>
      <c r="EG85" s="124">
        <f t="shared" si="140"/>
        <v>0</v>
      </c>
    </row>
    <row r="86" spans="1:137" ht="18" customHeight="1" x14ac:dyDescent="0.5">
      <c r="A86" s="117">
        <v>69</v>
      </c>
      <c r="B86" s="122" t="s">
        <v>183</v>
      </c>
      <c r="C86" s="122" t="s">
        <v>233</v>
      </c>
      <c r="D86" s="117">
        <f>RANK(DF86,$DF$4:$DF$147)</f>
        <v>21</v>
      </c>
      <c r="E86" s="117">
        <v>1</v>
      </c>
      <c r="F86" s="117" t="s">
        <v>235</v>
      </c>
      <c r="G86" s="117"/>
      <c r="H86" s="123"/>
      <c r="I86" s="124">
        <f t="shared" si="74"/>
        <v>0</v>
      </c>
      <c r="J86" s="123"/>
      <c r="K86" s="124">
        <f t="shared" si="75"/>
        <v>0</v>
      </c>
      <c r="L86" s="123"/>
      <c r="M86" s="124">
        <f t="shared" si="76"/>
        <v>0</v>
      </c>
      <c r="N86" s="123"/>
      <c r="O86" s="124">
        <f t="shared" si="77"/>
        <v>0</v>
      </c>
      <c r="P86" s="123"/>
      <c r="Q86" s="124">
        <f t="shared" si="78"/>
        <v>0</v>
      </c>
      <c r="R86" s="123"/>
      <c r="S86" s="124">
        <f t="shared" si="79"/>
        <v>0</v>
      </c>
      <c r="T86" s="123"/>
      <c r="U86" s="124">
        <f t="shared" si="80"/>
        <v>0</v>
      </c>
      <c r="V86" s="123"/>
      <c r="W86" s="124">
        <f t="shared" si="81"/>
        <v>0</v>
      </c>
      <c r="X86" s="123"/>
      <c r="Y86" s="124">
        <f t="shared" si="82"/>
        <v>0</v>
      </c>
      <c r="Z86" s="123"/>
      <c r="AA86" s="124">
        <f t="shared" si="83"/>
        <v>0</v>
      </c>
      <c r="AB86" s="123"/>
      <c r="AC86" s="124">
        <f t="shared" si="84"/>
        <v>0</v>
      </c>
      <c r="AD86" s="123"/>
      <c r="AE86" s="124">
        <f t="shared" si="85"/>
        <v>0</v>
      </c>
      <c r="AF86" s="125">
        <f t="shared" si="86"/>
        <v>0</v>
      </c>
      <c r="AG86" s="126">
        <f t="shared" si="87"/>
        <v>0</v>
      </c>
      <c r="AH86" s="11"/>
      <c r="AI86" s="124">
        <f t="shared" si="88"/>
        <v>0</v>
      </c>
      <c r="AJ86" s="15"/>
      <c r="AK86" s="124">
        <f t="shared" si="89"/>
        <v>0</v>
      </c>
      <c r="AL86" s="15"/>
      <c r="AM86" s="124">
        <f t="shared" si="90"/>
        <v>0</v>
      </c>
      <c r="AN86" s="16"/>
      <c r="AO86" s="124">
        <f t="shared" si="91"/>
        <v>0</v>
      </c>
      <c r="AP86" s="15"/>
      <c r="AQ86" s="124">
        <f t="shared" si="92"/>
        <v>0</v>
      </c>
      <c r="AR86" s="15"/>
      <c r="AS86" s="124">
        <f t="shared" si="93"/>
        <v>0</v>
      </c>
      <c r="AT86" s="17"/>
      <c r="AU86" s="124">
        <f t="shared" si="94"/>
        <v>0</v>
      </c>
      <c r="AV86" s="15"/>
      <c r="AW86" s="124">
        <f t="shared" si="95"/>
        <v>0</v>
      </c>
      <c r="AX86" s="15"/>
      <c r="AY86" s="124">
        <f t="shared" si="96"/>
        <v>0</v>
      </c>
      <c r="AZ86" s="17"/>
      <c r="BA86" s="124">
        <f t="shared" si="97"/>
        <v>0</v>
      </c>
      <c r="BB86" s="33"/>
      <c r="BC86" s="124">
        <f t="shared" si="98"/>
        <v>0</v>
      </c>
      <c r="BD86" s="33"/>
      <c r="BE86" s="124">
        <f t="shared" si="99"/>
        <v>0</v>
      </c>
      <c r="BF86" s="125">
        <f t="shared" si="100"/>
        <v>0</v>
      </c>
      <c r="BG86" s="126">
        <f t="shared" si="101"/>
        <v>0</v>
      </c>
      <c r="BH86" s="123"/>
      <c r="BI86" s="124">
        <f t="shared" si="102"/>
        <v>0</v>
      </c>
      <c r="BJ86" s="123"/>
      <c r="BK86" s="124">
        <f t="shared" si="103"/>
        <v>0</v>
      </c>
      <c r="BL86" s="123"/>
      <c r="BM86" s="124">
        <f t="shared" si="104"/>
        <v>0</v>
      </c>
      <c r="BN86" s="123"/>
      <c r="BO86" s="124">
        <f t="shared" si="105"/>
        <v>0</v>
      </c>
      <c r="BP86" s="123"/>
      <c r="BQ86" s="124">
        <f t="shared" si="106"/>
        <v>0</v>
      </c>
      <c r="BR86" s="123"/>
      <c r="BS86" s="124">
        <f t="shared" si="107"/>
        <v>0</v>
      </c>
      <c r="BT86" s="123"/>
      <c r="BU86" s="124">
        <f t="shared" si="108"/>
        <v>0</v>
      </c>
      <c r="BV86" s="123"/>
      <c r="BW86" s="124">
        <f t="shared" si="109"/>
        <v>0</v>
      </c>
      <c r="BX86" s="123"/>
      <c r="BY86" s="124">
        <f t="shared" si="110"/>
        <v>0</v>
      </c>
      <c r="BZ86" s="123"/>
      <c r="CA86" s="124">
        <f t="shared" si="111"/>
        <v>0</v>
      </c>
      <c r="CB86" s="123"/>
      <c r="CC86" s="124">
        <f t="shared" si="112"/>
        <v>0</v>
      </c>
      <c r="CD86" s="123"/>
      <c r="CE86" s="124">
        <f t="shared" si="113"/>
        <v>0</v>
      </c>
      <c r="CF86" s="125">
        <f t="shared" si="114"/>
        <v>0</v>
      </c>
      <c r="CG86" s="126">
        <f t="shared" si="115"/>
        <v>0</v>
      </c>
      <c r="CH86" s="123"/>
      <c r="CI86" s="124">
        <f t="shared" si="116"/>
        <v>0</v>
      </c>
      <c r="CJ86" s="123"/>
      <c r="CK86" s="124">
        <f t="shared" si="117"/>
        <v>0</v>
      </c>
      <c r="CL86" s="123"/>
      <c r="CM86" s="124">
        <f t="shared" si="118"/>
        <v>0</v>
      </c>
      <c r="CN86" s="123"/>
      <c r="CO86" s="124">
        <f t="shared" si="119"/>
        <v>0</v>
      </c>
      <c r="CP86" s="123"/>
      <c r="CQ86" s="124">
        <f t="shared" si="120"/>
        <v>0</v>
      </c>
      <c r="CR86" s="123"/>
      <c r="CS86" s="124">
        <f t="shared" si="121"/>
        <v>0</v>
      </c>
      <c r="CT86" s="123"/>
      <c r="CU86" s="124">
        <f t="shared" si="122"/>
        <v>0</v>
      </c>
      <c r="CV86" s="123"/>
      <c r="CW86" s="124">
        <f t="shared" si="123"/>
        <v>0</v>
      </c>
      <c r="CX86" s="123"/>
      <c r="CY86" s="124">
        <f t="shared" si="124"/>
        <v>0</v>
      </c>
      <c r="CZ86" s="123"/>
      <c r="DA86" s="124">
        <f t="shared" si="125"/>
        <v>0</v>
      </c>
      <c r="DB86" s="123"/>
      <c r="DC86" s="124">
        <f t="shared" si="126"/>
        <v>0</v>
      </c>
      <c r="DD86" s="123"/>
      <c r="DE86" s="124">
        <f t="shared" si="126"/>
        <v>0</v>
      </c>
      <c r="DF86" s="177">
        <f t="shared" si="72"/>
        <v>0</v>
      </c>
      <c r="DG86" s="126">
        <f t="shared" si="127"/>
        <v>0</v>
      </c>
      <c r="DH86" s="123"/>
      <c r="DI86" s="124">
        <f t="shared" si="128"/>
        <v>0</v>
      </c>
      <c r="DJ86" s="123"/>
      <c r="DK86" s="124">
        <f t="shared" si="129"/>
        <v>0</v>
      </c>
      <c r="DL86" s="123"/>
      <c r="DM86" s="124">
        <f t="shared" si="130"/>
        <v>0</v>
      </c>
      <c r="DN86" s="123"/>
      <c r="DO86" s="124">
        <f t="shared" si="131"/>
        <v>0</v>
      </c>
      <c r="DP86" s="123"/>
      <c r="DQ86" s="124">
        <f t="shared" si="132"/>
        <v>0</v>
      </c>
      <c r="DR86" s="123"/>
      <c r="DS86" s="124">
        <f t="shared" si="133"/>
        <v>0</v>
      </c>
      <c r="DT86" s="123"/>
      <c r="DU86" s="124">
        <f t="shared" si="134"/>
        <v>0</v>
      </c>
      <c r="DV86" s="123"/>
      <c r="DW86" s="124">
        <f t="shared" si="135"/>
        <v>0</v>
      </c>
      <c r="DX86" s="123"/>
      <c r="DY86" s="124">
        <f t="shared" si="136"/>
        <v>0</v>
      </c>
      <c r="DZ86" s="123"/>
      <c r="EA86" s="124">
        <f t="shared" si="137"/>
        <v>0</v>
      </c>
      <c r="EB86" s="123"/>
      <c r="EC86" s="124">
        <f t="shared" si="138"/>
        <v>0</v>
      </c>
      <c r="ED86" s="123"/>
      <c r="EE86" s="124">
        <f t="shared" si="139"/>
        <v>0</v>
      </c>
      <c r="EF86" s="27">
        <f t="shared" si="73"/>
        <v>0</v>
      </c>
      <c r="EG86" s="124">
        <f t="shared" si="140"/>
        <v>0</v>
      </c>
    </row>
    <row r="87" spans="1:137" ht="18" customHeight="1" x14ac:dyDescent="0.5">
      <c r="A87" s="117">
        <v>70</v>
      </c>
      <c r="B87" s="122" t="s">
        <v>184</v>
      </c>
      <c r="C87" s="122" t="s">
        <v>233</v>
      </c>
      <c r="D87" s="117">
        <f>RANK(DF87,$DF$4:$DF$147)</f>
        <v>21</v>
      </c>
      <c r="E87" s="117">
        <v>1</v>
      </c>
      <c r="F87" s="117" t="s">
        <v>235</v>
      </c>
      <c r="G87" s="117"/>
      <c r="H87" s="123"/>
      <c r="I87" s="124">
        <f t="shared" si="74"/>
        <v>0</v>
      </c>
      <c r="J87" s="123"/>
      <c r="K87" s="124">
        <f t="shared" si="75"/>
        <v>0</v>
      </c>
      <c r="L87" s="123"/>
      <c r="M87" s="124">
        <f t="shared" si="76"/>
        <v>0</v>
      </c>
      <c r="N87" s="123"/>
      <c r="O87" s="124">
        <f t="shared" si="77"/>
        <v>0</v>
      </c>
      <c r="P87" s="123"/>
      <c r="Q87" s="124">
        <f t="shared" si="78"/>
        <v>0</v>
      </c>
      <c r="R87" s="123"/>
      <c r="S87" s="124">
        <f t="shared" si="79"/>
        <v>0</v>
      </c>
      <c r="T87" s="123"/>
      <c r="U87" s="124">
        <f t="shared" si="80"/>
        <v>0</v>
      </c>
      <c r="V87" s="123"/>
      <c r="W87" s="124">
        <f t="shared" si="81"/>
        <v>0</v>
      </c>
      <c r="X87" s="123"/>
      <c r="Y87" s="124">
        <f t="shared" si="82"/>
        <v>0</v>
      </c>
      <c r="Z87" s="123"/>
      <c r="AA87" s="124">
        <f t="shared" si="83"/>
        <v>0</v>
      </c>
      <c r="AB87" s="123"/>
      <c r="AC87" s="124">
        <f t="shared" si="84"/>
        <v>0</v>
      </c>
      <c r="AD87" s="123"/>
      <c r="AE87" s="124">
        <f t="shared" si="85"/>
        <v>0</v>
      </c>
      <c r="AF87" s="125">
        <f t="shared" si="86"/>
        <v>0</v>
      </c>
      <c r="AG87" s="126">
        <f t="shared" si="87"/>
        <v>0</v>
      </c>
      <c r="AH87" s="11"/>
      <c r="AI87" s="124">
        <f t="shared" si="88"/>
        <v>0</v>
      </c>
      <c r="AJ87" s="15"/>
      <c r="AK87" s="124">
        <f t="shared" si="89"/>
        <v>0</v>
      </c>
      <c r="AL87" s="15"/>
      <c r="AM87" s="124">
        <f t="shared" si="90"/>
        <v>0</v>
      </c>
      <c r="AN87" s="16"/>
      <c r="AO87" s="124">
        <f t="shared" si="91"/>
        <v>0</v>
      </c>
      <c r="AP87" s="15"/>
      <c r="AQ87" s="124">
        <f t="shared" si="92"/>
        <v>0</v>
      </c>
      <c r="AR87" s="15"/>
      <c r="AS87" s="124">
        <f t="shared" si="93"/>
        <v>0</v>
      </c>
      <c r="AT87" s="17"/>
      <c r="AU87" s="124">
        <f t="shared" si="94"/>
        <v>0</v>
      </c>
      <c r="AV87" s="15"/>
      <c r="AW87" s="124">
        <f t="shared" si="95"/>
        <v>0</v>
      </c>
      <c r="AX87" s="15"/>
      <c r="AY87" s="124">
        <f t="shared" si="96"/>
        <v>0</v>
      </c>
      <c r="AZ87" s="17"/>
      <c r="BA87" s="124">
        <f t="shared" si="97"/>
        <v>0</v>
      </c>
      <c r="BB87" s="33"/>
      <c r="BC87" s="124">
        <f t="shared" si="98"/>
        <v>0</v>
      </c>
      <c r="BD87" s="33"/>
      <c r="BE87" s="124">
        <f t="shared" si="99"/>
        <v>0</v>
      </c>
      <c r="BF87" s="125">
        <f t="shared" si="100"/>
        <v>0</v>
      </c>
      <c r="BG87" s="126">
        <f t="shared" si="101"/>
        <v>0</v>
      </c>
      <c r="BH87" s="123"/>
      <c r="BI87" s="124">
        <f t="shared" si="102"/>
        <v>0</v>
      </c>
      <c r="BJ87" s="123"/>
      <c r="BK87" s="124">
        <f t="shared" si="103"/>
        <v>0</v>
      </c>
      <c r="BL87" s="123"/>
      <c r="BM87" s="124">
        <f t="shared" si="104"/>
        <v>0</v>
      </c>
      <c r="BN87" s="123"/>
      <c r="BO87" s="124">
        <f t="shared" si="105"/>
        <v>0</v>
      </c>
      <c r="BP87" s="123"/>
      <c r="BQ87" s="124">
        <f t="shared" si="106"/>
        <v>0</v>
      </c>
      <c r="BR87" s="123"/>
      <c r="BS87" s="124">
        <f t="shared" si="107"/>
        <v>0</v>
      </c>
      <c r="BT87" s="123"/>
      <c r="BU87" s="124">
        <f t="shared" si="108"/>
        <v>0</v>
      </c>
      <c r="BV87" s="123"/>
      <c r="BW87" s="124">
        <f t="shared" si="109"/>
        <v>0</v>
      </c>
      <c r="BX87" s="123"/>
      <c r="BY87" s="124">
        <f t="shared" si="110"/>
        <v>0</v>
      </c>
      <c r="BZ87" s="123"/>
      <c r="CA87" s="124">
        <f t="shared" si="111"/>
        <v>0</v>
      </c>
      <c r="CB87" s="123"/>
      <c r="CC87" s="124">
        <f t="shared" si="112"/>
        <v>0</v>
      </c>
      <c r="CD87" s="123"/>
      <c r="CE87" s="124">
        <f t="shared" si="113"/>
        <v>0</v>
      </c>
      <c r="CF87" s="125">
        <f t="shared" si="114"/>
        <v>0</v>
      </c>
      <c r="CG87" s="126">
        <f t="shared" si="115"/>
        <v>0</v>
      </c>
      <c r="CH87" s="123"/>
      <c r="CI87" s="124">
        <f t="shared" si="116"/>
        <v>0</v>
      </c>
      <c r="CJ87" s="123"/>
      <c r="CK87" s="124">
        <f t="shared" si="117"/>
        <v>0</v>
      </c>
      <c r="CL87" s="123"/>
      <c r="CM87" s="124">
        <f t="shared" si="118"/>
        <v>0</v>
      </c>
      <c r="CN87" s="123"/>
      <c r="CO87" s="124">
        <f t="shared" si="119"/>
        <v>0</v>
      </c>
      <c r="CP87" s="123"/>
      <c r="CQ87" s="124">
        <f t="shared" si="120"/>
        <v>0</v>
      </c>
      <c r="CR87" s="123"/>
      <c r="CS87" s="124">
        <f t="shared" si="121"/>
        <v>0</v>
      </c>
      <c r="CT87" s="123"/>
      <c r="CU87" s="124">
        <f t="shared" si="122"/>
        <v>0</v>
      </c>
      <c r="CV87" s="123"/>
      <c r="CW87" s="124">
        <f t="shared" si="123"/>
        <v>0</v>
      </c>
      <c r="CX87" s="123"/>
      <c r="CY87" s="124">
        <f t="shared" si="124"/>
        <v>0</v>
      </c>
      <c r="CZ87" s="123"/>
      <c r="DA87" s="124">
        <f t="shared" si="125"/>
        <v>0</v>
      </c>
      <c r="DB87" s="123"/>
      <c r="DC87" s="124">
        <f t="shared" si="126"/>
        <v>0</v>
      </c>
      <c r="DD87" s="123"/>
      <c r="DE87" s="124">
        <f t="shared" si="126"/>
        <v>0</v>
      </c>
      <c r="DF87" s="177">
        <f t="shared" si="72"/>
        <v>0</v>
      </c>
      <c r="DG87" s="126">
        <f t="shared" si="127"/>
        <v>0</v>
      </c>
      <c r="DH87" s="123"/>
      <c r="DI87" s="124">
        <f t="shared" si="128"/>
        <v>0</v>
      </c>
      <c r="DJ87" s="123"/>
      <c r="DK87" s="124">
        <f t="shared" si="129"/>
        <v>0</v>
      </c>
      <c r="DL87" s="123"/>
      <c r="DM87" s="124">
        <f t="shared" si="130"/>
        <v>0</v>
      </c>
      <c r="DN87" s="123"/>
      <c r="DO87" s="124">
        <f t="shared" si="131"/>
        <v>0</v>
      </c>
      <c r="DP87" s="123"/>
      <c r="DQ87" s="124">
        <f t="shared" si="132"/>
        <v>0</v>
      </c>
      <c r="DR87" s="123"/>
      <c r="DS87" s="124">
        <f t="shared" si="133"/>
        <v>0</v>
      </c>
      <c r="DT87" s="123"/>
      <c r="DU87" s="124">
        <f t="shared" si="134"/>
        <v>0</v>
      </c>
      <c r="DV87" s="123"/>
      <c r="DW87" s="124">
        <f t="shared" si="135"/>
        <v>0</v>
      </c>
      <c r="DX87" s="123"/>
      <c r="DY87" s="124">
        <f t="shared" si="136"/>
        <v>0</v>
      </c>
      <c r="DZ87" s="123"/>
      <c r="EA87" s="124">
        <f t="shared" si="137"/>
        <v>0</v>
      </c>
      <c r="EB87" s="123"/>
      <c r="EC87" s="124">
        <f t="shared" si="138"/>
        <v>0</v>
      </c>
      <c r="ED87" s="123"/>
      <c r="EE87" s="124">
        <f t="shared" si="139"/>
        <v>0</v>
      </c>
      <c r="EF87" s="27">
        <f t="shared" si="73"/>
        <v>0</v>
      </c>
      <c r="EG87" s="124">
        <f t="shared" si="140"/>
        <v>0</v>
      </c>
    </row>
    <row r="88" spans="1:137" ht="18" customHeight="1" x14ac:dyDescent="0.5">
      <c r="A88" s="117">
        <v>71</v>
      </c>
      <c r="B88" s="122" t="s">
        <v>185</v>
      </c>
      <c r="C88" s="122" t="s">
        <v>233</v>
      </c>
      <c r="D88" s="117">
        <f>RANK(DF88,$DF$4:$DF$147)</f>
        <v>21</v>
      </c>
      <c r="E88" s="117">
        <v>1</v>
      </c>
      <c r="F88" s="117" t="s">
        <v>232</v>
      </c>
      <c r="G88" s="117"/>
      <c r="H88" s="123"/>
      <c r="I88" s="124">
        <f t="shared" si="74"/>
        <v>0</v>
      </c>
      <c r="J88" s="123"/>
      <c r="K88" s="124">
        <f t="shared" si="75"/>
        <v>0</v>
      </c>
      <c r="L88" s="123"/>
      <c r="M88" s="124">
        <f t="shared" si="76"/>
        <v>0</v>
      </c>
      <c r="N88" s="123"/>
      <c r="O88" s="124">
        <f t="shared" si="77"/>
        <v>0</v>
      </c>
      <c r="P88" s="123"/>
      <c r="Q88" s="124">
        <f t="shared" si="78"/>
        <v>0</v>
      </c>
      <c r="R88" s="123"/>
      <c r="S88" s="124">
        <f t="shared" si="79"/>
        <v>0</v>
      </c>
      <c r="T88" s="123"/>
      <c r="U88" s="124">
        <f t="shared" si="80"/>
        <v>0</v>
      </c>
      <c r="V88" s="123"/>
      <c r="W88" s="124">
        <f t="shared" si="81"/>
        <v>0</v>
      </c>
      <c r="X88" s="123"/>
      <c r="Y88" s="124">
        <f t="shared" si="82"/>
        <v>0</v>
      </c>
      <c r="Z88" s="123"/>
      <c r="AA88" s="124">
        <f t="shared" si="83"/>
        <v>0</v>
      </c>
      <c r="AB88" s="123"/>
      <c r="AC88" s="124">
        <f t="shared" si="84"/>
        <v>0</v>
      </c>
      <c r="AD88" s="123"/>
      <c r="AE88" s="124">
        <f t="shared" si="85"/>
        <v>0</v>
      </c>
      <c r="AF88" s="125">
        <f t="shared" si="86"/>
        <v>0</v>
      </c>
      <c r="AG88" s="126">
        <f t="shared" si="87"/>
        <v>0</v>
      </c>
      <c r="AH88" s="11"/>
      <c r="AI88" s="124">
        <f t="shared" si="88"/>
        <v>0</v>
      </c>
      <c r="AJ88" s="15"/>
      <c r="AK88" s="124">
        <f t="shared" si="89"/>
        <v>0</v>
      </c>
      <c r="AL88" s="15"/>
      <c r="AM88" s="124">
        <f t="shared" si="90"/>
        <v>0</v>
      </c>
      <c r="AN88" s="16"/>
      <c r="AO88" s="124">
        <f t="shared" si="91"/>
        <v>0</v>
      </c>
      <c r="AP88" s="15"/>
      <c r="AQ88" s="124">
        <f t="shared" si="92"/>
        <v>0</v>
      </c>
      <c r="AR88" s="15"/>
      <c r="AS88" s="124">
        <f t="shared" si="93"/>
        <v>0</v>
      </c>
      <c r="AT88" s="17"/>
      <c r="AU88" s="124">
        <f t="shared" si="94"/>
        <v>0</v>
      </c>
      <c r="AV88" s="15"/>
      <c r="AW88" s="124">
        <f t="shared" si="95"/>
        <v>0</v>
      </c>
      <c r="AX88" s="15"/>
      <c r="AY88" s="124">
        <f t="shared" si="96"/>
        <v>0</v>
      </c>
      <c r="AZ88" s="17"/>
      <c r="BA88" s="124">
        <f t="shared" si="97"/>
        <v>0</v>
      </c>
      <c r="BB88" s="33"/>
      <c r="BC88" s="124">
        <f t="shared" si="98"/>
        <v>0</v>
      </c>
      <c r="BD88" s="33"/>
      <c r="BE88" s="124">
        <f t="shared" si="99"/>
        <v>0</v>
      </c>
      <c r="BF88" s="125">
        <f t="shared" si="100"/>
        <v>0</v>
      </c>
      <c r="BG88" s="126">
        <f t="shared" si="101"/>
        <v>0</v>
      </c>
      <c r="BH88" s="123"/>
      <c r="BI88" s="124">
        <f t="shared" si="102"/>
        <v>0</v>
      </c>
      <c r="BJ88" s="123"/>
      <c r="BK88" s="124">
        <f t="shared" si="103"/>
        <v>0</v>
      </c>
      <c r="BL88" s="123"/>
      <c r="BM88" s="124">
        <f t="shared" si="104"/>
        <v>0</v>
      </c>
      <c r="BN88" s="123"/>
      <c r="BO88" s="124">
        <f t="shared" si="105"/>
        <v>0</v>
      </c>
      <c r="BP88" s="123"/>
      <c r="BQ88" s="124">
        <f t="shared" si="106"/>
        <v>0</v>
      </c>
      <c r="BR88" s="123"/>
      <c r="BS88" s="124">
        <f t="shared" si="107"/>
        <v>0</v>
      </c>
      <c r="BT88" s="123"/>
      <c r="BU88" s="124">
        <f t="shared" si="108"/>
        <v>0</v>
      </c>
      <c r="BV88" s="123"/>
      <c r="BW88" s="124">
        <f t="shared" si="109"/>
        <v>0</v>
      </c>
      <c r="BX88" s="123"/>
      <c r="BY88" s="124">
        <f t="shared" si="110"/>
        <v>0</v>
      </c>
      <c r="BZ88" s="123"/>
      <c r="CA88" s="124">
        <f t="shared" si="111"/>
        <v>0</v>
      </c>
      <c r="CB88" s="123"/>
      <c r="CC88" s="124">
        <f t="shared" si="112"/>
        <v>0</v>
      </c>
      <c r="CD88" s="123"/>
      <c r="CE88" s="124">
        <f t="shared" si="113"/>
        <v>0</v>
      </c>
      <c r="CF88" s="125">
        <f t="shared" si="114"/>
        <v>0</v>
      </c>
      <c r="CG88" s="126">
        <f t="shared" si="115"/>
        <v>0</v>
      </c>
      <c r="CH88" s="123"/>
      <c r="CI88" s="124">
        <f t="shared" si="116"/>
        <v>0</v>
      </c>
      <c r="CJ88" s="123"/>
      <c r="CK88" s="124">
        <f t="shared" si="117"/>
        <v>0</v>
      </c>
      <c r="CL88" s="123"/>
      <c r="CM88" s="124">
        <f t="shared" si="118"/>
        <v>0</v>
      </c>
      <c r="CN88" s="123"/>
      <c r="CO88" s="124">
        <f t="shared" si="119"/>
        <v>0</v>
      </c>
      <c r="CP88" s="123"/>
      <c r="CQ88" s="124">
        <f t="shared" si="120"/>
        <v>0</v>
      </c>
      <c r="CR88" s="123"/>
      <c r="CS88" s="124">
        <f t="shared" si="121"/>
        <v>0</v>
      </c>
      <c r="CT88" s="123"/>
      <c r="CU88" s="124">
        <f t="shared" si="122"/>
        <v>0</v>
      </c>
      <c r="CV88" s="123"/>
      <c r="CW88" s="124">
        <f t="shared" si="123"/>
        <v>0</v>
      </c>
      <c r="CX88" s="123"/>
      <c r="CY88" s="124">
        <f t="shared" si="124"/>
        <v>0</v>
      </c>
      <c r="CZ88" s="123"/>
      <c r="DA88" s="124">
        <f t="shared" si="125"/>
        <v>0</v>
      </c>
      <c r="DB88" s="123"/>
      <c r="DC88" s="124">
        <f t="shared" si="126"/>
        <v>0</v>
      </c>
      <c r="DD88" s="123"/>
      <c r="DE88" s="124">
        <f t="shared" si="126"/>
        <v>0</v>
      </c>
      <c r="DF88" s="177">
        <f t="shared" si="72"/>
        <v>0</v>
      </c>
      <c r="DG88" s="126">
        <f t="shared" si="127"/>
        <v>0</v>
      </c>
      <c r="DH88" s="123"/>
      <c r="DI88" s="124">
        <f t="shared" si="128"/>
        <v>0</v>
      </c>
      <c r="DJ88" s="123"/>
      <c r="DK88" s="124">
        <f t="shared" si="129"/>
        <v>0</v>
      </c>
      <c r="DL88" s="123"/>
      <c r="DM88" s="124">
        <f t="shared" si="130"/>
        <v>0</v>
      </c>
      <c r="DN88" s="123"/>
      <c r="DO88" s="124">
        <f t="shared" si="131"/>
        <v>0</v>
      </c>
      <c r="DP88" s="123"/>
      <c r="DQ88" s="124">
        <f t="shared" si="132"/>
        <v>0</v>
      </c>
      <c r="DR88" s="123"/>
      <c r="DS88" s="124">
        <f t="shared" si="133"/>
        <v>0</v>
      </c>
      <c r="DT88" s="123"/>
      <c r="DU88" s="124">
        <f t="shared" si="134"/>
        <v>0</v>
      </c>
      <c r="DV88" s="123"/>
      <c r="DW88" s="124">
        <f t="shared" si="135"/>
        <v>0</v>
      </c>
      <c r="DX88" s="123"/>
      <c r="DY88" s="124">
        <f t="shared" si="136"/>
        <v>0</v>
      </c>
      <c r="DZ88" s="123"/>
      <c r="EA88" s="124">
        <f t="shared" si="137"/>
        <v>0</v>
      </c>
      <c r="EB88" s="123"/>
      <c r="EC88" s="124">
        <f t="shared" si="138"/>
        <v>0</v>
      </c>
      <c r="ED88" s="123"/>
      <c r="EE88" s="124">
        <f t="shared" si="139"/>
        <v>0</v>
      </c>
      <c r="EF88" s="27">
        <f t="shared" si="73"/>
        <v>0</v>
      </c>
      <c r="EG88" s="124">
        <f t="shared" si="140"/>
        <v>0</v>
      </c>
    </row>
    <row r="89" spans="1:137" ht="18" customHeight="1" x14ac:dyDescent="0.5">
      <c r="A89" s="117">
        <v>72</v>
      </c>
      <c r="B89" s="122" t="s">
        <v>186</v>
      </c>
      <c r="C89" s="122" t="s">
        <v>233</v>
      </c>
      <c r="D89" s="117">
        <f>RANK(DF89,$DF$4:$DF$147)</f>
        <v>21</v>
      </c>
      <c r="E89" s="117">
        <v>0.6</v>
      </c>
      <c r="F89" s="117" t="s">
        <v>235</v>
      </c>
      <c r="G89" s="117"/>
      <c r="H89" s="123"/>
      <c r="I89" s="124">
        <f t="shared" si="74"/>
        <v>0</v>
      </c>
      <c r="J89" s="123"/>
      <c r="K89" s="124">
        <f t="shared" si="75"/>
        <v>0</v>
      </c>
      <c r="L89" s="123"/>
      <c r="M89" s="124">
        <f t="shared" si="76"/>
        <v>0</v>
      </c>
      <c r="N89" s="123"/>
      <c r="O89" s="124">
        <f t="shared" si="77"/>
        <v>0</v>
      </c>
      <c r="P89" s="123"/>
      <c r="Q89" s="124">
        <f t="shared" si="78"/>
        <v>0</v>
      </c>
      <c r="R89" s="123"/>
      <c r="S89" s="124">
        <f t="shared" si="79"/>
        <v>0</v>
      </c>
      <c r="T89" s="123"/>
      <c r="U89" s="124">
        <f t="shared" si="80"/>
        <v>0</v>
      </c>
      <c r="V89" s="123"/>
      <c r="W89" s="124">
        <f t="shared" si="81"/>
        <v>0</v>
      </c>
      <c r="X89" s="123"/>
      <c r="Y89" s="124">
        <f t="shared" si="82"/>
        <v>0</v>
      </c>
      <c r="Z89" s="123"/>
      <c r="AA89" s="124">
        <f t="shared" si="83"/>
        <v>0</v>
      </c>
      <c r="AB89" s="123"/>
      <c r="AC89" s="124">
        <f t="shared" si="84"/>
        <v>0</v>
      </c>
      <c r="AD89" s="123"/>
      <c r="AE89" s="124">
        <f t="shared" si="85"/>
        <v>0</v>
      </c>
      <c r="AF89" s="125">
        <f t="shared" si="86"/>
        <v>0</v>
      </c>
      <c r="AG89" s="126">
        <f t="shared" si="87"/>
        <v>0</v>
      </c>
      <c r="AH89" s="11"/>
      <c r="AI89" s="124">
        <f t="shared" si="88"/>
        <v>0</v>
      </c>
      <c r="AJ89" s="15"/>
      <c r="AK89" s="124">
        <f t="shared" si="89"/>
        <v>0</v>
      </c>
      <c r="AL89" s="15"/>
      <c r="AM89" s="124">
        <f t="shared" si="90"/>
        <v>0</v>
      </c>
      <c r="AN89" s="16"/>
      <c r="AO89" s="124">
        <f t="shared" si="91"/>
        <v>0</v>
      </c>
      <c r="AP89" s="15"/>
      <c r="AQ89" s="124">
        <f t="shared" si="92"/>
        <v>0</v>
      </c>
      <c r="AR89" s="15"/>
      <c r="AS89" s="124">
        <f t="shared" si="93"/>
        <v>0</v>
      </c>
      <c r="AT89" s="17"/>
      <c r="AU89" s="124">
        <f t="shared" si="94"/>
        <v>0</v>
      </c>
      <c r="AV89" s="15"/>
      <c r="AW89" s="124">
        <f t="shared" si="95"/>
        <v>0</v>
      </c>
      <c r="AX89" s="15"/>
      <c r="AY89" s="124">
        <f t="shared" si="96"/>
        <v>0</v>
      </c>
      <c r="AZ89" s="17"/>
      <c r="BA89" s="124">
        <f t="shared" si="97"/>
        <v>0</v>
      </c>
      <c r="BB89" s="33"/>
      <c r="BC89" s="124">
        <f t="shared" si="98"/>
        <v>0</v>
      </c>
      <c r="BD89" s="33"/>
      <c r="BE89" s="124">
        <f t="shared" si="99"/>
        <v>0</v>
      </c>
      <c r="BF89" s="125">
        <f t="shared" si="100"/>
        <v>0</v>
      </c>
      <c r="BG89" s="126">
        <f t="shared" si="101"/>
        <v>0</v>
      </c>
      <c r="BH89" s="123"/>
      <c r="BI89" s="124">
        <f t="shared" si="102"/>
        <v>0</v>
      </c>
      <c r="BJ89" s="123"/>
      <c r="BK89" s="124">
        <f t="shared" si="103"/>
        <v>0</v>
      </c>
      <c r="BL89" s="123"/>
      <c r="BM89" s="124">
        <f t="shared" si="104"/>
        <v>0</v>
      </c>
      <c r="BN89" s="123"/>
      <c r="BO89" s="124">
        <f t="shared" si="105"/>
        <v>0</v>
      </c>
      <c r="BP89" s="123"/>
      <c r="BQ89" s="124">
        <f t="shared" si="106"/>
        <v>0</v>
      </c>
      <c r="BR89" s="123"/>
      <c r="BS89" s="124">
        <f t="shared" si="107"/>
        <v>0</v>
      </c>
      <c r="BT89" s="123"/>
      <c r="BU89" s="124">
        <f t="shared" si="108"/>
        <v>0</v>
      </c>
      <c r="BV89" s="123"/>
      <c r="BW89" s="124">
        <f t="shared" si="109"/>
        <v>0</v>
      </c>
      <c r="BX89" s="123"/>
      <c r="BY89" s="124">
        <f t="shared" si="110"/>
        <v>0</v>
      </c>
      <c r="BZ89" s="123"/>
      <c r="CA89" s="124">
        <f t="shared" si="111"/>
        <v>0</v>
      </c>
      <c r="CB89" s="123"/>
      <c r="CC89" s="124">
        <f t="shared" si="112"/>
        <v>0</v>
      </c>
      <c r="CD89" s="123"/>
      <c r="CE89" s="124">
        <f t="shared" si="113"/>
        <v>0</v>
      </c>
      <c r="CF89" s="125">
        <f t="shared" si="114"/>
        <v>0</v>
      </c>
      <c r="CG89" s="126">
        <f t="shared" si="115"/>
        <v>0</v>
      </c>
      <c r="CH89" s="123"/>
      <c r="CI89" s="124">
        <f t="shared" si="116"/>
        <v>0</v>
      </c>
      <c r="CJ89" s="123"/>
      <c r="CK89" s="124">
        <f t="shared" si="117"/>
        <v>0</v>
      </c>
      <c r="CL89" s="123"/>
      <c r="CM89" s="124">
        <f t="shared" si="118"/>
        <v>0</v>
      </c>
      <c r="CN89" s="123"/>
      <c r="CO89" s="124">
        <f t="shared" si="119"/>
        <v>0</v>
      </c>
      <c r="CP89" s="123"/>
      <c r="CQ89" s="124">
        <f t="shared" si="120"/>
        <v>0</v>
      </c>
      <c r="CR89" s="123"/>
      <c r="CS89" s="124">
        <f t="shared" si="121"/>
        <v>0</v>
      </c>
      <c r="CT89" s="123"/>
      <c r="CU89" s="124">
        <f t="shared" si="122"/>
        <v>0</v>
      </c>
      <c r="CV89" s="123"/>
      <c r="CW89" s="124">
        <f t="shared" si="123"/>
        <v>0</v>
      </c>
      <c r="CX89" s="123"/>
      <c r="CY89" s="124">
        <f t="shared" si="124"/>
        <v>0</v>
      </c>
      <c r="CZ89" s="123"/>
      <c r="DA89" s="124">
        <f t="shared" si="125"/>
        <v>0</v>
      </c>
      <c r="DB89" s="123"/>
      <c r="DC89" s="124">
        <f t="shared" si="126"/>
        <v>0</v>
      </c>
      <c r="DD89" s="123"/>
      <c r="DE89" s="124">
        <f t="shared" si="126"/>
        <v>0</v>
      </c>
      <c r="DF89" s="177">
        <f t="shared" si="72"/>
        <v>0</v>
      </c>
      <c r="DG89" s="126">
        <f t="shared" si="127"/>
        <v>0</v>
      </c>
      <c r="DH89" s="123"/>
      <c r="DI89" s="124">
        <f t="shared" si="128"/>
        <v>0</v>
      </c>
      <c r="DJ89" s="123"/>
      <c r="DK89" s="124">
        <f t="shared" si="129"/>
        <v>0</v>
      </c>
      <c r="DL89" s="123"/>
      <c r="DM89" s="124">
        <f t="shared" si="130"/>
        <v>0</v>
      </c>
      <c r="DN89" s="123"/>
      <c r="DO89" s="124">
        <f t="shared" si="131"/>
        <v>0</v>
      </c>
      <c r="DP89" s="123"/>
      <c r="DQ89" s="124">
        <f t="shared" si="132"/>
        <v>0</v>
      </c>
      <c r="DR89" s="123"/>
      <c r="DS89" s="124">
        <f t="shared" si="133"/>
        <v>0</v>
      </c>
      <c r="DT89" s="123"/>
      <c r="DU89" s="124">
        <f t="shared" si="134"/>
        <v>0</v>
      </c>
      <c r="DV89" s="123"/>
      <c r="DW89" s="124">
        <f t="shared" si="135"/>
        <v>0</v>
      </c>
      <c r="DX89" s="123"/>
      <c r="DY89" s="124">
        <f t="shared" si="136"/>
        <v>0</v>
      </c>
      <c r="DZ89" s="123"/>
      <c r="EA89" s="124">
        <f t="shared" si="137"/>
        <v>0</v>
      </c>
      <c r="EB89" s="123"/>
      <c r="EC89" s="124">
        <f t="shared" si="138"/>
        <v>0</v>
      </c>
      <c r="ED89" s="123"/>
      <c r="EE89" s="124">
        <f t="shared" si="139"/>
        <v>0</v>
      </c>
      <c r="EF89" s="27">
        <f t="shared" si="73"/>
        <v>0</v>
      </c>
      <c r="EG89" s="124">
        <f t="shared" si="140"/>
        <v>0</v>
      </c>
    </row>
    <row r="90" spans="1:137" ht="18" customHeight="1" x14ac:dyDescent="0.5">
      <c r="A90" s="117">
        <v>73</v>
      </c>
      <c r="B90" s="122" t="s">
        <v>187</v>
      </c>
      <c r="C90" s="122" t="s">
        <v>231</v>
      </c>
      <c r="D90" s="117">
        <f>RANK(DF90,$DF$4:$DF$147)</f>
        <v>21</v>
      </c>
      <c r="E90" s="117">
        <v>0.64</v>
      </c>
      <c r="F90" s="117" t="s">
        <v>236</v>
      </c>
      <c r="G90" s="117"/>
      <c r="H90" s="123"/>
      <c r="I90" s="124">
        <f t="shared" si="74"/>
        <v>0</v>
      </c>
      <c r="J90" s="123"/>
      <c r="K90" s="124">
        <f t="shared" si="75"/>
        <v>0</v>
      </c>
      <c r="L90" s="123"/>
      <c r="M90" s="124">
        <f t="shared" si="76"/>
        <v>0</v>
      </c>
      <c r="N90" s="123"/>
      <c r="O90" s="124">
        <f t="shared" si="77"/>
        <v>0</v>
      </c>
      <c r="P90" s="123"/>
      <c r="Q90" s="124">
        <f t="shared" si="78"/>
        <v>0</v>
      </c>
      <c r="R90" s="123"/>
      <c r="S90" s="124">
        <f t="shared" si="79"/>
        <v>0</v>
      </c>
      <c r="T90" s="123"/>
      <c r="U90" s="124">
        <f t="shared" si="80"/>
        <v>0</v>
      </c>
      <c r="V90" s="123"/>
      <c r="W90" s="124">
        <f t="shared" si="81"/>
        <v>0</v>
      </c>
      <c r="X90" s="123"/>
      <c r="Y90" s="124">
        <f t="shared" si="82"/>
        <v>0</v>
      </c>
      <c r="Z90" s="123"/>
      <c r="AA90" s="124">
        <f t="shared" si="83"/>
        <v>0</v>
      </c>
      <c r="AB90" s="123"/>
      <c r="AC90" s="124">
        <f t="shared" si="84"/>
        <v>0</v>
      </c>
      <c r="AD90" s="123"/>
      <c r="AE90" s="124">
        <f t="shared" si="85"/>
        <v>0</v>
      </c>
      <c r="AF90" s="125">
        <f t="shared" si="86"/>
        <v>0</v>
      </c>
      <c r="AG90" s="126">
        <f t="shared" si="87"/>
        <v>0</v>
      </c>
      <c r="AH90" s="11"/>
      <c r="AI90" s="124">
        <f t="shared" si="88"/>
        <v>0</v>
      </c>
      <c r="AJ90" s="15"/>
      <c r="AK90" s="124">
        <f t="shared" si="89"/>
        <v>0</v>
      </c>
      <c r="AL90" s="15"/>
      <c r="AM90" s="124">
        <f t="shared" si="90"/>
        <v>0</v>
      </c>
      <c r="AN90" s="16"/>
      <c r="AO90" s="124">
        <f t="shared" si="91"/>
        <v>0</v>
      </c>
      <c r="AP90" s="15"/>
      <c r="AQ90" s="124">
        <f t="shared" si="92"/>
        <v>0</v>
      </c>
      <c r="AR90" s="15"/>
      <c r="AS90" s="124">
        <f t="shared" si="93"/>
        <v>0</v>
      </c>
      <c r="AT90" s="17"/>
      <c r="AU90" s="124">
        <f t="shared" si="94"/>
        <v>0</v>
      </c>
      <c r="AV90" s="15"/>
      <c r="AW90" s="124">
        <f t="shared" si="95"/>
        <v>0</v>
      </c>
      <c r="AX90" s="15"/>
      <c r="AY90" s="124">
        <f t="shared" si="96"/>
        <v>0</v>
      </c>
      <c r="AZ90" s="17"/>
      <c r="BA90" s="124">
        <f t="shared" si="97"/>
        <v>0</v>
      </c>
      <c r="BB90" s="33"/>
      <c r="BC90" s="124">
        <f t="shared" si="98"/>
        <v>0</v>
      </c>
      <c r="BD90" s="33"/>
      <c r="BE90" s="124">
        <f t="shared" si="99"/>
        <v>0</v>
      </c>
      <c r="BF90" s="125">
        <f t="shared" si="100"/>
        <v>0</v>
      </c>
      <c r="BG90" s="126">
        <f t="shared" si="101"/>
        <v>0</v>
      </c>
      <c r="BH90" s="123"/>
      <c r="BI90" s="124">
        <f t="shared" si="102"/>
        <v>0</v>
      </c>
      <c r="BJ90" s="123"/>
      <c r="BK90" s="124">
        <f t="shared" si="103"/>
        <v>0</v>
      </c>
      <c r="BL90" s="123"/>
      <c r="BM90" s="124">
        <f t="shared" si="104"/>
        <v>0</v>
      </c>
      <c r="BN90" s="123"/>
      <c r="BO90" s="124">
        <f t="shared" si="105"/>
        <v>0</v>
      </c>
      <c r="BP90" s="123"/>
      <c r="BQ90" s="124">
        <f t="shared" si="106"/>
        <v>0</v>
      </c>
      <c r="BR90" s="123"/>
      <c r="BS90" s="124">
        <f t="shared" si="107"/>
        <v>0</v>
      </c>
      <c r="BT90" s="123"/>
      <c r="BU90" s="124">
        <f t="shared" si="108"/>
        <v>0</v>
      </c>
      <c r="BV90" s="123"/>
      <c r="BW90" s="124">
        <f t="shared" si="109"/>
        <v>0</v>
      </c>
      <c r="BX90" s="123"/>
      <c r="BY90" s="124">
        <f t="shared" si="110"/>
        <v>0</v>
      </c>
      <c r="BZ90" s="123"/>
      <c r="CA90" s="124">
        <f t="shared" si="111"/>
        <v>0</v>
      </c>
      <c r="CB90" s="123"/>
      <c r="CC90" s="124">
        <f t="shared" si="112"/>
        <v>0</v>
      </c>
      <c r="CD90" s="123"/>
      <c r="CE90" s="124">
        <f t="shared" si="113"/>
        <v>0</v>
      </c>
      <c r="CF90" s="125">
        <f t="shared" si="114"/>
        <v>0</v>
      </c>
      <c r="CG90" s="126">
        <f t="shared" si="115"/>
        <v>0</v>
      </c>
      <c r="CH90" s="123"/>
      <c r="CI90" s="124">
        <f t="shared" si="116"/>
        <v>0</v>
      </c>
      <c r="CJ90" s="123"/>
      <c r="CK90" s="124">
        <f t="shared" si="117"/>
        <v>0</v>
      </c>
      <c r="CL90" s="123"/>
      <c r="CM90" s="124">
        <f t="shared" si="118"/>
        <v>0</v>
      </c>
      <c r="CN90" s="123"/>
      <c r="CO90" s="124">
        <f t="shared" si="119"/>
        <v>0</v>
      </c>
      <c r="CP90" s="123"/>
      <c r="CQ90" s="124">
        <f t="shared" si="120"/>
        <v>0</v>
      </c>
      <c r="CR90" s="123"/>
      <c r="CS90" s="124">
        <f t="shared" si="121"/>
        <v>0</v>
      </c>
      <c r="CT90" s="123"/>
      <c r="CU90" s="124">
        <f t="shared" si="122"/>
        <v>0</v>
      </c>
      <c r="CV90" s="123"/>
      <c r="CW90" s="124">
        <f t="shared" si="123"/>
        <v>0</v>
      </c>
      <c r="CX90" s="123"/>
      <c r="CY90" s="124">
        <f t="shared" si="124"/>
        <v>0</v>
      </c>
      <c r="CZ90" s="123"/>
      <c r="DA90" s="124">
        <f t="shared" si="125"/>
        <v>0</v>
      </c>
      <c r="DB90" s="123"/>
      <c r="DC90" s="124">
        <f t="shared" si="126"/>
        <v>0</v>
      </c>
      <c r="DD90" s="123"/>
      <c r="DE90" s="124">
        <f t="shared" si="126"/>
        <v>0</v>
      </c>
      <c r="DF90" s="177">
        <f t="shared" si="72"/>
        <v>0</v>
      </c>
      <c r="DG90" s="126">
        <f t="shared" si="127"/>
        <v>0</v>
      </c>
      <c r="DH90" s="123"/>
      <c r="DI90" s="124">
        <f t="shared" si="128"/>
        <v>0</v>
      </c>
      <c r="DJ90" s="123"/>
      <c r="DK90" s="124">
        <f t="shared" si="129"/>
        <v>0</v>
      </c>
      <c r="DL90" s="123"/>
      <c r="DM90" s="124">
        <f t="shared" si="130"/>
        <v>0</v>
      </c>
      <c r="DN90" s="123"/>
      <c r="DO90" s="124">
        <f t="shared" si="131"/>
        <v>0</v>
      </c>
      <c r="DP90" s="123"/>
      <c r="DQ90" s="124">
        <f t="shared" si="132"/>
        <v>0</v>
      </c>
      <c r="DR90" s="123"/>
      <c r="DS90" s="124">
        <f t="shared" si="133"/>
        <v>0</v>
      </c>
      <c r="DT90" s="123"/>
      <c r="DU90" s="124">
        <f t="shared" si="134"/>
        <v>0</v>
      </c>
      <c r="DV90" s="123"/>
      <c r="DW90" s="124">
        <f t="shared" si="135"/>
        <v>0</v>
      </c>
      <c r="DX90" s="123"/>
      <c r="DY90" s="124">
        <f t="shared" si="136"/>
        <v>0</v>
      </c>
      <c r="DZ90" s="123"/>
      <c r="EA90" s="124">
        <f t="shared" si="137"/>
        <v>0</v>
      </c>
      <c r="EB90" s="123"/>
      <c r="EC90" s="124">
        <f t="shared" si="138"/>
        <v>0</v>
      </c>
      <c r="ED90" s="123"/>
      <c r="EE90" s="124">
        <f t="shared" si="139"/>
        <v>0</v>
      </c>
      <c r="EF90" s="27">
        <f t="shared" si="73"/>
        <v>0</v>
      </c>
      <c r="EG90" s="124">
        <f t="shared" si="140"/>
        <v>0</v>
      </c>
    </row>
    <row r="91" spans="1:137" ht="18" customHeight="1" x14ac:dyDescent="0.5">
      <c r="A91" s="117"/>
      <c r="B91" s="122"/>
      <c r="C91" s="122"/>
      <c r="D91" s="117"/>
      <c r="E91" s="117"/>
      <c r="F91" s="117"/>
      <c r="G91" s="117"/>
      <c r="H91" s="123"/>
      <c r="I91" s="124">
        <f t="shared" si="74"/>
        <v>0</v>
      </c>
      <c r="J91" s="123"/>
      <c r="K91" s="124">
        <f t="shared" si="75"/>
        <v>0</v>
      </c>
      <c r="L91" s="123"/>
      <c r="M91" s="124">
        <f t="shared" si="76"/>
        <v>0</v>
      </c>
      <c r="N91" s="123"/>
      <c r="O91" s="124">
        <f t="shared" si="77"/>
        <v>0</v>
      </c>
      <c r="P91" s="123"/>
      <c r="Q91" s="124">
        <f t="shared" si="78"/>
        <v>0</v>
      </c>
      <c r="R91" s="123"/>
      <c r="S91" s="124">
        <f t="shared" si="79"/>
        <v>0</v>
      </c>
      <c r="T91" s="123"/>
      <c r="U91" s="124">
        <f t="shared" si="80"/>
        <v>0</v>
      </c>
      <c r="V91" s="123"/>
      <c r="W91" s="124">
        <f t="shared" si="81"/>
        <v>0</v>
      </c>
      <c r="X91" s="123"/>
      <c r="Y91" s="124">
        <f t="shared" si="82"/>
        <v>0</v>
      </c>
      <c r="Z91" s="123"/>
      <c r="AA91" s="124">
        <f t="shared" si="83"/>
        <v>0</v>
      </c>
      <c r="AB91" s="123"/>
      <c r="AC91" s="124">
        <f t="shared" si="84"/>
        <v>0</v>
      </c>
      <c r="AD91" s="123"/>
      <c r="AE91" s="124">
        <f t="shared" si="85"/>
        <v>0</v>
      </c>
      <c r="AF91" s="125">
        <f t="shared" si="86"/>
        <v>0</v>
      </c>
      <c r="AG91" s="126">
        <f t="shared" si="87"/>
        <v>0</v>
      </c>
      <c r="AH91" s="11"/>
      <c r="AI91" s="124">
        <f t="shared" si="88"/>
        <v>0</v>
      </c>
      <c r="AJ91" s="15"/>
      <c r="AK91" s="124">
        <f t="shared" si="89"/>
        <v>0</v>
      </c>
      <c r="AL91" s="15"/>
      <c r="AM91" s="124">
        <f t="shared" si="90"/>
        <v>0</v>
      </c>
      <c r="AN91" s="16"/>
      <c r="AO91" s="124">
        <f t="shared" si="91"/>
        <v>0</v>
      </c>
      <c r="AP91" s="15"/>
      <c r="AQ91" s="124">
        <f t="shared" si="92"/>
        <v>0</v>
      </c>
      <c r="AR91" s="15"/>
      <c r="AS91" s="124">
        <f t="shared" si="93"/>
        <v>0</v>
      </c>
      <c r="AT91" s="17"/>
      <c r="AU91" s="124">
        <f t="shared" si="94"/>
        <v>0</v>
      </c>
      <c r="AV91" s="15"/>
      <c r="AW91" s="124">
        <f t="shared" si="95"/>
        <v>0</v>
      </c>
      <c r="AX91" s="15"/>
      <c r="AY91" s="124">
        <f t="shared" si="96"/>
        <v>0</v>
      </c>
      <c r="AZ91" s="17"/>
      <c r="BA91" s="124">
        <f t="shared" si="97"/>
        <v>0</v>
      </c>
      <c r="BB91" s="33"/>
      <c r="BC91" s="124">
        <f t="shared" si="98"/>
        <v>0</v>
      </c>
      <c r="BD91" s="33"/>
      <c r="BE91" s="124">
        <f t="shared" si="99"/>
        <v>0</v>
      </c>
      <c r="BF91" s="125">
        <f t="shared" si="100"/>
        <v>0</v>
      </c>
      <c r="BG91" s="126">
        <f t="shared" si="101"/>
        <v>0</v>
      </c>
      <c r="BH91" s="123"/>
      <c r="BI91" s="124">
        <f t="shared" si="102"/>
        <v>0</v>
      </c>
      <c r="BJ91" s="123"/>
      <c r="BK91" s="124">
        <f t="shared" si="103"/>
        <v>0</v>
      </c>
      <c r="BL91" s="123"/>
      <c r="BM91" s="124">
        <f t="shared" si="104"/>
        <v>0</v>
      </c>
      <c r="BN91" s="123"/>
      <c r="BO91" s="124">
        <f t="shared" si="105"/>
        <v>0</v>
      </c>
      <c r="BP91" s="123"/>
      <c r="BQ91" s="124">
        <f t="shared" si="106"/>
        <v>0</v>
      </c>
      <c r="BR91" s="123"/>
      <c r="BS91" s="124">
        <f t="shared" si="107"/>
        <v>0</v>
      </c>
      <c r="BT91" s="123"/>
      <c r="BU91" s="124">
        <f t="shared" si="108"/>
        <v>0</v>
      </c>
      <c r="BV91" s="123"/>
      <c r="BW91" s="124">
        <f t="shared" si="109"/>
        <v>0</v>
      </c>
      <c r="BX91" s="123"/>
      <c r="BY91" s="124">
        <f t="shared" si="110"/>
        <v>0</v>
      </c>
      <c r="BZ91" s="123"/>
      <c r="CA91" s="124">
        <f t="shared" si="111"/>
        <v>0</v>
      </c>
      <c r="CB91" s="123"/>
      <c r="CC91" s="124">
        <f t="shared" si="112"/>
        <v>0</v>
      </c>
      <c r="CD91" s="123"/>
      <c r="CE91" s="124">
        <f t="shared" si="113"/>
        <v>0</v>
      </c>
      <c r="CF91" s="125">
        <f t="shared" si="114"/>
        <v>0</v>
      </c>
      <c r="CG91" s="126">
        <f t="shared" si="115"/>
        <v>0</v>
      </c>
      <c r="CH91" s="123"/>
      <c r="CI91" s="124">
        <f t="shared" si="116"/>
        <v>0</v>
      </c>
      <c r="CJ91" s="123"/>
      <c r="CK91" s="124">
        <f t="shared" si="117"/>
        <v>0</v>
      </c>
      <c r="CL91" s="123"/>
      <c r="CM91" s="124">
        <f t="shared" si="118"/>
        <v>0</v>
      </c>
      <c r="CN91" s="123"/>
      <c r="CO91" s="124">
        <f t="shared" si="119"/>
        <v>0</v>
      </c>
      <c r="CP91" s="123"/>
      <c r="CQ91" s="124">
        <f t="shared" si="120"/>
        <v>0</v>
      </c>
      <c r="CR91" s="123"/>
      <c r="CS91" s="124">
        <f t="shared" si="121"/>
        <v>0</v>
      </c>
      <c r="CT91" s="123"/>
      <c r="CU91" s="124">
        <f t="shared" si="122"/>
        <v>0</v>
      </c>
      <c r="CV91" s="123"/>
      <c r="CW91" s="124">
        <f t="shared" si="123"/>
        <v>0</v>
      </c>
      <c r="CX91" s="123"/>
      <c r="CY91" s="124">
        <f t="shared" si="124"/>
        <v>0</v>
      </c>
      <c r="CZ91" s="123"/>
      <c r="DA91" s="124">
        <f t="shared" si="125"/>
        <v>0</v>
      </c>
      <c r="DB91" s="123"/>
      <c r="DC91" s="124">
        <f t="shared" si="126"/>
        <v>0</v>
      </c>
      <c r="DD91" s="123"/>
      <c r="DE91" s="124">
        <f t="shared" si="126"/>
        <v>0</v>
      </c>
      <c r="DF91" s="177">
        <f t="shared" si="72"/>
        <v>0</v>
      </c>
      <c r="DG91" s="126">
        <f t="shared" si="127"/>
        <v>0</v>
      </c>
      <c r="DH91" s="123"/>
      <c r="DI91" s="124">
        <f t="shared" si="128"/>
        <v>0</v>
      </c>
      <c r="DJ91" s="123"/>
      <c r="DK91" s="124">
        <f t="shared" si="129"/>
        <v>0</v>
      </c>
      <c r="DL91" s="123"/>
      <c r="DM91" s="124">
        <f t="shared" si="130"/>
        <v>0</v>
      </c>
      <c r="DN91" s="123"/>
      <c r="DO91" s="124">
        <f t="shared" si="131"/>
        <v>0</v>
      </c>
      <c r="DP91" s="123"/>
      <c r="DQ91" s="124">
        <f t="shared" si="132"/>
        <v>0</v>
      </c>
      <c r="DR91" s="123"/>
      <c r="DS91" s="124">
        <f t="shared" si="133"/>
        <v>0</v>
      </c>
      <c r="DT91" s="123"/>
      <c r="DU91" s="124">
        <f t="shared" si="134"/>
        <v>0</v>
      </c>
      <c r="DV91" s="123"/>
      <c r="DW91" s="124">
        <f t="shared" si="135"/>
        <v>0</v>
      </c>
      <c r="DX91" s="123"/>
      <c r="DY91" s="124">
        <f t="shared" si="136"/>
        <v>0</v>
      </c>
      <c r="DZ91" s="123"/>
      <c r="EA91" s="124">
        <f t="shared" si="137"/>
        <v>0</v>
      </c>
      <c r="EB91" s="123"/>
      <c r="EC91" s="124">
        <f t="shared" si="138"/>
        <v>0</v>
      </c>
      <c r="ED91" s="123"/>
      <c r="EE91" s="124">
        <f t="shared" si="139"/>
        <v>0</v>
      </c>
      <c r="EF91" s="27">
        <f t="shared" si="73"/>
        <v>0</v>
      </c>
      <c r="EG91" s="124">
        <f t="shared" si="140"/>
        <v>0</v>
      </c>
    </row>
    <row r="92" spans="1:137" ht="18" customHeight="1" x14ac:dyDescent="0.5">
      <c r="A92" s="117">
        <v>74</v>
      </c>
      <c r="B92" s="122" t="s">
        <v>188</v>
      </c>
      <c r="C92" s="122" t="s">
        <v>233</v>
      </c>
      <c r="D92" s="117">
        <f>RANK(DF92,$DF$4:$DF$147)</f>
        <v>21</v>
      </c>
      <c r="E92" s="117">
        <v>1</v>
      </c>
      <c r="F92" s="117" t="s">
        <v>235</v>
      </c>
      <c r="G92" s="117"/>
      <c r="H92" s="123"/>
      <c r="I92" s="124">
        <f t="shared" si="74"/>
        <v>0</v>
      </c>
      <c r="J92" s="123"/>
      <c r="K92" s="124">
        <f t="shared" si="75"/>
        <v>0</v>
      </c>
      <c r="L92" s="123"/>
      <c r="M92" s="124">
        <f t="shared" si="76"/>
        <v>0</v>
      </c>
      <c r="N92" s="123"/>
      <c r="O92" s="124">
        <f t="shared" si="77"/>
        <v>0</v>
      </c>
      <c r="P92" s="123"/>
      <c r="Q92" s="124">
        <f t="shared" si="78"/>
        <v>0</v>
      </c>
      <c r="R92" s="123"/>
      <c r="S92" s="124">
        <f t="shared" si="79"/>
        <v>0</v>
      </c>
      <c r="T92" s="123"/>
      <c r="U92" s="124">
        <f t="shared" si="80"/>
        <v>0</v>
      </c>
      <c r="V92" s="123"/>
      <c r="W92" s="124">
        <f t="shared" si="81"/>
        <v>0</v>
      </c>
      <c r="X92" s="123"/>
      <c r="Y92" s="124">
        <f t="shared" si="82"/>
        <v>0</v>
      </c>
      <c r="Z92" s="123"/>
      <c r="AA92" s="124">
        <f t="shared" si="83"/>
        <v>0</v>
      </c>
      <c r="AB92" s="123"/>
      <c r="AC92" s="124">
        <f t="shared" si="84"/>
        <v>0</v>
      </c>
      <c r="AD92" s="123"/>
      <c r="AE92" s="124">
        <f t="shared" si="85"/>
        <v>0</v>
      </c>
      <c r="AF92" s="125">
        <f t="shared" si="86"/>
        <v>0</v>
      </c>
      <c r="AG92" s="126">
        <f t="shared" si="87"/>
        <v>0</v>
      </c>
      <c r="AH92" s="11"/>
      <c r="AI92" s="124">
        <f t="shared" si="88"/>
        <v>0</v>
      </c>
      <c r="AJ92" s="15"/>
      <c r="AK92" s="124">
        <f t="shared" si="89"/>
        <v>0</v>
      </c>
      <c r="AL92" s="15"/>
      <c r="AM92" s="124">
        <f t="shared" si="90"/>
        <v>0</v>
      </c>
      <c r="AN92" s="16"/>
      <c r="AO92" s="124">
        <f t="shared" si="91"/>
        <v>0</v>
      </c>
      <c r="AP92" s="15"/>
      <c r="AQ92" s="124">
        <f t="shared" si="92"/>
        <v>0</v>
      </c>
      <c r="AR92" s="15"/>
      <c r="AS92" s="124">
        <f t="shared" si="93"/>
        <v>0</v>
      </c>
      <c r="AT92" s="17"/>
      <c r="AU92" s="124">
        <f t="shared" si="94"/>
        <v>0</v>
      </c>
      <c r="AV92" s="15"/>
      <c r="AW92" s="124">
        <f t="shared" si="95"/>
        <v>0</v>
      </c>
      <c r="AX92" s="15"/>
      <c r="AY92" s="124">
        <f t="shared" si="96"/>
        <v>0</v>
      </c>
      <c r="AZ92" s="17"/>
      <c r="BA92" s="124">
        <f t="shared" si="97"/>
        <v>0</v>
      </c>
      <c r="BB92" s="33"/>
      <c r="BC92" s="124">
        <f t="shared" si="98"/>
        <v>0</v>
      </c>
      <c r="BD92" s="33"/>
      <c r="BE92" s="124">
        <f t="shared" si="99"/>
        <v>0</v>
      </c>
      <c r="BF92" s="125">
        <f t="shared" si="100"/>
        <v>0</v>
      </c>
      <c r="BG92" s="126">
        <f t="shared" si="101"/>
        <v>0</v>
      </c>
      <c r="BH92" s="123"/>
      <c r="BI92" s="124">
        <f t="shared" si="102"/>
        <v>0</v>
      </c>
      <c r="BJ92" s="123"/>
      <c r="BK92" s="124">
        <f t="shared" si="103"/>
        <v>0</v>
      </c>
      <c r="BL92" s="123"/>
      <c r="BM92" s="124">
        <f t="shared" si="104"/>
        <v>0</v>
      </c>
      <c r="BN92" s="123"/>
      <c r="BO92" s="124">
        <f t="shared" si="105"/>
        <v>0</v>
      </c>
      <c r="BP92" s="123"/>
      <c r="BQ92" s="124">
        <f t="shared" si="106"/>
        <v>0</v>
      </c>
      <c r="BR92" s="123"/>
      <c r="BS92" s="124">
        <f t="shared" si="107"/>
        <v>0</v>
      </c>
      <c r="BT92" s="123"/>
      <c r="BU92" s="124">
        <f t="shared" si="108"/>
        <v>0</v>
      </c>
      <c r="BV92" s="123"/>
      <c r="BW92" s="124">
        <f t="shared" si="109"/>
        <v>0</v>
      </c>
      <c r="BX92" s="123"/>
      <c r="BY92" s="124">
        <f t="shared" si="110"/>
        <v>0</v>
      </c>
      <c r="BZ92" s="123"/>
      <c r="CA92" s="124">
        <f t="shared" si="111"/>
        <v>0</v>
      </c>
      <c r="CB92" s="123"/>
      <c r="CC92" s="124">
        <f t="shared" si="112"/>
        <v>0</v>
      </c>
      <c r="CD92" s="123"/>
      <c r="CE92" s="124">
        <f t="shared" si="113"/>
        <v>0</v>
      </c>
      <c r="CF92" s="125">
        <f t="shared" si="114"/>
        <v>0</v>
      </c>
      <c r="CG92" s="126">
        <f t="shared" si="115"/>
        <v>0</v>
      </c>
      <c r="CH92" s="123"/>
      <c r="CI92" s="124">
        <f t="shared" si="116"/>
        <v>0</v>
      </c>
      <c r="CJ92" s="123"/>
      <c r="CK92" s="124">
        <f t="shared" si="117"/>
        <v>0</v>
      </c>
      <c r="CL92" s="123"/>
      <c r="CM92" s="124">
        <f t="shared" si="118"/>
        <v>0</v>
      </c>
      <c r="CN92" s="123"/>
      <c r="CO92" s="124">
        <f t="shared" si="119"/>
        <v>0</v>
      </c>
      <c r="CP92" s="123"/>
      <c r="CQ92" s="124">
        <f t="shared" si="120"/>
        <v>0</v>
      </c>
      <c r="CR92" s="123"/>
      <c r="CS92" s="124">
        <f t="shared" si="121"/>
        <v>0</v>
      </c>
      <c r="CT92" s="123"/>
      <c r="CU92" s="124">
        <f t="shared" si="122"/>
        <v>0</v>
      </c>
      <c r="CV92" s="123"/>
      <c r="CW92" s="124">
        <f t="shared" si="123"/>
        <v>0</v>
      </c>
      <c r="CX92" s="123"/>
      <c r="CY92" s="124">
        <f t="shared" si="124"/>
        <v>0</v>
      </c>
      <c r="CZ92" s="123"/>
      <c r="DA92" s="124">
        <f t="shared" si="125"/>
        <v>0</v>
      </c>
      <c r="DB92" s="123"/>
      <c r="DC92" s="124">
        <f t="shared" si="126"/>
        <v>0</v>
      </c>
      <c r="DD92" s="123"/>
      <c r="DE92" s="124">
        <f t="shared" si="126"/>
        <v>0</v>
      </c>
      <c r="DF92" s="177">
        <f t="shared" si="72"/>
        <v>0</v>
      </c>
      <c r="DG92" s="126">
        <f t="shared" si="127"/>
        <v>0</v>
      </c>
      <c r="DH92" s="123"/>
      <c r="DI92" s="124">
        <f t="shared" si="128"/>
        <v>0</v>
      </c>
      <c r="DJ92" s="123"/>
      <c r="DK92" s="124">
        <f t="shared" si="129"/>
        <v>0</v>
      </c>
      <c r="DL92" s="123"/>
      <c r="DM92" s="124">
        <f t="shared" si="130"/>
        <v>0</v>
      </c>
      <c r="DN92" s="123"/>
      <c r="DO92" s="124">
        <f t="shared" si="131"/>
        <v>0</v>
      </c>
      <c r="DP92" s="123"/>
      <c r="DQ92" s="124">
        <f t="shared" si="132"/>
        <v>0</v>
      </c>
      <c r="DR92" s="123"/>
      <c r="DS92" s="124">
        <f t="shared" si="133"/>
        <v>0</v>
      </c>
      <c r="DT92" s="123"/>
      <c r="DU92" s="124">
        <f t="shared" si="134"/>
        <v>0</v>
      </c>
      <c r="DV92" s="123"/>
      <c r="DW92" s="124">
        <f t="shared" si="135"/>
        <v>0</v>
      </c>
      <c r="DX92" s="123"/>
      <c r="DY92" s="124">
        <f t="shared" si="136"/>
        <v>0</v>
      </c>
      <c r="DZ92" s="123"/>
      <c r="EA92" s="124">
        <f t="shared" si="137"/>
        <v>0</v>
      </c>
      <c r="EB92" s="123"/>
      <c r="EC92" s="124">
        <f t="shared" si="138"/>
        <v>0</v>
      </c>
      <c r="ED92" s="123"/>
      <c r="EE92" s="124">
        <f t="shared" si="139"/>
        <v>0</v>
      </c>
      <c r="EF92" s="27">
        <f t="shared" si="73"/>
        <v>0</v>
      </c>
      <c r="EG92" s="124">
        <f t="shared" si="140"/>
        <v>0</v>
      </c>
    </row>
    <row r="93" spans="1:137" ht="18" customHeight="1" x14ac:dyDescent="0.5">
      <c r="A93" s="117">
        <v>75</v>
      </c>
      <c r="B93" s="122" t="s">
        <v>188</v>
      </c>
      <c r="C93" s="122" t="s">
        <v>233</v>
      </c>
      <c r="D93" s="117">
        <f>RANK(DF93,$DF$4:$DF$147)</f>
        <v>21</v>
      </c>
      <c r="E93" s="117">
        <v>1</v>
      </c>
      <c r="F93" s="117" t="s">
        <v>232</v>
      </c>
      <c r="G93" s="117"/>
      <c r="H93" s="123"/>
      <c r="I93" s="124">
        <f t="shared" si="74"/>
        <v>0</v>
      </c>
      <c r="J93" s="123"/>
      <c r="K93" s="124">
        <f t="shared" si="75"/>
        <v>0</v>
      </c>
      <c r="L93" s="123"/>
      <c r="M93" s="124">
        <f t="shared" si="76"/>
        <v>0</v>
      </c>
      <c r="N93" s="123"/>
      <c r="O93" s="124">
        <f t="shared" si="77"/>
        <v>0</v>
      </c>
      <c r="P93" s="123"/>
      <c r="Q93" s="124">
        <f t="shared" si="78"/>
        <v>0</v>
      </c>
      <c r="R93" s="123"/>
      <c r="S93" s="124">
        <f t="shared" si="79"/>
        <v>0</v>
      </c>
      <c r="T93" s="123"/>
      <c r="U93" s="124">
        <f t="shared" si="80"/>
        <v>0</v>
      </c>
      <c r="V93" s="123"/>
      <c r="W93" s="124">
        <f t="shared" si="81"/>
        <v>0</v>
      </c>
      <c r="X93" s="123"/>
      <c r="Y93" s="124">
        <f t="shared" si="82"/>
        <v>0</v>
      </c>
      <c r="Z93" s="123"/>
      <c r="AA93" s="124">
        <f t="shared" si="83"/>
        <v>0</v>
      </c>
      <c r="AB93" s="123"/>
      <c r="AC93" s="124">
        <f t="shared" si="84"/>
        <v>0</v>
      </c>
      <c r="AD93" s="123"/>
      <c r="AE93" s="124">
        <f t="shared" si="85"/>
        <v>0</v>
      </c>
      <c r="AF93" s="125">
        <f t="shared" si="86"/>
        <v>0</v>
      </c>
      <c r="AG93" s="126">
        <f t="shared" si="87"/>
        <v>0</v>
      </c>
      <c r="AH93" s="11"/>
      <c r="AI93" s="124">
        <f t="shared" si="88"/>
        <v>0</v>
      </c>
      <c r="AJ93" s="15"/>
      <c r="AK93" s="124">
        <f t="shared" si="89"/>
        <v>0</v>
      </c>
      <c r="AL93" s="15"/>
      <c r="AM93" s="124">
        <f t="shared" si="90"/>
        <v>0</v>
      </c>
      <c r="AN93" s="16"/>
      <c r="AO93" s="124">
        <f t="shared" si="91"/>
        <v>0</v>
      </c>
      <c r="AP93" s="15"/>
      <c r="AQ93" s="124">
        <f t="shared" si="92"/>
        <v>0</v>
      </c>
      <c r="AR93" s="15"/>
      <c r="AS93" s="124">
        <f t="shared" si="93"/>
        <v>0</v>
      </c>
      <c r="AT93" s="17"/>
      <c r="AU93" s="124">
        <f t="shared" si="94"/>
        <v>0</v>
      </c>
      <c r="AV93" s="15"/>
      <c r="AW93" s="124">
        <f t="shared" si="95"/>
        <v>0</v>
      </c>
      <c r="AX93" s="15"/>
      <c r="AY93" s="124">
        <f t="shared" si="96"/>
        <v>0</v>
      </c>
      <c r="AZ93" s="17"/>
      <c r="BA93" s="124">
        <f t="shared" si="97"/>
        <v>0</v>
      </c>
      <c r="BB93" s="33"/>
      <c r="BC93" s="124">
        <f t="shared" si="98"/>
        <v>0</v>
      </c>
      <c r="BD93" s="33"/>
      <c r="BE93" s="124">
        <f t="shared" si="99"/>
        <v>0</v>
      </c>
      <c r="BF93" s="125">
        <f t="shared" si="100"/>
        <v>0</v>
      </c>
      <c r="BG93" s="126">
        <f t="shared" si="101"/>
        <v>0</v>
      </c>
      <c r="BH93" s="123"/>
      <c r="BI93" s="124">
        <f t="shared" si="102"/>
        <v>0</v>
      </c>
      <c r="BJ93" s="123"/>
      <c r="BK93" s="124">
        <f t="shared" si="103"/>
        <v>0</v>
      </c>
      <c r="BL93" s="123"/>
      <c r="BM93" s="124">
        <f t="shared" si="104"/>
        <v>0</v>
      </c>
      <c r="BN93" s="123"/>
      <c r="BO93" s="124">
        <f t="shared" si="105"/>
        <v>0</v>
      </c>
      <c r="BP93" s="123"/>
      <c r="BQ93" s="124">
        <f t="shared" si="106"/>
        <v>0</v>
      </c>
      <c r="BR93" s="123"/>
      <c r="BS93" s="124">
        <f t="shared" si="107"/>
        <v>0</v>
      </c>
      <c r="BT93" s="123"/>
      <c r="BU93" s="124">
        <f t="shared" si="108"/>
        <v>0</v>
      </c>
      <c r="BV93" s="123"/>
      <c r="BW93" s="124">
        <f t="shared" si="109"/>
        <v>0</v>
      </c>
      <c r="BX93" s="123"/>
      <c r="BY93" s="124">
        <f t="shared" si="110"/>
        <v>0</v>
      </c>
      <c r="BZ93" s="123"/>
      <c r="CA93" s="124">
        <f t="shared" si="111"/>
        <v>0</v>
      </c>
      <c r="CB93" s="123"/>
      <c r="CC93" s="124">
        <f t="shared" si="112"/>
        <v>0</v>
      </c>
      <c r="CD93" s="123"/>
      <c r="CE93" s="124">
        <f t="shared" si="113"/>
        <v>0</v>
      </c>
      <c r="CF93" s="125">
        <f t="shared" si="114"/>
        <v>0</v>
      </c>
      <c r="CG93" s="126">
        <f t="shared" si="115"/>
        <v>0</v>
      </c>
      <c r="CH93" s="123"/>
      <c r="CI93" s="124">
        <f t="shared" si="116"/>
        <v>0</v>
      </c>
      <c r="CJ93" s="123"/>
      <c r="CK93" s="124">
        <f t="shared" si="117"/>
        <v>0</v>
      </c>
      <c r="CL93" s="123"/>
      <c r="CM93" s="124">
        <f t="shared" si="118"/>
        <v>0</v>
      </c>
      <c r="CN93" s="123"/>
      <c r="CO93" s="124">
        <f t="shared" si="119"/>
        <v>0</v>
      </c>
      <c r="CP93" s="123"/>
      <c r="CQ93" s="124">
        <f t="shared" si="120"/>
        <v>0</v>
      </c>
      <c r="CR93" s="123"/>
      <c r="CS93" s="124">
        <f t="shared" si="121"/>
        <v>0</v>
      </c>
      <c r="CT93" s="123"/>
      <c r="CU93" s="124">
        <f t="shared" si="122"/>
        <v>0</v>
      </c>
      <c r="CV93" s="123"/>
      <c r="CW93" s="124">
        <f t="shared" si="123"/>
        <v>0</v>
      </c>
      <c r="CX93" s="123"/>
      <c r="CY93" s="124">
        <f t="shared" si="124"/>
        <v>0</v>
      </c>
      <c r="CZ93" s="123"/>
      <c r="DA93" s="124">
        <f t="shared" si="125"/>
        <v>0</v>
      </c>
      <c r="DB93" s="123"/>
      <c r="DC93" s="124">
        <f t="shared" si="126"/>
        <v>0</v>
      </c>
      <c r="DD93" s="123"/>
      <c r="DE93" s="124">
        <f t="shared" si="126"/>
        <v>0</v>
      </c>
      <c r="DF93" s="177">
        <f t="shared" si="72"/>
        <v>0</v>
      </c>
      <c r="DG93" s="126">
        <f t="shared" si="127"/>
        <v>0</v>
      </c>
      <c r="DH93" s="123"/>
      <c r="DI93" s="124">
        <f t="shared" si="128"/>
        <v>0</v>
      </c>
      <c r="DJ93" s="123"/>
      <c r="DK93" s="124">
        <f t="shared" si="129"/>
        <v>0</v>
      </c>
      <c r="DL93" s="123"/>
      <c r="DM93" s="124">
        <f t="shared" si="130"/>
        <v>0</v>
      </c>
      <c r="DN93" s="123"/>
      <c r="DO93" s="124">
        <f t="shared" si="131"/>
        <v>0</v>
      </c>
      <c r="DP93" s="123"/>
      <c r="DQ93" s="124">
        <f t="shared" si="132"/>
        <v>0</v>
      </c>
      <c r="DR93" s="123"/>
      <c r="DS93" s="124">
        <f t="shared" si="133"/>
        <v>0</v>
      </c>
      <c r="DT93" s="123"/>
      <c r="DU93" s="124">
        <f t="shared" si="134"/>
        <v>0</v>
      </c>
      <c r="DV93" s="123"/>
      <c r="DW93" s="124">
        <f t="shared" si="135"/>
        <v>0</v>
      </c>
      <c r="DX93" s="123"/>
      <c r="DY93" s="124">
        <f t="shared" si="136"/>
        <v>0</v>
      </c>
      <c r="DZ93" s="123"/>
      <c r="EA93" s="124">
        <f t="shared" si="137"/>
        <v>0</v>
      </c>
      <c r="EB93" s="123"/>
      <c r="EC93" s="124">
        <f t="shared" si="138"/>
        <v>0</v>
      </c>
      <c r="ED93" s="123"/>
      <c r="EE93" s="124">
        <f t="shared" si="139"/>
        <v>0</v>
      </c>
      <c r="EF93" s="27">
        <f t="shared" si="73"/>
        <v>0</v>
      </c>
      <c r="EG93" s="124">
        <f t="shared" si="140"/>
        <v>0</v>
      </c>
    </row>
    <row r="94" spans="1:137" ht="18" customHeight="1" x14ac:dyDescent="0.5">
      <c r="A94" s="117">
        <v>76</v>
      </c>
      <c r="B94" s="122" t="s">
        <v>189</v>
      </c>
      <c r="C94" s="122" t="s">
        <v>233</v>
      </c>
      <c r="D94" s="117">
        <f>RANK(DF94,$DF$4:$DF$147)</f>
        <v>21</v>
      </c>
      <c r="E94" s="117">
        <v>0.6</v>
      </c>
      <c r="F94" s="117" t="s">
        <v>235</v>
      </c>
      <c r="G94" s="117"/>
      <c r="H94" s="123"/>
      <c r="I94" s="124">
        <f t="shared" si="74"/>
        <v>0</v>
      </c>
      <c r="J94" s="123"/>
      <c r="K94" s="124">
        <f t="shared" si="75"/>
        <v>0</v>
      </c>
      <c r="L94" s="123"/>
      <c r="M94" s="124">
        <f t="shared" si="76"/>
        <v>0</v>
      </c>
      <c r="N94" s="123"/>
      <c r="O94" s="124">
        <f t="shared" si="77"/>
        <v>0</v>
      </c>
      <c r="P94" s="123"/>
      <c r="Q94" s="124">
        <f t="shared" si="78"/>
        <v>0</v>
      </c>
      <c r="R94" s="123"/>
      <c r="S94" s="124">
        <f t="shared" si="79"/>
        <v>0</v>
      </c>
      <c r="T94" s="123"/>
      <c r="U94" s="124">
        <f t="shared" si="80"/>
        <v>0</v>
      </c>
      <c r="V94" s="123"/>
      <c r="W94" s="124">
        <f t="shared" si="81"/>
        <v>0</v>
      </c>
      <c r="X94" s="123"/>
      <c r="Y94" s="124">
        <f t="shared" si="82"/>
        <v>0</v>
      </c>
      <c r="Z94" s="123"/>
      <c r="AA94" s="124">
        <f t="shared" si="83"/>
        <v>0</v>
      </c>
      <c r="AB94" s="123"/>
      <c r="AC94" s="124">
        <f t="shared" si="84"/>
        <v>0</v>
      </c>
      <c r="AD94" s="123"/>
      <c r="AE94" s="124">
        <f t="shared" si="85"/>
        <v>0</v>
      </c>
      <c r="AF94" s="125">
        <f t="shared" si="86"/>
        <v>0</v>
      </c>
      <c r="AG94" s="126">
        <f t="shared" si="87"/>
        <v>0</v>
      </c>
      <c r="AH94" s="11"/>
      <c r="AI94" s="124">
        <f t="shared" si="88"/>
        <v>0</v>
      </c>
      <c r="AJ94" s="15"/>
      <c r="AK94" s="124">
        <f t="shared" si="89"/>
        <v>0</v>
      </c>
      <c r="AL94" s="15"/>
      <c r="AM94" s="124">
        <f t="shared" si="90"/>
        <v>0</v>
      </c>
      <c r="AN94" s="16"/>
      <c r="AO94" s="124">
        <f t="shared" si="91"/>
        <v>0</v>
      </c>
      <c r="AP94" s="15"/>
      <c r="AQ94" s="124">
        <f t="shared" si="92"/>
        <v>0</v>
      </c>
      <c r="AR94" s="15"/>
      <c r="AS94" s="124">
        <f t="shared" si="93"/>
        <v>0</v>
      </c>
      <c r="AT94" s="17"/>
      <c r="AU94" s="124">
        <f t="shared" si="94"/>
        <v>0</v>
      </c>
      <c r="AV94" s="15"/>
      <c r="AW94" s="124">
        <f t="shared" si="95"/>
        <v>0</v>
      </c>
      <c r="AX94" s="15"/>
      <c r="AY94" s="124">
        <f t="shared" si="96"/>
        <v>0</v>
      </c>
      <c r="AZ94" s="17"/>
      <c r="BA94" s="124">
        <f t="shared" si="97"/>
        <v>0</v>
      </c>
      <c r="BB94" s="33"/>
      <c r="BC94" s="124">
        <f t="shared" si="98"/>
        <v>0</v>
      </c>
      <c r="BD94" s="33"/>
      <c r="BE94" s="124">
        <f t="shared" si="99"/>
        <v>0</v>
      </c>
      <c r="BF94" s="125">
        <f t="shared" si="100"/>
        <v>0</v>
      </c>
      <c r="BG94" s="126">
        <f t="shared" si="101"/>
        <v>0</v>
      </c>
      <c r="BH94" s="123"/>
      <c r="BI94" s="124">
        <f t="shared" si="102"/>
        <v>0</v>
      </c>
      <c r="BJ94" s="123"/>
      <c r="BK94" s="124">
        <f t="shared" si="103"/>
        <v>0</v>
      </c>
      <c r="BL94" s="123"/>
      <c r="BM94" s="124">
        <f t="shared" si="104"/>
        <v>0</v>
      </c>
      <c r="BN94" s="123"/>
      <c r="BO94" s="124">
        <f t="shared" si="105"/>
        <v>0</v>
      </c>
      <c r="BP94" s="123"/>
      <c r="BQ94" s="124">
        <f t="shared" si="106"/>
        <v>0</v>
      </c>
      <c r="BR94" s="123"/>
      <c r="BS94" s="124">
        <f t="shared" si="107"/>
        <v>0</v>
      </c>
      <c r="BT94" s="123"/>
      <c r="BU94" s="124">
        <f t="shared" si="108"/>
        <v>0</v>
      </c>
      <c r="BV94" s="123"/>
      <c r="BW94" s="124">
        <f t="shared" si="109"/>
        <v>0</v>
      </c>
      <c r="BX94" s="123"/>
      <c r="BY94" s="124">
        <f t="shared" si="110"/>
        <v>0</v>
      </c>
      <c r="BZ94" s="123"/>
      <c r="CA94" s="124">
        <f t="shared" si="111"/>
        <v>0</v>
      </c>
      <c r="CB94" s="123"/>
      <c r="CC94" s="124">
        <f t="shared" si="112"/>
        <v>0</v>
      </c>
      <c r="CD94" s="123"/>
      <c r="CE94" s="124">
        <f t="shared" si="113"/>
        <v>0</v>
      </c>
      <c r="CF94" s="125">
        <f t="shared" si="114"/>
        <v>0</v>
      </c>
      <c r="CG94" s="126">
        <f t="shared" si="115"/>
        <v>0</v>
      </c>
      <c r="CH94" s="123"/>
      <c r="CI94" s="124">
        <f t="shared" si="116"/>
        <v>0</v>
      </c>
      <c r="CJ94" s="123"/>
      <c r="CK94" s="124">
        <f t="shared" si="117"/>
        <v>0</v>
      </c>
      <c r="CL94" s="123"/>
      <c r="CM94" s="124">
        <f t="shared" si="118"/>
        <v>0</v>
      </c>
      <c r="CN94" s="123"/>
      <c r="CO94" s="124">
        <f t="shared" si="119"/>
        <v>0</v>
      </c>
      <c r="CP94" s="123"/>
      <c r="CQ94" s="124">
        <f t="shared" si="120"/>
        <v>0</v>
      </c>
      <c r="CR94" s="123"/>
      <c r="CS94" s="124">
        <f t="shared" si="121"/>
        <v>0</v>
      </c>
      <c r="CT94" s="123"/>
      <c r="CU94" s="124">
        <f t="shared" si="122"/>
        <v>0</v>
      </c>
      <c r="CV94" s="123"/>
      <c r="CW94" s="124">
        <f t="shared" si="123"/>
        <v>0</v>
      </c>
      <c r="CX94" s="123"/>
      <c r="CY94" s="124">
        <f t="shared" si="124"/>
        <v>0</v>
      </c>
      <c r="CZ94" s="123"/>
      <c r="DA94" s="124">
        <f t="shared" si="125"/>
        <v>0</v>
      </c>
      <c r="DB94" s="123"/>
      <c r="DC94" s="124">
        <f t="shared" si="126"/>
        <v>0</v>
      </c>
      <c r="DD94" s="123"/>
      <c r="DE94" s="124">
        <f t="shared" si="126"/>
        <v>0</v>
      </c>
      <c r="DF94" s="177">
        <f t="shared" si="72"/>
        <v>0</v>
      </c>
      <c r="DG94" s="126">
        <f t="shared" si="127"/>
        <v>0</v>
      </c>
      <c r="DH94" s="123"/>
      <c r="DI94" s="124">
        <f t="shared" si="128"/>
        <v>0</v>
      </c>
      <c r="DJ94" s="123"/>
      <c r="DK94" s="124">
        <f t="shared" si="129"/>
        <v>0</v>
      </c>
      <c r="DL94" s="123"/>
      <c r="DM94" s="124">
        <f t="shared" si="130"/>
        <v>0</v>
      </c>
      <c r="DN94" s="123"/>
      <c r="DO94" s="124">
        <f t="shared" si="131"/>
        <v>0</v>
      </c>
      <c r="DP94" s="123"/>
      <c r="DQ94" s="124">
        <f t="shared" si="132"/>
        <v>0</v>
      </c>
      <c r="DR94" s="123"/>
      <c r="DS94" s="124">
        <f t="shared" si="133"/>
        <v>0</v>
      </c>
      <c r="DT94" s="123"/>
      <c r="DU94" s="124">
        <f t="shared" si="134"/>
        <v>0</v>
      </c>
      <c r="DV94" s="123"/>
      <c r="DW94" s="124">
        <f t="shared" si="135"/>
        <v>0</v>
      </c>
      <c r="DX94" s="123"/>
      <c r="DY94" s="124">
        <f t="shared" si="136"/>
        <v>0</v>
      </c>
      <c r="DZ94" s="123"/>
      <c r="EA94" s="124">
        <f t="shared" si="137"/>
        <v>0</v>
      </c>
      <c r="EB94" s="123"/>
      <c r="EC94" s="124">
        <f t="shared" si="138"/>
        <v>0</v>
      </c>
      <c r="ED94" s="123"/>
      <c r="EE94" s="124">
        <f t="shared" si="139"/>
        <v>0</v>
      </c>
      <c r="EF94" s="27">
        <f t="shared" si="73"/>
        <v>0</v>
      </c>
      <c r="EG94" s="124">
        <f t="shared" si="140"/>
        <v>0</v>
      </c>
    </row>
    <row r="95" spans="1:137" ht="18" customHeight="1" x14ac:dyDescent="0.5">
      <c r="A95" s="117">
        <v>77</v>
      </c>
      <c r="B95" s="122" t="s">
        <v>190</v>
      </c>
      <c r="C95" s="122" t="s">
        <v>231</v>
      </c>
      <c r="D95" s="117">
        <f>RANK(DF95,$DF$4:$DF$147)</f>
        <v>21</v>
      </c>
      <c r="E95" s="117">
        <v>0.64</v>
      </c>
      <c r="F95" s="117" t="s">
        <v>236</v>
      </c>
      <c r="G95" s="117"/>
      <c r="H95" s="123"/>
      <c r="I95" s="124">
        <f t="shared" si="74"/>
        <v>0</v>
      </c>
      <c r="J95" s="123"/>
      <c r="K95" s="124">
        <f t="shared" si="75"/>
        <v>0</v>
      </c>
      <c r="L95" s="123"/>
      <c r="M95" s="124">
        <f t="shared" si="76"/>
        <v>0</v>
      </c>
      <c r="N95" s="123"/>
      <c r="O95" s="124">
        <f t="shared" si="77"/>
        <v>0</v>
      </c>
      <c r="P95" s="123"/>
      <c r="Q95" s="124">
        <f t="shared" si="78"/>
        <v>0</v>
      </c>
      <c r="R95" s="123"/>
      <c r="S95" s="124">
        <f t="shared" si="79"/>
        <v>0</v>
      </c>
      <c r="T95" s="123"/>
      <c r="U95" s="124">
        <f t="shared" si="80"/>
        <v>0</v>
      </c>
      <c r="V95" s="123"/>
      <c r="W95" s="124">
        <f t="shared" si="81"/>
        <v>0</v>
      </c>
      <c r="X95" s="123"/>
      <c r="Y95" s="124">
        <f t="shared" si="82"/>
        <v>0</v>
      </c>
      <c r="Z95" s="123"/>
      <c r="AA95" s="124">
        <f t="shared" si="83"/>
        <v>0</v>
      </c>
      <c r="AB95" s="123"/>
      <c r="AC95" s="124">
        <f t="shared" si="84"/>
        <v>0</v>
      </c>
      <c r="AD95" s="123"/>
      <c r="AE95" s="124">
        <f t="shared" si="85"/>
        <v>0</v>
      </c>
      <c r="AF95" s="125">
        <f t="shared" si="86"/>
        <v>0</v>
      </c>
      <c r="AG95" s="126">
        <f t="shared" si="87"/>
        <v>0</v>
      </c>
      <c r="AH95" s="11"/>
      <c r="AI95" s="124">
        <f t="shared" si="88"/>
        <v>0</v>
      </c>
      <c r="AJ95" s="15"/>
      <c r="AK95" s="124">
        <f t="shared" si="89"/>
        <v>0</v>
      </c>
      <c r="AL95" s="15"/>
      <c r="AM95" s="124">
        <f t="shared" si="90"/>
        <v>0</v>
      </c>
      <c r="AN95" s="16"/>
      <c r="AO95" s="124">
        <f t="shared" si="91"/>
        <v>0</v>
      </c>
      <c r="AP95" s="15"/>
      <c r="AQ95" s="124">
        <f t="shared" si="92"/>
        <v>0</v>
      </c>
      <c r="AR95" s="15"/>
      <c r="AS95" s="124">
        <f t="shared" si="93"/>
        <v>0</v>
      </c>
      <c r="AT95" s="17"/>
      <c r="AU95" s="124">
        <f t="shared" si="94"/>
        <v>0</v>
      </c>
      <c r="AV95" s="15"/>
      <c r="AW95" s="124">
        <f t="shared" si="95"/>
        <v>0</v>
      </c>
      <c r="AX95" s="15"/>
      <c r="AY95" s="124">
        <f t="shared" si="96"/>
        <v>0</v>
      </c>
      <c r="AZ95" s="17"/>
      <c r="BA95" s="124">
        <f t="shared" si="97"/>
        <v>0</v>
      </c>
      <c r="BB95" s="33"/>
      <c r="BC95" s="124">
        <f t="shared" si="98"/>
        <v>0</v>
      </c>
      <c r="BD95" s="33"/>
      <c r="BE95" s="124">
        <f t="shared" si="99"/>
        <v>0</v>
      </c>
      <c r="BF95" s="125">
        <f t="shared" si="100"/>
        <v>0</v>
      </c>
      <c r="BG95" s="126">
        <f t="shared" si="101"/>
        <v>0</v>
      </c>
      <c r="BH95" s="123"/>
      <c r="BI95" s="124">
        <f t="shared" si="102"/>
        <v>0</v>
      </c>
      <c r="BJ95" s="123"/>
      <c r="BK95" s="124">
        <f t="shared" si="103"/>
        <v>0</v>
      </c>
      <c r="BL95" s="123"/>
      <c r="BM95" s="124">
        <f t="shared" si="104"/>
        <v>0</v>
      </c>
      <c r="BN95" s="123"/>
      <c r="BO95" s="124">
        <f t="shared" si="105"/>
        <v>0</v>
      </c>
      <c r="BP95" s="123"/>
      <c r="BQ95" s="124">
        <f t="shared" si="106"/>
        <v>0</v>
      </c>
      <c r="BR95" s="123"/>
      <c r="BS95" s="124">
        <f t="shared" si="107"/>
        <v>0</v>
      </c>
      <c r="BT95" s="123"/>
      <c r="BU95" s="124">
        <f t="shared" si="108"/>
        <v>0</v>
      </c>
      <c r="BV95" s="123"/>
      <c r="BW95" s="124">
        <f t="shared" si="109"/>
        <v>0</v>
      </c>
      <c r="BX95" s="123"/>
      <c r="BY95" s="124">
        <f t="shared" si="110"/>
        <v>0</v>
      </c>
      <c r="BZ95" s="123"/>
      <c r="CA95" s="124">
        <f t="shared" si="111"/>
        <v>0</v>
      </c>
      <c r="CB95" s="123"/>
      <c r="CC95" s="124">
        <f t="shared" si="112"/>
        <v>0</v>
      </c>
      <c r="CD95" s="123"/>
      <c r="CE95" s="124">
        <f t="shared" si="113"/>
        <v>0</v>
      </c>
      <c r="CF95" s="125">
        <f t="shared" si="114"/>
        <v>0</v>
      </c>
      <c r="CG95" s="126">
        <f t="shared" si="115"/>
        <v>0</v>
      </c>
      <c r="CH95" s="123"/>
      <c r="CI95" s="124">
        <f t="shared" si="116"/>
        <v>0</v>
      </c>
      <c r="CJ95" s="123"/>
      <c r="CK95" s="124">
        <f t="shared" si="117"/>
        <v>0</v>
      </c>
      <c r="CL95" s="123"/>
      <c r="CM95" s="124">
        <f t="shared" si="118"/>
        <v>0</v>
      </c>
      <c r="CN95" s="123"/>
      <c r="CO95" s="124">
        <f t="shared" si="119"/>
        <v>0</v>
      </c>
      <c r="CP95" s="123"/>
      <c r="CQ95" s="124">
        <f t="shared" si="120"/>
        <v>0</v>
      </c>
      <c r="CR95" s="123"/>
      <c r="CS95" s="124">
        <f t="shared" si="121"/>
        <v>0</v>
      </c>
      <c r="CT95" s="123"/>
      <c r="CU95" s="124">
        <f t="shared" si="122"/>
        <v>0</v>
      </c>
      <c r="CV95" s="123"/>
      <c r="CW95" s="124">
        <f t="shared" si="123"/>
        <v>0</v>
      </c>
      <c r="CX95" s="123"/>
      <c r="CY95" s="124">
        <f t="shared" si="124"/>
        <v>0</v>
      </c>
      <c r="CZ95" s="123"/>
      <c r="DA95" s="124">
        <f t="shared" si="125"/>
        <v>0</v>
      </c>
      <c r="DB95" s="123"/>
      <c r="DC95" s="124">
        <f t="shared" si="126"/>
        <v>0</v>
      </c>
      <c r="DD95" s="123"/>
      <c r="DE95" s="124">
        <f t="shared" si="126"/>
        <v>0</v>
      </c>
      <c r="DF95" s="177">
        <f t="shared" si="72"/>
        <v>0</v>
      </c>
      <c r="DG95" s="126">
        <f t="shared" si="127"/>
        <v>0</v>
      </c>
      <c r="DH95" s="123"/>
      <c r="DI95" s="124">
        <f t="shared" si="128"/>
        <v>0</v>
      </c>
      <c r="DJ95" s="123"/>
      <c r="DK95" s="124">
        <f t="shared" si="129"/>
        <v>0</v>
      </c>
      <c r="DL95" s="123"/>
      <c r="DM95" s="124">
        <f t="shared" si="130"/>
        <v>0</v>
      </c>
      <c r="DN95" s="123"/>
      <c r="DO95" s="124">
        <f t="shared" si="131"/>
        <v>0</v>
      </c>
      <c r="DP95" s="123"/>
      <c r="DQ95" s="124">
        <f t="shared" si="132"/>
        <v>0</v>
      </c>
      <c r="DR95" s="123"/>
      <c r="DS95" s="124">
        <f t="shared" si="133"/>
        <v>0</v>
      </c>
      <c r="DT95" s="123"/>
      <c r="DU95" s="124">
        <f t="shared" si="134"/>
        <v>0</v>
      </c>
      <c r="DV95" s="123"/>
      <c r="DW95" s="124">
        <f t="shared" si="135"/>
        <v>0</v>
      </c>
      <c r="DX95" s="123"/>
      <c r="DY95" s="124">
        <f t="shared" si="136"/>
        <v>0</v>
      </c>
      <c r="DZ95" s="123"/>
      <c r="EA95" s="124">
        <f t="shared" si="137"/>
        <v>0</v>
      </c>
      <c r="EB95" s="123"/>
      <c r="EC95" s="124">
        <f t="shared" si="138"/>
        <v>0</v>
      </c>
      <c r="ED95" s="123"/>
      <c r="EE95" s="124">
        <f t="shared" si="139"/>
        <v>0</v>
      </c>
      <c r="EF95" s="27">
        <f t="shared" si="73"/>
        <v>0</v>
      </c>
      <c r="EG95" s="124">
        <f t="shared" si="140"/>
        <v>0</v>
      </c>
    </row>
    <row r="96" spans="1:137" ht="18" customHeight="1" x14ac:dyDescent="0.5">
      <c r="A96" s="117"/>
      <c r="B96" s="122"/>
      <c r="C96" s="122"/>
      <c r="D96" s="117"/>
      <c r="E96" s="117"/>
      <c r="F96" s="117"/>
      <c r="G96" s="117"/>
      <c r="H96" s="123"/>
      <c r="I96" s="124">
        <f t="shared" si="74"/>
        <v>0</v>
      </c>
      <c r="J96" s="123"/>
      <c r="K96" s="124">
        <f t="shared" si="75"/>
        <v>0</v>
      </c>
      <c r="L96" s="123"/>
      <c r="M96" s="124">
        <f t="shared" si="76"/>
        <v>0</v>
      </c>
      <c r="N96" s="123"/>
      <c r="O96" s="124">
        <f t="shared" si="77"/>
        <v>0</v>
      </c>
      <c r="P96" s="123"/>
      <c r="Q96" s="124">
        <f t="shared" si="78"/>
        <v>0</v>
      </c>
      <c r="R96" s="123"/>
      <c r="S96" s="124">
        <f t="shared" si="79"/>
        <v>0</v>
      </c>
      <c r="T96" s="123"/>
      <c r="U96" s="124">
        <f t="shared" si="80"/>
        <v>0</v>
      </c>
      <c r="V96" s="123"/>
      <c r="W96" s="124">
        <f t="shared" si="81"/>
        <v>0</v>
      </c>
      <c r="X96" s="123"/>
      <c r="Y96" s="124">
        <f t="shared" si="82"/>
        <v>0</v>
      </c>
      <c r="Z96" s="123"/>
      <c r="AA96" s="124">
        <f t="shared" si="83"/>
        <v>0</v>
      </c>
      <c r="AB96" s="123"/>
      <c r="AC96" s="124">
        <f t="shared" si="84"/>
        <v>0</v>
      </c>
      <c r="AD96" s="123"/>
      <c r="AE96" s="124">
        <f t="shared" si="85"/>
        <v>0</v>
      </c>
      <c r="AF96" s="125">
        <f t="shared" si="86"/>
        <v>0</v>
      </c>
      <c r="AG96" s="126">
        <f t="shared" si="87"/>
        <v>0</v>
      </c>
      <c r="AH96" s="11"/>
      <c r="AI96" s="124">
        <f t="shared" si="88"/>
        <v>0</v>
      </c>
      <c r="AJ96" s="15"/>
      <c r="AK96" s="124">
        <f t="shared" si="89"/>
        <v>0</v>
      </c>
      <c r="AL96" s="15"/>
      <c r="AM96" s="124">
        <f t="shared" si="90"/>
        <v>0</v>
      </c>
      <c r="AN96" s="16"/>
      <c r="AO96" s="124">
        <f t="shared" si="91"/>
        <v>0</v>
      </c>
      <c r="AP96" s="15"/>
      <c r="AQ96" s="124">
        <f t="shared" si="92"/>
        <v>0</v>
      </c>
      <c r="AR96" s="15"/>
      <c r="AS96" s="124">
        <f t="shared" si="93"/>
        <v>0</v>
      </c>
      <c r="AT96" s="17"/>
      <c r="AU96" s="124">
        <f t="shared" si="94"/>
        <v>0</v>
      </c>
      <c r="AV96" s="15"/>
      <c r="AW96" s="124">
        <f t="shared" si="95"/>
        <v>0</v>
      </c>
      <c r="AX96" s="15"/>
      <c r="AY96" s="124">
        <f t="shared" si="96"/>
        <v>0</v>
      </c>
      <c r="AZ96" s="17"/>
      <c r="BA96" s="124">
        <f t="shared" si="97"/>
        <v>0</v>
      </c>
      <c r="BB96" s="33"/>
      <c r="BC96" s="124">
        <f t="shared" si="98"/>
        <v>0</v>
      </c>
      <c r="BD96" s="33"/>
      <c r="BE96" s="124">
        <f t="shared" si="99"/>
        <v>0</v>
      </c>
      <c r="BF96" s="125">
        <f t="shared" si="100"/>
        <v>0</v>
      </c>
      <c r="BG96" s="126">
        <f t="shared" si="101"/>
        <v>0</v>
      </c>
      <c r="BH96" s="123"/>
      <c r="BI96" s="124">
        <f t="shared" si="102"/>
        <v>0</v>
      </c>
      <c r="BJ96" s="123"/>
      <c r="BK96" s="124">
        <f t="shared" si="103"/>
        <v>0</v>
      </c>
      <c r="BL96" s="123"/>
      <c r="BM96" s="124">
        <f t="shared" si="104"/>
        <v>0</v>
      </c>
      <c r="BN96" s="123"/>
      <c r="BO96" s="124">
        <f t="shared" si="105"/>
        <v>0</v>
      </c>
      <c r="BP96" s="123"/>
      <c r="BQ96" s="124">
        <f t="shared" si="106"/>
        <v>0</v>
      </c>
      <c r="BR96" s="123"/>
      <c r="BS96" s="124">
        <f t="shared" si="107"/>
        <v>0</v>
      </c>
      <c r="BT96" s="123"/>
      <c r="BU96" s="124">
        <f t="shared" si="108"/>
        <v>0</v>
      </c>
      <c r="BV96" s="123"/>
      <c r="BW96" s="124">
        <f t="shared" si="109"/>
        <v>0</v>
      </c>
      <c r="BX96" s="123"/>
      <c r="BY96" s="124">
        <f t="shared" si="110"/>
        <v>0</v>
      </c>
      <c r="BZ96" s="123"/>
      <c r="CA96" s="124">
        <f t="shared" si="111"/>
        <v>0</v>
      </c>
      <c r="CB96" s="123"/>
      <c r="CC96" s="124">
        <f t="shared" si="112"/>
        <v>0</v>
      </c>
      <c r="CD96" s="123"/>
      <c r="CE96" s="124">
        <f t="shared" si="113"/>
        <v>0</v>
      </c>
      <c r="CF96" s="125">
        <f t="shared" si="114"/>
        <v>0</v>
      </c>
      <c r="CG96" s="126">
        <f t="shared" si="115"/>
        <v>0</v>
      </c>
      <c r="CH96" s="123"/>
      <c r="CI96" s="124">
        <f t="shared" si="116"/>
        <v>0</v>
      </c>
      <c r="CJ96" s="123"/>
      <c r="CK96" s="124">
        <f t="shared" si="117"/>
        <v>0</v>
      </c>
      <c r="CL96" s="123"/>
      <c r="CM96" s="124">
        <f t="shared" si="118"/>
        <v>0</v>
      </c>
      <c r="CN96" s="123"/>
      <c r="CO96" s="124">
        <f t="shared" si="119"/>
        <v>0</v>
      </c>
      <c r="CP96" s="123"/>
      <c r="CQ96" s="124">
        <f t="shared" si="120"/>
        <v>0</v>
      </c>
      <c r="CR96" s="123"/>
      <c r="CS96" s="124">
        <f t="shared" si="121"/>
        <v>0</v>
      </c>
      <c r="CT96" s="123"/>
      <c r="CU96" s="124">
        <f t="shared" si="122"/>
        <v>0</v>
      </c>
      <c r="CV96" s="123"/>
      <c r="CW96" s="124">
        <f t="shared" si="123"/>
        <v>0</v>
      </c>
      <c r="CX96" s="123"/>
      <c r="CY96" s="124">
        <f t="shared" si="124"/>
        <v>0</v>
      </c>
      <c r="CZ96" s="123"/>
      <c r="DA96" s="124">
        <f t="shared" si="125"/>
        <v>0</v>
      </c>
      <c r="DB96" s="123"/>
      <c r="DC96" s="124">
        <f t="shared" si="126"/>
        <v>0</v>
      </c>
      <c r="DD96" s="123"/>
      <c r="DE96" s="124">
        <f t="shared" si="126"/>
        <v>0</v>
      </c>
      <c r="DF96" s="177">
        <f t="shared" si="72"/>
        <v>0</v>
      </c>
      <c r="DG96" s="126">
        <f t="shared" si="127"/>
        <v>0</v>
      </c>
      <c r="DH96" s="123"/>
      <c r="DI96" s="124">
        <f t="shared" si="128"/>
        <v>0</v>
      </c>
      <c r="DJ96" s="123"/>
      <c r="DK96" s="124">
        <f t="shared" si="129"/>
        <v>0</v>
      </c>
      <c r="DL96" s="123"/>
      <c r="DM96" s="124">
        <f t="shared" si="130"/>
        <v>0</v>
      </c>
      <c r="DN96" s="123"/>
      <c r="DO96" s="124">
        <f t="shared" si="131"/>
        <v>0</v>
      </c>
      <c r="DP96" s="123"/>
      <c r="DQ96" s="124">
        <f t="shared" si="132"/>
        <v>0</v>
      </c>
      <c r="DR96" s="123"/>
      <c r="DS96" s="124">
        <f t="shared" si="133"/>
        <v>0</v>
      </c>
      <c r="DT96" s="123"/>
      <c r="DU96" s="124">
        <f t="shared" si="134"/>
        <v>0</v>
      </c>
      <c r="DV96" s="123"/>
      <c r="DW96" s="124">
        <f t="shared" si="135"/>
        <v>0</v>
      </c>
      <c r="DX96" s="123"/>
      <c r="DY96" s="124">
        <f t="shared" si="136"/>
        <v>0</v>
      </c>
      <c r="DZ96" s="123"/>
      <c r="EA96" s="124">
        <f t="shared" si="137"/>
        <v>0</v>
      </c>
      <c r="EB96" s="123"/>
      <c r="EC96" s="124">
        <f t="shared" si="138"/>
        <v>0</v>
      </c>
      <c r="ED96" s="123"/>
      <c r="EE96" s="124">
        <f t="shared" si="139"/>
        <v>0</v>
      </c>
      <c r="EF96" s="27">
        <f t="shared" si="73"/>
        <v>0</v>
      </c>
      <c r="EG96" s="124">
        <f t="shared" si="140"/>
        <v>0</v>
      </c>
    </row>
    <row r="97" spans="1:137" ht="18" customHeight="1" x14ac:dyDescent="0.5">
      <c r="A97" s="117">
        <v>78</v>
      </c>
      <c r="B97" s="122" t="s">
        <v>194</v>
      </c>
      <c r="C97" s="122" t="s">
        <v>233</v>
      </c>
      <c r="D97" s="117"/>
      <c r="E97" s="117">
        <v>0.75</v>
      </c>
      <c r="F97" s="117"/>
      <c r="G97" s="117"/>
      <c r="H97" s="123"/>
      <c r="I97" s="124">
        <f t="shared" si="74"/>
        <v>0</v>
      </c>
      <c r="J97" s="123"/>
      <c r="K97" s="124">
        <f t="shared" si="75"/>
        <v>0</v>
      </c>
      <c r="L97" s="123"/>
      <c r="M97" s="124">
        <f t="shared" si="76"/>
        <v>0</v>
      </c>
      <c r="N97" s="123"/>
      <c r="O97" s="124">
        <f t="shared" si="77"/>
        <v>0</v>
      </c>
      <c r="P97" s="123"/>
      <c r="Q97" s="124">
        <f t="shared" si="78"/>
        <v>0</v>
      </c>
      <c r="R97" s="123"/>
      <c r="S97" s="124">
        <f t="shared" si="79"/>
        <v>0</v>
      </c>
      <c r="T97" s="123"/>
      <c r="U97" s="124">
        <f t="shared" si="80"/>
        <v>0</v>
      </c>
      <c r="V97" s="123"/>
      <c r="W97" s="124">
        <f t="shared" si="81"/>
        <v>0</v>
      </c>
      <c r="X97" s="123"/>
      <c r="Y97" s="124">
        <f t="shared" si="82"/>
        <v>0</v>
      </c>
      <c r="Z97" s="123"/>
      <c r="AA97" s="124">
        <f t="shared" si="83"/>
        <v>0</v>
      </c>
      <c r="AB97" s="123"/>
      <c r="AC97" s="124">
        <f t="shared" si="84"/>
        <v>0</v>
      </c>
      <c r="AD97" s="123"/>
      <c r="AE97" s="124">
        <f t="shared" si="85"/>
        <v>0</v>
      </c>
      <c r="AF97" s="125">
        <f t="shared" si="86"/>
        <v>0</v>
      </c>
      <c r="AG97" s="126">
        <f t="shared" si="87"/>
        <v>0</v>
      </c>
      <c r="AH97" s="11"/>
      <c r="AI97" s="124">
        <f t="shared" si="88"/>
        <v>0</v>
      </c>
      <c r="AJ97" s="15"/>
      <c r="AK97" s="124">
        <f t="shared" si="89"/>
        <v>0</v>
      </c>
      <c r="AL97" s="15"/>
      <c r="AM97" s="124">
        <f t="shared" si="90"/>
        <v>0</v>
      </c>
      <c r="AN97" s="16"/>
      <c r="AO97" s="124">
        <f t="shared" si="91"/>
        <v>0</v>
      </c>
      <c r="AP97" s="15"/>
      <c r="AQ97" s="124">
        <f t="shared" si="92"/>
        <v>0</v>
      </c>
      <c r="AR97" s="15"/>
      <c r="AS97" s="124">
        <f t="shared" si="93"/>
        <v>0</v>
      </c>
      <c r="AT97" s="17"/>
      <c r="AU97" s="124">
        <f t="shared" si="94"/>
        <v>0</v>
      </c>
      <c r="AV97" s="15"/>
      <c r="AW97" s="124">
        <f t="shared" si="95"/>
        <v>0</v>
      </c>
      <c r="AX97" s="15"/>
      <c r="AY97" s="124">
        <f t="shared" si="96"/>
        <v>0</v>
      </c>
      <c r="AZ97" s="17"/>
      <c r="BA97" s="124">
        <f t="shared" si="97"/>
        <v>0</v>
      </c>
      <c r="BB97" s="33"/>
      <c r="BC97" s="124">
        <f t="shared" si="98"/>
        <v>0</v>
      </c>
      <c r="BD97" s="33"/>
      <c r="BE97" s="124">
        <f t="shared" si="99"/>
        <v>0</v>
      </c>
      <c r="BF97" s="125">
        <f t="shared" si="100"/>
        <v>0</v>
      </c>
      <c r="BG97" s="126">
        <f t="shared" si="101"/>
        <v>0</v>
      </c>
      <c r="BH97" s="123"/>
      <c r="BI97" s="124">
        <f t="shared" si="102"/>
        <v>0</v>
      </c>
      <c r="BJ97" s="123"/>
      <c r="BK97" s="124">
        <f t="shared" si="103"/>
        <v>0</v>
      </c>
      <c r="BL97" s="123"/>
      <c r="BM97" s="124">
        <f t="shared" si="104"/>
        <v>0</v>
      </c>
      <c r="BN97" s="123"/>
      <c r="BO97" s="124">
        <f t="shared" si="105"/>
        <v>0</v>
      </c>
      <c r="BP97" s="123"/>
      <c r="BQ97" s="124">
        <f t="shared" si="106"/>
        <v>0</v>
      </c>
      <c r="BR97" s="123"/>
      <c r="BS97" s="124">
        <f t="shared" si="107"/>
        <v>0</v>
      </c>
      <c r="BT97" s="123"/>
      <c r="BU97" s="124">
        <f t="shared" si="108"/>
        <v>0</v>
      </c>
      <c r="BV97" s="123"/>
      <c r="BW97" s="124">
        <f t="shared" si="109"/>
        <v>0</v>
      </c>
      <c r="BX97" s="123"/>
      <c r="BY97" s="124">
        <f t="shared" si="110"/>
        <v>0</v>
      </c>
      <c r="BZ97" s="123"/>
      <c r="CA97" s="124">
        <f t="shared" si="111"/>
        <v>0</v>
      </c>
      <c r="CB97" s="123"/>
      <c r="CC97" s="124">
        <f t="shared" si="112"/>
        <v>0</v>
      </c>
      <c r="CD97" s="123"/>
      <c r="CE97" s="124">
        <f t="shared" si="113"/>
        <v>0</v>
      </c>
      <c r="CF97" s="125">
        <f t="shared" si="114"/>
        <v>0</v>
      </c>
      <c r="CG97" s="126">
        <f t="shared" si="115"/>
        <v>0</v>
      </c>
      <c r="CH97" s="123"/>
      <c r="CI97" s="124">
        <f t="shared" si="116"/>
        <v>0</v>
      </c>
      <c r="CJ97" s="123"/>
      <c r="CK97" s="124">
        <f t="shared" si="117"/>
        <v>0</v>
      </c>
      <c r="CL97" s="123"/>
      <c r="CM97" s="124">
        <f t="shared" si="118"/>
        <v>0</v>
      </c>
      <c r="CN97" s="123"/>
      <c r="CO97" s="124">
        <f t="shared" si="119"/>
        <v>0</v>
      </c>
      <c r="CP97" s="123"/>
      <c r="CQ97" s="124">
        <f t="shared" si="120"/>
        <v>0</v>
      </c>
      <c r="CR97" s="123"/>
      <c r="CS97" s="124">
        <f t="shared" si="121"/>
        <v>0</v>
      </c>
      <c r="CT97" s="123"/>
      <c r="CU97" s="124">
        <f t="shared" si="122"/>
        <v>0</v>
      </c>
      <c r="CV97" s="123"/>
      <c r="CW97" s="124">
        <f t="shared" si="123"/>
        <v>0</v>
      </c>
      <c r="CX97" s="123"/>
      <c r="CY97" s="124">
        <f t="shared" si="124"/>
        <v>0</v>
      </c>
      <c r="CZ97" s="123"/>
      <c r="DA97" s="124">
        <f t="shared" si="125"/>
        <v>0</v>
      </c>
      <c r="DB97" s="123"/>
      <c r="DC97" s="124">
        <f t="shared" si="126"/>
        <v>0</v>
      </c>
      <c r="DD97" s="123"/>
      <c r="DE97" s="124">
        <f t="shared" si="126"/>
        <v>0</v>
      </c>
      <c r="DF97" s="177">
        <f t="shared" si="72"/>
        <v>0</v>
      </c>
      <c r="DG97" s="126">
        <f t="shared" si="127"/>
        <v>0</v>
      </c>
      <c r="DH97" s="123"/>
      <c r="DI97" s="124">
        <f t="shared" si="128"/>
        <v>0</v>
      </c>
      <c r="DJ97" s="123"/>
      <c r="DK97" s="124">
        <f t="shared" si="129"/>
        <v>0</v>
      </c>
      <c r="DL97" s="123"/>
      <c r="DM97" s="124">
        <f t="shared" si="130"/>
        <v>0</v>
      </c>
      <c r="DN97" s="123"/>
      <c r="DO97" s="124">
        <f t="shared" si="131"/>
        <v>0</v>
      </c>
      <c r="DP97" s="123"/>
      <c r="DQ97" s="124">
        <f t="shared" si="132"/>
        <v>0</v>
      </c>
      <c r="DR97" s="123"/>
      <c r="DS97" s="124">
        <f t="shared" si="133"/>
        <v>0</v>
      </c>
      <c r="DT97" s="123"/>
      <c r="DU97" s="124">
        <f t="shared" si="134"/>
        <v>0</v>
      </c>
      <c r="DV97" s="123"/>
      <c r="DW97" s="124">
        <f t="shared" si="135"/>
        <v>0</v>
      </c>
      <c r="DX97" s="123"/>
      <c r="DY97" s="124">
        <f t="shared" si="136"/>
        <v>0</v>
      </c>
      <c r="DZ97" s="123"/>
      <c r="EA97" s="124">
        <f t="shared" si="137"/>
        <v>0</v>
      </c>
      <c r="EB97" s="123"/>
      <c r="EC97" s="124">
        <f t="shared" si="138"/>
        <v>0</v>
      </c>
      <c r="ED97" s="123"/>
      <c r="EE97" s="124">
        <f t="shared" si="139"/>
        <v>0</v>
      </c>
      <c r="EF97" s="27">
        <f t="shared" si="73"/>
        <v>0</v>
      </c>
      <c r="EG97" s="124">
        <f t="shared" si="140"/>
        <v>0</v>
      </c>
    </row>
    <row r="98" spans="1:137" ht="18" customHeight="1" x14ac:dyDescent="0.5">
      <c r="A98" s="117">
        <v>79</v>
      </c>
      <c r="B98" s="122" t="s">
        <v>194</v>
      </c>
      <c r="C98" s="122" t="s">
        <v>231</v>
      </c>
      <c r="D98" s="117"/>
      <c r="E98" s="117">
        <v>0.6</v>
      </c>
      <c r="F98" s="117"/>
      <c r="G98" s="117"/>
      <c r="H98" s="123"/>
      <c r="I98" s="124">
        <f t="shared" si="74"/>
        <v>0</v>
      </c>
      <c r="J98" s="123"/>
      <c r="K98" s="124">
        <f t="shared" si="75"/>
        <v>0</v>
      </c>
      <c r="L98" s="123"/>
      <c r="M98" s="124">
        <f t="shared" si="76"/>
        <v>0</v>
      </c>
      <c r="N98" s="123"/>
      <c r="O98" s="124">
        <f t="shared" si="77"/>
        <v>0</v>
      </c>
      <c r="P98" s="123"/>
      <c r="Q98" s="124">
        <f t="shared" si="78"/>
        <v>0</v>
      </c>
      <c r="R98" s="123"/>
      <c r="S98" s="124">
        <f t="shared" si="79"/>
        <v>0</v>
      </c>
      <c r="T98" s="123"/>
      <c r="U98" s="124">
        <f t="shared" si="80"/>
        <v>0</v>
      </c>
      <c r="V98" s="123"/>
      <c r="W98" s="124">
        <f t="shared" si="81"/>
        <v>0</v>
      </c>
      <c r="X98" s="123"/>
      <c r="Y98" s="124">
        <f t="shared" si="82"/>
        <v>0</v>
      </c>
      <c r="Z98" s="123"/>
      <c r="AA98" s="124">
        <f t="shared" si="83"/>
        <v>0</v>
      </c>
      <c r="AB98" s="123"/>
      <c r="AC98" s="124">
        <f t="shared" si="84"/>
        <v>0</v>
      </c>
      <c r="AD98" s="123"/>
      <c r="AE98" s="124">
        <f t="shared" si="85"/>
        <v>0</v>
      </c>
      <c r="AF98" s="125">
        <f t="shared" si="86"/>
        <v>0</v>
      </c>
      <c r="AG98" s="126">
        <f t="shared" si="87"/>
        <v>0</v>
      </c>
      <c r="AH98" s="11"/>
      <c r="AI98" s="124">
        <f t="shared" si="88"/>
        <v>0</v>
      </c>
      <c r="AJ98" s="15">
        <v>1572</v>
      </c>
      <c r="AK98" s="124">
        <f t="shared" si="89"/>
        <v>943.19999999999993</v>
      </c>
      <c r="AL98" s="15">
        <v>4020</v>
      </c>
      <c r="AM98" s="124">
        <f t="shared" si="90"/>
        <v>2412</v>
      </c>
      <c r="AN98" s="16">
        <v>9740</v>
      </c>
      <c r="AO98" s="124">
        <f t="shared" si="91"/>
        <v>5844</v>
      </c>
      <c r="AP98" s="15">
        <v>11136</v>
      </c>
      <c r="AQ98" s="124">
        <f t="shared" si="92"/>
        <v>6681.5999999999995</v>
      </c>
      <c r="AR98" s="15"/>
      <c r="AS98" s="124">
        <f t="shared" si="93"/>
        <v>0</v>
      </c>
      <c r="AT98" s="17"/>
      <c r="AU98" s="124">
        <f t="shared" si="94"/>
        <v>0</v>
      </c>
      <c r="AV98" s="15"/>
      <c r="AW98" s="124">
        <f t="shared" si="95"/>
        <v>0</v>
      </c>
      <c r="AX98" s="15"/>
      <c r="AY98" s="124">
        <f t="shared" si="96"/>
        <v>0</v>
      </c>
      <c r="AZ98" s="17"/>
      <c r="BA98" s="124">
        <f t="shared" si="97"/>
        <v>0</v>
      </c>
      <c r="BB98" s="33"/>
      <c r="BC98" s="124">
        <f t="shared" si="98"/>
        <v>0</v>
      </c>
      <c r="BD98" s="33"/>
      <c r="BE98" s="124">
        <f t="shared" si="99"/>
        <v>0</v>
      </c>
      <c r="BF98" s="125">
        <f t="shared" si="100"/>
        <v>26468</v>
      </c>
      <c r="BG98" s="126">
        <f t="shared" si="101"/>
        <v>15880.8</v>
      </c>
      <c r="BH98" s="123"/>
      <c r="BI98" s="124">
        <f t="shared" si="102"/>
        <v>0</v>
      </c>
      <c r="BJ98" s="123"/>
      <c r="BK98" s="124">
        <f t="shared" si="103"/>
        <v>0</v>
      </c>
      <c r="BL98" s="123"/>
      <c r="BM98" s="124">
        <f t="shared" si="104"/>
        <v>0</v>
      </c>
      <c r="BN98" s="123"/>
      <c r="BO98" s="124">
        <f t="shared" si="105"/>
        <v>0</v>
      </c>
      <c r="BP98" s="123"/>
      <c r="BQ98" s="124">
        <f t="shared" si="106"/>
        <v>0</v>
      </c>
      <c r="BR98" s="123"/>
      <c r="BS98" s="124">
        <f t="shared" si="107"/>
        <v>0</v>
      </c>
      <c r="BT98" s="123"/>
      <c r="BU98" s="124">
        <f t="shared" si="108"/>
        <v>0</v>
      </c>
      <c r="BV98" s="123"/>
      <c r="BW98" s="124">
        <f t="shared" si="109"/>
        <v>0</v>
      </c>
      <c r="BX98" s="123"/>
      <c r="BY98" s="124">
        <f t="shared" si="110"/>
        <v>0</v>
      </c>
      <c r="BZ98" s="123"/>
      <c r="CA98" s="124">
        <f t="shared" si="111"/>
        <v>0</v>
      </c>
      <c r="CB98" s="123"/>
      <c r="CC98" s="124">
        <f t="shared" si="112"/>
        <v>0</v>
      </c>
      <c r="CD98" s="123"/>
      <c r="CE98" s="124">
        <f t="shared" si="113"/>
        <v>0</v>
      </c>
      <c r="CF98" s="125">
        <f t="shared" si="114"/>
        <v>0</v>
      </c>
      <c r="CG98" s="126">
        <f t="shared" si="115"/>
        <v>0</v>
      </c>
      <c r="CH98" s="123"/>
      <c r="CI98" s="124">
        <f t="shared" si="116"/>
        <v>0</v>
      </c>
      <c r="CJ98" s="123"/>
      <c r="CK98" s="124">
        <f t="shared" si="117"/>
        <v>0</v>
      </c>
      <c r="CL98" s="123"/>
      <c r="CM98" s="124">
        <f t="shared" si="118"/>
        <v>0</v>
      </c>
      <c r="CN98" s="123"/>
      <c r="CO98" s="124">
        <f t="shared" si="119"/>
        <v>0</v>
      </c>
      <c r="CP98" s="123"/>
      <c r="CQ98" s="124">
        <f t="shared" si="120"/>
        <v>0</v>
      </c>
      <c r="CR98" s="123"/>
      <c r="CS98" s="124">
        <f t="shared" si="121"/>
        <v>0</v>
      </c>
      <c r="CT98" s="123"/>
      <c r="CU98" s="124">
        <f t="shared" si="122"/>
        <v>0</v>
      </c>
      <c r="CV98" s="123"/>
      <c r="CW98" s="124">
        <f t="shared" si="123"/>
        <v>0</v>
      </c>
      <c r="CX98" s="123"/>
      <c r="CY98" s="124">
        <f t="shared" si="124"/>
        <v>0</v>
      </c>
      <c r="CZ98" s="123"/>
      <c r="DA98" s="124">
        <f t="shared" si="125"/>
        <v>0</v>
      </c>
      <c r="DB98" s="123"/>
      <c r="DC98" s="124">
        <f t="shared" si="126"/>
        <v>0</v>
      </c>
      <c r="DD98" s="123"/>
      <c r="DE98" s="124">
        <f t="shared" si="126"/>
        <v>0</v>
      </c>
      <c r="DF98" s="177">
        <f t="shared" si="72"/>
        <v>0</v>
      </c>
      <c r="DG98" s="126">
        <f t="shared" si="127"/>
        <v>0</v>
      </c>
      <c r="DH98" s="123"/>
      <c r="DI98" s="124">
        <f t="shared" si="128"/>
        <v>0</v>
      </c>
      <c r="DJ98" s="123"/>
      <c r="DK98" s="124">
        <f t="shared" si="129"/>
        <v>0</v>
      </c>
      <c r="DL98" s="123"/>
      <c r="DM98" s="124">
        <f t="shared" si="130"/>
        <v>0</v>
      </c>
      <c r="DN98" s="123"/>
      <c r="DO98" s="124">
        <f t="shared" si="131"/>
        <v>0</v>
      </c>
      <c r="DP98" s="123"/>
      <c r="DQ98" s="124">
        <f t="shared" si="132"/>
        <v>0</v>
      </c>
      <c r="DR98" s="123"/>
      <c r="DS98" s="124">
        <f t="shared" si="133"/>
        <v>0</v>
      </c>
      <c r="DT98" s="123"/>
      <c r="DU98" s="124">
        <f t="shared" si="134"/>
        <v>0</v>
      </c>
      <c r="DV98" s="123"/>
      <c r="DW98" s="124">
        <f t="shared" si="135"/>
        <v>0</v>
      </c>
      <c r="DX98" s="123"/>
      <c r="DY98" s="124">
        <f t="shared" si="136"/>
        <v>0</v>
      </c>
      <c r="DZ98" s="123"/>
      <c r="EA98" s="124">
        <f t="shared" si="137"/>
        <v>0</v>
      </c>
      <c r="EB98" s="123"/>
      <c r="EC98" s="124">
        <f t="shared" si="138"/>
        <v>0</v>
      </c>
      <c r="ED98" s="123"/>
      <c r="EE98" s="124">
        <f t="shared" si="139"/>
        <v>0</v>
      </c>
      <c r="EF98" s="27">
        <f t="shared" si="73"/>
        <v>0</v>
      </c>
      <c r="EG98" s="124">
        <f t="shared" si="140"/>
        <v>0</v>
      </c>
    </row>
    <row r="99" spans="1:137" ht="18" customHeight="1" x14ac:dyDescent="0.5">
      <c r="A99" s="117">
        <v>80</v>
      </c>
      <c r="B99" s="122" t="s">
        <v>194</v>
      </c>
      <c r="C99" s="122" t="s">
        <v>231</v>
      </c>
      <c r="D99" s="117"/>
      <c r="E99" s="117">
        <v>0.64</v>
      </c>
      <c r="F99" s="117" t="s">
        <v>236</v>
      </c>
      <c r="G99" s="117"/>
      <c r="H99" s="123"/>
      <c r="I99" s="124">
        <f t="shared" si="74"/>
        <v>0</v>
      </c>
      <c r="J99" s="123"/>
      <c r="K99" s="124">
        <f t="shared" si="75"/>
        <v>0</v>
      </c>
      <c r="L99" s="123"/>
      <c r="M99" s="124">
        <f t="shared" si="76"/>
        <v>0</v>
      </c>
      <c r="N99" s="123"/>
      <c r="O99" s="124">
        <f t="shared" si="77"/>
        <v>0</v>
      </c>
      <c r="P99" s="123"/>
      <c r="Q99" s="124">
        <f t="shared" si="78"/>
        <v>0</v>
      </c>
      <c r="R99" s="123"/>
      <c r="S99" s="124">
        <f t="shared" si="79"/>
        <v>0</v>
      </c>
      <c r="T99" s="123"/>
      <c r="U99" s="124">
        <f t="shared" si="80"/>
        <v>0</v>
      </c>
      <c r="V99" s="123"/>
      <c r="W99" s="124">
        <f t="shared" si="81"/>
        <v>0</v>
      </c>
      <c r="X99" s="123"/>
      <c r="Y99" s="124">
        <f t="shared" si="82"/>
        <v>0</v>
      </c>
      <c r="Z99" s="123"/>
      <c r="AA99" s="124">
        <f t="shared" si="83"/>
        <v>0</v>
      </c>
      <c r="AB99" s="123"/>
      <c r="AC99" s="124">
        <f t="shared" si="84"/>
        <v>0</v>
      </c>
      <c r="AD99" s="123"/>
      <c r="AE99" s="124">
        <f t="shared" si="85"/>
        <v>0</v>
      </c>
      <c r="AF99" s="125">
        <f t="shared" si="86"/>
        <v>0</v>
      </c>
      <c r="AG99" s="126">
        <f t="shared" si="87"/>
        <v>0</v>
      </c>
      <c r="AH99" s="11"/>
      <c r="AI99" s="124">
        <f t="shared" si="88"/>
        <v>0</v>
      </c>
      <c r="AJ99" s="15"/>
      <c r="AK99" s="124">
        <f t="shared" si="89"/>
        <v>0</v>
      </c>
      <c r="AL99" s="15"/>
      <c r="AM99" s="124">
        <f t="shared" si="90"/>
        <v>0</v>
      </c>
      <c r="AN99" s="16"/>
      <c r="AO99" s="124">
        <f t="shared" si="91"/>
        <v>0</v>
      </c>
      <c r="AP99" s="15"/>
      <c r="AQ99" s="124">
        <f t="shared" si="92"/>
        <v>0</v>
      </c>
      <c r="AR99" s="15"/>
      <c r="AS99" s="124">
        <f t="shared" si="93"/>
        <v>0</v>
      </c>
      <c r="AT99" s="17"/>
      <c r="AU99" s="124">
        <f t="shared" si="94"/>
        <v>0</v>
      </c>
      <c r="AV99" s="15"/>
      <c r="AW99" s="124">
        <f t="shared" si="95"/>
        <v>0</v>
      </c>
      <c r="AX99" s="15"/>
      <c r="AY99" s="124">
        <f t="shared" si="96"/>
        <v>0</v>
      </c>
      <c r="AZ99" s="17"/>
      <c r="BA99" s="124">
        <f t="shared" si="97"/>
        <v>0</v>
      </c>
      <c r="BB99" s="33"/>
      <c r="BC99" s="124">
        <f t="shared" si="98"/>
        <v>0</v>
      </c>
      <c r="BD99" s="33"/>
      <c r="BE99" s="124">
        <f t="shared" si="99"/>
        <v>0</v>
      </c>
      <c r="BF99" s="125">
        <f t="shared" si="100"/>
        <v>0</v>
      </c>
      <c r="BG99" s="126">
        <f t="shared" si="101"/>
        <v>0</v>
      </c>
      <c r="BH99" s="123"/>
      <c r="BI99" s="124">
        <f t="shared" si="102"/>
        <v>0</v>
      </c>
      <c r="BJ99" s="123"/>
      <c r="BK99" s="124">
        <f t="shared" si="103"/>
        <v>0</v>
      </c>
      <c r="BL99" s="123"/>
      <c r="BM99" s="124">
        <f t="shared" si="104"/>
        <v>0</v>
      </c>
      <c r="BN99" s="123"/>
      <c r="BO99" s="124">
        <f t="shared" si="105"/>
        <v>0</v>
      </c>
      <c r="BP99" s="123"/>
      <c r="BQ99" s="124">
        <f t="shared" si="106"/>
        <v>0</v>
      </c>
      <c r="BR99" s="123"/>
      <c r="BS99" s="124">
        <f t="shared" si="107"/>
        <v>0</v>
      </c>
      <c r="BT99" s="123"/>
      <c r="BU99" s="124">
        <f t="shared" si="108"/>
        <v>0</v>
      </c>
      <c r="BV99" s="123"/>
      <c r="BW99" s="124">
        <f t="shared" si="109"/>
        <v>0</v>
      </c>
      <c r="BX99" s="123"/>
      <c r="BY99" s="124">
        <f t="shared" si="110"/>
        <v>0</v>
      </c>
      <c r="BZ99" s="123"/>
      <c r="CA99" s="124">
        <f t="shared" si="111"/>
        <v>0</v>
      </c>
      <c r="CB99" s="123"/>
      <c r="CC99" s="124">
        <f t="shared" si="112"/>
        <v>0</v>
      </c>
      <c r="CD99" s="123"/>
      <c r="CE99" s="124">
        <f t="shared" si="113"/>
        <v>0</v>
      </c>
      <c r="CF99" s="125">
        <f t="shared" si="114"/>
        <v>0</v>
      </c>
      <c r="CG99" s="126">
        <f t="shared" si="115"/>
        <v>0</v>
      </c>
      <c r="CH99" s="123"/>
      <c r="CI99" s="124">
        <f t="shared" si="116"/>
        <v>0</v>
      </c>
      <c r="CJ99" s="123"/>
      <c r="CK99" s="124">
        <f t="shared" si="117"/>
        <v>0</v>
      </c>
      <c r="CL99" s="123"/>
      <c r="CM99" s="124">
        <f t="shared" si="118"/>
        <v>0</v>
      </c>
      <c r="CN99" s="123"/>
      <c r="CO99" s="124">
        <f t="shared" si="119"/>
        <v>0</v>
      </c>
      <c r="CP99" s="123"/>
      <c r="CQ99" s="124">
        <f t="shared" si="120"/>
        <v>0</v>
      </c>
      <c r="CR99" s="123"/>
      <c r="CS99" s="124">
        <f t="shared" si="121"/>
        <v>0</v>
      </c>
      <c r="CT99" s="123"/>
      <c r="CU99" s="124">
        <f t="shared" si="122"/>
        <v>0</v>
      </c>
      <c r="CV99" s="123"/>
      <c r="CW99" s="124">
        <f t="shared" si="123"/>
        <v>0</v>
      </c>
      <c r="CX99" s="123"/>
      <c r="CY99" s="124">
        <f t="shared" si="124"/>
        <v>0</v>
      </c>
      <c r="CZ99" s="123"/>
      <c r="DA99" s="124">
        <f t="shared" si="125"/>
        <v>0</v>
      </c>
      <c r="DB99" s="123"/>
      <c r="DC99" s="124">
        <f t="shared" si="126"/>
        <v>0</v>
      </c>
      <c r="DD99" s="123"/>
      <c r="DE99" s="124">
        <f t="shared" si="126"/>
        <v>0</v>
      </c>
      <c r="DF99" s="177">
        <f t="shared" si="72"/>
        <v>0</v>
      </c>
      <c r="DG99" s="126">
        <f t="shared" si="127"/>
        <v>0</v>
      </c>
      <c r="DH99" s="123"/>
      <c r="DI99" s="124">
        <f t="shared" si="128"/>
        <v>0</v>
      </c>
      <c r="DJ99" s="123"/>
      <c r="DK99" s="124">
        <f t="shared" si="129"/>
        <v>0</v>
      </c>
      <c r="DL99" s="123"/>
      <c r="DM99" s="124">
        <f t="shared" si="130"/>
        <v>0</v>
      </c>
      <c r="DN99" s="123"/>
      <c r="DO99" s="124">
        <f t="shared" si="131"/>
        <v>0</v>
      </c>
      <c r="DP99" s="123"/>
      <c r="DQ99" s="124">
        <f t="shared" si="132"/>
        <v>0</v>
      </c>
      <c r="DR99" s="123"/>
      <c r="DS99" s="124">
        <f t="shared" si="133"/>
        <v>0</v>
      </c>
      <c r="DT99" s="123"/>
      <c r="DU99" s="124">
        <f t="shared" si="134"/>
        <v>0</v>
      </c>
      <c r="DV99" s="123"/>
      <c r="DW99" s="124">
        <f t="shared" si="135"/>
        <v>0</v>
      </c>
      <c r="DX99" s="123"/>
      <c r="DY99" s="124">
        <f t="shared" si="136"/>
        <v>0</v>
      </c>
      <c r="DZ99" s="123"/>
      <c r="EA99" s="124">
        <f t="shared" si="137"/>
        <v>0</v>
      </c>
      <c r="EB99" s="123"/>
      <c r="EC99" s="124">
        <f t="shared" si="138"/>
        <v>0</v>
      </c>
      <c r="ED99" s="123"/>
      <c r="EE99" s="124">
        <f t="shared" si="139"/>
        <v>0</v>
      </c>
      <c r="EF99" s="27">
        <f t="shared" si="73"/>
        <v>0</v>
      </c>
      <c r="EG99" s="124">
        <f t="shared" si="140"/>
        <v>0</v>
      </c>
    </row>
    <row r="100" spans="1:137" ht="18" customHeight="1" x14ac:dyDescent="0.5">
      <c r="A100" s="117"/>
      <c r="B100" s="122"/>
      <c r="C100" s="122"/>
      <c r="D100" s="117"/>
      <c r="E100" s="117"/>
      <c r="F100" s="117"/>
      <c r="G100" s="117"/>
      <c r="H100" s="123"/>
      <c r="I100" s="124">
        <f t="shared" si="74"/>
        <v>0</v>
      </c>
      <c r="J100" s="123"/>
      <c r="K100" s="124">
        <f t="shared" si="75"/>
        <v>0</v>
      </c>
      <c r="L100" s="123"/>
      <c r="M100" s="124">
        <f t="shared" si="76"/>
        <v>0</v>
      </c>
      <c r="N100" s="123"/>
      <c r="O100" s="124">
        <f t="shared" si="77"/>
        <v>0</v>
      </c>
      <c r="P100" s="123"/>
      <c r="Q100" s="124">
        <f t="shared" si="78"/>
        <v>0</v>
      </c>
      <c r="R100" s="123"/>
      <c r="S100" s="124">
        <f t="shared" si="79"/>
        <v>0</v>
      </c>
      <c r="T100" s="123"/>
      <c r="U100" s="124">
        <f t="shared" si="80"/>
        <v>0</v>
      </c>
      <c r="V100" s="123"/>
      <c r="W100" s="124">
        <f t="shared" si="81"/>
        <v>0</v>
      </c>
      <c r="X100" s="123"/>
      <c r="Y100" s="124">
        <f t="shared" si="82"/>
        <v>0</v>
      </c>
      <c r="Z100" s="123"/>
      <c r="AA100" s="124">
        <f t="shared" si="83"/>
        <v>0</v>
      </c>
      <c r="AB100" s="123"/>
      <c r="AC100" s="124">
        <f t="shared" si="84"/>
        <v>0</v>
      </c>
      <c r="AD100" s="123"/>
      <c r="AE100" s="124">
        <f t="shared" si="85"/>
        <v>0</v>
      </c>
      <c r="AF100" s="125">
        <f t="shared" si="86"/>
        <v>0</v>
      </c>
      <c r="AG100" s="126">
        <f t="shared" si="87"/>
        <v>0</v>
      </c>
      <c r="AH100" s="11"/>
      <c r="AI100" s="124">
        <f t="shared" si="88"/>
        <v>0</v>
      </c>
      <c r="AJ100" s="15"/>
      <c r="AK100" s="124">
        <f t="shared" si="89"/>
        <v>0</v>
      </c>
      <c r="AL100" s="15"/>
      <c r="AM100" s="124">
        <f t="shared" si="90"/>
        <v>0</v>
      </c>
      <c r="AN100" s="16"/>
      <c r="AO100" s="124">
        <f t="shared" si="91"/>
        <v>0</v>
      </c>
      <c r="AP100" s="15"/>
      <c r="AQ100" s="124">
        <f t="shared" si="92"/>
        <v>0</v>
      </c>
      <c r="AR100" s="15"/>
      <c r="AS100" s="124">
        <f t="shared" si="93"/>
        <v>0</v>
      </c>
      <c r="AT100" s="17"/>
      <c r="AU100" s="124">
        <f t="shared" si="94"/>
        <v>0</v>
      </c>
      <c r="AV100" s="15"/>
      <c r="AW100" s="124">
        <f t="shared" si="95"/>
        <v>0</v>
      </c>
      <c r="AX100" s="15"/>
      <c r="AY100" s="124">
        <f t="shared" si="96"/>
        <v>0</v>
      </c>
      <c r="AZ100" s="17"/>
      <c r="BA100" s="124">
        <f t="shared" si="97"/>
        <v>0</v>
      </c>
      <c r="BB100" s="33"/>
      <c r="BC100" s="124">
        <f t="shared" si="98"/>
        <v>0</v>
      </c>
      <c r="BD100" s="33"/>
      <c r="BE100" s="124">
        <f t="shared" si="99"/>
        <v>0</v>
      </c>
      <c r="BF100" s="125">
        <f t="shared" si="100"/>
        <v>0</v>
      </c>
      <c r="BG100" s="126">
        <f t="shared" si="101"/>
        <v>0</v>
      </c>
      <c r="BH100" s="123"/>
      <c r="BI100" s="124">
        <f t="shared" si="102"/>
        <v>0</v>
      </c>
      <c r="BJ100" s="123"/>
      <c r="BK100" s="124">
        <f t="shared" si="103"/>
        <v>0</v>
      </c>
      <c r="BL100" s="123"/>
      <c r="BM100" s="124">
        <f t="shared" si="104"/>
        <v>0</v>
      </c>
      <c r="BN100" s="123"/>
      <c r="BO100" s="124">
        <f t="shared" si="105"/>
        <v>0</v>
      </c>
      <c r="BP100" s="123"/>
      <c r="BQ100" s="124">
        <f t="shared" si="106"/>
        <v>0</v>
      </c>
      <c r="BR100" s="123"/>
      <c r="BS100" s="124">
        <f t="shared" si="107"/>
        <v>0</v>
      </c>
      <c r="BT100" s="123"/>
      <c r="BU100" s="124">
        <f t="shared" si="108"/>
        <v>0</v>
      </c>
      <c r="BV100" s="123"/>
      <c r="BW100" s="124">
        <f t="shared" si="109"/>
        <v>0</v>
      </c>
      <c r="BX100" s="123"/>
      <c r="BY100" s="124">
        <f t="shared" si="110"/>
        <v>0</v>
      </c>
      <c r="BZ100" s="123"/>
      <c r="CA100" s="124">
        <f t="shared" si="111"/>
        <v>0</v>
      </c>
      <c r="CB100" s="123"/>
      <c r="CC100" s="124">
        <f t="shared" si="112"/>
        <v>0</v>
      </c>
      <c r="CD100" s="123"/>
      <c r="CE100" s="124">
        <f t="shared" si="113"/>
        <v>0</v>
      </c>
      <c r="CF100" s="125">
        <f t="shared" si="114"/>
        <v>0</v>
      </c>
      <c r="CG100" s="126">
        <f t="shared" si="115"/>
        <v>0</v>
      </c>
      <c r="CH100" s="123"/>
      <c r="CI100" s="124">
        <f t="shared" si="116"/>
        <v>0</v>
      </c>
      <c r="CJ100" s="123"/>
      <c r="CK100" s="124">
        <f t="shared" si="117"/>
        <v>0</v>
      </c>
      <c r="CL100" s="123"/>
      <c r="CM100" s="124">
        <f t="shared" si="118"/>
        <v>0</v>
      </c>
      <c r="CN100" s="123"/>
      <c r="CO100" s="124">
        <f t="shared" si="119"/>
        <v>0</v>
      </c>
      <c r="CP100" s="123"/>
      <c r="CQ100" s="124">
        <f t="shared" si="120"/>
        <v>0</v>
      </c>
      <c r="CR100" s="123"/>
      <c r="CS100" s="124">
        <f t="shared" si="121"/>
        <v>0</v>
      </c>
      <c r="CT100" s="123"/>
      <c r="CU100" s="124">
        <f t="shared" si="122"/>
        <v>0</v>
      </c>
      <c r="CV100" s="123"/>
      <c r="CW100" s="124">
        <f t="shared" si="123"/>
        <v>0</v>
      </c>
      <c r="CX100" s="123"/>
      <c r="CY100" s="124">
        <f t="shared" si="124"/>
        <v>0</v>
      </c>
      <c r="CZ100" s="123"/>
      <c r="DA100" s="124">
        <f t="shared" si="125"/>
        <v>0</v>
      </c>
      <c r="DB100" s="123"/>
      <c r="DC100" s="124">
        <f t="shared" si="126"/>
        <v>0</v>
      </c>
      <c r="DD100" s="123"/>
      <c r="DE100" s="124">
        <f t="shared" si="126"/>
        <v>0</v>
      </c>
      <c r="DF100" s="177">
        <f t="shared" si="72"/>
        <v>0</v>
      </c>
      <c r="DG100" s="126">
        <f t="shared" si="127"/>
        <v>0</v>
      </c>
      <c r="DH100" s="123"/>
      <c r="DI100" s="124">
        <f t="shared" si="128"/>
        <v>0</v>
      </c>
      <c r="DJ100" s="123"/>
      <c r="DK100" s="124">
        <f t="shared" si="129"/>
        <v>0</v>
      </c>
      <c r="DL100" s="123"/>
      <c r="DM100" s="124">
        <f t="shared" si="130"/>
        <v>0</v>
      </c>
      <c r="DN100" s="123"/>
      <c r="DO100" s="124">
        <f t="shared" si="131"/>
        <v>0</v>
      </c>
      <c r="DP100" s="123"/>
      <c r="DQ100" s="124">
        <f t="shared" si="132"/>
        <v>0</v>
      </c>
      <c r="DR100" s="123"/>
      <c r="DS100" s="124">
        <f t="shared" si="133"/>
        <v>0</v>
      </c>
      <c r="DT100" s="123"/>
      <c r="DU100" s="124">
        <f t="shared" si="134"/>
        <v>0</v>
      </c>
      <c r="DV100" s="123"/>
      <c r="DW100" s="124">
        <f t="shared" si="135"/>
        <v>0</v>
      </c>
      <c r="DX100" s="123"/>
      <c r="DY100" s="124">
        <f t="shared" si="136"/>
        <v>0</v>
      </c>
      <c r="DZ100" s="123"/>
      <c r="EA100" s="124">
        <f t="shared" si="137"/>
        <v>0</v>
      </c>
      <c r="EB100" s="123"/>
      <c r="EC100" s="124">
        <f t="shared" si="138"/>
        <v>0</v>
      </c>
      <c r="ED100" s="123"/>
      <c r="EE100" s="124">
        <f t="shared" si="139"/>
        <v>0</v>
      </c>
      <c r="EF100" s="27">
        <f t="shared" si="73"/>
        <v>0</v>
      </c>
      <c r="EG100" s="124">
        <f t="shared" si="140"/>
        <v>0</v>
      </c>
    </row>
    <row r="101" spans="1:137" ht="18" customHeight="1" x14ac:dyDescent="0.5">
      <c r="A101" s="117">
        <v>81</v>
      </c>
      <c r="B101" s="122" t="s">
        <v>196</v>
      </c>
      <c r="C101" s="122" t="s">
        <v>231</v>
      </c>
      <c r="D101" s="117"/>
      <c r="E101" s="117">
        <v>0.64</v>
      </c>
      <c r="F101" s="117" t="s">
        <v>239</v>
      </c>
      <c r="G101" s="117"/>
      <c r="H101" s="123"/>
      <c r="I101" s="124">
        <f t="shared" si="74"/>
        <v>0</v>
      </c>
      <c r="J101" s="123"/>
      <c r="K101" s="124">
        <f t="shared" si="75"/>
        <v>0</v>
      </c>
      <c r="L101" s="123"/>
      <c r="M101" s="124">
        <f t="shared" si="76"/>
        <v>0</v>
      </c>
      <c r="N101" s="123"/>
      <c r="O101" s="124">
        <f t="shared" si="77"/>
        <v>0</v>
      </c>
      <c r="P101" s="123"/>
      <c r="Q101" s="124">
        <f t="shared" si="78"/>
        <v>0</v>
      </c>
      <c r="R101" s="123"/>
      <c r="S101" s="124">
        <f t="shared" si="79"/>
        <v>0</v>
      </c>
      <c r="T101" s="123"/>
      <c r="U101" s="124">
        <f t="shared" si="80"/>
        <v>0</v>
      </c>
      <c r="V101" s="123"/>
      <c r="W101" s="124">
        <f t="shared" si="81"/>
        <v>0</v>
      </c>
      <c r="X101" s="123"/>
      <c r="Y101" s="124">
        <f t="shared" si="82"/>
        <v>0</v>
      </c>
      <c r="Z101" s="123"/>
      <c r="AA101" s="124">
        <f t="shared" si="83"/>
        <v>0</v>
      </c>
      <c r="AB101" s="123"/>
      <c r="AC101" s="124">
        <f t="shared" si="84"/>
        <v>0</v>
      </c>
      <c r="AD101" s="123"/>
      <c r="AE101" s="124">
        <f t="shared" si="85"/>
        <v>0</v>
      </c>
      <c r="AF101" s="125">
        <f t="shared" si="86"/>
        <v>0</v>
      </c>
      <c r="AG101" s="126">
        <f t="shared" si="87"/>
        <v>0</v>
      </c>
      <c r="AH101" s="11"/>
      <c r="AI101" s="124">
        <f t="shared" si="88"/>
        <v>0</v>
      </c>
      <c r="AJ101" s="15"/>
      <c r="AK101" s="124">
        <f t="shared" si="89"/>
        <v>0</v>
      </c>
      <c r="AL101" s="15"/>
      <c r="AM101" s="124">
        <f t="shared" si="90"/>
        <v>0</v>
      </c>
      <c r="AN101" s="16"/>
      <c r="AO101" s="124">
        <f t="shared" si="91"/>
        <v>0</v>
      </c>
      <c r="AP101" s="15"/>
      <c r="AQ101" s="124">
        <f t="shared" si="92"/>
        <v>0</v>
      </c>
      <c r="AR101" s="15"/>
      <c r="AS101" s="124">
        <f t="shared" si="93"/>
        <v>0</v>
      </c>
      <c r="AT101" s="17"/>
      <c r="AU101" s="124">
        <f t="shared" si="94"/>
        <v>0</v>
      </c>
      <c r="AV101" s="15"/>
      <c r="AW101" s="124">
        <f t="shared" si="95"/>
        <v>0</v>
      </c>
      <c r="AX101" s="15"/>
      <c r="AY101" s="124">
        <f t="shared" si="96"/>
        <v>0</v>
      </c>
      <c r="AZ101" s="17"/>
      <c r="BA101" s="124">
        <f t="shared" si="97"/>
        <v>0</v>
      </c>
      <c r="BB101" s="33"/>
      <c r="BC101" s="124">
        <f t="shared" si="98"/>
        <v>0</v>
      </c>
      <c r="BD101" s="33"/>
      <c r="BE101" s="124">
        <f t="shared" si="99"/>
        <v>0</v>
      </c>
      <c r="BF101" s="125">
        <f t="shared" si="100"/>
        <v>0</v>
      </c>
      <c r="BG101" s="126">
        <f t="shared" si="101"/>
        <v>0</v>
      </c>
      <c r="BH101" s="123"/>
      <c r="BI101" s="124">
        <f t="shared" si="102"/>
        <v>0</v>
      </c>
      <c r="BJ101" s="123"/>
      <c r="BK101" s="124">
        <f t="shared" si="103"/>
        <v>0</v>
      </c>
      <c r="BL101" s="123"/>
      <c r="BM101" s="124">
        <f t="shared" si="104"/>
        <v>0</v>
      </c>
      <c r="BN101" s="123"/>
      <c r="BO101" s="124">
        <f t="shared" si="105"/>
        <v>0</v>
      </c>
      <c r="BP101" s="123"/>
      <c r="BQ101" s="124">
        <f t="shared" si="106"/>
        <v>0</v>
      </c>
      <c r="BR101" s="123"/>
      <c r="BS101" s="124">
        <f t="shared" si="107"/>
        <v>0</v>
      </c>
      <c r="BT101" s="123"/>
      <c r="BU101" s="124">
        <f t="shared" si="108"/>
        <v>0</v>
      </c>
      <c r="BV101" s="123"/>
      <c r="BW101" s="124">
        <f t="shared" si="109"/>
        <v>0</v>
      </c>
      <c r="BX101" s="123"/>
      <c r="BY101" s="124">
        <f t="shared" si="110"/>
        <v>0</v>
      </c>
      <c r="BZ101" s="123"/>
      <c r="CA101" s="124">
        <f t="shared" si="111"/>
        <v>0</v>
      </c>
      <c r="CB101" s="123"/>
      <c r="CC101" s="124">
        <f t="shared" si="112"/>
        <v>0</v>
      </c>
      <c r="CD101" s="123"/>
      <c r="CE101" s="124">
        <f t="shared" si="113"/>
        <v>0</v>
      </c>
      <c r="CF101" s="125">
        <f t="shared" si="114"/>
        <v>0</v>
      </c>
      <c r="CG101" s="126">
        <f t="shared" si="115"/>
        <v>0</v>
      </c>
      <c r="CH101" s="123"/>
      <c r="CI101" s="124">
        <f t="shared" si="116"/>
        <v>0</v>
      </c>
      <c r="CJ101" s="123"/>
      <c r="CK101" s="124">
        <f t="shared" si="117"/>
        <v>0</v>
      </c>
      <c r="CL101" s="123"/>
      <c r="CM101" s="124">
        <f t="shared" si="118"/>
        <v>0</v>
      </c>
      <c r="CN101" s="123"/>
      <c r="CO101" s="124">
        <f t="shared" si="119"/>
        <v>0</v>
      </c>
      <c r="CP101" s="123"/>
      <c r="CQ101" s="124">
        <f t="shared" si="120"/>
        <v>0</v>
      </c>
      <c r="CR101" s="123"/>
      <c r="CS101" s="124">
        <f t="shared" si="121"/>
        <v>0</v>
      </c>
      <c r="CT101" s="123"/>
      <c r="CU101" s="124">
        <f t="shared" si="122"/>
        <v>0</v>
      </c>
      <c r="CV101" s="123"/>
      <c r="CW101" s="124">
        <f t="shared" si="123"/>
        <v>0</v>
      </c>
      <c r="CX101" s="123"/>
      <c r="CY101" s="124">
        <f t="shared" si="124"/>
        <v>0</v>
      </c>
      <c r="CZ101" s="123"/>
      <c r="DA101" s="124">
        <f t="shared" si="125"/>
        <v>0</v>
      </c>
      <c r="DB101" s="123"/>
      <c r="DC101" s="124">
        <f t="shared" si="126"/>
        <v>0</v>
      </c>
      <c r="DD101" s="123"/>
      <c r="DE101" s="124">
        <f t="shared" si="126"/>
        <v>0</v>
      </c>
      <c r="DF101" s="177">
        <f t="shared" si="72"/>
        <v>0</v>
      </c>
      <c r="DG101" s="126">
        <f t="shared" si="127"/>
        <v>0</v>
      </c>
      <c r="DH101" s="123"/>
      <c r="DI101" s="124">
        <f t="shared" si="128"/>
        <v>0</v>
      </c>
      <c r="DJ101" s="123"/>
      <c r="DK101" s="124">
        <f t="shared" si="129"/>
        <v>0</v>
      </c>
      <c r="DL101" s="123"/>
      <c r="DM101" s="124">
        <f t="shared" si="130"/>
        <v>0</v>
      </c>
      <c r="DN101" s="123"/>
      <c r="DO101" s="124">
        <f t="shared" si="131"/>
        <v>0</v>
      </c>
      <c r="DP101" s="123"/>
      <c r="DQ101" s="124">
        <f t="shared" si="132"/>
        <v>0</v>
      </c>
      <c r="DR101" s="123"/>
      <c r="DS101" s="124">
        <f t="shared" si="133"/>
        <v>0</v>
      </c>
      <c r="DT101" s="123"/>
      <c r="DU101" s="124">
        <f t="shared" si="134"/>
        <v>0</v>
      </c>
      <c r="DV101" s="123"/>
      <c r="DW101" s="124">
        <f t="shared" si="135"/>
        <v>0</v>
      </c>
      <c r="DX101" s="123"/>
      <c r="DY101" s="124">
        <f t="shared" si="136"/>
        <v>0</v>
      </c>
      <c r="DZ101" s="123"/>
      <c r="EA101" s="124">
        <f t="shared" si="137"/>
        <v>0</v>
      </c>
      <c r="EB101" s="123"/>
      <c r="EC101" s="124">
        <f t="shared" si="138"/>
        <v>0</v>
      </c>
      <c r="ED101" s="123"/>
      <c r="EE101" s="124">
        <f t="shared" si="139"/>
        <v>0</v>
      </c>
      <c r="EF101" s="27">
        <f t="shared" si="73"/>
        <v>0</v>
      </c>
      <c r="EG101" s="124">
        <f t="shared" si="140"/>
        <v>0</v>
      </c>
    </row>
    <row r="102" spans="1:137" x14ac:dyDescent="0.5">
      <c r="A102" s="117">
        <v>82</v>
      </c>
      <c r="B102" s="122" t="s">
        <v>240</v>
      </c>
      <c r="C102" s="122" t="s">
        <v>233</v>
      </c>
      <c r="D102" s="117"/>
      <c r="E102" s="117">
        <v>1</v>
      </c>
      <c r="F102" s="117" t="s">
        <v>237</v>
      </c>
      <c r="G102" s="117"/>
      <c r="H102" s="123"/>
      <c r="I102" s="124">
        <f t="shared" si="74"/>
        <v>0</v>
      </c>
      <c r="J102" s="123"/>
      <c r="K102" s="124">
        <f t="shared" si="75"/>
        <v>0</v>
      </c>
      <c r="L102" s="123"/>
      <c r="M102" s="124">
        <f t="shared" si="76"/>
        <v>0</v>
      </c>
      <c r="N102" s="123"/>
      <c r="O102" s="124">
        <f t="shared" si="77"/>
        <v>0</v>
      </c>
      <c r="P102" s="123"/>
      <c r="Q102" s="124">
        <f t="shared" si="78"/>
        <v>0</v>
      </c>
      <c r="R102" s="123"/>
      <c r="S102" s="124">
        <f t="shared" si="79"/>
        <v>0</v>
      </c>
      <c r="T102" s="123"/>
      <c r="U102" s="124">
        <f t="shared" si="80"/>
        <v>0</v>
      </c>
      <c r="V102" s="123"/>
      <c r="W102" s="124">
        <f t="shared" si="81"/>
        <v>0</v>
      </c>
      <c r="X102" s="123"/>
      <c r="Y102" s="124">
        <f t="shared" si="82"/>
        <v>0</v>
      </c>
      <c r="Z102" s="123"/>
      <c r="AA102" s="124">
        <f t="shared" si="83"/>
        <v>0</v>
      </c>
      <c r="AB102" s="123"/>
      <c r="AC102" s="124">
        <f t="shared" si="84"/>
        <v>0</v>
      </c>
      <c r="AD102" s="123"/>
      <c r="AE102" s="124">
        <f t="shared" si="85"/>
        <v>0</v>
      </c>
      <c r="AF102" s="125">
        <f t="shared" si="86"/>
        <v>0</v>
      </c>
      <c r="AG102" s="126">
        <f t="shared" si="87"/>
        <v>0</v>
      </c>
      <c r="AH102" s="123"/>
      <c r="AI102" s="124">
        <f t="shared" si="88"/>
        <v>0</v>
      </c>
      <c r="AJ102" s="123"/>
      <c r="AK102" s="124">
        <f t="shared" si="89"/>
        <v>0</v>
      </c>
      <c r="AL102" s="123"/>
      <c r="AM102" s="124">
        <f t="shared" si="90"/>
        <v>0</v>
      </c>
      <c r="AN102" s="123"/>
      <c r="AO102" s="124">
        <f t="shared" si="91"/>
        <v>0</v>
      </c>
      <c r="AP102" s="123"/>
      <c r="AQ102" s="124">
        <f t="shared" si="92"/>
        <v>0</v>
      </c>
      <c r="AR102" s="123"/>
      <c r="AS102" s="124">
        <f t="shared" si="93"/>
        <v>0</v>
      </c>
      <c r="AT102" s="123"/>
      <c r="AU102" s="124">
        <f t="shared" si="94"/>
        <v>0</v>
      </c>
      <c r="AV102" s="123"/>
      <c r="AW102" s="124">
        <f t="shared" si="95"/>
        <v>0</v>
      </c>
      <c r="AX102" s="123"/>
      <c r="AY102" s="124">
        <f t="shared" si="96"/>
        <v>0</v>
      </c>
      <c r="AZ102" s="123"/>
      <c r="BA102" s="124">
        <f t="shared" si="97"/>
        <v>0</v>
      </c>
      <c r="BB102" s="123"/>
      <c r="BC102" s="124">
        <f t="shared" si="98"/>
        <v>0</v>
      </c>
      <c r="BD102" s="123"/>
      <c r="BE102" s="124">
        <f t="shared" si="99"/>
        <v>0</v>
      </c>
      <c r="BF102" s="125">
        <f t="shared" si="100"/>
        <v>0</v>
      </c>
      <c r="BG102" s="126">
        <f t="shared" si="101"/>
        <v>0</v>
      </c>
      <c r="BH102" s="123"/>
      <c r="BI102" s="124">
        <f t="shared" si="102"/>
        <v>0</v>
      </c>
      <c r="BJ102" s="123"/>
      <c r="BK102" s="124">
        <f t="shared" si="103"/>
        <v>0</v>
      </c>
      <c r="BL102" s="123"/>
      <c r="BM102" s="124">
        <f t="shared" si="104"/>
        <v>0</v>
      </c>
      <c r="BN102" s="123"/>
      <c r="BO102" s="124">
        <f t="shared" si="105"/>
        <v>0</v>
      </c>
      <c r="BP102" s="123"/>
      <c r="BQ102" s="124">
        <f t="shared" si="106"/>
        <v>0</v>
      </c>
      <c r="BR102" s="123"/>
      <c r="BS102" s="124">
        <f t="shared" si="107"/>
        <v>0</v>
      </c>
      <c r="BT102" s="123"/>
      <c r="BU102" s="124">
        <f t="shared" si="108"/>
        <v>0</v>
      </c>
      <c r="BV102" s="123"/>
      <c r="BW102" s="124">
        <f t="shared" si="109"/>
        <v>0</v>
      </c>
      <c r="BX102" s="123"/>
      <c r="BY102" s="124">
        <f t="shared" si="110"/>
        <v>0</v>
      </c>
      <c r="BZ102" s="123"/>
      <c r="CA102" s="124">
        <f t="shared" si="111"/>
        <v>0</v>
      </c>
      <c r="CB102" s="123"/>
      <c r="CC102" s="124">
        <f t="shared" si="112"/>
        <v>0</v>
      </c>
      <c r="CD102" s="123"/>
      <c r="CE102" s="124">
        <f t="shared" si="113"/>
        <v>0</v>
      </c>
      <c r="CF102" s="125">
        <f t="shared" si="114"/>
        <v>0</v>
      </c>
      <c r="CG102" s="126">
        <f t="shared" si="115"/>
        <v>0</v>
      </c>
      <c r="CH102" s="129"/>
      <c r="CI102" s="124">
        <f t="shared" si="116"/>
        <v>0</v>
      </c>
      <c r="CJ102" s="123"/>
      <c r="CK102" s="124">
        <f t="shared" si="117"/>
        <v>0</v>
      </c>
      <c r="CL102" s="123"/>
      <c r="CM102" s="124">
        <f t="shared" si="118"/>
        <v>0</v>
      </c>
      <c r="CN102" s="123"/>
      <c r="CO102" s="124">
        <f t="shared" si="119"/>
        <v>0</v>
      </c>
      <c r="CP102" s="123"/>
      <c r="CQ102" s="124">
        <f t="shared" si="120"/>
        <v>0</v>
      </c>
      <c r="CR102" s="123"/>
      <c r="CS102" s="124">
        <f t="shared" si="121"/>
        <v>0</v>
      </c>
      <c r="CT102" s="123"/>
      <c r="CU102" s="124">
        <f t="shared" si="122"/>
        <v>0</v>
      </c>
      <c r="CV102" s="123"/>
      <c r="CW102" s="124">
        <f t="shared" si="123"/>
        <v>0</v>
      </c>
      <c r="CX102" s="123"/>
      <c r="CY102" s="124">
        <f t="shared" si="124"/>
        <v>0</v>
      </c>
      <c r="CZ102" s="123"/>
      <c r="DA102" s="124">
        <f t="shared" si="125"/>
        <v>0</v>
      </c>
      <c r="DB102" s="123"/>
      <c r="DC102" s="124">
        <f t="shared" si="126"/>
        <v>0</v>
      </c>
      <c r="DD102" s="123"/>
      <c r="DE102" s="124">
        <f t="shared" si="126"/>
        <v>0</v>
      </c>
      <c r="DF102" s="177">
        <f t="shared" si="72"/>
        <v>0</v>
      </c>
      <c r="DG102" s="126">
        <f t="shared" si="127"/>
        <v>0</v>
      </c>
      <c r="DH102" s="129"/>
      <c r="DI102" s="124">
        <f t="shared" si="128"/>
        <v>0</v>
      </c>
      <c r="DJ102" s="123"/>
      <c r="DK102" s="124">
        <f t="shared" si="129"/>
        <v>0</v>
      </c>
      <c r="DL102" s="123"/>
      <c r="DM102" s="124">
        <f t="shared" si="130"/>
        <v>0</v>
      </c>
      <c r="DN102" s="123"/>
      <c r="DO102" s="124">
        <f t="shared" si="131"/>
        <v>0</v>
      </c>
      <c r="DP102" s="123"/>
      <c r="DQ102" s="124">
        <f t="shared" si="132"/>
        <v>0</v>
      </c>
      <c r="DR102" s="123"/>
      <c r="DS102" s="124">
        <f t="shared" si="133"/>
        <v>0</v>
      </c>
      <c r="DT102" s="123"/>
      <c r="DU102" s="124">
        <f t="shared" si="134"/>
        <v>0</v>
      </c>
      <c r="DV102" s="123"/>
      <c r="DW102" s="124">
        <f t="shared" si="135"/>
        <v>0</v>
      </c>
      <c r="DX102" s="123"/>
      <c r="DY102" s="124">
        <f t="shared" si="136"/>
        <v>0</v>
      </c>
      <c r="DZ102" s="123"/>
      <c r="EA102" s="124">
        <f t="shared" si="137"/>
        <v>0</v>
      </c>
      <c r="EB102" s="123"/>
      <c r="EC102" s="124">
        <f t="shared" si="138"/>
        <v>0</v>
      </c>
      <c r="ED102" s="123"/>
      <c r="EE102" s="124">
        <f t="shared" si="139"/>
        <v>0</v>
      </c>
      <c r="EF102" s="27">
        <f t="shared" si="73"/>
        <v>0</v>
      </c>
      <c r="EG102" s="124">
        <f t="shared" si="140"/>
        <v>0</v>
      </c>
    </row>
    <row r="103" spans="1:137" x14ac:dyDescent="0.5">
      <c r="A103" s="117">
        <v>83</v>
      </c>
      <c r="B103" s="122" t="s">
        <v>240</v>
      </c>
      <c r="C103" s="122" t="s">
        <v>233</v>
      </c>
      <c r="D103" s="117"/>
      <c r="E103" s="117">
        <v>0.6</v>
      </c>
      <c r="F103" s="117" t="s">
        <v>237</v>
      </c>
      <c r="G103" s="117"/>
      <c r="H103" s="123"/>
      <c r="I103" s="124">
        <f t="shared" si="74"/>
        <v>0</v>
      </c>
      <c r="J103" s="123"/>
      <c r="K103" s="124">
        <f t="shared" si="75"/>
        <v>0</v>
      </c>
      <c r="L103" s="123"/>
      <c r="M103" s="124">
        <f t="shared" si="76"/>
        <v>0</v>
      </c>
      <c r="N103" s="123"/>
      <c r="O103" s="124">
        <f t="shared" si="77"/>
        <v>0</v>
      </c>
      <c r="P103" s="123"/>
      <c r="Q103" s="124">
        <f t="shared" si="78"/>
        <v>0</v>
      </c>
      <c r="R103" s="123"/>
      <c r="S103" s="124">
        <f t="shared" si="79"/>
        <v>0</v>
      </c>
      <c r="T103" s="123"/>
      <c r="U103" s="124">
        <f t="shared" si="80"/>
        <v>0</v>
      </c>
      <c r="V103" s="123"/>
      <c r="W103" s="124">
        <f t="shared" si="81"/>
        <v>0</v>
      </c>
      <c r="X103" s="123"/>
      <c r="Y103" s="124">
        <f t="shared" si="82"/>
        <v>0</v>
      </c>
      <c r="Z103" s="123"/>
      <c r="AA103" s="124">
        <f t="shared" si="83"/>
        <v>0</v>
      </c>
      <c r="AB103" s="123"/>
      <c r="AC103" s="124">
        <f t="shared" si="84"/>
        <v>0</v>
      </c>
      <c r="AD103" s="123"/>
      <c r="AE103" s="124">
        <f t="shared" si="85"/>
        <v>0</v>
      </c>
      <c r="AF103" s="125">
        <f t="shared" si="86"/>
        <v>0</v>
      </c>
      <c r="AG103" s="126">
        <f t="shared" si="87"/>
        <v>0</v>
      </c>
      <c r="AH103" s="123"/>
      <c r="AI103" s="124">
        <f t="shared" si="88"/>
        <v>0</v>
      </c>
      <c r="AJ103" s="123"/>
      <c r="AK103" s="124">
        <f t="shared" si="89"/>
        <v>0</v>
      </c>
      <c r="AL103" s="123"/>
      <c r="AM103" s="124">
        <f t="shared" si="90"/>
        <v>0</v>
      </c>
      <c r="AN103" s="123"/>
      <c r="AO103" s="124">
        <f t="shared" si="91"/>
        <v>0</v>
      </c>
      <c r="AP103" s="123"/>
      <c r="AQ103" s="124">
        <f t="shared" si="92"/>
        <v>0</v>
      </c>
      <c r="AR103" s="123"/>
      <c r="AS103" s="124">
        <f t="shared" si="93"/>
        <v>0</v>
      </c>
      <c r="AT103" s="123"/>
      <c r="AU103" s="124">
        <f t="shared" si="94"/>
        <v>0</v>
      </c>
      <c r="AV103" s="123"/>
      <c r="AW103" s="124">
        <f t="shared" si="95"/>
        <v>0</v>
      </c>
      <c r="AX103" s="123"/>
      <c r="AY103" s="124">
        <f t="shared" si="96"/>
        <v>0</v>
      </c>
      <c r="AZ103" s="123"/>
      <c r="BA103" s="124">
        <f t="shared" si="97"/>
        <v>0</v>
      </c>
      <c r="BB103" s="123"/>
      <c r="BC103" s="124">
        <f t="shared" si="98"/>
        <v>0</v>
      </c>
      <c r="BD103" s="123"/>
      <c r="BE103" s="124">
        <f t="shared" si="99"/>
        <v>0</v>
      </c>
      <c r="BF103" s="125">
        <f t="shared" si="100"/>
        <v>0</v>
      </c>
      <c r="BG103" s="126">
        <f t="shared" si="101"/>
        <v>0</v>
      </c>
      <c r="BH103" s="123"/>
      <c r="BI103" s="124">
        <f t="shared" si="102"/>
        <v>0</v>
      </c>
      <c r="BJ103" s="123"/>
      <c r="BK103" s="124">
        <f t="shared" si="103"/>
        <v>0</v>
      </c>
      <c r="BL103" s="123"/>
      <c r="BM103" s="124">
        <f t="shared" si="104"/>
        <v>0</v>
      </c>
      <c r="BN103" s="123"/>
      <c r="BO103" s="124">
        <f t="shared" si="105"/>
        <v>0</v>
      </c>
      <c r="BP103" s="123"/>
      <c r="BQ103" s="124">
        <f t="shared" si="106"/>
        <v>0</v>
      </c>
      <c r="BR103" s="123"/>
      <c r="BS103" s="124">
        <f t="shared" si="107"/>
        <v>0</v>
      </c>
      <c r="BT103" s="123"/>
      <c r="BU103" s="124">
        <f t="shared" si="108"/>
        <v>0</v>
      </c>
      <c r="BV103" s="123"/>
      <c r="BW103" s="124">
        <f t="shared" si="109"/>
        <v>0</v>
      </c>
      <c r="BX103" s="123"/>
      <c r="BY103" s="124">
        <f t="shared" si="110"/>
        <v>0</v>
      </c>
      <c r="BZ103" s="123"/>
      <c r="CA103" s="124">
        <f t="shared" si="111"/>
        <v>0</v>
      </c>
      <c r="CB103" s="123"/>
      <c r="CC103" s="124">
        <f t="shared" si="112"/>
        <v>0</v>
      </c>
      <c r="CD103" s="123"/>
      <c r="CE103" s="124">
        <f t="shared" si="113"/>
        <v>0</v>
      </c>
      <c r="CF103" s="125">
        <f t="shared" si="114"/>
        <v>0</v>
      </c>
      <c r="CG103" s="126">
        <f t="shared" si="115"/>
        <v>0</v>
      </c>
      <c r="CH103" s="129"/>
      <c r="CI103" s="124">
        <f t="shared" si="116"/>
        <v>0</v>
      </c>
      <c r="CJ103" s="123"/>
      <c r="CK103" s="124">
        <f t="shared" si="117"/>
        <v>0</v>
      </c>
      <c r="CL103" s="123"/>
      <c r="CM103" s="124">
        <f t="shared" si="118"/>
        <v>0</v>
      </c>
      <c r="CN103" s="123"/>
      <c r="CO103" s="124">
        <f t="shared" si="119"/>
        <v>0</v>
      </c>
      <c r="CP103" s="123"/>
      <c r="CQ103" s="124">
        <f t="shared" si="120"/>
        <v>0</v>
      </c>
      <c r="CR103" s="123"/>
      <c r="CS103" s="124">
        <f t="shared" si="121"/>
        <v>0</v>
      </c>
      <c r="CT103" s="123"/>
      <c r="CU103" s="124">
        <f t="shared" si="122"/>
        <v>0</v>
      </c>
      <c r="CV103" s="123"/>
      <c r="CW103" s="124">
        <f t="shared" si="123"/>
        <v>0</v>
      </c>
      <c r="CX103" s="123"/>
      <c r="CY103" s="124">
        <f t="shared" si="124"/>
        <v>0</v>
      </c>
      <c r="CZ103" s="123"/>
      <c r="DA103" s="124">
        <f t="shared" si="125"/>
        <v>0</v>
      </c>
      <c r="DB103" s="123"/>
      <c r="DC103" s="124">
        <f t="shared" si="126"/>
        <v>0</v>
      </c>
      <c r="DD103" s="123"/>
      <c r="DE103" s="124">
        <f t="shared" si="126"/>
        <v>0</v>
      </c>
      <c r="DF103" s="177">
        <f t="shared" si="72"/>
        <v>0</v>
      </c>
      <c r="DG103" s="126">
        <f t="shared" si="127"/>
        <v>0</v>
      </c>
      <c r="DH103" s="129"/>
      <c r="DI103" s="124">
        <f t="shared" si="128"/>
        <v>0</v>
      </c>
      <c r="DJ103" s="123"/>
      <c r="DK103" s="124">
        <f t="shared" si="129"/>
        <v>0</v>
      </c>
      <c r="DL103" s="123"/>
      <c r="DM103" s="124">
        <f t="shared" si="130"/>
        <v>0</v>
      </c>
      <c r="DN103" s="123"/>
      <c r="DO103" s="124">
        <f t="shared" si="131"/>
        <v>0</v>
      </c>
      <c r="DP103" s="123"/>
      <c r="DQ103" s="124">
        <f t="shared" si="132"/>
        <v>0</v>
      </c>
      <c r="DR103" s="123"/>
      <c r="DS103" s="124">
        <f t="shared" si="133"/>
        <v>0</v>
      </c>
      <c r="DT103" s="123"/>
      <c r="DU103" s="124">
        <f t="shared" si="134"/>
        <v>0</v>
      </c>
      <c r="DV103" s="123"/>
      <c r="DW103" s="124">
        <f t="shared" si="135"/>
        <v>0</v>
      </c>
      <c r="DX103" s="123"/>
      <c r="DY103" s="124">
        <f t="shared" si="136"/>
        <v>0</v>
      </c>
      <c r="DZ103" s="123"/>
      <c r="EA103" s="124">
        <f t="shared" si="137"/>
        <v>0</v>
      </c>
      <c r="EB103" s="123"/>
      <c r="EC103" s="124">
        <f t="shared" si="138"/>
        <v>0</v>
      </c>
      <c r="ED103" s="123"/>
      <c r="EE103" s="124">
        <f t="shared" si="139"/>
        <v>0</v>
      </c>
      <c r="EF103" s="27">
        <f t="shared" si="73"/>
        <v>0</v>
      </c>
      <c r="EG103" s="124">
        <f t="shared" si="140"/>
        <v>0</v>
      </c>
    </row>
    <row r="104" spans="1:137" x14ac:dyDescent="0.5">
      <c r="A104" s="117"/>
      <c r="B104" s="122"/>
      <c r="C104" s="122"/>
      <c r="D104" s="117"/>
      <c r="E104" s="117"/>
      <c r="F104" s="117"/>
      <c r="G104" s="117"/>
      <c r="H104" s="123"/>
      <c r="I104" s="124">
        <f t="shared" si="74"/>
        <v>0</v>
      </c>
      <c r="J104" s="123"/>
      <c r="K104" s="124">
        <f t="shared" si="75"/>
        <v>0</v>
      </c>
      <c r="L104" s="123"/>
      <c r="M104" s="124">
        <f t="shared" si="76"/>
        <v>0</v>
      </c>
      <c r="N104" s="123"/>
      <c r="O104" s="124">
        <f t="shared" si="77"/>
        <v>0</v>
      </c>
      <c r="P104" s="123"/>
      <c r="Q104" s="124">
        <f t="shared" si="78"/>
        <v>0</v>
      </c>
      <c r="R104" s="123"/>
      <c r="S104" s="124">
        <f t="shared" si="79"/>
        <v>0</v>
      </c>
      <c r="T104" s="123"/>
      <c r="U104" s="124">
        <f t="shared" si="80"/>
        <v>0</v>
      </c>
      <c r="V104" s="123"/>
      <c r="W104" s="124">
        <f t="shared" si="81"/>
        <v>0</v>
      </c>
      <c r="X104" s="123"/>
      <c r="Y104" s="124">
        <f t="shared" si="82"/>
        <v>0</v>
      </c>
      <c r="Z104" s="123"/>
      <c r="AA104" s="124">
        <f t="shared" si="83"/>
        <v>0</v>
      </c>
      <c r="AB104" s="123"/>
      <c r="AC104" s="124">
        <f t="shared" si="84"/>
        <v>0</v>
      </c>
      <c r="AD104" s="123"/>
      <c r="AE104" s="124">
        <f t="shared" si="85"/>
        <v>0</v>
      </c>
      <c r="AF104" s="125">
        <f t="shared" si="86"/>
        <v>0</v>
      </c>
      <c r="AG104" s="126">
        <f t="shared" si="87"/>
        <v>0</v>
      </c>
      <c r="AH104" s="123"/>
      <c r="AI104" s="124">
        <f t="shared" si="88"/>
        <v>0</v>
      </c>
      <c r="AJ104" s="123"/>
      <c r="AK104" s="124">
        <f t="shared" si="89"/>
        <v>0</v>
      </c>
      <c r="AL104" s="123"/>
      <c r="AM104" s="124">
        <f t="shared" si="90"/>
        <v>0</v>
      </c>
      <c r="AN104" s="123"/>
      <c r="AO104" s="124">
        <f t="shared" si="91"/>
        <v>0</v>
      </c>
      <c r="AP104" s="123"/>
      <c r="AQ104" s="124">
        <f t="shared" si="92"/>
        <v>0</v>
      </c>
      <c r="AR104" s="123"/>
      <c r="AS104" s="124">
        <f t="shared" si="93"/>
        <v>0</v>
      </c>
      <c r="AT104" s="123"/>
      <c r="AU104" s="124">
        <f t="shared" si="94"/>
        <v>0</v>
      </c>
      <c r="AV104" s="123"/>
      <c r="AW104" s="124">
        <f t="shared" si="95"/>
        <v>0</v>
      </c>
      <c r="AX104" s="123"/>
      <c r="AY104" s="124">
        <f t="shared" si="96"/>
        <v>0</v>
      </c>
      <c r="AZ104" s="123"/>
      <c r="BA104" s="124">
        <f t="shared" si="97"/>
        <v>0</v>
      </c>
      <c r="BB104" s="123"/>
      <c r="BC104" s="124">
        <f t="shared" si="98"/>
        <v>0</v>
      </c>
      <c r="BD104" s="123"/>
      <c r="BE104" s="124">
        <f t="shared" si="99"/>
        <v>0</v>
      </c>
      <c r="BF104" s="125">
        <f t="shared" si="100"/>
        <v>0</v>
      </c>
      <c r="BG104" s="126">
        <f t="shared" si="101"/>
        <v>0</v>
      </c>
      <c r="BH104" s="123"/>
      <c r="BI104" s="124">
        <f t="shared" si="102"/>
        <v>0</v>
      </c>
      <c r="BJ104" s="123"/>
      <c r="BK104" s="124">
        <f t="shared" si="103"/>
        <v>0</v>
      </c>
      <c r="BL104" s="123"/>
      <c r="BM104" s="124">
        <f t="shared" si="104"/>
        <v>0</v>
      </c>
      <c r="BN104" s="123"/>
      <c r="BO104" s="124">
        <f t="shared" si="105"/>
        <v>0</v>
      </c>
      <c r="BP104" s="123"/>
      <c r="BQ104" s="124">
        <f t="shared" si="106"/>
        <v>0</v>
      </c>
      <c r="BR104" s="123"/>
      <c r="BS104" s="124">
        <f t="shared" si="107"/>
        <v>0</v>
      </c>
      <c r="BT104" s="123"/>
      <c r="BU104" s="124">
        <f t="shared" si="108"/>
        <v>0</v>
      </c>
      <c r="BV104" s="123"/>
      <c r="BW104" s="124">
        <f t="shared" si="109"/>
        <v>0</v>
      </c>
      <c r="BX104" s="123"/>
      <c r="BY104" s="124">
        <f t="shared" si="110"/>
        <v>0</v>
      </c>
      <c r="BZ104" s="123"/>
      <c r="CA104" s="124">
        <f t="shared" si="111"/>
        <v>0</v>
      </c>
      <c r="CB104" s="123"/>
      <c r="CC104" s="124">
        <f t="shared" si="112"/>
        <v>0</v>
      </c>
      <c r="CD104" s="123"/>
      <c r="CE104" s="124">
        <f t="shared" si="113"/>
        <v>0</v>
      </c>
      <c r="CF104" s="125">
        <f t="shared" si="114"/>
        <v>0</v>
      </c>
      <c r="CG104" s="126">
        <f t="shared" si="115"/>
        <v>0</v>
      </c>
      <c r="CH104" s="129"/>
      <c r="CI104" s="124">
        <f t="shared" si="116"/>
        <v>0</v>
      </c>
      <c r="CJ104" s="123"/>
      <c r="CK104" s="124">
        <f t="shared" si="117"/>
        <v>0</v>
      </c>
      <c r="CL104" s="123"/>
      <c r="CM104" s="124">
        <f t="shared" si="118"/>
        <v>0</v>
      </c>
      <c r="CN104" s="123"/>
      <c r="CO104" s="124">
        <f t="shared" si="119"/>
        <v>0</v>
      </c>
      <c r="CP104" s="123"/>
      <c r="CQ104" s="124">
        <f t="shared" si="120"/>
        <v>0</v>
      </c>
      <c r="CR104" s="123"/>
      <c r="CS104" s="124">
        <f t="shared" si="121"/>
        <v>0</v>
      </c>
      <c r="CT104" s="123"/>
      <c r="CU104" s="124">
        <f t="shared" si="122"/>
        <v>0</v>
      </c>
      <c r="CV104" s="123"/>
      <c r="CW104" s="124">
        <f t="shared" si="123"/>
        <v>0</v>
      </c>
      <c r="CX104" s="123"/>
      <c r="CY104" s="124">
        <f t="shared" si="124"/>
        <v>0</v>
      </c>
      <c r="CZ104" s="123"/>
      <c r="DA104" s="124">
        <f t="shared" si="125"/>
        <v>0</v>
      </c>
      <c r="DB104" s="123"/>
      <c r="DC104" s="124">
        <f t="shared" si="126"/>
        <v>0</v>
      </c>
      <c r="DD104" s="123"/>
      <c r="DE104" s="124">
        <f t="shared" si="126"/>
        <v>0</v>
      </c>
      <c r="DF104" s="177">
        <f t="shared" si="72"/>
        <v>0</v>
      </c>
      <c r="DG104" s="126">
        <f t="shared" si="127"/>
        <v>0</v>
      </c>
      <c r="DH104" s="129"/>
      <c r="DI104" s="124">
        <f t="shared" si="128"/>
        <v>0</v>
      </c>
      <c r="DJ104" s="123"/>
      <c r="DK104" s="124">
        <f t="shared" si="129"/>
        <v>0</v>
      </c>
      <c r="DL104" s="123"/>
      <c r="DM104" s="124">
        <f t="shared" si="130"/>
        <v>0</v>
      </c>
      <c r="DN104" s="123"/>
      <c r="DO104" s="124">
        <f t="shared" si="131"/>
        <v>0</v>
      </c>
      <c r="DP104" s="123"/>
      <c r="DQ104" s="124">
        <f t="shared" si="132"/>
        <v>0</v>
      </c>
      <c r="DR104" s="123"/>
      <c r="DS104" s="124">
        <f t="shared" si="133"/>
        <v>0</v>
      </c>
      <c r="DT104" s="123"/>
      <c r="DU104" s="124">
        <f t="shared" si="134"/>
        <v>0</v>
      </c>
      <c r="DV104" s="123"/>
      <c r="DW104" s="124">
        <f t="shared" si="135"/>
        <v>0</v>
      </c>
      <c r="DX104" s="123"/>
      <c r="DY104" s="124">
        <f t="shared" si="136"/>
        <v>0</v>
      </c>
      <c r="DZ104" s="123"/>
      <c r="EA104" s="124">
        <f t="shared" si="137"/>
        <v>0</v>
      </c>
      <c r="EB104" s="123"/>
      <c r="EC104" s="124">
        <f t="shared" si="138"/>
        <v>0</v>
      </c>
      <c r="ED104" s="123"/>
      <c r="EE104" s="124">
        <f t="shared" si="139"/>
        <v>0</v>
      </c>
      <c r="EF104" s="27">
        <f t="shared" si="73"/>
        <v>0</v>
      </c>
      <c r="EG104" s="124">
        <f t="shared" si="140"/>
        <v>0</v>
      </c>
    </row>
    <row r="105" spans="1:137" ht="18" customHeight="1" x14ac:dyDescent="0.5">
      <c r="A105" s="117">
        <v>84</v>
      </c>
      <c r="B105" s="122" t="s">
        <v>198</v>
      </c>
      <c r="C105" s="122" t="s">
        <v>233</v>
      </c>
      <c r="D105" s="117"/>
      <c r="E105" s="117">
        <v>1</v>
      </c>
      <c r="F105" s="117" t="s">
        <v>237</v>
      </c>
      <c r="G105" s="117"/>
      <c r="H105" s="123"/>
      <c r="I105" s="124">
        <f t="shared" si="74"/>
        <v>0</v>
      </c>
      <c r="J105" s="123"/>
      <c r="K105" s="124">
        <f t="shared" si="75"/>
        <v>0</v>
      </c>
      <c r="L105" s="123"/>
      <c r="M105" s="124">
        <f t="shared" si="76"/>
        <v>0</v>
      </c>
      <c r="N105" s="123"/>
      <c r="O105" s="124">
        <f t="shared" si="77"/>
        <v>0</v>
      </c>
      <c r="P105" s="123"/>
      <c r="Q105" s="124">
        <f t="shared" si="78"/>
        <v>0</v>
      </c>
      <c r="R105" s="123"/>
      <c r="S105" s="124">
        <f t="shared" si="79"/>
        <v>0</v>
      </c>
      <c r="T105" s="123"/>
      <c r="U105" s="124">
        <f t="shared" si="80"/>
        <v>0</v>
      </c>
      <c r="V105" s="123"/>
      <c r="W105" s="124">
        <f t="shared" si="81"/>
        <v>0</v>
      </c>
      <c r="X105" s="123"/>
      <c r="Y105" s="124">
        <f t="shared" si="82"/>
        <v>0</v>
      </c>
      <c r="Z105" s="123"/>
      <c r="AA105" s="124">
        <f t="shared" si="83"/>
        <v>0</v>
      </c>
      <c r="AB105" s="123"/>
      <c r="AC105" s="124">
        <f t="shared" si="84"/>
        <v>0</v>
      </c>
      <c r="AD105" s="123"/>
      <c r="AE105" s="124">
        <f t="shared" si="85"/>
        <v>0</v>
      </c>
      <c r="AF105" s="125">
        <f t="shared" si="86"/>
        <v>0</v>
      </c>
      <c r="AG105" s="126">
        <f t="shared" si="87"/>
        <v>0</v>
      </c>
      <c r="AH105" s="11"/>
      <c r="AI105" s="124">
        <f t="shared" si="88"/>
        <v>0</v>
      </c>
      <c r="AJ105" s="15"/>
      <c r="AK105" s="124">
        <f t="shared" si="89"/>
        <v>0</v>
      </c>
      <c r="AL105" s="15"/>
      <c r="AM105" s="124">
        <f t="shared" si="90"/>
        <v>0</v>
      </c>
      <c r="AN105" s="16"/>
      <c r="AO105" s="124">
        <f t="shared" si="91"/>
        <v>0</v>
      </c>
      <c r="AP105" s="15"/>
      <c r="AQ105" s="124">
        <f t="shared" si="92"/>
        <v>0</v>
      </c>
      <c r="AR105" s="15"/>
      <c r="AS105" s="124">
        <f t="shared" si="93"/>
        <v>0</v>
      </c>
      <c r="AT105" s="17"/>
      <c r="AU105" s="124">
        <f t="shared" si="94"/>
        <v>0</v>
      </c>
      <c r="AV105" s="15"/>
      <c r="AW105" s="124">
        <f t="shared" si="95"/>
        <v>0</v>
      </c>
      <c r="AX105" s="15"/>
      <c r="AY105" s="124">
        <f t="shared" si="96"/>
        <v>0</v>
      </c>
      <c r="AZ105" s="17"/>
      <c r="BA105" s="124">
        <f t="shared" si="97"/>
        <v>0</v>
      </c>
      <c r="BB105" s="33"/>
      <c r="BC105" s="124">
        <f t="shared" si="98"/>
        <v>0</v>
      </c>
      <c r="BD105" s="33"/>
      <c r="BE105" s="124">
        <f t="shared" si="99"/>
        <v>0</v>
      </c>
      <c r="BF105" s="125">
        <f t="shared" si="100"/>
        <v>0</v>
      </c>
      <c r="BG105" s="126">
        <f t="shared" si="101"/>
        <v>0</v>
      </c>
      <c r="BH105" s="123"/>
      <c r="BI105" s="124">
        <f t="shared" si="102"/>
        <v>0</v>
      </c>
      <c r="BJ105" s="123"/>
      <c r="BK105" s="124">
        <f t="shared" si="103"/>
        <v>0</v>
      </c>
      <c r="BL105" s="123"/>
      <c r="BM105" s="124">
        <f t="shared" si="104"/>
        <v>0</v>
      </c>
      <c r="BN105" s="123"/>
      <c r="BO105" s="124">
        <f t="shared" si="105"/>
        <v>0</v>
      </c>
      <c r="BP105" s="123"/>
      <c r="BQ105" s="124">
        <f t="shared" si="106"/>
        <v>0</v>
      </c>
      <c r="BR105" s="123"/>
      <c r="BS105" s="124">
        <f t="shared" si="107"/>
        <v>0</v>
      </c>
      <c r="BT105" s="123"/>
      <c r="BU105" s="124">
        <f t="shared" si="108"/>
        <v>0</v>
      </c>
      <c r="BV105" s="123"/>
      <c r="BW105" s="124">
        <f t="shared" si="109"/>
        <v>0</v>
      </c>
      <c r="BX105" s="123"/>
      <c r="BY105" s="124">
        <f t="shared" si="110"/>
        <v>0</v>
      </c>
      <c r="BZ105" s="123"/>
      <c r="CA105" s="124">
        <f t="shared" si="111"/>
        <v>0</v>
      </c>
      <c r="CB105" s="123"/>
      <c r="CC105" s="124">
        <f t="shared" si="112"/>
        <v>0</v>
      </c>
      <c r="CD105" s="123"/>
      <c r="CE105" s="124">
        <f t="shared" si="113"/>
        <v>0</v>
      </c>
      <c r="CF105" s="125">
        <f t="shared" si="114"/>
        <v>0</v>
      </c>
      <c r="CG105" s="126">
        <f t="shared" si="115"/>
        <v>0</v>
      </c>
      <c r="CH105" s="123"/>
      <c r="CI105" s="124">
        <f t="shared" si="116"/>
        <v>0</v>
      </c>
      <c r="CJ105" s="123"/>
      <c r="CK105" s="124">
        <f t="shared" si="117"/>
        <v>0</v>
      </c>
      <c r="CL105" s="123"/>
      <c r="CM105" s="124">
        <f t="shared" si="118"/>
        <v>0</v>
      </c>
      <c r="CN105" s="123"/>
      <c r="CO105" s="124">
        <f t="shared" si="119"/>
        <v>0</v>
      </c>
      <c r="CP105" s="123"/>
      <c r="CQ105" s="124">
        <f t="shared" si="120"/>
        <v>0</v>
      </c>
      <c r="CR105" s="123"/>
      <c r="CS105" s="124">
        <f t="shared" si="121"/>
        <v>0</v>
      </c>
      <c r="CT105" s="123"/>
      <c r="CU105" s="124">
        <f t="shared" si="122"/>
        <v>0</v>
      </c>
      <c r="CV105" s="123"/>
      <c r="CW105" s="124">
        <f t="shared" si="123"/>
        <v>0</v>
      </c>
      <c r="CX105" s="123"/>
      <c r="CY105" s="124">
        <f t="shared" si="124"/>
        <v>0</v>
      </c>
      <c r="CZ105" s="123"/>
      <c r="DA105" s="124">
        <f t="shared" si="125"/>
        <v>0</v>
      </c>
      <c r="DB105" s="123"/>
      <c r="DC105" s="124">
        <f t="shared" si="126"/>
        <v>0</v>
      </c>
      <c r="DD105" s="123"/>
      <c r="DE105" s="124">
        <f t="shared" si="126"/>
        <v>0</v>
      </c>
      <c r="DF105" s="177">
        <f t="shared" si="72"/>
        <v>0</v>
      </c>
      <c r="DG105" s="126">
        <f t="shared" si="127"/>
        <v>0</v>
      </c>
      <c r="DH105" s="123"/>
      <c r="DI105" s="124">
        <f t="shared" si="128"/>
        <v>0</v>
      </c>
      <c r="DJ105" s="123"/>
      <c r="DK105" s="124">
        <f t="shared" si="129"/>
        <v>0</v>
      </c>
      <c r="DL105" s="123"/>
      <c r="DM105" s="124">
        <f t="shared" si="130"/>
        <v>0</v>
      </c>
      <c r="DN105" s="123"/>
      <c r="DO105" s="124">
        <f t="shared" si="131"/>
        <v>0</v>
      </c>
      <c r="DP105" s="123"/>
      <c r="DQ105" s="124">
        <f t="shared" si="132"/>
        <v>0</v>
      </c>
      <c r="DR105" s="123"/>
      <c r="DS105" s="124">
        <f t="shared" si="133"/>
        <v>0</v>
      </c>
      <c r="DT105" s="123"/>
      <c r="DU105" s="124">
        <f t="shared" si="134"/>
        <v>0</v>
      </c>
      <c r="DV105" s="123"/>
      <c r="DW105" s="124">
        <f t="shared" si="135"/>
        <v>0</v>
      </c>
      <c r="DX105" s="123"/>
      <c r="DY105" s="124">
        <f t="shared" si="136"/>
        <v>0</v>
      </c>
      <c r="DZ105" s="123"/>
      <c r="EA105" s="124">
        <f t="shared" si="137"/>
        <v>0</v>
      </c>
      <c r="EB105" s="123"/>
      <c r="EC105" s="124">
        <f t="shared" si="138"/>
        <v>0</v>
      </c>
      <c r="ED105" s="123"/>
      <c r="EE105" s="124">
        <f t="shared" si="139"/>
        <v>0</v>
      </c>
      <c r="EF105" s="27">
        <f t="shared" si="73"/>
        <v>0</v>
      </c>
      <c r="EG105" s="124">
        <f t="shared" si="140"/>
        <v>0</v>
      </c>
    </row>
    <row r="106" spans="1:137" ht="18" customHeight="1" x14ac:dyDescent="0.5">
      <c r="A106" s="117">
        <v>85</v>
      </c>
      <c r="B106" s="122" t="s">
        <v>198</v>
      </c>
      <c r="C106" s="122" t="s">
        <v>231</v>
      </c>
      <c r="D106" s="117"/>
      <c r="E106" s="117">
        <v>0.64</v>
      </c>
      <c r="F106" s="117" t="s">
        <v>236</v>
      </c>
      <c r="G106" s="117"/>
      <c r="H106" s="123"/>
      <c r="I106" s="124">
        <f t="shared" si="74"/>
        <v>0</v>
      </c>
      <c r="J106" s="123"/>
      <c r="K106" s="124">
        <f t="shared" si="75"/>
        <v>0</v>
      </c>
      <c r="L106" s="123"/>
      <c r="M106" s="124">
        <f t="shared" si="76"/>
        <v>0</v>
      </c>
      <c r="N106" s="123"/>
      <c r="O106" s="124">
        <f t="shared" si="77"/>
        <v>0</v>
      </c>
      <c r="P106" s="123"/>
      <c r="Q106" s="124">
        <f t="shared" si="78"/>
        <v>0</v>
      </c>
      <c r="R106" s="123"/>
      <c r="S106" s="124">
        <f t="shared" si="79"/>
        <v>0</v>
      </c>
      <c r="T106" s="123"/>
      <c r="U106" s="124">
        <f t="shared" si="80"/>
        <v>0</v>
      </c>
      <c r="V106" s="123"/>
      <c r="W106" s="124">
        <f t="shared" si="81"/>
        <v>0</v>
      </c>
      <c r="X106" s="123"/>
      <c r="Y106" s="124">
        <f t="shared" si="82"/>
        <v>0</v>
      </c>
      <c r="Z106" s="123"/>
      <c r="AA106" s="124">
        <f t="shared" si="83"/>
        <v>0</v>
      </c>
      <c r="AB106" s="123"/>
      <c r="AC106" s="124">
        <f t="shared" si="84"/>
        <v>0</v>
      </c>
      <c r="AD106" s="123"/>
      <c r="AE106" s="124">
        <f t="shared" si="85"/>
        <v>0</v>
      </c>
      <c r="AF106" s="125">
        <f t="shared" si="86"/>
        <v>0</v>
      </c>
      <c r="AG106" s="126">
        <f t="shared" si="87"/>
        <v>0</v>
      </c>
      <c r="AH106" s="11"/>
      <c r="AI106" s="124">
        <f t="shared" si="88"/>
        <v>0</v>
      </c>
      <c r="AJ106" s="15"/>
      <c r="AK106" s="124">
        <f t="shared" si="89"/>
        <v>0</v>
      </c>
      <c r="AL106" s="15"/>
      <c r="AM106" s="124">
        <f t="shared" si="90"/>
        <v>0</v>
      </c>
      <c r="AN106" s="16"/>
      <c r="AO106" s="124">
        <f t="shared" si="91"/>
        <v>0</v>
      </c>
      <c r="AP106" s="15"/>
      <c r="AQ106" s="124">
        <f t="shared" si="92"/>
        <v>0</v>
      </c>
      <c r="AR106" s="15"/>
      <c r="AS106" s="124">
        <f t="shared" si="93"/>
        <v>0</v>
      </c>
      <c r="AT106" s="17"/>
      <c r="AU106" s="124">
        <f t="shared" si="94"/>
        <v>0</v>
      </c>
      <c r="AV106" s="15"/>
      <c r="AW106" s="124">
        <f t="shared" si="95"/>
        <v>0</v>
      </c>
      <c r="AX106" s="15"/>
      <c r="AY106" s="124">
        <f t="shared" si="96"/>
        <v>0</v>
      </c>
      <c r="AZ106" s="17"/>
      <c r="BA106" s="124">
        <f t="shared" si="97"/>
        <v>0</v>
      </c>
      <c r="BB106" s="33"/>
      <c r="BC106" s="124">
        <f t="shared" si="98"/>
        <v>0</v>
      </c>
      <c r="BD106" s="33"/>
      <c r="BE106" s="124">
        <f t="shared" si="99"/>
        <v>0</v>
      </c>
      <c r="BF106" s="125">
        <f t="shared" si="100"/>
        <v>0</v>
      </c>
      <c r="BG106" s="126">
        <f t="shared" si="101"/>
        <v>0</v>
      </c>
      <c r="BH106" s="123"/>
      <c r="BI106" s="124">
        <f t="shared" si="102"/>
        <v>0</v>
      </c>
      <c r="BJ106" s="123"/>
      <c r="BK106" s="124">
        <f t="shared" si="103"/>
        <v>0</v>
      </c>
      <c r="BL106" s="123"/>
      <c r="BM106" s="124">
        <f t="shared" si="104"/>
        <v>0</v>
      </c>
      <c r="BN106" s="123"/>
      <c r="BO106" s="124">
        <f t="shared" si="105"/>
        <v>0</v>
      </c>
      <c r="BP106" s="123"/>
      <c r="BQ106" s="124">
        <f t="shared" si="106"/>
        <v>0</v>
      </c>
      <c r="BR106" s="123"/>
      <c r="BS106" s="124">
        <f t="shared" si="107"/>
        <v>0</v>
      </c>
      <c r="BT106" s="123"/>
      <c r="BU106" s="124">
        <f t="shared" si="108"/>
        <v>0</v>
      </c>
      <c r="BV106" s="123"/>
      <c r="BW106" s="124">
        <f t="shared" si="109"/>
        <v>0</v>
      </c>
      <c r="BX106" s="123"/>
      <c r="BY106" s="124">
        <f t="shared" si="110"/>
        <v>0</v>
      </c>
      <c r="BZ106" s="123"/>
      <c r="CA106" s="124">
        <f t="shared" si="111"/>
        <v>0</v>
      </c>
      <c r="CB106" s="123"/>
      <c r="CC106" s="124">
        <f t="shared" si="112"/>
        <v>0</v>
      </c>
      <c r="CD106" s="123"/>
      <c r="CE106" s="124">
        <f t="shared" si="113"/>
        <v>0</v>
      </c>
      <c r="CF106" s="125">
        <f t="shared" si="114"/>
        <v>0</v>
      </c>
      <c r="CG106" s="126">
        <f t="shared" si="115"/>
        <v>0</v>
      </c>
      <c r="CH106" s="123"/>
      <c r="CI106" s="124">
        <f t="shared" si="116"/>
        <v>0</v>
      </c>
      <c r="CJ106" s="123"/>
      <c r="CK106" s="124">
        <f t="shared" si="117"/>
        <v>0</v>
      </c>
      <c r="CL106" s="123"/>
      <c r="CM106" s="124">
        <f t="shared" si="118"/>
        <v>0</v>
      </c>
      <c r="CN106" s="123"/>
      <c r="CO106" s="124">
        <f t="shared" si="119"/>
        <v>0</v>
      </c>
      <c r="CP106" s="123"/>
      <c r="CQ106" s="124">
        <f t="shared" si="120"/>
        <v>0</v>
      </c>
      <c r="CR106" s="123"/>
      <c r="CS106" s="124">
        <f t="shared" si="121"/>
        <v>0</v>
      </c>
      <c r="CT106" s="123"/>
      <c r="CU106" s="124">
        <f t="shared" si="122"/>
        <v>0</v>
      </c>
      <c r="CV106" s="123"/>
      <c r="CW106" s="124">
        <f t="shared" si="123"/>
        <v>0</v>
      </c>
      <c r="CX106" s="123"/>
      <c r="CY106" s="124">
        <f t="shared" si="124"/>
        <v>0</v>
      </c>
      <c r="CZ106" s="123"/>
      <c r="DA106" s="124">
        <f t="shared" si="125"/>
        <v>0</v>
      </c>
      <c r="DB106" s="123"/>
      <c r="DC106" s="124">
        <f t="shared" si="126"/>
        <v>0</v>
      </c>
      <c r="DD106" s="123"/>
      <c r="DE106" s="124">
        <f t="shared" si="126"/>
        <v>0</v>
      </c>
      <c r="DF106" s="177">
        <f t="shared" si="72"/>
        <v>0</v>
      </c>
      <c r="DG106" s="126">
        <f t="shared" si="127"/>
        <v>0</v>
      </c>
      <c r="DH106" s="123"/>
      <c r="DI106" s="124">
        <f t="shared" si="128"/>
        <v>0</v>
      </c>
      <c r="DJ106" s="123"/>
      <c r="DK106" s="124">
        <f t="shared" si="129"/>
        <v>0</v>
      </c>
      <c r="DL106" s="123"/>
      <c r="DM106" s="124">
        <f t="shared" si="130"/>
        <v>0</v>
      </c>
      <c r="DN106" s="123"/>
      <c r="DO106" s="124">
        <f t="shared" si="131"/>
        <v>0</v>
      </c>
      <c r="DP106" s="123"/>
      <c r="DQ106" s="124">
        <f t="shared" si="132"/>
        <v>0</v>
      </c>
      <c r="DR106" s="123"/>
      <c r="DS106" s="124">
        <f t="shared" si="133"/>
        <v>0</v>
      </c>
      <c r="DT106" s="123"/>
      <c r="DU106" s="124">
        <f t="shared" si="134"/>
        <v>0</v>
      </c>
      <c r="DV106" s="123"/>
      <c r="DW106" s="124">
        <f t="shared" si="135"/>
        <v>0</v>
      </c>
      <c r="DX106" s="123"/>
      <c r="DY106" s="124">
        <f t="shared" si="136"/>
        <v>0</v>
      </c>
      <c r="DZ106" s="123"/>
      <c r="EA106" s="124">
        <f t="shared" si="137"/>
        <v>0</v>
      </c>
      <c r="EB106" s="123"/>
      <c r="EC106" s="124">
        <f t="shared" si="138"/>
        <v>0</v>
      </c>
      <c r="ED106" s="123"/>
      <c r="EE106" s="124">
        <f t="shared" si="139"/>
        <v>0</v>
      </c>
      <c r="EF106" s="27">
        <f t="shared" si="73"/>
        <v>0</v>
      </c>
      <c r="EG106" s="124">
        <f t="shared" si="140"/>
        <v>0</v>
      </c>
    </row>
    <row r="107" spans="1:137" x14ac:dyDescent="0.5">
      <c r="A107" s="117">
        <v>86</v>
      </c>
      <c r="B107" s="122" t="s">
        <v>198</v>
      </c>
      <c r="C107" s="122" t="s">
        <v>233</v>
      </c>
      <c r="D107" s="117"/>
      <c r="E107" s="117">
        <v>0.6</v>
      </c>
      <c r="F107" s="117" t="s">
        <v>237</v>
      </c>
      <c r="G107" s="117"/>
      <c r="H107" s="123"/>
      <c r="I107" s="124">
        <f t="shared" si="74"/>
        <v>0</v>
      </c>
      <c r="J107" s="123"/>
      <c r="K107" s="124">
        <f t="shared" si="75"/>
        <v>0</v>
      </c>
      <c r="L107" s="123"/>
      <c r="M107" s="124">
        <f t="shared" si="76"/>
        <v>0</v>
      </c>
      <c r="N107" s="123"/>
      <c r="O107" s="124">
        <f t="shared" si="77"/>
        <v>0</v>
      </c>
      <c r="P107" s="123"/>
      <c r="Q107" s="124">
        <f t="shared" si="78"/>
        <v>0</v>
      </c>
      <c r="R107" s="123"/>
      <c r="S107" s="124">
        <f t="shared" si="79"/>
        <v>0</v>
      </c>
      <c r="T107" s="123"/>
      <c r="U107" s="124">
        <f t="shared" si="80"/>
        <v>0</v>
      </c>
      <c r="V107" s="123"/>
      <c r="W107" s="124">
        <f t="shared" si="81"/>
        <v>0</v>
      </c>
      <c r="X107" s="123"/>
      <c r="Y107" s="124">
        <f t="shared" si="82"/>
        <v>0</v>
      </c>
      <c r="Z107" s="123"/>
      <c r="AA107" s="124">
        <f t="shared" si="83"/>
        <v>0</v>
      </c>
      <c r="AB107" s="123"/>
      <c r="AC107" s="124">
        <f t="shared" si="84"/>
        <v>0</v>
      </c>
      <c r="AD107" s="123"/>
      <c r="AE107" s="124">
        <f t="shared" si="85"/>
        <v>0</v>
      </c>
      <c r="AF107" s="125">
        <f t="shared" si="86"/>
        <v>0</v>
      </c>
      <c r="AG107" s="126">
        <f t="shared" si="87"/>
        <v>0</v>
      </c>
      <c r="AH107" s="123"/>
      <c r="AI107" s="124">
        <f t="shared" si="88"/>
        <v>0</v>
      </c>
      <c r="AJ107" s="123"/>
      <c r="AK107" s="124">
        <f t="shared" si="89"/>
        <v>0</v>
      </c>
      <c r="AL107" s="123"/>
      <c r="AM107" s="124">
        <f t="shared" si="90"/>
        <v>0</v>
      </c>
      <c r="AN107" s="123"/>
      <c r="AO107" s="124">
        <f t="shared" si="91"/>
        <v>0</v>
      </c>
      <c r="AP107" s="123"/>
      <c r="AQ107" s="124">
        <f t="shared" si="92"/>
        <v>0</v>
      </c>
      <c r="AR107" s="123"/>
      <c r="AS107" s="124">
        <f t="shared" si="93"/>
        <v>0</v>
      </c>
      <c r="AT107" s="123"/>
      <c r="AU107" s="124">
        <f t="shared" si="94"/>
        <v>0</v>
      </c>
      <c r="AV107" s="123"/>
      <c r="AW107" s="124">
        <f t="shared" si="95"/>
        <v>0</v>
      </c>
      <c r="AX107" s="123"/>
      <c r="AY107" s="124">
        <f t="shared" si="96"/>
        <v>0</v>
      </c>
      <c r="AZ107" s="123"/>
      <c r="BA107" s="124">
        <f t="shared" si="97"/>
        <v>0</v>
      </c>
      <c r="BB107" s="123"/>
      <c r="BC107" s="124">
        <f t="shared" si="98"/>
        <v>0</v>
      </c>
      <c r="BD107" s="123"/>
      <c r="BE107" s="124">
        <f t="shared" si="99"/>
        <v>0</v>
      </c>
      <c r="BF107" s="125">
        <f t="shared" si="100"/>
        <v>0</v>
      </c>
      <c r="BG107" s="126">
        <f t="shared" si="101"/>
        <v>0</v>
      </c>
      <c r="BH107" s="123"/>
      <c r="BI107" s="124">
        <f t="shared" si="102"/>
        <v>0</v>
      </c>
      <c r="BJ107" s="123"/>
      <c r="BK107" s="124">
        <f t="shared" si="103"/>
        <v>0</v>
      </c>
      <c r="BL107" s="123"/>
      <c r="BM107" s="124">
        <f t="shared" si="104"/>
        <v>0</v>
      </c>
      <c r="BN107" s="123"/>
      <c r="BO107" s="124">
        <f t="shared" si="105"/>
        <v>0</v>
      </c>
      <c r="BP107" s="123"/>
      <c r="BQ107" s="124">
        <f t="shared" si="106"/>
        <v>0</v>
      </c>
      <c r="BR107" s="123"/>
      <c r="BS107" s="124">
        <f t="shared" si="107"/>
        <v>0</v>
      </c>
      <c r="BT107" s="123"/>
      <c r="BU107" s="124">
        <f t="shared" si="108"/>
        <v>0</v>
      </c>
      <c r="BV107" s="123"/>
      <c r="BW107" s="124">
        <f t="shared" si="109"/>
        <v>0</v>
      </c>
      <c r="BX107" s="123"/>
      <c r="BY107" s="124">
        <f t="shared" si="110"/>
        <v>0</v>
      </c>
      <c r="BZ107" s="123"/>
      <c r="CA107" s="124">
        <f t="shared" si="111"/>
        <v>0</v>
      </c>
      <c r="CB107" s="123"/>
      <c r="CC107" s="124">
        <f t="shared" si="112"/>
        <v>0</v>
      </c>
      <c r="CD107" s="123"/>
      <c r="CE107" s="124">
        <f t="shared" si="113"/>
        <v>0</v>
      </c>
      <c r="CF107" s="125">
        <f t="shared" si="114"/>
        <v>0</v>
      </c>
      <c r="CG107" s="126">
        <f t="shared" si="115"/>
        <v>0</v>
      </c>
      <c r="CH107" s="129"/>
      <c r="CI107" s="124">
        <f t="shared" si="116"/>
        <v>0</v>
      </c>
      <c r="CJ107" s="123"/>
      <c r="CK107" s="124">
        <f t="shared" si="117"/>
        <v>0</v>
      </c>
      <c r="CL107" s="123"/>
      <c r="CM107" s="124">
        <f t="shared" si="118"/>
        <v>0</v>
      </c>
      <c r="CN107" s="123"/>
      <c r="CO107" s="124">
        <f t="shared" si="119"/>
        <v>0</v>
      </c>
      <c r="CP107" s="123"/>
      <c r="CQ107" s="124">
        <f t="shared" si="120"/>
        <v>0</v>
      </c>
      <c r="CR107" s="123"/>
      <c r="CS107" s="124">
        <f t="shared" si="121"/>
        <v>0</v>
      </c>
      <c r="CT107" s="123"/>
      <c r="CU107" s="124">
        <f t="shared" si="122"/>
        <v>0</v>
      </c>
      <c r="CV107" s="123"/>
      <c r="CW107" s="124">
        <f t="shared" si="123"/>
        <v>0</v>
      </c>
      <c r="CX107" s="123"/>
      <c r="CY107" s="124">
        <f t="shared" si="124"/>
        <v>0</v>
      </c>
      <c r="CZ107" s="123"/>
      <c r="DA107" s="124">
        <f t="shared" si="125"/>
        <v>0</v>
      </c>
      <c r="DB107" s="123"/>
      <c r="DC107" s="124">
        <f t="shared" si="126"/>
        <v>0</v>
      </c>
      <c r="DD107" s="123"/>
      <c r="DE107" s="124">
        <f t="shared" si="126"/>
        <v>0</v>
      </c>
      <c r="DF107" s="177">
        <f t="shared" si="72"/>
        <v>0</v>
      </c>
      <c r="DG107" s="126">
        <f t="shared" si="127"/>
        <v>0</v>
      </c>
      <c r="DH107" s="129"/>
      <c r="DI107" s="124">
        <f t="shared" si="128"/>
        <v>0</v>
      </c>
      <c r="DJ107" s="123"/>
      <c r="DK107" s="124">
        <f t="shared" si="129"/>
        <v>0</v>
      </c>
      <c r="DL107" s="123"/>
      <c r="DM107" s="124">
        <f t="shared" si="130"/>
        <v>0</v>
      </c>
      <c r="DN107" s="123"/>
      <c r="DO107" s="124">
        <f t="shared" si="131"/>
        <v>0</v>
      </c>
      <c r="DP107" s="123"/>
      <c r="DQ107" s="124">
        <f t="shared" si="132"/>
        <v>0</v>
      </c>
      <c r="DR107" s="123"/>
      <c r="DS107" s="124">
        <f t="shared" si="133"/>
        <v>0</v>
      </c>
      <c r="DT107" s="123"/>
      <c r="DU107" s="124">
        <f t="shared" si="134"/>
        <v>0</v>
      </c>
      <c r="DV107" s="123"/>
      <c r="DW107" s="124">
        <f t="shared" si="135"/>
        <v>0</v>
      </c>
      <c r="DX107" s="123"/>
      <c r="DY107" s="124">
        <f t="shared" si="136"/>
        <v>0</v>
      </c>
      <c r="DZ107" s="123"/>
      <c r="EA107" s="124">
        <f t="shared" si="137"/>
        <v>0</v>
      </c>
      <c r="EB107" s="123"/>
      <c r="EC107" s="124">
        <f t="shared" si="138"/>
        <v>0</v>
      </c>
      <c r="ED107" s="123"/>
      <c r="EE107" s="124">
        <f t="shared" si="139"/>
        <v>0</v>
      </c>
      <c r="EF107" s="27">
        <f t="shared" si="73"/>
        <v>0</v>
      </c>
      <c r="EG107" s="124">
        <f t="shared" si="140"/>
        <v>0</v>
      </c>
    </row>
    <row r="108" spans="1:137" x14ac:dyDescent="0.5">
      <c r="A108" s="117"/>
      <c r="B108" s="122"/>
      <c r="C108" s="122"/>
      <c r="D108" s="117"/>
      <c r="E108" s="117"/>
      <c r="F108" s="117"/>
      <c r="G108" s="117"/>
      <c r="H108" s="123"/>
      <c r="I108" s="124">
        <f t="shared" si="74"/>
        <v>0</v>
      </c>
      <c r="J108" s="123"/>
      <c r="K108" s="124">
        <f t="shared" si="75"/>
        <v>0</v>
      </c>
      <c r="L108" s="123"/>
      <c r="M108" s="124">
        <f t="shared" si="76"/>
        <v>0</v>
      </c>
      <c r="N108" s="123"/>
      <c r="O108" s="124">
        <f t="shared" si="77"/>
        <v>0</v>
      </c>
      <c r="P108" s="123"/>
      <c r="Q108" s="124">
        <f t="shared" si="78"/>
        <v>0</v>
      </c>
      <c r="R108" s="123"/>
      <c r="S108" s="124">
        <f t="shared" si="79"/>
        <v>0</v>
      </c>
      <c r="T108" s="123"/>
      <c r="U108" s="124">
        <f t="shared" si="80"/>
        <v>0</v>
      </c>
      <c r="V108" s="123"/>
      <c r="W108" s="124">
        <f t="shared" si="81"/>
        <v>0</v>
      </c>
      <c r="X108" s="123"/>
      <c r="Y108" s="124">
        <f t="shared" si="82"/>
        <v>0</v>
      </c>
      <c r="Z108" s="123"/>
      <c r="AA108" s="124">
        <f t="shared" si="83"/>
        <v>0</v>
      </c>
      <c r="AB108" s="123"/>
      <c r="AC108" s="124">
        <f t="shared" si="84"/>
        <v>0</v>
      </c>
      <c r="AD108" s="123"/>
      <c r="AE108" s="124">
        <f t="shared" si="85"/>
        <v>0</v>
      </c>
      <c r="AF108" s="125">
        <f t="shared" si="86"/>
        <v>0</v>
      </c>
      <c r="AG108" s="126">
        <f t="shared" si="87"/>
        <v>0</v>
      </c>
      <c r="AH108" s="123"/>
      <c r="AI108" s="124">
        <f t="shared" si="88"/>
        <v>0</v>
      </c>
      <c r="AJ108" s="123"/>
      <c r="AK108" s="124">
        <f t="shared" si="89"/>
        <v>0</v>
      </c>
      <c r="AL108" s="123"/>
      <c r="AM108" s="124">
        <f t="shared" si="90"/>
        <v>0</v>
      </c>
      <c r="AN108" s="123"/>
      <c r="AO108" s="124">
        <f t="shared" si="91"/>
        <v>0</v>
      </c>
      <c r="AP108" s="123"/>
      <c r="AQ108" s="124">
        <f t="shared" si="92"/>
        <v>0</v>
      </c>
      <c r="AR108" s="123"/>
      <c r="AS108" s="124">
        <f t="shared" si="93"/>
        <v>0</v>
      </c>
      <c r="AT108" s="123"/>
      <c r="AU108" s="124">
        <f t="shared" si="94"/>
        <v>0</v>
      </c>
      <c r="AV108" s="123"/>
      <c r="AW108" s="124">
        <f t="shared" si="95"/>
        <v>0</v>
      </c>
      <c r="AX108" s="123"/>
      <c r="AY108" s="124">
        <f t="shared" si="96"/>
        <v>0</v>
      </c>
      <c r="AZ108" s="123"/>
      <c r="BA108" s="124">
        <f t="shared" si="97"/>
        <v>0</v>
      </c>
      <c r="BB108" s="123"/>
      <c r="BC108" s="124">
        <f t="shared" si="98"/>
        <v>0</v>
      </c>
      <c r="BD108" s="123"/>
      <c r="BE108" s="124">
        <f t="shared" si="99"/>
        <v>0</v>
      </c>
      <c r="BF108" s="125">
        <f t="shared" si="100"/>
        <v>0</v>
      </c>
      <c r="BG108" s="126">
        <f t="shared" si="101"/>
        <v>0</v>
      </c>
      <c r="BH108" s="123"/>
      <c r="BI108" s="124">
        <f t="shared" si="102"/>
        <v>0</v>
      </c>
      <c r="BJ108" s="123"/>
      <c r="BK108" s="124">
        <f t="shared" si="103"/>
        <v>0</v>
      </c>
      <c r="BL108" s="123"/>
      <c r="BM108" s="124">
        <f t="shared" si="104"/>
        <v>0</v>
      </c>
      <c r="BN108" s="123"/>
      <c r="BO108" s="124">
        <f t="shared" si="105"/>
        <v>0</v>
      </c>
      <c r="BP108" s="123"/>
      <c r="BQ108" s="124">
        <f t="shared" si="106"/>
        <v>0</v>
      </c>
      <c r="BR108" s="123"/>
      <c r="BS108" s="124">
        <f t="shared" si="107"/>
        <v>0</v>
      </c>
      <c r="BT108" s="123"/>
      <c r="BU108" s="124">
        <f t="shared" si="108"/>
        <v>0</v>
      </c>
      <c r="BV108" s="123"/>
      <c r="BW108" s="124">
        <f t="shared" si="109"/>
        <v>0</v>
      </c>
      <c r="BX108" s="123"/>
      <c r="BY108" s="124">
        <f t="shared" si="110"/>
        <v>0</v>
      </c>
      <c r="BZ108" s="123"/>
      <c r="CA108" s="124">
        <f t="shared" si="111"/>
        <v>0</v>
      </c>
      <c r="CB108" s="123"/>
      <c r="CC108" s="124">
        <f t="shared" si="112"/>
        <v>0</v>
      </c>
      <c r="CD108" s="123"/>
      <c r="CE108" s="124">
        <f t="shared" si="113"/>
        <v>0</v>
      </c>
      <c r="CF108" s="125">
        <f t="shared" si="114"/>
        <v>0</v>
      </c>
      <c r="CG108" s="126">
        <f t="shared" si="115"/>
        <v>0</v>
      </c>
      <c r="CH108" s="129"/>
      <c r="CI108" s="124">
        <f t="shared" si="116"/>
        <v>0</v>
      </c>
      <c r="CJ108" s="123"/>
      <c r="CK108" s="124">
        <f t="shared" si="117"/>
        <v>0</v>
      </c>
      <c r="CL108" s="123"/>
      <c r="CM108" s="124">
        <f t="shared" si="118"/>
        <v>0</v>
      </c>
      <c r="CN108" s="123"/>
      <c r="CO108" s="124">
        <f t="shared" si="119"/>
        <v>0</v>
      </c>
      <c r="CP108" s="123"/>
      <c r="CQ108" s="124">
        <f t="shared" si="120"/>
        <v>0</v>
      </c>
      <c r="CR108" s="123"/>
      <c r="CS108" s="124">
        <f t="shared" si="121"/>
        <v>0</v>
      </c>
      <c r="CT108" s="123"/>
      <c r="CU108" s="124">
        <f t="shared" si="122"/>
        <v>0</v>
      </c>
      <c r="CV108" s="123"/>
      <c r="CW108" s="124">
        <f t="shared" si="123"/>
        <v>0</v>
      </c>
      <c r="CX108" s="123"/>
      <c r="CY108" s="124">
        <f t="shared" si="124"/>
        <v>0</v>
      </c>
      <c r="CZ108" s="123"/>
      <c r="DA108" s="124">
        <f t="shared" si="125"/>
        <v>0</v>
      </c>
      <c r="DB108" s="123"/>
      <c r="DC108" s="124">
        <f t="shared" si="126"/>
        <v>0</v>
      </c>
      <c r="DD108" s="123"/>
      <c r="DE108" s="124">
        <f t="shared" si="126"/>
        <v>0</v>
      </c>
      <c r="DF108" s="177">
        <f t="shared" si="72"/>
        <v>0</v>
      </c>
      <c r="DG108" s="126">
        <f t="shared" si="127"/>
        <v>0</v>
      </c>
      <c r="DH108" s="129"/>
      <c r="DI108" s="124">
        <f t="shared" si="128"/>
        <v>0</v>
      </c>
      <c r="DJ108" s="123"/>
      <c r="DK108" s="124">
        <f t="shared" si="129"/>
        <v>0</v>
      </c>
      <c r="DL108" s="123"/>
      <c r="DM108" s="124">
        <f t="shared" si="130"/>
        <v>0</v>
      </c>
      <c r="DN108" s="123"/>
      <c r="DO108" s="124">
        <f t="shared" si="131"/>
        <v>0</v>
      </c>
      <c r="DP108" s="123"/>
      <c r="DQ108" s="124">
        <f t="shared" si="132"/>
        <v>0</v>
      </c>
      <c r="DR108" s="123"/>
      <c r="DS108" s="124">
        <f t="shared" si="133"/>
        <v>0</v>
      </c>
      <c r="DT108" s="123"/>
      <c r="DU108" s="124">
        <f t="shared" si="134"/>
        <v>0</v>
      </c>
      <c r="DV108" s="123"/>
      <c r="DW108" s="124">
        <f t="shared" si="135"/>
        <v>0</v>
      </c>
      <c r="DX108" s="123"/>
      <c r="DY108" s="124">
        <f t="shared" si="136"/>
        <v>0</v>
      </c>
      <c r="DZ108" s="123"/>
      <c r="EA108" s="124">
        <f t="shared" si="137"/>
        <v>0</v>
      </c>
      <c r="EB108" s="123"/>
      <c r="EC108" s="124">
        <f t="shared" si="138"/>
        <v>0</v>
      </c>
      <c r="ED108" s="123"/>
      <c r="EE108" s="124">
        <f t="shared" si="139"/>
        <v>0</v>
      </c>
      <c r="EF108" s="27">
        <f t="shared" si="73"/>
        <v>0</v>
      </c>
      <c r="EG108" s="124">
        <f t="shared" si="140"/>
        <v>0</v>
      </c>
    </row>
    <row r="109" spans="1:137" x14ac:dyDescent="0.5">
      <c r="A109" s="117">
        <v>87</v>
      </c>
      <c r="B109" s="122" t="s">
        <v>199</v>
      </c>
      <c r="C109" s="122" t="s">
        <v>233</v>
      </c>
      <c r="D109" s="117"/>
      <c r="E109" s="117">
        <v>0.6</v>
      </c>
      <c r="F109" s="117" t="s">
        <v>237</v>
      </c>
      <c r="G109" s="117"/>
      <c r="H109" s="123"/>
      <c r="I109" s="124">
        <f t="shared" si="74"/>
        <v>0</v>
      </c>
      <c r="J109" s="123"/>
      <c r="K109" s="124">
        <f t="shared" si="75"/>
        <v>0</v>
      </c>
      <c r="L109" s="123"/>
      <c r="M109" s="124">
        <f t="shared" si="76"/>
        <v>0</v>
      </c>
      <c r="N109" s="123"/>
      <c r="O109" s="124">
        <f t="shared" si="77"/>
        <v>0</v>
      </c>
      <c r="P109" s="123"/>
      <c r="Q109" s="124">
        <f t="shared" si="78"/>
        <v>0</v>
      </c>
      <c r="R109" s="123"/>
      <c r="S109" s="124">
        <f t="shared" si="79"/>
        <v>0</v>
      </c>
      <c r="T109" s="123"/>
      <c r="U109" s="124">
        <f t="shared" si="80"/>
        <v>0</v>
      </c>
      <c r="V109" s="123"/>
      <c r="W109" s="124">
        <f t="shared" si="81"/>
        <v>0</v>
      </c>
      <c r="X109" s="123"/>
      <c r="Y109" s="124">
        <f t="shared" si="82"/>
        <v>0</v>
      </c>
      <c r="Z109" s="123"/>
      <c r="AA109" s="124">
        <f t="shared" si="83"/>
        <v>0</v>
      </c>
      <c r="AB109" s="123"/>
      <c r="AC109" s="124">
        <f t="shared" si="84"/>
        <v>0</v>
      </c>
      <c r="AD109" s="123"/>
      <c r="AE109" s="124">
        <f t="shared" si="85"/>
        <v>0</v>
      </c>
      <c r="AF109" s="125">
        <f t="shared" si="86"/>
        <v>0</v>
      </c>
      <c r="AG109" s="126">
        <f t="shared" si="87"/>
        <v>0</v>
      </c>
      <c r="AH109" s="123"/>
      <c r="AI109" s="124">
        <f t="shared" si="88"/>
        <v>0</v>
      </c>
      <c r="AJ109" s="123"/>
      <c r="AK109" s="124">
        <f t="shared" si="89"/>
        <v>0</v>
      </c>
      <c r="AL109" s="123"/>
      <c r="AM109" s="124">
        <f t="shared" si="90"/>
        <v>0</v>
      </c>
      <c r="AN109" s="123"/>
      <c r="AO109" s="124">
        <f t="shared" si="91"/>
        <v>0</v>
      </c>
      <c r="AP109" s="123"/>
      <c r="AQ109" s="124">
        <f t="shared" si="92"/>
        <v>0</v>
      </c>
      <c r="AR109" s="123"/>
      <c r="AS109" s="124">
        <f t="shared" si="93"/>
        <v>0</v>
      </c>
      <c r="AT109" s="123"/>
      <c r="AU109" s="124">
        <f t="shared" si="94"/>
        <v>0</v>
      </c>
      <c r="AV109" s="123"/>
      <c r="AW109" s="124">
        <f t="shared" si="95"/>
        <v>0</v>
      </c>
      <c r="AX109" s="123"/>
      <c r="AY109" s="124">
        <f t="shared" si="96"/>
        <v>0</v>
      </c>
      <c r="AZ109" s="123"/>
      <c r="BA109" s="124">
        <f t="shared" si="97"/>
        <v>0</v>
      </c>
      <c r="BB109" s="123"/>
      <c r="BC109" s="124">
        <f t="shared" si="98"/>
        <v>0</v>
      </c>
      <c r="BD109" s="123"/>
      <c r="BE109" s="124">
        <f t="shared" si="99"/>
        <v>0</v>
      </c>
      <c r="BF109" s="125">
        <f t="shared" si="100"/>
        <v>0</v>
      </c>
      <c r="BG109" s="126">
        <f t="shared" si="101"/>
        <v>0</v>
      </c>
      <c r="BH109" s="123"/>
      <c r="BI109" s="124">
        <f t="shared" si="102"/>
        <v>0</v>
      </c>
      <c r="BJ109" s="123"/>
      <c r="BK109" s="124">
        <f t="shared" si="103"/>
        <v>0</v>
      </c>
      <c r="BL109" s="123"/>
      <c r="BM109" s="124">
        <f t="shared" si="104"/>
        <v>0</v>
      </c>
      <c r="BN109" s="123"/>
      <c r="BO109" s="124">
        <f t="shared" si="105"/>
        <v>0</v>
      </c>
      <c r="BP109" s="123"/>
      <c r="BQ109" s="124">
        <f t="shared" si="106"/>
        <v>0</v>
      </c>
      <c r="BR109" s="123"/>
      <c r="BS109" s="124">
        <f t="shared" si="107"/>
        <v>0</v>
      </c>
      <c r="BT109" s="123"/>
      <c r="BU109" s="124">
        <f t="shared" si="108"/>
        <v>0</v>
      </c>
      <c r="BV109" s="123"/>
      <c r="BW109" s="124">
        <f t="shared" si="109"/>
        <v>0</v>
      </c>
      <c r="BX109" s="123"/>
      <c r="BY109" s="124">
        <f t="shared" si="110"/>
        <v>0</v>
      </c>
      <c r="BZ109" s="123"/>
      <c r="CA109" s="124">
        <f t="shared" si="111"/>
        <v>0</v>
      </c>
      <c r="CB109" s="123"/>
      <c r="CC109" s="124">
        <f t="shared" si="112"/>
        <v>0</v>
      </c>
      <c r="CD109" s="123"/>
      <c r="CE109" s="124">
        <f t="shared" si="113"/>
        <v>0</v>
      </c>
      <c r="CF109" s="125">
        <f t="shared" si="114"/>
        <v>0</v>
      </c>
      <c r="CG109" s="126">
        <f t="shared" si="115"/>
        <v>0</v>
      </c>
      <c r="CH109" s="129"/>
      <c r="CI109" s="124">
        <f t="shared" si="116"/>
        <v>0</v>
      </c>
      <c r="CJ109" s="123"/>
      <c r="CK109" s="124">
        <f t="shared" si="117"/>
        <v>0</v>
      </c>
      <c r="CL109" s="123"/>
      <c r="CM109" s="124">
        <f t="shared" si="118"/>
        <v>0</v>
      </c>
      <c r="CN109" s="123"/>
      <c r="CO109" s="124">
        <f t="shared" si="119"/>
        <v>0</v>
      </c>
      <c r="CP109" s="123"/>
      <c r="CQ109" s="124">
        <f t="shared" si="120"/>
        <v>0</v>
      </c>
      <c r="CR109" s="123"/>
      <c r="CS109" s="124">
        <f t="shared" si="121"/>
        <v>0</v>
      </c>
      <c r="CT109" s="123"/>
      <c r="CU109" s="124">
        <f t="shared" si="122"/>
        <v>0</v>
      </c>
      <c r="CV109" s="123"/>
      <c r="CW109" s="124">
        <f t="shared" si="123"/>
        <v>0</v>
      </c>
      <c r="CX109" s="123"/>
      <c r="CY109" s="124">
        <f t="shared" si="124"/>
        <v>0</v>
      </c>
      <c r="CZ109" s="123"/>
      <c r="DA109" s="124">
        <f t="shared" si="125"/>
        <v>0</v>
      </c>
      <c r="DB109" s="123"/>
      <c r="DC109" s="124">
        <f t="shared" si="126"/>
        <v>0</v>
      </c>
      <c r="DD109" s="123"/>
      <c r="DE109" s="124">
        <f t="shared" si="126"/>
        <v>0</v>
      </c>
      <c r="DF109" s="177">
        <f t="shared" si="72"/>
        <v>0</v>
      </c>
      <c r="DG109" s="126">
        <f t="shared" si="127"/>
        <v>0</v>
      </c>
      <c r="DH109" s="129"/>
      <c r="DI109" s="124">
        <f t="shared" si="128"/>
        <v>0</v>
      </c>
      <c r="DJ109" s="123"/>
      <c r="DK109" s="124">
        <f t="shared" si="129"/>
        <v>0</v>
      </c>
      <c r="DL109" s="123"/>
      <c r="DM109" s="124">
        <f t="shared" si="130"/>
        <v>0</v>
      </c>
      <c r="DN109" s="123"/>
      <c r="DO109" s="124">
        <f t="shared" si="131"/>
        <v>0</v>
      </c>
      <c r="DP109" s="123"/>
      <c r="DQ109" s="124">
        <f t="shared" si="132"/>
        <v>0</v>
      </c>
      <c r="DR109" s="123"/>
      <c r="DS109" s="124">
        <f t="shared" si="133"/>
        <v>0</v>
      </c>
      <c r="DT109" s="123"/>
      <c r="DU109" s="124">
        <f t="shared" si="134"/>
        <v>0</v>
      </c>
      <c r="DV109" s="123"/>
      <c r="DW109" s="124">
        <f t="shared" si="135"/>
        <v>0</v>
      </c>
      <c r="DX109" s="123"/>
      <c r="DY109" s="124">
        <f t="shared" si="136"/>
        <v>0</v>
      </c>
      <c r="DZ109" s="123"/>
      <c r="EA109" s="124">
        <f t="shared" si="137"/>
        <v>0</v>
      </c>
      <c r="EB109" s="123"/>
      <c r="EC109" s="124">
        <f t="shared" si="138"/>
        <v>0</v>
      </c>
      <c r="ED109" s="123"/>
      <c r="EE109" s="124">
        <f t="shared" si="139"/>
        <v>0</v>
      </c>
      <c r="EF109" s="27">
        <f t="shared" si="73"/>
        <v>0</v>
      </c>
      <c r="EG109" s="124">
        <f t="shared" si="140"/>
        <v>0</v>
      </c>
    </row>
    <row r="110" spans="1:137" x14ac:dyDescent="0.5">
      <c r="A110" s="117">
        <v>88</v>
      </c>
      <c r="B110" s="122" t="s">
        <v>199</v>
      </c>
      <c r="C110" s="122" t="s">
        <v>233</v>
      </c>
      <c r="D110" s="117"/>
      <c r="E110" s="117">
        <v>1</v>
      </c>
      <c r="F110" s="117" t="s">
        <v>237</v>
      </c>
      <c r="G110" s="117"/>
      <c r="H110" s="123"/>
      <c r="I110" s="124">
        <f t="shared" si="74"/>
        <v>0</v>
      </c>
      <c r="J110" s="123"/>
      <c r="K110" s="124">
        <f t="shared" si="75"/>
        <v>0</v>
      </c>
      <c r="L110" s="123"/>
      <c r="M110" s="124">
        <f t="shared" si="76"/>
        <v>0</v>
      </c>
      <c r="N110" s="123"/>
      <c r="O110" s="124">
        <f t="shared" si="77"/>
        <v>0</v>
      </c>
      <c r="P110" s="123"/>
      <c r="Q110" s="124">
        <f t="shared" si="78"/>
        <v>0</v>
      </c>
      <c r="R110" s="123"/>
      <c r="S110" s="124">
        <f t="shared" si="79"/>
        <v>0</v>
      </c>
      <c r="T110" s="123"/>
      <c r="U110" s="124">
        <f t="shared" si="80"/>
        <v>0</v>
      </c>
      <c r="V110" s="123"/>
      <c r="W110" s="124">
        <f t="shared" si="81"/>
        <v>0</v>
      </c>
      <c r="X110" s="123"/>
      <c r="Y110" s="124">
        <f t="shared" si="82"/>
        <v>0</v>
      </c>
      <c r="Z110" s="123"/>
      <c r="AA110" s="124">
        <f t="shared" si="83"/>
        <v>0</v>
      </c>
      <c r="AB110" s="123"/>
      <c r="AC110" s="124">
        <f t="shared" si="84"/>
        <v>0</v>
      </c>
      <c r="AD110" s="123"/>
      <c r="AE110" s="124">
        <f t="shared" si="85"/>
        <v>0</v>
      </c>
      <c r="AF110" s="125">
        <f t="shared" si="86"/>
        <v>0</v>
      </c>
      <c r="AG110" s="126">
        <f t="shared" si="87"/>
        <v>0</v>
      </c>
      <c r="AH110" s="123"/>
      <c r="AI110" s="124">
        <f t="shared" si="88"/>
        <v>0</v>
      </c>
      <c r="AJ110" s="123"/>
      <c r="AK110" s="124">
        <f t="shared" si="89"/>
        <v>0</v>
      </c>
      <c r="AL110" s="123"/>
      <c r="AM110" s="124">
        <f t="shared" si="90"/>
        <v>0</v>
      </c>
      <c r="AN110" s="123"/>
      <c r="AO110" s="124">
        <f t="shared" si="91"/>
        <v>0</v>
      </c>
      <c r="AP110" s="123"/>
      <c r="AQ110" s="124">
        <f t="shared" si="92"/>
        <v>0</v>
      </c>
      <c r="AR110" s="123"/>
      <c r="AS110" s="124">
        <f t="shared" si="93"/>
        <v>0</v>
      </c>
      <c r="AT110" s="123"/>
      <c r="AU110" s="124">
        <f t="shared" si="94"/>
        <v>0</v>
      </c>
      <c r="AV110" s="123"/>
      <c r="AW110" s="124">
        <f t="shared" si="95"/>
        <v>0</v>
      </c>
      <c r="AX110" s="123"/>
      <c r="AY110" s="124">
        <f t="shared" si="96"/>
        <v>0</v>
      </c>
      <c r="AZ110" s="123"/>
      <c r="BA110" s="124">
        <f t="shared" si="97"/>
        <v>0</v>
      </c>
      <c r="BB110" s="123"/>
      <c r="BC110" s="124">
        <f t="shared" si="98"/>
        <v>0</v>
      </c>
      <c r="BD110" s="123"/>
      <c r="BE110" s="124">
        <f t="shared" si="99"/>
        <v>0</v>
      </c>
      <c r="BF110" s="125">
        <f t="shared" si="100"/>
        <v>0</v>
      </c>
      <c r="BG110" s="126">
        <f t="shared" si="101"/>
        <v>0</v>
      </c>
      <c r="BH110" s="123"/>
      <c r="BI110" s="124">
        <f t="shared" si="102"/>
        <v>0</v>
      </c>
      <c r="BJ110" s="123"/>
      <c r="BK110" s="124">
        <f t="shared" si="103"/>
        <v>0</v>
      </c>
      <c r="BL110" s="123"/>
      <c r="BM110" s="124">
        <f t="shared" si="104"/>
        <v>0</v>
      </c>
      <c r="BN110" s="123"/>
      <c r="BO110" s="124">
        <f t="shared" si="105"/>
        <v>0</v>
      </c>
      <c r="BP110" s="123"/>
      <c r="BQ110" s="124">
        <f t="shared" si="106"/>
        <v>0</v>
      </c>
      <c r="BR110" s="123"/>
      <c r="BS110" s="124">
        <f t="shared" si="107"/>
        <v>0</v>
      </c>
      <c r="BT110" s="123"/>
      <c r="BU110" s="124">
        <f t="shared" si="108"/>
        <v>0</v>
      </c>
      <c r="BV110" s="123"/>
      <c r="BW110" s="124">
        <f t="shared" si="109"/>
        <v>0</v>
      </c>
      <c r="BX110" s="123"/>
      <c r="BY110" s="124">
        <f t="shared" si="110"/>
        <v>0</v>
      </c>
      <c r="BZ110" s="123"/>
      <c r="CA110" s="124">
        <f t="shared" si="111"/>
        <v>0</v>
      </c>
      <c r="CB110" s="123"/>
      <c r="CC110" s="124">
        <f t="shared" si="112"/>
        <v>0</v>
      </c>
      <c r="CD110" s="123"/>
      <c r="CE110" s="124">
        <f t="shared" si="113"/>
        <v>0</v>
      </c>
      <c r="CF110" s="125">
        <f t="shared" si="114"/>
        <v>0</v>
      </c>
      <c r="CG110" s="126">
        <f t="shared" si="115"/>
        <v>0</v>
      </c>
      <c r="CH110" s="129"/>
      <c r="CI110" s="124">
        <f t="shared" si="116"/>
        <v>0</v>
      </c>
      <c r="CJ110" s="123"/>
      <c r="CK110" s="124">
        <f t="shared" si="117"/>
        <v>0</v>
      </c>
      <c r="CL110" s="123"/>
      <c r="CM110" s="124">
        <f t="shared" si="118"/>
        <v>0</v>
      </c>
      <c r="CN110" s="123"/>
      <c r="CO110" s="124">
        <f t="shared" si="119"/>
        <v>0</v>
      </c>
      <c r="CP110" s="123"/>
      <c r="CQ110" s="124">
        <f t="shared" si="120"/>
        <v>0</v>
      </c>
      <c r="CR110" s="123"/>
      <c r="CS110" s="124">
        <f t="shared" si="121"/>
        <v>0</v>
      </c>
      <c r="CT110" s="123"/>
      <c r="CU110" s="124">
        <f t="shared" si="122"/>
        <v>0</v>
      </c>
      <c r="CV110" s="123"/>
      <c r="CW110" s="124">
        <f t="shared" si="123"/>
        <v>0</v>
      </c>
      <c r="CX110" s="123"/>
      <c r="CY110" s="124">
        <f t="shared" si="124"/>
        <v>0</v>
      </c>
      <c r="CZ110" s="123"/>
      <c r="DA110" s="124">
        <f t="shared" si="125"/>
        <v>0</v>
      </c>
      <c r="DB110" s="123"/>
      <c r="DC110" s="124">
        <f t="shared" si="126"/>
        <v>0</v>
      </c>
      <c r="DD110" s="123"/>
      <c r="DE110" s="124">
        <f t="shared" si="126"/>
        <v>0</v>
      </c>
      <c r="DF110" s="177">
        <f t="shared" si="72"/>
        <v>0</v>
      </c>
      <c r="DG110" s="126">
        <f t="shared" si="127"/>
        <v>0</v>
      </c>
      <c r="DH110" s="129"/>
      <c r="DI110" s="124">
        <f t="shared" si="128"/>
        <v>0</v>
      </c>
      <c r="DJ110" s="123"/>
      <c r="DK110" s="124">
        <f t="shared" si="129"/>
        <v>0</v>
      </c>
      <c r="DL110" s="123"/>
      <c r="DM110" s="124">
        <f t="shared" si="130"/>
        <v>0</v>
      </c>
      <c r="DN110" s="123"/>
      <c r="DO110" s="124">
        <f t="shared" si="131"/>
        <v>0</v>
      </c>
      <c r="DP110" s="123"/>
      <c r="DQ110" s="124">
        <f t="shared" si="132"/>
        <v>0</v>
      </c>
      <c r="DR110" s="123"/>
      <c r="DS110" s="124">
        <f t="shared" si="133"/>
        <v>0</v>
      </c>
      <c r="DT110" s="123"/>
      <c r="DU110" s="124">
        <f t="shared" si="134"/>
        <v>0</v>
      </c>
      <c r="DV110" s="123"/>
      <c r="DW110" s="124">
        <f t="shared" si="135"/>
        <v>0</v>
      </c>
      <c r="DX110" s="123"/>
      <c r="DY110" s="124">
        <f t="shared" si="136"/>
        <v>0</v>
      </c>
      <c r="DZ110" s="123"/>
      <c r="EA110" s="124">
        <f t="shared" si="137"/>
        <v>0</v>
      </c>
      <c r="EB110" s="123"/>
      <c r="EC110" s="124">
        <f t="shared" si="138"/>
        <v>0</v>
      </c>
      <c r="ED110" s="123"/>
      <c r="EE110" s="124">
        <f t="shared" si="139"/>
        <v>0</v>
      </c>
      <c r="EF110" s="27">
        <f t="shared" si="73"/>
        <v>0</v>
      </c>
      <c r="EG110" s="124">
        <f t="shared" si="140"/>
        <v>0</v>
      </c>
    </row>
    <row r="111" spans="1:137" ht="18" customHeight="1" x14ac:dyDescent="0.5">
      <c r="A111" s="117">
        <v>89</v>
      </c>
      <c r="B111" s="122" t="s">
        <v>199</v>
      </c>
      <c r="C111" s="122" t="s">
        <v>231</v>
      </c>
      <c r="D111" s="117"/>
      <c r="E111" s="117">
        <v>0.64</v>
      </c>
      <c r="F111" s="117" t="s">
        <v>236</v>
      </c>
      <c r="G111" s="117"/>
      <c r="H111" s="123"/>
      <c r="I111" s="124">
        <f t="shared" si="74"/>
        <v>0</v>
      </c>
      <c r="J111" s="123"/>
      <c r="K111" s="124">
        <f t="shared" si="75"/>
        <v>0</v>
      </c>
      <c r="L111" s="123"/>
      <c r="M111" s="124">
        <f t="shared" si="76"/>
        <v>0</v>
      </c>
      <c r="N111" s="123"/>
      <c r="O111" s="124">
        <f t="shared" si="77"/>
        <v>0</v>
      </c>
      <c r="P111" s="123"/>
      <c r="Q111" s="124">
        <f t="shared" si="78"/>
        <v>0</v>
      </c>
      <c r="R111" s="123"/>
      <c r="S111" s="124">
        <f t="shared" si="79"/>
        <v>0</v>
      </c>
      <c r="T111" s="123"/>
      <c r="U111" s="124">
        <f t="shared" si="80"/>
        <v>0</v>
      </c>
      <c r="V111" s="123"/>
      <c r="W111" s="124">
        <f t="shared" si="81"/>
        <v>0</v>
      </c>
      <c r="X111" s="123"/>
      <c r="Y111" s="124">
        <f t="shared" si="82"/>
        <v>0</v>
      </c>
      <c r="Z111" s="123"/>
      <c r="AA111" s="124">
        <f t="shared" si="83"/>
        <v>0</v>
      </c>
      <c r="AB111" s="123"/>
      <c r="AC111" s="124">
        <f t="shared" si="84"/>
        <v>0</v>
      </c>
      <c r="AD111" s="123"/>
      <c r="AE111" s="124">
        <f t="shared" si="85"/>
        <v>0</v>
      </c>
      <c r="AF111" s="125">
        <f t="shared" si="86"/>
        <v>0</v>
      </c>
      <c r="AG111" s="126">
        <f t="shared" si="87"/>
        <v>0</v>
      </c>
      <c r="AH111" s="11"/>
      <c r="AI111" s="124">
        <f t="shared" si="88"/>
        <v>0</v>
      </c>
      <c r="AJ111" s="15"/>
      <c r="AK111" s="124">
        <f t="shared" si="89"/>
        <v>0</v>
      </c>
      <c r="AL111" s="15"/>
      <c r="AM111" s="124">
        <f t="shared" si="90"/>
        <v>0</v>
      </c>
      <c r="AN111" s="16"/>
      <c r="AO111" s="124">
        <f t="shared" si="91"/>
        <v>0</v>
      </c>
      <c r="AP111" s="15"/>
      <c r="AQ111" s="124">
        <f t="shared" si="92"/>
        <v>0</v>
      </c>
      <c r="AR111" s="15"/>
      <c r="AS111" s="124">
        <f t="shared" si="93"/>
        <v>0</v>
      </c>
      <c r="AT111" s="17"/>
      <c r="AU111" s="124">
        <f t="shared" si="94"/>
        <v>0</v>
      </c>
      <c r="AV111" s="15"/>
      <c r="AW111" s="124">
        <f t="shared" si="95"/>
        <v>0</v>
      </c>
      <c r="AX111" s="15"/>
      <c r="AY111" s="124">
        <f t="shared" si="96"/>
        <v>0</v>
      </c>
      <c r="AZ111" s="17"/>
      <c r="BA111" s="124">
        <f t="shared" si="97"/>
        <v>0</v>
      </c>
      <c r="BB111" s="33"/>
      <c r="BC111" s="124">
        <f t="shared" si="98"/>
        <v>0</v>
      </c>
      <c r="BD111" s="33"/>
      <c r="BE111" s="124">
        <f t="shared" si="99"/>
        <v>0</v>
      </c>
      <c r="BF111" s="125">
        <f t="shared" si="100"/>
        <v>0</v>
      </c>
      <c r="BG111" s="126">
        <f t="shared" si="101"/>
        <v>0</v>
      </c>
      <c r="BH111" s="123"/>
      <c r="BI111" s="124">
        <f t="shared" si="102"/>
        <v>0</v>
      </c>
      <c r="BJ111" s="123"/>
      <c r="BK111" s="124">
        <f t="shared" si="103"/>
        <v>0</v>
      </c>
      <c r="BL111" s="123"/>
      <c r="BM111" s="124">
        <f t="shared" si="104"/>
        <v>0</v>
      </c>
      <c r="BN111" s="123"/>
      <c r="BO111" s="124">
        <f t="shared" si="105"/>
        <v>0</v>
      </c>
      <c r="BP111" s="123"/>
      <c r="BQ111" s="124">
        <f t="shared" si="106"/>
        <v>0</v>
      </c>
      <c r="BR111" s="123"/>
      <c r="BS111" s="124">
        <f t="shared" si="107"/>
        <v>0</v>
      </c>
      <c r="BT111" s="123"/>
      <c r="BU111" s="124">
        <f t="shared" si="108"/>
        <v>0</v>
      </c>
      <c r="BV111" s="123"/>
      <c r="BW111" s="124">
        <f t="shared" si="109"/>
        <v>0</v>
      </c>
      <c r="BX111" s="123"/>
      <c r="BY111" s="124">
        <f t="shared" si="110"/>
        <v>0</v>
      </c>
      <c r="BZ111" s="123"/>
      <c r="CA111" s="124">
        <f t="shared" si="111"/>
        <v>0</v>
      </c>
      <c r="CB111" s="123"/>
      <c r="CC111" s="124">
        <f t="shared" si="112"/>
        <v>0</v>
      </c>
      <c r="CD111" s="123"/>
      <c r="CE111" s="124">
        <f t="shared" si="113"/>
        <v>0</v>
      </c>
      <c r="CF111" s="125">
        <f t="shared" si="114"/>
        <v>0</v>
      </c>
      <c r="CG111" s="126">
        <f t="shared" si="115"/>
        <v>0</v>
      </c>
      <c r="CH111" s="123"/>
      <c r="CI111" s="124">
        <f t="shared" si="116"/>
        <v>0</v>
      </c>
      <c r="CJ111" s="123"/>
      <c r="CK111" s="124">
        <f t="shared" si="117"/>
        <v>0</v>
      </c>
      <c r="CL111" s="123"/>
      <c r="CM111" s="124">
        <f t="shared" si="118"/>
        <v>0</v>
      </c>
      <c r="CN111" s="123"/>
      <c r="CO111" s="124">
        <f t="shared" si="119"/>
        <v>0</v>
      </c>
      <c r="CP111" s="123"/>
      <c r="CQ111" s="124">
        <f t="shared" si="120"/>
        <v>0</v>
      </c>
      <c r="CR111" s="123"/>
      <c r="CS111" s="124">
        <f t="shared" si="121"/>
        <v>0</v>
      </c>
      <c r="CT111" s="123"/>
      <c r="CU111" s="124">
        <f t="shared" si="122"/>
        <v>0</v>
      </c>
      <c r="CV111" s="123"/>
      <c r="CW111" s="124">
        <f t="shared" si="123"/>
        <v>0</v>
      </c>
      <c r="CX111" s="123"/>
      <c r="CY111" s="124">
        <f t="shared" si="124"/>
        <v>0</v>
      </c>
      <c r="CZ111" s="123"/>
      <c r="DA111" s="124">
        <f t="shared" si="125"/>
        <v>0</v>
      </c>
      <c r="DB111" s="123"/>
      <c r="DC111" s="124">
        <f t="shared" si="126"/>
        <v>0</v>
      </c>
      <c r="DD111" s="123"/>
      <c r="DE111" s="124">
        <f t="shared" si="126"/>
        <v>0</v>
      </c>
      <c r="DF111" s="177">
        <f t="shared" si="72"/>
        <v>0</v>
      </c>
      <c r="DG111" s="126">
        <f t="shared" si="127"/>
        <v>0</v>
      </c>
      <c r="DH111" s="123"/>
      <c r="DI111" s="124">
        <f t="shared" si="128"/>
        <v>0</v>
      </c>
      <c r="DJ111" s="123"/>
      <c r="DK111" s="124">
        <f t="shared" si="129"/>
        <v>0</v>
      </c>
      <c r="DL111" s="123"/>
      <c r="DM111" s="124">
        <f t="shared" si="130"/>
        <v>0</v>
      </c>
      <c r="DN111" s="123"/>
      <c r="DO111" s="124">
        <f t="shared" si="131"/>
        <v>0</v>
      </c>
      <c r="DP111" s="123"/>
      <c r="DQ111" s="124">
        <f t="shared" si="132"/>
        <v>0</v>
      </c>
      <c r="DR111" s="123"/>
      <c r="DS111" s="124">
        <f t="shared" si="133"/>
        <v>0</v>
      </c>
      <c r="DT111" s="123"/>
      <c r="DU111" s="124">
        <f t="shared" si="134"/>
        <v>0</v>
      </c>
      <c r="DV111" s="123"/>
      <c r="DW111" s="124">
        <f t="shared" si="135"/>
        <v>0</v>
      </c>
      <c r="DX111" s="123"/>
      <c r="DY111" s="124">
        <f t="shared" si="136"/>
        <v>0</v>
      </c>
      <c r="DZ111" s="123"/>
      <c r="EA111" s="124">
        <f t="shared" si="137"/>
        <v>0</v>
      </c>
      <c r="EB111" s="123"/>
      <c r="EC111" s="124">
        <f t="shared" si="138"/>
        <v>0</v>
      </c>
      <c r="ED111" s="123"/>
      <c r="EE111" s="124">
        <f t="shared" si="139"/>
        <v>0</v>
      </c>
      <c r="EF111" s="27">
        <f t="shared" si="73"/>
        <v>0</v>
      </c>
      <c r="EG111" s="124">
        <f t="shared" si="140"/>
        <v>0</v>
      </c>
    </row>
    <row r="112" spans="1:137" x14ac:dyDescent="0.5">
      <c r="A112" s="117"/>
      <c r="B112" s="122"/>
      <c r="C112" s="122"/>
      <c r="D112" s="117"/>
      <c r="E112" s="117"/>
      <c r="F112" s="117"/>
      <c r="G112" s="117"/>
      <c r="H112" s="123"/>
      <c r="I112" s="124">
        <f t="shared" si="74"/>
        <v>0</v>
      </c>
      <c r="J112" s="123"/>
      <c r="K112" s="124">
        <f t="shared" si="75"/>
        <v>0</v>
      </c>
      <c r="L112" s="123"/>
      <c r="M112" s="124">
        <f t="shared" si="76"/>
        <v>0</v>
      </c>
      <c r="N112" s="123"/>
      <c r="O112" s="124">
        <f t="shared" si="77"/>
        <v>0</v>
      </c>
      <c r="P112" s="123"/>
      <c r="Q112" s="124">
        <f t="shared" si="78"/>
        <v>0</v>
      </c>
      <c r="R112" s="123"/>
      <c r="S112" s="124">
        <f t="shared" si="79"/>
        <v>0</v>
      </c>
      <c r="T112" s="123"/>
      <c r="U112" s="124">
        <f t="shared" si="80"/>
        <v>0</v>
      </c>
      <c r="V112" s="123"/>
      <c r="W112" s="124">
        <f t="shared" si="81"/>
        <v>0</v>
      </c>
      <c r="X112" s="123"/>
      <c r="Y112" s="124">
        <f t="shared" si="82"/>
        <v>0</v>
      </c>
      <c r="Z112" s="123"/>
      <c r="AA112" s="124">
        <f t="shared" si="83"/>
        <v>0</v>
      </c>
      <c r="AB112" s="123"/>
      <c r="AC112" s="124">
        <f t="shared" si="84"/>
        <v>0</v>
      </c>
      <c r="AD112" s="123"/>
      <c r="AE112" s="124">
        <f t="shared" si="85"/>
        <v>0</v>
      </c>
      <c r="AF112" s="125">
        <f t="shared" si="86"/>
        <v>0</v>
      </c>
      <c r="AG112" s="126">
        <f t="shared" si="87"/>
        <v>0</v>
      </c>
      <c r="AH112" s="123"/>
      <c r="AI112" s="124">
        <f t="shared" si="88"/>
        <v>0</v>
      </c>
      <c r="AJ112" s="123"/>
      <c r="AK112" s="124">
        <f t="shared" si="89"/>
        <v>0</v>
      </c>
      <c r="AL112" s="123"/>
      <c r="AM112" s="124">
        <f t="shared" si="90"/>
        <v>0</v>
      </c>
      <c r="AN112" s="123"/>
      <c r="AO112" s="124">
        <f t="shared" si="91"/>
        <v>0</v>
      </c>
      <c r="AP112" s="123"/>
      <c r="AQ112" s="124">
        <f t="shared" si="92"/>
        <v>0</v>
      </c>
      <c r="AR112" s="123"/>
      <c r="AS112" s="124">
        <f t="shared" si="93"/>
        <v>0</v>
      </c>
      <c r="AT112" s="123"/>
      <c r="AU112" s="124">
        <f t="shared" si="94"/>
        <v>0</v>
      </c>
      <c r="AV112" s="123"/>
      <c r="AW112" s="124">
        <f t="shared" si="95"/>
        <v>0</v>
      </c>
      <c r="AX112" s="123"/>
      <c r="AY112" s="124">
        <f t="shared" si="96"/>
        <v>0</v>
      </c>
      <c r="AZ112" s="123"/>
      <c r="BA112" s="124">
        <f t="shared" si="97"/>
        <v>0</v>
      </c>
      <c r="BB112" s="123"/>
      <c r="BC112" s="124">
        <f t="shared" si="98"/>
        <v>0</v>
      </c>
      <c r="BD112" s="123"/>
      <c r="BE112" s="124">
        <f t="shared" si="99"/>
        <v>0</v>
      </c>
      <c r="BF112" s="125">
        <f t="shared" si="100"/>
        <v>0</v>
      </c>
      <c r="BG112" s="126">
        <f t="shared" si="101"/>
        <v>0</v>
      </c>
      <c r="BH112" s="123"/>
      <c r="BI112" s="124">
        <f t="shared" si="102"/>
        <v>0</v>
      </c>
      <c r="BJ112" s="123"/>
      <c r="BK112" s="124">
        <f t="shared" si="103"/>
        <v>0</v>
      </c>
      <c r="BL112" s="123"/>
      <c r="BM112" s="124">
        <f t="shared" si="104"/>
        <v>0</v>
      </c>
      <c r="BN112" s="123"/>
      <c r="BO112" s="124">
        <f t="shared" si="105"/>
        <v>0</v>
      </c>
      <c r="BP112" s="123"/>
      <c r="BQ112" s="124">
        <f t="shared" si="106"/>
        <v>0</v>
      </c>
      <c r="BR112" s="123"/>
      <c r="BS112" s="124">
        <f t="shared" si="107"/>
        <v>0</v>
      </c>
      <c r="BT112" s="123"/>
      <c r="BU112" s="124">
        <f t="shared" si="108"/>
        <v>0</v>
      </c>
      <c r="BV112" s="123"/>
      <c r="BW112" s="124">
        <f t="shared" si="109"/>
        <v>0</v>
      </c>
      <c r="BX112" s="123"/>
      <c r="BY112" s="124">
        <f t="shared" si="110"/>
        <v>0</v>
      </c>
      <c r="BZ112" s="123"/>
      <c r="CA112" s="124">
        <f t="shared" si="111"/>
        <v>0</v>
      </c>
      <c r="CB112" s="123"/>
      <c r="CC112" s="124">
        <f t="shared" si="112"/>
        <v>0</v>
      </c>
      <c r="CD112" s="123"/>
      <c r="CE112" s="124">
        <f t="shared" si="113"/>
        <v>0</v>
      </c>
      <c r="CF112" s="125">
        <f t="shared" si="114"/>
        <v>0</v>
      </c>
      <c r="CG112" s="126">
        <f t="shared" si="115"/>
        <v>0</v>
      </c>
      <c r="CH112" s="129"/>
      <c r="CI112" s="124">
        <f t="shared" si="116"/>
        <v>0</v>
      </c>
      <c r="CJ112" s="123"/>
      <c r="CK112" s="124">
        <f t="shared" si="117"/>
        <v>0</v>
      </c>
      <c r="CL112" s="123"/>
      <c r="CM112" s="124">
        <f t="shared" si="118"/>
        <v>0</v>
      </c>
      <c r="CN112" s="123"/>
      <c r="CO112" s="124">
        <f t="shared" si="119"/>
        <v>0</v>
      </c>
      <c r="CP112" s="123"/>
      <c r="CQ112" s="124">
        <f t="shared" si="120"/>
        <v>0</v>
      </c>
      <c r="CR112" s="123"/>
      <c r="CS112" s="124">
        <f t="shared" si="121"/>
        <v>0</v>
      </c>
      <c r="CT112" s="123"/>
      <c r="CU112" s="124">
        <f t="shared" si="122"/>
        <v>0</v>
      </c>
      <c r="CV112" s="123"/>
      <c r="CW112" s="124">
        <f t="shared" si="123"/>
        <v>0</v>
      </c>
      <c r="CX112" s="123"/>
      <c r="CY112" s="124">
        <f t="shared" si="124"/>
        <v>0</v>
      </c>
      <c r="CZ112" s="123"/>
      <c r="DA112" s="124">
        <f t="shared" si="125"/>
        <v>0</v>
      </c>
      <c r="DB112" s="123"/>
      <c r="DC112" s="124">
        <f t="shared" si="126"/>
        <v>0</v>
      </c>
      <c r="DD112" s="123"/>
      <c r="DE112" s="124">
        <f t="shared" si="126"/>
        <v>0</v>
      </c>
      <c r="DF112" s="177">
        <f t="shared" si="72"/>
        <v>0</v>
      </c>
      <c r="DG112" s="126">
        <f t="shared" si="127"/>
        <v>0</v>
      </c>
      <c r="DH112" s="129"/>
      <c r="DI112" s="124">
        <f t="shared" si="128"/>
        <v>0</v>
      </c>
      <c r="DJ112" s="123"/>
      <c r="DK112" s="124">
        <f t="shared" si="129"/>
        <v>0</v>
      </c>
      <c r="DL112" s="123"/>
      <c r="DM112" s="124">
        <f t="shared" si="130"/>
        <v>0</v>
      </c>
      <c r="DN112" s="123"/>
      <c r="DO112" s="124">
        <f t="shared" si="131"/>
        <v>0</v>
      </c>
      <c r="DP112" s="123"/>
      <c r="DQ112" s="124">
        <f t="shared" si="132"/>
        <v>0</v>
      </c>
      <c r="DR112" s="123"/>
      <c r="DS112" s="124">
        <f t="shared" si="133"/>
        <v>0</v>
      </c>
      <c r="DT112" s="123"/>
      <c r="DU112" s="124">
        <f t="shared" si="134"/>
        <v>0</v>
      </c>
      <c r="DV112" s="123"/>
      <c r="DW112" s="124">
        <f t="shared" si="135"/>
        <v>0</v>
      </c>
      <c r="DX112" s="123"/>
      <c r="DY112" s="124">
        <f t="shared" si="136"/>
        <v>0</v>
      </c>
      <c r="DZ112" s="123"/>
      <c r="EA112" s="124">
        <f t="shared" si="137"/>
        <v>0</v>
      </c>
      <c r="EB112" s="123"/>
      <c r="EC112" s="124">
        <f t="shared" si="138"/>
        <v>0</v>
      </c>
      <c r="ED112" s="123"/>
      <c r="EE112" s="124">
        <f t="shared" si="139"/>
        <v>0</v>
      </c>
      <c r="EF112" s="27">
        <f t="shared" si="73"/>
        <v>0</v>
      </c>
      <c r="EG112" s="124">
        <f t="shared" si="140"/>
        <v>0</v>
      </c>
    </row>
    <row r="113" spans="1:137" ht="18" customHeight="1" x14ac:dyDescent="0.5">
      <c r="A113" s="117">
        <v>90</v>
      </c>
      <c r="B113" s="122" t="s">
        <v>51</v>
      </c>
      <c r="C113" s="122" t="s">
        <v>231</v>
      </c>
      <c r="D113" s="117"/>
      <c r="E113" s="117">
        <v>0.7</v>
      </c>
      <c r="F113" s="117" t="s">
        <v>232</v>
      </c>
      <c r="G113" s="117">
        <v>3600</v>
      </c>
      <c r="H113" s="123">
        <v>198</v>
      </c>
      <c r="I113" s="124">
        <f t="shared" si="74"/>
        <v>138.6</v>
      </c>
      <c r="J113" s="123">
        <v>133</v>
      </c>
      <c r="K113" s="124">
        <f t="shared" si="75"/>
        <v>93.1</v>
      </c>
      <c r="L113" s="123">
        <v>156</v>
      </c>
      <c r="M113" s="124">
        <f t="shared" si="76"/>
        <v>109.19999999999999</v>
      </c>
      <c r="N113" s="123">
        <v>204</v>
      </c>
      <c r="O113" s="124">
        <f t="shared" si="77"/>
        <v>142.79999999999998</v>
      </c>
      <c r="P113" s="123">
        <v>160</v>
      </c>
      <c r="Q113" s="124">
        <f t="shared" si="78"/>
        <v>112</v>
      </c>
      <c r="R113" s="123">
        <v>192</v>
      </c>
      <c r="S113" s="124">
        <f t="shared" si="79"/>
        <v>134.39999999999998</v>
      </c>
      <c r="T113" s="123">
        <v>140</v>
      </c>
      <c r="U113" s="124">
        <f t="shared" si="80"/>
        <v>98</v>
      </c>
      <c r="V113" s="123">
        <v>161</v>
      </c>
      <c r="W113" s="124">
        <f t="shared" si="81"/>
        <v>112.69999999999999</v>
      </c>
      <c r="X113" s="123"/>
      <c r="Y113" s="124">
        <f t="shared" si="82"/>
        <v>0</v>
      </c>
      <c r="Z113" s="123">
        <v>298</v>
      </c>
      <c r="AA113" s="124">
        <f t="shared" si="83"/>
        <v>208.6</v>
      </c>
      <c r="AB113" s="123">
        <v>67</v>
      </c>
      <c r="AC113" s="124">
        <f t="shared" si="84"/>
        <v>46.9</v>
      </c>
      <c r="AD113" s="123">
        <v>243</v>
      </c>
      <c r="AE113" s="124">
        <f t="shared" si="85"/>
        <v>170.1</v>
      </c>
      <c r="AF113" s="125">
        <f t="shared" si="86"/>
        <v>1952</v>
      </c>
      <c r="AG113" s="126">
        <f t="shared" si="87"/>
        <v>1366.3999999999999</v>
      </c>
      <c r="AH113" s="11">
        <v>298</v>
      </c>
      <c r="AI113" s="124">
        <f t="shared" si="88"/>
        <v>208.6</v>
      </c>
      <c r="AJ113" s="15">
        <v>130</v>
      </c>
      <c r="AK113" s="124">
        <f t="shared" si="89"/>
        <v>91</v>
      </c>
      <c r="AL113" s="15">
        <v>447</v>
      </c>
      <c r="AM113" s="124">
        <f t="shared" si="90"/>
        <v>312.89999999999998</v>
      </c>
      <c r="AN113" s="16">
        <v>12</v>
      </c>
      <c r="AO113" s="124">
        <f t="shared" si="91"/>
        <v>8.3999999999999986</v>
      </c>
      <c r="AP113" s="15">
        <v>126</v>
      </c>
      <c r="AQ113" s="124">
        <f t="shared" si="92"/>
        <v>88.199999999999989</v>
      </c>
      <c r="AR113" s="15">
        <v>182</v>
      </c>
      <c r="AS113" s="124">
        <f t="shared" si="93"/>
        <v>127.39999999999999</v>
      </c>
      <c r="AT113" s="17">
        <v>2</v>
      </c>
      <c r="AU113" s="124">
        <f t="shared" si="94"/>
        <v>1.4</v>
      </c>
      <c r="AV113" s="15">
        <v>124</v>
      </c>
      <c r="AW113" s="124">
        <f t="shared" si="95"/>
        <v>86.8</v>
      </c>
      <c r="AX113" s="15">
        <v>10</v>
      </c>
      <c r="AY113" s="124">
        <f t="shared" si="96"/>
        <v>7</v>
      </c>
      <c r="AZ113" s="17">
        <v>209</v>
      </c>
      <c r="BA113" s="124">
        <f t="shared" si="97"/>
        <v>146.29999999999998</v>
      </c>
      <c r="BB113" s="33"/>
      <c r="BC113" s="124">
        <f t="shared" si="98"/>
        <v>0</v>
      </c>
      <c r="BD113" s="33">
        <v>180</v>
      </c>
      <c r="BE113" s="124">
        <f t="shared" si="99"/>
        <v>125.99999999999999</v>
      </c>
      <c r="BF113" s="125">
        <f t="shared" si="100"/>
        <v>1720</v>
      </c>
      <c r="BG113" s="126">
        <f t="shared" si="101"/>
        <v>1204</v>
      </c>
      <c r="BH113" s="64">
        <v>2</v>
      </c>
      <c r="BI113" s="124">
        <f t="shared" si="102"/>
        <v>1.4</v>
      </c>
      <c r="BJ113" s="79"/>
      <c r="BK113" s="124">
        <f t="shared" si="103"/>
        <v>0</v>
      </c>
      <c r="BL113" s="64">
        <v>60</v>
      </c>
      <c r="BM113" s="124">
        <f t="shared" si="104"/>
        <v>42</v>
      </c>
      <c r="BN113" s="64">
        <v>180</v>
      </c>
      <c r="BO113" s="124">
        <f t="shared" si="105"/>
        <v>125.99999999999999</v>
      </c>
      <c r="BP113" s="64">
        <v>77</v>
      </c>
      <c r="BQ113" s="124">
        <f t="shared" si="106"/>
        <v>53.9</v>
      </c>
      <c r="BR113" s="65">
        <v>60</v>
      </c>
      <c r="BS113" s="124">
        <f t="shared" si="107"/>
        <v>42</v>
      </c>
      <c r="BT113" s="64">
        <v>60</v>
      </c>
      <c r="BU113" s="124">
        <f t="shared" si="108"/>
        <v>42</v>
      </c>
      <c r="BV113" s="67">
        <v>204</v>
      </c>
      <c r="BW113" s="124">
        <f t="shared" si="109"/>
        <v>142.79999999999998</v>
      </c>
      <c r="BX113" s="67">
        <v>41</v>
      </c>
      <c r="BY113" s="124">
        <f t="shared" si="110"/>
        <v>28.7</v>
      </c>
      <c r="BZ113" s="67">
        <v>54</v>
      </c>
      <c r="CA113" s="124">
        <f t="shared" si="111"/>
        <v>37.799999999999997</v>
      </c>
      <c r="CB113" s="67">
        <v>354</v>
      </c>
      <c r="CC113" s="124">
        <f t="shared" si="112"/>
        <v>247.79999999999998</v>
      </c>
      <c r="CD113" s="69">
        <v>41</v>
      </c>
      <c r="CE113" s="124">
        <f t="shared" si="113"/>
        <v>28.7</v>
      </c>
      <c r="CF113" s="125">
        <f t="shared" si="114"/>
        <v>1133</v>
      </c>
      <c r="CG113" s="126">
        <f t="shared" si="115"/>
        <v>793.09999999999991</v>
      </c>
      <c r="CH113" s="123">
        <v>29</v>
      </c>
      <c r="CI113" s="124">
        <f t="shared" si="116"/>
        <v>20.299999999999997</v>
      </c>
      <c r="CJ113" s="123">
        <v>42</v>
      </c>
      <c r="CK113" s="124">
        <f t="shared" si="117"/>
        <v>29.4</v>
      </c>
      <c r="CL113" s="123">
        <v>48</v>
      </c>
      <c r="CM113" s="124">
        <f t="shared" si="118"/>
        <v>33.599999999999994</v>
      </c>
      <c r="CN113" s="123">
        <v>36</v>
      </c>
      <c r="CO113" s="124">
        <f t="shared" si="119"/>
        <v>25.2</v>
      </c>
      <c r="CP113" s="123">
        <v>36</v>
      </c>
      <c r="CQ113" s="124">
        <f t="shared" si="120"/>
        <v>25.2</v>
      </c>
      <c r="CR113" s="123">
        <v>24</v>
      </c>
      <c r="CS113" s="124">
        <f t="shared" si="121"/>
        <v>16.799999999999997</v>
      </c>
      <c r="CT113" s="123">
        <v>48</v>
      </c>
      <c r="CU113" s="124">
        <f t="shared" si="122"/>
        <v>33.599999999999994</v>
      </c>
      <c r="CV113" s="123">
        <v>23</v>
      </c>
      <c r="CW113" s="124">
        <f t="shared" si="123"/>
        <v>16.099999999999998</v>
      </c>
      <c r="CX113" s="123">
        <v>6</v>
      </c>
      <c r="CY113" s="124">
        <f t="shared" si="124"/>
        <v>4.1999999999999993</v>
      </c>
      <c r="CZ113" s="123">
        <v>20</v>
      </c>
      <c r="DA113" s="124">
        <f t="shared" si="125"/>
        <v>14</v>
      </c>
      <c r="DB113" s="123">
        <v>12</v>
      </c>
      <c r="DC113" s="124">
        <f t="shared" si="126"/>
        <v>8.3999999999999986</v>
      </c>
      <c r="DD113" s="123">
        <v>4</v>
      </c>
      <c r="DE113" s="124">
        <f t="shared" si="126"/>
        <v>2.8</v>
      </c>
      <c r="DF113" s="177">
        <f t="shared" si="72"/>
        <v>328</v>
      </c>
      <c r="DG113" s="126">
        <f t="shared" si="127"/>
        <v>229.6</v>
      </c>
      <c r="DH113" s="123"/>
      <c r="DI113" s="124">
        <f t="shared" si="128"/>
        <v>0</v>
      </c>
      <c r="DJ113" s="123"/>
      <c r="DK113" s="124">
        <f t="shared" si="129"/>
        <v>0</v>
      </c>
      <c r="DL113" s="123"/>
      <c r="DM113" s="124">
        <f t="shared" si="130"/>
        <v>0</v>
      </c>
      <c r="DN113" s="123"/>
      <c r="DO113" s="124">
        <f t="shared" si="131"/>
        <v>0</v>
      </c>
      <c r="DP113" s="123"/>
      <c r="DQ113" s="124">
        <f t="shared" si="132"/>
        <v>0</v>
      </c>
      <c r="DR113" s="123"/>
      <c r="DS113" s="124">
        <f t="shared" si="133"/>
        <v>0</v>
      </c>
      <c r="DT113" s="123"/>
      <c r="DU113" s="124">
        <f t="shared" si="134"/>
        <v>0</v>
      </c>
      <c r="DV113" s="123"/>
      <c r="DW113" s="124">
        <f t="shared" si="135"/>
        <v>0</v>
      </c>
      <c r="DX113" s="123"/>
      <c r="DY113" s="124">
        <f t="shared" si="136"/>
        <v>0</v>
      </c>
      <c r="DZ113" s="123"/>
      <c r="EA113" s="124">
        <f t="shared" si="137"/>
        <v>0</v>
      </c>
      <c r="EB113" s="123"/>
      <c r="EC113" s="124">
        <f t="shared" si="138"/>
        <v>0</v>
      </c>
      <c r="ED113" s="123"/>
      <c r="EE113" s="124">
        <f t="shared" si="139"/>
        <v>0</v>
      </c>
      <c r="EF113" s="27">
        <f t="shared" si="73"/>
        <v>0</v>
      </c>
      <c r="EG113" s="124">
        <f t="shared" si="140"/>
        <v>0</v>
      </c>
    </row>
    <row r="114" spans="1:137" ht="18" customHeight="1" x14ac:dyDescent="0.5">
      <c r="A114" s="117">
        <v>91</v>
      </c>
      <c r="B114" s="122" t="s">
        <v>52</v>
      </c>
      <c r="C114" s="122" t="s">
        <v>231</v>
      </c>
      <c r="D114" s="117"/>
      <c r="E114" s="117">
        <v>0.35</v>
      </c>
      <c r="F114" s="117" t="s">
        <v>235</v>
      </c>
      <c r="G114" s="117">
        <v>2100</v>
      </c>
      <c r="H114" s="123">
        <v>118</v>
      </c>
      <c r="I114" s="124">
        <f t="shared" si="74"/>
        <v>41.3</v>
      </c>
      <c r="J114" s="123"/>
      <c r="K114" s="124">
        <f t="shared" si="75"/>
        <v>0</v>
      </c>
      <c r="L114" s="123">
        <v>139</v>
      </c>
      <c r="M114" s="124">
        <f t="shared" si="76"/>
        <v>48.65</v>
      </c>
      <c r="N114" s="123">
        <v>78</v>
      </c>
      <c r="O114" s="124">
        <f t="shared" si="77"/>
        <v>27.299999999999997</v>
      </c>
      <c r="P114" s="123">
        <v>39</v>
      </c>
      <c r="Q114" s="124">
        <f t="shared" si="78"/>
        <v>13.649999999999999</v>
      </c>
      <c r="R114" s="123"/>
      <c r="S114" s="124">
        <f t="shared" si="79"/>
        <v>0</v>
      </c>
      <c r="T114" s="123">
        <v>11</v>
      </c>
      <c r="U114" s="124">
        <f t="shared" si="80"/>
        <v>3.8499999999999996</v>
      </c>
      <c r="V114" s="123"/>
      <c r="W114" s="124">
        <f t="shared" si="81"/>
        <v>0</v>
      </c>
      <c r="X114" s="123">
        <v>240</v>
      </c>
      <c r="Y114" s="124">
        <f t="shared" si="82"/>
        <v>84</v>
      </c>
      <c r="Z114" s="123">
        <v>2</v>
      </c>
      <c r="AA114" s="124">
        <f t="shared" si="83"/>
        <v>0.7</v>
      </c>
      <c r="AB114" s="123"/>
      <c r="AC114" s="124">
        <f t="shared" si="84"/>
        <v>0</v>
      </c>
      <c r="AD114" s="123">
        <v>24</v>
      </c>
      <c r="AE114" s="124">
        <f t="shared" si="85"/>
        <v>8.3999999999999986</v>
      </c>
      <c r="AF114" s="125">
        <f t="shared" si="86"/>
        <v>651</v>
      </c>
      <c r="AG114" s="126">
        <f t="shared" si="87"/>
        <v>227.85</v>
      </c>
      <c r="AH114" s="11"/>
      <c r="AI114" s="124">
        <f t="shared" si="88"/>
        <v>0</v>
      </c>
      <c r="AJ114" s="15">
        <v>2</v>
      </c>
      <c r="AK114" s="124">
        <f t="shared" si="89"/>
        <v>0.7</v>
      </c>
      <c r="AL114" s="15"/>
      <c r="AM114" s="124">
        <f t="shared" si="90"/>
        <v>0</v>
      </c>
      <c r="AN114" s="16"/>
      <c r="AO114" s="124">
        <f t="shared" si="91"/>
        <v>0</v>
      </c>
      <c r="AP114" s="15"/>
      <c r="AQ114" s="124">
        <f t="shared" si="92"/>
        <v>0</v>
      </c>
      <c r="AR114" s="15">
        <v>72</v>
      </c>
      <c r="AS114" s="124">
        <f t="shared" si="93"/>
        <v>25.2</v>
      </c>
      <c r="AT114" s="17"/>
      <c r="AU114" s="124">
        <f t="shared" si="94"/>
        <v>0</v>
      </c>
      <c r="AV114" s="15"/>
      <c r="AW114" s="124">
        <f t="shared" si="95"/>
        <v>0</v>
      </c>
      <c r="AX114" s="15">
        <v>5</v>
      </c>
      <c r="AY114" s="124">
        <f t="shared" si="96"/>
        <v>1.75</v>
      </c>
      <c r="AZ114" s="17"/>
      <c r="BA114" s="124">
        <f t="shared" si="97"/>
        <v>0</v>
      </c>
      <c r="BB114" s="33"/>
      <c r="BC114" s="124">
        <f t="shared" si="98"/>
        <v>0</v>
      </c>
      <c r="BD114" s="33"/>
      <c r="BE114" s="124">
        <f t="shared" si="99"/>
        <v>0</v>
      </c>
      <c r="BF114" s="125">
        <f t="shared" si="100"/>
        <v>79</v>
      </c>
      <c r="BG114" s="126">
        <f t="shared" si="101"/>
        <v>27.65</v>
      </c>
      <c r="BH114" s="123"/>
      <c r="BI114" s="124">
        <f t="shared" si="102"/>
        <v>0</v>
      </c>
      <c r="BJ114" s="123"/>
      <c r="BK114" s="124">
        <f t="shared" si="103"/>
        <v>0</v>
      </c>
      <c r="BL114" s="123"/>
      <c r="BM114" s="124">
        <f t="shared" si="104"/>
        <v>0</v>
      </c>
      <c r="BN114" s="123"/>
      <c r="BO114" s="124">
        <f t="shared" si="105"/>
        <v>0</v>
      </c>
      <c r="BP114" s="123"/>
      <c r="BQ114" s="124">
        <f t="shared" si="106"/>
        <v>0</v>
      </c>
      <c r="BR114" s="123"/>
      <c r="BS114" s="124">
        <f t="shared" si="107"/>
        <v>0</v>
      </c>
      <c r="BT114" s="123"/>
      <c r="BU114" s="124">
        <f t="shared" si="108"/>
        <v>0</v>
      </c>
      <c r="BV114" s="123"/>
      <c r="BW114" s="124">
        <f t="shared" si="109"/>
        <v>0</v>
      </c>
      <c r="BX114" s="123"/>
      <c r="BY114" s="124">
        <f t="shared" si="110"/>
        <v>0</v>
      </c>
      <c r="BZ114" s="123"/>
      <c r="CA114" s="124">
        <f t="shared" si="111"/>
        <v>0</v>
      </c>
      <c r="CB114" s="123"/>
      <c r="CC114" s="124">
        <f t="shared" si="112"/>
        <v>0</v>
      </c>
      <c r="CD114" s="123"/>
      <c r="CE114" s="124">
        <f t="shared" si="113"/>
        <v>0</v>
      </c>
      <c r="CF114" s="125">
        <f t="shared" si="114"/>
        <v>0</v>
      </c>
      <c r="CG114" s="126">
        <f t="shared" si="115"/>
        <v>0</v>
      </c>
      <c r="CH114" s="123"/>
      <c r="CI114" s="124">
        <f t="shared" si="116"/>
        <v>0</v>
      </c>
      <c r="CJ114" s="123"/>
      <c r="CK114" s="124">
        <f t="shared" si="117"/>
        <v>0</v>
      </c>
      <c r="CL114" s="123"/>
      <c r="CM114" s="124">
        <f t="shared" si="118"/>
        <v>0</v>
      </c>
      <c r="CN114" s="123"/>
      <c r="CO114" s="124">
        <f t="shared" si="119"/>
        <v>0</v>
      </c>
      <c r="CP114" s="123"/>
      <c r="CQ114" s="124">
        <f t="shared" si="120"/>
        <v>0</v>
      </c>
      <c r="CR114" s="123"/>
      <c r="CS114" s="124">
        <f t="shared" si="121"/>
        <v>0</v>
      </c>
      <c r="CT114" s="123"/>
      <c r="CU114" s="124">
        <f t="shared" si="122"/>
        <v>0</v>
      </c>
      <c r="CV114" s="123">
        <v>3</v>
      </c>
      <c r="CW114" s="124">
        <f t="shared" si="123"/>
        <v>1.0499999999999998</v>
      </c>
      <c r="CX114" s="123">
        <v>5</v>
      </c>
      <c r="CY114" s="124">
        <f t="shared" si="124"/>
        <v>1.75</v>
      </c>
      <c r="CZ114" s="123">
        <v>10</v>
      </c>
      <c r="DA114" s="124">
        <f t="shared" si="125"/>
        <v>3.5</v>
      </c>
      <c r="DB114" s="123">
        <v>6</v>
      </c>
      <c r="DC114" s="124">
        <f t="shared" si="126"/>
        <v>2.0999999999999996</v>
      </c>
      <c r="DD114" s="123">
        <v>45</v>
      </c>
      <c r="DE114" s="124">
        <f t="shared" si="126"/>
        <v>15.749999999999998</v>
      </c>
      <c r="DF114" s="177">
        <f t="shared" si="72"/>
        <v>69</v>
      </c>
      <c r="DG114" s="126">
        <f t="shared" si="127"/>
        <v>24.15</v>
      </c>
      <c r="DH114" s="123">
        <v>37</v>
      </c>
      <c r="DI114" s="124">
        <f t="shared" si="128"/>
        <v>12.95</v>
      </c>
      <c r="DJ114" s="123">
        <v>63</v>
      </c>
      <c r="DK114" s="124">
        <f t="shared" si="129"/>
        <v>22.049999999999997</v>
      </c>
      <c r="DL114" s="123"/>
      <c r="DM114" s="124">
        <f t="shared" si="130"/>
        <v>0</v>
      </c>
      <c r="DN114" s="123"/>
      <c r="DO114" s="124">
        <f t="shared" si="131"/>
        <v>0</v>
      </c>
      <c r="DP114" s="123"/>
      <c r="DQ114" s="124">
        <f t="shared" si="132"/>
        <v>0</v>
      </c>
      <c r="DR114" s="123"/>
      <c r="DS114" s="124">
        <f t="shared" si="133"/>
        <v>0</v>
      </c>
      <c r="DT114" s="123"/>
      <c r="DU114" s="124">
        <f t="shared" si="134"/>
        <v>0</v>
      </c>
      <c r="DV114" s="123"/>
      <c r="DW114" s="124">
        <f t="shared" si="135"/>
        <v>0</v>
      </c>
      <c r="DX114" s="123"/>
      <c r="DY114" s="124">
        <f t="shared" si="136"/>
        <v>0</v>
      </c>
      <c r="DZ114" s="123"/>
      <c r="EA114" s="124">
        <f t="shared" si="137"/>
        <v>0</v>
      </c>
      <c r="EB114" s="123"/>
      <c r="EC114" s="124">
        <f t="shared" si="138"/>
        <v>0</v>
      </c>
      <c r="ED114" s="123"/>
      <c r="EE114" s="124">
        <f t="shared" si="139"/>
        <v>0</v>
      </c>
      <c r="EF114" s="27">
        <f t="shared" si="73"/>
        <v>100</v>
      </c>
      <c r="EG114" s="124">
        <f t="shared" si="140"/>
        <v>35</v>
      </c>
    </row>
    <row r="115" spans="1:137" ht="18" customHeight="1" x14ac:dyDescent="0.5">
      <c r="A115" s="117"/>
      <c r="B115" s="122"/>
      <c r="C115" s="122"/>
      <c r="D115" s="117"/>
      <c r="E115" s="117"/>
      <c r="F115" s="117"/>
      <c r="G115" s="117"/>
      <c r="H115" s="123"/>
      <c r="I115" s="124">
        <f t="shared" si="74"/>
        <v>0</v>
      </c>
      <c r="J115" s="123"/>
      <c r="K115" s="124">
        <f t="shared" si="75"/>
        <v>0</v>
      </c>
      <c r="L115" s="123"/>
      <c r="M115" s="124">
        <f t="shared" si="76"/>
        <v>0</v>
      </c>
      <c r="N115" s="123"/>
      <c r="O115" s="124">
        <f t="shared" si="77"/>
        <v>0</v>
      </c>
      <c r="P115" s="123"/>
      <c r="Q115" s="124">
        <f t="shared" si="78"/>
        <v>0</v>
      </c>
      <c r="R115" s="123"/>
      <c r="S115" s="124">
        <f t="shared" si="79"/>
        <v>0</v>
      </c>
      <c r="T115" s="123"/>
      <c r="U115" s="124">
        <f t="shared" si="80"/>
        <v>0</v>
      </c>
      <c r="V115" s="123"/>
      <c r="W115" s="124">
        <f t="shared" si="81"/>
        <v>0</v>
      </c>
      <c r="X115" s="123"/>
      <c r="Y115" s="124">
        <f t="shared" si="82"/>
        <v>0</v>
      </c>
      <c r="Z115" s="123"/>
      <c r="AA115" s="124">
        <f t="shared" si="83"/>
        <v>0</v>
      </c>
      <c r="AB115" s="123"/>
      <c r="AC115" s="124">
        <f t="shared" si="84"/>
        <v>0</v>
      </c>
      <c r="AD115" s="123"/>
      <c r="AE115" s="124">
        <f t="shared" si="85"/>
        <v>0</v>
      </c>
      <c r="AF115" s="125">
        <f t="shared" si="86"/>
        <v>0</v>
      </c>
      <c r="AG115" s="126">
        <f t="shared" si="87"/>
        <v>0</v>
      </c>
      <c r="AH115" s="11"/>
      <c r="AI115" s="124">
        <f t="shared" si="88"/>
        <v>0</v>
      </c>
      <c r="AJ115" s="15"/>
      <c r="AK115" s="124">
        <f t="shared" si="89"/>
        <v>0</v>
      </c>
      <c r="AL115" s="15"/>
      <c r="AM115" s="124">
        <f t="shared" si="90"/>
        <v>0</v>
      </c>
      <c r="AN115" s="16"/>
      <c r="AO115" s="124">
        <f t="shared" si="91"/>
        <v>0</v>
      </c>
      <c r="AP115" s="15"/>
      <c r="AQ115" s="124">
        <f t="shared" si="92"/>
        <v>0</v>
      </c>
      <c r="AR115" s="15"/>
      <c r="AS115" s="124">
        <f t="shared" si="93"/>
        <v>0</v>
      </c>
      <c r="AT115" s="17"/>
      <c r="AU115" s="124">
        <f t="shared" si="94"/>
        <v>0</v>
      </c>
      <c r="AV115" s="15"/>
      <c r="AW115" s="124">
        <f t="shared" si="95"/>
        <v>0</v>
      </c>
      <c r="AX115" s="15"/>
      <c r="AY115" s="124">
        <f t="shared" si="96"/>
        <v>0</v>
      </c>
      <c r="AZ115" s="17"/>
      <c r="BA115" s="124">
        <f t="shared" si="97"/>
        <v>0</v>
      </c>
      <c r="BB115" s="33"/>
      <c r="BC115" s="124">
        <f t="shared" si="98"/>
        <v>0</v>
      </c>
      <c r="BD115" s="33"/>
      <c r="BE115" s="124">
        <f t="shared" si="99"/>
        <v>0</v>
      </c>
      <c r="BF115" s="125">
        <f t="shared" si="100"/>
        <v>0</v>
      </c>
      <c r="BG115" s="126">
        <f t="shared" si="101"/>
        <v>0</v>
      </c>
      <c r="BH115" s="123"/>
      <c r="BI115" s="124">
        <f t="shared" si="102"/>
        <v>0</v>
      </c>
      <c r="BJ115" s="123"/>
      <c r="BK115" s="124">
        <f t="shared" si="103"/>
        <v>0</v>
      </c>
      <c r="BL115" s="123"/>
      <c r="BM115" s="124">
        <f t="shared" si="104"/>
        <v>0</v>
      </c>
      <c r="BN115" s="123"/>
      <c r="BO115" s="124">
        <f t="shared" si="105"/>
        <v>0</v>
      </c>
      <c r="BP115" s="123"/>
      <c r="BQ115" s="124">
        <f t="shared" si="106"/>
        <v>0</v>
      </c>
      <c r="BR115" s="123"/>
      <c r="BS115" s="124">
        <f t="shared" si="107"/>
        <v>0</v>
      </c>
      <c r="BT115" s="123"/>
      <c r="BU115" s="124">
        <f t="shared" si="108"/>
        <v>0</v>
      </c>
      <c r="BV115" s="123"/>
      <c r="BW115" s="124">
        <f t="shared" si="109"/>
        <v>0</v>
      </c>
      <c r="BX115" s="123"/>
      <c r="BY115" s="124">
        <f t="shared" si="110"/>
        <v>0</v>
      </c>
      <c r="BZ115" s="123"/>
      <c r="CA115" s="124">
        <f t="shared" si="111"/>
        <v>0</v>
      </c>
      <c r="CB115" s="123"/>
      <c r="CC115" s="124">
        <f t="shared" si="112"/>
        <v>0</v>
      </c>
      <c r="CD115" s="123"/>
      <c r="CE115" s="124">
        <f t="shared" si="113"/>
        <v>0</v>
      </c>
      <c r="CF115" s="125">
        <f t="shared" si="114"/>
        <v>0</v>
      </c>
      <c r="CG115" s="126">
        <f t="shared" si="115"/>
        <v>0</v>
      </c>
      <c r="CH115" s="123"/>
      <c r="CI115" s="124">
        <f t="shared" si="116"/>
        <v>0</v>
      </c>
      <c r="CJ115" s="123"/>
      <c r="CK115" s="124">
        <f t="shared" si="117"/>
        <v>0</v>
      </c>
      <c r="CL115" s="123"/>
      <c r="CM115" s="124">
        <f t="shared" si="118"/>
        <v>0</v>
      </c>
      <c r="CN115" s="123"/>
      <c r="CO115" s="124">
        <f t="shared" si="119"/>
        <v>0</v>
      </c>
      <c r="CP115" s="123"/>
      <c r="CQ115" s="124">
        <f t="shared" si="120"/>
        <v>0</v>
      </c>
      <c r="CR115" s="123"/>
      <c r="CS115" s="124">
        <f t="shared" si="121"/>
        <v>0</v>
      </c>
      <c r="CT115" s="123"/>
      <c r="CU115" s="124">
        <f t="shared" si="122"/>
        <v>0</v>
      </c>
      <c r="CV115" s="123"/>
      <c r="CW115" s="124">
        <f t="shared" si="123"/>
        <v>0</v>
      </c>
      <c r="CX115" s="123"/>
      <c r="CY115" s="124">
        <f t="shared" si="124"/>
        <v>0</v>
      </c>
      <c r="CZ115" s="123"/>
      <c r="DA115" s="124">
        <f t="shared" si="125"/>
        <v>0</v>
      </c>
      <c r="DB115" s="123"/>
      <c r="DC115" s="124">
        <f t="shared" si="126"/>
        <v>0</v>
      </c>
      <c r="DD115" s="123"/>
      <c r="DE115" s="124">
        <f t="shared" si="126"/>
        <v>0</v>
      </c>
      <c r="DF115" s="177">
        <f t="shared" si="72"/>
        <v>0</v>
      </c>
      <c r="DG115" s="126">
        <f t="shared" si="127"/>
        <v>0</v>
      </c>
      <c r="DH115" s="123"/>
      <c r="DI115" s="124">
        <f t="shared" si="128"/>
        <v>0</v>
      </c>
      <c r="DJ115" s="123"/>
      <c r="DK115" s="124">
        <f t="shared" si="129"/>
        <v>0</v>
      </c>
      <c r="DL115" s="123"/>
      <c r="DM115" s="124">
        <f t="shared" si="130"/>
        <v>0</v>
      </c>
      <c r="DN115" s="123"/>
      <c r="DO115" s="124">
        <f t="shared" si="131"/>
        <v>0</v>
      </c>
      <c r="DP115" s="123"/>
      <c r="DQ115" s="124">
        <f t="shared" si="132"/>
        <v>0</v>
      </c>
      <c r="DR115" s="123"/>
      <c r="DS115" s="124">
        <f t="shared" si="133"/>
        <v>0</v>
      </c>
      <c r="DT115" s="123"/>
      <c r="DU115" s="124">
        <f t="shared" si="134"/>
        <v>0</v>
      </c>
      <c r="DV115" s="123"/>
      <c r="DW115" s="124">
        <f t="shared" si="135"/>
        <v>0</v>
      </c>
      <c r="DX115" s="123"/>
      <c r="DY115" s="124">
        <f t="shared" si="136"/>
        <v>0</v>
      </c>
      <c r="DZ115" s="123"/>
      <c r="EA115" s="124">
        <f t="shared" si="137"/>
        <v>0</v>
      </c>
      <c r="EB115" s="123"/>
      <c r="EC115" s="124">
        <f t="shared" si="138"/>
        <v>0</v>
      </c>
      <c r="ED115" s="123"/>
      <c r="EE115" s="124">
        <f t="shared" si="139"/>
        <v>0</v>
      </c>
      <c r="EF115" s="27">
        <f t="shared" si="73"/>
        <v>0</v>
      </c>
      <c r="EG115" s="124">
        <f t="shared" si="140"/>
        <v>0</v>
      </c>
    </row>
    <row r="116" spans="1:137" ht="18" customHeight="1" x14ac:dyDescent="0.5">
      <c r="A116" s="117">
        <v>92</v>
      </c>
      <c r="B116" s="122" t="s">
        <v>259</v>
      </c>
      <c r="C116" s="122" t="s">
        <v>233</v>
      </c>
      <c r="D116" s="117"/>
      <c r="E116" s="117">
        <v>0.75</v>
      </c>
      <c r="F116" s="117" t="s">
        <v>232</v>
      </c>
      <c r="G116" s="117"/>
      <c r="H116" s="123"/>
      <c r="I116" s="124">
        <f t="shared" si="74"/>
        <v>0</v>
      </c>
      <c r="J116" s="123"/>
      <c r="K116" s="124">
        <f t="shared" si="75"/>
        <v>0</v>
      </c>
      <c r="L116" s="123"/>
      <c r="M116" s="124">
        <f t="shared" si="76"/>
        <v>0</v>
      </c>
      <c r="N116" s="123"/>
      <c r="O116" s="124">
        <f t="shared" si="77"/>
        <v>0</v>
      </c>
      <c r="P116" s="123"/>
      <c r="Q116" s="124">
        <f t="shared" si="78"/>
        <v>0</v>
      </c>
      <c r="R116" s="123"/>
      <c r="S116" s="124">
        <f t="shared" si="79"/>
        <v>0</v>
      </c>
      <c r="T116" s="123"/>
      <c r="U116" s="124">
        <f t="shared" si="80"/>
        <v>0</v>
      </c>
      <c r="V116" s="123"/>
      <c r="W116" s="124">
        <f t="shared" si="81"/>
        <v>0</v>
      </c>
      <c r="X116" s="123"/>
      <c r="Y116" s="124">
        <f t="shared" si="82"/>
        <v>0</v>
      </c>
      <c r="Z116" s="123"/>
      <c r="AA116" s="124">
        <f t="shared" si="83"/>
        <v>0</v>
      </c>
      <c r="AB116" s="123"/>
      <c r="AC116" s="124">
        <f t="shared" si="84"/>
        <v>0</v>
      </c>
      <c r="AD116" s="123"/>
      <c r="AE116" s="124">
        <f t="shared" si="85"/>
        <v>0</v>
      </c>
      <c r="AF116" s="125">
        <f t="shared" si="86"/>
        <v>0</v>
      </c>
      <c r="AG116" s="126">
        <f t="shared" si="87"/>
        <v>0</v>
      </c>
      <c r="AH116" s="11"/>
      <c r="AI116" s="124">
        <f t="shared" si="88"/>
        <v>0</v>
      </c>
      <c r="AJ116" s="15"/>
      <c r="AK116" s="124">
        <f t="shared" si="89"/>
        <v>0</v>
      </c>
      <c r="AL116" s="15"/>
      <c r="AM116" s="124">
        <f t="shared" si="90"/>
        <v>0</v>
      </c>
      <c r="AN116" s="16"/>
      <c r="AO116" s="124">
        <f t="shared" si="91"/>
        <v>0</v>
      </c>
      <c r="AP116" s="15"/>
      <c r="AQ116" s="124">
        <f t="shared" si="92"/>
        <v>0</v>
      </c>
      <c r="AR116" s="15"/>
      <c r="AS116" s="124">
        <f t="shared" si="93"/>
        <v>0</v>
      </c>
      <c r="AT116" s="17"/>
      <c r="AU116" s="124">
        <f t="shared" si="94"/>
        <v>0</v>
      </c>
      <c r="AV116" s="15"/>
      <c r="AW116" s="124">
        <f t="shared" si="95"/>
        <v>0</v>
      </c>
      <c r="AX116" s="15"/>
      <c r="AY116" s="124">
        <f t="shared" si="96"/>
        <v>0</v>
      </c>
      <c r="AZ116" s="17"/>
      <c r="BA116" s="124">
        <f t="shared" si="97"/>
        <v>0</v>
      </c>
      <c r="BB116" s="33"/>
      <c r="BC116" s="124">
        <f t="shared" si="98"/>
        <v>0</v>
      </c>
      <c r="BD116" s="33"/>
      <c r="BE116" s="124">
        <f t="shared" si="99"/>
        <v>0</v>
      </c>
      <c r="BF116" s="125">
        <f t="shared" si="100"/>
        <v>0</v>
      </c>
      <c r="BG116" s="126">
        <f t="shared" si="101"/>
        <v>0</v>
      </c>
      <c r="BH116" s="123"/>
      <c r="BI116" s="124">
        <f t="shared" si="102"/>
        <v>0</v>
      </c>
      <c r="BJ116" s="123"/>
      <c r="BK116" s="124">
        <f t="shared" si="103"/>
        <v>0</v>
      </c>
      <c r="BL116" s="123"/>
      <c r="BM116" s="124">
        <f t="shared" si="104"/>
        <v>0</v>
      </c>
      <c r="BN116" s="123"/>
      <c r="BO116" s="124">
        <f t="shared" si="105"/>
        <v>0</v>
      </c>
      <c r="BP116" s="123"/>
      <c r="BQ116" s="124">
        <f t="shared" si="106"/>
        <v>0</v>
      </c>
      <c r="BR116" s="123"/>
      <c r="BS116" s="124">
        <f t="shared" si="107"/>
        <v>0</v>
      </c>
      <c r="BT116" s="123"/>
      <c r="BU116" s="124">
        <f t="shared" si="108"/>
        <v>0</v>
      </c>
      <c r="BV116" s="123"/>
      <c r="BW116" s="124">
        <f t="shared" si="109"/>
        <v>0</v>
      </c>
      <c r="BX116" s="123"/>
      <c r="BY116" s="124">
        <f t="shared" si="110"/>
        <v>0</v>
      </c>
      <c r="BZ116" s="123"/>
      <c r="CA116" s="124">
        <f t="shared" si="111"/>
        <v>0</v>
      </c>
      <c r="CB116" s="123"/>
      <c r="CC116" s="124">
        <f t="shared" si="112"/>
        <v>0</v>
      </c>
      <c r="CD116" s="123"/>
      <c r="CE116" s="124">
        <f t="shared" si="113"/>
        <v>0</v>
      </c>
      <c r="CF116" s="125">
        <f t="shared" si="114"/>
        <v>0</v>
      </c>
      <c r="CG116" s="126">
        <f t="shared" si="115"/>
        <v>0</v>
      </c>
      <c r="CH116" s="123"/>
      <c r="CI116" s="124">
        <f t="shared" si="116"/>
        <v>0</v>
      </c>
      <c r="CJ116" s="123"/>
      <c r="CK116" s="124">
        <f t="shared" si="117"/>
        <v>0</v>
      </c>
      <c r="CL116" s="123"/>
      <c r="CM116" s="124">
        <f t="shared" si="118"/>
        <v>0</v>
      </c>
      <c r="CN116" s="123"/>
      <c r="CO116" s="124">
        <f t="shared" si="119"/>
        <v>0</v>
      </c>
      <c r="CP116" s="123"/>
      <c r="CQ116" s="124">
        <f t="shared" si="120"/>
        <v>0</v>
      </c>
      <c r="CR116" s="123"/>
      <c r="CS116" s="124">
        <f t="shared" si="121"/>
        <v>0</v>
      </c>
      <c r="CT116" s="123"/>
      <c r="CU116" s="124">
        <f t="shared" si="122"/>
        <v>0</v>
      </c>
      <c r="CV116" s="123"/>
      <c r="CW116" s="124">
        <f t="shared" si="123"/>
        <v>0</v>
      </c>
      <c r="CX116" s="123"/>
      <c r="CY116" s="124">
        <f t="shared" si="124"/>
        <v>0</v>
      </c>
      <c r="CZ116" s="123"/>
      <c r="DA116" s="124">
        <f t="shared" si="125"/>
        <v>0</v>
      </c>
      <c r="DB116" s="123"/>
      <c r="DC116" s="124">
        <f t="shared" si="126"/>
        <v>0</v>
      </c>
      <c r="DD116" s="123"/>
      <c r="DE116" s="124">
        <f t="shared" si="126"/>
        <v>0</v>
      </c>
      <c r="DF116" s="177">
        <f t="shared" si="72"/>
        <v>0</v>
      </c>
      <c r="DG116" s="126">
        <f t="shared" si="127"/>
        <v>0</v>
      </c>
      <c r="DH116" s="123"/>
      <c r="DI116" s="124">
        <f t="shared" si="128"/>
        <v>0</v>
      </c>
      <c r="DJ116" s="123"/>
      <c r="DK116" s="124">
        <f t="shared" si="129"/>
        <v>0</v>
      </c>
      <c r="DL116" s="123"/>
      <c r="DM116" s="124">
        <f t="shared" si="130"/>
        <v>0</v>
      </c>
      <c r="DN116" s="123"/>
      <c r="DO116" s="124">
        <f t="shared" si="131"/>
        <v>0</v>
      </c>
      <c r="DP116" s="123"/>
      <c r="DQ116" s="124">
        <f t="shared" si="132"/>
        <v>0</v>
      </c>
      <c r="DR116" s="123"/>
      <c r="DS116" s="124">
        <f t="shared" si="133"/>
        <v>0</v>
      </c>
      <c r="DT116" s="123"/>
      <c r="DU116" s="124">
        <f t="shared" si="134"/>
        <v>0</v>
      </c>
      <c r="DV116" s="123"/>
      <c r="DW116" s="124">
        <f t="shared" si="135"/>
        <v>0</v>
      </c>
      <c r="DX116" s="123"/>
      <c r="DY116" s="124">
        <f t="shared" si="136"/>
        <v>0</v>
      </c>
      <c r="DZ116" s="123"/>
      <c r="EA116" s="124">
        <f t="shared" si="137"/>
        <v>0</v>
      </c>
      <c r="EB116" s="123"/>
      <c r="EC116" s="124">
        <f t="shared" si="138"/>
        <v>0</v>
      </c>
      <c r="ED116" s="123"/>
      <c r="EE116" s="124">
        <f t="shared" si="139"/>
        <v>0</v>
      </c>
      <c r="EF116" s="27">
        <f t="shared" si="73"/>
        <v>0</v>
      </c>
      <c r="EG116" s="124">
        <f t="shared" si="140"/>
        <v>0</v>
      </c>
    </row>
    <row r="117" spans="1:137" ht="18" customHeight="1" x14ac:dyDescent="0.5">
      <c r="A117" s="117">
        <v>93</v>
      </c>
      <c r="B117" s="122" t="s">
        <v>259</v>
      </c>
      <c r="C117" s="122" t="s">
        <v>260</v>
      </c>
      <c r="D117" s="117"/>
      <c r="E117" s="117">
        <v>0.6</v>
      </c>
      <c r="F117" s="117" t="s">
        <v>232</v>
      </c>
      <c r="G117" s="117"/>
      <c r="H117" s="123"/>
      <c r="I117" s="124">
        <f t="shared" si="74"/>
        <v>0</v>
      </c>
      <c r="J117" s="123"/>
      <c r="K117" s="124">
        <f t="shared" si="75"/>
        <v>0</v>
      </c>
      <c r="L117" s="123"/>
      <c r="M117" s="124">
        <f t="shared" si="76"/>
        <v>0</v>
      </c>
      <c r="N117" s="123"/>
      <c r="O117" s="124">
        <f t="shared" si="77"/>
        <v>0</v>
      </c>
      <c r="P117" s="123"/>
      <c r="Q117" s="124">
        <f t="shared" si="78"/>
        <v>0</v>
      </c>
      <c r="R117" s="123"/>
      <c r="S117" s="124">
        <f t="shared" si="79"/>
        <v>0</v>
      </c>
      <c r="T117" s="123"/>
      <c r="U117" s="124">
        <f t="shared" si="80"/>
        <v>0</v>
      </c>
      <c r="V117" s="123"/>
      <c r="W117" s="124">
        <f t="shared" si="81"/>
        <v>0</v>
      </c>
      <c r="X117" s="123"/>
      <c r="Y117" s="124">
        <f t="shared" si="82"/>
        <v>0</v>
      </c>
      <c r="Z117" s="123"/>
      <c r="AA117" s="124">
        <f t="shared" si="83"/>
        <v>0</v>
      </c>
      <c r="AB117" s="123"/>
      <c r="AC117" s="124">
        <f t="shared" si="84"/>
        <v>0</v>
      </c>
      <c r="AD117" s="123"/>
      <c r="AE117" s="124">
        <f t="shared" si="85"/>
        <v>0</v>
      </c>
      <c r="AF117" s="125">
        <f t="shared" si="86"/>
        <v>0</v>
      </c>
      <c r="AG117" s="126">
        <f t="shared" si="87"/>
        <v>0</v>
      </c>
      <c r="AH117" s="11"/>
      <c r="AI117" s="124">
        <f t="shared" si="88"/>
        <v>0</v>
      </c>
      <c r="AJ117" s="15"/>
      <c r="AK117" s="124">
        <f t="shared" si="89"/>
        <v>0</v>
      </c>
      <c r="AL117" s="15"/>
      <c r="AM117" s="124">
        <f t="shared" si="90"/>
        <v>0</v>
      </c>
      <c r="AN117" s="16"/>
      <c r="AO117" s="124">
        <f t="shared" si="91"/>
        <v>0</v>
      </c>
      <c r="AP117" s="15"/>
      <c r="AQ117" s="124">
        <f t="shared" si="92"/>
        <v>0</v>
      </c>
      <c r="AR117" s="15"/>
      <c r="AS117" s="124">
        <f t="shared" si="93"/>
        <v>0</v>
      </c>
      <c r="AT117" s="17"/>
      <c r="AU117" s="124">
        <f t="shared" si="94"/>
        <v>0</v>
      </c>
      <c r="AV117" s="15"/>
      <c r="AW117" s="124">
        <f t="shared" si="95"/>
        <v>0</v>
      </c>
      <c r="AX117" s="15"/>
      <c r="AY117" s="124">
        <f t="shared" si="96"/>
        <v>0</v>
      </c>
      <c r="AZ117" s="17"/>
      <c r="BA117" s="124">
        <f t="shared" si="97"/>
        <v>0</v>
      </c>
      <c r="BB117" s="33"/>
      <c r="BC117" s="124">
        <f t="shared" si="98"/>
        <v>0</v>
      </c>
      <c r="BD117" s="33"/>
      <c r="BE117" s="124">
        <f t="shared" si="99"/>
        <v>0</v>
      </c>
      <c r="BF117" s="125">
        <f t="shared" si="100"/>
        <v>0</v>
      </c>
      <c r="BG117" s="126">
        <f t="shared" si="101"/>
        <v>0</v>
      </c>
      <c r="BH117" s="123"/>
      <c r="BI117" s="124">
        <f t="shared" si="102"/>
        <v>0</v>
      </c>
      <c r="BJ117" s="123"/>
      <c r="BK117" s="124">
        <f t="shared" si="103"/>
        <v>0</v>
      </c>
      <c r="BL117" s="123"/>
      <c r="BM117" s="124">
        <f t="shared" si="104"/>
        <v>0</v>
      </c>
      <c r="BN117" s="123"/>
      <c r="BO117" s="124">
        <f t="shared" si="105"/>
        <v>0</v>
      </c>
      <c r="BP117" s="123"/>
      <c r="BQ117" s="124">
        <f t="shared" si="106"/>
        <v>0</v>
      </c>
      <c r="BR117" s="123"/>
      <c r="BS117" s="124">
        <f t="shared" si="107"/>
        <v>0</v>
      </c>
      <c r="BT117" s="123"/>
      <c r="BU117" s="124">
        <f t="shared" si="108"/>
        <v>0</v>
      </c>
      <c r="BV117" s="123"/>
      <c r="BW117" s="124">
        <f t="shared" si="109"/>
        <v>0</v>
      </c>
      <c r="BX117" s="123"/>
      <c r="BY117" s="124">
        <f t="shared" si="110"/>
        <v>0</v>
      </c>
      <c r="BZ117" s="123"/>
      <c r="CA117" s="124">
        <f t="shared" si="111"/>
        <v>0</v>
      </c>
      <c r="CB117" s="123"/>
      <c r="CC117" s="124">
        <f t="shared" si="112"/>
        <v>0</v>
      </c>
      <c r="CD117" s="123"/>
      <c r="CE117" s="124">
        <f t="shared" si="113"/>
        <v>0</v>
      </c>
      <c r="CF117" s="125">
        <f t="shared" si="114"/>
        <v>0</v>
      </c>
      <c r="CG117" s="126">
        <f t="shared" si="115"/>
        <v>0</v>
      </c>
      <c r="CH117" s="123"/>
      <c r="CI117" s="124">
        <f t="shared" si="116"/>
        <v>0</v>
      </c>
      <c r="CJ117" s="123"/>
      <c r="CK117" s="124">
        <f t="shared" si="117"/>
        <v>0</v>
      </c>
      <c r="CL117" s="123"/>
      <c r="CM117" s="124">
        <f t="shared" si="118"/>
        <v>0</v>
      </c>
      <c r="CN117" s="123"/>
      <c r="CO117" s="124">
        <f t="shared" si="119"/>
        <v>0</v>
      </c>
      <c r="CP117" s="123"/>
      <c r="CQ117" s="124">
        <f t="shared" si="120"/>
        <v>0</v>
      </c>
      <c r="CR117" s="123"/>
      <c r="CS117" s="124">
        <f t="shared" si="121"/>
        <v>0</v>
      </c>
      <c r="CT117" s="123"/>
      <c r="CU117" s="124">
        <f t="shared" si="122"/>
        <v>0</v>
      </c>
      <c r="CV117" s="123"/>
      <c r="CW117" s="124">
        <f t="shared" si="123"/>
        <v>0</v>
      </c>
      <c r="CX117" s="123"/>
      <c r="CY117" s="124">
        <f t="shared" si="124"/>
        <v>0</v>
      </c>
      <c r="CZ117" s="123"/>
      <c r="DA117" s="124">
        <f t="shared" si="125"/>
        <v>0</v>
      </c>
      <c r="DB117" s="123"/>
      <c r="DC117" s="124">
        <f t="shared" si="126"/>
        <v>0</v>
      </c>
      <c r="DD117" s="123"/>
      <c r="DE117" s="124">
        <f t="shared" si="126"/>
        <v>0</v>
      </c>
      <c r="DF117" s="177">
        <f t="shared" si="72"/>
        <v>0</v>
      </c>
      <c r="DG117" s="126">
        <f t="shared" si="127"/>
        <v>0</v>
      </c>
      <c r="DH117" s="123"/>
      <c r="DI117" s="124">
        <f t="shared" si="128"/>
        <v>0</v>
      </c>
      <c r="DJ117" s="123"/>
      <c r="DK117" s="124">
        <f t="shared" si="129"/>
        <v>0</v>
      </c>
      <c r="DL117" s="123"/>
      <c r="DM117" s="124">
        <f t="shared" si="130"/>
        <v>0</v>
      </c>
      <c r="DN117" s="123"/>
      <c r="DO117" s="124">
        <f t="shared" si="131"/>
        <v>0</v>
      </c>
      <c r="DP117" s="123"/>
      <c r="DQ117" s="124">
        <f t="shared" si="132"/>
        <v>0</v>
      </c>
      <c r="DR117" s="123"/>
      <c r="DS117" s="124">
        <f t="shared" si="133"/>
        <v>0</v>
      </c>
      <c r="DT117" s="123"/>
      <c r="DU117" s="124">
        <f t="shared" si="134"/>
        <v>0</v>
      </c>
      <c r="DV117" s="123"/>
      <c r="DW117" s="124">
        <f t="shared" si="135"/>
        <v>0</v>
      </c>
      <c r="DX117" s="123"/>
      <c r="DY117" s="124">
        <f t="shared" si="136"/>
        <v>0</v>
      </c>
      <c r="DZ117" s="123"/>
      <c r="EA117" s="124">
        <f t="shared" si="137"/>
        <v>0</v>
      </c>
      <c r="EB117" s="123"/>
      <c r="EC117" s="124">
        <f t="shared" si="138"/>
        <v>0</v>
      </c>
      <c r="ED117" s="123"/>
      <c r="EE117" s="124">
        <f t="shared" si="139"/>
        <v>0</v>
      </c>
      <c r="EF117" s="27">
        <f t="shared" si="73"/>
        <v>0</v>
      </c>
      <c r="EG117" s="124">
        <f t="shared" si="140"/>
        <v>0</v>
      </c>
    </row>
    <row r="118" spans="1:137" ht="18" customHeight="1" x14ac:dyDescent="0.5">
      <c r="A118" s="117">
        <v>94</v>
      </c>
      <c r="B118" s="122" t="s">
        <v>259</v>
      </c>
      <c r="C118" s="122" t="s">
        <v>231</v>
      </c>
      <c r="D118" s="117"/>
      <c r="E118" s="117">
        <v>0.64</v>
      </c>
      <c r="F118" s="117" t="s">
        <v>261</v>
      </c>
      <c r="G118" s="117"/>
      <c r="H118" s="123"/>
      <c r="I118" s="124">
        <f t="shared" si="74"/>
        <v>0</v>
      </c>
      <c r="J118" s="123"/>
      <c r="K118" s="124">
        <f t="shared" si="75"/>
        <v>0</v>
      </c>
      <c r="L118" s="123"/>
      <c r="M118" s="124">
        <f t="shared" si="76"/>
        <v>0</v>
      </c>
      <c r="N118" s="123"/>
      <c r="O118" s="124">
        <f t="shared" si="77"/>
        <v>0</v>
      </c>
      <c r="P118" s="123"/>
      <c r="Q118" s="124">
        <f t="shared" si="78"/>
        <v>0</v>
      </c>
      <c r="R118" s="123"/>
      <c r="S118" s="124">
        <f t="shared" si="79"/>
        <v>0</v>
      </c>
      <c r="T118" s="123"/>
      <c r="U118" s="124">
        <f t="shared" si="80"/>
        <v>0</v>
      </c>
      <c r="V118" s="123"/>
      <c r="W118" s="124">
        <f t="shared" si="81"/>
        <v>0</v>
      </c>
      <c r="X118" s="123"/>
      <c r="Y118" s="124">
        <f t="shared" si="82"/>
        <v>0</v>
      </c>
      <c r="Z118" s="123"/>
      <c r="AA118" s="124">
        <f t="shared" si="83"/>
        <v>0</v>
      </c>
      <c r="AB118" s="123"/>
      <c r="AC118" s="124">
        <f t="shared" si="84"/>
        <v>0</v>
      </c>
      <c r="AD118" s="123"/>
      <c r="AE118" s="124">
        <f t="shared" si="85"/>
        <v>0</v>
      </c>
      <c r="AF118" s="125">
        <f t="shared" si="86"/>
        <v>0</v>
      </c>
      <c r="AG118" s="126">
        <f t="shared" si="87"/>
        <v>0</v>
      </c>
      <c r="AH118" s="11"/>
      <c r="AI118" s="124">
        <f t="shared" si="88"/>
        <v>0</v>
      </c>
      <c r="AJ118" s="15"/>
      <c r="AK118" s="124">
        <f t="shared" si="89"/>
        <v>0</v>
      </c>
      <c r="AL118" s="15"/>
      <c r="AM118" s="124">
        <f t="shared" si="90"/>
        <v>0</v>
      </c>
      <c r="AN118" s="16"/>
      <c r="AO118" s="124">
        <f t="shared" si="91"/>
        <v>0</v>
      </c>
      <c r="AP118" s="15"/>
      <c r="AQ118" s="124">
        <f t="shared" si="92"/>
        <v>0</v>
      </c>
      <c r="AR118" s="15"/>
      <c r="AS118" s="124">
        <f t="shared" si="93"/>
        <v>0</v>
      </c>
      <c r="AT118" s="17"/>
      <c r="AU118" s="124">
        <f t="shared" si="94"/>
        <v>0</v>
      </c>
      <c r="AV118" s="15"/>
      <c r="AW118" s="124">
        <f t="shared" si="95"/>
        <v>0</v>
      </c>
      <c r="AX118" s="15"/>
      <c r="AY118" s="124">
        <f t="shared" si="96"/>
        <v>0</v>
      </c>
      <c r="AZ118" s="17"/>
      <c r="BA118" s="124">
        <f t="shared" si="97"/>
        <v>0</v>
      </c>
      <c r="BB118" s="33"/>
      <c r="BC118" s="124">
        <f t="shared" si="98"/>
        <v>0</v>
      </c>
      <c r="BD118" s="33"/>
      <c r="BE118" s="124">
        <f t="shared" si="99"/>
        <v>0</v>
      </c>
      <c r="BF118" s="125">
        <f t="shared" si="100"/>
        <v>0</v>
      </c>
      <c r="BG118" s="126">
        <f t="shared" si="101"/>
        <v>0</v>
      </c>
      <c r="BH118" s="123"/>
      <c r="BI118" s="124">
        <f t="shared" si="102"/>
        <v>0</v>
      </c>
      <c r="BJ118" s="123"/>
      <c r="BK118" s="124">
        <f t="shared" si="103"/>
        <v>0</v>
      </c>
      <c r="BL118" s="123"/>
      <c r="BM118" s="124">
        <f t="shared" si="104"/>
        <v>0</v>
      </c>
      <c r="BN118" s="123"/>
      <c r="BO118" s="124">
        <f t="shared" si="105"/>
        <v>0</v>
      </c>
      <c r="BP118" s="123"/>
      <c r="BQ118" s="124">
        <f t="shared" si="106"/>
        <v>0</v>
      </c>
      <c r="BR118" s="123"/>
      <c r="BS118" s="124">
        <f t="shared" si="107"/>
        <v>0</v>
      </c>
      <c r="BT118" s="123"/>
      <c r="BU118" s="124">
        <f t="shared" si="108"/>
        <v>0</v>
      </c>
      <c r="BV118" s="123"/>
      <c r="BW118" s="124">
        <f t="shared" si="109"/>
        <v>0</v>
      </c>
      <c r="BX118" s="123"/>
      <c r="BY118" s="124">
        <f t="shared" si="110"/>
        <v>0</v>
      </c>
      <c r="BZ118" s="123"/>
      <c r="CA118" s="124">
        <f t="shared" si="111"/>
        <v>0</v>
      </c>
      <c r="CB118" s="123"/>
      <c r="CC118" s="124">
        <f t="shared" si="112"/>
        <v>0</v>
      </c>
      <c r="CD118" s="123"/>
      <c r="CE118" s="124">
        <f t="shared" si="113"/>
        <v>0</v>
      </c>
      <c r="CF118" s="125">
        <f t="shared" si="114"/>
        <v>0</v>
      </c>
      <c r="CG118" s="126">
        <f t="shared" si="115"/>
        <v>0</v>
      </c>
      <c r="CH118" s="123"/>
      <c r="CI118" s="124">
        <f t="shared" si="116"/>
        <v>0</v>
      </c>
      <c r="CJ118" s="123"/>
      <c r="CK118" s="124">
        <f t="shared" si="117"/>
        <v>0</v>
      </c>
      <c r="CL118" s="123"/>
      <c r="CM118" s="124">
        <f t="shared" si="118"/>
        <v>0</v>
      </c>
      <c r="CN118" s="123"/>
      <c r="CO118" s="124">
        <f t="shared" si="119"/>
        <v>0</v>
      </c>
      <c r="CP118" s="123"/>
      <c r="CQ118" s="124">
        <f t="shared" si="120"/>
        <v>0</v>
      </c>
      <c r="CR118" s="123"/>
      <c r="CS118" s="124">
        <f t="shared" si="121"/>
        <v>0</v>
      </c>
      <c r="CT118" s="123"/>
      <c r="CU118" s="124">
        <f t="shared" si="122"/>
        <v>0</v>
      </c>
      <c r="CV118" s="123"/>
      <c r="CW118" s="124">
        <f t="shared" si="123"/>
        <v>0</v>
      </c>
      <c r="CX118" s="123"/>
      <c r="CY118" s="124">
        <f t="shared" si="124"/>
        <v>0</v>
      </c>
      <c r="CZ118" s="123"/>
      <c r="DA118" s="124">
        <f t="shared" si="125"/>
        <v>0</v>
      </c>
      <c r="DB118" s="123"/>
      <c r="DC118" s="124">
        <f t="shared" si="126"/>
        <v>0</v>
      </c>
      <c r="DD118" s="123"/>
      <c r="DE118" s="124">
        <f t="shared" si="126"/>
        <v>0</v>
      </c>
      <c r="DF118" s="177">
        <f t="shared" si="72"/>
        <v>0</v>
      </c>
      <c r="DG118" s="126">
        <f t="shared" si="127"/>
        <v>0</v>
      </c>
      <c r="DH118" s="123"/>
      <c r="DI118" s="124">
        <f t="shared" si="128"/>
        <v>0</v>
      </c>
      <c r="DJ118" s="123"/>
      <c r="DK118" s="124">
        <f t="shared" si="129"/>
        <v>0</v>
      </c>
      <c r="DL118" s="123"/>
      <c r="DM118" s="124">
        <f t="shared" si="130"/>
        <v>0</v>
      </c>
      <c r="DN118" s="123"/>
      <c r="DO118" s="124">
        <f t="shared" si="131"/>
        <v>0</v>
      </c>
      <c r="DP118" s="123"/>
      <c r="DQ118" s="124">
        <f t="shared" si="132"/>
        <v>0</v>
      </c>
      <c r="DR118" s="123"/>
      <c r="DS118" s="124">
        <f t="shared" si="133"/>
        <v>0</v>
      </c>
      <c r="DT118" s="123"/>
      <c r="DU118" s="124">
        <f t="shared" si="134"/>
        <v>0</v>
      </c>
      <c r="DV118" s="123"/>
      <c r="DW118" s="124">
        <f t="shared" si="135"/>
        <v>0</v>
      </c>
      <c r="DX118" s="123"/>
      <c r="DY118" s="124">
        <f t="shared" si="136"/>
        <v>0</v>
      </c>
      <c r="DZ118" s="123"/>
      <c r="EA118" s="124">
        <f t="shared" si="137"/>
        <v>0</v>
      </c>
      <c r="EB118" s="123"/>
      <c r="EC118" s="124">
        <f t="shared" si="138"/>
        <v>0</v>
      </c>
      <c r="ED118" s="123"/>
      <c r="EE118" s="124">
        <f t="shared" si="139"/>
        <v>0</v>
      </c>
      <c r="EF118" s="27">
        <f t="shared" si="73"/>
        <v>0</v>
      </c>
      <c r="EG118" s="124">
        <f t="shared" si="140"/>
        <v>0</v>
      </c>
    </row>
    <row r="119" spans="1:137" ht="18" customHeight="1" x14ac:dyDescent="0.5">
      <c r="A119" s="117"/>
      <c r="B119" s="122"/>
      <c r="C119" s="122"/>
      <c r="D119" s="117"/>
      <c r="E119" s="117"/>
      <c r="F119" s="117"/>
      <c r="G119" s="117"/>
      <c r="H119" s="123"/>
      <c r="I119" s="124">
        <f t="shared" si="74"/>
        <v>0</v>
      </c>
      <c r="J119" s="123"/>
      <c r="K119" s="124">
        <f t="shared" si="75"/>
        <v>0</v>
      </c>
      <c r="L119" s="123"/>
      <c r="M119" s="124">
        <f t="shared" si="76"/>
        <v>0</v>
      </c>
      <c r="N119" s="123"/>
      <c r="O119" s="124">
        <f t="shared" si="77"/>
        <v>0</v>
      </c>
      <c r="P119" s="123"/>
      <c r="Q119" s="124">
        <f t="shared" si="78"/>
        <v>0</v>
      </c>
      <c r="R119" s="123"/>
      <c r="S119" s="124">
        <f t="shared" si="79"/>
        <v>0</v>
      </c>
      <c r="T119" s="123"/>
      <c r="U119" s="124">
        <f t="shared" si="80"/>
        <v>0</v>
      </c>
      <c r="V119" s="123"/>
      <c r="W119" s="124">
        <f t="shared" si="81"/>
        <v>0</v>
      </c>
      <c r="X119" s="123"/>
      <c r="Y119" s="124">
        <f t="shared" si="82"/>
        <v>0</v>
      </c>
      <c r="Z119" s="123"/>
      <c r="AA119" s="124">
        <f t="shared" si="83"/>
        <v>0</v>
      </c>
      <c r="AB119" s="123"/>
      <c r="AC119" s="124">
        <f t="shared" si="84"/>
        <v>0</v>
      </c>
      <c r="AD119" s="123"/>
      <c r="AE119" s="124">
        <f t="shared" si="85"/>
        <v>0</v>
      </c>
      <c r="AF119" s="125">
        <f t="shared" si="86"/>
        <v>0</v>
      </c>
      <c r="AG119" s="126">
        <f t="shared" si="87"/>
        <v>0</v>
      </c>
      <c r="AH119" s="11"/>
      <c r="AI119" s="124">
        <f t="shared" si="88"/>
        <v>0</v>
      </c>
      <c r="AJ119" s="15"/>
      <c r="AK119" s="124">
        <f t="shared" si="89"/>
        <v>0</v>
      </c>
      <c r="AL119" s="15"/>
      <c r="AM119" s="124">
        <f t="shared" si="90"/>
        <v>0</v>
      </c>
      <c r="AN119" s="16"/>
      <c r="AO119" s="124">
        <f t="shared" si="91"/>
        <v>0</v>
      </c>
      <c r="AP119" s="15"/>
      <c r="AQ119" s="124">
        <f t="shared" si="92"/>
        <v>0</v>
      </c>
      <c r="AR119" s="15"/>
      <c r="AS119" s="124">
        <f t="shared" si="93"/>
        <v>0</v>
      </c>
      <c r="AT119" s="17"/>
      <c r="AU119" s="124">
        <f t="shared" si="94"/>
        <v>0</v>
      </c>
      <c r="AV119" s="15"/>
      <c r="AW119" s="124">
        <f t="shared" si="95"/>
        <v>0</v>
      </c>
      <c r="AX119" s="15"/>
      <c r="AY119" s="124">
        <f t="shared" si="96"/>
        <v>0</v>
      </c>
      <c r="AZ119" s="17"/>
      <c r="BA119" s="124">
        <f t="shared" si="97"/>
        <v>0</v>
      </c>
      <c r="BB119" s="33"/>
      <c r="BC119" s="124">
        <f t="shared" si="98"/>
        <v>0</v>
      </c>
      <c r="BD119" s="33"/>
      <c r="BE119" s="124">
        <f t="shared" si="99"/>
        <v>0</v>
      </c>
      <c r="BF119" s="125">
        <f t="shared" si="100"/>
        <v>0</v>
      </c>
      <c r="BG119" s="126">
        <f t="shared" si="101"/>
        <v>0</v>
      </c>
      <c r="BH119" s="123"/>
      <c r="BJ119" s="123"/>
      <c r="BK119" s="124">
        <f t="shared" si="103"/>
        <v>0</v>
      </c>
      <c r="BL119" s="123"/>
      <c r="BM119" s="124">
        <f t="shared" si="104"/>
        <v>0</v>
      </c>
      <c r="BN119" s="123"/>
      <c r="BO119" s="124">
        <f t="shared" si="105"/>
        <v>0</v>
      </c>
      <c r="BP119" s="123"/>
      <c r="BQ119" s="124">
        <f t="shared" si="106"/>
        <v>0</v>
      </c>
      <c r="BR119" s="123"/>
      <c r="BS119" s="124">
        <f t="shared" si="107"/>
        <v>0</v>
      </c>
      <c r="BT119" s="123"/>
      <c r="BU119" s="124">
        <f t="shared" si="108"/>
        <v>0</v>
      </c>
      <c r="BV119" s="123"/>
      <c r="BW119" s="124">
        <f t="shared" si="109"/>
        <v>0</v>
      </c>
      <c r="BX119" s="123"/>
      <c r="BY119" s="124">
        <f t="shared" si="110"/>
        <v>0</v>
      </c>
      <c r="BZ119" s="123"/>
      <c r="CA119" s="124">
        <f t="shared" si="111"/>
        <v>0</v>
      </c>
      <c r="CB119" s="123"/>
      <c r="CC119" s="124">
        <f t="shared" si="112"/>
        <v>0</v>
      </c>
      <c r="CD119" s="123"/>
      <c r="CE119" s="124">
        <f t="shared" si="113"/>
        <v>0</v>
      </c>
      <c r="CF119" s="125">
        <f t="shared" si="114"/>
        <v>0</v>
      </c>
      <c r="CG119" s="126">
        <f t="shared" si="115"/>
        <v>0</v>
      </c>
      <c r="CH119" s="123"/>
      <c r="CI119" s="124">
        <f t="shared" si="116"/>
        <v>0</v>
      </c>
      <c r="CJ119" s="123"/>
      <c r="CK119" s="124">
        <f t="shared" si="117"/>
        <v>0</v>
      </c>
      <c r="CL119" s="123"/>
      <c r="CM119" s="124">
        <f>CL119*$E119</f>
        <v>0</v>
      </c>
      <c r="CN119" s="123"/>
      <c r="CO119" s="124">
        <f t="shared" si="119"/>
        <v>0</v>
      </c>
      <c r="CP119" s="123"/>
      <c r="CQ119" s="124">
        <f t="shared" si="120"/>
        <v>0</v>
      </c>
      <c r="CR119" s="123"/>
      <c r="CS119" s="124">
        <f t="shared" si="121"/>
        <v>0</v>
      </c>
      <c r="CT119" s="123"/>
      <c r="CU119" s="124">
        <f t="shared" si="122"/>
        <v>0</v>
      </c>
      <c r="CV119" s="123"/>
      <c r="CW119" s="124">
        <f t="shared" si="123"/>
        <v>0</v>
      </c>
      <c r="CX119" s="123"/>
      <c r="CY119" s="124">
        <f t="shared" si="124"/>
        <v>0</v>
      </c>
      <c r="CZ119" s="123"/>
      <c r="DA119" s="124">
        <f t="shared" si="125"/>
        <v>0</v>
      </c>
      <c r="DB119" s="123"/>
      <c r="DC119" s="124">
        <f t="shared" si="126"/>
        <v>0</v>
      </c>
      <c r="DD119" s="123"/>
      <c r="DE119" s="124">
        <f t="shared" si="126"/>
        <v>0</v>
      </c>
      <c r="DF119" s="177">
        <f t="shared" si="72"/>
        <v>0</v>
      </c>
      <c r="DG119" s="126">
        <f t="shared" si="127"/>
        <v>0</v>
      </c>
      <c r="DH119" s="123"/>
      <c r="DI119" s="124">
        <f t="shared" si="128"/>
        <v>0</v>
      </c>
      <c r="DJ119" s="123"/>
      <c r="DK119" s="124">
        <f t="shared" si="129"/>
        <v>0</v>
      </c>
      <c r="DL119" s="123"/>
      <c r="DM119" s="124">
        <f t="shared" si="130"/>
        <v>0</v>
      </c>
      <c r="DN119" s="123"/>
      <c r="DO119" s="124">
        <f t="shared" si="131"/>
        <v>0</v>
      </c>
      <c r="DP119" s="123"/>
      <c r="DQ119" s="124">
        <f t="shared" si="132"/>
        <v>0</v>
      </c>
      <c r="DR119" s="123"/>
      <c r="DS119" s="124">
        <f t="shared" si="133"/>
        <v>0</v>
      </c>
      <c r="DT119" s="123"/>
      <c r="DU119" s="124">
        <f t="shared" si="134"/>
        <v>0</v>
      </c>
      <c r="DV119" s="123"/>
      <c r="DW119" s="124">
        <f t="shared" si="135"/>
        <v>0</v>
      </c>
      <c r="DX119" s="123"/>
      <c r="DY119" s="124">
        <f t="shared" si="136"/>
        <v>0</v>
      </c>
      <c r="DZ119" s="123"/>
      <c r="EA119" s="124">
        <f t="shared" si="137"/>
        <v>0</v>
      </c>
      <c r="EB119" s="123"/>
      <c r="EC119" s="124">
        <f t="shared" si="138"/>
        <v>0</v>
      </c>
      <c r="ED119" s="123"/>
      <c r="EE119" s="124">
        <f t="shared" si="139"/>
        <v>0</v>
      </c>
      <c r="EF119" s="27">
        <f t="shared" si="73"/>
        <v>0</v>
      </c>
      <c r="EG119" s="124">
        <f t="shared" si="140"/>
        <v>0</v>
      </c>
    </row>
    <row r="120" spans="1:137" ht="18" customHeight="1" x14ac:dyDescent="0.5">
      <c r="A120" s="117">
        <v>95</v>
      </c>
      <c r="B120" s="122" t="s">
        <v>197</v>
      </c>
      <c r="C120" s="122" t="s">
        <v>231</v>
      </c>
      <c r="D120" s="117">
        <v>4</v>
      </c>
      <c r="E120" s="117">
        <v>0.64</v>
      </c>
      <c r="F120" s="117" t="s">
        <v>235</v>
      </c>
      <c r="G120" s="117">
        <v>1350</v>
      </c>
      <c r="H120" s="123">
        <v>21456</v>
      </c>
      <c r="I120" s="124">
        <f t="shared" si="74"/>
        <v>13731.84</v>
      </c>
      <c r="J120" s="123">
        <v>16800</v>
      </c>
      <c r="K120" s="124">
        <f t="shared" si="75"/>
        <v>10752</v>
      </c>
      <c r="L120" s="123">
        <v>21528</v>
      </c>
      <c r="M120" s="124">
        <f t="shared" si="76"/>
        <v>13777.92</v>
      </c>
      <c r="N120" s="123">
        <v>18264</v>
      </c>
      <c r="O120" s="124">
        <f t="shared" si="77"/>
        <v>11688.960000000001</v>
      </c>
      <c r="P120" s="123">
        <v>23976</v>
      </c>
      <c r="Q120" s="124">
        <f t="shared" si="78"/>
        <v>15344.64</v>
      </c>
      <c r="R120" s="123">
        <v>16440</v>
      </c>
      <c r="S120" s="124">
        <f t="shared" si="79"/>
        <v>10521.6</v>
      </c>
      <c r="T120" s="123">
        <v>18480</v>
      </c>
      <c r="U120" s="124">
        <f t="shared" si="80"/>
        <v>11827.2</v>
      </c>
      <c r="V120" s="123">
        <v>18600</v>
      </c>
      <c r="W120" s="124">
        <f t="shared" si="81"/>
        <v>11904</v>
      </c>
      <c r="X120" s="123">
        <v>17760</v>
      </c>
      <c r="Y120" s="124">
        <f t="shared" si="82"/>
        <v>11366.4</v>
      </c>
      <c r="Z120" s="123">
        <v>16824</v>
      </c>
      <c r="AA120" s="124">
        <f t="shared" si="83"/>
        <v>10767.36</v>
      </c>
      <c r="AB120" s="123">
        <v>16368</v>
      </c>
      <c r="AC120" s="124">
        <f t="shared" si="84"/>
        <v>10475.52</v>
      </c>
      <c r="AD120" s="123">
        <v>19992</v>
      </c>
      <c r="AE120" s="124">
        <f t="shared" si="85"/>
        <v>12794.880000000001</v>
      </c>
      <c r="AF120" s="125">
        <f t="shared" si="86"/>
        <v>226488</v>
      </c>
      <c r="AG120" s="126">
        <f t="shared" si="87"/>
        <v>144952.32000000001</v>
      </c>
      <c r="AH120" s="11">
        <v>21480</v>
      </c>
      <c r="AI120" s="124">
        <f t="shared" si="88"/>
        <v>13747.2</v>
      </c>
      <c r="AJ120" s="15">
        <v>18816</v>
      </c>
      <c r="AK120" s="124">
        <f t="shared" si="89"/>
        <v>12042.24</v>
      </c>
      <c r="AL120" s="15">
        <v>21360</v>
      </c>
      <c r="AM120" s="124">
        <f t="shared" si="90"/>
        <v>13670.4</v>
      </c>
      <c r="AN120" s="16">
        <v>21120</v>
      </c>
      <c r="AO120" s="124">
        <f t="shared" si="91"/>
        <v>13516.800000000001</v>
      </c>
      <c r="AP120" s="15">
        <v>21720</v>
      </c>
      <c r="AQ120" s="124">
        <f t="shared" si="92"/>
        <v>13900.800000000001</v>
      </c>
      <c r="AR120" s="15">
        <v>18744</v>
      </c>
      <c r="AS120" s="124">
        <f t="shared" si="93"/>
        <v>11996.16</v>
      </c>
      <c r="AT120" s="17">
        <v>18960</v>
      </c>
      <c r="AU120" s="124">
        <f t="shared" si="94"/>
        <v>12134.4</v>
      </c>
      <c r="AV120" s="15">
        <v>25824</v>
      </c>
      <c r="AW120" s="124">
        <f t="shared" si="95"/>
        <v>16527.36</v>
      </c>
      <c r="AX120" s="15">
        <v>11400</v>
      </c>
      <c r="AY120" s="124">
        <f t="shared" si="96"/>
        <v>7296</v>
      </c>
      <c r="AZ120" s="17">
        <v>13896</v>
      </c>
      <c r="BA120" s="124">
        <f t="shared" si="97"/>
        <v>8893.44</v>
      </c>
      <c r="BB120" s="33">
        <v>18240</v>
      </c>
      <c r="BC120" s="124">
        <f t="shared" si="98"/>
        <v>11673.6</v>
      </c>
      <c r="BD120" s="33">
        <v>17400</v>
      </c>
      <c r="BE120" s="124">
        <f t="shared" si="99"/>
        <v>11136</v>
      </c>
      <c r="BF120" s="125">
        <f t="shared" si="100"/>
        <v>228960</v>
      </c>
      <c r="BG120" s="126">
        <f t="shared" si="101"/>
        <v>146534.39999999999</v>
      </c>
      <c r="BH120" s="123"/>
      <c r="BI120" s="124">
        <f>BH119*$E119</f>
        <v>0</v>
      </c>
      <c r="BJ120" s="67">
        <v>17880</v>
      </c>
      <c r="BK120" s="124">
        <f t="shared" si="103"/>
        <v>11443.2</v>
      </c>
      <c r="BL120" s="64">
        <v>17040</v>
      </c>
      <c r="BM120" s="124">
        <f t="shared" si="104"/>
        <v>10905.6</v>
      </c>
      <c r="BN120" s="64">
        <v>20760</v>
      </c>
      <c r="BO120" s="124">
        <f t="shared" si="105"/>
        <v>13286.4</v>
      </c>
      <c r="BP120" s="64">
        <v>24360</v>
      </c>
      <c r="BQ120" s="124">
        <f t="shared" si="106"/>
        <v>15590.4</v>
      </c>
      <c r="BR120" s="65">
        <v>19800</v>
      </c>
      <c r="BS120" s="124">
        <f t="shared" si="107"/>
        <v>12672</v>
      </c>
      <c r="BT120" s="71">
        <v>19320</v>
      </c>
      <c r="BU120" s="124">
        <f t="shared" si="108"/>
        <v>12364.800000000001</v>
      </c>
      <c r="BV120" s="73">
        <v>17640</v>
      </c>
      <c r="BW120" s="124">
        <f t="shared" si="109"/>
        <v>11289.6</v>
      </c>
      <c r="BX120" s="67">
        <v>18480</v>
      </c>
      <c r="BY120" s="124">
        <f t="shared" si="110"/>
        <v>11827.2</v>
      </c>
      <c r="BZ120" s="67">
        <v>20040</v>
      </c>
      <c r="CA120" s="124">
        <f t="shared" si="111"/>
        <v>12825.6</v>
      </c>
      <c r="CB120" s="67">
        <v>18864</v>
      </c>
      <c r="CC120" s="124">
        <f t="shared" si="112"/>
        <v>12072.960000000001</v>
      </c>
      <c r="CD120" s="67">
        <v>17280</v>
      </c>
      <c r="CE120" s="124">
        <f t="shared" si="113"/>
        <v>11059.2</v>
      </c>
      <c r="CF120" s="125">
        <f t="shared" si="114"/>
        <v>211464</v>
      </c>
      <c r="CG120" s="126">
        <f t="shared" si="115"/>
        <v>135336.95999999999</v>
      </c>
      <c r="CH120" s="123">
        <v>17280</v>
      </c>
      <c r="CI120" s="124">
        <f t="shared" si="116"/>
        <v>11059.2</v>
      </c>
      <c r="CJ120" s="123">
        <v>17736</v>
      </c>
      <c r="CK120" s="124">
        <f t="shared" si="117"/>
        <v>11351.04</v>
      </c>
      <c r="CL120" s="16">
        <v>18792</v>
      </c>
      <c r="CM120" s="124">
        <f t="shared" ref="CM120:CM129" si="141">CL120*$E120</f>
        <v>12026.880000000001</v>
      </c>
      <c r="CN120" s="123">
        <v>20352</v>
      </c>
      <c r="CO120" s="124">
        <f t="shared" si="119"/>
        <v>13025.28</v>
      </c>
      <c r="CP120" s="123">
        <v>19320</v>
      </c>
      <c r="CQ120" s="124">
        <f t="shared" si="120"/>
        <v>12364.800000000001</v>
      </c>
      <c r="CR120" s="123">
        <v>20760</v>
      </c>
      <c r="CS120" s="124">
        <f t="shared" si="121"/>
        <v>13286.4</v>
      </c>
      <c r="CT120" s="123">
        <v>16800</v>
      </c>
      <c r="CU120" s="124">
        <f t="shared" si="122"/>
        <v>10752</v>
      </c>
      <c r="CV120" s="123">
        <v>13680</v>
      </c>
      <c r="CW120" s="124">
        <f t="shared" si="123"/>
        <v>8755.2000000000007</v>
      </c>
      <c r="CX120" s="123">
        <v>18240</v>
      </c>
      <c r="CY120" s="124">
        <f t="shared" si="124"/>
        <v>11673.6</v>
      </c>
      <c r="CZ120" s="123">
        <v>17280</v>
      </c>
      <c r="DA120" s="124">
        <f t="shared" si="125"/>
        <v>11059.2</v>
      </c>
      <c r="DB120" s="123">
        <v>17736</v>
      </c>
      <c r="DC120" s="124">
        <f t="shared" si="126"/>
        <v>11351.04</v>
      </c>
      <c r="DD120" s="123">
        <v>17040</v>
      </c>
      <c r="DE120" s="124">
        <f t="shared" si="126"/>
        <v>10905.6</v>
      </c>
      <c r="DF120" s="177">
        <f t="shared" si="72"/>
        <v>215016</v>
      </c>
      <c r="DG120" s="126">
        <f t="shared" si="127"/>
        <v>137610.23999999999</v>
      </c>
      <c r="DH120" s="123">
        <v>16752</v>
      </c>
      <c r="DI120" s="124">
        <f t="shared" si="128"/>
        <v>10721.28</v>
      </c>
      <c r="DJ120" s="123">
        <v>16656</v>
      </c>
      <c r="DK120" s="124">
        <f t="shared" si="129"/>
        <v>10659.84</v>
      </c>
      <c r="DL120" s="123"/>
      <c r="DM120" s="124">
        <f t="shared" si="130"/>
        <v>0</v>
      </c>
      <c r="DN120" s="123"/>
      <c r="DO120" s="124">
        <f t="shared" si="131"/>
        <v>0</v>
      </c>
      <c r="DP120" s="123"/>
      <c r="DQ120" s="124">
        <f t="shared" si="132"/>
        <v>0</v>
      </c>
      <c r="DR120" s="123"/>
      <c r="DS120" s="124">
        <f t="shared" si="133"/>
        <v>0</v>
      </c>
      <c r="DT120" s="123"/>
      <c r="DU120" s="124">
        <f t="shared" si="134"/>
        <v>0</v>
      </c>
      <c r="DV120" s="123"/>
      <c r="DW120" s="124">
        <f t="shared" si="135"/>
        <v>0</v>
      </c>
      <c r="DX120" s="123"/>
      <c r="DY120" s="124">
        <f t="shared" si="136"/>
        <v>0</v>
      </c>
      <c r="DZ120" s="123"/>
      <c r="EA120" s="124">
        <f t="shared" si="137"/>
        <v>0</v>
      </c>
      <c r="EB120" s="123"/>
      <c r="EC120" s="124">
        <f t="shared" si="138"/>
        <v>0</v>
      </c>
      <c r="ED120" s="123"/>
      <c r="EE120" s="124">
        <f t="shared" si="139"/>
        <v>0</v>
      </c>
      <c r="EF120" s="27">
        <f t="shared" si="73"/>
        <v>33408</v>
      </c>
      <c r="EG120" s="124">
        <f t="shared" si="140"/>
        <v>21381.119999999999</v>
      </c>
    </row>
    <row r="121" spans="1:137" ht="18" customHeight="1" x14ac:dyDescent="0.5">
      <c r="A121" s="117">
        <v>96</v>
      </c>
      <c r="B121" s="122" t="s">
        <v>269</v>
      </c>
      <c r="C121" s="122" t="s">
        <v>260</v>
      </c>
      <c r="D121" s="117"/>
      <c r="E121" s="117">
        <v>1</v>
      </c>
      <c r="F121" s="117" t="s">
        <v>237</v>
      </c>
      <c r="G121" s="117"/>
      <c r="H121" s="123"/>
      <c r="I121" s="124">
        <f t="shared" si="74"/>
        <v>0</v>
      </c>
      <c r="J121" s="123"/>
      <c r="K121" s="124">
        <f t="shared" si="75"/>
        <v>0</v>
      </c>
      <c r="L121" s="123"/>
      <c r="M121" s="124">
        <f t="shared" si="76"/>
        <v>0</v>
      </c>
      <c r="N121" s="123"/>
      <c r="O121" s="124">
        <f t="shared" si="77"/>
        <v>0</v>
      </c>
      <c r="P121" s="123"/>
      <c r="Q121" s="124">
        <f t="shared" si="78"/>
        <v>0</v>
      </c>
      <c r="R121" s="123"/>
      <c r="S121" s="124">
        <f t="shared" si="79"/>
        <v>0</v>
      </c>
      <c r="T121" s="123"/>
      <c r="U121" s="124">
        <f t="shared" si="80"/>
        <v>0</v>
      </c>
      <c r="V121" s="123"/>
      <c r="W121" s="124">
        <f t="shared" si="81"/>
        <v>0</v>
      </c>
      <c r="X121" s="123"/>
      <c r="Y121" s="124">
        <f t="shared" si="82"/>
        <v>0</v>
      </c>
      <c r="Z121" s="123"/>
      <c r="AA121" s="124">
        <f t="shared" si="83"/>
        <v>0</v>
      </c>
      <c r="AB121" s="123"/>
      <c r="AC121" s="124">
        <f t="shared" si="84"/>
        <v>0</v>
      </c>
      <c r="AD121" s="123"/>
      <c r="AE121" s="124">
        <f t="shared" si="85"/>
        <v>0</v>
      </c>
      <c r="AF121" s="125">
        <f t="shared" si="86"/>
        <v>0</v>
      </c>
      <c r="AG121" s="126">
        <f t="shared" si="87"/>
        <v>0</v>
      </c>
      <c r="AH121" s="11"/>
      <c r="AI121" s="124">
        <f t="shared" si="88"/>
        <v>0</v>
      </c>
      <c r="AJ121" s="15"/>
      <c r="AK121" s="124">
        <f t="shared" si="89"/>
        <v>0</v>
      </c>
      <c r="AL121" s="15"/>
      <c r="AM121" s="124">
        <f t="shared" si="90"/>
        <v>0</v>
      </c>
      <c r="AN121" s="16"/>
      <c r="AO121" s="124">
        <f t="shared" si="91"/>
        <v>0</v>
      </c>
      <c r="AP121" s="15"/>
      <c r="AQ121" s="124">
        <f t="shared" si="92"/>
        <v>0</v>
      </c>
      <c r="AR121" s="15"/>
      <c r="AS121" s="124">
        <f t="shared" si="93"/>
        <v>0</v>
      </c>
      <c r="AT121" s="17"/>
      <c r="AU121" s="124">
        <f t="shared" si="94"/>
        <v>0</v>
      </c>
      <c r="AV121" s="15"/>
      <c r="AW121" s="124">
        <f t="shared" si="95"/>
        <v>0</v>
      </c>
      <c r="AX121" s="15"/>
      <c r="AY121" s="124">
        <f t="shared" si="96"/>
        <v>0</v>
      </c>
      <c r="AZ121" s="17"/>
      <c r="BA121" s="124">
        <f t="shared" si="97"/>
        <v>0</v>
      </c>
      <c r="BB121" s="33"/>
      <c r="BC121" s="124">
        <f t="shared" si="98"/>
        <v>0</v>
      </c>
      <c r="BD121" s="33"/>
      <c r="BE121" s="124">
        <f t="shared" si="99"/>
        <v>0</v>
      </c>
      <c r="BF121" s="125">
        <f t="shared" si="100"/>
        <v>0</v>
      </c>
      <c r="BG121" s="126">
        <f t="shared" si="101"/>
        <v>0</v>
      </c>
      <c r="BH121" s="123"/>
      <c r="BI121" s="124">
        <f t="shared" ref="BI121:BI129" si="142">BH120*$E120</f>
        <v>0</v>
      </c>
      <c r="BJ121" s="123"/>
      <c r="BK121" s="124">
        <f t="shared" si="103"/>
        <v>0</v>
      </c>
      <c r="BL121" s="123"/>
      <c r="BM121" s="124">
        <f t="shared" si="104"/>
        <v>0</v>
      </c>
      <c r="BN121" s="123"/>
      <c r="BO121" s="124">
        <f t="shared" si="105"/>
        <v>0</v>
      </c>
      <c r="BP121" s="123"/>
      <c r="BQ121" s="124">
        <f t="shared" si="106"/>
        <v>0</v>
      </c>
      <c r="BR121" s="123"/>
      <c r="BS121" s="124">
        <f t="shared" si="107"/>
        <v>0</v>
      </c>
      <c r="BT121" s="123"/>
      <c r="BU121" s="124">
        <f t="shared" si="108"/>
        <v>0</v>
      </c>
      <c r="BV121" s="123"/>
      <c r="BW121" s="124">
        <f t="shared" si="109"/>
        <v>0</v>
      </c>
      <c r="BX121" s="123"/>
      <c r="BY121" s="124">
        <f t="shared" si="110"/>
        <v>0</v>
      </c>
      <c r="BZ121" s="123"/>
      <c r="CA121" s="124">
        <f t="shared" si="111"/>
        <v>0</v>
      </c>
      <c r="CB121" s="123"/>
      <c r="CC121" s="124">
        <f t="shared" si="112"/>
        <v>0</v>
      </c>
      <c r="CD121" s="123"/>
      <c r="CE121" s="124">
        <f t="shared" si="113"/>
        <v>0</v>
      </c>
      <c r="CF121" s="125">
        <f t="shared" si="114"/>
        <v>0</v>
      </c>
      <c r="CG121" s="126">
        <f t="shared" si="115"/>
        <v>0</v>
      </c>
      <c r="CH121" s="123"/>
      <c r="CI121" s="124">
        <f t="shared" si="116"/>
        <v>0</v>
      </c>
      <c r="CJ121" s="123"/>
      <c r="CK121" s="124">
        <f t="shared" si="117"/>
        <v>0</v>
      </c>
      <c r="CL121" s="123"/>
      <c r="CM121" s="124">
        <f t="shared" si="141"/>
        <v>0</v>
      </c>
      <c r="CN121" s="123"/>
      <c r="CO121" s="124">
        <f t="shared" si="119"/>
        <v>0</v>
      </c>
      <c r="CP121" s="123"/>
      <c r="CQ121" s="124">
        <f t="shared" si="120"/>
        <v>0</v>
      </c>
      <c r="CR121" s="123"/>
      <c r="CS121" s="124">
        <f t="shared" si="121"/>
        <v>0</v>
      </c>
      <c r="CT121" s="123"/>
      <c r="CU121" s="124">
        <f t="shared" si="122"/>
        <v>0</v>
      </c>
      <c r="CV121" s="123"/>
      <c r="CW121" s="124">
        <f t="shared" si="123"/>
        <v>0</v>
      </c>
      <c r="CX121" s="123"/>
      <c r="CY121" s="124">
        <f t="shared" si="124"/>
        <v>0</v>
      </c>
      <c r="CZ121" s="123"/>
      <c r="DA121" s="124">
        <f t="shared" si="125"/>
        <v>0</v>
      </c>
      <c r="DB121" s="123"/>
      <c r="DC121" s="124">
        <f t="shared" si="126"/>
        <v>0</v>
      </c>
      <c r="DD121" s="123"/>
      <c r="DE121" s="124">
        <f t="shared" si="126"/>
        <v>0</v>
      </c>
      <c r="DF121" s="177">
        <f t="shared" si="72"/>
        <v>0</v>
      </c>
      <c r="DG121" s="126">
        <f t="shared" si="127"/>
        <v>0</v>
      </c>
      <c r="DH121" s="123">
        <v>1800</v>
      </c>
      <c r="DI121" s="124">
        <f t="shared" si="128"/>
        <v>1800</v>
      </c>
      <c r="DJ121" s="123">
        <v>612</v>
      </c>
      <c r="DK121" s="124">
        <f t="shared" si="129"/>
        <v>612</v>
      </c>
      <c r="DL121" s="123"/>
      <c r="DM121" s="124">
        <f t="shared" si="130"/>
        <v>0</v>
      </c>
      <c r="DN121" s="123"/>
      <c r="DO121" s="124">
        <f t="shared" si="131"/>
        <v>0</v>
      </c>
      <c r="DP121" s="123"/>
      <c r="DQ121" s="124">
        <f t="shared" si="132"/>
        <v>0</v>
      </c>
      <c r="DR121" s="123"/>
      <c r="DS121" s="124">
        <f t="shared" si="133"/>
        <v>0</v>
      </c>
      <c r="DT121" s="123"/>
      <c r="DU121" s="124">
        <f t="shared" si="134"/>
        <v>0</v>
      </c>
      <c r="DV121" s="123"/>
      <c r="DW121" s="124">
        <f t="shared" si="135"/>
        <v>0</v>
      </c>
      <c r="DX121" s="123"/>
      <c r="DY121" s="124">
        <f t="shared" si="136"/>
        <v>0</v>
      </c>
      <c r="DZ121" s="123"/>
      <c r="EA121" s="124">
        <f t="shared" si="137"/>
        <v>0</v>
      </c>
      <c r="EB121" s="123"/>
      <c r="EC121" s="124">
        <f t="shared" si="138"/>
        <v>0</v>
      </c>
      <c r="ED121" s="123"/>
      <c r="EE121" s="124">
        <f t="shared" si="139"/>
        <v>0</v>
      </c>
      <c r="EF121" s="27">
        <f t="shared" si="73"/>
        <v>2412</v>
      </c>
      <c r="EG121" s="124">
        <f t="shared" si="140"/>
        <v>2412</v>
      </c>
    </row>
    <row r="122" spans="1:137" ht="18" customHeight="1" x14ac:dyDescent="0.5">
      <c r="A122" s="117"/>
      <c r="B122" s="122"/>
      <c r="C122" s="122"/>
      <c r="D122" s="117"/>
      <c r="E122" s="117"/>
      <c r="F122" s="117"/>
      <c r="G122" s="117"/>
      <c r="H122" s="123"/>
      <c r="I122" s="124">
        <f t="shared" si="74"/>
        <v>0</v>
      </c>
      <c r="J122" s="123"/>
      <c r="K122" s="124">
        <f t="shared" si="75"/>
        <v>0</v>
      </c>
      <c r="L122" s="123"/>
      <c r="M122" s="124">
        <f t="shared" si="76"/>
        <v>0</v>
      </c>
      <c r="N122" s="123"/>
      <c r="O122" s="124">
        <f t="shared" si="77"/>
        <v>0</v>
      </c>
      <c r="P122" s="123"/>
      <c r="Q122" s="124">
        <f t="shared" si="78"/>
        <v>0</v>
      </c>
      <c r="R122" s="123"/>
      <c r="S122" s="124">
        <f t="shared" si="79"/>
        <v>0</v>
      </c>
      <c r="T122" s="123"/>
      <c r="U122" s="124">
        <f t="shared" si="80"/>
        <v>0</v>
      </c>
      <c r="V122" s="123"/>
      <c r="W122" s="124">
        <f t="shared" si="81"/>
        <v>0</v>
      </c>
      <c r="X122" s="123"/>
      <c r="Y122" s="124">
        <f t="shared" si="82"/>
        <v>0</v>
      </c>
      <c r="Z122" s="123"/>
      <c r="AA122" s="124">
        <f t="shared" si="83"/>
        <v>0</v>
      </c>
      <c r="AB122" s="123"/>
      <c r="AC122" s="124">
        <f t="shared" si="84"/>
        <v>0</v>
      </c>
      <c r="AD122" s="123"/>
      <c r="AE122" s="124">
        <f t="shared" si="85"/>
        <v>0</v>
      </c>
      <c r="AF122" s="125">
        <f t="shared" si="86"/>
        <v>0</v>
      </c>
      <c r="AG122" s="126">
        <f t="shared" si="87"/>
        <v>0</v>
      </c>
      <c r="AH122" s="11"/>
      <c r="AI122" s="124">
        <f t="shared" si="88"/>
        <v>0</v>
      </c>
      <c r="AJ122" s="15"/>
      <c r="AK122" s="124">
        <f t="shared" si="89"/>
        <v>0</v>
      </c>
      <c r="AL122" s="15"/>
      <c r="AM122" s="124">
        <f t="shared" si="90"/>
        <v>0</v>
      </c>
      <c r="AN122" s="16"/>
      <c r="AO122" s="124">
        <f t="shared" si="91"/>
        <v>0</v>
      </c>
      <c r="AP122" s="15"/>
      <c r="AQ122" s="124">
        <f t="shared" si="92"/>
        <v>0</v>
      </c>
      <c r="AR122" s="15"/>
      <c r="AS122" s="124">
        <f t="shared" si="93"/>
        <v>0</v>
      </c>
      <c r="AT122" s="17"/>
      <c r="AU122" s="124">
        <f t="shared" si="94"/>
        <v>0</v>
      </c>
      <c r="AV122" s="15"/>
      <c r="AW122" s="124">
        <f t="shared" si="95"/>
        <v>0</v>
      </c>
      <c r="AX122" s="15"/>
      <c r="AY122" s="124">
        <f t="shared" si="96"/>
        <v>0</v>
      </c>
      <c r="AZ122" s="17"/>
      <c r="BA122" s="124">
        <f t="shared" si="97"/>
        <v>0</v>
      </c>
      <c r="BB122" s="33"/>
      <c r="BC122" s="124">
        <f t="shared" si="98"/>
        <v>0</v>
      </c>
      <c r="BD122" s="33"/>
      <c r="BE122" s="124">
        <f t="shared" si="99"/>
        <v>0</v>
      </c>
      <c r="BF122" s="125">
        <f t="shared" si="100"/>
        <v>0</v>
      </c>
      <c r="BG122" s="126">
        <f t="shared" si="101"/>
        <v>0</v>
      </c>
      <c r="BH122" s="123"/>
      <c r="BI122" s="124">
        <f t="shared" si="142"/>
        <v>0</v>
      </c>
      <c r="BJ122" s="123"/>
      <c r="BK122" s="124">
        <f t="shared" si="103"/>
        <v>0</v>
      </c>
      <c r="BL122" s="123"/>
      <c r="BM122" s="124">
        <f t="shared" si="104"/>
        <v>0</v>
      </c>
      <c r="BN122" s="123"/>
      <c r="BO122" s="124">
        <f t="shared" si="105"/>
        <v>0</v>
      </c>
      <c r="BP122" s="123"/>
      <c r="BQ122" s="124">
        <f t="shared" si="106"/>
        <v>0</v>
      </c>
      <c r="BR122" s="123"/>
      <c r="BS122" s="124">
        <f t="shared" si="107"/>
        <v>0</v>
      </c>
      <c r="BT122" s="123"/>
      <c r="BU122" s="124">
        <f t="shared" si="108"/>
        <v>0</v>
      </c>
      <c r="BV122" s="123"/>
      <c r="BW122" s="124">
        <f t="shared" si="109"/>
        <v>0</v>
      </c>
      <c r="BX122" s="123"/>
      <c r="BY122" s="124">
        <f t="shared" si="110"/>
        <v>0</v>
      </c>
      <c r="BZ122" s="123"/>
      <c r="CA122" s="124">
        <f t="shared" si="111"/>
        <v>0</v>
      </c>
      <c r="CB122" s="123"/>
      <c r="CC122" s="124">
        <f t="shared" si="112"/>
        <v>0</v>
      </c>
      <c r="CD122" s="123"/>
      <c r="CE122" s="124">
        <f t="shared" si="113"/>
        <v>0</v>
      </c>
      <c r="CF122" s="125">
        <f t="shared" si="114"/>
        <v>0</v>
      </c>
      <c r="CG122" s="126">
        <f t="shared" si="115"/>
        <v>0</v>
      </c>
      <c r="CH122" s="123"/>
      <c r="CI122" s="124">
        <f t="shared" si="116"/>
        <v>0</v>
      </c>
      <c r="CJ122" s="123"/>
      <c r="CK122" s="124">
        <f t="shared" si="117"/>
        <v>0</v>
      </c>
      <c r="CL122" s="123"/>
      <c r="CM122" s="124">
        <f t="shared" si="141"/>
        <v>0</v>
      </c>
      <c r="CN122" s="123"/>
      <c r="CO122" s="124">
        <f t="shared" si="119"/>
        <v>0</v>
      </c>
      <c r="CP122" s="123"/>
      <c r="CQ122" s="124">
        <f t="shared" si="120"/>
        <v>0</v>
      </c>
      <c r="CR122" s="123"/>
      <c r="CS122" s="124">
        <f t="shared" si="121"/>
        <v>0</v>
      </c>
      <c r="CT122" s="123"/>
      <c r="CU122" s="124">
        <f t="shared" si="122"/>
        <v>0</v>
      </c>
      <c r="CV122" s="123"/>
      <c r="CW122" s="124">
        <f t="shared" si="123"/>
        <v>0</v>
      </c>
      <c r="CX122" s="123"/>
      <c r="CY122" s="124">
        <f t="shared" si="124"/>
        <v>0</v>
      </c>
      <c r="CZ122" s="123"/>
      <c r="DA122" s="124">
        <f t="shared" si="125"/>
        <v>0</v>
      </c>
      <c r="DB122" s="123"/>
      <c r="DC122" s="124">
        <f t="shared" si="126"/>
        <v>0</v>
      </c>
      <c r="DD122" s="123"/>
      <c r="DE122" s="124">
        <f t="shared" si="126"/>
        <v>0</v>
      </c>
      <c r="DF122" s="177">
        <f t="shared" si="72"/>
        <v>0</v>
      </c>
      <c r="DG122" s="126">
        <f t="shared" si="127"/>
        <v>0</v>
      </c>
      <c r="DH122" s="123"/>
      <c r="DI122" s="124">
        <f t="shared" si="128"/>
        <v>0</v>
      </c>
      <c r="DJ122" s="123"/>
      <c r="DK122" s="124">
        <f t="shared" si="129"/>
        <v>0</v>
      </c>
      <c r="DL122" s="123"/>
      <c r="DM122" s="124">
        <f t="shared" si="130"/>
        <v>0</v>
      </c>
      <c r="DN122" s="123"/>
      <c r="DO122" s="124">
        <f t="shared" si="131"/>
        <v>0</v>
      </c>
      <c r="DP122" s="123"/>
      <c r="DQ122" s="124">
        <f t="shared" si="132"/>
        <v>0</v>
      </c>
      <c r="DR122" s="123"/>
      <c r="DS122" s="124">
        <f t="shared" si="133"/>
        <v>0</v>
      </c>
      <c r="DT122" s="123"/>
      <c r="DU122" s="124">
        <f t="shared" si="134"/>
        <v>0</v>
      </c>
      <c r="DV122" s="123"/>
      <c r="DW122" s="124">
        <f t="shared" si="135"/>
        <v>0</v>
      </c>
      <c r="DX122" s="123"/>
      <c r="DY122" s="124">
        <f t="shared" si="136"/>
        <v>0</v>
      </c>
      <c r="DZ122" s="123"/>
      <c r="EA122" s="124">
        <f t="shared" si="137"/>
        <v>0</v>
      </c>
      <c r="EB122" s="123"/>
      <c r="EC122" s="124">
        <f t="shared" si="138"/>
        <v>0</v>
      </c>
      <c r="ED122" s="123"/>
      <c r="EE122" s="124">
        <f t="shared" si="139"/>
        <v>0</v>
      </c>
      <c r="EF122" s="27">
        <f t="shared" si="73"/>
        <v>0</v>
      </c>
      <c r="EG122" s="124">
        <f t="shared" si="140"/>
        <v>0</v>
      </c>
    </row>
    <row r="123" spans="1:137" ht="18" customHeight="1" x14ac:dyDescent="0.5">
      <c r="A123" s="117">
        <v>97</v>
      </c>
      <c r="B123" s="122" t="s">
        <v>262</v>
      </c>
      <c r="C123" s="122"/>
      <c r="D123" s="117"/>
      <c r="E123" s="117"/>
      <c r="F123" s="117"/>
      <c r="G123" s="117"/>
      <c r="H123" s="123"/>
      <c r="I123" s="124">
        <f t="shared" si="74"/>
        <v>0</v>
      </c>
      <c r="J123" s="123"/>
      <c r="K123" s="124">
        <f t="shared" si="75"/>
        <v>0</v>
      </c>
      <c r="L123" s="123"/>
      <c r="M123" s="124">
        <f t="shared" si="76"/>
        <v>0</v>
      </c>
      <c r="N123" s="123"/>
      <c r="O123" s="124">
        <f t="shared" si="77"/>
        <v>0</v>
      </c>
      <c r="P123" s="123"/>
      <c r="Q123" s="124">
        <f t="shared" si="78"/>
        <v>0</v>
      </c>
      <c r="R123" s="123"/>
      <c r="S123" s="124">
        <f t="shared" si="79"/>
        <v>0</v>
      </c>
      <c r="T123" s="123"/>
      <c r="U123" s="124">
        <f t="shared" si="80"/>
        <v>0</v>
      </c>
      <c r="V123" s="123"/>
      <c r="W123" s="124">
        <f t="shared" si="81"/>
        <v>0</v>
      </c>
      <c r="X123" s="123"/>
      <c r="Y123" s="124">
        <f t="shared" si="82"/>
        <v>0</v>
      </c>
      <c r="Z123" s="123"/>
      <c r="AA123" s="124">
        <f t="shared" si="83"/>
        <v>0</v>
      </c>
      <c r="AB123" s="123"/>
      <c r="AC123" s="124">
        <f t="shared" si="84"/>
        <v>0</v>
      </c>
      <c r="AD123" s="123"/>
      <c r="AE123" s="124">
        <f t="shared" si="85"/>
        <v>0</v>
      </c>
      <c r="AF123" s="125">
        <f t="shared" si="86"/>
        <v>0</v>
      </c>
      <c r="AG123" s="126">
        <f t="shared" si="87"/>
        <v>0</v>
      </c>
      <c r="AH123" s="11"/>
      <c r="AI123" s="124">
        <f t="shared" si="88"/>
        <v>0</v>
      </c>
      <c r="AJ123" s="15"/>
      <c r="AK123" s="124">
        <f t="shared" si="89"/>
        <v>0</v>
      </c>
      <c r="AL123" s="15"/>
      <c r="AM123" s="124">
        <f t="shared" si="90"/>
        <v>0</v>
      </c>
      <c r="AN123" s="16"/>
      <c r="AO123" s="124">
        <f t="shared" si="91"/>
        <v>0</v>
      </c>
      <c r="AP123" s="15"/>
      <c r="AQ123" s="124">
        <f t="shared" si="92"/>
        <v>0</v>
      </c>
      <c r="AR123" s="15"/>
      <c r="AS123" s="124">
        <f t="shared" si="93"/>
        <v>0</v>
      </c>
      <c r="AT123" s="17"/>
      <c r="AU123" s="124">
        <f t="shared" si="94"/>
        <v>0</v>
      </c>
      <c r="AV123" s="15"/>
      <c r="AW123" s="124">
        <f t="shared" si="95"/>
        <v>0</v>
      </c>
      <c r="AX123" s="15"/>
      <c r="AY123" s="124">
        <f t="shared" si="96"/>
        <v>0</v>
      </c>
      <c r="AZ123" s="17"/>
      <c r="BA123" s="124">
        <f t="shared" si="97"/>
        <v>0</v>
      </c>
      <c r="BB123" s="33"/>
      <c r="BC123" s="124">
        <f t="shared" si="98"/>
        <v>0</v>
      </c>
      <c r="BD123" s="33"/>
      <c r="BE123" s="124">
        <f t="shared" si="99"/>
        <v>0</v>
      </c>
      <c r="BF123" s="125">
        <f t="shared" si="100"/>
        <v>0</v>
      </c>
      <c r="BG123" s="126">
        <f t="shared" si="101"/>
        <v>0</v>
      </c>
      <c r="BH123" s="123"/>
      <c r="BI123" s="124">
        <f t="shared" si="142"/>
        <v>0</v>
      </c>
      <c r="BJ123" s="123"/>
      <c r="BK123" s="124">
        <f t="shared" si="103"/>
        <v>0</v>
      </c>
      <c r="BL123" s="123"/>
      <c r="BM123" s="124">
        <f t="shared" si="104"/>
        <v>0</v>
      </c>
      <c r="BN123" s="123"/>
      <c r="BO123" s="124">
        <f t="shared" si="105"/>
        <v>0</v>
      </c>
      <c r="BP123" s="123"/>
      <c r="BQ123" s="124">
        <f t="shared" si="106"/>
        <v>0</v>
      </c>
      <c r="BR123" s="123"/>
      <c r="BS123" s="124">
        <f t="shared" si="107"/>
        <v>0</v>
      </c>
      <c r="BT123" s="123"/>
      <c r="BU123" s="124">
        <f t="shared" si="108"/>
        <v>0</v>
      </c>
      <c r="BV123" s="123"/>
      <c r="BW123" s="124">
        <f t="shared" si="109"/>
        <v>0</v>
      </c>
      <c r="BX123" s="123"/>
      <c r="BY123" s="124">
        <f t="shared" si="110"/>
        <v>0</v>
      </c>
      <c r="BZ123" s="123"/>
      <c r="CA123" s="124">
        <f t="shared" si="111"/>
        <v>0</v>
      </c>
      <c r="CB123" s="123"/>
      <c r="CC123" s="124">
        <f t="shared" si="112"/>
        <v>0</v>
      </c>
      <c r="CD123" s="123"/>
      <c r="CE123" s="124">
        <f t="shared" si="113"/>
        <v>0</v>
      </c>
      <c r="CF123" s="125">
        <f t="shared" si="114"/>
        <v>0</v>
      </c>
      <c r="CG123" s="126">
        <f t="shared" si="115"/>
        <v>0</v>
      </c>
      <c r="CH123" s="123"/>
      <c r="CI123" s="124">
        <f t="shared" si="116"/>
        <v>0</v>
      </c>
      <c r="CJ123" s="123"/>
      <c r="CK123" s="124">
        <f t="shared" si="117"/>
        <v>0</v>
      </c>
      <c r="CL123" s="123"/>
      <c r="CM123" s="124">
        <f t="shared" si="141"/>
        <v>0</v>
      </c>
      <c r="CN123" s="123"/>
      <c r="CO123" s="124">
        <f t="shared" si="119"/>
        <v>0</v>
      </c>
      <c r="CP123" s="123"/>
      <c r="CQ123" s="124">
        <f t="shared" si="120"/>
        <v>0</v>
      </c>
      <c r="CR123" s="123"/>
      <c r="CS123" s="124">
        <f t="shared" si="121"/>
        <v>0</v>
      </c>
      <c r="CT123" s="123"/>
      <c r="CU123" s="124">
        <f t="shared" si="122"/>
        <v>0</v>
      </c>
      <c r="CV123" s="123"/>
      <c r="CW123" s="124">
        <f t="shared" si="123"/>
        <v>0</v>
      </c>
      <c r="CX123" s="123"/>
      <c r="CY123" s="124">
        <f t="shared" si="124"/>
        <v>0</v>
      </c>
      <c r="CZ123" s="123"/>
      <c r="DA123" s="124">
        <f t="shared" si="125"/>
        <v>0</v>
      </c>
      <c r="DB123" s="123"/>
      <c r="DC123" s="124">
        <f t="shared" si="126"/>
        <v>0</v>
      </c>
      <c r="DD123" s="123"/>
      <c r="DE123" s="124">
        <f t="shared" si="126"/>
        <v>0</v>
      </c>
      <c r="DF123" s="177">
        <f t="shared" si="72"/>
        <v>0</v>
      </c>
      <c r="DG123" s="126">
        <f t="shared" si="127"/>
        <v>0</v>
      </c>
      <c r="DH123" s="123"/>
      <c r="DI123" s="124">
        <f t="shared" si="128"/>
        <v>0</v>
      </c>
      <c r="DJ123" s="123"/>
      <c r="DK123" s="124">
        <f t="shared" si="129"/>
        <v>0</v>
      </c>
      <c r="DL123" s="123"/>
      <c r="DM123" s="124">
        <f t="shared" si="130"/>
        <v>0</v>
      </c>
      <c r="DN123" s="123"/>
      <c r="DO123" s="124">
        <f t="shared" si="131"/>
        <v>0</v>
      </c>
      <c r="DP123" s="123"/>
      <c r="DQ123" s="124">
        <f t="shared" si="132"/>
        <v>0</v>
      </c>
      <c r="DR123" s="123"/>
      <c r="DS123" s="124">
        <f t="shared" si="133"/>
        <v>0</v>
      </c>
      <c r="DT123" s="123"/>
      <c r="DU123" s="124">
        <f t="shared" si="134"/>
        <v>0</v>
      </c>
      <c r="DV123" s="123"/>
      <c r="DW123" s="124">
        <f t="shared" si="135"/>
        <v>0</v>
      </c>
      <c r="DX123" s="123"/>
      <c r="DY123" s="124">
        <f t="shared" si="136"/>
        <v>0</v>
      </c>
      <c r="DZ123" s="123"/>
      <c r="EA123" s="124">
        <f t="shared" si="137"/>
        <v>0</v>
      </c>
      <c r="EB123" s="123"/>
      <c r="EC123" s="124">
        <f t="shared" si="138"/>
        <v>0</v>
      </c>
      <c r="ED123" s="123"/>
      <c r="EE123" s="124">
        <f t="shared" si="139"/>
        <v>0</v>
      </c>
      <c r="EF123" s="27">
        <f t="shared" si="73"/>
        <v>0</v>
      </c>
      <c r="EG123" s="124">
        <f t="shared" si="140"/>
        <v>0</v>
      </c>
    </row>
    <row r="124" spans="1:137" ht="18" customHeight="1" x14ac:dyDescent="0.5">
      <c r="A124" s="117">
        <v>98</v>
      </c>
      <c r="B124" s="122" t="s">
        <v>263</v>
      </c>
      <c r="C124" s="122"/>
      <c r="D124" s="117"/>
      <c r="E124" s="117"/>
      <c r="F124" s="117"/>
      <c r="G124" s="117"/>
      <c r="H124" s="123"/>
      <c r="I124" s="124">
        <f t="shared" si="74"/>
        <v>0</v>
      </c>
      <c r="J124" s="123"/>
      <c r="K124" s="124">
        <f t="shared" si="75"/>
        <v>0</v>
      </c>
      <c r="L124" s="123"/>
      <c r="M124" s="124">
        <f t="shared" si="76"/>
        <v>0</v>
      </c>
      <c r="N124" s="123"/>
      <c r="O124" s="124">
        <f t="shared" si="77"/>
        <v>0</v>
      </c>
      <c r="P124" s="123"/>
      <c r="Q124" s="124">
        <f t="shared" si="78"/>
        <v>0</v>
      </c>
      <c r="R124" s="123"/>
      <c r="S124" s="124">
        <f t="shared" si="79"/>
        <v>0</v>
      </c>
      <c r="T124" s="123"/>
      <c r="U124" s="124">
        <f t="shared" si="80"/>
        <v>0</v>
      </c>
      <c r="V124" s="123"/>
      <c r="W124" s="124">
        <f t="shared" si="81"/>
        <v>0</v>
      </c>
      <c r="X124" s="123"/>
      <c r="Y124" s="124">
        <f t="shared" si="82"/>
        <v>0</v>
      </c>
      <c r="Z124" s="123"/>
      <c r="AA124" s="124">
        <f t="shared" si="83"/>
        <v>0</v>
      </c>
      <c r="AB124" s="123"/>
      <c r="AC124" s="124">
        <f t="shared" si="84"/>
        <v>0</v>
      </c>
      <c r="AD124" s="123"/>
      <c r="AE124" s="124">
        <f t="shared" si="85"/>
        <v>0</v>
      </c>
      <c r="AF124" s="125">
        <f t="shared" si="86"/>
        <v>0</v>
      </c>
      <c r="AG124" s="126">
        <f t="shared" si="87"/>
        <v>0</v>
      </c>
      <c r="AH124" s="11"/>
      <c r="AI124" s="124">
        <f t="shared" si="88"/>
        <v>0</v>
      </c>
      <c r="AJ124" s="15"/>
      <c r="AK124" s="124">
        <f t="shared" si="89"/>
        <v>0</v>
      </c>
      <c r="AL124" s="15"/>
      <c r="AM124" s="124">
        <f t="shared" si="90"/>
        <v>0</v>
      </c>
      <c r="AN124" s="16"/>
      <c r="AO124" s="124">
        <f t="shared" si="91"/>
        <v>0</v>
      </c>
      <c r="AP124" s="15"/>
      <c r="AQ124" s="124">
        <f t="shared" si="92"/>
        <v>0</v>
      </c>
      <c r="AR124" s="15"/>
      <c r="AS124" s="124">
        <f t="shared" si="93"/>
        <v>0</v>
      </c>
      <c r="AT124" s="17"/>
      <c r="AU124" s="124">
        <f t="shared" si="94"/>
        <v>0</v>
      </c>
      <c r="AV124" s="15"/>
      <c r="AW124" s="124">
        <f t="shared" si="95"/>
        <v>0</v>
      </c>
      <c r="AX124" s="15"/>
      <c r="AY124" s="124">
        <f t="shared" si="96"/>
        <v>0</v>
      </c>
      <c r="AZ124" s="17"/>
      <c r="BA124" s="124">
        <f t="shared" si="97"/>
        <v>0</v>
      </c>
      <c r="BB124" s="33"/>
      <c r="BC124" s="124">
        <f t="shared" si="98"/>
        <v>0</v>
      </c>
      <c r="BD124" s="33"/>
      <c r="BE124" s="124">
        <f t="shared" si="99"/>
        <v>0</v>
      </c>
      <c r="BF124" s="125">
        <f t="shared" si="100"/>
        <v>0</v>
      </c>
      <c r="BG124" s="126">
        <f t="shared" si="101"/>
        <v>0</v>
      </c>
      <c r="BH124" s="123"/>
      <c r="BI124" s="124">
        <f t="shared" si="142"/>
        <v>0</v>
      </c>
      <c r="BJ124" s="123"/>
      <c r="BK124" s="124">
        <f t="shared" si="103"/>
        <v>0</v>
      </c>
      <c r="BL124" s="123"/>
      <c r="BM124" s="124">
        <f t="shared" si="104"/>
        <v>0</v>
      </c>
      <c r="BN124" s="123"/>
      <c r="BO124" s="124">
        <f t="shared" si="105"/>
        <v>0</v>
      </c>
      <c r="BP124" s="123"/>
      <c r="BQ124" s="124">
        <f t="shared" si="106"/>
        <v>0</v>
      </c>
      <c r="BR124" s="123"/>
      <c r="BS124" s="124">
        <f t="shared" si="107"/>
        <v>0</v>
      </c>
      <c r="BT124" s="123"/>
      <c r="BU124" s="124">
        <f t="shared" si="108"/>
        <v>0</v>
      </c>
      <c r="BV124" s="123"/>
      <c r="BW124" s="124">
        <f t="shared" si="109"/>
        <v>0</v>
      </c>
      <c r="BX124" s="123"/>
      <c r="BY124" s="124">
        <f t="shared" si="110"/>
        <v>0</v>
      </c>
      <c r="BZ124" s="123"/>
      <c r="CA124" s="124">
        <f t="shared" si="111"/>
        <v>0</v>
      </c>
      <c r="CB124" s="123"/>
      <c r="CC124" s="124">
        <f t="shared" si="112"/>
        <v>0</v>
      </c>
      <c r="CD124" s="123"/>
      <c r="CE124" s="124">
        <f t="shared" si="113"/>
        <v>0</v>
      </c>
      <c r="CF124" s="125">
        <f t="shared" si="114"/>
        <v>0</v>
      </c>
      <c r="CG124" s="126">
        <f t="shared" si="115"/>
        <v>0</v>
      </c>
      <c r="CH124" s="123"/>
      <c r="CI124" s="124">
        <f t="shared" si="116"/>
        <v>0</v>
      </c>
      <c r="CJ124" s="123"/>
      <c r="CK124" s="124">
        <f t="shared" si="117"/>
        <v>0</v>
      </c>
      <c r="CL124" s="123"/>
      <c r="CM124" s="124">
        <f t="shared" si="141"/>
        <v>0</v>
      </c>
      <c r="CN124" s="123"/>
      <c r="CO124" s="124">
        <f t="shared" si="119"/>
        <v>0</v>
      </c>
      <c r="CP124" s="123"/>
      <c r="CQ124" s="124">
        <f t="shared" si="120"/>
        <v>0</v>
      </c>
      <c r="CR124" s="123"/>
      <c r="CS124" s="124">
        <f t="shared" si="121"/>
        <v>0</v>
      </c>
      <c r="CT124" s="123"/>
      <c r="CU124" s="124">
        <f t="shared" si="122"/>
        <v>0</v>
      </c>
      <c r="CV124" s="123"/>
      <c r="CW124" s="124">
        <f t="shared" si="123"/>
        <v>0</v>
      </c>
      <c r="CX124" s="123"/>
      <c r="CY124" s="124">
        <f t="shared" si="124"/>
        <v>0</v>
      </c>
      <c r="CZ124" s="123"/>
      <c r="DA124" s="124">
        <f t="shared" si="125"/>
        <v>0</v>
      </c>
      <c r="DB124" s="123"/>
      <c r="DC124" s="124">
        <f t="shared" si="126"/>
        <v>0</v>
      </c>
      <c r="DD124" s="123"/>
      <c r="DE124" s="124">
        <f t="shared" si="126"/>
        <v>0</v>
      </c>
      <c r="DF124" s="177">
        <f t="shared" si="72"/>
        <v>0</v>
      </c>
      <c r="DG124" s="126">
        <f t="shared" si="127"/>
        <v>0</v>
      </c>
      <c r="DH124" s="123"/>
      <c r="DI124" s="124">
        <f t="shared" si="128"/>
        <v>0</v>
      </c>
      <c r="DJ124" s="123"/>
      <c r="DK124" s="124">
        <f t="shared" si="129"/>
        <v>0</v>
      </c>
      <c r="DL124" s="123"/>
      <c r="DM124" s="124">
        <f t="shared" si="130"/>
        <v>0</v>
      </c>
      <c r="DN124" s="123"/>
      <c r="DO124" s="124">
        <f t="shared" si="131"/>
        <v>0</v>
      </c>
      <c r="DP124" s="123"/>
      <c r="DQ124" s="124">
        <f t="shared" si="132"/>
        <v>0</v>
      </c>
      <c r="DR124" s="123"/>
      <c r="DS124" s="124">
        <f t="shared" si="133"/>
        <v>0</v>
      </c>
      <c r="DT124" s="123"/>
      <c r="DU124" s="124">
        <f t="shared" si="134"/>
        <v>0</v>
      </c>
      <c r="DV124" s="123"/>
      <c r="DW124" s="124">
        <f t="shared" si="135"/>
        <v>0</v>
      </c>
      <c r="DX124" s="123"/>
      <c r="DY124" s="124">
        <f t="shared" si="136"/>
        <v>0</v>
      </c>
      <c r="DZ124" s="123"/>
      <c r="EA124" s="124">
        <f t="shared" si="137"/>
        <v>0</v>
      </c>
      <c r="EB124" s="123"/>
      <c r="EC124" s="124">
        <f t="shared" si="138"/>
        <v>0</v>
      </c>
      <c r="ED124" s="123"/>
      <c r="EE124" s="124">
        <f t="shared" si="139"/>
        <v>0</v>
      </c>
      <c r="EF124" s="27">
        <f t="shared" si="73"/>
        <v>0</v>
      </c>
      <c r="EG124" s="124">
        <f t="shared" si="140"/>
        <v>0</v>
      </c>
    </row>
    <row r="125" spans="1:137" ht="18" customHeight="1" x14ac:dyDescent="0.5">
      <c r="A125" s="117">
        <v>99</v>
      </c>
      <c r="B125" s="122" t="s">
        <v>272</v>
      </c>
      <c r="C125" s="122"/>
      <c r="D125" s="117"/>
      <c r="E125" s="117"/>
      <c r="F125" s="117"/>
      <c r="G125" s="117"/>
      <c r="H125" s="123"/>
      <c r="I125" s="124"/>
      <c r="J125" s="123"/>
      <c r="K125" s="124"/>
      <c r="L125" s="123"/>
      <c r="M125" s="124"/>
      <c r="N125" s="123"/>
      <c r="O125" s="124"/>
      <c r="P125" s="123"/>
      <c r="Q125" s="124"/>
      <c r="R125" s="123"/>
      <c r="S125" s="124"/>
      <c r="T125" s="123"/>
      <c r="U125" s="124"/>
      <c r="V125" s="123"/>
      <c r="W125" s="124"/>
      <c r="X125" s="123"/>
      <c r="Y125" s="124"/>
      <c r="Z125" s="123"/>
      <c r="AA125" s="124"/>
      <c r="AB125" s="123"/>
      <c r="AC125" s="124"/>
      <c r="AD125" s="123"/>
      <c r="AE125" s="124"/>
      <c r="AF125" s="125"/>
      <c r="AG125" s="126"/>
      <c r="AH125" s="11"/>
      <c r="AI125" s="124"/>
      <c r="AJ125" s="15"/>
      <c r="AK125" s="124"/>
      <c r="AL125" s="15"/>
      <c r="AM125" s="124"/>
      <c r="AN125" s="16"/>
      <c r="AO125" s="124"/>
      <c r="AP125" s="15"/>
      <c r="AQ125" s="124"/>
      <c r="AR125" s="15"/>
      <c r="AS125" s="124"/>
      <c r="AT125" s="17"/>
      <c r="AU125" s="124"/>
      <c r="AV125" s="15"/>
      <c r="AW125" s="124"/>
      <c r="AX125" s="15"/>
      <c r="AY125" s="124"/>
      <c r="AZ125" s="17"/>
      <c r="BA125" s="124"/>
      <c r="BB125" s="33"/>
      <c r="BC125" s="124"/>
      <c r="BD125" s="33"/>
      <c r="BE125" s="124"/>
      <c r="BF125" s="125"/>
      <c r="BG125" s="126"/>
      <c r="BH125" s="123"/>
      <c r="BI125" s="124"/>
      <c r="BJ125" s="123"/>
      <c r="BK125" s="124"/>
      <c r="BL125" s="123"/>
      <c r="BM125" s="124"/>
      <c r="BN125" s="123"/>
      <c r="BO125" s="124"/>
      <c r="BP125" s="123"/>
      <c r="BQ125" s="124"/>
      <c r="BR125" s="123"/>
      <c r="BS125" s="124"/>
      <c r="BT125" s="123"/>
      <c r="BU125" s="124"/>
      <c r="BV125" s="123"/>
      <c r="BW125" s="124"/>
      <c r="BX125" s="123"/>
      <c r="BY125" s="124"/>
      <c r="BZ125" s="123"/>
      <c r="CA125" s="124"/>
      <c r="CB125" s="123"/>
      <c r="CC125" s="124"/>
      <c r="CD125" s="123"/>
      <c r="CE125" s="124"/>
      <c r="CF125" s="125"/>
      <c r="CG125" s="126"/>
      <c r="CH125" s="123"/>
      <c r="CI125" s="124"/>
      <c r="CJ125" s="123"/>
      <c r="CK125" s="124"/>
      <c r="CL125" s="123"/>
      <c r="CM125" s="124"/>
      <c r="CN125" s="123"/>
      <c r="CO125" s="124"/>
      <c r="CP125" s="123"/>
      <c r="CQ125" s="124"/>
      <c r="CR125" s="123"/>
      <c r="CS125" s="124"/>
      <c r="CT125" s="123"/>
      <c r="CU125" s="124"/>
      <c r="CV125" s="123"/>
      <c r="CW125" s="124"/>
      <c r="CX125" s="123"/>
      <c r="CY125" s="124"/>
      <c r="CZ125" s="123"/>
      <c r="DA125" s="124"/>
      <c r="DB125" s="123"/>
      <c r="DC125" s="124"/>
      <c r="DD125" s="123"/>
      <c r="DE125" s="124"/>
      <c r="DF125" s="177"/>
      <c r="DG125" s="126"/>
      <c r="DH125" s="123"/>
      <c r="DI125" s="124"/>
      <c r="DJ125" s="123"/>
      <c r="DK125" s="124"/>
      <c r="DL125" s="123"/>
      <c r="DM125" s="124"/>
      <c r="DN125" s="123"/>
      <c r="DO125" s="124"/>
      <c r="DP125" s="123"/>
      <c r="DQ125" s="124"/>
      <c r="DR125" s="123"/>
      <c r="DS125" s="124"/>
      <c r="DT125" s="123"/>
      <c r="DU125" s="124"/>
      <c r="DV125" s="123"/>
      <c r="DW125" s="124"/>
      <c r="DX125" s="123"/>
      <c r="DY125" s="124"/>
      <c r="DZ125" s="123"/>
      <c r="EA125" s="124"/>
      <c r="EB125" s="123"/>
      <c r="EC125" s="124"/>
      <c r="ED125" s="123"/>
      <c r="EE125" s="124"/>
      <c r="EF125" s="27"/>
      <c r="EG125" s="124"/>
    </row>
    <row r="126" spans="1:137" ht="18" customHeight="1" x14ac:dyDescent="0.5">
      <c r="A126" s="117">
        <v>100</v>
      </c>
      <c r="B126" s="122" t="s">
        <v>273</v>
      </c>
      <c r="C126" s="122"/>
      <c r="D126" s="117"/>
      <c r="E126" s="117"/>
      <c r="F126" s="117"/>
      <c r="G126" s="117"/>
      <c r="H126" s="123"/>
      <c r="I126" s="124"/>
      <c r="J126" s="123"/>
      <c r="K126" s="124"/>
      <c r="L126" s="123"/>
      <c r="M126" s="124"/>
      <c r="N126" s="123"/>
      <c r="O126" s="124"/>
      <c r="P126" s="123"/>
      <c r="Q126" s="124"/>
      <c r="R126" s="123"/>
      <c r="S126" s="124"/>
      <c r="T126" s="123"/>
      <c r="U126" s="124"/>
      <c r="V126" s="123"/>
      <c r="W126" s="124"/>
      <c r="X126" s="123"/>
      <c r="Y126" s="124"/>
      <c r="Z126" s="123"/>
      <c r="AA126" s="124"/>
      <c r="AB126" s="123"/>
      <c r="AC126" s="124"/>
      <c r="AD126" s="123"/>
      <c r="AE126" s="124"/>
      <c r="AF126" s="125"/>
      <c r="AG126" s="126"/>
      <c r="AH126" s="11"/>
      <c r="AI126" s="124"/>
      <c r="AJ126" s="15"/>
      <c r="AK126" s="124"/>
      <c r="AL126" s="15"/>
      <c r="AM126" s="124"/>
      <c r="AN126" s="16"/>
      <c r="AO126" s="124"/>
      <c r="AP126" s="15"/>
      <c r="AQ126" s="124"/>
      <c r="AR126" s="15"/>
      <c r="AS126" s="124"/>
      <c r="AT126" s="17"/>
      <c r="AU126" s="124"/>
      <c r="AV126" s="15"/>
      <c r="AW126" s="124"/>
      <c r="AX126" s="15"/>
      <c r="AY126" s="124"/>
      <c r="AZ126" s="17"/>
      <c r="BA126" s="124"/>
      <c r="BB126" s="33"/>
      <c r="BC126" s="124"/>
      <c r="BD126" s="33"/>
      <c r="BE126" s="124"/>
      <c r="BF126" s="125"/>
      <c r="BG126" s="126"/>
      <c r="BH126" s="123"/>
      <c r="BI126" s="124"/>
      <c r="BJ126" s="123"/>
      <c r="BK126" s="124"/>
      <c r="BL126" s="123"/>
      <c r="BM126" s="124"/>
      <c r="BN126" s="123"/>
      <c r="BO126" s="124"/>
      <c r="BP126" s="123"/>
      <c r="BQ126" s="124"/>
      <c r="BR126" s="123"/>
      <c r="BS126" s="124"/>
      <c r="BT126" s="123"/>
      <c r="BU126" s="124"/>
      <c r="BV126" s="123"/>
      <c r="BW126" s="124"/>
      <c r="BX126" s="123"/>
      <c r="BY126" s="124"/>
      <c r="BZ126" s="123"/>
      <c r="CA126" s="124"/>
      <c r="CB126" s="123"/>
      <c r="CC126" s="124"/>
      <c r="CD126" s="123"/>
      <c r="CE126" s="124"/>
      <c r="CF126" s="125"/>
      <c r="CG126" s="126"/>
      <c r="CH126" s="123"/>
      <c r="CI126" s="124"/>
      <c r="CJ126" s="123"/>
      <c r="CK126" s="124"/>
      <c r="CL126" s="123"/>
      <c r="CM126" s="124"/>
      <c r="CN126" s="123"/>
      <c r="CO126" s="124"/>
      <c r="CP126" s="123"/>
      <c r="CQ126" s="124"/>
      <c r="CR126" s="123"/>
      <c r="CS126" s="124"/>
      <c r="CT126" s="123"/>
      <c r="CU126" s="124"/>
      <c r="CV126" s="123"/>
      <c r="CW126" s="124"/>
      <c r="CX126" s="123"/>
      <c r="CY126" s="124"/>
      <c r="CZ126" s="123"/>
      <c r="DA126" s="124"/>
      <c r="DB126" s="123"/>
      <c r="DC126" s="124"/>
      <c r="DD126" s="123"/>
      <c r="DE126" s="124"/>
      <c r="DF126" s="177"/>
      <c r="DG126" s="126"/>
      <c r="DH126" s="123"/>
      <c r="DI126" s="124"/>
      <c r="DJ126" s="123"/>
      <c r="DK126" s="124"/>
      <c r="DL126" s="123"/>
      <c r="DM126" s="124"/>
      <c r="DN126" s="123"/>
      <c r="DO126" s="124"/>
      <c r="DP126" s="123"/>
      <c r="DQ126" s="124"/>
      <c r="DR126" s="123"/>
      <c r="DS126" s="124"/>
      <c r="DT126" s="123"/>
      <c r="DU126" s="124"/>
      <c r="DV126" s="123"/>
      <c r="DW126" s="124"/>
      <c r="DX126" s="123"/>
      <c r="DY126" s="124"/>
      <c r="DZ126" s="123"/>
      <c r="EA126" s="124"/>
      <c r="EB126" s="123"/>
      <c r="EC126" s="124"/>
      <c r="ED126" s="123"/>
      <c r="EE126" s="124"/>
      <c r="EF126" s="27"/>
      <c r="EG126" s="124"/>
    </row>
    <row r="127" spans="1:137" ht="18" customHeight="1" x14ac:dyDescent="0.5">
      <c r="A127" s="117">
        <v>101</v>
      </c>
      <c r="B127" s="122" t="s">
        <v>264</v>
      </c>
      <c r="C127" s="122"/>
      <c r="D127" s="117"/>
      <c r="E127" s="117"/>
      <c r="F127" s="117"/>
      <c r="G127" s="117"/>
      <c r="H127" s="123"/>
      <c r="I127" s="124">
        <f t="shared" si="74"/>
        <v>0</v>
      </c>
      <c r="J127" s="123"/>
      <c r="K127" s="124">
        <f t="shared" si="75"/>
        <v>0</v>
      </c>
      <c r="L127" s="123"/>
      <c r="M127" s="124">
        <f t="shared" si="76"/>
        <v>0</v>
      </c>
      <c r="N127" s="123"/>
      <c r="O127" s="124">
        <f t="shared" si="77"/>
        <v>0</v>
      </c>
      <c r="P127" s="123"/>
      <c r="Q127" s="124">
        <f t="shared" si="78"/>
        <v>0</v>
      </c>
      <c r="R127" s="123"/>
      <c r="S127" s="124">
        <f t="shared" si="79"/>
        <v>0</v>
      </c>
      <c r="T127" s="123"/>
      <c r="U127" s="124">
        <f t="shared" si="80"/>
        <v>0</v>
      </c>
      <c r="V127" s="123"/>
      <c r="W127" s="124">
        <f t="shared" si="81"/>
        <v>0</v>
      </c>
      <c r="X127" s="123"/>
      <c r="Y127" s="124">
        <f t="shared" si="82"/>
        <v>0</v>
      </c>
      <c r="Z127" s="123"/>
      <c r="AA127" s="124">
        <f t="shared" si="83"/>
        <v>0</v>
      </c>
      <c r="AB127" s="123"/>
      <c r="AC127" s="124">
        <f t="shared" si="84"/>
        <v>0</v>
      </c>
      <c r="AD127" s="123"/>
      <c r="AE127" s="124">
        <f t="shared" si="85"/>
        <v>0</v>
      </c>
      <c r="AF127" s="125">
        <f t="shared" si="86"/>
        <v>0</v>
      </c>
      <c r="AG127" s="126">
        <f t="shared" si="87"/>
        <v>0</v>
      </c>
      <c r="AH127" s="11"/>
      <c r="AI127" s="124">
        <f t="shared" si="88"/>
        <v>0</v>
      </c>
      <c r="AJ127" s="15"/>
      <c r="AK127" s="124">
        <f t="shared" si="89"/>
        <v>0</v>
      </c>
      <c r="AL127" s="15"/>
      <c r="AM127" s="124">
        <f t="shared" si="90"/>
        <v>0</v>
      </c>
      <c r="AN127" s="16"/>
      <c r="AO127" s="124">
        <f t="shared" si="91"/>
        <v>0</v>
      </c>
      <c r="AP127" s="15"/>
      <c r="AQ127" s="124">
        <f t="shared" si="92"/>
        <v>0</v>
      </c>
      <c r="AR127" s="15"/>
      <c r="AS127" s="124">
        <f t="shared" si="93"/>
        <v>0</v>
      </c>
      <c r="AT127" s="17"/>
      <c r="AU127" s="124">
        <f t="shared" si="94"/>
        <v>0</v>
      </c>
      <c r="AV127" s="15"/>
      <c r="AW127" s="124">
        <f t="shared" si="95"/>
        <v>0</v>
      </c>
      <c r="AX127" s="15"/>
      <c r="AY127" s="124">
        <f t="shared" si="96"/>
        <v>0</v>
      </c>
      <c r="AZ127" s="17"/>
      <c r="BA127" s="124">
        <f t="shared" si="97"/>
        <v>0</v>
      </c>
      <c r="BB127" s="33"/>
      <c r="BC127" s="124">
        <f t="shared" si="98"/>
        <v>0</v>
      </c>
      <c r="BD127" s="33"/>
      <c r="BE127" s="124">
        <f t="shared" si="99"/>
        <v>0</v>
      </c>
      <c r="BF127" s="125">
        <f t="shared" si="100"/>
        <v>0</v>
      </c>
      <c r="BG127" s="126">
        <f t="shared" si="101"/>
        <v>0</v>
      </c>
      <c r="BH127" s="123"/>
      <c r="BI127" s="124">
        <f>BH124*$E124</f>
        <v>0</v>
      </c>
      <c r="BJ127" s="123"/>
      <c r="BK127" s="124">
        <f t="shared" si="103"/>
        <v>0</v>
      </c>
      <c r="BL127" s="123"/>
      <c r="BM127" s="124">
        <f t="shared" si="104"/>
        <v>0</v>
      </c>
      <c r="BN127" s="123"/>
      <c r="BO127" s="124">
        <f t="shared" si="105"/>
        <v>0</v>
      </c>
      <c r="BP127" s="123"/>
      <c r="BQ127" s="124">
        <f t="shared" si="106"/>
        <v>0</v>
      </c>
      <c r="BR127" s="123"/>
      <c r="BS127" s="124">
        <f t="shared" si="107"/>
        <v>0</v>
      </c>
      <c r="BT127" s="123"/>
      <c r="BU127" s="124">
        <f t="shared" si="108"/>
        <v>0</v>
      </c>
      <c r="BV127" s="123"/>
      <c r="BW127" s="124">
        <f t="shared" si="109"/>
        <v>0</v>
      </c>
      <c r="BX127" s="123"/>
      <c r="BY127" s="124">
        <f t="shared" si="110"/>
        <v>0</v>
      </c>
      <c r="BZ127" s="123"/>
      <c r="CA127" s="124">
        <f t="shared" si="111"/>
        <v>0</v>
      </c>
      <c r="CB127" s="123"/>
      <c r="CC127" s="124">
        <f t="shared" si="112"/>
        <v>0</v>
      </c>
      <c r="CD127" s="123"/>
      <c r="CE127" s="124">
        <f t="shared" si="113"/>
        <v>0</v>
      </c>
      <c r="CF127" s="125">
        <f t="shared" si="114"/>
        <v>0</v>
      </c>
      <c r="CG127" s="126">
        <f t="shared" si="115"/>
        <v>0</v>
      </c>
      <c r="CH127" s="123"/>
      <c r="CI127" s="124">
        <f t="shared" si="116"/>
        <v>0</v>
      </c>
      <c r="CJ127" s="123"/>
      <c r="CK127" s="124">
        <f t="shared" si="117"/>
        <v>0</v>
      </c>
      <c r="CL127" s="123"/>
      <c r="CM127" s="124">
        <f t="shared" si="141"/>
        <v>0</v>
      </c>
      <c r="CN127" s="123"/>
      <c r="CO127" s="124">
        <f t="shared" si="119"/>
        <v>0</v>
      </c>
      <c r="CP127" s="123"/>
      <c r="CQ127" s="124">
        <f t="shared" si="120"/>
        <v>0</v>
      </c>
      <c r="CR127" s="123"/>
      <c r="CS127" s="124">
        <f t="shared" si="121"/>
        <v>0</v>
      </c>
      <c r="CT127" s="123"/>
      <c r="CU127" s="124">
        <f t="shared" si="122"/>
        <v>0</v>
      </c>
      <c r="CV127" s="123"/>
      <c r="CW127" s="124">
        <f t="shared" si="123"/>
        <v>0</v>
      </c>
      <c r="CX127" s="123"/>
      <c r="CY127" s="124">
        <f t="shared" si="124"/>
        <v>0</v>
      </c>
      <c r="CZ127" s="123"/>
      <c r="DA127" s="124">
        <f t="shared" si="125"/>
        <v>0</v>
      </c>
      <c r="DB127" s="123"/>
      <c r="DC127" s="124">
        <f t="shared" si="126"/>
        <v>0</v>
      </c>
      <c r="DD127" s="123"/>
      <c r="DE127" s="124">
        <f t="shared" si="126"/>
        <v>0</v>
      </c>
      <c r="DF127" s="177">
        <f t="shared" si="72"/>
        <v>0</v>
      </c>
      <c r="DG127" s="126">
        <f t="shared" si="127"/>
        <v>0</v>
      </c>
      <c r="DH127" s="123"/>
      <c r="DI127" s="124">
        <f t="shared" si="128"/>
        <v>0</v>
      </c>
      <c r="DJ127" s="123"/>
      <c r="DK127" s="124">
        <f t="shared" si="129"/>
        <v>0</v>
      </c>
      <c r="DL127" s="123"/>
      <c r="DM127" s="124">
        <f t="shared" si="130"/>
        <v>0</v>
      </c>
      <c r="DN127" s="123"/>
      <c r="DO127" s="124">
        <f t="shared" si="131"/>
        <v>0</v>
      </c>
      <c r="DP127" s="123"/>
      <c r="DQ127" s="124">
        <f t="shared" si="132"/>
        <v>0</v>
      </c>
      <c r="DR127" s="123"/>
      <c r="DS127" s="124">
        <f t="shared" si="133"/>
        <v>0</v>
      </c>
      <c r="DT127" s="123"/>
      <c r="DU127" s="124">
        <f t="shared" si="134"/>
        <v>0</v>
      </c>
      <c r="DV127" s="123"/>
      <c r="DW127" s="124">
        <f t="shared" si="135"/>
        <v>0</v>
      </c>
      <c r="DX127" s="123"/>
      <c r="DY127" s="124">
        <f t="shared" si="136"/>
        <v>0</v>
      </c>
      <c r="DZ127" s="123"/>
      <c r="EA127" s="124">
        <f t="shared" si="137"/>
        <v>0</v>
      </c>
      <c r="EB127" s="123"/>
      <c r="EC127" s="124">
        <f t="shared" si="138"/>
        <v>0</v>
      </c>
      <c r="ED127" s="123"/>
      <c r="EE127" s="124">
        <f t="shared" si="139"/>
        <v>0</v>
      </c>
      <c r="EF127" s="27">
        <f t="shared" si="73"/>
        <v>0</v>
      </c>
      <c r="EG127" s="124">
        <f t="shared" si="140"/>
        <v>0</v>
      </c>
    </row>
    <row r="128" spans="1:137" ht="18" customHeight="1" x14ac:dyDescent="0.5">
      <c r="A128" s="117">
        <v>102</v>
      </c>
      <c r="B128" s="122" t="s">
        <v>264</v>
      </c>
      <c r="C128" s="122"/>
      <c r="D128" s="117"/>
      <c r="E128" s="117"/>
      <c r="F128" s="117"/>
      <c r="G128" s="117"/>
      <c r="H128" s="123"/>
      <c r="I128" s="124">
        <f t="shared" si="74"/>
        <v>0</v>
      </c>
      <c r="J128" s="123"/>
      <c r="K128" s="124">
        <f t="shared" si="75"/>
        <v>0</v>
      </c>
      <c r="L128" s="123"/>
      <c r="M128" s="124">
        <f t="shared" si="76"/>
        <v>0</v>
      </c>
      <c r="N128" s="123"/>
      <c r="O128" s="124">
        <f t="shared" si="77"/>
        <v>0</v>
      </c>
      <c r="P128" s="123"/>
      <c r="Q128" s="124">
        <f t="shared" si="78"/>
        <v>0</v>
      </c>
      <c r="R128" s="123"/>
      <c r="S128" s="124">
        <f t="shared" si="79"/>
        <v>0</v>
      </c>
      <c r="T128" s="123"/>
      <c r="U128" s="124">
        <f t="shared" si="80"/>
        <v>0</v>
      </c>
      <c r="V128" s="123"/>
      <c r="W128" s="124">
        <f t="shared" si="81"/>
        <v>0</v>
      </c>
      <c r="X128" s="123"/>
      <c r="Y128" s="124">
        <f t="shared" si="82"/>
        <v>0</v>
      </c>
      <c r="Z128" s="123"/>
      <c r="AA128" s="124">
        <f t="shared" si="83"/>
        <v>0</v>
      </c>
      <c r="AB128" s="123"/>
      <c r="AC128" s="124">
        <f t="shared" si="84"/>
        <v>0</v>
      </c>
      <c r="AD128" s="123"/>
      <c r="AE128" s="124">
        <f t="shared" si="85"/>
        <v>0</v>
      </c>
      <c r="AF128" s="125">
        <f t="shared" si="86"/>
        <v>0</v>
      </c>
      <c r="AG128" s="126">
        <f t="shared" si="87"/>
        <v>0</v>
      </c>
      <c r="AH128" s="11"/>
      <c r="AI128" s="124">
        <f t="shared" si="88"/>
        <v>0</v>
      </c>
      <c r="AJ128" s="15"/>
      <c r="AK128" s="124">
        <f t="shared" si="89"/>
        <v>0</v>
      </c>
      <c r="AL128" s="15"/>
      <c r="AM128" s="124">
        <f t="shared" si="90"/>
        <v>0</v>
      </c>
      <c r="AN128" s="16"/>
      <c r="AO128" s="124">
        <f t="shared" si="91"/>
        <v>0</v>
      </c>
      <c r="AP128" s="15"/>
      <c r="AQ128" s="124">
        <f t="shared" si="92"/>
        <v>0</v>
      </c>
      <c r="AR128" s="15"/>
      <c r="AS128" s="124">
        <f t="shared" si="93"/>
        <v>0</v>
      </c>
      <c r="AT128" s="17"/>
      <c r="AU128" s="124">
        <f t="shared" si="94"/>
        <v>0</v>
      </c>
      <c r="AV128" s="15"/>
      <c r="AW128" s="124">
        <f t="shared" si="95"/>
        <v>0</v>
      </c>
      <c r="AX128" s="15"/>
      <c r="AY128" s="124">
        <f t="shared" si="96"/>
        <v>0</v>
      </c>
      <c r="AZ128" s="17"/>
      <c r="BA128" s="124">
        <f t="shared" si="97"/>
        <v>0</v>
      </c>
      <c r="BB128" s="33"/>
      <c r="BC128" s="124">
        <f t="shared" si="98"/>
        <v>0</v>
      </c>
      <c r="BD128" s="33"/>
      <c r="BE128" s="124">
        <f t="shared" si="99"/>
        <v>0</v>
      </c>
      <c r="BF128" s="125">
        <f t="shared" si="100"/>
        <v>0</v>
      </c>
      <c r="BG128" s="126">
        <f t="shared" si="101"/>
        <v>0</v>
      </c>
      <c r="BH128" s="123"/>
      <c r="BI128" s="124">
        <f t="shared" si="142"/>
        <v>0</v>
      </c>
      <c r="BJ128" s="123"/>
      <c r="BK128" s="124">
        <f t="shared" si="103"/>
        <v>0</v>
      </c>
      <c r="BL128" s="123"/>
      <c r="BM128" s="124">
        <f t="shared" si="104"/>
        <v>0</v>
      </c>
      <c r="BN128" s="123"/>
      <c r="BO128" s="124">
        <f t="shared" si="105"/>
        <v>0</v>
      </c>
      <c r="BP128" s="123"/>
      <c r="BQ128" s="124">
        <f t="shared" si="106"/>
        <v>0</v>
      </c>
      <c r="BR128" s="123"/>
      <c r="BS128" s="124">
        <f t="shared" si="107"/>
        <v>0</v>
      </c>
      <c r="BT128" s="123"/>
      <c r="BU128" s="124">
        <f t="shared" si="108"/>
        <v>0</v>
      </c>
      <c r="BV128" s="123"/>
      <c r="BW128" s="124">
        <f t="shared" si="109"/>
        <v>0</v>
      </c>
      <c r="BX128" s="123"/>
      <c r="BY128" s="124">
        <f t="shared" si="110"/>
        <v>0</v>
      </c>
      <c r="BZ128" s="123"/>
      <c r="CA128" s="124">
        <f t="shared" si="111"/>
        <v>0</v>
      </c>
      <c r="CB128" s="123"/>
      <c r="CC128" s="124">
        <f t="shared" si="112"/>
        <v>0</v>
      </c>
      <c r="CD128" s="123"/>
      <c r="CE128" s="124">
        <f t="shared" si="113"/>
        <v>0</v>
      </c>
      <c r="CF128" s="125">
        <f t="shared" si="114"/>
        <v>0</v>
      </c>
      <c r="CG128" s="126">
        <f t="shared" si="115"/>
        <v>0</v>
      </c>
      <c r="CH128" s="123"/>
      <c r="CI128" s="124">
        <f t="shared" si="116"/>
        <v>0</v>
      </c>
      <c r="CJ128" s="123"/>
      <c r="CK128" s="124">
        <f t="shared" si="117"/>
        <v>0</v>
      </c>
      <c r="CL128" s="123"/>
      <c r="CM128" s="124">
        <f t="shared" si="141"/>
        <v>0</v>
      </c>
      <c r="CN128" s="123"/>
      <c r="CO128" s="124">
        <f t="shared" si="119"/>
        <v>0</v>
      </c>
      <c r="CP128" s="123"/>
      <c r="CQ128" s="124">
        <f t="shared" si="120"/>
        <v>0</v>
      </c>
      <c r="CR128" s="123"/>
      <c r="CS128" s="124">
        <f t="shared" si="121"/>
        <v>0</v>
      </c>
      <c r="CT128" s="123"/>
      <c r="CU128" s="124">
        <f t="shared" si="122"/>
        <v>0</v>
      </c>
      <c r="CV128" s="123"/>
      <c r="CW128" s="124">
        <f t="shared" si="123"/>
        <v>0</v>
      </c>
      <c r="CX128" s="123"/>
      <c r="CY128" s="124">
        <f t="shared" si="124"/>
        <v>0</v>
      </c>
      <c r="CZ128" s="123"/>
      <c r="DA128" s="124">
        <f t="shared" si="125"/>
        <v>0</v>
      </c>
      <c r="DB128" s="123"/>
      <c r="DC128" s="124">
        <f t="shared" si="126"/>
        <v>0</v>
      </c>
      <c r="DD128" s="123"/>
      <c r="DE128" s="124">
        <f t="shared" si="126"/>
        <v>0</v>
      </c>
      <c r="DF128" s="177">
        <f t="shared" si="72"/>
        <v>0</v>
      </c>
      <c r="DG128" s="126">
        <f t="shared" si="127"/>
        <v>0</v>
      </c>
      <c r="DH128" s="123"/>
      <c r="DI128" s="124">
        <f t="shared" si="128"/>
        <v>0</v>
      </c>
      <c r="DJ128" s="123"/>
      <c r="DK128" s="124">
        <f t="shared" si="129"/>
        <v>0</v>
      </c>
      <c r="DL128" s="123"/>
      <c r="DM128" s="124">
        <f t="shared" si="130"/>
        <v>0</v>
      </c>
      <c r="DN128" s="123"/>
      <c r="DO128" s="124">
        <f t="shared" si="131"/>
        <v>0</v>
      </c>
      <c r="DP128" s="123"/>
      <c r="DQ128" s="124">
        <f t="shared" si="132"/>
        <v>0</v>
      </c>
      <c r="DR128" s="123"/>
      <c r="DS128" s="124">
        <f t="shared" si="133"/>
        <v>0</v>
      </c>
      <c r="DT128" s="123"/>
      <c r="DU128" s="124">
        <f t="shared" si="134"/>
        <v>0</v>
      </c>
      <c r="DV128" s="123"/>
      <c r="DW128" s="124">
        <f t="shared" si="135"/>
        <v>0</v>
      </c>
      <c r="DX128" s="123"/>
      <c r="DY128" s="124">
        <f t="shared" si="136"/>
        <v>0</v>
      </c>
      <c r="DZ128" s="123"/>
      <c r="EA128" s="124">
        <f t="shared" si="137"/>
        <v>0</v>
      </c>
      <c r="EB128" s="123"/>
      <c r="EC128" s="124">
        <f t="shared" si="138"/>
        <v>0</v>
      </c>
      <c r="ED128" s="123"/>
      <c r="EE128" s="124">
        <f t="shared" si="139"/>
        <v>0</v>
      </c>
      <c r="EF128" s="27">
        <f t="shared" si="73"/>
        <v>0</v>
      </c>
      <c r="EG128" s="124">
        <f t="shared" si="140"/>
        <v>0</v>
      </c>
    </row>
    <row r="129" spans="1:137" ht="18" customHeight="1" x14ac:dyDescent="0.5">
      <c r="A129" s="117">
        <v>103</v>
      </c>
      <c r="B129" s="122" t="s">
        <v>264</v>
      </c>
      <c r="C129" s="122" t="s">
        <v>231</v>
      </c>
      <c r="D129" s="117"/>
      <c r="E129" s="117">
        <v>0.64</v>
      </c>
      <c r="F129" s="117" t="s">
        <v>267</v>
      </c>
      <c r="G129" s="117"/>
      <c r="H129" s="123"/>
      <c r="I129" s="124">
        <f t="shared" si="74"/>
        <v>0</v>
      </c>
      <c r="J129" s="123"/>
      <c r="K129" s="124">
        <f t="shared" si="75"/>
        <v>0</v>
      </c>
      <c r="L129" s="123"/>
      <c r="M129" s="124">
        <f t="shared" si="76"/>
        <v>0</v>
      </c>
      <c r="N129" s="123"/>
      <c r="O129" s="124">
        <f t="shared" si="77"/>
        <v>0</v>
      </c>
      <c r="P129" s="123"/>
      <c r="Q129" s="124">
        <f t="shared" si="78"/>
        <v>0</v>
      </c>
      <c r="R129" s="123"/>
      <c r="S129" s="124">
        <f t="shared" si="79"/>
        <v>0</v>
      </c>
      <c r="T129" s="123"/>
      <c r="U129" s="124">
        <f t="shared" si="80"/>
        <v>0</v>
      </c>
      <c r="V129" s="123"/>
      <c r="W129" s="124">
        <f t="shared" si="81"/>
        <v>0</v>
      </c>
      <c r="X129" s="123"/>
      <c r="Y129" s="124">
        <f t="shared" si="82"/>
        <v>0</v>
      </c>
      <c r="Z129" s="123"/>
      <c r="AA129" s="124">
        <f t="shared" si="83"/>
        <v>0</v>
      </c>
      <c r="AB129" s="123"/>
      <c r="AC129" s="124">
        <f t="shared" si="84"/>
        <v>0</v>
      </c>
      <c r="AD129" s="123"/>
      <c r="AE129" s="124">
        <f t="shared" si="85"/>
        <v>0</v>
      </c>
      <c r="AF129" s="125">
        <f t="shared" si="86"/>
        <v>0</v>
      </c>
      <c r="AG129" s="126">
        <f t="shared" si="87"/>
        <v>0</v>
      </c>
      <c r="AH129" s="11"/>
      <c r="AI129" s="124">
        <f t="shared" si="88"/>
        <v>0</v>
      </c>
      <c r="AJ129" s="15"/>
      <c r="AK129" s="124">
        <f t="shared" si="89"/>
        <v>0</v>
      </c>
      <c r="AL129" s="15"/>
      <c r="AM129" s="124">
        <f t="shared" si="90"/>
        <v>0</v>
      </c>
      <c r="AN129" s="16"/>
      <c r="AO129" s="124">
        <f t="shared" si="91"/>
        <v>0</v>
      </c>
      <c r="AP129" s="15"/>
      <c r="AQ129" s="124">
        <f t="shared" si="92"/>
        <v>0</v>
      </c>
      <c r="AR129" s="15"/>
      <c r="AS129" s="124">
        <f t="shared" si="93"/>
        <v>0</v>
      </c>
      <c r="AT129" s="17"/>
      <c r="AU129" s="124">
        <f t="shared" si="94"/>
        <v>0</v>
      </c>
      <c r="AV129" s="15"/>
      <c r="AW129" s="124">
        <f t="shared" si="95"/>
        <v>0</v>
      </c>
      <c r="AX129" s="15"/>
      <c r="AY129" s="124">
        <f t="shared" si="96"/>
        <v>0</v>
      </c>
      <c r="AZ129" s="17"/>
      <c r="BA129" s="124">
        <f t="shared" si="97"/>
        <v>0</v>
      </c>
      <c r="BB129" s="33"/>
      <c r="BC129" s="124">
        <f t="shared" si="98"/>
        <v>0</v>
      </c>
      <c r="BD129" s="33"/>
      <c r="BE129" s="124">
        <f t="shared" si="99"/>
        <v>0</v>
      </c>
      <c r="BF129" s="125">
        <f t="shared" si="100"/>
        <v>0</v>
      </c>
      <c r="BG129" s="126">
        <f t="shared" si="101"/>
        <v>0</v>
      </c>
      <c r="BH129" s="123"/>
      <c r="BI129" s="124">
        <f t="shared" si="142"/>
        <v>0</v>
      </c>
      <c r="BJ129" s="123"/>
      <c r="BK129" s="124">
        <f t="shared" si="103"/>
        <v>0</v>
      </c>
      <c r="BL129" s="123"/>
      <c r="BM129" s="124">
        <f t="shared" si="104"/>
        <v>0</v>
      </c>
      <c r="BN129" s="123"/>
      <c r="BO129" s="124">
        <f t="shared" si="105"/>
        <v>0</v>
      </c>
      <c r="BP129" s="123"/>
      <c r="BQ129" s="124">
        <f t="shared" si="106"/>
        <v>0</v>
      </c>
      <c r="BR129" s="123"/>
      <c r="BS129" s="124">
        <f t="shared" si="107"/>
        <v>0</v>
      </c>
      <c r="BT129" s="123"/>
      <c r="BU129" s="124">
        <f t="shared" si="108"/>
        <v>0</v>
      </c>
      <c r="BV129" s="123"/>
      <c r="BW129" s="124">
        <f t="shared" si="109"/>
        <v>0</v>
      </c>
      <c r="BX129" s="123"/>
      <c r="BY129" s="124">
        <f t="shared" si="110"/>
        <v>0</v>
      </c>
      <c r="BZ129" s="123"/>
      <c r="CA129" s="124">
        <f t="shared" si="111"/>
        <v>0</v>
      </c>
      <c r="CB129" s="123"/>
      <c r="CC129" s="124">
        <f t="shared" si="112"/>
        <v>0</v>
      </c>
      <c r="CD129" s="123"/>
      <c r="CE129" s="124">
        <f t="shared" si="113"/>
        <v>0</v>
      </c>
      <c r="CF129" s="125">
        <f t="shared" si="114"/>
        <v>0</v>
      </c>
      <c r="CG129" s="126">
        <f t="shared" si="115"/>
        <v>0</v>
      </c>
      <c r="CH129" s="123"/>
      <c r="CI129" s="124">
        <f t="shared" si="116"/>
        <v>0</v>
      </c>
      <c r="CJ129" s="123"/>
      <c r="CK129" s="124">
        <f t="shared" si="117"/>
        <v>0</v>
      </c>
      <c r="CL129" s="123"/>
      <c r="CM129" s="124">
        <f t="shared" si="141"/>
        <v>0</v>
      </c>
      <c r="CN129" s="123"/>
      <c r="CO129" s="124">
        <f t="shared" si="119"/>
        <v>0</v>
      </c>
      <c r="CP129" s="123"/>
      <c r="CQ129" s="124">
        <f t="shared" si="120"/>
        <v>0</v>
      </c>
      <c r="CR129" s="123"/>
      <c r="CS129" s="124">
        <f t="shared" si="121"/>
        <v>0</v>
      </c>
      <c r="CT129" s="123"/>
      <c r="CU129" s="124">
        <f t="shared" si="122"/>
        <v>0</v>
      </c>
      <c r="CV129" s="123"/>
      <c r="CW129" s="124">
        <f t="shared" si="123"/>
        <v>0</v>
      </c>
      <c r="CX129" s="123"/>
      <c r="CY129" s="124">
        <f t="shared" si="124"/>
        <v>0</v>
      </c>
      <c r="CZ129" s="123">
        <v>5</v>
      </c>
      <c r="DA129" s="124">
        <f t="shared" si="125"/>
        <v>3.2</v>
      </c>
      <c r="DB129" s="123"/>
      <c r="DC129" s="124">
        <f t="shared" si="126"/>
        <v>0</v>
      </c>
      <c r="DD129" s="123"/>
      <c r="DE129" s="124">
        <f t="shared" si="126"/>
        <v>0</v>
      </c>
      <c r="DF129" s="177">
        <f t="shared" si="72"/>
        <v>5</v>
      </c>
      <c r="DG129" s="126">
        <f t="shared" si="127"/>
        <v>3.2</v>
      </c>
      <c r="DH129" s="123">
        <v>104</v>
      </c>
      <c r="DI129" s="124">
        <f t="shared" si="128"/>
        <v>66.56</v>
      </c>
      <c r="DJ129" s="123">
        <v>20</v>
      </c>
      <c r="DK129" s="124">
        <f t="shared" si="129"/>
        <v>12.8</v>
      </c>
      <c r="DL129" s="123"/>
      <c r="DM129" s="124">
        <f t="shared" si="130"/>
        <v>0</v>
      </c>
      <c r="DN129" s="123"/>
      <c r="DO129" s="124">
        <f t="shared" si="131"/>
        <v>0</v>
      </c>
      <c r="DP129" s="123"/>
      <c r="DQ129" s="124">
        <f t="shared" si="132"/>
        <v>0</v>
      </c>
      <c r="DR129" s="123"/>
      <c r="DS129" s="124">
        <f t="shared" si="133"/>
        <v>0</v>
      </c>
      <c r="DT129" s="123"/>
      <c r="DU129" s="124">
        <f t="shared" si="134"/>
        <v>0</v>
      </c>
      <c r="DV129" s="123"/>
      <c r="DW129" s="124">
        <f t="shared" si="135"/>
        <v>0</v>
      </c>
      <c r="DX129" s="123"/>
      <c r="DY129" s="124">
        <f t="shared" si="136"/>
        <v>0</v>
      </c>
      <c r="DZ129" s="123"/>
      <c r="EA129" s="124">
        <f t="shared" si="137"/>
        <v>0</v>
      </c>
      <c r="EB129" s="123"/>
      <c r="EC129" s="124">
        <f t="shared" si="138"/>
        <v>0</v>
      </c>
      <c r="ED129" s="123"/>
      <c r="EE129" s="124">
        <f t="shared" si="139"/>
        <v>0</v>
      </c>
      <c r="EF129" s="27">
        <f t="shared" si="73"/>
        <v>124</v>
      </c>
      <c r="EG129" s="124">
        <f t="shared" si="140"/>
        <v>79.36</v>
      </c>
    </row>
    <row r="130" spans="1:137" ht="18" customHeight="1" x14ac:dyDescent="0.5">
      <c r="A130" s="117">
        <v>104</v>
      </c>
      <c r="B130" s="122" t="s">
        <v>192</v>
      </c>
      <c r="C130" s="122" t="s">
        <v>233</v>
      </c>
      <c r="D130" s="117">
        <f t="shared" ref="D130:D137" si="143">RANK(DF130,$DF$4:$DF$147)</f>
        <v>21</v>
      </c>
      <c r="E130" s="117">
        <v>1</v>
      </c>
      <c r="F130" s="117" t="s">
        <v>241</v>
      </c>
      <c r="G130" s="117"/>
      <c r="H130" s="123"/>
      <c r="I130" s="124">
        <f t="shared" ref="I130:I147" si="144">H130*$E130</f>
        <v>0</v>
      </c>
      <c r="J130" s="123"/>
      <c r="K130" s="124">
        <f t="shared" ref="K130:K147" si="145">J130*$E130</f>
        <v>0</v>
      </c>
      <c r="L130" s="123"/>
      <c r="M130" s="124">
        <f t="shared" si="76"/>
        <v>0</v>
      </c>
      <c r="N130" s="123"/>
      <c r="O130" s="124">
        <f t="shared" ref="O130:O147" si="146">N130*$E130</f>
        <v>0</v>
      </c>
      <c r="P130" s="123"/>
      <c r="Q130" s="124">
        <f t="shared" ref="Q130:Q147" si="147">P130*$E130</f>
        <v>0</v>
      </c>
      <c r="R130" s="123"/>
      <c r="S130" s="124">
        <f t="shared" ref="S130:S147" si="148">R130*$E130</f>
        <v>0</v>
      </c>
      <c r="T130" s="123"/>
      <c r="U130" s="124">
        <f t="shared" ref="U130:U147" si="149">T130*$E130</f>
        <v>0</v>
      </c>
      <c r="V130" s="123"/>
      <c r="W130" s="124">
        <f t="shared" ref="W130:W147" si="150">V130*$E130</f>
        <v>0</v>
      </c>
      <c r="X130" s="123"/>
      <c r="Y130" s="124">
        <f t="shared" ref="Y130:Y147" si="151">X130*$E130</f>
        <v>0</v>
      </c>
      <c r="Z130" s="123"/>
      <c r="AA130" s="124">
        <f t="shared" ref="AA130:AA147" si="152">Z130*$E130</f>
        <v>0</v>
      </c>
      <c r="AB130" s="123"/>
      <c r="AC130" s="124">
        <f t="shared" ref="AC130:AC147" si="153">AB130*$E130</f>
        <v>0</v>
      </c>
      <c r="AD130" s="123"/>
      <c r="AE130" s="124">
        <f t="shared" ref="AE130:AE147" si="154">AD130*$E130</f>
        <v>0</v>
      </c>
      <c r="AF130" s="125">
        <f t="shared" si="86"/>
        <v>0</v>
      </c>
      <c r="AG130" s="126">
        <f t="shared" ref="AG130:AG147" si="155">AF130*$E130</f>
        <v>0</v>
      </c>
      <c r="AH130" s="11"/>
      <c r="AI130" s="124">
        <f t="shared" ref="AI130:AI147" si="156">AH130*$E130</f>
        <v>0</v>
      </c>
      <c r="AJ130" s="15"/>
      <c r="AK130" s="124">
        <f t="shared" ref="AK130:AK147" si="157">AJ130*$E130</f>
        <v>0</v>
      </c>
      <c r="AL130" s="15"/>
      <c r="AM130" s="124">
        <f t="shared" ref="AM130:AM147" si="158">AL130*$E130</f>
        <v>0</v>
      </c>
      <c r="AN130" s="16"/>
      <c r="AO130" s="124">
        <f t="shared" ref="AO130:AO147" si="159">AN130*$E130</f>
        <v>0</v>
      </c>
      <c r="AP130" s="15"/>
      <c r="AQ130" s="124">
        <f t="shared" ref="AQ130:AQ147" si="160">AP130*$E130</f>
        <v>0</v>
      </c>
      <c r="AR130" s="15"/>
      <c r="AS130" s="124">
        <f t="shared" ref="AS130:AS147" si="161">AR130*$E130</f>
        <v>0</v>
      </c>
      <c r="AT130" s="17"/>
      <c r="AU130" s="124">
        <f t="shared" ref="AU130:AU147" si="162">AT130*$E130</f>
        <v>0</v>
      </c>
      <c r="AV130" s="15"/>
      <c r="AW130" s="124">
        <f t="shared" ref="AW130:AW147" si="163">AV130*$E130</f>
        <v>0</v>
      </c>
      <c r="AX130" s="15"/>
      <c r="AY130" s="124">
        <f t="shared" ref="AY130:AY147" si="164">AX130*$E130</f>
        <v>0</v>
      </c>
      <c r="AZ130" s="17"/>
      <c r="BA130" s="124">
        <f t="shared" ref="BA130:BA147" si="165">AZ130*$E130</f>
        <v>0</v>
      </c>
      <c r="BB130" s="33"/>
      <c r="BC130" s="124">
        <f t="shared" ref="BC130:BC147" si="166">BB130*$E130</f>
        <v>0</v>
      </c>
      <c r="BD130" s="33"/>
      <c r="BE130" s="124">
        <f t="shared" ref="BE130:BE147" si="167">BD130*$E130</f>
        <v>0</v>
      </c>
      <c r="BF130" s="125">
        <f t="shared" si="100"/>
        <v>0</v>
      </c>
      <c r="BG130" s="126">
        <f t="shared" ref="BG130:BG147" si="168">BF130*$E130</f>
        <v>0</v>
      </c>
      <c r="BH130" s="123"/>
      <c r="BI130" s="124">
        <f t="shared" ref="BI130:BI147" si="169">BH130*$E130</f>
        <v>0</v>
      </c>
      <c r="BJ130" s="123"/>
      <c r="BK130" s="124">
        <f t="shared" ref="BK130:BK147" si="170">BJ130*$E130</f>
        <v>0</v>
      </c>
      <c r="BL130" s="123"/>
      <c r="BM130" s="124">
        <f t="shared" ref="BM130:BM147" si="171">BL130*$E130</f>
        <v>0</v>
      </c>
      <c r="BN130" s="123"/>
      <c r="BO130" s="124">
        <f t="shared" ref="BO130:BO147" si="172">BN130*$E130</f>
        <v>0</v>
      </c>
      <c r="BP130" s="123"/>
      <c r="BQ130" s="124">
        <f t="shared" ref="BQ130:BQ147" si="173">BP130*$E130</f>
        <v>0</v>
      </c>
      <c r="BR130" s="123"/>
      <c r="BS130" s="124">
        <f t="shared" ref="BS130:BS147" si="174">BR130*$E130</f>
        <v>0</v>
      </c>
      <c r="BT130" s="123"/>
      <c r="BU130" s="124">
        <f t="shared" ref="BU130:BU147" si="175">BT130*$E130</f>
        <v>0</v>
      </c>
      <c r="BV130" s="123"/>
      <c r="BW130" s="124">
        <f t="shared" ref="BW130:BW147" si="176">BV130*$E130</f>
        <v>0</v>
      </c>
      <c r="BX130" s="123"/>
      <c r="BY130" s="124">
        <f t="shared" ref="BY130:BY147" si="177">BX130*$E130</f>
        <v>0</v>
      </c>
      <c r="BZ130" s="123"/>
      <c r="CA130" s="124">
        <f t="shared" ref="CA130:CA147" si="178">BZ130*$E130</f>
        <v>0</v>
      </c>
      <c r="CB130" s="123"/>
      <c r="CC130" s="124">
        <f t="shared" ref="CC130:CC147" si="179">CB130*$E130</f>
        <v>0</v>
      </c>
      <c r="CD130" s="123"/>
      <c r="CE130" s="124">
        <f t="shared" ref="CE130:CE147" si="180">CD130*$E130</f>
        <v>0</v>
      </c>
      <c r="CF130" s="125">
        <f t="shared" si="114"/>
        <v>0</v>
      </c>
      <c r="CG130" s="126">
        <f t="shared" ref="CG130:CG147" si="181">CF130*$E130</f>
        <v>0</v>
      </c>
      <c r="CH130" s="123"/>
      <c r="CI130" s="124">
        <f t="shared" ref="CI130:CI147" si="182">CH130*$E130</f>
        <v>0</v>
      </c>
      <c r="CJ130" s="123"/>
      <c r="CK130" s="124">
        <f t="shared" ref="CK130:CK147" si="183">CJ130*$E130</f>
        <v>0</v>
      </c>
      <c r="CL130" s="123"/>
      <c r="CM130" s="124">
        <f t="shared" ref="CM130:CM147" si="184">CL130*$E130</f>
        <v>0</v>
      </c>
      <c r="CN130" s="123"/>
      <c r="CO130" s="124">
        <f t="shared" ref="CO130:CO147" si="185">CN130*$E130</f>
        <v>0</v>
      </c>
      <c r="CP130" s="123"/>
      <c r="CQ130" s="124">
        <f t="shared" ref="CQ130:CQ147" si="186">CP130*$E130</f>
        <v>0</v>
      </c>
      <c r="CR130" s="123"/>
      <c r="CS130" s="124">
        <f t="shared" ref="CS130:CS147" si="187">CR130*$E130</f>
        <v>0</v>
      </c>
      <c r="CT130" s="123"/>
      <c r="CU130" s="124">
        <f t="shared" ref="CU130:CU147" si="188">CT130*$E130</f>
        <v>0</v>
      </c>
      <c r="CV130" s="123"/>
      <c r="CW130" s="124">
        <f t="shared" ref="CW130:CW147" si="189">CV130*$E130</f>
        <v>0</v>
      </c>
      <c r="CX130" s="123"/>
      <c r="CY130" s="124">
        <f t="shared" si="124"/>
        <v>0</v>
      </c>
      <c r="CZ130" s="123"/>
      <c r="DA130" s="124">
        <f t="shared" si="125"/>
        <v>0</v>
      </c>
      <c r="DB130" s="123"/>
      <c r="DC130" s="124">
        <f t="shared" si="126"/>
        <v>0</v>
      </c>
      <c r="DD130" s="123"/>
      <c r="DE130" s="124">
        <f t="shared" si="126"/>
        <v>0</v>
      </c>
      <c r="DF130" s="177">
        <f t="shared" si="72"/>
        <v>0</v>
      </c>
      <c r="DG130" s="126">
        <f t="shared" si="127"/>
        <v>0</v>
      </c>
      <c r="DH130" s="123"/>
      <c r="DI130" s="124">
        <f t="shared" ref="DI130:DI147" si="190">DH130*$E130</f>
        <v>0</v>
      </c>
      <c r="DJ130" s="123"/>
      <c r="DK130" s="124">
        <f t="shared" ref="DK130:DK147" si="191">DJ130*$E130</f>
        <v>0</v>
      </c>
      <c r="DL130" s="123"/>
      <c r="DM130" s="124">
        <f t="shared" ref="DM130:DM147" si="192">DL130*$E130</f>
        <v>0</v>
      </c>
      <c r="DN130" s="123"/>
      <c r="DO130" s="124">
        <f t="shared" ref="DO130:DO147" si="193">DN130*$E130</f>
        <v>0</v>
      </c>
      <c r="DP130" s="123"/>
      <c r="DQ130" s="124">
        <f t="shared" ref="DQ130:DQ147" si="194">DP130*$E130</f>
        <v>0</v>
      </c>
      <c r="DR130" s="123"/>
      <c r="DS130" s="124">
        <f t="shared" ref="DS130:DS147" si="195">DR130*$E130</f>
        <v>0</v>
      </c>
      <c r="DT130" s="123"/>
      <c r="DU130" s="124">
        <f t="shared" ref="DU130:DU147" si="196">DT130*$E130</f>
        <v>0</v>
      </c>
      <c r="DV130" s="123"/>
      <c r="DW130" s="124">
        <f t="shared" ref="DW130:DW147" si="197">DV130*$E130</f>
        <v>0</v>
      </c>
      <c r="DX130" s="123"/>
      <c r="DY130" s="124">
        <f t="shared" si="136"/>
        <v>0</v>
      </c>
      <c r="DZ130" s="123"/>
      <c r="EA130" s="124">
        <f t="shared" si="137"/>
        <v>0</v>
      </c>
      <c r="EB130" s="123"/>
      <c r="EC130" s="124">
        <f t="shared" ref="EC130:EC147" si="198">EB130*$E130</f>
        <v>0</v>
      </c>
      <c r="ED130" s="123"/>
      <c r="EE130" s="124">
        <f t="shared" ref="EE130:EE147" si="199">ED130*$E130</f>
        <v>0</v>
      </c>
      <c r="EF130" s="27">
        <f t="shared" si="73"/>
        <v>0</v>
      </c>
      <c r="EG130" s="124">
        <f t="shared" si="140"/>
        <v>0</v>
      </c>
    </row>
    <row r="131" spans="1:137" ht="18" customHeight="1" x14ac:dyDescent="0.5">
      <c r="A131" s="117">
        <v>105</v>
      </c>
      <c r="B131" s="122" t="s">
        <v>193</v>
      </c>
      <c r="C131" s="122" t="s">
        <v>233</v>
      </c>
      <c r="D131" s="117">
        <f t="shared" si="143"/>
        <v>21</v>
      </c>
      <c r="E131" s="117">
        <v>1</v>
      </c>
      <c r="F131" s="117" t="s">
        <v>235</v>
      </c>
      <c r="G131" s="117"/>
      <c r="H131" s="123"/>
      <c r="I131" s="124">
        <f t="shared" si="144"/>
        <v>0</v>
      </c>
      <c r="J131" s="123"/>
      <c r="K131" s="124">
        <f t="shared" si="145"/>
        <v>0</v>
      </c>
      <c r="L131" s="123"/>
      <c r="M131" s="124">
        <f t="shared" ref="M131:M147" si="200">L131*$E131</f>
        <v>0</v>
      </c>
      <c r="N131" s="123"/>
      <c r="O131" s="124">
        <f t="shared" si="146"/>
        <v>0</v>
      </c>
      <c r="P131" s="123"/>
      <c r="Q131" s="124">
        <f t="shared" si="147"/>
        <v>0</v>
      </c>
      <c r="R131" s="123"/>
      <c r="S131" s="124">
        <f t="shared" si="148"/>
        <v>0</v>
      </c>
      <c r="T131" s="123"/>
      <c r="U131" s="124">
        <f t="shared" si="149"/>
        <v>0</v>
      </c>
      <c r="V131" s="123"/>
      <c r="W131" s="124">
        <f t="shared" si="150"/>
        <v>0</v>
      </c>
      <c r="X131" s="123"/>
      <c r="Y131" s="124">
        <f t="shared" si="151"/>
        <v>0</v>
      </c>
      <c r="Z131" s="123"/>
      <c r="AA131" s="124">
        <f t="shared" si="152"/>
        <v>0</v>
      </c>
      <c r="AB131" s="123"/>
      <c r="AC131" s="124">
        <f t="shared" si="153"/>
        <v>0</v>
      </c>
      <c r="AD131" s="123"/>
      <c r="AE131" s="124">
        <f t="shared" si="154"/>
        <v>0</v>
      </c>
      <c r="AF131" s="125">
        <f t="shared" si="86"/>
        <v>0</v>
      </c>
      <c r="AG131" s="126">
        <f t="shared" si="155"/>
        <v>0</v>
      </c>
      <c r="AH131" s="11"/>
      <c r="AI131" s="124">
        <f t="shared" si="156"/>
        <v>0</v>
      </c>
      <c r="AJ131" s="15"/>
      <c r="AK131" s="124">
        <f t="shared" si="157"/>
        <v>0</v>
      </c>
      <c r="AL131" s="15"/>
      <c r="AM131" s="124">
        <f t="shared" si="158"/>
        <v>0</v>
      </c>
      <c r="AN131" s="16"/>
      <c r="AO131" s="124">
        <f t="shared" si="159"/>
        <v>0</v>
      </c>
      <c r="AP131" s="15"/>
      <c r="AQ131" s="124">
        <f t="shared" si="160"/>
        <v>0</v>
      </c>
      <c r="AR131" s="15"/>
      <c r="AS131" s="124">
        <f t="shared" si="161"/>
        <v>0</v>
      </c>
      <c r="AT131" s="17"/>
      <c r="AU131" s="124">
        <f t="shared" si="162"/>
        <v>0</v>
      </c>
      <c r="AV131" s="15"/>
      <c r="AW131" s="124">
        <f t="shared" si="163"/>
        <v>0</v>
      </c>
      <c r="AX131" s="15"/>
      <c r="AY131" s="124">
        <f t="shared" si="164"/>
        <v>0</v>
      </c>
      <c r="AZ131" s="17"/>
      <c r="BA131" s="124">
        <f t="shared" si="165"/>
        <v>0</v>
      </c>
      <c r="BB131" s="33"/>
      <c r="BC131" s="124">
        <f t="shared" si="166"/>
        <v>0</v>
      </c>
      <c r="BD131" s="33"/>
      <c r="BE131" s="124">
        <f t="shared" si="167"/>
        <v>0</v>
      </c>
      <c r="BF131" s="125">
        <f t="shared" si="100"/>
        <v>0</v>
      </c>
      <c r="BG131" s="126">
        <f t="shared" si="168"/>
        <v>0</v>
      </c>
      <c r="BH131" s="123"/>
      <c r="BI131" s="124">
        <f t="shared" si="169"/>
        <v>0</v>
      </c>
      <c r="BJ131" s="123"/>
      <c r="BK131" s="124">
        <f t="shared" si="170"/>
        <v>0</v>
      </c>
      <c r="BL131" s="123"/>
      <c r="BM131" s="124">
        <f t="shared" si="171"/>
        <v>0</v>
      </c>
      <c r="BN131" s="123"/>
      <c r="BO131" s="124">
        <f t="shared" si="172"/>
        <v>0</v>
      </c>
      <c r="BP131" s="123"/>
      <c r="BQ131" s="124">
        <f t="shared" si="173"/>
        <v>0</v>
      </c>
      <c r="BR131" s="123"/>
      <c r="BS131" s="124">
        <f t="shared" si="174"/>
        <v>0</v>
      </c>
      <c r="BT131" s="123"/>
      <c r="BU131" s="124">
        <f t="shared" si="175"/>
        <v>0</v>
      </c>
      <c r="BV131" s="123"/>
      <c r="BW131" s="124">
        <f t="shared" si="176"/>
        <v>0</v>
      </c>
      <c r="BX131" s="123"/>
      <c r="BY131" s="124">
        <f t="shared" si="177"/>
        <v>0</v>
      </c>
      <c r="BZ131" s="123"/>
      <c r="CA131" s="124">
        <f t="shared" si="178"/>
        <v>0</v>
      </c>
      <c r="CB131" s="123"/>
      <c r="CC131" s="124">
        <f t="shared" si="179"/>
        <v>0</v>
      </c>
      <c r="CD131" s="123"/>
      <c r="CE131" s="124">
        <f t="shared" si="180"/>
        <v>0</v>
      </c>
      <c r="CF131" s="125">
        <f t="shared" si="114"/>
        <v>0</v>
      </c>
      <c r="CG131" s="126">
        <f t="shared" si="181"/>
        <v>0</v>
      </c>
      <c r="CH131" s="123"/>
      <c r="CI131" s="124">
        <f t="shared" si="182"/>
        <v>0</v>
      </c>
      <c r="CJ131" s="123"/>
      <c r="CK131" s="124">
        <f t="shared" si="183"/>
        <v>0</v>
      </c>
      <c r="CL131" s="123"/>
      <c r="CM131" s="124">
        <f t="shared" si="184"/>
        <v>0</v>
      </c>
      <c r="CN131" s="123"/>
      <c r="CO131" s="124">
        <f t="shared" si="185"/>
        <v>0</v>
      </c>
      <c r="CP131" s="123"/>
      <c r="CQ131" s="124">
        <f t="shared" si="186"/>
        <v>0</v>
      </c>
      <c r="CR131" s="123"/>
      <c r="CS131" s="124">
        <f t="shared" si="187"/>
        <v>0</v>
      </c>
      <c r="CT131" s="123"/>
      <c r="CU131" s="124">
        <f t="shared" si="188"/>
        <v>0</v>
      </c>
      <c r="CV131" s="123"/>
      <c r="CW131" s="124">
        <f t="shared" si="189"/>
        <v>0</v>
      </c>
      <c r="CX131" s="123"/>
      <c r="CY131" s="124">
        <f t="shared" si="124"/>
        <v>0</v>
      </c>
      <c r="CZ131" s="123"/>
      <c r="DA131" s="124">
        <f t="shared" si="125"/>
        <v>0</v>
      </c>
      <c r="DB131" s="123"/>
      <c r="DC131" s="124">
        <f t="shared" si="126"/>
        <v>0</v>
      </c>
      <c r="DD131" s="123"/>
      <c r="DE131" s="124">
        <f t="shared" si="126"/>
        <v>0</v>
      </c>
      <c r="DF131" s="177">
        <f t="shared" si="72"/>
        <v>0</v>
      </c>
      <c r="DG131" s="126">
        <f t="shared" si="127"/>
        <v>0</v>
      </c>
      <c r="DH131" s="123"/>
      <c r="DI131" s="124">
        <f t="shared" si="190"/>
        <v>0</v>
      </c>
      <c r="DJ131" s="123"/>
      <c r="DK131" s="124">
        <f t="shared" si="191"/>
        <v>0</v>
      </c>
      <c r="DL131" s="123"/>
      <c r="DM131" s="124">
        <f t="shared" si="192"/>
        <v>0</v>
      </c>
      <c r="DN131" s="123"/>
      <c r="DO131" s="124">
        <f t="shared" si="193"/>
        <v>0</v>
      </c>
      <c r="DP131" s="123"/>
      <c r="DQ131" s="124">
        <f t="shared" si="194"/>
        <v>0</v>
      </c>
      <c r="DR131" s="123"/>
      <c r="DS131" s="124">
        <f t="shared" si="195"/>
        <v>0</v>
      </c>
      <c r="DT131" s="123"/>
      <c r="DU131" s="124">
        <f t="shared" si="196"/>
        <v>0</v>
      </c>
      <c r="DV131" s="123"/>
      <c r="DW131" s="124">
        <f t="shared" si="197"/>
        <v>0</v>
      </c>
      <c r="DX131" s="123"/>
      <c r="DY131" s="124">
        <f t="shared" si="136"/>
        <v>0</v>
      </c>
      <c r="DZ131" s="123"/>
      <c r="EA131" s="124">
        <f t="shared" si="137"/>
        <v>0</v>
      </c>
      <c r="EB131" s="123"/>
      <c r="EC131" s="124">
        <f t="shared" si="198"/>
        <v>0</v>
      </c>
      <c r="ED131" s="123"/>
      <c r="EE131" s="124">
        <f t="shared" si="199"/>
        <v>0</v>
      </c>
      <c r="EF131" s="27">
        <f t="shared" si="73"/>
        <v>0</v>
      </c>
      <c r="EG131" s="124">
        <f t="shared" si="140"/>
        <v>0</v>
      </c>
    </row>
    <row r="132" spans="1:137" ht="18" customHeight="1" x14ac:dyDescent="0.5">
      <c r="A132" s="117">
        <v>106</v>
      </c>
      <c r="B132" s="122" t="s">
        <v>195</v>
      </c>
      <c r="C132" s="122" t="s">
        <v>231</v>
      </c>
      <c r="D132" s="117">
        <f t="shared" si="143"/>
        <v>21</v>
      </c>
      <c r="E132" s="117">
        <v>0.64</v>
      </c>
      <c r="F132" s="117" t="s">
        <v>236</v>
      </c>
      <c r="G132" s="117"/>
      <c r="H132" s="123"/>
      <c r="I132" s="124">
        <f t="shared" si="144"/>
        <v>0</v>
      </c>
      <c r="J132" s="123"/>
      <c r="K132" s="124">
        <f t="shared" si="145"/>
        <v>0</v>
      </c>
      <c r="L132" s="123"/>
      <c r="M132" s="124">
        <f t="shared" si="200"/>
        <v>0</v>
      </c>
      <c r="N132" s="123"/>
      <c r="O132" s="124">
        <f t="shared" si="146"/>
        <v>0</v>
      </c>
      <c r="P132" s="123"/>
      <c r="Q132" s="124">
        <f t="shared" si="147"/>
        <v>0</v>
      </c>
      <c r="R132" s="123"/>
      <c r="S132" s="124">
        <f t="shared" si="148"/>
        <v>0</v>
      </c>
      <c r="T132" s="123"/>
      <c r="U132" s="124">
        <f t="shared" si="149"/>
        <v>0</v>
      </c>
      <c r="V132" s="123"/>
      <c r="W132" s="124">
        <f t="shared" si="150"/>
        <v>0</v>
      </c>
      <c r="X132" s="123"/>
      <c r="Y132" s="124">
        <f t="shared" si="151"/>
        <v>0</v>
      </c>
      <c r="Z132" s="123"/>
      <c r="AA132" s="124">
        <f t="shared" si="152"/>
        <v>0</v>
      </c>
      <c r="AB132" s="123"/>
      <c r="AC132" s="124">
        <f t="shared" si="153"/>
        <v>0</v>
      </c>
      <c r="AD132" s="123"/>
      <c r="AE132" s="124">
        <f t="shared" si="154"/>
        <v>0</v>
      </c>
      <c r="AF132" s="125">
        <f t="shared" si="86"/>
        <v>0</v>
      </c>
      <c r="AG132" s="126">
        <f t="shared" si="155"/>
        <v>0</v>
      </c>
      <c r="AH132" s="11"/>
      <c r="AI132" s="124">
        <f t="shared" si="156"/>
        <v>0</v>
      </c>
      <c r="AJ132" s="15"/>
      <c r="AK132" s="124">
        <f t="shared" si="157"/>
        <v>0</v>
      </c>
      <c r="AL132" s="15"/>
      <c r="AM132" s="124">
        <f t="shared" si="158"/>
        <v>0</v>
      </c>
      <c r="AN132" s="16"/>
      <c r="AO132" s="124">
        <f t="shared" si="159"/>
        <v>0</v>
      </c>
      <c r="AP132" s="15"/>
      <c r="AQ132" s="124">
        <f t="shared" si="160"/>
        <v>0</v>
      </c>
      <c r="AR132" s="15"/>
      <c r="AS132" s="124">
        <f t="shared" si="161"/>
        <v>0</v>
      </c>
      <c r="AT132" s="17"/>
      <c r="AU132" s="124">
        <f t="shared" si="162"/>
        <v>0</v>
      </c>
      <c r="AV132" s="15"/>
      <c r="AW132" s="124">
        <f t="shared" si="163"/>
        <v>0</v>
      </c>
      <c r="AX132" s="15"/>
      <c r="AY132" s="124">
        <f t="shared" si="164"/>
        <v>0</v>
      </c>
      <c r="AZ132" s="17"/>
      <c r="BA132" s="124">
        <f t="shared" si="165"/>
        <v>0</v>
      </c>
      <c r="BB132" s="33"/>
      <c r="BC132" s="124">
        <f t="shared" si="166"/>
        <v>0</v>
      </c>
      <c r="BD132" s="33"/>
      <c r="BE132" s="124">
        <f t="shared" si="167"/>
        <v>0</v>
      </c>
      <c r="BF132" s="125">
        <f t="shared" si="100"/>
        <v>0</v>
      </c>
      <c r="BG132" s="126">
        <f t="shared" si="168"/>
        <v>0</v>
      </c>
      <c r="BH132" s="123"/>
      <c r="BI132" s="124">
        <f t="shared" si="169"/>
        <v>0</v>
      </c>
      <c r="BJ132" s="123"/>
      <c r="BK132" s="124">
        <f t="shared" si="170"/>
        <v>0</v>
      </c>
      <c r="BL132" s="123"/>
      <c r="BM132" s="124">
        <f t="shared" si="171"/>
        <v>0</v>
      </c>
      <c r="BN132" s="123"/>
      <c r="BO132" s="124">
        <f t="shared" si="172"/>
        <v>0</v>
      </c>
      <c r="BP132" s="123"/>
      <c r="BQ132" s="124">
        <f t="shared" si="173"/>
        <v>0</v>
      </c>
      <c r="BR132" s="123"/>
      <c r="BS132" s="124">
        <f t="shared" si="174"/>
        <v>0</v>
      </c>
      <c r="BT132" s="123"/>
      <c r="BU132" s="124">
        <f t="shared" si="175"/>
        <v>0</v>
      </c>
      <c r="BV132" s="123"/>
      <c r="BW132" s="124">
        <f t="shared" si="176"/>
        <v>0</v>
      </c>
      <c r="BX132" s="123"/>
      <c r="BY132" s="124">
        <f t="shared" si="177"/>
        <v>0</v>
      </c>
      <c r="BZ132" s="123"/>
      <c r="CA132" s="124">
        <f t="shared" si="178"/>
        <v>0</v>
      </c>
      <c r="CB132" s="123"/>
      <c r="CC132" s="124">
        <f t="shared" si="179"/>
        <v>0</v>
      </c>
      <c r="CD132" s="123"/>
      <c r="CE132" s="124">
        <f t="shared" si="180"/>
        <v>0</v>
      </c>
      <c r="CF132" s="125">
        <f t="shared" si="114"/>
        <v>0</v>
      </c>
      <c r="CG132" s="126">
        <f t="shared" si="181"/>
        <v>0</v>
      </c>
      <c r="CH132" s="123"/>
      <c r="CI132" s="124">
        <f t="shared" si="182"/>
        <v>0</v>
      </c>
      <c r="CJ132" s="123"/>
      <c r="CK132" s="124">
        <f t="shared" si="183"/>
        <v>0</v>
      </c>
      <c r="CL132" s="123"/>
      <c r="CM132" s="124">
        <f t="shared" si="184"/>
        <v>0</v>
      </c>
      <c r="CN132" s="123"/>
      <c r="CO132" s="124">
        <f t="shared" si="185"/>
        <v>0</v>
      </c>
      <c r="CP132" s="123"/>
      <c r="CQ132" s="124">
        <f t="shared" si="186"/>
        <v>0</v>
      </c>
      <c r="CR132" s="123"/>
      <c r="CS132" s="124">
        <f t="shared" si="187"/>
        <v>0</v>
      </c>
      <c r="CT132" s="123"/>
      <c r="CU132" s="124">
        <f t="shared" si="188"/>
        <v>0</v>
      </c>
      <c r="CV132" s="123"/>
      <c r="CW132" s="124">
        <f t="shared" si="189"/>
        <v>0</v>
      </c>
      <c r="CX132" s="123"/>
      <c r="CY132" s="124">
        <f t="shared" si="124"/>
        <v>0</v>
      </c>
      <c r="CZ132" s="123"/>
      <c r="DA132" s="124">
        <f t="shared" si="125"/>
        <v>0</v>
      </c>
      <c r="DB132" s="123"/>
      <c r="DC132" s="124">
        <f t="shared" si="126"/>
        <v>0</v>
      </c>
      <c r="DD132" s="123"/>
      <c r="DE132" s="124">
        <f t="shared" si="126"/>
        <v>0</v>
      </c>
      <c r="DF132" s="177">
        <f t="shared" si="72"/>
        <v>0</v>
      </c>
      <c r="DG132" s="126">
        <f t="shared" si="127"/>
        <v>0</v>
      </c>
      <c r="DH132" s="123"/>
      <c r="DI132" s="124">
        <f t="shared" si="190"/>
        <v>0</v>
      </c>
      <c r="DJ132" s="123"/>
      <c r="DK132" s="124">
        <f t="shared" si="191"/>
        <v>0</v>
      </c>
      <c r="DL132" s="123"/>
      <c r="DM132" s="124">
        <f t="shared" si="192"/>
        <v>0</v>
      </c>
      <c r="DN132" s="123"/>
      <c r="DO132" s="124">
        <f t="shared" si="193"/>
        <v>0</v>
      </c>
      <c r="DP132" s="123"/>
      <c r="DQ132" s="124">
        <f t="shared" si="194"/>
        <v>0</v>
      </c>
      <c r="DR132" s="123"/>
      <c r="DS132" s="124">
        <f t="shared" si="195"/>
        <v>0</v>
      </c>
      <c r="DT132" s="123"/>
      <c r="DU132" s="124">
        <f t="shared" si="196"/>
        <v>0</v>
      </c>
      <c r="DV132" s="123"/>
      <c r="DW132" s="124">
        <f t="shared" si="197"/>
        <v>0</v>
      </c>
      <c r="DX132" s="123"/>
      <c r="DY132" s="124">
        <f t="shared" si="136"/>
        <v>0</v>
      </c>
      <c r="DZ132" s="123"/>
      <c r="EA132" s="124">
        <f t="shared" si="137"/>
        <v>0</v>
      </c>
      <c r="EB132" s="123"/>
      <c r="EC132" s="124">
        <f t="shared" si="198"/>
        <v>0</v>
      </c>
      <c r="ED132" s="123"/>
      <c r="EE132" s="124">
        <f t="shared" si="199"/>
        <v>0</v>
      </c>
      <c r="EF132" s="27">
        <f t="shared" si="73"/>
        <v>0</v>
      </c>
      <c r="EG132" s="124">
        <f t="shared" si="140"/>
        <v>0</v>
      </c>
    </row>
    <row r="133" spans="1:137" ht="18" customHeight="1" x14ac:dyDescent="0.5">
      <c r="A133" s="117">
        <v>107</v>
      </c>
      <c r="B133" s="122" t="s">
        <v>200</v>
      </c>
      <c r="C133" s="122" t="s">
        <v>231</v>
      </c>
      <c r="D133" s="117">
        <f t="shared" si="143"/>
        <v>21</v>
      </c>
      <c r="E133" s="117">
        <v>0.64</v>
      </c>
      <c r="F133" s="117" t="s">
        <v>236</v>
      </c>
      <c r="G133" s="117"/>
      <c r="H133" s="123"/>
      <c r="I133" s="124">
        <f t="shared" si="144"/>
        <v>0</v>
      </c>
      <c r="J133" s="123"/>
      <c r="K133" s="124">
        <f t="shared" si="145"/>
        <v>0</v>
      </c>
      <c r="L133" s="123"/>
      <c r="M133" s="124">
        <f t="shared" si="200"/>
        <v>0</v>
      </c>
      <c r="N133" s="123"/>
      <c r="O133" s="124">
        <f t="shared" si="146"/>
        <v>0</v>
      </c>
      <c r="P133" s="123"/>
      <c r="Q133" s="124">
        <f t="shared" si="147"/>
        <v>0</v>
      </c>
      <c r="R133" s="123"/>
      <c r="S133" s="124">
        <f t="shared" si="148"/>
        <v>0</v>
      </c>
      <c r="T133" s="123"/>
      <c r="U133" s="124">
        <f t="shared" si="149"/>
        <v>0</v>
      </c>
      <c r="V133" s="123"/>
      <c r="W133" s="124">
        <f t="shared" si="150"/>
        <v>0</v>
      </c>
      <c r="X133" s="123"/>
      <c r="Y133" s="124">
        <f t="shared" si="151"/>
        <v>0</v>
      </c>
      <c r="Z133" s="123"/>
      <c r="AA133" s="124">
        <f t="shared" si="152"/>
        <v>0</v>
      </c>
      <c r="AB133" s="123"/>
      <c r="AC133" s="124">
        <f t="shared" si="153"/>
        <v>0</v>
      </c>
      <c r="AD133" s="123"/>
      <c r="AE133" s="124">
        <f t="shared" si="154"/>
        <v>0</v>
      </c>
      <c r="AF133" s="125">
        <f t="shared" si="86"/>
        <v>0</v>
      </c>
      <c r="AG133" s="126">
        <f t="shared" si="155"/>
        <v>0</v>
      </c>
      <c r="AH133" s="11"/>
      <c r="AI133" s="124">
        <f t="shared" si="156"/>
        <v>0</v>
      </c>
      <c r="AJ133" s="15"/>
      <c r="AK133" s="124">
        <f t="shared" si="157"/>
        <v>0</v>
      </c>
      <c r="AL133" s="15"/>
      <c r="AM133" s="124">
        <f t="shared" si="158"/>
        <v>0</v>
      </c>
      <c r="AN133" s="16"/>
      <c r="AO133" s="124">
        <f t="shared" si="159"/>
        <v>0</v>
      </c>
      <c r="AP133" s="15"/>
      <c r="AQ133" s="124">
        <f t="shared" si="160"/>
        <v>0</v>
      </c>
      <c r="AR133" s="15"/>
      <c r="AS133" s="124">
        <f t="shared" si="161"/>
        <v>0</v>
      </c>
      <c r="AT133" s="17"/>
      <c r="AU133" s="124">
        <f t="shared" si="162"/>
        <v>0</v>
      </c>
      <c r="AV133" s="15"/>
      <c r="AW133" s="124">
        <f t="shared" si="163"/>
        <v>0</v>
      </c>
      <c r="AX133" s="15"/>
      <c r="AY133" s="124">
        <f t="shared" si="164"/>
        <v>0</v>
      </c>
      <c r="AZ133" s="17"/>
      <c r="BA133" s="124">
        <f t="shared" si="165"/>
        <v>0</v>
      </c>
      <c r="BB133" s="33"/>
      <c r="BC133" s="124">
        <f t="shared" si="166"/>
        <v>0</v>
      </c>
      <c r="BD133" s="33"/>
      <c r="BE133" s="124">
        <f t="shared" si="167"/>
        <v>0</v>
      </c>
      <c r="BF133" s="125">
        <f t="shared" si="100"/>
        <v>0</v>
      </c>
      <c r="BG133" s="126">
        <f t="shared" si="168"/>
        <v>0</v>
      </c>
      <c r="BH133" s="123"/>
      <c r="BI133" s="124">
        <f t="shared" si="169"/>
        <v>0</v>
      </c>
      <c r="BJ133" s="123"/>
      <c r="BK133" s="124">
        <f t="shared" si="170"/>
        <v>0</v>
      </c>
      <c r="BL133" s="123"/>
      <c r="BM133" s="124">
        <f t="shared" si="171"/>
        <v>0</v>
      </c>
      <c r="BN133" s="123"/>
      <c r="BO133" s="124">
        <f t="shared" si="172"/>
        <v>0</v>
      </c>
      <c r="BP133" s="123"/>
      <c r="BQ133" s="124">
        <f t="shared" si="173"/>
        <v>0</v>
      </c>
      <c r="BR133" s="123"/>
      <c r="BS133" s="124">
        <f t="shared" si="174"/>
        <v>0</v>
      </c>
      <c r="BT133" s="123"/>
      <c r="BU133" s="124">
        <f t="shared" si="175"/>
        <v>0</v>
      </c>
      <c r="BV133" s="123"/>
      <c r="BW133" s="124">
        <f t="shared" si="176"/>
        <v>0</v>
      </c>
      <c r="BX133" s="123"/>
      <c r="BY133" s="124">
        <f t="shared" si="177"/>
        <v>0</v>
      </c>
      <c r="BZ133" s="123"/>
      <c r="CA133" s="124">
        <f t="shared" si="178"/>
        <v>0</v>
      </c>
      <c r="CB133" s="123"/>
      <c r="CC133" s="124">
        <f t="shared" si="179"/>
        <v>0</v>
      </c>
      <c r="CD133" s="123"/>
      <c r="CE133" s="124">
        <f t="shared" si="180"/>
        <v>0</v>
      </c>
      <c r="CF133" s="125">
        <f t="shared" si="114"/>
        <v>0</v>
      </c>
      <c r="CG133" s="126">
        <f t="shared" si="181"/>
        <v>0</v>
      </c>
      <c r="CH133" s="123"/>
      <c r="CI133" s="124">
        <f t="shared" si="182"/>
        <v>0</v>
      </c>
      <c r="CJ133" s="123"/>
      <c r="CK133" s="124">
        <f t="shared" si="183"/>
        <v>0</v>
      </c>
      <c r="CL133" s="123"/>
      <c r="CM133" s="124">
        <f t="shared" si="184"/>
        <v>0</v>
      </c>
      <c r="CN133" s="123"/>
      <c r="CO133" s="124">
        <f t="shared" si="185"/>
        <v>0</v>
      </c>
      <c r="CP133" s="123"/>
      <c r="CQ133" s="124">
        <f t="shared" si="186"/>
        <v>0</v>
      </c>
      <c r="CR133" s="123"/>
      <c r="CS133" s="124">
        <f t="shared" si="187"/>
        <v>0</v>
      </c>
      <c r="CT133" s="123"/>
      <c r="CU133" s="124">
        <f t="shared" si="188"/>
        <v>0</v>
      </c>
      <c r="CV133" s="123"/>
      <c r="CW133" s="124">
        <f t="shared" si="189"/>
        <v>0</v>
      </c>
      <c r="CX133" s="123"/>
      <c r="CY133" s="124">
        <f t="shared" si="124"/>
        <v>0</v>
      </c>
      <c r="CZ133" s="123"/>
      <c r="DA133" s="124">
        <f t="shared" si="125"/>
        <v>0</v>
      </c>
      <c r="DB133" s="123"/>
      <c r="DC133" s="124">
        <f t="shared" si="126"/>
        <v>0</v>
      </c>
      <c r="DD133" s="123"/>
      <c r="DE133" s="124">
        <f t="shared" si="126"/>
        <v>0</v>
      </c>
      <c r="DF133" s="177">
        <f t="shared" si="72"/>
        <v>0</v>
      </c>
      <c r="DG133" s="126">
        <f t="shared" si="127"/>
        <v>0</v>
      </c>
      <c r="DH133" s="123"/>
      <c r="DI133" s="124">
        <f t="shared" si="190"/>
        <v>0</v>
      </c>
      <c r="DJ133" s="123"/>
      <c r="DK133" s="124">
        <f t="shared" si="191"/>
        <v>0</v>
      </c>
      <c r="DL133" s="123"/>
      <c r="DM133" s="124">
        <f t="shared" si="192"/>
        <v>0</v>
      </c>
      <c r="DN133" s="123"/>
      <c r="DO133" s="124">
        <f t="shared" si="193"/>
        <v>0</v>
      </c>
      <c r="DP133" s="123"/>
      <c r="DQ133" s="124">
        <f t="shared" si="194"/>
        <v>0</v>
      </c>
      <c r="DR133" s="123"/>
      <c r="DS133" s="124">
        <f t="shared" si="195"/>
        <v>0</v>
      </c>
      <c r="DT133" s="123"/>
      <c r="DU133" s="124">
        <f t="shared" si="196"/>
        <v>0</v>
      </c>
      <c r="DV133" s="123"/>
      <c r="DW133" s="124">
        <f t="shared" si="197"/>
        <v>0</v>
      </c>
      <c r="DX133" s="123"/>
      <c r="DY133" s="124">
        <f t="shared" si="136"/>
        <v>0</v>
      </c>
      <c r="DZ133" s="123"/>
      <c r="EA133" s="124">
        <f t="shared" si="137"/>
        <v>0</v>
      </c>
      <c r="EB133" s="123"/>
      <c r="EC133" s="124">
        <f t="shared" si="198"/>
        <v>0</v>
      </c>
      <c r="ED133" s="123"/>
      <c r="EE133" s="124">
        <f t="shared" si="199"/>
        <v>0</v>
      </c>
      <c r="EF133" s="27">
        <f t="shared" si="73"/>
        <v>0</v>
      </c>
      <c r="EG133" s="124">
        <f t="shared" si="140"/>
        <v>0</v>
      </c>
    </row>
    <row r="134" spans="1:137" ht="18" customHeight="1" x14ac:dyDescent="0.5">
      <c r="A134" s="117">
        <v>108</v>
      </c>
      <c r="B134" s="122" t="s">
        <v>201</v>
      </c>
      <c r="C134" s="122" t="s">
        <v>231</v>
      </c>
      <c r="D134" s="117">
        <f t="shared" si="143"/>
        <v>21</v>
      </c>
      <c r="E134" s="117">
        <v>0.64</v>
      </c>
      <c r="F134" s="117" t="s">
        <v>236</v>
      </c>
      <c r="G134" s="117"/>
      <c r="H134" s="123"/>
      <c r="I134" s="124">
        <f t="shared" si="144"/>
        <v>0</v>
      </c>
      <c r="J134" s="123"/>
      <c r="K134" s="124">
        <f t="shared" si="145"/>
        <v>0</v>
      </c>
      <c r="L134" s="123"/>
      <c r="M134" s="124">
        <f t="shared" si="200"/>
        <v>0</v>
      </c>
      <c r="N134" s="123"/>
      <c r="O134" s="124">
        <f t="shared" si="146"/>
        <v>0</v>
      </c>
      <c r="P134" s="123"/>
      <c r="Q134" s="124">
        <f t="shared" si="147"/>
        <v>0</v>
      </c>
      <c r="R134" s="123"/>
      <c r="S134" s="124">
        <f t="shared" si="148"/>
        <v>0</v>
      </c>
      <c r="T134" s="123"/>
      <c r="U134" s="124">
        <f t="shared" si="149"/>
        <v>0</v>
      </c>
      <c r="V134" s="123"/>
      <c r="W134" s="124">
        <f t="shared" si="150"/>
        <v>0</v>
      </c>
      <c r="X134" s="123"/>
      <c r="Y134" s="124">
        <f t="shared" si="151"/>
        <v>0</v>
      </c>
      <c r="Z134" s="123"/>
      <c r="AA134" s="124">
        <f t="shared" si="152"/>
        <v>0</v>
      </c>
      <c r="AB134" s="123"/>
      <c r="AC134" s="124">
        <f t="shared" si="153"/>
        <v>0</v>
      </c>
      <c r="AD134" s="123"/>
      <c r="AE134" s="124">
        <f t="shared" si="154"/>
        <v>0</v>
      </c>
      <c r="AF134" s="125">
        <f t="shared" si="86"/>
        <v>0</v>
      </c>
      <c r="AG134" s="126">
        <f t="shared" si="155"/>
        <v>0</v>
      </c>
      <c r="AH134" s="11"/>
      <c r="AI134" s="124">
        <f t="shared" si="156"/>
        <v>0</v>
      </c>
      <c r="AJ134" s="15"/>
      <c r="AK134" s="124">
        <f t="shared" si="157"/>
        <v>0</v>
      </c>
      <c r="AL134" s="15"/>
      <c r="AM134" s="124">
        <f t="shared" si="158"/>
        <v>0</v>
      </c>
      <c r="AN134" s="16"/>
      <c r="AO134" s="124">
        <f t="shared" si="159"/>
        <v>0</v>
      </c>
      <c r="AP134" s="15"/>
      <c r="AQ134" s="124">
        <f t="shared" si="160"/>
        <v>0</v>
      </c>
      <c r="AR134" s="15"/>
      <c r="AS134" s="124">
        <f t="shared" si="161"/>
        <v>0</v>
      </c>
      <c r="AT134" s="17"/>
      <c r="AU134" s="124">
        <f t="shared" si="162"/>
        <v>0</v>
      </c>
      <c r="AV134" s="15"/>
      <c r="AW134" s="124">
        <f t="shared" si="163"/>
        <v>0</v>
      </c>
      <c r="AX134" s="15"/>
      <c r="AY134" s="124">
        <f t="shared" si="164"/>
        <v>0</v>
      </c>
      <c r="AZ134" s="17"/>
      <c r="BA134" s="124">
        <f t="shared" si="165"/>
        <v>0</v>
      </c>
      <c r="BB134" s="33"/>
      <c r="BC134" s="124">
        <f t="shared" si="166"/>
        <v>0</v>
      </c>
      <c r="BD134" s="33"/>
      <c r="BE134" s="124">
        <f t="shared" si="167"/>
        <v>0</v>
      </c>
      <c r="BF134" s="125">
        <f t="shared" si="100"/>
        <v>0</v>
      </c>
      <c r="BG134" s="126">
        <f t="shared" si="168"/>
        <v>0</v>
      </c>
      <c r="BH134" s="123"/>
      <c r="BI134" s="124">
        <f t="shared" si="169"/>
        <v>0</v>
      </c>
      <c r="BJ134" s="123"/>
      <c r="BK134" s="124">
        <f t="shared" si="170"/>
        <v>0</v>
      </c>
      <c r="BL134" s="123"/>
      <c r="BM134" s="124">
        <f t="shared" si="171"/>
        <v>0</v>
      </c>
      <c r="BN134" s="123"/>
      <c r="BO134" s="124">
        <f t="shared" si="172"/>
        <v>0</v>
      </c>
      <c r="BP134" s="123"/>
      <c r="BQ134" s="124">
        <f t="shared" si="173"/>
        <v>0</v>
      </c>
      <c r="BR134" s="123"/>
      <c r="BS134" s="124">
        <f t="shared" si="174"/>
        <v>0</v>
      </c>
      <c r="BT134" s="123"/>
      <c r="BU134" s="124">
        <f t="shared" si="175"/>
        <v>0</v>
      </c>
      <c r="BV134" s="123"/>
      <c r="BW134" s="124">
        <f t="shared" si="176"/>
        <v>0</v>
      </c>
      <c r="BX134" s="123"/>
      <c r="BY134" s="124">
        <f t="shared" si="177"/>
        <v>0</v>
      </c>
      <c r="BZ134" s="123"/>
      <c r="CA134" s="124">
        <f t="shared" si="178"/>
        <v>0</v>
      </c>
      <c r="CB134" s="123"/>
      <c r="CC134" s="124">
        <f t="shared" si="179"/>
        <v>0</v>
      </c>
      <c r="CD134" s="123"/>
      <c r="CE134" s="124">
        <f t="shared" si="180"/>
        <v>0</v>
      </c>
      <c r="CF134" s="125">
        <f t="shared" si="114"/>
        <v>0</v>
      </c>
      <c r="CG134" s="126">
        <f t="shared" si="181"/>
        <v>0</v>
      </c>
      <c r="CH134" s="123"/>
      <c r="CI134" s="124">
        <f t="shared" si="182"/>
        <v>0</v>
      </c>
      <c r="CJ134" s="123"/>
      <c r="CK134" s="124">
        <f t="shared" si="183"/>
        <v>0</v>
      </c>
      <c r="CL134" s="123"/>
      <c r="CM134" s="124">
        <f t="shared" si="184"/>
        <v>0</v>
      </c>
      <c r="CN134" s="123"/>
      <c r="CO134" s="124">
        <f t="shared" si="185"/>
        <v>0</v>
      </c>
      <c r="CP134" s="123"/>
      <c r="CQ134" s="124">
        <f t="shared" si="186"/>
        <v>0</v>
      </c>
      <c r="CR134" s="123"/>
      <c r="CS134" s="124">
        <f t="shared" si="187"/>
        <v>0</v>
      </c>
      <c r="CT134" s="123"/>
      <c r="CU134" s="124">
        <f t="shared" si="188"/>
        <v>0</v>
      </c>
      <c r="CV134" s="123"/>
      <c r="CW134" s="124">
        <f t="shared" si="189"/>
        <v>0</v>
      </c>
      <c r="CX134" s="123"/>
      <c r="CY134" s="124">
        <f t="shared" si="124"/>
        <v>0</v>
      </c>
      <c r="CZ134" s="123"/>
      <c r="DA134" s="124">
        <f t="shared" si="125"/>
        <v>0</v>
      </c>
      <c r="DB134" s="123"/>
      <c r="DC134" s="124">
        <f t="shared" si="126"/>
        <v>0</v>
      </c>
      <c r="DD134" s="123"/>
      <c r="DE134" s="124">
        <f t="shared" si="126"/>
        <v>0</v>
      </c>
      <c r="DF134" s="177">
        <f t="shared" si="72"/>
        <v>0</v>
      </c>
      <c r="DG134" s="126">
        <f t="shared" si="127"/>
        <v>0</v>
      </c>
      <c r="DH134" s="123"/>
      <c r="DI134" s="124">
        <f t="shared" si="190"/>
        <v>0</v>
      </c>
      <c r="DJ134" s="123"/>
      <c r="DK134" s="124">
        <f t="shared" si="191"/>
        <v>0</v>
      </c>
      <c r="DL134" s="123"/>
      <c r="DM134" s="124">
        <f t="shared" si="192"/>
        <v>0</v>
      </c>
      <c r="DN134" s="123"/>
      <c r="DO134" s="124">
        <f t="shared" si="193"/>
        <v>0</v>
      </c>
      <c r="DP134" s="123"/>
      <c r="DQ134" s="124">
        <f t="shared" si="194"/>
        <v>0</v>
      </c>
      <c r="DR134" s="123"/>
      <c r="DS134" s="124">
        <f t="shared" si="195"/>
        <v>0</v>
      </c>
      <c r="DT134" s="123"/>
      <c r="DU134" s="124">
        <f t="shared" si="196"/>
        <v>0</v>
      </c>
      <c r="DV134" s="123"/>
      <c r="DW134" s="124">
        <f t="shared" si="197"/>
        <v>0</v>
      </c>
      <c r="DX134" s="123"/>
      <c r="DY134" s="124">
        <f t="shared" si="136"/>
        <v>0</v>
      </c>
      <c r="DZ134" s="123"/>
      <c r="EA134" s="124">
        <f t="shared" si="137"/>
        <v>0</v>
      </c>
      <c r="EB134" s="123"/>
      <c r="EC134" s="124">
        <f t="shared" si="198"/>
        <v>0</v>
      </c>
      <c r="ED134" s="123"/>
      <c r="EE134" s="124">
        <f t="shared" si="199"/>
        <v>0</v>
      </c>
      <c r="EF134" s="27">
        <f t="shared" si="73"/>
        <v>0</v>
      </c>
      <c r="EG134" s="124">
        <f t="shared" si="140"/>
        <v>0</v>
      </c>
    </row>
    <row r="135" spans="1:137" ht="18" customHeight="1" x14ac:dyDescent="0.5">
      <c r="A135" s="117">
        <v>109</v>
      </c>
      <c r="B135" s="122" t="s">
        <v>202</v>
      </c>
      <c r="C135" s="122" t="s">
        <v>231</v>
      </c>
      <c r="D135" s="117">
        <f t="shared" si="143"/>
        <v>21</v>
      </c>
      <c r="E135" s="117">
        <v>0.64</v>
      </c>
      <c r="F135" s="117" t="s">
        <v>236</v>
      </c>
      <c r="G135" s="117"/>
      <c r="H135" s="123"/>
      <c r="I135" s="124">
        <f t="shared" si="144"/>
        <v>0</v>
      </c>
      <c r="J135" s="123"/>
      <c r="K135" s="124">
        <f t="shared" si="145"/>
        <v>0</v>
      </c>
      <c r="L135" s="123"/>
      <c r="M135" s="124">
        <f t="shared" si="200"/>
        <v>0</v>
      </c>
      <c r="N135" s="123"/>
      <c r="O135" s="124">
        <f t="shared" si="146"/>
        <v>0</v>
      </c>
      <c r="P135" s="123"/>
      <c r="Q135" s="124">
        <f t="shared" si="147"/>
        <v>0</v>
      </c>
      <c r="R135" s="123"/>
      <c r="S135" s="124">
        <f t="shared" si="148"/>
        <v>0</v>
      </c>
      <c r="T135" s="123"/>
      <c r="U135" s="124">
        <f t="shared" si="149"/>
        <v>0</v>
      </c>
      <c r="V135" s="123"/>
      <c r="W135" s="124">
        <f t="shared" si="150"/>
        <v>0</v>
      </c>
      <c r="X135" s="123"/>
      <c r="Y135" s="124">
        <f t="shared" si="151"/>
        <v>0</v>
      </c>
      <c r="Z135" s="123"/>
      <c r="AA135" s="124">
        <f t="shared" si="152"/>
        <v>0</v>
      </c>
      <c r="AB135" s="123"/>
      <c r="AC135" s="124">
        <f t="shared" si="153"/>
        <v>0</v>
      </c>
      <c r="AD135" s="123"/>
      <c r="AE135" s="124">
        <f t="shared" si="154"/>
        <v>0</v>
      </c>
      <c r="AF135" s="125">
        <f t="shared" si="86"/>
        <v>0</v>
      </c>
      <c r="AG135" s="126">
        <f t="shared" si="155"/>
        <v>0</v>
      </c>
      <c r="AH135" s="11"/>
      <c r="AI135" s="124">
        <f t="shared" si="156"/>
        <v>0</v>
      </c>
      <c r="AJ135" s="15"/>
      <c r="AK135" s="124">
        <f t="shared" si="157"/>
        <v>0</v>
      </c>
      <c r="AL135" s="15"/>
      <c r="AM135" s="124">
        <f t="shared" si="158"/>
        <v>0</v>
      </c>
      <c r="AN135" s="16"/>
      <c r="AO135" s="124">
        <f t="shared" si="159"/>
        <v>0</v>
      </c>
      <c r="AP135" s="15"/>
      <c r="AQ135" s="124">
        <f t="shared" si="160"/>
        <v>0</v>
      </c>
      <c r="AR135" s="15"/>
      <c r="AS135" s="124">
        <f t="shared" si="161"/>
        <v>0</v>
      </c>
      <c r="AT135" s="17"/>
      <c r="AU135" s="124">
        <f t="shared" si="162"/>
        <v>0</v>
      </c>
      <c r="AV135" s="15"/>
      <c r="AW135" s="124">
        <f t="shared" si="163"/>
        <v>0</v>
      </c>
      <c r="AX135" s="15"/>
      <c r="AY135" s="124">
        <f t="shared" si="164"/>
        <v>0</v>
      </c>
      <c r="AZ135" s="17"/>
      <c r="BA135" s="124">
        <f t="shared" si="165"/>
        <v>0</v>
      </c>
      <c r="BB135" s="33"/>
      <c r="BC135" s="124">
        <f t="shared" si="166"/>
        <v>0</v>
      </c>
      <c r="BD135" s="33"/>
      <c r="BE135" s="124">
        <f t="shared" si="167"/>
        <v>0</v>
      </c>
      <c r="BF135" s="125">
        <f t="shared" si="100"/>
        <v>0</v>
      </c>
      <c r="BG135" s="126">
        <f t="shared" si="168"/>
        <v>0</v>
      </c>
      <c r="BH135" s="123"/>
      <c r="BI135" s="124">
        <f t="shared" si="169"/>
        <v>0</v>
      </c>
      <c r="BJ135" s="123"/>
      <c r="BK135" s="124">
        <f t="shared" si="170"/>
        <v>0</v>
      </c>
      <c r="BL135" s="123"/>
      <c r="BM135" s="124">
        <f t="shared" si="171"/>
        <v>0</v>
      </c>
      <c r="BN135" s="123"/>
      <c r="BO135" s="124">
        <f t="shared" si="172"/>
        <v>0</v>
      </c>
      <c r="BP135" s="123"/>
      <c r="BQ135" s="124">
        <f t="shared" si="173"/>
        <v>0</v>
      </c>
      <c r="BR135" s="123"/>
      <c r="BS135" s="124">
        <f t="shared" si="174"/>
        <v>0</v>
      </c>
      <c r="BT135" s="123"/>
      <c r="BU135" s="124">
        <f t="shared" si="175"/>
        <v>0</v>
      </c>
      <c r="BV135" s="123"/>
      <c r="BW135" s="124">
        <f t="shared" si="176"/>
        <v>0</v>
      </c>
      <c r="BX135" s="123"/>
      <c r="BY135" s="124">
        <f t="shared" si="177"/>
        <v>0</v>
      </c>
      <c r="BZ135" s="123"/>
      <c r="CA135" s="124">
        <f t="shared" si="178"/>
        <v>0</v>
      </c>
      <c r="CB135" s="123"/>
      <c r="CC135" s="124">
        <f t="shared" si="179"/>
        <v>0</v>
      </c>
      <c r="CD135" s="123"/>
      <c r="CE135" s="124">
        <f t="shared" si="180"/>
        <v>0</v>
      </c>
      <c r="CF135" s="125">
        <f t="shared" si="114"/>
        <v>0</v>
      </c>
      <c r="CG135" s="126">
        <f t="shared" si="181"/>
        <v>0</v>
      </c>
      <c r="CH135" s="123"/>
      <c r="CI135" s="124">
        <f t="shared" si="182"/>
        <v>0</v>
      </c>
      <c r="CJ135" s="123"/>
      <c r="CK135" s="124">
        <f t="shared" si="183"/>
        <v>0</v>
      </c>
      <c r="CL135" s="123"/>
      <c r="CM135" s="124">
        <f t="shared" si="184"/>
        <v>0</v>
      </c>
      <c r="CN135" s="123"/>
      <c r="CO135" s="124">
        <f t="shared" si="185"/>
        <v>0</v>
      </c>
      <c r="CP135" s="123"/>
      <c r="CQ135" s="124">
        <f t="shared" si="186"/>
        <v>0</v>
      </c>
      <c r="CR135" s="123"/>
      <c r="CS135" s="124">
        <f t="shared" si="187"/>
        <v>0</v>
      </c>
      <c r="CT135" s="123"/>
      <c r="CU135" s="124">
        <f t="shared" si="188"/>
        <v>0</v>
      </c>
      <c r="CV135" s="123"/>
      <c r="CW135" s="124">
        <f t="shared" si="189"/>
        <v>0</v>
      </c>
      <c r="CX135" s="123"/>
      <c r="CY135" s="124">
        <f t="shared" si="124"/>
        <v>0</v>
      </c>
      <c r="CZ135" s="123"/>
      <c r="DA135" s="124">
        <f t="shared" si="125"/>
        <v>0</v>
      </c>
      <c r="DB135" s="123"/>
      <c r="DC135" s="124">
        <f t="shared" si="126"/>
        <v>0</v>
      </c>
      <c r="DD135" s="123"/>
      <c r="DE135" s="124">
        <f t="shared" si="126"/>
        <v>0</v>
      </c>
      <c r="DF135" s="177">
        <f t="shared" si="72"/>
        <v>0</v>
      </c>
      <c r="DG135" s="126">
        <f t="shared" si="127"/>
        <v>0</v>
      </c>
      <c r="DH135" s="123"/>
      <c r="DI135" s="124">
        <f t="shared" si="190"/>
        <v>0</v>
      </c>
      <c r="DJ135" s="123"/>
      <c r="DK135" s="124">
        <f t="shared" si="191"/>
        <v>0</v>
      </c>
      <c r="DL135" s="123"/>
      <c r="DM135" s="124">
        <f t="shared" si="192"/>
        <v>0</v>
      </c>
      <c r="DN135" s="123"/>
      <c r="DO135" s="124">
        <f t="shared" si="193"/>
        <v>0</v>
      </c>
      <c r="DP135" s="123"/>
      <c r="DQ135" s="124">
        <f t="shared" si="194"/>
        <v>0</v>
      </c>
      <c r="DR135" s="123"/>
      <c r="DS135" s="124">
        <f t="shared" si="195"/>
        <v>0</v>
      </c>
      <c r="DT135" s="123"/>
      <c r="DU135" s="124">
        <f t="shared" si="196"/>
        <v>0</v>
      </c>
      <c r="DV135" s="123"/>
      <c r="DW135" s="124">
        <f t="shared" si="197"/>
        <v>0</v>
      </c>
      <c r="DX135" s="123"/>
      <c r="DY135" s="124">
        <f t="shared" si="136"/>
        <v>0</v>
      </c>
      <c r="DZ135" s="123"/>
      <c r="EA135" s="124">
        <f t="shared" si="137"/>
        <v>0</v>
      </c>
      <c r="EB135" s="123"/>
      <c r="EC135" s="124">
        <f t="shared" si="198"/>
        <v>0</v>
      </c>
      <c r="ED135" s="123"/>
      <c r="EE135" s="124">
        <f t="shared" si="199"/>
        <v>0</v>
      </c>
      <c r="EF135" s="27">
        <f t="shared" si="73"/>
        <v>0</v>
      </c>
      <c r="EG135" s="124">
        <f t="shared" si="140"/>
        <v>0</v>
      </c>
    </row>
    <row r="136" spans="1:137" ht="18" customHeight="1" x14ac:dyDescent="0.5">
      <c r="A136" s="117">
        <v>110</v>
      </c>
      <c r="B136" s="122" t="s">
        <v>203</v>
      </c>
      <c r="C136" s="122" t="s">
        <v>231</v>
      </c>
      <c r="D136" s="117">
        <f t="shared" si="143"/>
        <v>21</v>
      </c>
      <c r="E136" s="117">
        <v>0.64</v>
      </c>
      <c r="F136" s="117" t="s">
        <v>236</v>
      </c>
      <c r="G136" s="117"/>
      <c r="H136" s="123"/>
      <c r="I136" s="124">
        <f t="shared" si="144"/>
        <v>0</v>
      </c>
      <c r="J136" s="123"/>
      <c r="K136" s="124">
        <f t="shared" si="145"/>
        <v>0</v>
      </c>
      <c r="L136" s="123"/>
      <c r="M136" s="124">
        <f t="shared" si="200"/>
        <v>0</v>
      </c>
      <c r="N136" s="123"/>
      <c r="O136" s="124">
        <f t="shared" si="146"/>
        <v>0</v>
      </c>
      <c r="P136" s="123"/>
      <c r="Q136" s="124">
        <f t="shared" si="147"/>
        <v>0</v>
      </c>
      <c r="R136" s="123"/>
      <c r="S136" s="124">
        <f t="shared" si="148"/>
        <v>0</v>
      </c>
      <c r="T136" s="123"/>
      <c r="U136" s="124">
        <f t="shared" si="149"/>
        <v>0</v>
      </c>
      <c r="V136" s="123"/>
      <c r="W136" s="124">
        <f t="shared" si="150"/>
        <v>0</v>
      </c>
      <c r="X136" s="123"/>
      <c r="Y136" s="124">
        <f t="shared" si="151"/>
        <v>0</v>
      </c>
      <c r="Z136" s="123"/>
      <c r="AA136" s="124">
        <f t="shared" si="152"/>
        <v>0</v>
      </c>
      <c r="AB136" s="123"/>
      <c r="AC136" s="124">
        <f t="shared" si="153"/>
        <v>0</v>
      </c>
      <c r="AD136" s="123"/>
      <c r="AE136" s="124">
        <f t="shared" si="154"/>
        <v>0</v>
      </c>
      <c r="AF136" s="125">
        <f t="shared" si="86"/>
        <v>0</v>
      </c>
      <c r="AG136" s="126">
        <f t="shared" si="155"/>
        <v>0</v>
      </c>
      <c r="AH136" s="11"/>
      <c r="AI136" s="124">
        <f t="shared" si="156"/>
        <v>0</v>
      </c>
      <c r="AJ136" s="15"/>
      <c r="AK136" s="124">
        <f t="shared" si="157"/>
        <v>0</v>
      </c>
      <c r="AL136" s="15"/>
      <c r="AM136" s="124">
        <f t="shared" si="158"/>
        <v>0</v>
      </c>
      <c r="AN136" s="16"/>
      <c r="AO136" s="124">
        <f t="shared" si="159"/>
        <v>0</v>
      </c>
      <c r="AP136" s="15"/>
      <c r="AQ136" s="124">
        <f t="shared" si="160"/>
        <v>0</v>
      </c>
      <c r="AR136" s="15"/>
      <c r="AS136" s="124">
        <f t="shared" si="161"/>
        <v>0</v>
      </c>
      <c r="AT136" s="17"/>
      <c r="AU136" s="124">
        <f t="shared" si="162"/>
        <v>0</v>
      </c>
      <c r="AV136" s="15"/>
      <c r="AW136" s="124">
        <f t="shared" si="163"/>
        <v>0</v>
      </c>
      <c r="AX136" s="15"/>
      <c r="AY136" s="124">
        <f t="shared" si="164"/>
        <v>0</v>
      </c>
      <c r="AZ136" s="17"/>
      <c r="BA136" s="124">
        <f t="shared" si="165"/>
        <v>0</v>
      </c>
      <c r="BB136" s="33"/>
      <c r="BC136" s="124">
        <f t="shared" si="166"/>
        <v>0</v>
      </c>
      <c r="BD136" s="33"/>
      <c r="BE136" s="124">
        <f t="shared" si="167"/>
        <v>0</v>
      </c>
      <c r="BF136" s="125">
        <f t="shared" si="100"/>
        <v>0</v>
      </c>
      <c r="BG136" s="126">
        <f t="shared" si="168"/>
        <v>0</v>
      </c>
      <c r="BH136" s="123"/>
      <c r="BI136" s="124">
        <f t="shared" si="169"/>
        <v>0</v>
      </c>
      <c r="BJ136" s="123"/>
      <c r="BK136" s="124">
        <f t="shared" si="170"/>
        <v>0</v>
      </c>
      <c r="BL136" s="123"/>
      <c r="BM136" s="124">
        <f t="shared" si="171"/>
        <v>0</v>
      </c>
      <c r="BN136" s="123"/>
      <c r="BO136" s="124">
        <f t="shared" si="172"/>
        <v>0</v>
      </c>
      <c r="BP136" s="123"/>
      <c r="BQ136" s="124">
        <f t="shared" si="173"/>
        <v>0</v>
      </c>
      <c r="BR136" s="123"/>
      <c r="BS136" s="124">
        <f t="shared" si="174"/>
        <v>0</v>
      </c>
      <c r="BT136" s="123"/>
      <c r="BU136" s="124">
        <f t="shared" si="175"/>
        <v>0</v>
      </c>
      <c r="BV136" s="123"/>
      <c r="BW136" s="124">
        <f t="shared" si="176"/>
        <v>0</v>
      </c>
      <c r="BX136" s="123"/>
      <c r="BY136" s="124">
        <f t="shared" si="177"/>
        <v>0</v>
      </c>
      <c r="BZ136" s="123"/>
      <c r="CA136" s="124">
        <f t="shared" si="178"/>
        <v>0</v>
      </c>
      <c r="CB136" s="123"/>
      <c r="CC136" s="124">
        <f t="shared" si="179"/>
        <v>0</v>
      </c>
      <c r="CD136" s="123"/>
      <c r="CE136" s="124">
        <f t="shared" si="180"/>
        <v>0</v>
      </c>
      <c r="CF136" s="125">
        <f t="shared" si="114"/>
        <v>0</v>
      </c>
      <c r="CG136" s="126">
        <f t="shared" si="181"/>
        <v>0</v>
      </c>
      <c r="CH136" s="123"/>
      <c r="CI136" s="124">
        <f t="shared" si="182"/>
        <v>0</v>
      </c>
      <c r="CJ136" s="123"/>
      <c r="CK136" s="124">
        <f t="shared" si="183"/>
        <v>0</v>
      </c>
      <c r="CL136" s="123"/>
      <c r="CM136" s="124">
        <f t="shared" si="184"/>
        <v>0</v>
      </c>
      <c r="CN136" s="123"/>
      <c r="CO136" s="124">
        <f t="shared" si="185"/>
        <v>0</v>
      </c>
      <c r="CP136" s="123"/>
      <c r="CQ136" s="124">
        <f t="shared" si="186"/>
        <v>0</v>
      </c>
      <c r="CR136" s="123"/>
      <c r="CS136" s="124">
        <f t="shared" si="187"/>
        <v>0</v>
      </c>
      <c r="CT136" s="123"/>
      <c r="CU136" s="124">
        <f t="shared" si="188"/>
        <v>0</v>
      </c>
      <c r="CV136" s="123"/>
      <c r="CW136" s="124">
        <f t="shared" si="189"/>
        <v>0</v>
      </c>
      <c r="CX136" s="123"/>
      <c r="CY136" s="124">
        <f t="shared" si="124"/>
        <v>0</v>
      </c>
      <c r="CZ136" s="123"/>
      <c r="DA136" s="124">
        <f t="shared" si="125"/>
        <v>0</v>
      </c>
      <c r="DB136" s="123"/>
      <c r="DC136" s="124">
        <f t="shared" si="126"/>
        <v>0</v>
      </c>
      <c r="DD136" s="123"/>
      <c r="DE136" s="124">
        <f t="shared" si="126"/>
        <v>0</v>
      </c>
      <c r="DF136" s="177">
        <f t="shared" si="72"/>
        <v>0</v>
      </c>
      <c r="DG136" s="126">
        <f t="shared" si="127"/>
        <v>0</v>
      </c>
      <c r="DH136" s="123"/>
      <c r="DI136" s="124">
        <f t="shared" si="190"/>
        <v>0</v>
      </c>
      <c r="DJ136" s="123"/>
      <c r="DK136" s="124">
        <f t="shared" si="191"/>
        <v>0</v>
      </c>
      <c r="DL136" s="123"/>
      <c r="DM136" s="124">
        <f t="shared" si="192"/>
        <v>0</v>
      </c>
      <c r="DN136" s="123"/>
      <c r="DO136" s="124">
        <f t="shared" si="193"/>
        <v>0</v>
      </c>
      <c r="DP136" s="123"/>
      <c r="DQ136" s="124">
        <f t="shared" si="194"/>
        <v>0</v>
      </c>
      <c r="DR136" s="123"/>
      <c r="DS136" s="124">
        <f t="shared" si="195"/>
        <v>0</v>
      </c>
      <c r="DT136" s="123"/>
      <c r="DU136" s="124">
        <f t="shared" si="196"/>
        <v>0</v>
      </c>
      <c r="DV136" s="123"/>
      <c r="DW136" s="124">
        <f t="shared" si="197"/>
        <v>0</v>
      </c>
      <c r="DX136" s="123"/>
      <c r="DY136" s="124">
        <f t="shared" si="136"/>
        <v>0</v>
      </c>
      <c r="DZ136" s="123"/>
      <c r="EA136" s="124">
        <f t="shared" si="137"/>
        <v>0</v>
      </c>
      <c r="EB136" s="123"/>
      <c r="EC136" s="124">
        <f t="shared" si="198"/>
        <v>0</v>
      </c>
      <c r="ED136" s="123"/>
      <c r="EE136" s="124">
        <f t="shared" si="199"/>
        <v>0</v>
      </c>
      <c r="EF136" s="27">
        <f t="shared" si="73"/>
        <v>0</v>
      </c>
      <c r="EG136" s="124">
        <f t="shared" si="140"/>
        <v>0</v>
      </c>
    </row>
    <row r="137" spans="1:137" ht="18" customHeight="1" x14ac:dyDescent="0.5">
      <c r="A137" s="117">
        <v>111</v>
      </c>
      <c r="B137" s="122" t="s">
        <v>204</v>
      </c>
      <c r="C137" s="122" t="s">
        <v>231</v>
      </c>
      <c r="D137" s="117">
        <f t="shared" si="143"/>
        <v>21</v>
      </c>
      <c r="E137" s="117">
        <v>0.64</v>
      </c>
      <c r="F137" s="117" t="s">
        <v>235</v>
      </c>
      <c r="G137" s="117"/>
      <c r="H137" s="123"/>
      <c r="I137" s="124">
        <f t="shared" si="144"/>
        <v>0</v>
      </c>
      <c r="J137" s="123"/>
      <c r="K137" s="124">
        <f t="shared" si="145"/>
        <v>0</v>
      </c>
      <c r="L137" s="123"/>
      <c r="M137" s="124">
        <f t="shared" si="200"/>
        <v>0</v>
      </c>
      <c r="N137" s="123"/>
      <c r="O137" s="124">
        <f t="shared" si="146"/>
        <v>0</v>
      </c>
      <c r="P137" s="123"/>
      <c r="Q137" s="124">
        <f t="shared" si="147"/>
        <v>0</v>
      </c>
      <c r="R137" s="123"/>
      <c r="S137" s="124">
        <f t="shared" si="148"/>
        <v>0</v>
      </c>
      <c r="T137" s="123"/>
      <c r="U137" s="124">
        <f t="shared" si="149"/>
        <v>0</v>
      </c>
      <c r="V137" s="123"/>
      <c r="W137" s="124">
        <f t="shared" si="150"/>
        <v>0</v>
      </c>
      <c r="X137" s="123"/>
      <c r="Y137" s="124">
        <f t="shared" si="151"/>
        <v>0</v>
      </c>
      <c r="Z137" s="123"/>
      <c r="AA137" s="124">
        <f t="shared" si="152"/>
        <v>0</v>
      </c>
      <c r="AB137" s="123"/>
      <c r="AC137" s="124">
        <f t="shared" si="153"/>
        <v>0</v>
      </c>
      <c r="AD137" s="123"/>
      <c r="AE137" s="124">
        <f t="shared" si="154"/>
        <v>0</v>
      </c>
      <c r="AF137" s="125">
        <f t="shared" si="86"/>
        <v>0</v>
      </c>
      <c r="AG137" s="126">
        <f t="shared" si="155"/>
        <v>0</v>
      </c>
      <c r="AH137" s="11"/>
      <c r="AI137" s="124">
        <f t="shared" si="156"/>
        <v>0</v>
      </c>
      <c r="AJ137" s="15"/>
      <c r="AK137" s="124">
        <f t="shared" si="157"/>
        <v>0</v>
      </c>
      <c r="AL137" s="15"/>
      <c r="AM137" s="124">
        <f t="shared" si="158"/>
        <v>0</v>
      </c>
      <c r="AN137" s="16"/>
      <c r="AO137" s="124">
        <f t="shared" si="159"/>
        <v>0</v>
      </c>
      <c r="AP137" s="15"/>
      <c r="AQ137" s="124">
        <f t="shared" si="160"/>
        <v>0</v>
      </c>
      <c r="AR137" s="15"/>
      <c r="AS137" s="124">
        <f t="shared" si="161"/>
        <v>0</v>
      </c>
      <c r="AT137" s="17"/>
      <c r="AU137" s="124">
        <f t="shared" si="162"/>
        <v>0</v>
      </c>
      <c r="AV137" s="15"/>
      <c r="AW137" s="124">
        <f t="shared" si="163"/>
        <v>0</v>
      </c>
      <c r="AX137" s="15"/>
      <c r="AY137" s="124">
        <f t="shared" si="164"/>
        <v>0</v>
      </c>
      <c r="AZ137" s="17"/>
      <c r="BA137" s="124">
        <f t="shared" si="165"/>
        <v>0</v>
      </c>
      <c r="BB137" s="33"/>
      <c r="BC137" s="124">
        <f t="shared" si="166"/>
        <v>0</v>
      </c>
      <c r="BD137" s="33"/>
      <c r="BE137" s="124">
        <f t="shared" si="167"/>
        <v>0</v>
      </c>
      <c r="BF137" s="125">
        <f t="shared" si="100"/>
        <v>0</v>
      </c>
      <c r="BG137" s="126">
        <f t="shared" si="168"/>
        <v>0</v>
      </c>
      <c r="BH137" s="123"/>
      <c r="BI137" s="124">
        <f t="shared" si="169"/>
        <v>0</v>
      </c>
      <c r="BJ137" s="123"/>
      <c r="BK137" s="124">
        <f t="shared" si="170"/>
        <v>0</v>
      </c>
      <c r="BL137" s="123"/>
      <c r="BM137" s="124">
        <f t="shared" si="171"/>
        <v>0</v>
      </c>
      <c r="BN137" s="123"/>
      <c r="BO137" s="124">
        <f t="shared" si="172"/>
        <v>0</v>
      </c>
      <c r="BP137" s="123"/>
      <c r="BQ137" s="124">
        <f t="shared" si="173"/>
        <v>0</v>
      </c>
      <c r="BR137" s="123"/>
      <c r="BS137" s="124">
        <f t="shared" si="174"/>
        <v>0</v>
      </c>
      <c r="BT137" s="123"/>
      <c r="BU137" s="124">
        <f t="shared" si="175"/>
        <v>0</v>
      </c>
      <c r="BV137" s="123"/>
      <c r="BW137" s="124">
        <f t="shared" si="176"/>
        <v>0</v>
      </c>
      <c r="BX137" s="123"/>
      <c r="BY137" s="124">
        <f t="shared" si="177"/>
        <v>0</v>
      </c>
      <c r="BZ137" s="123"/>
      <c r="CA137" s="124">
        <f t="shared" si="178"/>
        <v>0</v>
      </c>
      <c r="CB137" s="123"/>
      <c r="CC137" s="124">
        <f t="shared" si="179"/>
        <v>0</v>
      </c>
      <c r="CD137" s="123"/>
      <c r="CE137" s="124">
        <f t="shared" si="180"/>
        <v>0</v>
      </c>
      <c r="CF137" s="125">
        <f t="shared" si="114"/>
        <v>0</v>
      </c>
      <c r="CG137" s="126">
        <f t="shared" si="181"/>
        <v>0</v>
      </c>
      <c r="CH137" s="123"/>
      <c r="CI137" s="124">
        <f t="shared" si="182"/>
        <v>0</v>
      </c>
      <c r="CJ137" s="123"/>
      <c r="CK137" s="124">
        <f t="shared" si="183"/>
        <v>0</v>
      </c>
      <c r="CL137" s="123"/>
      <c r="CM137" s="124">
        <f t="shared" si="184"/>
        <v>0</v>
      </c>
      <c r="CN137" s="123"/>
      <c r="CO137" s="124">
        <f t="shared" si="185"/>
        <v>0</v>
      </c>
      <c r="CP137" s="123"/>
      <c r="CQ137" s="124">
        <f t="shared" si="186"/>
        <v>0</v>
      </c>
      <c r="CR137" s="123"/>
      <c r="CS137" s="124">
        <f t="shared" si="187"/>
        <v>0</v>
      </c>
      <c r="CT137" s="123"/>
      <c r="CU137" s="124">
        <f t="shared" si="188"/>
        <v>0</v>
      </c>
      <c r="CV137" s="123"/>
      <c r="CW137" s="124">
        <f t="shared" si="189"/>
        <v>0</v>
      </c>
      <c r="CX137" s="123"/>
      <c r="CY137" s="124">
        <f t="shared" ref="CY137:CY147" si="201">CX137*$E137</f>
        <v>0</v>
      </c>
      <c r="CZ137" s="123"/>
      <c r="DA137" s="124">
        <f t="shared" ref="DA137:DA147" si="202">CZ137*$E137</f>
        <v>0</v>
      </c>
      <c r="DB137" s="123"/>
      <c r="DC137" s="124">
        <f t="shared" si="126"/>
        <v>0</v>
      </c>
      <c r="DD137" s="123"/>
      <c r="DE137" s="124">
        <f t="shared" si="126"/>
        <v>0</v>
      </c>
      <c r="DF137" s="177">
        <f t="shared" si="72"/>
        <v>0</v>
      </c>
      <c r="DG137" s="126">
        <f t="shared" si="127"/>
        <v>0</v>
      </c>
      <c r="DH137" s="123"/>
      <c r="DI137" s="124">
        <f t="shared" si="190"/>
        <v>0</v>
      </c>
      <c r="DJ137" s="123"/>
      <c r="DK137" s="124">
        <f t="shared" si="191"/>
        <v>0</v>
      </c>
      <c r="DL137" s="123"/>
      <c r="DM137" s="124">
        <f t="shared" si="192"/>
        <v>0</v>
      </c>
      <c r="DN137" s="123"/>
      <c r="DO137" s="124">
        <f t="shared" si="193"/>
        <v>0</v>
      </c>
      <c r="DP137" s="123"/>
      <c r="DQ137" s="124">
        <f t="shared" si="194"/>
        <v>0</v>
      </c>
      <c r="DR137" s="123"/>
      <c r="DS137" s="124">
        <f t="shared" si="195"/>
        <v>0</v>
      </c>
      <c r="DT137" s="123"/>
      <c r="DU137" s="124">
        <f t="shared" si="196"/>
        <v>0</v>
      </c>
      <c r="DV137" s="123"/>
      <c r="DW137" s="124">
        <f t="shared" si="197"/>
        <v>0</v>
      </c>
      <c r="DX137" s="123"/>
      <c r="DY137" s="124">
        <f t="shared" ref="DY137:DY147" si="203">DX137*$E137</f>
        <v>0</v>
      </c>
      <c r="DZ137" s="123"/>
      <c r="EA137" s="124">
        <f t="shared" ref="EA137:EA147" si="204">DZ137*$E137</f>
        <v>0</v>
      </c>
      <c r="EB137" s="123"/>
      <c r="EC137" s="124">
        <f t="shared" si="198"/>
        <v>0</v>
      </c>
      <c r="ED137" s="123"/>
      <c r="EE137" s="124">
        <f t="shared" si="199"/>
        <v>0</v>
      </c>
      <c r="EF137" s="27">
        <f t="shared" si="73"/>
        <v>0</v>
      </c>
      <c r="EG137" s="124">
        <f t="shared" si="140"/>
        <v>0</v>
      </c>
    </row>
    <row r="138" spans="1:137" x14ac:dyDescent="0.5">
      <c r="A138" s="117">
        <v>112</v>
      </c>
      <c r="B138" s="122" t="s">
        <v>242</v>
      </c>
      <c r="C138" s="122"/>
      <c r="D138" s="117"/>
      <c r="E138" s="117">
        <v>0.64</v>
      </c>
      <c r="F138" s="117"/>
      <c r="G138" s="117"/>
      <c r="H138" s="123"/>
      <c r="I138" s="124">
        <f t="shared" si="144"/>
        <v>0</v>
      </c>
      <c r="J138" s="123"/>
      <c r="K138" s="124">
        <f t="shared" si="145"/>
        <v>0</v>
      </c>
      <c r="L138" s="123"/>
      <c r="M138" s="124">
        <f t="shared" si="200"/>
        <v>0</v>
      </c>
      <c r="N138" s="123"/>
      <c r="O138" s="124">
        <f t="shared" si="146"/>
        <v>0</v>
      </c>
      <c r="P138" s="123"/>
      <c r="Q138" s="124">
        <f t="shared" si="147"/>
        <v>0</v>
      </c>
      <c r="R138" s="123"/>
      <c r="S138" s="124">
        <f t="shared" si="148"/>
        <v>0</v>
      </c>
      <c r="T138" s="123"/>
      <c r="U138" s="124">
        <f t="shared" si="149"/>
        <v>0</v>
      </c>
      <c r="V138" s="123"/>
      <c r="W138" s="124">
        <f t="shared" si="150"/>
        <v>0</v>
      </c>
      <c r="X138" s="123"/>
      <c r="Y138" s="124">
        <f t="shared" si="151"/>
        <v>0</v>
      </c>
      <c r="Z138" s="123"/>
      <c r="AA138" s="124">
        <f t="shared" si="152"/>
        <v>0</v>
      </c>
      <c r="AB138" s="123"/>
      <c r="AC138" s="124">
        <f t="shared" si="153"/>
        <v>0</v>
      </c>
      <c r="AD138" s="123"/>
      <c r="AE138" s="124">
        <f t="shared" si="154"/>
        <v>0</v>
      </c>
      <c r="AF138" s="125">
        <f t="shared" si="86"/>
        <v>0</v>
      </c>
      <c r="AG138" s="126">
        <f t="shared" si="155"/>
        <v>0</v>
      </c>
      <c r="AH138" s="123"/>
      <c r="AI138" s="124">
        <f t="shared" si="156"/>
        <v>0</v>
      </c>
      <c r="AJ138" s="123"/>
      <c r="AK138" s="124">
        <f t="shared" si="157"/>
        <v>0</v>
      </c>
      <c r="AL138" s="123"/>
      <c r="AM138" s="124">
        <f t="shared" si="158"/>
        <v>0</v>
      </c>
      <c r="AN138" s="123"/>
      <c r="AO138" s="124">
        <f t="shared" si="159"/>
        <v>0</v>
      </c>
      <c r="AP138" s="123"/>
      <c r="AQ138" s="124">
        <f t="shared" si="160"/>
        <v>0</v>
      </c>
      <c r="AR138" s="123"/>
      <c r="AS138" s="124">
        <f t="shared" si="161"/>
        <v>0</v>
      </c>
      <c r="AT138" s="123"/>
      <c r="AU138" s="124">
        <f t="shared" si="162"/>
        <v>0</v>
      </c>
      <c r="AV138" s="123"/>
      <c r="AW138" s="124">
        <f t="shared" si="163"/>
        <v>0</v>
      </c>
      <c r="AX138" s="123"/>
      <c r="AY138" s="124">
        <f t="shared" si="164"/>
        <v>0</v>
      </c>
      <c r="AZ138" s="123"/>
      <c r="BA138" s="124">
        <f t="shared" si="165"/>
        <v>0</v>
      </c>
      <c r="BB138" s="123"/>
      <c r="BC138" s="124">
        <f t="shared" si="166"/>
        <v>0</v>
      </c>
      <c r="BD138" s="123"/>
      <c r="BE138" s="124">
        <f t="shared" si="167"/>
        <v>0</v>
      </c>
      <c r="BF138" s="125">
        <f t="shared" si="100"/>
        <v>0</v>
      </c>
      <c r="BG138" s="126">
        <f t="shared" si="168"/>
        <v>0</v>
      </c>
      <c r="BH138" s="123"/>
      <c r="BI138" s="124">
        <f t="shared" si="169"/>
        <v>0</v>
      </c>
      <c r="BJ138" s="123"/>
      <c r="BK138" s="124">
        <f t="shared" si="170"/>
        <v>0</v>
      </c>
      <c r="BL138" s="123"/>
      <c r="BM138" s="124">
        <f t="shared" si="171"/>
        <v>0</v>
      </c>
      <c r="BN138" s="123"/>
      <c r="BO138" s="124">
        <f t="shared" si="172"/>
        <v>0</v>
      </c>
      <c r="BP138" s="123"/>
      <c r="BQ138" s="124">
        <f t="shared" si="173"/>
        <v>0</v>
      </c>
      <c r="BR138" s="123"/>
      <c r="BS138" s="124">
        <f t="shared" si="174"/>
        <v>0</v>
      </c>
      <c r="BT138" s="123"/>
      <c r="BU138" s="124">
        <f t="shared" si="175"/>
        <v>0</v>
      </c>
      <c r="BV138" s="123"/>
      <c r="BW138" s="124">
        <f t="shared" si="176"/>
        <v>0</v>
      </c>
      <c r="BX138" s="123"/>
      <c r="BY138" s="124">
        <f t="shared" si="177"/>
        <v>0</v>
      </c>
      <c r="BZ138" s="123"/>
      <c r="CA138" s="124">
        <f t="shared" si="178"/>
        <v>0</v>
      </c>
      <c r="CB138" s="123"/>
      <c r="CC138" s="124">
        <f t="shared" si="179"/>
        <v>0</v>
      </c>
      <c r="CD138" s="123"/>
      <c r="CE138" s="124">
        <f t="shared" si="180"/>
        <v>0</v>
      </c>
      <c r="CF138" s="125">
        <f t="shared" si="114"/>
        <v>0</v>
      </c>
      <c r="CG138" s="126">
        <f t="shared" si="181"/>
        <v>0</v>
      </c>
      <c r="CH138" s="129"/>
      <c r="CI138" s="124">
        <f t="shared" si="182"/>
        <v>0</v>
      </c>
      <c r="CJ138" s="123"/>
      <c r="CK138" s="124">
        <f t="shared" si="183"/>
        <v>0</v>
      </c>
      <c r="CL138" s="123"/>
      <c r="CM138" s="124">
        <f t="shared" si="184"/>
        <v>0</v>
      </c>
      <c r="CN138" s="123"/>
      <c r="CO138" s="124">
        <f t="shared" si="185"/>
        <v>0</v>
      </c>
      <c r="CP138" s="123"/>
      <c r="CQ138" s="124">
        <f t="shared" si="186"/>
        <v>0</v>
      </c>
      <c r="CR138" s="123"/>
      <c r="CS138" s="124">
        <f t="shared" si="187"/>
        <v>0</v>
      </c>
      <c r="CT138" s="123"/>
      <c r="CU138" s="124">
        <f t="shared" si="188"/>
        <v>0</v>
      </c>
      <c r="CV138" s="123"/>
      <c r="CW138" s="124">
        <f t="shared" si="189"/>
        <v>0</v>
      </c>
      <c r="CX138" s="123"/>
      <c r="CY138" s="124">
        <f t="shared" si="201"/>
        <v>0</v>
      </c>
      <c r="CZ138" s="123"/>
      <c r="DA138" s="124">
        <f t="shared" si="202"/>
        <v>0</v>
      </c>
      <c r="DB138" s="123"/>
      <c r="DC138" s="124">
        <f t="shared" si="126"/>
        <v>0</v>
      </c>
      <c r="DD138" s="123"/>
      <c r="DE138" s="124">
        <f t="shared" si="126"/>
        <v>0</v>
      </c>
      <c r="DF138" s="177">
        <f t="shared" si="72"/>
        <v>0</v>
      </c>
      <c r="DG138" s="126">
        <f t="shared" si="127"/>
        <v>0</v>
      </c>
      <c r="DH138" s="129"/>
      <c r="DI138" s="124">
        <f t="shared" si="190"/>
        <v>0</v>
      </c>
      <c r="DJ138" s="123"/>
      <c r="DK138" s="124">
        <f t="shared" si="191"/>
        <v>0</v>
      </c>
      <c r="DL138" s="123"/>
      <c r="DM138" s="124">
        <f t="shared" si="192"/>
        <v>0</v>
      </c>
      <c r="DN138" s="123"/>
      <c r="DO138" s="124">
        <f t="shared" si="193"/>
        <v>0</v>
      </c>
      <c r="DP138" s="123"/>
      <c r="DQ138" s="124">
        <f t="shared" si="194"/>
        <v>0</v>
      </c>
      <c r="DR138" s="123"/>
      <c r="DS138" s="124">
        <f t="shared" si="195"/>
        <v>0</v>
      </c>
      <c r="DT138" s="123"/>
      <c r="DU138" s="124">
        <f t="shared" si="196"/>
        <v>0</v>
      </c>
      <c r="DV138" s="123"/>
      <c r="DW138" s="124">
        <f t="shared" si="197"/>
        <v>0</v>
      </c>
      <c r="DX138" s="123"/>
      <c r="DY138" s="124">
        <f t="shared" si="203"/>
        <v>0</v>
      </c>
      <c r="DZ138" s="123"/>
      <c r="EA138" s="124">
        <f t="shared" si="204"/>
        <v>0</v>
      </c>
      <c r="EB138" s="123"/>
      <c r="EC138" s="124">
        <f t="shared" si="198"/>
        <v>0</v>
      </c>
      <c r="ED138" s="123"/>
      <c r="EE138" s="124">
        <f t="shared" si="199"/>
        <v>0</v>
      </c>
      <c r="EF138" s="27">
        <f t="shared" si="73"/>
        <v>0</v>
      </c>
      <c r="EG138" s="124">
        <f t="shared" si="140"/>
        <v>0</v>
      </c>
    </row>
    <row r="139" spans="1:137" ht="18" customHeight="1" x14ac:dyDescent="0.5">
      <c r="A139" s="117">
        <v>113</v>
      </c>
      <c r="B139" s="122" t="s">
        <v>205</v>
      </c>
      <c r="C139" s="122"/>
      <c r="D139" s="117">
        <f>RANK(DF139,$DF$4:$DF$147)</f>
        <v>21</v>
      </c>
      <c r="E139" s="117">
        <v>0.64</v>
      </c>
      <c r="F139" s="117" t="s">
        <v>243</v>
      </c>
      <c r="G139" s="117"/>
      <c r="H139" s="123"/>
      <c r="I139" s="124">
        <f t="shared" si="144"/>
        <v>0</v>
      </c>
      <c r="J139" s="123"/>
      <c r="K139" s="124">
        <f t="shared" si="145"/>
        <v>0</v>
      </c>
      <c r="L139" s="123"/>
      <c r="M139" s="124">
        <f t="shared" si="200"/>
        <v>0</v>
      </c>
      <c r="N139" s="123"/>
      <c r="O139" s="124">
        <f t="shared" si="146"/>
        <v>0</v>
      </c>
      <c r="P139" s="123"/>
      <c r="Q139" s="124">
        <f t="shared" si="147"/>
        <v>0</v>
      </c>
      <c r="R139" s="123"/>
      <c r="S139" s="124">
        <f t="shared" si="148"/>
        <v>0</v>
      </c>
      <c r="T139" s="123"/>
      <c r="U139" s="124">
        <f t="shared" si="149"/>
        <v>0</v>
      </c>
      <c r="V139" s="123"/>
      <c r="W139" s="124">
        <f t="shared" si="150"/>
        <v>0</v>
      </c>
      <c r="X139" s="123"/>
      <c r="Y139" s="124">
        <f t="shared" si="151"/>
        <v>0</v>
      </c>
      <c r="Z139" s="123"/>
      <c r="AA139" s="124">
        <f t="shared" si="152"/>
        <v>0</v>
      </c>
      <c r="AB139" s="123"/>
      <c r="AC139" s="124">
        <f t="shared" si="153"/>
        <v>0</v>
      </c>
      <c r="AD139" s="123"/>
      <c r="AE139" s="124">
        <f t="shared" si="154"/>
        <v>0</v>
      </c>
      <c r="AF139" s="125">
        <f t="shared" si="86"/>
        <v>0</v>
      </c>
      <c r="AG139" s="126">
        <f t="shared" si="155"/>
        <v>0</v>
      </c>
      <c r="AH139" s="11"/>
      <c r="AI139" s="124">
        <f t="shared" si="156"/>
        <v>0</v>
      </c>
      <c r="AJ139" s="15"/>
      <c r="AK139" s="124">
        <f t="shared" si="157"/>
        <v>0</v>
      </c>
      <c r="AL139" s="15"/>
      <c r="AM139" s="124">
        <f t="shared" si="158"/>
        <v>0</v>
      </c>
      <c r="AN139" s="16"/>
      <c r="AO139" s="124">
        <f t="shared" si="159"/>
        <v>0</v>
      </c>
      <c r="AP139" s="15"/>
      <c r="AQ139" s="124">
        <f t="shared" si="160"/>
        <v>0</v>
      </c>
      <c r="AR139" s="15"/>
      <c r="AS139" s="124">
        <f t="shared" si="161"/>
        <v>0</v>
      </c>
      <c r="AT139" s="17"/>
      <c r="AU139" s="124">
        <f t="shared" si="162"/>
        <v>0</v>
      </c>
      <c r="AV139" s="15"/>
      <c r="AW139" s="124">
        <f t="shared" si="163"/>
        <v>0</v>
      </c>
      <c r="AX139" s="15"/>
      <c r="AY139" s="124">
        <f t="shared" si="164"/>
        <v>0</v>
      </c>
      <c r="AZ139" s="17"/>
      <c r="BA139" s="124">
        <f t="shared" si="165"/>
        <v>0</v>
      </c>
      <c r="BB139" s="33"/>
      <c r="BC139" s="124">
        <f t="shared" si="166"/>
        <v>0</v>
      </c>
      <c r="BD139" s="33"/>
      <c r="BE139" s="124">
        <f t="shared" si="167"/>
        <v>0</v>
      </c>
      <c r="BF139" s="125">
        <f t="shared" si="100"/>
        <v>0</v>
      </c>
      <c r="BG139" s="126">
        <f t="shared" si="168"/>
        <v>0</v>
      </c>
      <c r="BH139" s="123"/>
      <c r="BI139" s="124">
        <f t="shared" si="169"/>
        <v>0</v>
      </c>
      <c r="BJ139" s="123"/>
      <c r="BK139" s="124">
        <f t="shared" si="170"/>
        <v>0</v>
      </c>
      <c r="BL139" s="123"/>
      <c r="BM139" s="124">
        <f t="shared" si="171"/>
        <v>0</v>
      </c>
      <c r="BN139" s="123"/>
      <c r="BO139" s="124">
        <f t="shared" si="172"/>
        <v>0</v>
      </c>
      <c r="BP139" s="123"/>
      <c r="BQ139" s="124">
        <f t="shared" si="173"/>
        <v>0</v>
      </c>
      <c r="BR139" s="123"/>
      <c r="BS139" s="124">
        <f t="shared" si="174"/>
        <v>0</v>
      </c>
      <c r="BT139" s="123"/>
      <c r="BU139" s="124">
        <f t="shared" si="175"/>
        <v>0</v>
      </c>
      <c r="BV139" s="123"/>
      <c r="BW139" s="124">
        <f t="shared" si="176"/>
        <v>0</v>
      </c>
      <c r="BX139" s="123"/>
      <c r="BY139" s="124">
        <f t="shared" si="177"/>
        <v>0</v>
      </c>
      <c r="BZ139" s="123"/>
      <c r="CA139" s="124">
        <f t="shared" si="178"/>
        <v>0</v>
      </c>
      <c r="CB139" s="123"/>
      <c r="CC139" s="124">
        <f t="shared" si="179"/>
        <v>0</v>
      </c>
      <c r="CD139" s="123"/>
      <c r="CE139" s="124">
        <f t="shared" si="180"/>
        <v>0</v>
      </c>
      <c r="CF139" s="125">
        <f t="shared" si="114"/>
        <v>0</v>
      </c>
      <c r="CG139" s="126">
        <f t="shared" si="181"/>
        <v>0</v>
      </c>
      <c r="CH139" s="123"/>
      <c r="CI139" s="124">
        <f t="shared" si="182"/>
        <v>0</v>
      </c>
      <c r="CJ139" s="123"/>
      <c r="CK139" s="124">
        <f t="shared" si="183"/>
        <v>0</v>
      </c>
      <c r="CL139" s="123"/>
      <c r="CM139" s="124">
        <f t="shared" si="184"/>
        <v>0</v>
      </c>
      <c r="CN139" s="123"/>
      <c r="CO139" s="124">
        <f t="shared" si="185"/>
        <v>0</v>
      </c>
      <c r="CP139" s="123"/>
      <c r="CQ139" s="124">
        <f t="shared" si="186"/>
        <v>0</v>
      </c>
      <c r="CR139" s="123"/>
      <c r="CS139" s="124">
        <f t="shared" si="187"/>
        <v>0</v>
      </c>
      <c r="CT139" s="123"/>
      <c r="CU139" s="124">
        <f t="shared" si="188"/>
        <v>0</v>
      </c>
      <c r="CV139" s="123"/>
      <c r="CW139" s="124">
        <f t="shared" si="189"/>
        <v>0</v>
      </c>
      <c r="CX139" s="123"/>
      <c r="CY139" s="124">
        <f t="shared" si="201"/>
        <v>0</v>
      </c>
      <c r="CZ139" s="123"/>
      <c r="DA139" s="124">
        <f t="shared" si="202"/>
        <v>0</v>
      </c>
      <c r="DB139" s="123"/>
      <c r="DC139" s="124">
        <f t="shared" si="126"/>
        <v>0</v>
      </c>
      <c r="DD139" s="123"/>
      <c r="DE139" s="124">
        <f t="shared" si="126"/>
        <v>0</v>
      </c>
      <c r="DF139" s="177">
        <f t="shared" si="72"/>
        <v>0</v>
      </c>
      <c r="DG139" s="126">
        <f t="shared" si="127"/>
        <v>0</v>
      </c>
      <c r="DH139" s="123"/>
      <c r="DI139" s="124">
        <f t="shared" si="190"/>
        <v>0</v>
      </c>
      <c r="DJ139" s="123"/>
      <c r="DK139" s="124">
        <f t="shared" si="191"/>
        <v>0</v>
      </c>
      <c r="DL139" s="123"/>
      <c r="DM139" s="124">
        <f t="shared" si="192"/>
        <v>0</v>
      </c>
      <c r="DN139" s="123"/>
      <c r="DO139" s="124">
        <f t="shared" si="193"/>
        <v>0</v>
      </c>
      <c r="DP139" s="123"/>
      <c r="DQ139" s="124">
        <f t="shared" si="194"/>
        <v>0</v>
      </c>
      <c r="DR139" s="123"/>
      <c r="DS139" s="124">
        <f t="shared" si="195"/>
        <v>0</v>
      </c>
      <c r="DT139" s="123"/>
      <c r="DU139" s="124">
        <f t="shared" si="196"/>
        <v>0</v>
      </c>
      <c r="DV139" s="123"/>
      <c r="DW139" s="124">
        <f t="shared" si="197"/>
        <v>0</v>
      </c>
      <c r="DX139" s="123"/>
      <c r="DY139" s="124">
        <f t="shared" si="203"/>
        <v>0</v>
      </c>
      <c r="DZ139" s="123"/>
      <c r="EA139" s="124">
        <f t="shared" si="204"/>
        <v>0</v>
      </c>
      <c r="EB139" s="123"/>
      <c r="EC139" s="124">
        <f t="shared" si="198"/>
        <v>0</v>
      </c>
      <c r="ED139" s="123"/>
      <c r="EE139" s="124">
        <f t="shared" si="199"/>
        <v>0</v>
      </c>
      <c r="EF139" s="27">
        <f t="shared" si="73"/>
        <v>0</v>
      </c>
      <c r="EG139" s="124">
        <f t="shared" si="140"/>
        <v>0</v>
      </c>
    </row>
    <row r="140" spans="1:137" ht="18" customHeight="1" x14ac:dyDescent="0.5">
      <c r="A140" s="117">
        <v>114</v>
      </c>
      <c r="B140" s="122" t="s">
        <v>274</v>
      </c>
      <c r="C140" s="122"/>
      <c r="D140" s="117"/>
      <c r="E140" s="117"/>
      <c r="F140" s="117"/>
      <c r="G140" s="117"/>
      <c r="H140" s="123"/>
      <c r="I140" s="124">
        <f t="shared" si="144"/>
        <v>0</v>
      </c>
      <c r="J140" s="123"/>
      <c r="K140" s="124">
        <f t="shared" si="145"/>
        <v>0</v>
      </c>
      <c r="L140" s="123"/>
      <c r="M140" s="124">
        <f t="shared" si="200"/>
        <v>0</v>
      </c>
      <c r="N140" s="123"/>
      <c r="O140" s="124">
        <f t="shared" si="146"/>
        <v>0</v>
      </c>
      <c r="P140" s="123"/>
      <c r="Q140" s="124">
        <f t="shared" si="147"/>
        <v>0</v>
      </c>
      <c r="R140" s="123"/>
      <c r="S140" s="124">
        <f t="shared" si="148"/>
        <v>0</v>
      </c>
      <c r="T140" s="123"/>
      <c r="U140" s="124">
        <f t="shared" si="149"/>
        <v>0</v>
      </c>
      <c r="V140" s="123"/>
      <c r="W140" s="124">
        <f t="shared" si="150"/>
        <v>0</v>
      </c>
      <c r="X140" s="123"/>
      <c r="Y140" s="124">
        <f t="shared" si="151"/>
        <v>0</v>
      </c>
      <c r="Z140" s="123"/>
      <c r="AA140" s="124">
        <f t="shared" si="152"/>
        <v>0</v>
      </c>
      <c r="AB140" s="123"/>
      <c r="AC140" s="124">
        <f t="shared" si="153"/>
        <v>0</v>
      </c>
      <c r="AD140" s="123"/>
      <c r="AE140" s="124">
        <f t="shared" si="154"/>
        <v>0</v>
      </c>
      <c r="AF140" s="125">
        <f t="shared" si="86"/>
        <v>0</v>
      </c>
      <c r="AG140" s="126">
        <f t="shared" si="155"/>
        <v>0</v>
      </c>
      <c r="AH140" s="11"/>
      <c r="AI140" s="124">
        <f t="shared" si="156"/>
        <v>0</v>
      </c>
      <c r="AJ140" s="15"/>
      <c r="AK140" s="124">
        <f t="shared" si="157"/>
        <v>0</v>
      </c>
      <c r="AL140" s="15"/>
      <c r="AM140" s="124">
        <f t="shared" si="158"/>
        <v>0</v>
      </c>
      <c r="AN140" s="16"/>
      <c r="AO140" s="124">
        <f t="shared" si="159"/>
        <v>0</v>
      </c>
      <c r="AP140" s="15"/>
      <c r="AQ140" s="124">
        <f t="shared" si="160"/>
        <v>0</v>
      </c>
      <c r="AR140" s="15"/>
      <c r="AS140" s="124">
        <f t="shared" si="161"/>
        <v>0</v>
      </c>
      <c r="AT140" s="17"/>
      <c r="AU140" s="124">
        <f t="shared" si="162"/>
        <v>0</v>
      </c>
      <c r="AV140" s="15"/>
      <c r="AW140" s="124">
        <f t="shared" si="163"/>
        <v>0</v>
      </c>
      <c r="AX140" s="15"/>
      <c r="AY140" s="124">
        <f t="shared" si="164"/>
        <v>0</v>
      </c>
      <c r="AZ140" s="17"/>
      <c r="BA140" s="124">
        <f t="shared" si="165"/>
        <v>0</v>
      </c>
      <c r="BB140" s="33"/>
      <c r="BC140" s="124">
        <f t="shared" si="166"/>
        <v>0</v>
      </c>
      <c r="BD140" s="33"/>
      <c r="BE140" s="124">
        <f t="shared" si="167"/>
        <v>0</v>
      </c>
      <c r="BF140" s="125">
        <f t="shared" si="100"/>
        <v>0</v>
      </c>
      <c r="BG140" s="126">
        <f t="shared" si="168"/>
        <v>0</v>
      </c>
      <c r="BH140" s="123"/>
      <c r="BI140" s="124">
        <f t="shared" si="169"/>
        <v>0</v>
      </c>
      <c r="BJ140" s="123"/>
      <c r="BK140" s="124">
        <f t="shared" si="170"/>
        <v>0</v>
      </c>
      <c r="BL140" s="123"/>
      <c r="BM140" s="124">
        <f t="shared" si="171"/>
        <v>0</v>
      </c>
      <c r="BN140" s="123"/>
      <c r="BO140" s="124">
        <f t="shared" si="172"/>
        <v>0</v>
      </c>
      <c r="BP140" s="123"/>
      <c r="BQ140" s="124">
        <f t="shared" si="173"/>
        <v>0</v>
      </c>
      <c r="BR140" s="123"/>
      <c r="BS140" s="124">
        <f t="shared" si="174"/>
        <v>0</v>
      </c>
      <c r="BT140" s="123"/>
      <c r="BU140" s="124">
        <f t="shared" si="175"/>
        <v>0</v>
      </c>
      <c r="BV140" s="123"/>
      <c r="BW140" s="124">
        <f t="shared" si="176"/>
        <v>0</v>
      </c>
      <c r="BX140" s="123"/>
      <c r="BY140" s="124">
        <f t="shared" si="177"/>
        <v>0</v>
      </c>
      <c r="BZ140" s="123"/>
      <c r="CA140" s="124">
        <f t="shared" si="178"/>
        <v>0</v>
      </c>
      <c r="CB140" s="123"/>
      <c r="CC140" s="124">
        <f t="shared" si="179"/>
        <v>0</v>
      </c>
      <c r="CD140" s="123"/>
      <c r="CE140" s="124">
        <f t="shared" si="180"/>
        <v>0</v>
      </c>
      <c r="CF140" s="125">
        <f t="shared" si="114"/>
        <v>0</v>
      </c>
      <c r="CG140" s="126">
        <f t="shared" si="181"/>
        <v>0</v>
      </c>
      <c r="CH140" s="123"/>
      <c r="CI140" s="124">
        <f t="shared" si="182"/>
        <v>0</v>
      </c>
      <c r="CJ140" s="123"/>
      <c r="CK140" s="124">
        <f t="shared" si="183"/>
        <v>0</v>
      </c>
      <c r="CL140" s="123"/>
      <c r="CM140" s="124">
        <f t="shared" si="184"/>
        <v>0</v>
      </c>
      <c r="CN140" s="123"/>
      <c r="CO140" s="124">
        <f t="shared" si="185"/>
        <v>0</v>
      </c>
      <c r="CP140" s="123"/>
      <c r="CQ140" s="124">
        <f t="shared" si="186"/>
        <v>0</v>
      </c>
      <c r="CR140" s="123"/>
      <c r="CS140" s="124">
        <f t="shared" si="187"/>
        <v>0</v>
      </c>
      <c r="CT140" s="123"/>
      <c r="CU140" s="124">
        <f t="shared" si="188"/>
        <v>0</v>
      </c>
      <c r="CV140" s="123"/>
      <c r="CW140" s="124">
        <f t="shared" si="189"/>
        <v>0</v>
      </c>
      <c r="CX140" s="123"/>
      <c r="CY140" s="124">
        <f t="shared" si="201"/>
        <v>0</v>
      </c>
      <c r="CZ140" s="123"/>
      <c r="DA140" s="124">
        <f t="shared" si="202"/>
        <v>0</v>
      </c>
      <c r="DB140" s="123"/>
      <c r="DC140" s="124">
        <f t="shared" si="126"/>
        <v>0</v>
      </c>
      <c r="DD140" s="123"/>
      <c r="DE140" s="124">
        <f t="shared" si="126"/>
        <v>0</v>
      </c>
      <c r="DF140" s="177">
        <f t="shared" si="72"/>
        <v>0</v>
      </c>
      <c r="DG140" s="126">
        <f t="shared" si="127"/>
        <v>0</v>
      </c>
      <c r="DH140" s="123"/>
      <c r="DI140" s="124">
        <f t="shared" si="190"/>
        <v>0</v>
      </c>
      <c r="DJ140" s="123"/>
      <c r="DK140" s="124">
        <f t="shared" si="191"/>
        <v>0</v>
      </c>
      <c r="DL140" s="123"/>
      <c r="DM140" s="124">
        <f t="shared" si="192"/>
        <v>0</v>
      </c>
      <c r="DN140" s="123"/>
      <c r="DO140" s="124">
        <f t="shared" si="193"/>
        <v>0</v>
      </c>
      <c r="DP140" s="123"/>
      <c r="DQ140" s="124">
        <f t="shared" si="194"/>
        <v>0</v>
      </c>
      <c r="DR140" s="123"/>
      <c r="DS140" s="124">
        <f t="shared" si="195"/>
        <v>0</v>
      </c>
      <c r="DT140" s="123"/>
      <c r="DU140" s="124">
        <f t="shared" si="196"/>
        <v>0</v>
      </c>
      <c r="DV140" s="123"/>
      <c r="DW140" s="124">
        <f t="shared" si="197"/>
        <v>0</v>
      </c>
      <c r="DX140" s="123"/>
      <c r="DY140" s="124">
        <f t="shared" si="203"/>
        <v>0</v>
      </c>
      <c r="DZ140" s="123"/>
      <c r="EA140" s="124">
        <f t="shared" si="204"/>
        <v>0</v>
      </c>
      <c r="EB140" s="123"/>
      <c r="EC140" s="124">
        <f t="shared" si="198"/>
        <v>0</v>
      </c>
      <c r="ED140" s="123"/>
      <c r="EE140" s="124">
        <f t="shared" si="199"/>
        <v>0</v>
      </c>
      <c r="EF140" s="27">
        <f t="shared" si="73"/>
        <v>0</v>
      </c>
      <c r="EG140" s="124">
        <f t="shared" si="140"/>
        <v>0</v>
      </c>
    </row>
    <row r="141" spans="1:137" ht="18" customHeight="1" x14ac:dyDescent="0.5">
      <c r="A141" s="117">
        <v>115</v>
      </c>
      <c r="B141" s="122" t="s">
        <v>275</v>
      </c>
      <c r="C141" s="122"/>
      <c r="D141" s="117"/>
      <c r="E141" s="117"/>
      <c r="F141" s="117"/>
      <c r="G141" s="117"/>
      <c r="H141" s="123"/>
      <c r="I141" s="124"/>
      <c r="J141" s="123"/>
      <c r="K141" s="124"/>
      <c r="L141" s="123"/>
      <c r="M141" s="124"/>
      <c r="N141" s="123"/>
      <c r="O141" s="124"/>
      <c r="P141" s="123"/>
      <c r="Q141" s="124"/>
      <c r="R141" s="123"/>
      <c r="S141" s="124"/>
      <c r="T141" s="123"/>
      <c r="U141" s="124"/>
      <c r="V141" s="123"/>
      <c r="W141" s="124"/>
      <c r="X141" s="123"/>
      <c r="Y141" s="124"/>
      <c r="Z141" s="123"/>
      <c r="AA141" s="124"/>
      <c r="AB141" s="123"/>
      <c r="AC141" s="124"/>
      <c r="AD141" s="123"/>
      <c r="AE141" s="124"/>
      <c r="AF141" s="125"/>
      <c r="AG141" s="126"/>
      <c r="AH141" s="11"/>
      <c r="AI141" s="124"/>
      <c r="AJ141" s="15"/>
      <c r="AK141" s="124"/>
      <c r="AL141" s="15"/>
      <c r="AM141" s="124"/>
      <c r="AN141" s="16"/>
      <c r="AO141" s="124"/>
      <c r="AP141" s="15"/>
      <c r="AQ141" s="124"/>
      <c r="AR141" s="15"/>
      <c r="AS141" s="124"/>
      <c r="AT141" s="17"/>
      <c r="AU141" s="124"/>
      <c r="AV141" s="15"/>
      <c r="AW141" s="124"/>
      <c r="AX141" s="15"/>
      <c r="AY141" s="124"/>
      <c r="AZ141" s="17"/>
      <c r="BA141" s="124"/>
      <c r="BB141" s="33"/>
      <c r="BC141" s="124"/>
      <c r="BD141" s="33"/>
      <c r="BE141" s="124"/>
      <c r="BF141" s="125"/>
      <c r="BG141" s="126"/>
      <c r="BH141" s="123"/>
      <c r="BI141" s="124"/>
      <c r="BJ141" s="123"/>
      <c r="BK141" s="124"/>
      <c r="BL141" s="123"/>
      <c r="BM141" s="124"/>
      <c r="BN141" s="123"/>
      <c r="BO141" s="124"/>
      <c r="BP141" s="123"/>
      <c r="BQ141" s="124"/>
      <c r="BR141" s="123"/>
      <c r="BS141" s="124"/>
      <c r="BT141" s="123"/>
      <c r="BU141" s="124"/>
      <c r="BV141" s="123"/>
      <c r="BW141" s="124"/>
      <c r="BX141" s="123"/>
      <c r="BY141" s="124"/>
      <c r="BZ141" s="123"/>
      <c r="CA141" s="124"/>
      <c r="CB141" s="123"/>
      <c r="CC141" s="124"/>
      <c r="CD141" s="123"/>
      <c r="CE141" s="124"/>
      <c r="CF141" s="125"/>
      <c r="CG141" s="126"/>
      <c r="CH141" s="123"/>
      <c r="CI141" s="124"/>
      <c r="CJ141" s="123"/>
      <c r="CK141" s="124"/>
      <c r="CL141" s="123"/>
      <c r="CM141" s="124"/>
      <c r="CN141" s="123"/>
      <c r="CO141" s="124"/>
      <c r="CP141" s="123"/>
      <c r="CQ141" s="124"/>
      <c r="CR141" s="123"/>
      <c r="CS141" s="124"/>
      <c r="CT141" s="123"/>
      <c r="CU141" s="124"/>
      <c r="CV141" s="123"/>
      <c r="CW141" s="124"/>
      <c r="CX141" s="123"/>
      <c r="CY141" s="124"/>
      <c r="CZ141" s="123"/>
      <c r="DA141" s="124"/>
      <c r="DB141" s="123"/>
      <c r="DC141" s="124"/>
      <c r="DD141" s="123"/>
      <c r="DE141" s="124"/>
      <c r="DF141" s="177"/>
      <c r="DG141" s="126"/>
      <c r="DH141" s="123"/>
      <c r="DI141" s="124"/>
      <c r="DJ141" s="123"/>
      <c r="DK141" s="124"/>
      <c r="DL141" s="123"/>
      <c r="DM141" s="124"/>
      <c r="DN141" s="123"/>
      <c r="DO141" s="124"/>
      <c r="DP141" s="123"/>
      <c r="DQ141" s="124"/>
      <c r="DR141" s="123"/>
      <c r="DS141" s="124"/>
      <c r="DT141" s="123"/>
      <c r="DU141" s="124"/>
      <c r="DV141" s="123"/>
      <c r="DW141" s="124"/>
      <c r="DX141" s="123"/>
      <c r="DY141" s="124"/>
      <c r="DZ141" s="123"/>
      <c r="EA141" s="124"/>
      <c r="EB141" s="123"/>
      <c r="EC141" s="124"/>
      <c r="ED141" s="123"/>
      <c r="EE141" s="124"/>
      <c r="EF141" s="27"/>
      <c r="EG141" s="124"/>
    </row>
    <row r="142" spans="1:137" ht="18" customHeight="1" x14ac:dyDescent="0.5">
      <c r="A142" s="117"/>
      <c r="B142" s="122"/>
      <c r="C142" s="122"/>
      <c r="D142" s="117"/>
      <c r="E142" s="117"/>
      <c r="F142" s="117"/>
      <c r="G142" s="117"/>
      <c r="H142" s="123"/>
      <c r="I142" s="124"/>
      <c r="J142" s="123"/>
      <c r="K142" s="124"/>
      <c r="L142" s="123"/>
      <c r="M142" s="124"/>
      <c r="N142" s="123"/>
      <c r="O142" s="124"/>
      <c r="P142" s="123"/>
      <c r="Q142" s="124"/>
      <c r="R142" s="123"/>
      <c r="S142" s="124"/>
      <c r="T142" s="123"/>
      <c r="U142" s="124"/>
      <c r="V142" s="123"/>
      <c r="W142" s="124"/>
      <c r="X142" s="123"/>
      <c r="Y142" s="124"/>
      <c r="Z142" s="123"/>
      <c r="AA142" s="124"/>
      <c r="AB142" s="123"/>
      <c r="AC142" s="124"/>
      <c r="AD142" s="123"/>
      <c r="AE142" s="124"/>
      <c r="AF142" s="125"/>
      <c r="AG142" s="126"/>
      <c r="AH142" s="11"/>
      <c r="AI142" s="124"/>
      <c r="AJ142" s="15"/>
      <c r="AK142" s="124"/>
      <c r="AL142" s="15"/>
      <c r="AM142" s="124"/>
      <c r="AN142" s="16"/>
      <c r="AO142" s="124"/>
      <c r="AP142" s="15"/>
      <c r="AQ142" s="124"/>
      <c r="AR142" s="15"/>
      <c r="AS142" s="124"/>
      <c r="AT142" s="17"/>
      <c r="AU142" s="124"/>
      <c r="AV142" s="15"/>
      <c r="AW142" s="124"/>
      <c r="AX142" s="15"/>
      <c r="AY142" s="124"/>
      <c r="AZ142" s="17"/>
      <c r="BA142" s="124"/>
      <c r="BB142" s="33"/>
      <c r="BC142" s="124"/>
      <c r="BD142" s="33"/>
      <c r="BE142" s="124"/>
      <c r="BF142" s="125"/>
      <c r="BG142" s="126"/>
      <c r="BH142" s="123"/>
      <c r="BI142" s="124"/>
      <c r="BJ142" s="123"/>
      <c r="BK142" s="124"/>
      <c r="BL142" s="123"/>
      <c r="BM142" s="124"/>
      <c r="BN142" s="123"/>
      <c r="BO142" s="124"/>
      <c r="BP142" s="123"/>
      <c r="BQ142" s="124"/>
      <c r="BR142" s="123"/>
      <c r="BS142" s="124"/>
      <c r="BT142" s="123"/>
      <c r="BU142" s="124"/>
      <c r="BV142" s="123"/>
      <c r="BW142" s="124"/>
      <c r="BX142" s="123"/>
      <c r="BY142" s="124"/>
      <c r="BZ142" s="123"/>
      <c r="CA142" s="124"/>
      <c r="CB142" s="123"/>
      <c r="CC142" s="124"/>
      <c r="CD142" s="123"/>
      <c r="CE142" s="124"/>
      <c r="CF142" s="125"/>
      <c r="CG142" s="126"/>
      <c r="CH142" s="123"/>
      <c r="CI142" s="124"/>
      <c r="CJ142" s="123"/>
      <c r="CK142" s="124"/>
      <c r="CL142" s="123"/>
      <c r="CM142" s="124"/>
      <c r="CN142" s="123"/>
      <c r="CO142" s="124"/>
      <c r="CP142" s="123"/>
      <c r="CQ142" s="124"/>
      <c r="CR142" s="123"/>
      <c r="CS142" s="124"/>
      <c r="CT142" s="123"/>
      <c r="CU142" s="124"/>
      <c r="CV142" s="123"/>
      <c r="CW142" s="124"/>
      <c r="CX142" s="123"/>
      <c r="CY142" s="124"/>
      <c r="CZ142" s="123"/>
      <c r="DA142" s="124"/>
      <c r="DB142" s="123"/>
      <c r="DC142" s="124"/>
      <c r="DD142" s="123"/>
      <c r="DE142" s="124"/>
      <c r="DF142" s="177"/>
      <c r="DG142" s="126"/>
      <c r="DH142" s="123"/>
      <c r="DI142" s="124"/>
      <c r="DJ142" s="123"/>
      <c r="DK142" s="124"/>
      <c r="DL142" s="123"/>
      <c r="DM142" s="124"/>
      <c r="DN142" s="123"/>
      <c r="DO142" s="124"/>
      <c r="DP142" s="123"/>
      <c r="DQ142" s="124"/>
      <c r="DR142" s="123"/>
      <c r="DS142" s="124"/>
      <c r="DT142" s="123"/>
      <c r="DU142" s="124"/>
      <c r="DV142" s="123"/>
      <c r="DW142" s="124"/>
      <c r="DX142" s="123"/>
      <c r="DY142" s="124"/>
      <c r="DZ142" s="123"/>
      <c r="EA142" s="124"/>
      <c r="EB142" s="123"/>
      <c r="EC142" s="124"/>
      <c r="ED142" s="123"/>
      <c r="EE142" s="124"/>
      <c r="EF142" s="27"/>
      <c r="EG142" s="124"/>
    </row>
    <row r="143" spans="1:137" ht="18" customHeight="1" x14ac:dyDescent="0.5">
      <c r="A143" s="117">
        <v>116</v>
      </c>
      <c r="B143" s="122" t="s">
        <v>218</v>
      </c>
      <c r="C143" s="122" t="s">
        <v>231</v>
      </c>
      <c r="D143" s="117">
        <f>RANK(DF143,$DF$4:$DF$147)</f>
        <v>21</v>
      </c>
      <c r="E143" s="117">
        <v>0.7</v>
      </c>
      <c r="F143" s="117" t="s">
        <v>232</v>
      </c>
      <c r="G143" s="117"/>
      <c r="H143" s="123"/>
      <c r="I143" s="124">
        <f t="shared" si="144"/>
        <v>0</v>
      </c>
      <c r="J143" s="123">
        <v>22</v>
      </c>
      <c r="K143" s="124">
        <f t="shared" si="145"/>
        <v>15.399999999999999</v>
      </c>
      <c r="L143" s="123">
        <v>7</v>
      </c>
      <c r="M143" s="124">
        <f t="shared" si="200"/>
        <v>4.8999999999999995</v>
      </c>
      <c r="N143" s="123"/>
      <c r="O143" s="124">
        <f t="shared" si="146"/>
        <v>0</v>
      </c>
      <c r="P143" s="123"/>
      <c r="Q143" s="124">
        <f t="shared" si="147"/>
        <v>0</v>
      </c>
      <c r="R143" s="123"/>
      <c r="S143" s="124">
        <f t="shared" si="148"/>
        <v>0</v>
      </c>
      <c r="T143" s="123"/>
      <c r="U143" s="124">
        <f t="shared" si="149"/>
        <v>0</v>
      </c>
      <c r="V143" s="123"/>
      <c r="W143" s="124">
        <f t="shared" si="150"/>
        <v>0</v>
      </c>
      <c r="X143" s="123">
        <v>12</v>
      </c>
      <c r="Y143" s="124">
        <f t="shared" si="151"/>
        <v>8.3999999999999986</v>
      </c>
      <c r="Z143" s="123">
        <v>12</v>
      </c>
      <c r="AA143" s="124">
        <f t="shared" si="152"/>
        <v>8.3999999999999986</v>
      </c>
      <c r="AB143" s="123"/>
      <c r="AC143" s="124">
        <f t="shared" si="153"/>
        <v>0</v>
      </c>
      <c r="AD143" s="123">
        <v>12</v>
      </c>
      <c r="AE143" s="124">
        <f t="shared" si="154"/>
        <v>8.3999999999999986</v>
      </c>
      <c r="AF143" s="125">
        <f t="shared" si="86"/>
        <v>65</v>
      </c>
      <c r="AG143" s="126">
        <f t="shared" si="155"/>
        <v>45.5</v>
      </c>
      <c r="AH143" s="123">
        <v>12</v>
      </c>
      <c r="AI143" s="124">
        <f t="shared" si="156"/>
        <v>8.3999999999999986</v>
      </c>
      <c r="AJ143" s="123"/>
      <c r="AK143" s="124">
        <f t="shared" si="157"/>
        <v>0</v>
      </c>
      <c r="AL143" s="123"/>
      <c r="AM143" s="124">
        <f t="shared" si="158"/>
        <v>0</v>
      </c>
      <c r="AN143" s="123"/>
      <c r="AO143" s="124">
        <f t="shared" si="159"/>
        <v>0</v>
      </c>
      <c r="AP143" s="123"/>
      <c r="AQ143" s="124">
        <f t="shared" si="160"/>
        <v>0</v>
      </c>
      <c r="AR143" s="123"/>
      <c r="AS143" s="124">
        <f t="shared" si="161"/>
        <v>0</v>
      </c>
      <c r="AT143" s="123"/>
      <c r="AU143" s="124">
        <f t="shared" si="162"/>
        <v>0</v>
      </c>
      <c r="AV143" s="123"/>
      <c r="AW143" s="124">
        <f t="shared" si="163"/>
        <v>0</v>
      </c>
      <c r="AX143" s="123"/>
      <c r="AY143" s="124">
        <f t="shared" si="164"/>
        <v>0</v>
      </c>
      <c r="AZ143" s="123"/>
      <c r="BA143" s="124">
        <f t="shared" si="165"/>
        <v>0</v>
      </c>
      <c r="BB143" s="123"/>
      <c r="BC143" s="124">
        <f t="shared" si="166"/>
        <v>0</v>
      </c>
      <c r="BD143" s="123"/>
      <c r="BE143" s="124">
        <f t="shared" si="167"/>
        <v>0</v>
      </c>
      <c r="BF143" s="125">
        <f t="shared" si="100"/>
        <v>12</v>
      </c>
      <c r="BG143" s="126">
        <f t="shared" si="168"/>
        <v>8.3999999999999986</v>
      </c>
      <c r="BH143" s="123"/>
      <c r="BI143" s="124">
        <f t="shared" si="169"/>
        <v>0</v>
      </c>
      <c r="BJ143" s="123"/>
      <c r="BK143" s="124">
        <f t="shared" si="170"/>
        <v>0</v>
      </c>
      <c r="BL143" s="123"/>
      <c r="BM143" s="124">
        <f t="shared" si="171"/>
        <v>0</v>
      </c>
      <c r="BN143" s="123"/>
      <c r="BO143" s="124">
        <f t="shared" si="172"/>
        <v>0</v>
      </c>
      <c r="BP143" s="123"/>
      <c r="BQ143" s="124">
        <f t="shared" si="173"/>
        <v>0</v>
      </c>
      <c r="BR143" s="123"/>
      <c r="BS143" s="124">
        <f t="shared" si="174"/>
        <v>0</v>
      </c>
      <c r="BT143" s="123"/>
      <c r="BU143" s="124">
        <f t="shared" si="175"/>
        <v>0</v>
      </c>
      <c r="BV143" s="123"/>
      <c r="BW143" s="124">
        <f t="shared" si="176"/>
        <v>0</v>
      </c>
      <c r="BX143" s="123"/>
      <c r="BY143" s="124">
        <f t="shared" si="177"/>
        <v>0</v>
      </c>
      <c r="BZ143" s="123"/>
      <c r="CA143" s="124">
        <f t="shared" si="178"/>
        <v>0</v>
      </c>
      <c r="CB143" s="123"/>
      <c r="CC143" s="124">
        <f t="shared" si="179"/>
        <v>0</v>
      </c>
      <c r="CD143" s="123"/>
      <c r="CE143" s="124">
        <f t="shared" si="180"/>
        <v>0</v>
      </c>
      <c r="CF143" s="125">
        <f t="shared" si="114"/>
        <v>0</v>
      </c>
      <c r="CG143" s="126">
        <f t="shared" si="181"/>
        <v>0</v>
      </c>
      <c r="CH143" s="123"/>
      <c r="CI143" s="124">
        <f t="shared" si="182"/>
        <v>0</v>
      </c>
      <c r="CJ143" s="123"/>
      <c r="CK143" s="124">
        <f t="shared" si="183"/>
        <v>0</v>
      </c>
      <c r="CL143" s="123"/>
      <c r="CM143" s="124">
        <f t="shared" si="184"/>
        <v>0</v>
      </c>
      <c r="CN143" s="123"/>
      <c r="CO143" s="124">
        <f t="shared" si="185"/>
        <v>0</v>
      </c>
      <c r="CP143" s="123"/>
      <c r="CQ143" s="124">
        <f t="shared" si="186"/>
        <v>0</v>
      </c>
      <c r="CR143" s="123"/>
      <c r="CS143" s="124">
        <f t="shared" si="187"/>
        <v>0</v>
      </c>
      <c r="CT143" s="123"/>
      <c r="CU143" s="124">
        <f t="shared" si="188"/>
        <v>0</v>
      </c>
      <c r="CV143" s="123"/>
      <c r="CW143" s="124">
        <f t="shared" si="189"/>
        <v>0</v>
      </c>
      <c r="CX143" s="123"/>
      <c r="CY143" s="124">
        <f t="shared" si="201"/>
        <v>0</v>
      </c>
      <c r="CZ143" s="123"/>
      <c r="DA143" s="124">
        <f t="shared" si="202"/>
        <v>0</v>
      </c>
      <c r="DB143" s="123"/>
      <c r="DC143" s="124">
        <f t="shared" si="126"/>
        <v>0</v>
      </c>
      <c r="DD143" s="123"/>
      <c r="DE143" s="124">
        <f t="shared" si="126"/>
        <v>0</v>
      </c>
      <c r="DF143" s="177">
        <f t="shared" ref="DF143:DF147" si="205">SUM(CH143,CJ143,CL143,CN143,CP143,CR143,CT143,CV143,CX143,CZ143,DB143,DD143)</f>
        <v>0</v>
      </c>
      <c r="DG143" s="126">
        <f t="shared" si="127"/>
        <v>0</v>
      </c>
      <c r="DH143" s="123"/>
      <c r="DI143" s="124">
        <f t="shared" si="190"/>
        <v>0</v>
      </c>
      <c r="DJ143" s="123"/>
      <c r="DK143" s="124">
        <f t="shared" si="191"/>
        <v>0</v>
      </c>
      <c r="DL143" s="123"/>
      <c r="DM143" s="124">
        <f t="shared" si="192"/>
        <v>0</v>
      </c>
      <c r="DN143" s="123"/>
      <c r="DO143" s="124">
        <f t="shared" si="193"/>
        <v>0</v>
      </c>
      <c r="DP143" s="123"/>
      <c r="DQ143" s="124">
        <f t="shared" si="194"/>
        <v>0</v>
      </c>
      <c r="DR143" s="123"/>
      <c r="DS143" s="124">
        <f t="shared" si="195"/>
        <v>0</v>
      </c>
      <c r="DT143" s="123"/>
      <c r="DU143" s="124">
        <f t="shared" si="196"/>
        <v>0</v>
      </c>
      <c r="DV143" s="123"/>
      <c r="DW143" s="124">
        <f t="shared" si="197"/>
        <v>0</v>
      </c>
      <c r="DX143" s="123"/>
      <c r="DY143" s="124">
        <f t="shared" si="203"/>
        <v>0</v>
      </c>
      <c r="DZ143" s="123"/>
      <c r="EA143" s="124">
        <f t="shared" si="204"/>
        <v>0</v>
      </c>
      <c r="EB143" s="123"/>
      <c r="EC143" s="124">
        <f t="shared" si="198"/>
        <v>0</v>
      </c>
      <c r="ED143" s="123"/>
      <c r="EE143" s="124">
        <f t="shared" si="199"/>
        <v>0</v>
      </c>
      <c r="EF143" s="27">
        <f t="shared" ref="EF143:EF147" si="206">SUM(DH143,DJ143,DL143,DN143,DP143,DR143,DT143,DV143,DX143,DZ143,EB143,ED143)</f>
        <v>0</v>
      </c>
      <c r="EG143" s="124">
        <f t="shared" si="140"/>
        <v>0</v>
      </c>
    </row>
    <row r="144" spans="1:137" x14ac:dyDescent="0.5">
      <c r="A144" s="117">
        <v>117</v>
      </c>
      <c r="B144" s="122" t="s">
        <v>219</v>
      </c>
      <c r="C144" s="122"/>
      <c r="D144" s="117">
        <f>RANK(DF144,$DF$4:$DF$147)</f>
        <v>21</v>
      </c>
      <c r="E144" s="117">
        <v>20</v>
      </c>
      <c r="F144" s="117">
        <v>1</v>
      </c>
      <c r="G144" s="117"/>
      <c r="H144" s="123"/>
      <c r="I144" s="124">
        <f t="shared" si="144"/>
        <v>0</v>
      </c>
      <c r="J144" s="123"/>
      <c r="K144" s="124">
        <f t="shared" si="145"/>
        <v>0</v>
      </c>
      <c r="L144" s="123"/>
      <c r="M144" s="124">
        <f t="shared" si="200"/>
        <v>0</v>
      </c>
      <c r="N144" s="123"/>
      <c r="O144" s="124">
        <f t="shared" si="146"/>
        <v>0</v>
      </c>
      <c r="P144" s="123"/>
      <c r="Q144" s="124">
        <f t="shared" si="147"/>
        <v>0</v>
      </c>
      <c r="R144" s="123"/>
      <c r="S144" s="124">
        <f t="shared" si="148"/>
        <v>0</v>
      </c>
      <c r="T144" s="123"/>
      <c r="U144" s="124">
        <f t="shared" si="149"/>
        <v>0</v>
      </c>
      <c r="V144" s="123"/>
      <c r="W144" s="124">
        <f t="shared" si="150"/>
        <v>0</v>
      </c>
      <c r="X144" s="123"/>
      <c r="Y144" s="124">
        <f t="shared" si="151"/>
        <v>0</v>
      </c>
      <c r="Z144" s="123"/>
      <c r="AA144" s="124">
        <f t="shared" si="152"/>
        <v>0</v>
      </c>
      <c r="AB144" s="123"/>
      <c r="AC144" s="124">
        <f t="shared" si="153"/>
        <v>0</v>
      </c>
      <c r="AD144" s="123"/>
      <c r="AE144" s="124">
        <f t="shared" si="154"/>
        <v>0</v>
      </c>
      <c r="AF144" s="125">
        <f t="shared" ref="AF144:AF146" si="207">(AD144+AB144+Z144+X144+V144+T144+R144+P144+N144+L144+J144+H144)/1</f>
        <v>0</v>
      </c>
      <c r="AG144" s="126">
        <f t="shared" si="155"/>
        <v>0</v>
      </c>
      <c r="AH144" s="123"/>
      <c r="AI144" s="124">
        <f t="shared" si="156"/>
        <v>0</v>
      </c>
      <c r="AJ144" s="123"/>
      <c r="AK144" s="124">
        <f t="shared" si="157"/>
        <v>0</v>
      </c>
      <c r="AL144" s="123"/>
      <c r="AM144" s="124">
        <f t="shared" si="158"/>
        <v>0</v>
      </c>
      <c r="AN144" s="123"/>
      <c r="AO144" s="124">
        <f t="shared" si="159"/>
        <v>0</v>
      </c>
      <c r="AP144" s="123"/>
      <c r="AQ144" s="124">
        <f t="shared" si="160"/>
        <v>0</v>
      </c>
      <c r="AR144" s="123"/>
      <c r="AS144" s="124">
        <f t="shared" si="161"/>
        <v>0</v>
      </c>
      <c r="AT144" s="123"/>
      <c r="AU144" s="124">
        <f t="shared" si="162"/>
        <v>0</v>
      </c>
      <c r="AV144" s="123"/>
      <c r="AW144" s="124">
        <f t="shared" si="163"/>
        <v>0</v>
      </c>
      <c r="AX144" s="123"/>
      <c r="AY144" s="124">
        <f t="shared" si="164"/>
        <v>0</v>
      </c>
      <c r="AZ144" s="123"/>
      <c r="BA144" s="124">
        <f t="shared" si="165"/>
        <v>0</v>
      </c>
      <c r="BB144" s="123"/>
      <c r="BC144" s="124">
        <f t="shared" si="166"/>
        <v>0</v>
      </c>
      <c r="BD144" s="123"/>
      <c r="BE144" s="124">
        <f t="shared" si="167"/>
        <v>0</v>
      </c>
      <c r="BF144" s="125">
        <f t="shared" ref="BF144:BF146" si="208">(BD144+BB144+AZ144+AX144+AV144+AT144+AR144+AP144+AN144+AL144+AJ144+AH144)/1</f>
        <v>0</v>
      </c>
      <c r="BG144" s="126">
        <f t="shared" si="168"/>
        <v>0</v>
      </c>
      <c r="BH144" s="123"/>
      <c r="BI144" s="124">
        <f t="shared" si="169"/>
        <v>0</v>
      </c>
      <c r="BJ144" s="123"/>
      <c r="BK144" s="124">
        <f t="shared" si="170"/>
        <v>0</v>
      </c>
      <c r="BL144" s="123"/>
      <c r="BM144" s="124">
        <f t="shared" si="171"/>
        <v>0</v>
      </c>
      <c r="BN144" s="123"/>
      <c r="BO144" s="124">
        <f t="shared" si="172"/>
        <v>0</v>
      </c>
      <c r="BP144" s="123"/>
      <c r="BQ144" s="124">
        <f t="shared" si="173"/>
        <v>0</v>
      </c>
      <c r="BR144" s="123"/>
      <c r="BS144" s="124">
        <f t="shared" si="174"/>
        <v>0</v>
      </c>
      <c r="BT144" s="123"/>
      <c r="BU144" s="124">
        <f t="shared" si="175"/>
        <v>0</v>
      </c>
      <c r="BV144" s="123"/>
      <c r="BW144" s="124">
        <f t="shared" si="176"/>
        <v>0</v>
      </c>
      <c r="BX144" s="123"/>
      <c r="BY144" s="124">
        <f t="shared" si="177"/>
        <v>0</v>
      </c>
      <c r="BZ144" s="123"/>
      <c r="CA144" s="124">
        <f t="shared" si="178"/>
        <v>0</v>
      </c>
      <c r="CB144" s="123"/>
      <c r="CC144" s="124">
        <f t="shared" si="179"/>
        <v>0</v>
      </c>
      <c r="CD144" s="123"/>
      <c r="CE144" s="124">
        <f t="shared" si="180"/>
        <v>0</v>
      </c>
      <c r="CF144" s="125">
        <f t="shared" ref="CF144:CF146" si="209">(CD144+CB144+BZ144+BX144+BV144+BT144+BR144+BP144+BN144+BL144+BJ144+BH144)/1</f>
        <v>0</v>
      </c>
      <c r="CG144" s="126">
        <f t="shared" si="181"/>
        <v>0</v>
      </c>
      <c r="CH144" s="129"/>
      <c r="CI144" s="124">
        <f t="shared" si="182"/>
        <v>0</v>
      </c>
      <c r="CJ144" s="123"/>
      <c r="CK144" s="124">
        <f t="shared" si="183"/>
        <v>0</v>
      </c>
      <c r="CL144" s="123"/>
      <c r="CM144" s="124">
        <f t="shared" si="184"/>
        <v>0</v>
      </c>
      <c r="CN144" s="123"/>
      <c r="CO144" s="124">
        <f t="shared" si="185"/>
        <v>0</v>
      </c>
      <c r="CP144" s="123"/>
      <c r="CQ144" s="124">
        <f t="shared" si="186"/>
        <v>0</v>
      </c>
      <c r="CR144" s="123"/>
      <c r="CS144" s="124">
        <f t="shared" si="187"/>
        <v>0</v>
      </c>
      <c r="CT144" s="123"/>
      <c r="CU144" s="124">
        <f t="shared" si="188"/>
        <v>0</v>
      </c>
      <c r="CV144" s="123"/>
      <c r="CW144" s="124">
        <f t="shared" si="189"/>
        <v>0</v>
      </c>
      <c r="CX144" s="123"/>
      <c r="CY144" s="124">
        <f t="shared" si="201"/>
        <v>0</v>
      </c>
      <c r="CZ144" s="123"/>
      <c r="DA144" s="124">
        <f t="shared" si="202"/>
        <v>0</v>
      </c>
      <c r="DB144" s="123"/>
      <c r="DC144" s="124">
        <f t="shared" ref="DC144:DE168" si="210">DB144*$E144</f>
        <v>0</v>
      </c>
      <c r="DD144" s="123"/>
      <c r="DE144" s="124">
        <f t="shared" si="210"/>
        <v>0</v>
      </c>
      <c r="DF144" s="177">
        <f t="shared" si="205"/>
        <v>0</v>
      </c>
      <c r="DG144" s="126">
        <f t="shared" ref="DG144:DG147" si="211">DF144*$E144</f>
        <v>0</v>
      </c>
      <c r="DH144" s="129"/>
      <c r="DI144" s="124">
        <f t="shared" si="190"/>
        <v>0</v>
      </c>
      <c r="DJ144" s="123"/>
      <c r="DK144" s="124">
        <f t="shared" si="191"/>
        <v>0</v>
      </c>
      <c r="DL144" s="123"/>
      <c r="DM144" s="124">
        <f t="shared" si="192"/>
        <v>0</v>
      </c>
      <c r="DN144" s="123"/>
      <c r="DO144" s="124">
        <f t="shared" si="193"/>
        <v>0</v>
      </c>
      <c r="DP144" s="123"/>
      <c r="DQ144" s="124">
        <f t="shared" si="194"/>
        <v>0</v>
      </c>
      <c r="DR144" s="123"/>
      <c r="DS144" s="124">
        <f t="shared" si="195"/>
        <v>0</v>
      </c>
      <c r="DT144" s="123"/>
      <c r="DU144" s="124">
        <f t="shared" si="196"/>
        <v>0</v>
      </c>
      <c r="DV144" s="123"/>
      <c r="DW144" s="124">
        <f t="shared" si="197"/>
        <v>0</v>
      </c>
      <c r="DX144" s="123"/>
      <c r="DY144" s="124">
        <f t="shared" si="203"/>
        <v>0</v>
      </c>
      <c r="DZ144" s="123"/>
      <c r="EA144" s="124">
        <f t="shared" si="204"/>
        <v>0</v>
      </c>
      <c r="EB144" s="123"/>
      <c r="EC144" s="124">
        <f t="shared" si="198"/>
        <v>0</v>
      </c>
      <c r="ED144" s="123"/>
      <c r="EE144" s="124">
        <f t="shared" si="199"/>
        <v>0</v>
      </c>
      <c r="EF144" s="27">
        <f t="shared" si="206"/>
        <v>0</v>
      </c>
      <c r="EG144" s="124">
        <f t="shared" ref="EG144:EG147" si="212">EF144*$E144</f>
        <v>0</v>
      </c>
    </row>
    <row r="145" spans="1:137" x14ac:dyDescent="0.5">
      <c r="A145" s="117">
        <v>118</v>
      </c>
      <c r="B145" s="122" t="s">
        <v>276</v>
      </c>
      <c r="C145" s="122"/>
      <c r="D145" s="117"/>
      <c r="E145" s="117"/>
      <c r="F145" s="117"/>
      <c r="G145" s="117"/>
      <c r="H145" s="123"/>
      <c r="I145" s="124">
        <f t="shared" si="144"/>
        <v>0</v>
      </c>
      <c r="J145" s="123"/>
      <c r="K145" s="124">
        <f t="shared" si="145"/>
        <v>0</v>
      </c>
      <c r="L145" s="123"/>
      <c r="M145" s="124">
        <f t="shared" si="200"/>
        <v>0</v>
      </c>
      <c r="N145" s="123"/>
      <c r="O145" s="124">
        <f t="shared" si="146"/>
        <v>0</v>
      </c>
      <c r="P145" s="123"/>
      <c r="Q145" s="124">
        <f t="shared" si="147"/>
        <v>0</v>
      </c>
      <c r="R145" s="123"/>
      <c r="S145" s="124">
        <f t="shared" si="148"/>
        <v>0</v>
      </c>
      <c r="T145" s="123"/>
      <c r="U145" s="124">
        <f t="shared" si="149"/>
        <v>0</v>
      </c>
      <c r="V145" s="123"/>
      <c r="W145" s="124">
        <f t="shared" si="150"/>
        <v>0</v>
      </c>
      <c r="X145" s="123"/>
      <c r="Y145" s="124">
        <f t="shared" si="151"/>
        <v>0</v>
      </c>
      <c r="Z145" s="123"/>
      <c r="AA145" s="124">
        <f t="shared" si="152"/>
        <v>0</v>
      </c>
      <c r="AB145" s="123"/>
      <c r="AC145" s="124">
        <f t="shared" si="153"/>
        <v>0</v>
      </c>
      <c r="AD145" s="123"/>
      <c r="AE145" s="124">
        <f t="shared" si="154"/>
        <v>0</v>
      </c>
      <c r="AF145" s="125">
        <f t="shared" si="207"/>
        <v>0</v>
      </c>
      <c r="AG145" s="126">
        <f t="shared" si="155"/>
        <v>0</v>
      </c>
      <c r="AH145" s="123"/>
      <c r="AI145" s="124">
        <f t="shared" si="156"/>
        <v>0</v>
      </c>
      <c r="AJ145" s="123"/>
      <c r="AK145" s="124">
        <f t="shared" si="157"/>
        <v>0</v>
      </c>
      <c r="AL145" s="123"/>
      <c r="AM145" s="124">
        <f t="shared" si="158"/>
        <v>0</v>
      </c>
      <c r="AN145" s="123"/>
      <c r="AO145" s="124">
        <f t="shared" si="159"/>
        <v>0</v>
      </c>
      <c r="AP145" s="123"/>
      <c r="AQ145" s="124">
        <f t="shared" si="160"/>
        <v>0</v>
      </c>
      <c r="AR145" s="123"/>
      <c r="AS145" s="124">
        <f t="shared" si="161"/>
        <v>0</v>
      </c>
      <c r="AT145" s="123"/>
      <c r="AU145" s="124">
        <f t="shared" si="162"/>
        <v>0</v>
      </c>
      <c r="AV145" s="123"/>
      <c r="AW145" s="124">
        <f t="shared" si="163"/>
        <v>0</v>
      </c>
      <c r="AX145" s="123"/>
      <c r="AY145" s="124">
        <f t="shared" si="164"/>
        <v>0</v>
      </c>
      <c r="AZ145" s="123"/>
      <c r="BA145" s="124">
        <f t="shared" si="165"/>
        <v>0</v>
      </c>
      <c r="BB145" s="123"/>
      <c r="BC145" s="124">
        <f t="shared" si="166"/>
        <v>0</v>
      </c>
      <c r="BD145" s="123"/>
      <c r="BE145" s="124">
        <f t="shared" si="167"/>
        <v>0</v>
      </c>
      <c r="BF145" s="125">
        <f t="shared" si="208"/>
        <v>0</v>
      </c>
      <c r="BG145" s="126">
        <f t="shared" si="168"/>
        <v>0</v>
      </c>
      <c r="BH145" s="123"/>
      <c r="BI145" s="124">
        <f t="shared" si="169"/>
        <v>0</v>
      </c>
      <c r="BJ145" s="123"/>
      <c r="BK145" s="124">
        <f t="shared" si="170"/>
        <v>0</v>
      </c>
      <c r="BL145" s="123"/>
      <c r="BM145" s="124">
        <f t="shared" si="171"/>
        <v>0</v>
      </c>
      <c r="BN145" s="123"/>
      <c r="BO145" s="124">
        <f t="shared" si="172"/>
        <v>0</v>
      </c>
      <c r="BP145" s="123"/>
      <c r="BQ145" s="124">
        <f t="shared" si="173"/>
        <v>0</v>
      </c>
      <c r="BR145" s="123"/>
      <c r="BS145" s="124">
        <f t="shared" si="174"/>
        <v>0</v>
      </c>
      <c r="BT145" s="123"/>
      <c r="BU145" s="124">
        <f t="shared" si="175"/>
        <v>0</v>
      </c>
      <c r="BV145" s="123"/>
      <c r="BW145" s="124">
        <f t="shared" si="176"/>
        <v>0</v>
      </c>
      <c r="BX145" s="123"/>
      <c r="BY145" s="124">
        <f t="shared" si="177"/>
        <v>0</v>
      </c>
      <c r="BZ145" s="123"/>
      <c r="CA145" s="124">
        <f t="shared" si="178"/>
        <v>0</v>
      </c>
      <c r="CB145" s="123"/>
      <c r="CC145" s="124">
        <f t="shared" si="179"/>
        <v>0</v>
      </c>
      <c r="CD145" s="123"/>
      <c r="CE145" s="124">
        <f t="shared" si="180"/>
        <v>0</v>
      </c>
      <c r="CF145" s="125">
        <f t="shared" si="209"/>
        <v>0</v>
      </c>
      <c r="CG145" s="126">
        <f t="shared" si="181"/>
        <v>0</v>
      </c>
      <c r="CH145" s="129"/>
      <c r="CI145" s="124">
        <f t="shared" si="182"/>
        <v>0</v>
      </c>
      <c r="CJ145" s="123"/>
      <c r="CK145" s="124">
        <f t="shared" si="183"/>
        <v>0</v>
      </c>
      <c r="CL145" s="123"/>
      <c r="CM145" s="124">
        <f t="shared" si="184"/>
        <v>0</v>
      </c>
      <c r="CN145" s="123"/>
      <c r="CO145" s="124">
        <f t="shared" si="185"/>
        <v>0</v>
      </c>
      <c r="CP145" s="123"/>
      <c r="CQ145" s="124">
        <f t="shared" si="186"/>
        <v>0</v>
      </c>
      <c r="CR145" s="123"/>
      <c r="CS145" s="124">
        <f t="shared" si="187"/>
        <v>0</v>
      </c>
      <c r="CT145" s="123"/>
      <c r="CU145" s="124">
        <f t="shared" si="188"/>
        <v>0</v>
      </c>
      <c r="CV145" s="123"/>
      <c r="CW145" s="124">
        <f t="shared" si="189"/>
        <v>0</v>
      </c>
      <c r="CX145" s="123"/>
      <c r="CY145" s="124">
        <f t="shared" si="201"/>
        <v>0</v>
      </c>
      <c r="CZ145" s="123"/>
      <c r="DA145" s="124">
        <f t="shared" si="202"/>
        <v>0</v>
      </c>
      <c r="DB145" s="123"/>
      <c r="DC145" s="124">
        <f t="shared" si="210"/>
        <v>0</v>
      </c>
      <c r="DD145" s="123"/>
      <c r="DE145" s="124">
        <f t="shared" si="210"/>
        <v>0</v>
      </c>
      <c r="DF145" s="177">
        <f t="shared" si="205"/>
        <v>0</v>
      </c>
      <c r="DG145" s="126">
        <f t="shared" si="211"/>
        <v>0</v>
      </c>
      <c r="DH145" s="129"/>
      <c r="DI145" s="124">
        <f t="shared" si="190"/>
        <v>0</v>
      </c>
      <c r="DJ145" s="123"/>
      <c r="DK145" s="124">
        <f t="shared" si="191"/>
        <v>0</v>
      </c>
      <c r="DL145" s="123"/>
      <c r="DM145" s="124">
        <f t="shared" si="192"/>
        <v>0</v>
      </c>
      <c r="DN145" s="123"/>
      <c r="DO145" s="124">
        <f t="shared" si="193"/>
        <v>0</v>
      </c>
      <c r="DP145" s="123"/>
      <c r="DQ145" s="124">
        <f t="shared" si="194"/>
        <v>0</v>
      </c>
      <c r="DR145" s="123"/>
      <c r="DS145" s="124">
        <f t="shared" si="195"/>
        <v>0</v>
      </c>
      <c r="DT145" s="123"/>
      <c r="DU145" s="124">
        <f t="shared" si="196"/>
        <v>0</v>
      </c>
      <c r="DV145" s="123"/>
      <c r="DW145" s="124">
        <f t="shared" si="197"/>
        <v>0</v>
      </c>
      <c r="DX145" s="123"/>
      <c r="DY145" s="124">
        <f t="shared" si="203"/>
        <v>0</v>
      </c>
      <c r="DZ145" s="123"/>
      <c r="EA145" s="124">
        <f t="shared" si="204"/>
        <v>0</v>
      </c>
      <c r="EB145" s="123"/>
      <c r="EC145" s="124">
        <f t="shared" si="198"/>
        <v>0</v>
      </c>
      <c r="ED145" s="123"/>
      <c r="EE145" s="124">
        <f t="shared" si="199"/>
        <v>0</v>
      </c>
      <c r="EF145" s="27">
        <f t="shared" si="206"/>
        <v>0</v>
      </c>
      <c r="EG145" s="124">
        <f t="shared" si="212"/>
        <v>0</v>
      </c>
    </row>
    <row r="146" spans="1:137" x14ac:dyDescent="0.5">
      <c r="A146" s="117"/>
      <c r="B146" s="122"/>
      <c r="C146" s="122"/>
      <c r="D146" s="117"/>
      <c r="E146" s="117"/>
      <c r="F146" s="117"/>
      <c r="G146" s="117"/>
      <c r="H146" s="123"/>
      <c r="I146" s="124">
        <f t="shared" si="144"/>
        <v>0</v>
      </c>
      <c r="J146" s="123"/>
      <c r="K146" s="124">
        <f t="shared" si="145"/>
        <v>0</v>
      </c>
      <c r="L146" s="123"/>
      <c r="M146" s="124">
        <f t="shared" si="200"/>
        <v>0</v>
      </c>
      <c r="N146" s="123"/>
      <c r="O146" s="124">
        <f t="shared" si="146"/>
        <v>0</v>
      </c>
      <c r="P146" s="123"/>
      <c r="Q146" s="124">
        <f t="shared" si="147"/>
        <v>0</v>
      </c>
      <c r="R146" s="123"/>
      <c r="S146" s="124">
        <f t="shared" si="148"/>
        <v>0</v>
      </c>
      <c r="T146" s="123"/>
      <c r="U146" s="124">
        <f t="shared" si="149"/>
        <v>0</v>
      </c>
      <c r="V146" s="123"/>
      <c r="W146" s="124">
        <f t="shared" si="150"/>
        <v>0</v>
      </c>
      <c r="X146" s="123"/>
      <c r="Y146" s="124">
        <f t="shared" si="151"/>
        <v>0</v>
      </c>
      <c r="Z146" s="123"/>
      <c r="AA146" s="124">
        <f t="shared" si="152"/>
        <v>0</v>
      </c>
      <c r="AB146" s="123"/>
      <c r="AC146" s="124">
        <f t="shared" si="153"/>
        <v>0</v>
      </c>
      <c r="AD146" s="123"/>
      <c r="AE146" s="124">
        <f t="shared" si="154"/>
        <v>0</v>
      </c>
      <c r="AF146" s="125">
        <f t="shared" si="207"/>
        <v>0</v>
      </c>
      <c r="AG146" s="126">
        <f t="shared" si="155"/>
        <v>0</v>
      </c>
      <c r="AH146" s="123"/>
      <c r="AI146" s="124">
        <f t="shared" si="156"/>
        <v>0</v>
      </c>
      <c r="AJ146" s="123"/>
      <c r="AK146" s="124">
        <f t="shared" si="157"/>
        <v>0</v>
      </c>
      <c r="AL146" s="123"/>
      <c r="AM146" s="124">
        <f t="shared" si="158"/>
        <v>0</v>
      </c>
      <c r="AN146" s="123"/>
      <c r="AO146" s="124">
        <f t="shared" si="159"/>
        <v>0</v>
      </c>
      <c r="AP146" s="123"/>
      <c r="AQ146" s="124">
        <f t="shared" si="160"/>
        <v>0</v>
      </c>
      <c r="AR146" s="123"/>
      <c r="AS146" s="124">
        <f t="shared" si="161"/>
        <v>0</v>
      </c>
      <c r="AT146" s="123"/>
      <c r="AU146" s="124">
        <f t="shared" si="162"/>
        <v>0</v>
      </c>
      <c r="AV146" s="123"/>
      <c r="AW146" s="124">
        <f t="shared" si="163"/>
        <v>0</v>
      </c>
      <c r="AX146" s="123"/>
      <c r="AY146" s="124">
        <f t="shared" si="164"/>
        <v>0</v>
      </c>
      <c r="AZ146" s="123"/>
      <c r="BA146" s="124">
        <f t="shared" si="165"/>
        <v>0</v>
      </c>
      <c r="BB146" s="123"/>
      <c r="BC146" s="124">
        <f t="shared" si="166"/>
        <v>0</v>
      </c>
      <c r="BD146" s="123"/>
      <c r="BE146" s="124">
        <f t="shared" si="167"/>
        <v>0</v>
      </c>
      <c r="BF146" s="125">
        <f t="shared" si="208"/>
        <v>0</v>
      </c>
      <c r="BG146" s="126">
        <f t="shared" si="168"/>
        <v>0</v>
      </c>
      <c r="BH146" s="123"/>
      <c r="BI146" s="124">
        <f t="shared" si="169"/>
        <v>0</v>
      </c>
      <c r="BJ146" s="123"/>
      <c r="BK146" s="124">
        <f t="shared" si="170"/>
        <v>0</v>
      </c>
      <c r="BL146" s="123"/>
      <c r="BM146" s="124">
        <f t="shared" si="171"/>
        <v>0</v>
      </c>
      <c r="BN146" s="123"/>
      <c r="BO146" s="124">
        <f t="shared" si="172"/>
        <v>0</v>
      </c>
      <c r="BP146" s="123"/>
      <c r="BQ146" s="124">
        <f t="shared" si="173"/>
        <v>0</v>
      </c>
      <c r="BR146" s="123"/>
      <c r="BS146" s="124">
        <f t="shared" si="174"/>
        <v>0</v>
      </c>
      <c r="BT146" s="123"/>
      <c r="BU146" s="124">
        <f t="shared" si="175"/>
        <v>0</v>
      </c>
      <c r="BV146" s="123"/>
      <c r="BW146" s="124">
        <f t="shared" si="176"/>
        <v>0</v>
      </c>
      <c r="BX146" s="123"/>
      <c r="BY146" s="124">
        <f t="shared" si="177"/>
        <v>0</v>
      </c>
      <c r="BZ146" s="123"/>
      <c r="CA146" s="124">
        <f t="shared" si="178"/>
        <v>0</v>
      </c>
      <c r="CB146" s="123"/>
      <c r="CC146" s="124">
        <f t="shared" si="179"/>
        <v>0</v>
      </c>
      <c r="CD146" s="123"/>
      <c r="CE146" s="124">
        <f t="shared" si="180"/>
        <v>0</v>
      </c>
      <c r="CF146" s="125">
        <f t="shared" si="209"/>
        <v>0</v>
      </c>
      <c r="CG146" s="126">
        <f t="shared" si="181"/>
        <v>0</v>
      </c>
      <c r="CH146" s="129"/>
      <c r="CI146" s="124">
        <f t="shared" si="182"/>
        <v>0</v>
      </c>
      <c r="CJ146" s="123"/>
      <c r="CK146" s="124">
        <f t="shared" si="183"/>
        <v>0</v>
      </c>
      <c r="CL146" s="123"/>
      <c r="CM146" s="124">
        <f t="shared" si="184"/>
        <v>0</v>
      </c>
      <c r="CN146" s="123"/>
      <c r="CO146" s="124">
        <f t="shared" si="185"/>
        <v>0</v>
      </c>
      <c r="CP146" s="123"/>
      <c r="CQ146" s="124">
        <f t="shared" si="186"/>
        <v>0</v>
      </c>
      <c r="CR146" s="123"/>
      <c r="CS146" s="124">
        <f t="shared" si="187"/>
        <v>0</v>
      </c>
      <c r="CT146" s="123"/>
      <c r="CU146" s="124">
        <f t="shared" si="188"/>
        <v>0</v>
      </c>
      <c r="CV146" s="123"/>
      <c r="CW146" s="124">
        <f t="shared" si="189"/>
        <v>0</v>
      </c>
      <c r="CX146" s="123"/>
      <c r="CY146" s="124">
        <f t="shared" si="201"/>
        <v>0</v>
      </c>
      <c r="CZ146" s="123"/>
      <c r="DA146" s="124">
        <f t="shared" si="202"/>
        <v>0</v>
      </c>
      <c r="DB146" s="123"/>
      <c r="DC146" s="124">
        <f t="shared" si="210"/>
        <v>0</v>
      </c>
      <c r="DD146" s="123"/>
      <c r="DE146" s="124">
        <f t="shared" si="210"/>
        <v>0</v>
      </c>
      <c r="DF146" s="177">
        <f t="shared" si="205"/>
        <v>0</v>
      </c>
      <c r="DG146" s="126">
        <f t="shared" si="211"/>
        <v>0</v>
      </c>
      <c r="DH146" s="129"/>
      <c r="DI146" s="124">
        <f t="shared" si="190"/>
        <v>0</v>
      </c>
      <c r="DJ146" s="123"/>
      <c r="DK146" s="124">
        <f t="shared" si="191"/>
        <v>0</v>
      </c>
      <c r="DL146" s="123"/>
      <c r="DM146" s="124">
        <f t="shared" si="192"/>
        <v>0</v>
      </c>
      <c r="DN146" s="123"/>
      <c r="DO146" s="124">
        <f t="shared" si="193"/>
        <v>0</v>
      </c>
      <c r="DP146" s="123"/>
      <c r="DQ146" s="124">
        <f t="shared" si="194"/>
        <v>0</v>
      </c>
      <c r="DR146" s="123"/>
      <c r="DS146" s="124">
        <f t="shared" si="195"/>
        <v>0</v>
      </c>
      <c r="DT146" s="123"/>
      <c r="DU146" s="124">
        <f t="shared" si="196"/>
        <v>0</v>
      </c>
      <c r="DV146" s="123"/>
      <c r="DW146" s="124">
        <f t="shared" si="197"/>
        <v>0</v>
      </c>
      <c r="DX146" s="123"/>
      <c r="DY146" s="124">
        <f t="shared" si="203"/>
        <v>0</v>
      </c>
      <c r="DZ146" s="123"/>
      <c r="EA146" s="124">
        <f t="shared" si="204"/>
        <v>0</v>
      </c>
      <c r="EB146" s="123"/>
      <c r="EC146" s="124">
        <f t="shared" si="198"/>
        <v>0</v>
      </c>
      <c r="ED146" s="123"/>
      <c r="EE146" s="124">
        <f t="shared" si="199"/>
        <v>0</v>
      </c>
      <c r="EF146" s="27">
        <f t="shared" si="206"/>
        <v>0</v>
      </c>
      <c r="EG146" s="124">
        <f t="shared" si="212"/>
        <v>0</v>
      </c>
    </row>
    <row r="147" spans="1:137" x14ac:dyDescent="0.5">
      <c r="A147" s="117"/>
      <c r="B147" s="127"/>
      <c r="C147" s="127"/>
      <c r="D147" s="117"/>
      <c r="E147" s="127"/>
      <c r="F147" s="130"/>
      <c r="G147" s="130"/>
      <c r="H147" s="123"/>
      <c r="I147" s="124">
        <f t="shared" si="144"/>
        <v>0</v>
      </c>
      <c r="J147" s="123"/>
      <c r="K147" s="124">
        <f t="shared" si="145"/>
        <v>0</v>
      </c>
      <c r="L147" s="123"/>
      <c r="M147" s="124">
        <f t="shared" si="200"/>
        <v>0</v>
      </c>
      <c r="N147" s="123"/>
      <c r="O147" s="124">
        <f t="shared" si="146"/>
        <v>0</v>
      </c>
      <c r="P147" s="123"/>
      <c r="Q147" s="124">
        <f t="shared" si="147"/>
        <v>0</v>
      </c>
      <c r="R147" s="123"/>
      <c r="S147" s="124">
        <f t="shared" si="148"/>
        <v>0</v>
      </c>
      <c r="T147" s="123"/>
      <c r="U147" s="124">
        <f t="shared" si="149"/>
        <v>0</v>
      </c>
      <c r="V147" s="123"/>
      <c r="W147" s="124">
        <f t="shared" si="150"/>
        <v>0</v>
      </c>
      <c r="X147" s="123"/>
      <c r="Y147" s="124">
        <f t="shared" si="151"/>
        <v>0</v>
      </c>
      <c r="Z147" s="123"/>
      <c r="AA147" s="124">
        <f t="shared" si="152"/>
        <v>0</v>
      </c>
      <c r="AB147" s="123"/>
      <c r="AC147" s="124">
        <f t="shared" si="153"/>
        <v>0</v>
      </c>
      <c r="AD147" s="123"/>
      <c r="AE147" s="124">
        <f t="shared" si="154"/>
        <v>0</v>
      </c>
      <c r="AF147" s="125"/>
      <c r="AG147" s="126">
        <f t="shared" si="155"/>
        <v>0</v>
      </c>
      <c r="AH147" s="123"/>
      <c r="AI147" s="124">
        <f t="shared" si="156"/>
        <v>0</v>
      </c>
      <c r="AJ147" s="123"/>
      <c r="AK147" s="124">
        <f t="shared" si="157"/>
        <v>0</v>
      </c>
      <c r="AL147" s="123"/>
      <c r="AM147" s="124">
        <f t="shared" si="158"/>
        <v>0</v>
      </c>
      <c r="AN147" s="123"/>
      <c r="AO147" s="124">
        <f t="shared" si="159"/>
        <v>0</v>
      </c>
      <c r="AP147" s="123"/>
      <c r="AQ147" s="124">
        <f t="shared" si="160"/>
        <v>0</v>
      </c>
      <c r="AR147" s="123"/>
      <c r="AS147" s="124">
        <f t="shared" si="161"/>
        <v>0</v>
      </c>
      <c r="AT147" s="123"/>
      <c r="AU147" s="124">
        <f t="shared" si="162"/>
        <v>0</v>
      </c>
      <c r="AV147" s="123"/>
      <c r="AW147" s="124">
        <f t="shared" si="163"/>
        <v>0</v>
      </c>
      <c r="AX147" s="123"/>
      <c r="AY147" s="124">
        <f t="shared" si="164"/>
        <v>0</v>
      </c>
      <c r="AZ147" s="123"/>
      <c r="BA147" s="124">
        <f t="shared" si="165"/>
        <v>0</v>
      </c>
      <c r="BB147" s="123"/>
      <c r="BC147" s="124">
        <f t="shared" si="166"/>
        <v>0</v>
      </c>
      <c r="BD147" s="123"/>
      <c r="BE147" s="124">
        <f t="shared" si="167"/>
        <v>0</v>
      </c>
      <c r="BF147" s="125"/>
      <c r="BG147" s="126">
        <f t="shared" si="168"/>
        <v>0</v>
      </c>
      <c r="BH147" s="123"/>
      <c r="BI147" s="124">
        <f t="shared" si="169"/>
        <v>0</v>
      </c>
      <c r="BJ147" s="123"/>
      <c r="BK147" s="124">
        <f t="shared" si="170"/>
        <v>0</v>
      </c>
      <c r="BL147" s="123"/>
      <c r="BM147" s="124">
        <f t="shared" si="171"/>
        <v>0</v>
      </c>
      <c r="BN147" s="123"/>
      <c r="BO147" s="124">
        <f t="shared" si="172"/>
        <v>0</v>
      </c>
      <c r="BP147" s="123"/>
      <c r="BQ147" s="124">
        <f t="shared" si="173"/>
        <v>0</v>
      </c>
      <c r="BR147" s="123"/>
      <c r="BS147" s="124">
        <f t="shared" si="174"/>
        <v>0</v>
      </c>
      <c r="BT147" s="123"/>
      <c r="BU147" s="124">
        <f t="shared" si="175"/>
        <v>0</v>
      </c>
      <c r="BV147" s="123"/>
      <c r="BW147" s="124">
        <f t="shared" si="176"/>
        <v>0</v>
      </c>
      <c r="BX147" s="123"/>
      <c r="BY147" s="124">
        <f t="shared" si="177"/>
        <v>0</v>
      </c>
      <c r="BZ147" s="123"/>
      <c r="CA147" s="124">
        <f t="shared" si="178"/>
        <v>0</v>
      </c>
      <c r="CB147" s="123"/>
      <c r="CC147" s="124">
        <f t="shared" si="179"/>
        <v>0</v>
      </c>
      <c r="CD147" s="123"/>
      <c r="CE147" s="124">
        <f t="shared" si="180"/>
        <v>0</v>
      </c>
      <c r="CF147" s="125"/>
      <c r="CG147" s="126">
        <f t="shared" si="181"/>
        <v>0</v>
      </c>
      <c r="CH147" s="123"/>
      <c r="CI147" s="124">
        <f t="shared" si="182"/>
        <v>0</v>
      </c>
      <c r="CJ147" s="123"/>
      <c r="CK147" s="124">
        <f t="shared" si="183"/>
        <v>0</v>
      </c>
      <c r="CL147" s="123"/>
      <c r="CM147" s="124">
        <f t="shared" si="184"/>
        <v>0</v>
      </c>
      <c r="CN147" s="123"/>
      <c r="CO147" s="124">
        <f t="shared" si="185"/>
        <v>0</v>
      </c>
      <c r="CP147" s="123"/>
      <c r="CQ147" s="124">
        <f t="shared" si="186"/>
        <v>0</v>
      </c>
      <c r="CR147" s="123"/>
      <c r="CS147" s="124">
        <f t="shared" si="187"/>
        <v>0</v>
      </c>
      <c r="CT147" s="123"/>
      <c r="CU147" s="124">
        <f t="shared" si="188"/>
        <v>0</v>
      </c>
      <c r="CV147" s="123"/>
      <c r="CW147" s="124">
        <f t="shared" si="189"/>
        <v>0</v>
      </c>
      <c r="CX147" s="123"/>
      <c r="CY147" s="124">
        <f t="shared" si="201"/>
        <v>0</v>
      </c>
      <c r="CZ147" s="123"/>
      <c r="DA147" s="124">
        <f t="shared" si="202"/>
        <v>0</v>
      </c>
      <c r="DB147" s="123"/>
      <c r="DC147" s="124">
        <f t="shared" si="210"/>
        <v>0</v>
      </c>
      <c r="DD147" s="123"/>
      <c r="DE147" s="124">
        <f t="shared" si="210"/>
        <v>0</v>
      </c>
      <c r="DF147" s="177">
        <f t="shared" si="205"/>
        <v>0</v>
      </c>
      <c r="DG147" s="126">
        <f t="shared" si="211"/>
        <v>0</v>
      </c>
      <c r="DH147" s="123"/>
      <c r="DI147" s="124">
        <f t="shared" si="190"/>
        <v>0</v>
      </c>
      <c r="DJ147" s="123"/>
      <c r="DK147" s="124">
        <f t="shared" si="191"/>
        <v>0</v>
      </c>
      <c r="DL147" s="123"/>
      <c r="DM147" s="124">
        <f t="shared" si="192"/>
        <v>0</v>
      </c>
      <c r="DN147" s="123"/>
      <c r="DO147" s="124">
        <f t="shared" si="193"/>
        <v>0</v>
      </c>
      <c r="DP147" s="123"/>
      <c r="DQ147" s="124">
        <f t="shared" si="194"/>
        <v>0</v>
      </c>
      <c r="DR147" s="123"/>
      <c r="DS147" s="124">
        <f t="shared" si="195"/>
        <v>0</v>
      </c>
      <c r="DT147" s="123"/>
      <c r="DU147" s="124">
        <f t="shared" si="196"/>
        <v>0</v>
      </c>
      <c r="DV147" s="123"/>
      <c r="DW147" s="124">
        <f t="shared" si="197"/>
        <v>0</v>
      </c>
      <c r="DX147" s="123"/>
      <c r="DY147" s="124">
        <f t="shared" si="203"/>
        <v>0</v>
      </c>
      <c r="DZ147" s="123"/>
      <c r="EA147" s="124">
        <f t="shared" si="204"/>
        <v>0</v>
      </c>
      <c r="EB147" s="123"/>
      <c r="EC147" s="124">
        <f t="shared" si="198"/>
        <v>0</v>
      </c>
      <c r="ED147" s="123"/>
      <c r="EE147" s="124">
        <f t="shared" si="199"/>
        <v>0</v>
      </c>
      <c r="EF147" s="27">
        <f t="shared" si="206"/>
        <v>0</v>
      </c>
      <c r="EG147" s="124">
        <f t="shared" si="212"/>
        <v>0</v>
      </c>
    </row>
    <row r="148" spans="1:137" x14ac:dyDescent="0.5">
      <c r="A148" s="131"/>
      <c r="B148" s="132" t="s">
        <v>244</v>
      </c>
      <c r="C148" s="132"/>
      <c r="D148" s="132"/>
      <c r="E148" s="133"/>
      <c r="F148" s="134"/>
      <c r="G148" s="134"/>
      <c r="H148" s="135">
        <f t="shared" ref="H148:AM148" si="213">SUM(H4:H147)</f>
        <v>285358</v>
      </c>
      <c r="I148" s="136">
        <f t="shared" si="213"/>
        <v>185180.78</v>
      </c>
      <c r="J148" s="135">
        <f t="shared" si="213"/>
        <v>265299</v>
      </c>
      <c r="K148" s="136">
        <f t="shared" si="213"/>
        <v>173179.26</v>
      </c>
      <c r="L148" s="135">
        <f t="shared" si="213"/>
        <v>337952</v>
      </c>
      <c r="M148" s="136">
        <f t="shared" si="213"/>
        <v>219847.95</v>
      </c>
      <c r="N148" s="135">
        <f t="shared" si="213"/>
        <v>303706</v>
      </c>
      <c r="O148" s="136">
        <f t="shared" si="213"/>
        <v>197944.9</v>
      </c>
      <c r="P148" s="135">
        <f t="shared" si="213"/>
        <v>366957</v>
      </c>
      <c r="Q148" s="136">
        <f t="shared" si="213"/>
        <v>238095.09000000003</v>
      </c>
      <c r="R148" s="135">
        <f t="shared" si="213"/>
        <v>333259</v>
      </c>
      <c r="S148" s="136">
        <f t="shared" si="213"/>
        <v>218441.14</v>
      </c>
      <c r="T148" s="135">
        <f t="shared" si="213"/>
        <v>294089</v>
      </c>
      <c r="U148" s="136">
        <f t="shared" si="213"/>
        <v>192043.21000000002</v>
      </c>
      <c r="V148" s="135">
        <f t="shared" si="213"/>
        <v>346406</v>
      </c>
      <c r="W148" s="136">
        <f t="shared" si="213"/>
        <v>226613.72</v>
      </c>
      <c r="X148" s="135">
        <f t="shared" si="213"/>
        <v>290124</v>
      </c>
      <c r="Y148" s="136">
        <f t="shared" si="213"/>
        <v>192315.12</v>
      </c>
      <c r="Z148" s="135">
        <f t="shared" si="213"/>
        <v>247021</v>
      </c>
      <c r="AA148" s="136">
        <f t="shared" si="213"/>
        <v>165927.72</v>
      </c>
      <c r="AB148" s="135">
        <f t="shared" si="213"/>
        <v>252029</v>
      </c>
      <c r="AC148" s="136">
        <f t="shared" si="213"/>
        <v>167403.13999999996</v>
      </c>
      <c r="AD148" s="135">
        <f t="shared" si="213"/>
        <v>320655</v>
      </c>
      <c r="AE148" s="136">
        <f t="shared" si="213"/>
        <v>216544.5</v>
      </c>
      <c r="AF148" s="137">
        <f t="shared" si="213"/>
        <v>3642855</v>
      </c>
      <c r="AG148" s="138">
        <f t="shared" si="213"/>
        <v>2393536.5299999998</v>
      </c>
      <c r="AH148" s="135">
        <f t="shared" si="213"/>
        <v>325646</v>
      </c>
      <c r="AI148" s="136">
        <f t="shared" si="213"/>
        <v>221628.56000000003</v>
      </c>
      <c r="AJ148" s="135">
        <f t="shared" si="213"/>
        <v>268997</v>
      </c>
      <c r="AK148" s="136">
        <f t="shared" si="213"/>
        <v>180251.2</v>
      </c>
      <c r="AL148" s="135">
        <f t="shared" si="213"/>
        <v>343569</v>
      </c>
      <c r="AM148" s="136">
        <f t="shared" si="213"/>
        <v>234109.37999999998</v>
      </c>
      <c r="AN148" s="135">
        <f t="shared" ref="AN148:BS148" si="214">SUM(AN4:AN147)</f>
        <v>330260</v>
      </c>
      <c r="AO148" s="136">
        <f t="shared" si="214"/>
        <v>224285.99999999997</v>
      </c>
      <c r="AP148" s="135">
        <f t="shared" si="214"/>
        <v>346266</v>
      </c>
      <c r="AQ148" s="136">
        <f t="shared" si="214"/>
        <v>236673.48</v>
      </c>
      <c r="AR148" s="135">
        <f t="shared" si="214"/>
        <v>308961</v>
      </c>
      <c r="AS148" s="136">
        <f t="shared" si="214"/>
        <v>212208.12</v>
      </c>
      <c r="AT148" s="135">
        <f t="shared" si="214"/>
        <v>316734</v>
      </c>
      <c r="AU148" s="136">
        <f t="shared" si="214"/>
        <v>216206.28</v>
      </c>
      <c r="AV148" s="135">
        <f t="shared" si="214"/>
        <v>380944</v>
      </c>
      <c r="AW148" s="136">
        <f t="shared" si="214"/>
        <v>255979.2</v>
      </c>
      <c r="AX148" s="135">
        <f t="shared" si="214"/>
        <v>202293</v>
      </c>
      <c r="AY148" s="136">
        <f t="shared" si="214"/>
        <v>141859.87</v>
      </c>
      <c r="AZ148" s="135">
        <f t="shared" si="214"/>
        <v>226479</v>
      </c>
      <c r="BA148" s="136">
        <f t="shared" si="214"/>
        <v>156523.74</v>
      </c>
      <c r="BB148" s="135">
        <f t="shared" si="214"/>
        <v>262455</v>
      </c>
      <c r="BC148" s="136">
        <f t="shared" si="214"/>
        <v>181771.08000000002</v>
      </c>
      <c r="BD148" s="135">
        <f t="shared" si="214"/>
        <v>287068</v>
      </c>
      <c r="BE148" s="136">
        <f t="shared" si="214"/>
        <v>200616.88</v>
      </c>
      <c r="BF148" s="137">
        <f t="shared" si="214"/>
        <v>3599672</v>
      </c>
      <c r="BG148" s="138">
        <f t="shared" si="214"/>
        <v>2462113.7899999991</v>
      </c>
      <c r="BH148" s="135">
        <f t="shared" si="214"/>
        <v>284980</v>
      </c>
      <c r="BI148" s="136">
        <f t="shared" si="214"/>
        <v>200645.96</v>
      </c>
      <c r="BJ148" s="135">
        <f t="shared" si="214"/>
        <v>250402</v>
      </c>
      <c r="BK148" s="136">
        <f t="shared" si="214"/>
        <v>175347.75999999998</v>
      </c>
      <c r="BL148" s="135">
        <f t="shared" si="214"/>
        <v>306180</v>
      </c>
      <c r="BM148" s="136">
        <f t="shared" si="214"/>
        <v>216101.84</v>
      </c>
      <c r="BN148" s="135">
        <f t="shared" si="214"/>
        <v>313206</v>
      </c>
      <c r="BO148" s="136">
        <f t="shared" si="214"/>
        <v>220161.03999999998</v>
      </c>
      <c r="BP148" s="135">
        <f t="shared" si="214"/>
        <v>319523</v>
      </c>
      <c r="BQ148" s="136">
        <f t="shared" si="214"/>
        <v>221018.78000000003</v>
      </c>
      <c r="BR148" s="135">
        <f t="shared" si="214"/>
        <v>319420</v>
      </c>
      <c r="BS148" s="136">
        <f t="shared" si="214"/>
        <v>227006.72</v>
      </c>
      <c r="BT148" s="135">
        <f t="shared" ref="BT148:CY148" si="215">SUM(BT4:BT147)</f>
        <v>309212</v>
      </c>
      <c r="BU148" s="136">
        <f t="shared" si="215"/>
        <v>219811.20000000001</v>
      </c>
      <c r="BV148" s="135">
        <f t="shared" si="215"/>
        <v>358266</v>
      </c>
      <c r="BW148" s="136">
        <f t="shared" si="215"/>
        <v>257544.8</v>
      </c>
      <c r="BX148" s="135">
        <f t="shared" si="215"/>
        <v>289469</v>
      </c>
      <c r="BY148" s="136">
        <f t="shared" si="215"/>
        <v>211684.06000000003</v>
      </c>
      <c r="BZ148" s="135">
        <f t="shared" si="215"/>
        <v>334424</v>
      </c>
      <c r="CA148" s="136">
        <f t="shared" si="215"/>
        <v>242242.68000000002</v>
      </c>
      <c r="CB148" s="135">
        <f t="shared" si="215"/>
        <v>251296</v>
      </c>
      <c r="CC148" s="136">
        <f t="shared" si="215"/>
        <v>181264.84</v>
      </c>
      <c r="CD148" s="135">
        <f t="shared" si="215"/>
        <v>298525</v>
      </c>
      <c r="CE148" s="136">
        <f t="shared" si="215"/>
        <v>220445.46000000002</v>
      </c>
      <c r="CF148" s="137">
        <f t="shared" si="215"/>
        <v>3634903</v>
      </c>
      <c r="CG148" s="138">
        <f t="shared" si="215"/>
        <v>2593275.14</v>
      </c>
      <c r="CH148" s="135">
        <f t="shared" si="215"/>
        <v>292067</v>
      </c>
      <c r="CI148" s="136">
        <f t="shared" si="215"/>
        <v>217035.26</v>
      </c>
      <c r="CJ148" s="135">
        <f t="shared" si="215"/>
        <v>293594</v>
      </c>
      <c r="CK148" s="136">
        <f t="shared" si="215"/>
        <v>215869.63999999998</v>
      </c>
      <c r="CL148" s="135">
        <f t="shared" si="215"/>
        <v>365124</v>
      </c>
      <c r="CM148" s="136">
        <f t="shared" si="215"/>
        <v>263664.64000000001</v>
      </c>
      <c r="CN148" s="135">
        <f t="shared" si="215"/>
        <v>250122</v>
      </c>
      <c r="CO148" s="136">
        <f t="shared" si="215"/>
        <v>175295.28000000003</v>
      </c>
      <c r="CP148" s="135">
        <f t="shared" si="215"/>
        <v>366424</v>
      </c>
      <c r="CQ148" s="136">
        <f t="shared" si="215"/>
        <v>272334.96000000002</v>
      </c>
      <c r="CR148" s="135">
        <f t="shared" si="215"/>
        <v>342708</v>
      </c>
      <c r="CS148" s="136">
        <f t="shared" si="215"/>
        <v>256131.19999999998</v>
      </c>
      <c r="CT148" s="135">
        <f t="shared" si="215"/>
        <v>319332</v>
      </c>
      <c r="CU148" s="136">
        <f t="shared" si="215"/>
        <v>237110.32</v>
      </c>
      <c r="CV148" s="135">
        <f t="shared" si="215"/>
        <v>306217</v>
      </c>
      <c r="CW148" s="136">
        <f t="shared" si="215"/>
        <v>234523.11000000004</v>
      </c>
      <c r="CX148" s="135">
        <f t="shared" si="215"/>
        <v>310551</v>
      </c>
      <c r="CY148" s="136">
        <f t="shared" si="215"/>
        <v>237489.63000000003</v>
      </c>
      <c r="CZ148" s="135">
        <f t="shared" ref="CZ148:EE148" si="216">SUM(CZ4:CZ147)</f>
        <v>302387</v>
      </c>
      <c r="DA148" s="136">
        <f t="shared" si="216"/>
        <v>227076.46000000002</v>
      </c>
      <c r="DB148" s="135">
        <f t="shared" si="216"/>
        <v>282632</v>
      </c>
      <c r="DC148" s="136">
        <f t="shared" si="216"/>
        <v>215962.82</v>
      </c>
      <c r="DD148" s="135">
        <f t="shared" si="216"/>
        <v>308173</v>
      </c>
      <c r="DE148" s="136">
        <f t="shared" si="216"/>
        <v>239119.66999999995</v>
      </c>
      <c r="DF148" s="137">
        <f t="shared" si="216"/>
        <v>3739331</v>
      </c>
      <c r="DG148" s="138">
        <f t="shared" si="216"/>
        <v>2791612.99</v>
      </c>
      <c r="DH148" s="135">
        <f t="shared" si="216"/>
        <v>299175</v>
      </c>
      <c r="DI148" s="136">
        <f t="shared" si="216"/>
        <v>233525.95</v>
      </c>
      <c r="DJ148" s="135">
        <f t="shared" si="216"/>
        <v>285899</v>
      </c>
      <c r="DK148" s="136">
        <f t="shared" si="216"/>
        <v>221678.60999999996</v>
      </c>
      <c r="DL148" s="135">
        <f t="shared" si="216"/>
        <v>0</v>
      </c>
      <c r="DM148" s="136">
        <f t="shared" si="216"/>
        <v>0</v>
      </c>
      <c r="DN148" s="135">
        <f t="shared" si="216"/>
        <v>0</v>
      </c>
      <c r="DO148" s="136">
        <f t="shared" si="216"/>
        <v>0</v>
      </c>
      <c r="DP148" s="135">
        <f t="shared" si="216"/>
        <v>0</v>
      </c>
      <c r="DQ148" s="136">
        <f t="shared" si="216"/>
        <v>0</v>
      </c>
      <c r="DR148" s="135">
        <f t="shared" si="216"/>
        <v>0</v>
      </c>
      <c r="DS148" s="136">
        <f t="shared" si="216"/>
        <v>0</v>
      </c>
      <c r="DT148" s="135">
        <f t="shared" si="216"/>
        <v>0</v>
      </c>
      <c r="DU148" s="136">
        <f t="shared" si="216"/>
        <v>0</v>
      </c>
      <c r="DV148" s="135">
        <f t="shared" si="216"/>
        <v>0</v>
      </c>
      <c r="DW148" s="136">
        <f t="shared" si="216"/>
        <v>0</v>
      </c>
      <c r="DX148" s="135">
        <f t="shared" si="216"/>
        <v>0</v>
      </c>
      <c r="DY148" s="136">
        <f t="shared" si="216"/>
        <v>0</v>
      </c>
      <c r="DZ148" s="135">
        <f t="shared" si="216"/>
        <v>0</v>
      </c>
      <c r="EA148" s="136">
        <f t="shared" si="216"/>
        <v>0</v>
      </c>
      <c r="EB148" s="135">
        <f t="shared" si="216"/>
        <v>0</v>
      </c>
      <c r="EC148" s="136">
        <f t="shared" si="216"/>
        <v>0</v>
      </c>
      <c r="ED148" s="135">
        <f t="shared" si="216"/>
        <v>0</v>
      </c>
      <c r="EE148" s="136">
        <f t="shared" si="216"/>
        <v>0</v>
      </c>
      <c r="EF148" s="135">
        <f t="shared" ref="EF148:FK148" si="217">SUM(EF4:EF147)</f>
        <v>585074</v>
      </c>
      <c r="EG148" s="136">
        <f t="shared" si="217"/>
        <v>455204.55999999994</v>
      </c>
    </row>
    <row r="149" spans="1:137" x14ac:dyDescent="0.5">
      <c r="A149" s="117"/>
      <c r="B149" s="127"/>
      <c r="C149" s="127"/>
      <c r="D149" s="117"/>
      <c r="E149" s="117"/>
      <c r="F149" s="139"/>
      <c r="G149" s="130"/>
      <c r="H149" s="123"/>
      <c r="I149" s="124">
        <f t="shared" ref="I149:I156" si="218">H149*$E149</f>
        <v>0</v>
      </c>
      <c r="J149" s="123"/>
      <c r="K149" s="124">
        <f t="shared" ref="K149:K156" si="219">J149*$E149</f>
        <v>0</v>
      </c>
      <c r="L149" s="123"/>
      <c r="M149" s="124">
        <f t="shared" ref="M149:M156" si="220">L149*$E149</f>
        <v>0</v>
      </c>
      <c r="N149" s="123"/>
      <c r="O149" s="124">
        <f t="shared" ref="O149:O156" si="221">N149*$E149</f>
        <v>0</v>
      </c>
      <c r="P149" s="123"/>
      <c r="Q149" s="124">
        <f t="shared" ref="Q149:Q156" si="222">P149*$E149</f>
        <v>0</v>
      </c>
      <c r="R149" s="123"/>
      <c r="S149" s="124">
        <f t="shared" ref="S149:S156" si="223">R149*$E149</f>
        <v>0</v>
      </c>
      <c r="T149" s="123"/>
      <c r="U149" s="124">
        <f t="shared" ref="U149:U156" si="224">T149*$E149</f>
        <v>0</v>
      </c>
      <c r="V149" s="123"/>
      <c r="W149" s="124">
        <f t="shared" ref="W149:W156" si="225">V149*$E149</f>
        <v>0</v>
      </c>
      <c r="X149" s="123"/>
      <c r="Y149" s="124">
        <f t="shared" ref="Y149:Y156" si="226">X149*$E149</f>
        <v>0</v>
      </c>
      <c r="Z149" s="123"/>
      <c r="AA149" s="124">
        <f t="shared" ref="AA149:AA156" si="227">Z149*$E149</f>
        <v>0</v>
      </c>
      <c r="AB149" s="123"/>
      <c r="AC149" s="124">
        <f t="shared" ref="AC149:AC156" si="228">AB149*$E149</f>
        <v>0</v>
      </c>
      <c r="AD149" s="123"/>
      <c r="AE149" s="124">
        <f t="shared" ref="AE149:AE156" si="229">AD149*$E149</f>
        <v>0</v>
      </c>
      <c r="AF149" s="125"/>
      <c r="AG149" s="126">
        <f t="shared" ref="AG149:AG156" si="230">AF149*$E149</f>
        <v>0</v>
      </c>
      <c r="AH149" s="123"/>
      <c r="AI149" s="124">
        <f t="shared" ref="AI149:AI156" si="231">AH149*$E149</f>
        <v>0</v>
      </c>
      <c r="AJ149" s="123"/>
      <c r="AK149" s="124">
        <f t="shared" ref="AK149:AK156" si="232">AJ149*$E149</f>
        <v>0</v>
      </c>
      <c r="AL149" s="123"/>
      <c r="AM149" s="124">
        <f t="shared" ref="AM149:AM156" si="233">AL149*$E149</f>
        <v>0</v>
      </c>
      <c r="AN149" s="123"/>
      <c r="AO149" s="124">
        <f t="shared" ref="AO149:AO156" si="234">AN149*$E149</f>
        <v>0</v>
      </c>
      <c r="AP149" s="123"/>
      <c r="AQ149" s="124">
        <f t="shared" ref="AQ149:AQ156" si="235">AP149*$E149</f>
        <v>0</v>
      </c>
      <c r="AR149" s="123"/>
      <c r="AS149" s="124">
        <f t="shared" ref="AS149:AS156" si="236">AR149*$E149</f>
        <v>0</v>
      </c>
      <c r="AT149" s="123"/>
      <c r="AU149" s="124">
        <f t="shared" ref="AU149:AU156" si="237">AT149*$E149</f>
        <v>0</v>
      </c>
      <c r="AV149" s="123"/>
      <c r="AW149" s="124">
        <f t="shared" ref="AW149:AW156" si="238">AV149*$E149</f>
        <v>0</v>
      </c>
      <c r="AX149" s="123"/>
      <c r="AY149" s="124">
        <f t="shared" ref="AY149:AY156" si="239">AX149*$E149</f>
        <v>0</v>
      </c>
      <c r="AZ149" s="123"/>
      <c r="BA149" s="124">
        <f t="shared" ref="BA149:BA156" si="240">AZ149*$E149</f>
        <v>0</v>
      </c>
      <c r="BB149" s="123"/>
      <c r="BC149" s="124">
        <f t="shared" ref="BC149:BC156" si="241">BB149*$E149</f>
        <v>0</v>
      </c>
      <c r="BD149" s="123"/>
      <c r="BE149" s="124">
        <f t="shared" ref="BE149:BE156" si="242">BD149*$E149</f>
        <v>0</v>
      </c>
      <c r="BF149" s="125"/>
      <c r="BG149" s="126">
        <f t="shared" ref="BG149:BG156" si="243">BF149*$E149</f>
        <v>0</v>
      </c>
      <c r="BH149" s="123"/>
      <c r="BI149" s="124">
        <f t="shared" ref="BI149:BI156" si="244">BH149*$E149</f>
        <v>0</v>
      </c>
      <c r="BJ149" s="123"/>
      <c r="BK149" s="124">
        <f t="shared" ref="BK149:BK156" si="245">BJ149*$E149</f>
        <v>0</v>
      </c>
      <c r="BL149" s="123"/>
      <c r="BM149" s="124">
        <f t="shared" ref="BM149:BM156" si="246">BL149*$E149</f>
        <v>0</v>
      </c>
      <c r="BN149" s="123"/>
      <c r="BO149" s="124">
        <f t="shared" ref="BO149:BO156" si="247">BN149*$E149</f>
        <v>0</v>
      </c>
      <c r="BP149" s="123"/>
      <c r="BQ149" s="124">
        <f t="shared" ref="BQ149:BQ156" si="248">BP149*$E149</f>
        <v>0</v>
      </c>
      <c r="BR149" s="123"/>
      <c r="BS149" s="124">
        <f t="shared" ref="BS149:BS156" si="249">BR149*$E149</f>
        <v>0</v>
      </c>
      <c r="BT149" s="123"/>
      <c r="BU149" s="124">
        <f t="shared" ref="BU149:BU156" si="250">BT149*$E149</f>
        <v>0</v>
      </c>
      <c r="BV149" s="123"/>
      <c r="BW149" s="124">
        <f t="shared" ref="BW149:BW156" si="251">BV149*$E149</f>
        <v>0</v>
      </c>
      <c r="BX149" s="123"/>
      <c r="BY149" s="124">
        <f t="shared" ref="BY149:BY156" si="252">BX149*$E149</f>
        <v>0</v>
      </c>
      <c r="BZ149" s="123"/>
      <c r="CA149" s="124">
        <f t="shared" ref="CA149:CA156" si="253">BZ149*$E149</f>
        <v>0</v>
      </c>
      <c r="CB149" s="123"/>
      <c r="CC149" s="124">
        <f t="shared" ref="CC149:CC156" si="254">CB149*$E149</f>
        <v>0</v>
      </c>
      <c r="CD149" s="123"/>
      <c r="CE149" s="124">
        <f t="shared" ref="CE149:CE156" si="255">CD149*$E149</f>
        <v>0</v>
      </c>
      <c r="CF149" s="125"/>
      <c r="CG149" s="126">
        <f t="shared" ref="CG149:CG156" si="256">CF149*$E149</f>
        <v>0</v>
      </c>
      <c r="CH149" s="123"/>
      <c r="CI149" s="124">
        <f t="shared" ref="CI149:CI156" si="257">CH149*$E149</f>
        <v>0</v>
      </c>
      <c r="CJ149" s="123"/>
      <c r="CK149" s="124">
        <f t="shared" ref="CK149:CK156" si="258">CJ149*$E149</f>
        <v>0</v>
      </c>
      <c r="CL149" s="123"/>
      <c r="CM149" s="124">
        <f t="shared" ref="CM149:CM156" si="259">CL149*$E149</f>
        <v>0</v>
      </c>
      <c r="CN149" s="123"/>
      <c r="CO149" s="124">
        <f t="shared" ref="CO149:CO156" si="260">CN149*$E149</f>
        <v>0</v>
      </c>
      <c r="CP149" s="123"/>
      <c r="CQ149" s="124">
        <f t="shared" ref="CQ149:CQ156" si="261">CP149*$E149</f>
        <v>0</v>
      </c>
      <c r="CR149" s="123"/>
      <c r="CS149" s="124">
        <f t="shared" ref="CS149:CS156" si="262">CR149*$E149</f>
        <v>0</v>
      </c>
      <c r="CT149" s="123"/>
      <c r="CU149" s="124">
        <f t="shared" ref="CU149:CU156" si="263">CT149*$E149</f>
        <v>0</v>
      </c>
      <c r="CV149" s="123"/>
      <c r="CW149" s="124">
        <f t="shared" ref="CW149:CW156" si="264">CV149*$E149</f>
        <v>0</v>
      </c>
      <c r="CX149" s="123"/>
      <c r="CY149" s="124">
        <f t="shared" ref="CY149:CY156" si="265">CX149*$E149</f>
        <v>0</v>
      </c>
      <c r="CZ149" s="123"/>
      <c r="DA149" s="124">
        <f t="shared" ref="DA149:DA156" si="266">CZ149*$E149</f>
        <v>0</v>
      </c>
      <c r="DB149" s="123"/>
      <c r="DC149" s="124">
        <f t="shared" si="210"/>
        <v>0</v>
      </c>
      <c r="DD149" s="123"/>
      <c r="DE149" s="124">
        <f t="shared" si="210"/>
        <v>0</v>
      </c>
      <c r="DF149" s="177"/>
      <c r="DG149" s="126"/>
      <c r="DH149" s="123"/>
      <c r="DI149" s="124">
        <f t="shared" ref="DI149:DI156" si="267">DH149*$E149</f>
        <v>0</v>
      </c>
      <c r="DJ149" s="123"/>
      <c r="DK149" s="124">
        <f t="shared" ref="DK149:DK156" si="268">DJ149*$E149</f>
        <v>0</v>
      </c>
      <c r="DL149" s="123"/>
      <c r="DM149" s="124">
        <f t="shared" ref="DM149:DM156" si="269">DL149*$E149</f>
        <v>0</v>
      </c>
      <c r="DN149" s="123"/>
      <c r="DO149" s="124">
        <f t="shared" ref="DO149:DO156" si="270">DN149*$E149</f>
        <v>0</v>
      </c>
      <c r="DP149" s="123"/>
      <c r="DQ149" s="124">
        <f t="shared" ref="DQ149:DQ156" si="271">DP149*$E149</f>
        <v>0</v>
      </c>
      <c r="DR149" s="123"/>
      <c r="DS149" s="124">
        <f t="shared" ref="DS149:DS156" si="272">DR149*$E149</f>
        <v>0</v>
      </c>
      <c r="DT149" s="123"/>
      <c r="DU149" s="124">
        <f t="shared" ref="DU149:DU156" si="273">DT149*$E149</f>
        <v>0</v>
      </c>
      <c r="DV149" s="123"/>
      <c r="DW149" s="124">
        <f t="shared" ref="DW149:DW156" si="274">DV149*$E149</f>
        <v>0</v>
      </c>
      <c r="DX149" s="123"/>
      <c r="DY149" s="124">
        <f t="shared" ref="DY149:DY156" si="275">DX149*$E149</f>
        <v>0</v>
      </c>
      <c r="DZ149" s="123"/>
      <c r="EA149" s="124">
        <f t="shared" ref="EA149:EA156" si="276">DZ149*$E149</f>
        <v>0</v>
      </c>
      <c r="EB149" s="123"/>
      <c r="EC149" s="124">
        <f t="shared" ref="EC149:EC156" si="277">EB149*$E149</f>
        <v>0</v>
      </c>
      <c r="ED149" s="123"/>
      <c r="EE149" s="124">
        <f t="shared" ref="EE149:EE156" si="278">ED149*$E149</f>
        <v>0</v>
      </c>
      <c r="EF149" s="27"/>
      <c r="EG149" s="124"/>
    </row>
    <row r="150" spans="1:137" x14ac:dyDescent="0.5">
      <c r="A150" s="117">
        <v>112</v>
      </c>
      <c r="B150" s="127" t="s">
        <v>53</v>
      </c>
      <c r="C150" s="127" t="s">
        <v>231</v>
      </c>
      <c r="D150" s="117">
        <f t="shared" ref="D150:D156" si="279">RANK(DF150,$DF$149:$DF$168)</f>
        <v>1</v>
      </c>
      <c r="E150" s="117">
        <v>0.7</v>
      </c>
      <c r="F150" s="139" t="s">
        <v>232</v>
      </c>
      <c r="G150" s="130">
        <v>4500</v>
      </c>
      <c r="H150" s="123">
        <v>1709</v>
      </c>
      <c r="I150" s="124">
        <f t="shared" si="218"/>
        <v>1196.3</v>
      </c>
      <c r="J150" s="123">
        <v>860</v>
      </c>
      <c r="K150" s="124">
        <f t="shared" si="219"/>
        <v>602</v>
      </c>
      <c r="L150" s="123">
        <v>773</v>
      </c>
      <c r="M150" s="124">
        <f t="shared" si="220"/>
        <v>541.09999999999991</v>
      </c>
      <c r="N150" s="123">
        <v>814</v>
      </c>
      <c r="O150" s="124">
        <f t="shared" si="221"/>
        <v>569.79999999999995</v>
      </c>
      <c r="P150" s="123">
        <v>1383</v>
      </c>
      <c r="Q150" s="124">
        <f t="shared" si="222"/>
        <v>968.09999999999991</v>
      </c>
      <c r="R150" s="123">
        <v>929</v>
      </c>
      <c r="S150" s="124">
        <f t="shared" si="223"/>
        <v>650.29999999999995</v>
      </c>
      <c r="T150" s="123">
        <v>864</v>
      </c>
      <c r="U150" s="124">
        <f t="shared" si="224"/>
        <v>604.79999999999995</v>
      </c>
      <c r="V150" s="123">
        <v>797</v>
      </c>
      <c r="W150" s="124">
        <f t="shared" si="225"/>
        <v>557.9</v>
      </c>
      <c r="X150" s="123">
        <v>583</v>
      </c>
      <c r="Y150" s="124">
        <f t="shared" si="226"/>
        <v>408.09999999999997</v>
      </c>
      <c r="Z150" s="123">
        <v>685</v>
      </c>
      <c r="AA150" s="124">
        <f t="shared" si="227"/>
        <v>479.49999999999994</v>
      </c>
      <c r="AB150" s="123">
        <v>131</v>
      </c>
      <c r="AC150" s="124">
        <f t="shared" si="228"/>
        <v>91.699999999999989</v>
      </c>
      <c r="AD150" s="123">
        <v>631</v>
      </c>
      <c r="AE150" s="124">
        <f t="shared" si="229"/>
        <v>441.7</v>
      </c>
      <c r="AF150" s="125">
        <f t="shared" ref="AF150:AF168" si="280">(AD150+AB150+Z150+X150+V150+T150+R150+P150+N150+L150+J150+H150)/1</f>
        <v>10159</v>
      </c>
      <c r="AG150" s="126">
        <f t="shared" si="230"/>
        <v>7111.2999999999993</v>
      </c>
      <c r="AH150" s="123">
        <v>324</v>
      </c>
      <c r="AI150" s="124">
        <f t="shared" si="231"/>
        <v>226.79999999999998</v>
      </c>
      <c r="AJ150" s="123">
        <v>182</v>
      </c>
      <c r="AK150" s="124">
        <f t="shared" si="232"/>
        <v>127.39999999999999</v>
      </c>
      <c r="AL150" s="123">
        <v>886</v>
      </c>
      <c r="AM150" s="124">
        <f t="shared" si="233"/>
        <v>620.19999999999993</v>
      </c>
      <c r="AN150" s="123">
        <v>404</v>
      </c>
      <c r="AO150" s="124">
        <f t="shared" si="234"/>
        <v>282.79999999999995</v>
      </c>
      <c r="AP150" s="123">
        <v>483</v>
      </c>
      <c r="AQ150" s="124">
        <f t="shared" si="235"/>
        <v>338.09999999999997</v>
      </c>
      <c r="AR150" s="123">
        <v>142</v>
      </c>
      <c r="AS150" s="124">
        <f t="shared" si="236"/>
        <v>99.399999999999991</v>
      </c>
      <c r="AT150" s="123">
        <v>108</v>
      </c>
      <c r="AU150" s="124">
        <f t="shared" si="237"/>
        <v>75.599999999999994</v>
      </c>
      <c r="AV150" s="123">
        <v>204</v>
      </c>
      <c r="AW150" s="124">
        <f t="shared" si="238"/>
        <v>142.79999999999998</v>
      </c>
      <c r="AX150" s="123">
        <v>429</v>
      </c>
      <c r="AY150" s="124">
        <f t="shared" si="239"/>
        <v>300.29999999999995</v>
      </c>
      <c r="AZ150" s="123">
        <v>150</v>
      </c>
      <c r="BA150" s="124">
        <f t="shared" si="240"/>
        <v>105</v>
      </c>
      <c r="BB150" s="123">
        <v>150</v>
      </c>
      <c r="BC150" s="124">
        <f t="shared" si="241"/>
        <v>105</v>
      </c>
      <c r="BD150" s="123">
        <v>192</v>
      </c>
      <c r="BE150" s="124">
        <f t="shared" si="242"/>
        <v>134.39999999999998</v>
      </c>
      <c r="BF150" s="125">
        <f t="shared" ref="BF150:BF168" si="281">(BD150+BB150+AZ150+AX150+AV150+AT150+AR150+AP150+AN150+AL150+AJ150+AH150)/1</f>
        <v>3654</v>
      </c>
      <c r="BG150" s="126">
        <f t="shared" si="243"/>
        <v>2557.7999999999997</v>
      </c>
      <c r="BH150" s="123">
        <v>348</v>
      </c>
      <c r="BI150" s="124">
        <f t="shared" si="244"/>
        <v>243.6</v>
      </c>
      <c r="BJ150" s="123">
        <v>12</v>
      </c>
      <c r="BK150" s="124">
        <f t="shared" si="245"/>
        <v>8.3999999999999986</v>
      </c>
      <c r="BL150" s="123">
        <v>192</v>
      </c>
      <c r="BM150" s="124">
        <f t="shared" si="246"/>
        <v>134.39999999999998</v>
      </c>
      <c r="BN150" s="123">
        <v>12</v>
      </c>
      <c r="BO150" s="124">
        <f t="shared" si="247"/>
        <v>8.3999999999999986</v>
      </c>
      <c r="BP150" s="123">
        <v>240</v>
      </c>
      <c r="BQ150" s="124">
        <f t="shared" si="248"/>
        <v>168</v>
      </c>
      <c r="BR150" s="123">
        <v>180</v>
      </c>
      <c r="BS150" s="124">
        <f t="shared" si="249"/>
        <v>125.99999999999999</v>
      </c>
      <c r="BT150" s="123">
        <v>48</v>
      </c>
      <c r="BU150" s="124">
        <f t="shared" si="250"/>
        <v>33.599999999999994</v>
      </c>
      <c r="BV150" s="123">
        <v>240</v>
      </c>
      <c r="BW150" s="124">
        <f t="shared" si="251"/>
        <v>168</v>
      </c>
      <c r="BX150" s="123">
        <v>324</v>
      </c>
      <c r="BY150" s="124">
        <f t="shared" si="252"/>
        <v>226.79999999999998</v>
      </c>
      <c r="BZ150" s="123">
        <v>300</v>
      </c>
      <c r="CA150" s="124">
        <f t="shared" si="253"/>
        <v>210</v>
      </c>
      <c r="CB150" s="123">
        <v>444</v>
      </c>
      <c r="CC150" s="124">
        <f t="shared" si="254"/>
        <v>310.79999999999995</v>
      </c>
      <c r="CD150" s="123">
        <v>120</v>
      </c>
      <c r="CE150" s="124">
        <f t="shared" si="255"/>
        <v>84</v>
      </c>
      <c r="CF150" s="125">
        <f t="shared" ref="CF150:CF167" si="282">(CD150+CB150+BZ150+BX150+BV150+BT150+BR150+BP150+BN150+BL150+BJ150+BH150)/1</f>
        <v>2460</v>
      </c>
      <c r="CG150" s="126">
        <f t="shared" si="256"/>
        <v>1722</v>
      </c>
      <c r="CH150" s="123">
        <v>252</v>
      </c>
      <c r="CI150" s="124">
        <f t="shared" si="257"/>
        <v>176.39999999999998</v>
      </c>
      <c r="CJ150" s="123">
        <v>192</v>
      </c>
      <c r="CK150" s="124">
        <f t="shared" si="258"/>
        <v>134.39999999999998</v>
      </c>
      <c r="CL150" s="123"/>
      <c r="CM150" s="124">
        <f t="shared" si="259"/>
        <v>0</v>
      </c>
      <c r="CN150" s="123">
        <v>120</v>
      </c>
      <c r="CO150" s="124">
        <f t="shared" si="260"/>
        <v>84</v>
      </c>
      <c r="CP150" s="123"/>
      <c r="CQ150" s="124">
        <f t="shared" si="261"/>
        <v>0</v>
      </c>
      <c r="CR150" s="123">
        <v>12</v>
      </c>
      <c r="CS150" s="124">
        <f t="shared" si="262"/>
        <v>8.3999999999999986</v>
      </c>
      <c r="CT150" s="123">
        <v>72</v>
      </c>
      <c r="CU150" s="124">
        <f t="shared" si="263"/>
        <v>50.4</v>
      </c>
      <c r="CV150" s="123"/>
      <c r="CW150" s="124">
        <f t="shared" si="264"/>
        <v>0</v>
      </c>
      <c r="CX150" s="123"/>
      <c r="CY150" s="124">
        <f t="shared" si="265"/>
        <v>0</v>
      </c>
      <c r="CZ150" s="123">
        <v>24</v>
      </c>
      <c r="DA150" s="124">
        <f t="shared" si="266"/>
        <v>16.799999999999997</v>
      </c>
      <c r="DB150" s="123">
        <v>120</v>
      </c>
      <c r="DC150" s="124">
        <f t="shared" si="210"/>
        <v>84</v>
      </c>
      <c r="DD150" s="123"/>
      <c r="DE150" s="124">
        <f t="shared" si="210"/>
        <v>0</v>
      </c>
      <c r="DF150" s="177">
        <f t="shared" ref="DF150:DF168" si="283">SUM(CH150,CJ150,CL150,CN150,CP150,CR150,CT150,CV150,CX150,CZ150,DB150,DD150)</f>
        <v>792</v>
      </c>
      <c r="DG150" s="126">
        <f t="shared" ref="DG150:DG168" si="284">DF150*$E150</f>
        <v>554.4</v>
      </c>
      <c r="DH150" s="123"/>
      <c r="DI150" s="124">
        <f t="shared" si="267"/>
        <v>0</v>
      </c>
      <c r="DJ150" s="123">
        <v>60</v>
      </c>
      <c r="DK150" s="124">
        <f t="shared" si="268"/>
        <v>42</v>
      </c>
      <c r="DL150" s="123"/>
      <c r="DM150" s="124">
        <f t="shared" si="269"/>
        <v>0</v>
      </c>
      <c r="DN150" s="123"/>
      <c r="DO150" s="124">
        <f t="shared" si="270"/>
        <v>0</v>
      </c>
      <c r="DP150" s="123"/>
      <c r="DQ150" s="124">
        <f t="shared" si="271"/>
        <v>0</v>
      </c>
      <c r="DR150" s="123"/>
      <c r="DS150" s="124">
        <f t="shared" si="272"/>
        <v>0</v>
      </c>
      <c r="DT150" s="123"/>
      <c r="DU150" s="124">
        <f t="shared" si="273"/>
        <v>0</v>
      </c>
      <c r="DV150" s="123"/>
      <c r="DW150" s="124">
        <f t="shared" si="274"/>
        <v>0</v>
      </c>
      <c r="DX150" s="123"/>
      <c r="DY150" s="124">
        <f t="shared" si="275"/>
        <v>0</v>
      </c>
      <c r="DZ150" s="123"/>
      <c r="EA150" s="124">
        <f t="shared" si="276"/>
        <v>0</v>
      </c>
      <c r="EB150" s="123"/>
      <c r="EC150" s="124">
        <f t="shared" si="277"/>
        <v>0</v>
      </c>
      <c r="ED150" s="123"/>
      <c r="EE150" s="124">
        <f t="shared" si="278"/>
        <v>0</v>
      </c>
      <c r="EF150" s="27">
        <f t="shared" ref="EF150:EF156" si="285">SUM(DH150,DJ150,DL150,DN150,DP150,DR150,DT150,DV150,DX150,DZ150,EB150,ED150)</f>
        <v>60</v>
      </c>
      <c r="EG150" s="124">
        <f t="shared" ref="EG150:EG156" si="286">EF150*$E150</f>
        <v>42</v>
      </c>
    </row>
    <row r="151" spans="1:137" x14ac:dyDescent="0.5">
      <c r="A151" s="117">
        <v>113</v>
      </c>
      <c r="B151" s="127" t="s">
        <v>54</v>
      </c>
      <c r="C151" s="127" t="s">
        <v>231</v>
      </c>
      <c r="D151" s="117">
        <f t="shared" si="279"/>
        <v>3</v>
      </c>
      <c r="E151" s="117">
        <v>0.35</v>
      </c>
      <c r="F151" s="139" t="s">
        <v>235</v>
      </c>
      <c r="G151" s="130">
        <v>2300</v>
      </c>
      <c r="H151" s="123">
        <v>800</v>
      </c>
      <c r="I151" s="124">
        <f t="shared" si="218"/>
        <v>280</v>
      </c>
      <c r="J151" s="123">
        <v>477</v>
      </c>
      <c r="K151" s="124">
        <f t="shared" si="219"/>
        <v>166.95</v>
      </c>
      <c r="L151" s="123">
        <v>379</v>
      </c>
      <c r="M151" s="124">
        <f t="shared" si="220"/>
        <v>132.65</v>
      </c>
      <c r="N151" s="123">
        <v>384</v>
      </c>
      <c r="O151" s="124">
        <f t="shared" si="221"/>
        <v>134.39999999999998</v>
      </c>
      <c r="P151" s="123">
        <v>289</v>
      </c>
      <c r="Q151" s="124">
        <f t="shared" si="222"/>
        <v>101.14999999999999</v>
      </c>
      <c r="R151" s="123">
        <v>270</v>
      </c>
      <c r="S151" s="124">
        <f t="shared" si="223"/>
        <v>94.5</v>
      </c>
      <c r="T151" s="123">
        <v>129</v>
      </c>
      <c r="U151" s="124">
        <f t="shared" si="224"/>
        <v>45.15</v>
      </c>
      <c r="V151" s="123">
        <v>79</v>
      </c>
      <c r="W151" s="124">
        <f t="shared" si="225"/>
        <v>27.65</v>
      </c>
      <c r="X151" s="123">
        <v>179</v>
      </c>
      <c r="Y151" s="124">
        <f t="shared" si="226"/>
        <v>62.65</v>
      </c>
      <c r="Z151" s="123">
        <v>150</v>
      </c>
      <c r="AA151" s="124">
        <f t="shared" si="227"/>
        <v>52.5</v>
      </c>
      <c r="AB151" s="123">
        <v>176</v>
      </c>
      <c r="AC151" s="124">
        <f t="shared" si="228"/>
        <v>61.599999999999994</v>
      </c>
      <c r="AD151" s="123">
        <v>508</v>
      </c>
      <c r="AE151" s="124">
        <f t="shared" si="229"/>
        <v>177.79999999999998</v>
      </c>
      <c r="AF151" s="125">
        <f t="shared" si="280"/>
        <v>3820</v>
      </c>
      <c r="AG151" s="126">
        <f t="shared" si="230"/>
        <v>1337</v>
      </c>
      <c r="AH151" s="123">
        <v>185</v>
      </c>
      <c r="AI151" s="124">
        <f t="shared" si="231"/>
        <v>64.75</v>
      </c>
      <c r="AJ151" s="123">
        <v>149</v>
      </c>
      <c r="AK151" s="124">
        <f t="shared" si="232"/>
        <v>52.15</v>
      </c>
      <c r="AL151" s="123">
        <v>300</v>
      </c>
      <c r="AM151" s="124">
        <f t="shared" si="233"/>
        <v>105</v>
      </c>
      <c r="AN151" s="123">
        <v>65</v>
      </c>
      <c r="AO151" s="124">
        <f t="shared" si="234"/>
        <v>22.75</v>
      </c>
      <c r="AP151" s="123">
        <v>127</v>
      </c>
      <c r="AQ151" s="124">
        <f t="shared" si="235"/>
        <v>44.449999999999996</v>
      </c>
      <c r="AR151" s="123">
        <v>13</v>
      </c>
      <c r="AS151" s="124">
        <f t="shared" si="236"/>
        <v>4.55</v>
      </c>
      <c r="AT151" s="123">
        <v>24</v>
      </c>
      <c r="AU151" s="124">
        <f t="shared" si="237"/>
        <v>8.3999999999999986</v>
      </c>
      <c r="AV151" s="123">
        <v>122</v>
      </c>
      <c r="AW151" s="124">
        <f t="shared" si="238"/>
        <v>42.699999999999996</v>
      </c>
      <c r="AX151" s="123">
        <v>236</v>
      </c>
      <c r="AY151" s="124">
        <f t="shared" si="239"/>
        <v>82.6</v>
      </c>
      <c r="AZ151" s="123">
        <v>36</v>
      </c>
      <c r="BA151" s="124">
        <f t="shared" si="240"/>
        <v>12.6</v>
      </c>
      <c r="BB151" s="123">
        <v>96</v>
      </c>
      <c r="BC151" s="124">
        <f t="shared" si="241"/>
        <v>33.599999999999994</v>
      </c>
      <c r="BD151" s="123">
        <v>6</v>
      </c>
      <c r="BE151" s="124">
        <f t="shared" si="242"/>
        <v>2.0999999999999996</v>
      </c>
      <c r="BF151" s="125">
        <f t="shared" si="281"/>
        <v>1359</v>
      </c>
      <c r="BG151" s="126">
        <f t="shared" si="243"/>
        <v>475.65</v>
      </c>
      <c r="BH151" s="123">
        <v>72</v>
      </c>
      <c r="BI151" s="124">
        <f t="shared" si="244"/>
        <v>25.2</v>
      </c>
      <c r="BJ151" s="123">
        <v>24</v>
      </c>
      <c r="BK151" s="124">
        <f t="shared" si="245"/>
        <v>8.3999999999999986</v>
      </c>
      <c r="BL151" s="123">
        <v>96</v>
      </c>
      <c r="BM151" s="124">
        <f t="shared" si="246"/>
        <v>33.599999999999994</v>
      </c>
      <c r="BN151" s="123"/>
      <c r="BO151" s="124">
        <f t="shared" si="247"/>
        <v>0</v>
      </c>
      <c r="BP151" s="123"/>
      <c r="BQ151" s="124">
        <f t="shared" si="248"/>
        <v>0</v>
      </c>
      <c r="BR151" s="123"/>
      <c r="BS151" s="124">
        <f t="shared" si="249"/>
        <v>0</v>
      </c>
      <c r="BT151" s="123"/>
      <c r="BU151" s="124">
        <f t="shared" si="250"/>
        <v>0</v>
      </c>
      <c r="BV151" s="123">
        <v>24</v>
      </c>
      <c r="BW151" s="124">
        <f t="shared" si="251"/>
        <v>8.3999999999999986</v>
      </c>
      <c r="BX151" s="123">
        <v>24</v>
      </c>
      <c r="BY151" s="124">
        <f t="shared" si="252"/>
        <v>8.3999999999999986</v>
      </c>
      <c r="BZ151" s="123"/>
      <c r="CA151" s="124">
        <f t="shared" si="253"/>
        <v>0</v>
      </c>
      <c r="CB151" s="123">
        <v>24</v>
      </c>
      <c r="CC151" s="124">
        <f t="shared" si="254"/>
        <v>8.3999999999999986</v>
      </c>
      <c r="CD151" s="123">
        <v>24</v>
      </c>
      <c r="CE151" s="124">
        <f t="shared" si="255"/>
        <v>8.3999999999999986</v>
      </c>
      <c r="CF151" s="125">
        <f t="shared" si="282"/>
        <v>288</v>
      </c>
      <c r="CG151" s="126">
        <f t="shared" si="256"/>
        <v>100.8</v>
      </c>
      <c r="CH151" s="123">
        <v>48</v>
      </c>
      <c r="CI151" s="124">
        <f t="shared" si="257"/>
        <v>16.799999999999997</v>
      </c>
      <c r="CJ151" s="123">
        <v>96</v>
      </c>
      <c r="CK151" s="124">
        <f t="shared" si="258"/>
        <v>33.599999999999994</v>
      </c>
      <c r="CL151" s="123">
        <v>24</v>
      </c>
      <c r="CM151" s="124">
        <f t="shared" si="259"/>
        <v>8.3999999999999986</v>
      </c>
      <c r="CN151" s="123">
        <v>72</v>
      </c>
      <c r="CO151" s="124">
        <f t="shared" si="260"/>
        <v>25.2</v>
      </c>
      <c r="CP151" s="123"/>
      <c r="CQ151" s="124">
        <f t="shared" si="261"/>
        <v>0</v>
      </c>
      <c r="CR151" s="123"/>
      <c r="CS151" s="124">
        <f t="shared" si="262"/>
        <v>0</v>
      </c>
      <c r="CT151" s="123"/>
      <c r="CU151" s="124">
        <f t="shared" si="263"/>
        <v>0</v>
      </c>
      <c r="CV151" s="123"/>
      <c r="CW151" s="124">
        <f t="shared" si="264"/>
        <v>0</v>
      </c>
      <c r="CX151" s="123"/>
      <c r="CY151" s="124">
        <f t="shared" si="265"/>
        <v>0</v>
      </c>
      <c r="CZ151" s="123">
        <v>72</v>
      </c>
      <c r="DA151" s="124">
        <f t="shared" si="266"/>
        <v>25.2</v>
      </c>
      <c r="DB151" s="123"/>
      <c r="DC151" s="124">
        <f t="shared" si="210"/>
        <v>0</v>
      </c>
      <c r="DD151" s="123"/>
      <c r="DE151" s="124">
        <f t="shared" si="210"/>
        <v>0</v>
      </c>
      <c r="DF151" s="177">
        <f t="shared" si="283"/>
        <v>312</v>
      </c>
      <c r="DG151" s="126">
        <f t="shared" si="284"/>
        <v>109.19999999999999</v>
      </c>
      <c r="DH151" s="123"/>
      <c r="DI151" s="124">
        <f t="shared" si="267"/>
        <v>0</v>
      </c>
      <c r="DJ151" s="123"/>
      <c r="DK151" s="124">
        <f t="shared" si="268"/>
        <v>0</v>
      </c>
      <c r="DL151" s="123"/>
      <c r="DM151" s="124">
        <f t="shared" si="269"/>
        <v>0</v>
      </c>
      <c r="DN151" s="123"/>
      <c r="DO151" s="124">
        <f t="shared" si="270"/>
        <v>0</v>
      </c>
      <c r="DP151" s="123"/>
      <c r="DQ151" s="124">
        <f t="shared" si="271"/>
        <v>0</v>
      </c>
      <c r="DR151" s="123"/>
      <c r="DS151" s="124">
        <f t="shared" si="272"/>
        <v>0</v>
      </c>
      <c r="DT151" s="123"/>
      <c r="DU151" s="124">
        <f t="shared" si="273"/>
        <v>0</v>
      </c>
      <c r="DV151" s="123"/>
      <c r="DW151" s="124">
        <f t="shared" si="274"/>
        <v>0</v>
      </c>
      <c r="DX151" s="123"/>
      <c r="DY151" s="124">
        <f t="shared" si="275"/>
        <v>0</v>
      </c>
      <c r="DZ151" s="123"/>
      <c r="EA151" s="124">
        <f t="shared" si="276"/>
        <v>0</v>
      </c>
      <c r="EB151" s="123"/>
      <c r="EC151" s="124">
        <f t="shared" si="277"/>
        <v>0</v>
      </c>
      <c r="ED151" s="123"/>
      <c r="EE151" s="124">
        <f t="shared" si="278"/>
        <v>0</v>
      </c>
      <c r="EF151" s="27">
        <f t="shared" si="285"/>
        <v>0</v>
      </c>
      <c r="EG151" s="124">
        <f t="shared" si="286"/>
        <v>0</v>
      </c>
    </row>
    <row r="152" spans="1:137" x14ac:dyDescent="0.5">
      <c r="A152" s="117">
        <v>114</v>
      </c>
      <c r="B152" s="127" t="s">
        <v>55</v>
      </c>
      <c r="C152" s="127" t="s">
        <v>231</v>
      </c>
      <c r="D152" s="117">
        <f t="shared" si="279"/>
        <v>5</v>
      </c>
      <c r="E152" s="117">
        <v>0.17499999999999999</v>
      </c>
      <c r="F152" s="139" t="s">
        <v>245</v>
      </c>
      <c r="G152" s="130">
        <v>1300</v>
      </c>
      <c r="H152" s="123">
        <v>134</v>
      </c>
      <c r="I152" s="124">
        <f t="shared" si="218"/>
        <v>23.45</v>
      </c>
      <c r="J152" s="123">
        <v>511</v>
      </c>
      <c r="K152" s="124">
        <f t="shared" si="219"/>
        <v>89.424999999999997</v>
      </c>
      <c r="L152" s="123">
        <v>718</v>
      </c>
      <c r="M152" s="124">
        <f t="shared" si="220"/>
        <v>125.64999999999999</v>
      </c>
      <c r="N152" s="123">
        <v>871</v>
      </c>
      <c r="O152" s="124">
        <f t="shared" si="221"/>
        <v>152.42499999999998</v>
      </c>
      <c r="P152" s="123">
        <v>425</v>
      </c>
      <c r="Q152" s="124">
        <f t="shared" si="222"/>
        <v>74.375</v>
      </c>
      <c r="R152" s="123">
        <v>1053</v>
      </c>
      <c r="S152" s="124">
        <f t="shared" si="223"/>
        <v>184.27499999999998</v>
      </c>
      <c r="T152" s="123">
        <v>546</v>
      </c>
      <c r="U152" s="124">
        <f t="shared" si="224"/>
        <v>95.55</v>
      </c>
      <c r="V152" s="123">
        <v>903</v>
      </c>
      <c r="W152" s="124">
        <f t="shared" si="225"/>
        <v>158.02499999999998</v>
      </c>
      <c r="X152" s="123">
        <v>169</v>
      </c>
      <c r="Y152" s="124">
        <f t="shared" si="226"/>
        <v>29.574999999999999</v>
      </c>
      <c r="Z152" s="123">
        <v>215</v>
      </c>
      <c r="AA152" s="124">
        <f t="shared" si="227"/>
        <v>37.625</v>
      </c>
      <c r="AB152" s="123">
        <v>96</v>
      </c>
      <c r="AC152" s="124">
        <f t="shared" si="228"/>
        <v>16.799999999999997</v>
      </c>
      <c r="AD152" s="123">
        <v>1311</v>
      </c>
      <c r="AE152" s="124">
        <f t="shared" si="229"/>
        <v>229.42499999999998</v>
      </c>
      <c r="AF152" s="125">
        <f t="shared" si="280"/>
        <v>6952</v>
      </c>
      <c r="AG152" s="126">
        <f t="shared" si="230"/>
        <v>1216.5999999999999</v>
      </c>
      <c r="AH152" s="123">
        <v>229</v>
      </c>
      <c r="AI152" s="124">
        <f t="shared" si="231"/>
        <v>40.074999999999996</v>
      </c>
      <c r="AJ152" s="123">
        <v>385</v>
      </c>
      <c r="AK152" s="124">
        <f t="shared" si="232"/>
        <v>67.375</v>
      </c>
      <c r="AL152" s="123">
        <v>591</v>
      </c>
      <c r="AM152" s="124">
        <f t="shared" si="233"/>
        <v>103.425</v>
      </c>
      <c r="AN152" s="123">
        <v>481</v>
      </c>
      <c r="AO152" s="124">
        <f t="shared" si="234"/>
        <v>84.174999999999997</v>
      </c>
      <c r="AP152" s="123">
        <v>226</v>
      </c>
      <c r="AQ152" s="124">
        <f t="shared" si="235"/>
        <v>39.549999999999997</v>
      </c>
      <c r="AR152" s="123">
        <v>126</v>
      </c>
      <c r="AS152" s="124">
        <f t="shared" si="236"/>
        <v>22.049999999999997</v>
      </c>
      <c r="AT152" s="123"/>
      <c r="AU152" s="124">
        <f t="shared" si="237"/>
        <v>0</v>
      </c>
      <c r="AV152" s="123">
        <v>741</v>
      </c>
      <c r="AW152" s="124">
        <f t="shared" si="238"/>
        <v>129.67499999999998</v>
      </c>
      <c r="AX152" s="123">
        <v>267</v>
      </c>
      <c r="AY152" s="124">
        <f t="shared" si="239"/>
        <v>46.724999999999994</v>
      </c>
      <c r="AZ152" s="123">
        <v>97</v>
      </c>
      <c r="BA152" s="124">
        <f t="shared" si="240"/>
        <v>16.974999999999998</v>
      </c>
      <c r="BB152" s="123">
        <v>408</v>
      </c>
      <c r="BC152" s="124">
        <f t="shared" si="241"/>
        <v>71.399999999999991</v>
      </c>
      <c r="BD152" s="123">
        <v>6</v>
      </c>
      <c r="BE152" s="124">
        <f t="shared" si="242"/>
        <v>1.0499999999999998</v>
      </c>
      <c r="BF152" s="125">
        <f t="shared" si="281"/>
        <v>3557</v>
      </c>
      <c r="BG152" s="126">
        <f t="shared" si="243"/>
        <v>622.47499999999991</v>
      </c>
      <c r="BH152" s="123"/>
      <c r="BI152" s="124">
        <f t="shared" si="244"/>
        <v>0</v>
      </c>
      <c r="BJ152" s="123"/>
      <c r="BK152" s="124">
        <f t="shared" si="245"/>
        <v>0</v>
      </c>
      <c r="BL152" s="123"/>
      <c r="BM152" s="124">
        <f t="shared" si="246"/>
        <v>0</v>
      </c>
      <c r="BN152" s="123"/>
      <c r="BO152" s="124">
        <f t="shared" si="247"/>
        <v>0</v>
      </c>
      <c r="BP152" s="123"/>
      <c r="BQ152" s="124">
        <f t="shared" si="248"/>
        <v>0</v>
      </c>
      <c r="BR152" s="123"/>
      <c r="BS152" s="124">
        <f t="shared" si="249"/>
        <v>0</v>
      </c>
      <c r="BT152" s="123"/>
      <c r="BU152" s="124">
        <f t="shared" si="250"/>
        <v>0</v>
      </c>
      <c r="BV152" s="123"/>
      <c r="BW152" s="124">
        <f t="shared" si="251"/>
        <v>0</v>
      </c>
      <c r="BX152" s="123"/>
      <c r="BY152" s="124">
        <f t="shared" si="252"/>
        <v>0</v>
      </c>
      <c r="BZ152" s="123"/>
      <c r="CA152" s="124">
        <f t="shared" si="253"/>
        <v>0</v>
      </c>
      <c r="CB152" s="123">
        <v>2</v>
      </c>
      <c r="CC152" s="124">
        <f t="shared" si="254"/>
        <v>0.35</v>
      </c>
      <c r="CD152" s="123"/>
      <c r="CE152" s="124">
        <f t="shared" si="255"/>
        <v>0</v>
      </c>
      <c r="CF152" s="125">
        <f t="shared" si="282"/>
        <v>2</v>
      </c>
      <c r="CG152" s="126">
        <f t="shared" si="256"/>
        <v>0.35</v>
      </c>
      <c r="CH152" s="123"/>
      <c r="CI152" s="124">
        <f t="shared" si="257"/>
        <v>0</v>
      </c>
      <c r="CJ152" s="123"/>
      <c r="CK152" s="124">
        <f t="shared" si="258"/>
        <v>0</v>
      </c>
      <c r="CL152" s="123"/>
      <c r="CM152" s="124">
        <f t="shared" si="259"/>
        <v>0</v>
      </c>
      <c r="CN152" s="123"/>
      <c r="CO152" s="124">
        <f t="shared" si="260"/>
        <v>0</v>
      </c>
      <c r="CP152" s="123"/>
      <c r="CQ152" s="124">
        <f t="shared" si="261"/>
        <v>0</v>
      </c>
      <c r="CR152" s="123"/>
      <c r="CS152" s="124">
        <f t="shared" si="262"/>
        <v>0</v>
      </c>
      <c r="CT152" s="123"/>
      <c r="CU152" s="124">
        <f t="shared" si="263"/>
        <v>0</v>
      </c>
      <c r="CV152" s="123"/>
      <c r="CW152" s="124">
        <f t="shared" si="264"/>
        <v>0</v>
      </c>
      <c r="CX152" s="123"/>
      <c r="CY152" s="124">
        <f t="shared" si="265"/>
        <v>0</v>
      </c>
      <c r="CZ152" s="123"/>
      <c r="DA152" s="124">
        <f t="shared" si="266"/>
        <v>0</v>
      </c>
      <c r="DB152" s="123"/>
      <c r="DC152" s="124">
        <f t="shared" si="210"/>
        <v>0</v>
      </c>
      <c r="DD152" s="123"/>
      <c r="DE152" s="124">
        <f t="shared" si="210"/>
        <v>0</v>
      </c>
      <c r="DF152" s="177">
        <f t="shared" si="283"/>
        <v>0</v>
      </c>
      <c r="DG152" s="126">
        <f t="shared" si="284"/>
        <v>0</v>
      </c>
      <c r="DH152" s="123"/>
      <c r="DI152" s="124">
        <f t="shared" si="267"/>
        <v>0</v>
      </c>
      <c r="DJ152" s="123"/>
      <c r="DK152" s="124">
        <f t="shared" si="268"/>
        <v>0</v>
      </c>
      <c r="DL152" s="123"/>
      <c r="DM152" s="124">
        <f t="shared" si="269"/>
        <v>0</v>
      </c>
      <c r="DN152" s="123"/>
      <c r="DO152" s="124">
        <f t="shared" si="270"/>
        <v>0</v>
      </c>
      <c r="DP152" s="123"/>
      <c r="DQ152" s="124">
        <f t="shared" si="271"/>
        <v>0</v>
      </c>
      <c r="DR152" s="123"/>
      <c r="DS152" s="124">
        <f t="shared" si="272"/>
        <v>0</v>
      </c>
      <c r="DT152" s="123"/>
      <c r="DU152" s="124">
        <f t="shared" si="273"/>
        <v>0</v>
      </c>
      <c r="DV152" s="123"/>
      <c r="DW152" s="124">
        <f t="shared" si="274"/>
        <v>0</v>
      </c>
      <c r="DX152" s="123"/>
      <c r="DY152" s="124">
        <f t="shared" si="275"/>
        <v>0</v>
      </c>
      <c r="DZ152" s="123"/>
      <c r="EA152" s="124">
        <f t="shared" si="276"/>
        <v>0</v>
      </c>
      <c r="EB152" s="123"/>
      <c r="EC152" s="124">
        <f t="shared" si="277"/>
        <v>0</v>
      </c>
      <c r="ED152" s="123"/>
      <c r="EE152" s="124">
        <f t="shared" si="278"/>
        <v>0</v>
      </c>
      <c r="EF152" s="27">
        <f t="shared" si="285"/>
        <v>0</v>
      </c>
      <c r="EG152" s="124">
        <f t="shared" si="286"/>
        <v>0</v>
      </c>
    </row>
    <row r="153" spans="1:137" x14ac:dyDescent="0.5">
      <c r="A153" s="117">
        <v>115</v>
      </c>
      <c r="B153" s="127" t="s">
        <v>206</v>
      </c>
      <c r="C153" s="127" t="s">
        <v>231</v>
      </c>
      <c r="D153" s="117">
        <f t="shared" si="279"/>
        <v>2</v>
      </c>
      <c r="E153" s="117">
        <v>0.7</v>
      </c>
      <c r="F153" s="139" t="s">
        <v>232</v>
      </c>
      <c r="G153" s="130">
        <v>5200</v>
      </c>
      <c r="H153" s="123">
        <v>1806</v>
      </c>
      <c r="I153" s="124">
        <f t="shared" si="218"/>
        <v>1264.1999999999998</v>
      </c>
      <c r="J153" s="123">
        <v>475</v>
      </c>
      <c r="K153" s="124">
        <f t="shared" si="219"/>
        <v>332.5</v>
      </c>
      <c r="L153" s="123">
        <v>773</v>
      </c>
      <c r="M153" s="124">
        <f t="shared" si="220"/>
        <v>541.09999999999991</v>
      </c>
      <c r="N153" s="123">
        <v>719</v>
      </c>
      <c r="O153" s="124">
        <f t="shared" si="221"/>
        <v>503.29999999999995</v>
      </c>
      <c r="P153" s="123">
        <v>799</v>
      </c>
      <c r="Q153" s="124">
        <f t="shared" si="222"/>
        <v>559.29999999999995</v>
      </c>
      <c r="R153" s="123">
        <v>939</v>
      </c>
      <c r="S153" s="124">
        <f t="shared" si="223"/>
        <v>657.3</v>
      </c>
      <c r="T153" s="123">
        <v>705</v>
      </c>
      <c r="U153" s="124">
        <f t="shared" si="224"/>
        <v>493.49999999999994</v>
      </c>
      <c r="V153" s="123">
        <v>515</v>
      </c>
      <c r="W153" s="124">
        <f t="shared" si="225"/>
        <v>360.5</v>
      </c>
      <c r="X153" s="123">
        <v>816</v>
      </c>
      <c r="Y153" s="124">
        <f t="shared" si="226"/>
        <v>571.19999999999993</v>
      </c>
      <c r="Z153" s="123">
        <v>261</v>
      </c>
      <c r="AA153" s="124">
        <f t="shared" si="227"/>
        <v>182.7</v>
      </c>
      <c r="AB153" s="123">
        <v>543</v>
      </c>
      <c r="AC153" s="124">
        <f t="shared" si="228"/>
        <v>380.09999999999997</v>
      </c>
      <c r="AD153" s="123">
        <v>552</v>
      </c>
      <c r="AE153" s="124">
        <f t="shared" si="229"/>
        <v>386.4</v>
      </c>
      <c r="AF153" s="125">
        <f t="shared" si="280"/>
        <v>8903</v>
      </c>
      <c r="AG153" s="126">
        <f t="shared" si="230"/>
        <v>6232.0999999999995</v>
      </c>
      <c r="AH153" s="123">
        <v>762</v>
      </c>
      <c r="AI153" s="124">
        <f t="shared" si="231"/>
        <v>533.4</v>
      </c>
      <c r="AJ153" s="123">
        <v>430</v>
      </c>
      <c r="AK153" s="124">
        <f t="shared" si="232"/>
        <v>301</v>
      </c>
      <c r="AL153" s="123">
        <v>642</v>
      </c>
      <c r="AM153" s="124">
        <f t="shared" si="233"/>
        <v>449.4</v>
      </c>
      <c r="AN153" s="123">
        <v>205</v>
      </c>
      <c r="AO153" s="124">
        <f t="shared" si="234"/>
        <v>143.5</v>
      </c>
      <c r="AP153" s="123">
        <v>294</v>
      </c>
      <c r="AQ153" s="124">
        <f t="shared" si="235"/>
        <v>205.79999999999998</v>
      </c>
      <c r="AR153" s="123">
        <v>161</v>
      </c>
      <c r="AS153" s="124">
        <f t="shared" si="236"/>
        <v>112.69999999999999</v>
      </c>
      <c r="AT153" s="123">
        <v>228</v>
      </c>
      <c r="AU153" s="124">
        <f t="shared" si="237"/>
        <v>159.6</v>
      </c>
      <c r="AV153" s="123">
        <v>204</v>
      </c>
      <c r="AW153" s="124">
        <f t="shared" si="238"/>
        <v>142.79999999999998</v>
      </c>
      <c r="AX153" s="123">
        <v>347</v>
      </c>
      <c r="AY153" s="124">
        <f t="shared" si="239"/>
        <v>242.89999999999998</v>
      </c>
      <c r="AZ153" s="123">
        <v>161</v>
      </c>
      <c r="BA153" s="124">
        <f t="shared" si="240"/>
        <v>112.69999999999999</v>
      </c>
      <c r="BB153" s="123">
        <v>342</v>
      </c>
      <c r="BC153" s="124">
        <f t="shared" si="241"/>
        <v>239.39999999999998</v>
      </c>
      <c r="BD153" s="123">
        <v>276</v>
      </c>
      <c r="BE153" s="124">
        <f t="shared" si="242"/>
        <v>193.2</v>
      </c>
      <c r="BF153" s="125">
        <f t="shared" si="281"/>
        <v>4052</v>
      </c>
      <c r="BG153" s="126">
        <f t="shared" si="243"/>
        <v>2836.3999999999996</v>
      </c>
      <c r="BH153" s="123">
        <v>252</v>
      </c>
      <c r="BI153" s="124">
        <f t="shared" si="244"/>
        <v>176.39999999999998</v>
      </c>
      <c r="BJ153" s="123">
        <v>336</v>
      </c>
      <c r="BK153" s="124">
        <f t="shared" si="245"/>
        <v>235.2</v>
      </c>
      <c r="BL153" s="123">
        <v>456</v>
      </c>
      <c r="BM153" s="124">
        <f t="shared" si="246"/>
        <v>319.2</v>
      </c>
      <c r="BN153" s="123">
        <v>72</v>
      </c>
      <c r="BO153" s="124">
        <f t="shared" si="247"/>
        <v>50.4</v>
      </c>
      <c r="BP153" s="123">
        <v>183</v>
      </c>
      <c r="BQ153" s="124">
        <f t="shared" si="248"/>
        <v>128.1</v>
      </c>
      <c r="BR153" s="123">
        <v>84</v>
      </c>
      <c r="BS153" s="124">
        <f t="shared" si="249"/>
        <v>58.8</v>
      </c>
      <c r="BT153" s="123">
        <v>48</v>
      </c>
      <c r="BU153" s="124">
        <f t="shared" si="250"/>
        <v>33.599999999999994</v>
      </c>
      <c r="BV153" s="123">
        <v>216</v>
      </c>
      <c r="BW153" s="124">
        <f t="shared" si="251"/>
        <v>151.19999999999999</v>
      </c>
      <c r="BX153" s="123">
        <v>24</v>
      </c>
      <c r="BY153" s="124">
        <f t="shared" si="252"/>
        <v>16.799999999999997</v>
      </c>
      <c r="BZ153" s="123">
        <v>168</v>
      </c>
      <c r="CA153" s="124">
        <f t="shared" si="253"/>
        <v>117.6</v>
      </c>
      <c r="CB153" s="123">
        <v>246</v>
      </c>
      <c r="CC153" s="124">
        <f t="shared" si="254"/>
        <v>172.2</v>
      </c>
      <c r="CD153" s="123"/>
      <c r="CE153" s="124">
        <f t="shared" si="255"/>
        <v>0</v>
      </c>
      <c r="CF153" s="125">
        <f t="shared" si="282"/>
        <v>2085</v>
      </c>
      <c r="CG153" s="126">
        <f t="shared" si="256"/>
        <v>1459.5</v>
      </c>
      <c r="CH153" s="123">
        <v>120</v>
      </c>
      <c r="CI153" s="124">
        <f t="shared" si="257"/>
        <v>84</v>
      </c>
      <c r="CJ153" s="123"/>
      <c r="CK153" s="124">
        <f t="shared" si="258"/>
        <v>0</v>
      </c>
      <c r="CL153" s="123"/>
      <c r="CM153" s="124">
        <f t="shared" si="259"/>
        <v>0</v>
      </c>
      <c r="CN153" s="123"/>
      <c r="CO153" s="124">
        <f t="shared" si="260"/>
        <v>0</v>
      </c>
      <c r="CP153" s="123"/>
      <c r="CQ153" s="124">
        <f t="shared" si="261"/>
        <v>0</v>
      </c>
      <c r="CR153" s="123">
        <v>120</v>
      </c>
      <c r="CS153" s="124">
        <f t="shared" si="262"/>
        <v>84</v>
      </c>
      <c r="CT153" s="123">
        <v>60</v>
      </c>
      <c r="CU153" s="124">
        <f t="shared" si="263"/>
        <v>42</v>
      </c>
      <c r="CV153" s="123"/>
      <c r="CW153" s="124">
        <f t="shared" si="264"/>
        <v>0</v>
      </c>
      <c r="CX153" s="123">
        <v>12</v>
      </c>
      <c r="CY153" s="124">
        <f t="shared" si="265"/>
        <v>8.3999999999999986</v>
      </c>
      <c r="CZ153" s="123"/>
      <c r="DA153" s="124">
        <f t="shared" si="266"/>
        <v>0</v>
      </c>
      <c r="DB153" s="123">
        <v>1</v>
      </c>
      <c r="DC153" s="124">
        <f t="shared" si="210"/>
        <v>0.7</v>
      </c>
      <c r="DD153" s="123">
        <v>60</v>
      </c>
      <c r="DE153" s="124">
        <f t="shared" si="210"/>
        <v>42</v>
      </c>
      <c r="DF153" s="177">
        <f t="shared" si="283"/>
        <v>373</v>
      </c>
      <c r="DG153" s="126">
        <f t="shared" si="284"/>
        <v>261.09999999999997</v>
      </c>
      <c r="DH153" s="123">
        <v>42</v>
      </c>
      <c r="DI153" s="124">
        <f t="shared" si="267"/>
        <v>29.4</v>
      </c>
      <c r="DJ153" s="123"/>
      <c r="DK153" s="124">
        <f t="shared" si="268"/>
        <v>0</v>
      </c>
      <c r="DL153" s="123"/>
      <c r="DM153" s="124">
        <f t="shared" si="269"/>
        <v>0</v>
      </c>
      <c r="DN153" s="123"/>
      <c r="DO153" s="124">
        <f t="shared" si="270"/>
        <v>0</v>
      </c>
      <c r="DP153" s="123"/>
      <c r="DQ153" s="124">
        <f t="shared" si="271"/>
        <v>0</v>
      </c>
      <c r="DR153" s="123"/>
      <c r="DS153" s="124">
        <f t="shared" si="272"/>
        <v>0</v>
      </c>
      <c r="DT153" s="123"/>
      <c r="DU153" s="124">
        <f t="shared" si="273"/>
        <v>0</v>
      </c>
      <c r="DV153" s="123"/>
      <c r="DW153" s="124">
        <f t="shared" si="274"/>
        <v>0</v>
      </c>
      <c r="DX153" s="123"/>
      <c r="DY153" s="124">
        <f t="shared" si="275"/>
        <v>0</v>
      </c>
      <c r="DZ153" s="123"/>
      <c r="EA153" s="124">
        <f t="shared" si="276"/>
        <v>0</v>
      </c>
      <c r="EB153" s="123"/>
      <c r="EC153" s="124">
        <f t="shared" si="277"/>
        <v>0</v>
      </c>
      <c r="ED153" s="123"/>
      <c r="EE153" s="124">
        <f t="shared" si="278"/>
        <v>0</v>
      </c>
      <c r="EF153" s="27">
        <f t="shared" si="285"/>
        <v>42</v>
      </c>
      <c r="EG153" s="124">
        <f t="shared" si="286"/>
        <v>29.4</v>
      </c>
    </row>
    <row r="154" spans="1:137" x14ac:dyDescent="0.5">
      <c r="A154" s="117">
        <v>116</v>
      </c>
      <c r="B154" s="127" t="s">
        <v>207</v>
      </c>
      <c r="C154" s="127" t="s">
        <v>231</v>
      </c>
      <c r="D154" s="117">
        <f t="shared" si="279"/>
        <v>4</v>
      </c>
      <c r="E154" s="117">
        <v>0.35</v>
      </c>
      <c r="F154" s="139" t="s">
        <v>235</v>
      </c>
      <c r="G154" s="130">
        <v>2600</v>
      </c>
      <c r="H154" s="123">
        <v>1171</v>
      </c>
      <c r="I154" s="124">
        <f t="shared" si="218"/>
        <v>409.84999999999997</v>
      </c>
      <c r="J154" s="123">
        <v>578</v>
      </c>
      <c r="K154" s="124">
        <f t="shared" si="219"/>
        <v>202.29999999999998</v>
      </c>
      <c r="L154" s="123">
        <v>592</v>
      </c>
      <c r="M154" s="124">
        <f t="shared" si="220"/>
        <v>207.2</v>
      </c>
      <c r="N154" s="123">
        <v>727</v>
      </c>
      <c r="O154" s="124">
        <f t="shared" si="221"/>
        <v>254.45</v>
      </c>
      <c r="P154" s="123">
        <v>342</v>
      </c>
      <c r="Q154" s="124">
        <f t="shared" si="222"/>
        <v>119.69999999999999</v>
      </c>
      <c r="R154" s="123">
        <v>303</v>
      </c>
      <c r="S154" s="124">
        <f t="shared" si="223"/>
        <v>106.05</v>
      </c>
      <c r="T154" s="123">
        <v>317</v>
      </c>
      <c r="U154" s="124">
        <f t="shared" si="224"/>
        <v>110.94999999999999</v>
      </c>
      <c r="V154" s="123">
        <v>168</v>
      </c>
      <c r="W154" s="124">
        <f t="shared" si="225"/>
        <v>58.8</v>
      </c>
      <c r="X154" s="123">
        <v>308</v>
      </c>
      <c r="Y154" s="124">
        <f t="shared" si="226"/>
        <v>107.8</v>
      </c>
      <c r="Z154" s="123">
        <v>332</v>
      </c>
      <c r="AA154" s="124">
        <f t="shared" si="227"/>
        <v>116.19999999999999</v>
      </c>
      <c r="AB154" s="123">
        <v>193</v>
      </c>
      <c r="AC154" s="124">
        <f t="shared" si="228"/>
        <v>67.55</v>
      </c>
      <c r="AD154" s="123">
        <v>486</v>
      </c>
      <c r="AE154" s="124">
        <f t="shared" si="229"/>
        <v>170.1</v>
      </c>
      <c r="AF154" s="125">
        <f t="shared" si="280"/>
        <v>5517</v>
      </c>
      <c r="AG154" s="126">
        <f t="shared" si="230"/>
        <v>1930.9499999999998</v>
      </c>
      <c r="AH154" s="123">
        <v>191</v>
      </c>
      <c r="AI154" s="124">
        <f t="shared" si="231"/>
        <v>66.849999999999994</v>
      </c>
      <c r="AJ154" s="123">
        <v>182</v>
      </c>
      <c r="AK154" s="124">
        <f t="shared" si="232"/>
        <v>63.699999999999996</v>
      </c>
      <c r="AL154" s="123">
        <v>217</v>
      </c>
      <c r="AM154" s="124">
        <f t="shared" si="233"/>
        <v>75.949999999999989</v>
      </c>
      <c r="AN154" s="123">
        <v>37</v>
      </c>
      <c r="AO154" s="124">
        <f t="shared" si="234"/>
        <v>12.95</v>
      </c>
      <c r="AP154" s="123">
        <v>72</v>
      </c>
      <c r="AQ154" s="124">
        <f t="shared" si="235"/>
        <v>25.2</v>
      </c>
      <c r="AR154" s="123">
        <v>72</v>
      </c>
      <c r="AS154" s="124">
        <f t="shared" si="236"/>
        <v>25.2</v>
      </c>
      <c r="AT154" s="123">
        <v>72</v>
      </c>
      <c r="AU154" s="124">
        <f t="shared" si="237"/>
        <v>25.2</v>
      </c>
      <c r="AV154" s="123">
        <v>48</v>
      </c>
      <c r="AW154" s="124">
        <f t="shared" si="238"/>
        <v>16.799999999999997</v>
      </c>
      <c r="AX154" s="123">
        <v>190</v>
      </c>
      <c r="AY154" s="124">
        <f t="shared" si="239"/>
        <v>66.5</v>
      </c>
      <c r="AZ154" s="123">
        <v>204</v>
      </c>
      <c r="BA154" s="124">
        <f t="shared" si="240"/>
        <v>71.399999999999991</v>
      </c>
      <c r="BB154" s="123">
        <v>102</v>
      </c>
      <c r="BC154" s="124">
        <f t="shared" si="241"/>
        <v>35.699999999999996</v>
      </c>
      <c r="BD154" s="123">
        <v>216</v>
      </c>
      <c r="BE154" s="124">
        <f t="shared" si="242"/>
        <v>75.599999999999994</v>
      </c>
      <c r="BF154" s="125">
        <f t="shared" si="281"/>
        <v>1603</v>
      </c>
      <c r="BG154" s="126">
        <f t="shared" si="243"/>
        <v>561.04999999999995</v>
      </c>
      <c r="BH154" s="123">
        <v>72</v>
      </c>
      <c r="BI154" s="124">
        <f t="shared" si="244"/>
        <v>25.2</v>
      </c>
      <c r="BJ154" s="123">
        <v>126</v>
      </c>
      <c r="BK154" s="124">
        <f t="shared" si="245"/>
        <v>44.099999999999994</v>
      </c>
      <c r="BL154" s="123">
        <v>126</v>
      </c>
      <c r="BM154" s="124">
        <f t="shared" si="246"/>
        <v>44.099999999999994</v>
      </c>
      <c r="BN154" s="123">
        <v>96</v>
      </c>
      <c r="BO154" s="124">
        <f t="shared" si="247"/>
        <v>33.599999999999994</v>
      </c>
      <c r="BP154" s="123">
        <v>77</v>
      </c>
      <c r="BQ154" s="124">
        <f t="shared" si="248"/>
        <v>26.95</v>
      </c>
      <c r="BR154" s="123">
        <v>24</v>
      </c>
      <c r="BS154" s="124">
        <f t="shared" si="249"/>
        <v>8.3999999999999986</v>
      </c>
      <c r="BT154" s="123">
        <v>6</v>
      </c>
      <c r="BU154" s="124">
        <f t="shared" si="250"/>
        <v>2.0999999999999996</v>
      </c>
      <c r="BV154" s="123">
        <v>24</v>
      </c>
      <c r="BW154" s="124">
        <f t="shared" si="251"/>
        <v>8.3999999999999986</v>
      </c>
      <c r="BX154" s="123">
        <v>24</v>
      </c>
      <c r="BY154" s="124">
        <f t="shared" si="252"/>
        <v>8.3999999999999986</v>
      </c>
      <c r="BZ154" s="123"/>
      <c r="CA154" s="124">
        <f t="shared" si="253"/>
        <v>0</v>
      </c>
      <c r="CB154" s="123"/>
      <c r="CC154" s="124">
        <f t="shared" si="254"/>
        <v>0</v>
      </c>
      <c r="CD154" s="123">
        <v>120</v>
      </c>
      <c r="CE154" s="124">
        <f t="shared" si="255"/>
        <v>42</v>
      </c>
      <c r="CF154" s="125">
        <f t="shared" si="282"/>
        <v>695</v>
      </c>
      <c r="CG154" s="126">
        <f t="shared" si="256"/>
        <v>243.24999999999997</v>
      </c>
      <c r="CH154" s="123">
        <v>24</v>
      </c>
      <c r="CI154" s="124">
        <f t="shared" si="257"/>
        <v>8.3999999999999986</v>
      </c>
      <c r="CJ154" s="123"/>
      <c r="CK154" s="124">
        <f t="shared" si="258"/>
        <v>0</v>
      </c>
      <c r="CL154" s="123">
        <v>24</v>
      </c>
      <c r="CM154" s="124">
        <f t="shared" si="259"/>
        <v>8.3999999999999986</v>
      </c>
      <c r="CN154" s="123"/>
      <c r="CO154" s="124">
        <f t="shared" si="260"/>
        <v>0</v>
      </c>
      <c r="CP154" s="123">
        <v>24</v>
      </c>
      <c r="CQ154" s="124">
        <f t="shared" si="261"/>
        <v>8.3999999999999986</v>
      </c>
      <c r="CR154" s="123"/>
      <c r="CS154" s="124">
        <f t="shared" si="262"/>
        <v>0</v>
      </c>
      <c r="CT154" s="123"/>
      <c r="CU154" s="124">
        <f t="shared" si="263"/>
        <v>0</v>
      </c>
      <c r="CV154" s="123">
        <v>24</v>
      </c>
      <c r="CW154" s="124">
        <f t="shared" si="264"/>
        <v>8.3999999999999986</v>
      </c>
      <c r="CX154" s="123"/>
      <c r="CY154" s="124">
        <f t="shared" si="265"/>
        <v>0</v>
      </c>
      <c r="CZ154" s="123"/>
      <c r="DA154" s="124">
        <f t="shared" si="266"/>
        <v>0</v>
      </c>
      <c r="DB154" s="123"/>
      <c r="DC154" s="124">
        <f t="shared" si="210"/>
        <v>0</v>
      </c>
      <c r="DD154" s="123"/>
      <c r="DE154" s="124">
        <f t="shared" si="210"/>
        <v>0</v>
      </c>
      <c r="DF154" s="177">
        <f t="shared" si="283"/>
        <v>96</v>
      </c>
      <c r="DG154" s="126">
        <f t="shared" si="284"/>
        <v>33.599999999999994</v>
      </c>
      <c r="DH154" s="123">
        <v>12</v>
      </c>
      <c r="DI154" s="124">
        <f t="shared" si="267"/>
        <v>4.1999999999999993</v>
      </c>
      <c r="DJ154" s="123"/>
      <c r="DK154" s="124">
        <f t="shared" si="268"/>
        <v>0</v>
      </c>
      <c r="DL154" s="123"/>
      <c r="DM154" s="124">
        <f t="shared" si="269"/>
        <v>0</v>
      </c>
      <c r="DN154" s="123"/>
      <c r="DO154" s="124">
        <f t="shared" si="270"/>
        <v>0</v>
      </c>
      <c r="DP154" s="123"/>
      <c r="DQ154" s="124">
        <f t="shared" si="271"/>
        <v>0</v>
      </c>
      <c r="DR154" s="123"/>
      <c r="DS154" s="124">
        <f t="shared" si="272"/>
        <v>0</v>
      </c>
      <c r="DT154" s="123"/>
      <c r="DU154" s="124">
        <f t="shared" si="273"/>
        <v>0</v>
      </c>
      <c r="DV154" s="123"/>
      <c r="DW154" s="124">
        <f t="shared" si="274"/>
        <v>0</v>
      </c>
      <c r="DX154" s="123"/>
      <c r="DY154" s="124">
        <f t="shared" si="275"/>
        <v>0</v>
      </c>
      <c r="DZ154" s="123"/>
      <c r="EA154" s="124">
        <f t="shared" si="276"/>
        <v>0</v>
      </c>
      <c r="EB154" s="123"/>
      <c r="EC154" s="124">
        <f t="shared" si="277"/>
        <v>0</v>
      </c>
      <c r="ED154" s="123"/>
      <c r="EE154" s="124">
        <f t="shared" si="278"/>
        <v>0</v>
      </c>
      <c r="EF154" s="27">
        <f t="shared" si="285"/>
        <v>12</v>
      </c>
      <c r="EG154" s="124">
        <f t="shared" si="286"/>
        <v>4.1999999999999993</v>
      </c>
    </row>
    <row r="155" spans="1:137" x14ac:dyDescent="0.5">
      <c r="A155" s="117">
        <v>117</v>
      </c>
      <c r="B155" s="127" t="s">
        <v>208</v>
      </c>
      <c r="C155" s="127" t="s">
        <v>231</v>
      </c>
      <c r="D155" s="117">
        <f t="shared" si="279"/>
        <v>5</v>
      </c>
      <c r="E155" s="117">
        <v>0.17499999999999999</v>
      </c>
      <c r="F155" s="139" t="s">
        <v>245</v>
      </c>
      <c r="G155" s="130">
        <v>1450</v>
      </c>
      <c r="H155" s="123">
        <v>1989</v>
      </c>
      <c r="I155" s="124">
        <f t="shared" si="218"/>
        <v>348.07499999999999</v>
      </c>
      <c r="J155" s="123">
        <v>1115</v>
      </c>
      <c r="K155" s="124">
        <f t="shared" si="219"/>
        <v>195.125</v>
      </c>
      <c r="L155" s="123">
        <v>686</v>
      </c>
      <c r="M155" s="124">
        <f t="shared" si="220"/>
        <v>120.05</v>
      </c>
      <c r="N155" s="123">
        <v>780</v>
      </c>
      <c r="O155" s="124">
        <f t="shared" si="221"/>
        <v>136.5</v>
      </c>
      <c r="P155" s="123">
        <v>632</v>
      </c>
      <c r="Q155" s="124">
        <f t="shared" si="222"/>
        <v>110.6</v>
      </c>
      <c r="R155" s="123">
        <v>768</v>
      </c>
      <c r="S155" s="124">
        <f t="shared" si="223"/>
        <v>134.39999999999998</v>
      </c>
      <c r="T155" s="123">
        <v>828</v>
      </c>
      <c r="U155" s="124">
        <f t="shared" si="224"/>
        <v>144.89999999999998</v>
      </c>
      <c r="V155" s="123">
        <v>730</v>
      </c>
      <c r="W155" s="124">
        <f t="shared" si="225"/>
        <v>127.74999999999999</v>
      </c>
      <c r="X155" s="123">
        <v>242</v>
      </c>
      <c r="Y155" s="124">
        <f t="shared" si="226"/>
        <v>42.349999999999994</v>
      </c>
      <c r="Z155" s="123">
        <v>333</v>
      </c>
      <c r="AA155" s="124">
        <f t="shared" si="227"/>
        <v>58.274999999999999</v>
      </c>
      <c r="AB155" s="123">
        <v>277</v>
      </c>
      <c r="AC155" s="124">
        <f t="shared" si="228"/>
        <v>48.474999999999994</v>
      </c>
      <c r="AD155" s="123">
        <v>986</v>
      </c>
      <c r="AE155" s="124">
        <f t="shared" si="229"/>
        <v>172.54999999999998</v>
      </c>
      <c r="AF155" s="125">
        <f t="shared" si="280"/>
        <v>9366</v>
      </c>
      <c r="AG155" s="126">
        <f t="shared" si="230"/>
        <v>1639.05</v>
      </c>
      <c r="AH155" s="123">
        <v>135</v>
      </c>
      <c r="AI155" s="124">
        <f t="shared" si="231"/>
        <v>23.625</v>
      </c>
      <c r="AJ155" s="123">
        <v>126</v>
      </c>
      <c r="AK155" s="124">
        <f t="shared" si="232"/>
        <v>22.049999999999997</v>
      </c>
      <c r="AL155" s="123">
        <v>438</v>
      </c>
      <c r="AM155" s="124">
        <f t="shared" si="233"/>
        <v>76.649999999999991</v>
      </c>
      <c r="AN155" s="123">
        <v>131</v>
      </c>
      <c r="AO155" s="124">
        <f t="shared" si="234"/>
        <v>22.924999999999997</v>
      </c>
      <c r="AP155" s="123">
        <v>48</v>
      </c>
      <c r="AQ155" s="124">
        <f t="shared" si="235"/>
        <v>8.3999999999999986</v>
      </c>
      <c r="AR155" s="123">
        <v>171</v>
      </c>
      <c r="AS155" s="124">
        <f t="shared" si="236"/>
        <v>29.924999999999997</v>
      </c>
      <c r="AT155" s="123"/>
      <c r="AU155" s="124">
        <f t="shared" si="237"/>
        <v>0</v>
      </c>
      <c r="AV155" s="123">
        <v>288</v>
      </c>
      <c r="AW155" s="124">
        <f t="shared" si="238"/>
        <v>50.4</v>
      </c>
      <c r="AX155" s="123">
        <v>218</v>
      </c>
      <c r="AY155" s="124">
        <f t="shared" si="239"/>
        <v>38.15</v>
      </c>
      <c r="AZ155" s="123">
        <v>209</v>
      </c>
      <c r="BA155" s="124">
        <f t="shared" si="240"/>
        <v>36.574999999999996</v>
      </c>
      <c r="BB155" s="123">
        <v>96</v>
      </c>
      <c r="BC155" s="124">
        <f t="shared" si="241"/>
        <v>16.799999999999997</v>
      </c>
      <c r="BD155" s="123">
        <v>168</v>
      </c>
      <c r="BE155" s="124">
        <f t="shared" si="242"/>
        <v>29.4</v>
      </c>
      <c r="BF155" s="125">
        <f t="shared" si="281"/>
        <v>2028</v>
      </c>
      <c r="BG155" s="126">
        <f t="shared" si="243"/>
        <v>354.9</v>
      </c>
      <c r="BH155" s="123">
        <v>168</v>
      </c>
      <c r="BI155" s="124">
        <f t="shared" si="244"/>
        <v>29.4</v>
      </c>
      <c r="BJ155" s="123">
        <v>60</v>
      </c>
      <c r="BK155" s="124">
        <f t="shared" si="245"/>
        <v>10.5</v>
      </c>
      <c r="BL155" s="123">
        <v>108</v>
      </c>
      <c r="BM155" s="124">
        <f t="shared" si="246"/>
        <v>18.899999999999999</v>
      </c>
      <c r="BN155" s="123">
        <v>48</v>
      </c>
      <c r="BO155" s="124">
        <f t="shared" si="247"/>
        <v>8.3999999999999986</v>
      </c>
      <c r="BP155" s="123"/>
      <c r="BQ155" s="124">
        <f t="shared" si="248"/>
        <v>0</v>
      </c>
      <c r="BR155" s="123"/>
      <c r="BS155" s="124">
        <f t="shared" si="249"/>
        <v>0</v>
      </c>
      <c r="BT155" s="123">
        <v>12</v>
      </c>
      <c r="BU155" s="124">
        <f t="shared" si="250"/>
        <v>2.0999999999999996</v>
      </c>
      <c r="BV155" s="123">
        <v>96</v>
      </c>
      <c r="BW155" s="124">
        <f t="shared" si="251"/>
        <v>16.799999999999997</v>
      </c>
      <c r="BX155" s="123"/>
      <c r="BY155" s="124">
        <f t="shared" si="252"/>
        <v>0</v>
      </c>
      <c r="BZ155" s="123"/>
      <c r="CA155" s="124">
        <f t="shared" si="253"/>
        <v>0</v>
      </c>
      <c r="CB155" s="123"/>
      <c r="CC155" s="124">
        <f t="shared" si="254"/>
        <v>0</v>
      </c>
      <c r="CD155" s="123">
        <v>144</v>
      </c>
      <c r="CE155" s="124">
        <f t="shared" si="255"/>
        <v>25.2</v>
      </c>
      <c r="CF155" s="125">
        <f t="shared" si="282"/>
        <v>636</v>
      </c>
      <c r="CG155" s="126">
        <f t="shared" si="256"/>
        <v>111.3</v>
      </c>
      <c r="CH155" s="123"/>
      <c r="CI155" s="124">
        <f t="shared" si="257"/>
        <v>0</v>
      </c>
      <c r="CJ155" s="123"/>
      <c r="CK155" s="124">
        <f t="shared" si="258"/>
        <v>0</v>
      </c>
      <c r="CL155" s="123"/>
      <c r="CM155" s="124">
        <f t="shared" si="259"/>
        <v>0</v>
      </c>
      <c r="CN155" s="123"/>
      <c r="CO155" s="124">
        <f t="shared" si="260"/>
        <v>0</v>
      </c>
      <c r="CP155" s="123"/>
      <c r="CQ155" s="124">
        <f t="shared" si="261"/>
        <v>0</v>
      </c>
      <c r="CR155" s="123"/>
      <c r="CS155" s="124">
        <f t="shared" si="262"/>
        <v>0</v>
      </c>
      <c r="CT155" s="123"/>
      <c r="CU155" s="124">
        <f t="shared" si="263"/>
        <v>0</v>
      </c>
      <c r="CV155" s="123"/>
      <c r="CW155" s="124">
        <f t="shared" si="264"/>
        <v>0</v>
      </c>
      <c r="CX155" s="123"/>
      <c r="CY155" s="124">
        <f t="shared" si="265"/>
        <v>0</v>
      </c>
      <c r="CZ155" s="123"/>
      <c r="DA155" s="124">
        <f t="shared" si="266"/>
        <v>0</v>
      </c>
      <c r="DB155" s="123"/>
      <c r="DC155" s="124">
        <f t="shared" si="210"/>
        <v>0</v>
      </c>
      <c r="DD155" s="123"/>
      <c r="DE155" s="124">
        <f t="shared" si="210"/>
        <v>0</v>
      </c>
      <c r="DF155" s="177">
        <f t="shared" si="283"/>
        <v>0</v>
      </c>
      <c r="DG155" s="126">
        <f t="shared" si="284"/>
        <v>0</v>
      </c>
      <c r="DH155" s="123">
        <v>24</v>
      </c>
      <c r="DI155" s="124">
        <f t="shared" si="267"/>
        <v>4.1999999999999993</v>
      </c>
      <c r="DJ155" s="123"/>
      <c r="DK155" s="124">
        <f t="shared" si="268"/>
        <v>0</v>
      </c>
      <c r="DL155" s="123"/>
      <c r="DM155" s="124">
        <f t="shared" si="269"/>
        <v>0</v>
      </c>
      <c r="DN155" s="123"/>
      <c r="DO155" s="124">
        <f t="shared" si="270"/>
        <v>0</v>
      </c>
      <c r="DP155" s="123"/>
      <c r="DQ155" s="124">
        <f t="shared" si="271"/>
        <v>0</v>
      </c>
      <c r="DR155" s="123"/>
      <c r="DS155" s="124">
        <f t="shared" si="272"/>
        <v>0</v>
      </c>
      <c r="DT155" s="123"/>
      <c r="DU155" s="124">
        <f t="shared" si="273"/>
        <v>0</v>
      </c>
      <c r="DV155" s="123"/>
      <c r="DW155" s="124">
        <f t="shared" si="274"/>
        <v>0</v>
      </c>
      <c r="DX155" s="123"/>
      <c r="DY155" s="124">
        <f t="shared" si="275"/>
        <v>0</v>
      </c>
      <c r="DZ155" s="123"/>
      <c r="EA155" s="124">
        <f t="shared" si="276"/>
        <v>0</v>
      </c>
      <c r="EB155" s="123"/>
      <c r="EC155" s="124">
        <f t="shared" si="277"/>
        <v>0</v>
      </c>
      <c r="ED155" s="123"/>
      <c r="EE155" s="124">
        <f t="shared" si="278"/>
        <v>0</v>
      </c>
      <c r="EF155" s="27">
        <f t="shared" si="285"/>
        <v>24</v>
      </c>
      <c r="EG155" s="124">
        <f t="shared" si="286"/>
        <v>4.1999999999999993</v>
      </c>
    </row>
    <row r="156" spans="1:137" x14ac:dyDescent="0.5">
      <c r="A156" s="117">
        <v>118</v>
      </c>
      <c r="B156" s="127" t="s">
        <v>60</v>
      </c>
      <c r="C156" s="127" t="s">
        <v>231</v>
      </c>
      <c r="D156" s="117">
        <f t="shared" si="279"/>
        <v>5</v>
      </c>
      <c r="E156" s="117">
        <v>0.7</v>
      </c>
      <c r="F156" s="139" t="s">
        <v>232</v>
      </c>
      <c r="G156" s="130">
        <v>1700</v>
      </c>
      <c r="H156" s="123">
        <v>139</v>
      </c>
      <c r="I156" s="124">
        <f t="shared" si="218"/>
        <v>97.3</v>
      </c>
      <c r="J156" s="123">
        <v>72</v>
      </c>
      <c r="K156" s="124">
        <f t="shared" si="219"/>
        <v>50.4</v>
      </c>
      <c r="L156" s="123">
        <v>60</v>
      </c>
      <c r="M156" s="124">
        <f t="shared" si="220"/>
        <v>42</v>
      </c>
      <c r="N156" s="123"/>
      <c r="O156" s="124">
        <f t="shared" si="221"/>
        <v>0</v>
      </c>
      <c r="P156" s="123"/>
      <c r="Q156" s="124">
        <f t="shared" si="222"/>
        <v>0</v>
      </c>
      <c r="R156" s="123"/>
      <c r="S156" s="124">
        <f t="shared" si="223"/>
        <v>0</v>
      </c>
      <c r="T156" s="123"/>
      <c r="U156" s="124">
        <f t="shared" si="224"/>
        <v>0</v>
      </c>
      <c r="V156" s="123"/>
      <c r="W156" s="124">
        <f t="shared" si="225"/>
        <v>0</v>
      </c>
      <c r="X156" s="123">
        <v>24</v>
      </c>
      <c r="Y156" s="124">
        <f t="shared" si="226"/>
        <v>16.799999999999997</v>
      </c>
      <c r="Z156" s="123">
        <v>324</v>
      </c>
      <c r="AA156" s="124">
        <f t="shared" si="227"/>
        <v>226.79999999999998</v>
      </c>
      <c r="AB156" s="123"/>
      <c r="AC156" s="124">
        <f t="shared" si="228"/>
        <v>0</v>
      </c>
      <c r="AD156" s="123">
        <v>276</v>
      </c>
      <c r="AE156" s="124">
        <f t="shared" si="229"/>
        <v>193.2</v>
      </c>
      <c r="AF156" s="125">
        <f t="shared" si="280"/>
        <v>895</v>
      </c>
      <c r="AG156" s="126">
        <f t="shared" si="230"/>
        <v>626.5</v>
      </c>
      <c r="AH156" s="123">
        <v>1320</v>
      </c>
      <c r="AI156" s="124">
        <f t="shared" si="231"/>
        <v>923.99999999999989</v>
      </c>
      <c r="AJ156" s="123"/>
      <c r="AK156" s="124">
        <f t="shared" si="232"/>
        <v>0</v>
      </c>
      <c r="AL156" s="123">
        <v>180</v>
      </c>
      <c r="AM156" s="124">
        <f t="shared" si="233"/>
        <v>125.99999999999999</v>
      </c>
      <c r="AN156" s="123"/>
      <c r="AO156" s="124">
        <f t="shared" si="234"/>
        <v>0</v>
      </c>
      <c r="AP156" s="123">
        <v>180</v>
      </c>
      <c r="AQ156" s="124">
        <f t="shared" si="235"/>
        <v>125.99999999999999</v>
      </c>
      <c r="AR156" s="123">
        <v>240</v>
      </c>
      <c r="AS156" s="124">
        <f t="shared" si="236"/>
        <v>168</v>
      </c>
      <c r="AT156" s="123"/>
      <c r="AU156" s="124">
        <f t="shared" si="237"/>
        <v>0</v>
      </c>
      <c r="AV156" s="123">
        <v>60</v>
      </c>
      <c r="AW156" s="124">
        <f t="shared" si="238"/>
        <v>42</v>
      </c>
      <c r="AX156" s="123">
        <v>60</v>
      </c>
      <c r="AY156" s="124">
        <f t="shared" si="239"/>
        <v>42</v>
      </c>
      <c r="AZ156" s="123">
        <v>240</v>
      </c>
      <c r="BA156" s="124">
        <f t="shared" si="240"/>
        <v>168</v>
      </c>
      <c r="BB156" s="123"/>
      <c r="BC156" s="124">
        <f t="shared" si="241"/>
        <v>0</v>
      </c>
      <c r="BD156" s="123">
        <v>180</v>
      </c>
      <c r="BE156" s="124">
        <f t="shared" si="242"/>
        <v>125.99999999999999</v>
      </c>
      <c r="BF156" s="125">
        <f t="shared" si="281"/>
        <v>2460</v>
      </c>
      <c r="BG156" s="126">
        <f t="shared" si="243"/>
        <v>1722</v>
      </c>
      <c r="BH156" s="123">
        <v>24</v>
      </c>
      <c r="BI156" s="124">
        <f t="shared" si="244"/>
        <v>16.799999999999997</v>
      </c>
      <c r="BJ156" s="123"/>
      <c r="BK156" s="124">
        <f t="shared" si="245"/>
        <v>0</v>
      </c>
      <c r="BL156" s="123"/>
      <c r="BM156" s="124">
        <f t="shared" si="246"/>
        <v>0</v>
      </c>
      <c r="BN156" s="123">
        <v>180</v>
      </c>
      <c r="BO156" s="124">
        <f t="shared" si="247"/>
        <v>125.99999999999999</v>
      </c>
      <c r="BP156" s="123">
        <v>60</v>
      </c>
      <c r="BQ156" s="124">
        <f t="shared" si="248"/>
        <v>42</v>
      </c>
      <c r="BR156" s="123"/>
      <c r="BS156" s="124">
        <f t="shared" si="249"/>
        <v>0</v>
      </c>
      <c r="BT156" s="123"/>
      <c r="BU156" s="124">
        <f t="shared" si="250"/>
        <v>0</v>
      </c>
      <c r="BV156" s="123">
        <v>156</v>
      </c>
      <c r="BW156" s="124">
        <f t="shared" si="251"/>
        <v>109.19999999999999</v>
      </c>
      <c r="BX156" s="123"/>
      <c r="BY156" s="124">
        <f t="shared" si="252"/>
        <v>0</v>
      </c>
      <c r="BZ156" s="123"/>
      <c r="CA156" s="124">
        <f t="shared" si="253"/>
        <v>0</v>
      </c>
      <c r="CB156" s="123"/>
      <c r="CC156" s="124">
        <f t="shared" si="254"/>
        <v>0</v>
      </c>
      <c r="CD156" s="123"/>
      <c r="CE156" s="124">
        <f t="shared" si="255"/>
        <v>0</v>
      </c>
      <c r="CF156" s="125">
        <f t="shared" si="282"/>
        <v>420</v>
      </c>
      <c r="CG156" s="126">
        <f t="shared" si="256"/>
        <v>294</v>
      </c>
      <c r="CH156" s="123"/>
      <c r="CI156" s="124">
        <f t="shared" si="257"/>
        <v>0</v>
      </c>
      <c r="CJ156" s="123"/>
      <c r="CK156" s="124">
        <f t="shared" si="258"/>
        <v>0</v>
      </c>
      <c r="CL156" s="123"/>
      <c r="CM156" s="124">
        <f t="shared" si="259"/>
        <v>0</v>
      </c>
      <c r="CN156" s="123"/>
      <c r="CO156" s="124">
        <f t="shared" si="260"/>
        <v>0</v>
      </c>
      <c r="CP156" s="123"/>
      <c r="CQ156" s="124">
        <f t="shared" si="261"/>
        <v>0</v>
      </c>
      <c r="CR156" s="123"/>
      <c r="CS156" s="124">
        <f t="shared" si="262"/>
        <v>0</v>
      </c>
      <c r="CT156" s="123"/>
      <c r="CU156" s="124">
        <f t="shared" si="263"/>
        <v>0</v>
      </c>
      <c r="CV156" s="123"/>
      <c r="CW156" s="124">
        <f t="shared" si="264"/>
        <v>0</v>
      </c>
      <c r="CX156" s="123"/>
      <c r="CY156" s="124">
        <f t="shared" si="265"/>
        <v>0</v>
      </c>
      <c r="CZ156" s="123"/>
      <c r="DA156" s="124">
        <f t="shared" si="266"/>
        <v>0</v>
      </c>
      <c r="DB156" s="123"/>
      <c r="DC156" s="124">
        <f t="shared" si="210"/>
        <v>0</v>
      </c>
      <c r="DD156" s="123"/>
      <c r="DE156" s="124">
        <f t="shared" si="210"/>
        <v>0</v>
      </c>
      <c r="DF156" s="177">
        <f t="shared" si="283"/>
        <v>0</v>
      </c>
      <c r="DG156" s="126">
        <f t="shared" si="284"/>
        <v>0</v>
      </c>
      <c r="DH156" s="123"/>
      <c r="DI156" s="124">
        <f t="shared" si="267"/>
        <v>0</v>
      </c>
      <c r="DJ156" s="123"/>
      <c r="DK156" s="124">
        <f t="shared" si="268"/>
        <v>0</v>
      </c>
      <c r="DL156" s="123"/>
      <c r="DM156" s="124">
        <f t="shared" si="269"/>
        <v>0</v>
      </c>
      <c r="DN156" s="123"/>
      <c r="DO156" s="124">
        <f t="shared" si="270"/>
        <v>0</v>
      </c>
      <c r="DP156" s="123"/>
      <c r="DQ156" s="124">
        <f t="shared" si="271"/>
        <v>0</v>
      </c>
      <c r="DR156" s="123"/>
      <c r="DS156" s="124">
        <f t="shared" si="272"/>
        <v>0</v>
      </c>
      <c r="DT156" s="123"/>
      <c r="DU156" s="124">
        <f t="shared" si="273"/>
        <v>0</v>
      </c>
      <c r="DV156" s="123"/>
      <c r="DW156" s="124">
        <f t="shared" si="274"/>
        <v>0</v>
      </c>
      <c r="DX156" s="123"/>
      <c r="DY156" s="124">
        <f t="shared" si="275"/>
        <v>0</v>
      </c>
      <c r="DZ156" s="123"/>
      <c r="EA156" s="124">
        <f t="shared" si="276"/>
        <v>0</v>
      </c>
      <c r="EB156" s="123"/>
      <c r="EC156" s="124">
        <f t="shared" si="277"/>
        <v>0</v>
      </c>
      <c r="ED156" s="123"/>
      <c r="EE156" s="124">
        <f t="shared" si="278"/>
        <v>0</v>
      </c>
      <c r="EF156" s="27">
        <f t="shared" si="285"/>
        <v>0</v>
      </c>
      <c r="EG156" s="124">
        <f t="shared" si="286"/>
        <v>0</v>
      </c>
    </row>
    <row r="157" spans="1:137" x14ac:dyDescent="0.5">
      <c r="A157" s="117">
        <v>119</v>
      </c>
      <c r="B157" s="127" t="s">
        <v>265</v>
      </c>
      <c r="C157" s="127" t="s">
        <v>231</v>
      </c>
      <c r="D157" s="117"/>
      <c r="E157" s="117">
        <v>0.7</v>
      </c>
      <c r="F157" s="139" t="s">
        <v>232</v>
      </c>
      <c r="G157" s="130"/>
      <c r="H157" s="123"/>
      <c r="I157" s="124"/>
      <c r="J157" s="123"/>
      <c r="K157" s="124"/>
      <c r="L157" s="123"/>
      <c r="M157" s="124"/>
      <c r="N157" s="123"/>
      <c r="O157" s="124"/>
      <c r="P157" s="123"/>
      <c r="Q157" s="124"/>
      <c r="R157" s="123"/>
      <c r="S157" s="124"/>
      <c r="T157" s="123"/>
      <c r="U157" s="124"/>
      <c r="V157" s="123"/>
      <c r="W157" s="124"/>
      <c r="X157" s="123"/>
      <c r="Y157" s="124"/>
      <c r="Z157" s="123"/>
      <c r="AA157" s="124"/>
      <c r="AB157" s="123"/>
      <c r="AC157" s="124"/>
      <c r="AD157" s="123"/>
      <c r="AE157" s="124"/>
      <c r="AF157" s="125"/>
      <c r="AG157" s="126"/>
      <c r="AH157" s="123"/>
      <c r="AI157" s="124"/>
      <c r="AJ157" s="123"/>
      <c r="AK157" s="124"/>
      <c r="AL157" s="123"/>
      <c r="AM157" s="124"/>
      <c r="AN157" s="123"/>
      <c r="AO157" s="124"/>
      <c r="AP157" s="123"/>
      <c r="AQ157" s="124"/>
      <c r="AR157" s="123"/>
      <c r="AS157" s="124"/>
      <c r="AT157" s="123"/>
      <c r="AU157" s="124"/>
      <c r="AV157" s="123"/>
      <c r="AW157" s="124"/>
      <c r="AX157" s="123"/>
      <c r="AY157" s="124"/>
      <c r="AZ157" s="123"/>
      <c r="BA157" s="124"/>
      <c r="BB157" s="123"/>
      <c r="BC157" s="124"/>
      <c r="BD157" s="123"/>
      <c r="BE157" s="124"/>
      <c r="BF157" s="125"/>
      <c r="BG157" s="126"/>
      <c r="BH157" s="123"/>
      <c r="BI157" s="124"/>
      <c r="BJ157" s="123"/>
      <c r="BK157" s="124"/>
      <c r="BL157" s="123"/>
      <c r="BM157" s="124"/>
      <c r="BN157" s="123"/>
      <c r="BO157" s="124"/>
      <c r="BP157" s="123"/>
      <c r="BQ157" s="124"/>
      <c r="BR157" s="123"/>
      <c r="BS157" s="124"/>
      <c r="BT157" s="123"/>
      <c r="BU157" s="124"/>
      <c r="BV157" s="123"/>
      <c r="BW157" s="124"/>
      <c r="BX157" s="123"/>
      <c r="BY157" s="124"/>
      <c r="BZ157" s="123"/>
      <c r="CA157" s="124"/>
      <c r="CB157" s="123"/>
      <c r="CC157" s="124"/>
      <c r="CD157" s="123"/>
      <c r="CE157" s="124"/>
      <c r="CF157" s="125"/>
      <c r="CG157" s="126"/>
      <c r="CH157" s="123"/>
      <c r="CI157" s="124"/>
      <c r="CJ157" s="123"/>
      <c r="CK157" s="124"/>
      <c r="CL157" s="123"/>
      <c r="CM157" s="124"/>
      <c r="CN157" s="123"/>
      <c r="CO157" s="124"/>
      <c r="CP157" s="123"/>
      <c r="CQ157" s="124"/>
      <c r="CR157" s="123"/>
      <c r="CS157" s="124"/>
      <c r="CT157" s="123"/>
      <c r="CU157" s="124"/>
      <c r="CV157" s="123"/>
      <c r="CW157" s="124"/>
      <c r="CX157" s="123"/>
      <c r="CY157" s="124"/>
      <c r="CZ157" s="123"/>
      <c r="DA157" s="124"/>
      <c r="DB157" s="123"/>
      <c r="DC157" s="124"/>
      <c r="DD157" s="123"/>
      <c r="DE157" s="124"/>
      <c r="DF157" s="177"/>
      <c r="DG157" s="126"/>
      <c r="DH157" s="123"/>
      <c r="DI157" s="124"/>
      <c r="DJ157" s="123"/>
      <c r="DK157" s="124"/>
      <c r="DL157" s="123"/>
      <c r="DM157" s="124"/>
      <c r="DN157" s="123"/>
      <c r="DO157" s="124"/>
      <c r="DP157" s="123"/>
      <c r="DQ157" s="124"/>
      <c r="DR157" s="123"/>
      <c r="DS157" s="124"/>
      <c r="DT157" s="123"/>
      <c r="DU157" s="124"/>
      <c r="DV157" s="123"/>
      <c r="DW157" s="124"/>
      <c r="DX157" s="123"/>
      <c r="DY157" s="124"/>
      <c r="DZ157" s="123"/>
      <c r="EA157" s="124"/>
      <c r="EB157" s="123"/>
      <c r="EC157" s="124"/>
      <c r="ED157" s="123"/>
      <c r="EE157" s="124"/>
      <c r="EF157" s="27"/>
      <c r="EG157" s="124"/>
    </row>
    <row r="158" spans="1:137" x14ac:dyDescent="0.5">
      <c r="A158" s="117">
        <v>120</v>
      </c>
      <c r="B158" s="127" t="s">
        <v>266</v>
      </c>
      <c r="C158" s="127" t="s">
        <v>231</v>
      </c>
      <c r="D158" s="117"/>
      <c r="E158" s="117">
        <v>0.7</v>
      </c>
      <c r="F158" s="139" t="s">
        <v>232</v>
      </c>
      <c r="G158" s="130"/>
      <c r="H158" s="123"/>
      <c r="I158" s="124"/>
      <c r="J158" s="123"/>
      <c r="K158" s="124"/>
      <c r="L158" s="123"/>
      <c r="M158" s="124"/>
      <c r="N158" s="123"/>
      <c r="O158" s="124"/>
      <c r="P158" s="123"/>
      <c r="Q158" s="124"/>
      <c r="R158" s="123"/>
      <c r="S158" s="124"/>
      <c r="T158" s="123"/>
      <c r="U158" s="124"/>
      <c r="V158" s="123"/>
      <c r="W158" s="124"/>
      <c r="X158" s="123"/>
      <c r="Y158" s="124"/>
      <c r="Z158" s="123"/>
      <c r="AA158" s="124"/>
      <c r="AB158" s="123"/>
      <c r="AC158" s="124"/>
      <c r="AD158" s="123"/>
      <c r="AE158" s="124"/>
      <c r="AF158" s="125"/>
      <c r="AG158" s="126"/>
      <c r="AH158" s="123"/>
      <c r="AI158" s="124"/>
      <c r="AJ158" s="123"/>
      <c r="AK158" s="124"/>
      <c r="AL158" s="123"/>
      <c r="AM158" s="124"/>
      <c r="AN158" s="123"/>
      <c r="AO158" s="124"/>
      <c r="AP158" s="123"/>
      <c r="AQ158" s="124"/>
      <c r="AR158" s="123"/>
      <c r="AS158" s="124"/>
      <c r="AT158" s="123"/>
      <c r="AU158" s="124"/>
      <c r="AV158" s="123"/>
      <c r="AW158" s="124"/>
      <c r="AX158" s="123"/>
      <c r="AY158" s="124"/>
      <c r="AZ158" s="123"/>
      <c r="BA158" s="124"/>
      <c r="BB158" s="123"/>
      <c r="BC158" s="124"/>
      <c r="BD158" s="123"/>
      <c r="BE158" s="124"/>
      <c r="BF158" s="125"/>
      <c r="BG158" s="126"/>
      <c r="BH158" s="123"/>
      <c r="BI158" s="124"/>
      <c r="BJ158" s="123"/>
      <c r="BK158" s="124"/>
      <c r="BL158" s="123"/>
      <c r="BM158" s="124"/>
      <c r="BN158" s="123"/>
      <c r="BO158" s="124"/>
      <c r="BP158" s="123"/>
      <c r="BQ158" s="124"/>
      <c r="BR158" s="123"/>
      <c r="BS158" s="124"/>
      <c r="BT158" s="123"/>
      <c r="BU158" s="124"/>
      <c r="BV158" s="123"/>
      <c r="BW158" s="124"/>
      <c r="BX158" s="123"/>
      <c r="BY158" s="124"/>
      <c r="BZ158" s="123"/>
      <c r="CA158" s="124"/>
      <c r="CB158" s="123"/>
      <c r="CC158" s="124"/>
      <c r="CD158" s="123"/>
      <c r="CE158" s="124"/>
      <c r="CF158" s="125"/>
      <c r="CG158" s="126"/>
      <c r="CH158" s="123"/>
      <c r="CI158" s="124"/>
      <c r="CJ158" s="123"/>
      <c r="CK158" s="124"/>
      <c r="CL158" s="123"/>
      <c r="CM158" s="124"/>
      <c r="CN158" s="123"/>
      <c r="CO158" s="124"/>
      <c r="CP158" s="123"/>
      <c r="CQ158" s="124"/>
      <c r="CR158" s="123"/>
      <c r="CS158" s="124"/>
      <c r="CT158" s="123"/>
      <c r="CU158" s="124"/>
      <c r="CV158" s="123"/>
      <c r="CW158" s="124"/>
      <c r="CX158" s="123"/>
      <c r="CY158" s="124"/>
      <c r="CZ158" s="123"/>
      <c r="DA158" s="124"/>
      <c r="DB158" s="123"/>
      <c r="DC158" s="124"/>
      <c r="DD158" s="123"/>
      <c r="DE158" s="124"/>
      <c r="DF158" s="177"/>
      <c r="DG158" s="126"/>
      <c r="DH158" s="123"/>
      <c r="DI158" s="124"/>
      <c r="DJ158" s="123"/>
      <c r="DK158" s="124"/>
      <c r="DL158" s="123"/>
      <c r="DM158" s="124"/>
      <c r="DN158" s="123"/>
      <c r="DO158" s="124"/>
      <c r="DP158" s="123"/>
      <c r="DQ158" s="124"/>
      <c r="DR158" s="123"/>
      <c r="DS158" s="124"/>
      <c r="DT158" s="123"/>
      <c r="DU158" s="124"/>
      <c r="DV158" s="123"/>
      <c r="DW158" s="124"/>
      <c r="DX158" s="123"/>
      <c r="DY158" s="124"/>
      <c r="DZ158" s="123"/>
      <c r="EA158" s="124"/>
      <c r="EB158" s="123"/>
      <c r="EC158" s="124"/>
      <c r="ED158" s="123"/>
      <c r="EE158" s="124"/>
      <c r="EF158" s="27"/>
      <c r="EG158" s="124"/>
    </row>
    <row r="159" spans="1:137" x14ac:dyDescent="0.5">
      <c r="A159" s="117">
        <v>121</v>
      </c>
      <c r="B159" s="127" t="s">
        <v>209</v>
      </c>
      <c r="C159" s="127" t="s">
        <v>231</v>
      </c>
      <c r="D159" s="117">
        <f>RANK(DF159,$DF$149:$DF$168)</f>
        <v>5</v>
      </c>
      <c r="E159" s="117">
        <v>0.7</v>
      </c>
      <c r="F159" s="139" t="s">
        <v>232</v>
      </c>
      <c r="G159" s="130"/>
      <c r="H159" s="123"/>
      <c r="I159" s="124">
        <f t="shared" ref="I159:I168" si="287">H159*$E159</f>
        <v>0</v>
      </c>
      <c r="J159" s="123"/>
      <c r="K159" s="124">
        <f t="shared" ref="K159:K168" si="288">J159*$E159</f>
        <v>0</v>
      </c>
      <c r="L159" s="123"/>
      <c r="M159" s="124">
        <f t="shared" ref="M159:M168" si="289">L159*$E159</f>
        <v>0</v>
      </c>
      <c r="N159" s="123"/>
      <c r="O159" s="124">
        <f t="shared" ref="O159:O168" si="290">N159*$E159</f>
        <v>0</v>
      </c>
      <c r="P159" s="123"/>
      <c r="Q159" s="124">
        <f t="shared" ref="Q159:Q168" si="291">P159*$E159</f>
        <v>0</v>
      </c>
      <c r="R159" s="123"/>
      <c r="S159" s="124">
        <f t="shared" ref="S159:S168" si="292">R159*$E159</f>
        <v>0</v>
      </c>
      <c r="T159" s="123"/>
      <c r="U159" s="124">
        <f t="shared" ref="U159:U168" si="293">T159*$E159</f>
        <v>0</v>
      </c>
      <c r="V159" s="123"/>
      <c r="W159" s="124">
        <f t="shared" ref="W159:W168" si="294">V159*$E159</f>
        <v>0</v>
      </c>
      <c r="X159" s="123"/>
      <c r="Y159" s="124">
        <f t="shared" ref="Y159:Y168" si="295">X159*$E159</f>
        <v>0</v>
      </c>
      <c r="Z159" s="123"/>
      <c r="AA159" s="124">
        <f t="shared" ref="AA159:AA168" si="296">Z159*$E159</f>
        <v>0</v>
      </c>
      <c r="AB159" s="123"/>
      <c r="AC159" s="124">
        <f t="shared" ref="AC159:AC168" si="297">AB159*$E159</f>
        <v>0</v>
      </c>
      <c r="AD159" s="123"/>
      <c r="AE159" s="124">
        <f t="shared" ref="AE159:AE168" si="298">AD159*$E159</f>
        <v>0</v>
      </c>
      <c r="AF159" s="125">
        <f t="shared" si="280"/>
        <v>0</v>
      </c>
      <c r="AG159" s="126">
        <f t="shared" ref="AG159:AG168" si="299">AF159*$E159</f>
        <v>0</v>
      </c>
      <c r="AH159" s="123"/>
      <c r="AI159" s="124">
        <f t="shared" ref="AI159:AI168" si="300">AH159*$E159</f>
        <v>0</v>
      </c>
      <c r="AJ159" s="123"/>
      <c r="AK159" s="124">
        <f t="shared" ref="AK159:AK168" si="301">AJ159*$E159</f>
        <v>0</v>
      </c>
      <c r="AL159" s="123"/>
      <c r="AM159" s="124">
        <f t="shared" ref="AM159:AM168" si="302">AL159*$E159</f>
        <v>0</v>
      </c>
      <c r="AN159" s="123"/>
      <c r="AO159" s="124">
        <f t="shared" ref="AO159:AO168" si="303">AN159*$E159</f>
        <v>0</v>
      </c>
      <c r="AP159" s="123"/>
      <c r="AQ159" s="124">
        <f t="shared" ref="AQ159:AQ168" si="304">AP159*$E159</f>
        <v>0</v>
      </c>
      <c r="AR159" s="123"/>
      <c r="AS159" s="124">
        <f t="shared" ref="AS159:AS168" si="305">AR159*$E159</f>
        <v>0</v>
      </c>
      <c r="AT159" s="123"/>
      <c r="AU159" s="124">
        <f t="shared" ref="AU159:AU168" si="306">AT159*$E159</f>
        <v>0</v>
      </c>
      <c r="AV159" s="123"/>
      <c r="AW159" s="124">
        <f t="shared" ref="AW159:AW168" si="307">AV159*$E159</f>
        <v>0</v>
      </c>
      <c r="AX159" s="123"/>
      <c r="AY159" s="124">
        <f t="shared" ref="AY159:AY168" si="308">AX159*$E159</f>
        <v>0</v>
      </c>
      <c r="AZ159" s="123"/>
      <c r="BA159" s="124">
        <f t="shared" ref="BA159:BA168" si="309">AZ159*$E159</f>
        <v>0</v>
      </c>
      <c r="BB159" s="123"/>
      <c r="BC159" s="124">
        <f t="shared" ref="BC159:BC168" si="310">BB159*$E159</f>
        <v>0</v>
      </c>
      <c r="BD159" s="123"/>
      <c r="BE159" s="124">
        <f t="shared" ref="BE159:BE168" si="311">BD159*$E159</f>
        <v>0</v>
      </c>
      <c r="BF159" s="125">
        <f t="shared" si="281"/>
        <v>0</v>
      </c>
      <c r="BG159" s="126">
        <f t="shared" ref="BG159:BG168" si="312">BF159*$E159</f>
        <v>0</v>
      </c>
      <c r="BH159" s="123"/>
      <c r="BI159" s="124">
        <f t="shared" ref="BI159:BI168" si="313">BH159*$E159</f>
        <v>0</v>
      </c>
      <c r="BJ159" s="123"/>
      <c r="BK159" s="124">
        <f t="shared" ref="BK159:BK168" si="314">BJ159*$E159</f>
        <v>0</v>
      </c>
      <c r="BL159" s="123"/>
      <c r="BM159" s="124">
        <f t="shared" ref="BM159:BM168" si="315">BL159*$E159</f>
        <v>0</v>
      </c>
      <c r="BN159" s="123"/>
      <c r="BO159" s="124">
        <f t="shared" ref="BO159:BO168" si="316">BN159*$E159</f>
        <v>0</v>
      </c>
      <c r="BP159" s="123"/>
      <c r="BQ159" s="124">
        <f t="shared" ref="BQ159:BQ168" si="317">BP159*$E159</f>
        <v>0</v>
      </c>
      <c r="BR159" s="123"/>
      <c r="BS159" s="124">
        <f t="shared" ref="BS159:BS168" si="318">BR159*$E159</f>
        <v>0</v>
      </c>
      <c r="BT159" s="123"/>
      <c r="BU159" s="124">
        <f t="shared" ref="BU159:BU168" si="319">BT159*$E159</f>
        <v>0</v>
      </c>
      <c r="BV159" s="123"/>
      <c r="BW159" s="124">
        <f t="shared" ref="BW159:BW168" si="320">BV159*$E159</f>
        <v>0</v>
      </c>
      <c r="BX159" s="123"/>
      <c r="BY159" s="124">
        <f t="shared" ref="BY159:BY168" si="321">BX159*$E159</f>
        <v>0</v>
      </c>
      <c r="BZ159" s="123"/>
      <c r="CA159" s="124">
        <f t="shared" ref="CA159:CA168" si="322">BZ159*$E159</f>
        <v>0</v>
      </c>
      <c r="CB159" s="123"/>
      <c r="CC159" s="124">
        <f t="shared" ref="CC159:CC168" si="323">CB159*$E159</f>
        <v>0</v>
      </c>
      <c r="CD159" s="123"/>
      <c r="CE159" s="124">
        <f t="shared" ref="CE159:CE168" si="324">CD159*$E159</f>
        <v>0</v>
      </c>
      <c r="CF159" s="125">
        <f t="shared" si="282"/>
        <v>0</v>
      </c>
      <c r="CG159" s="126">
        <f t="shared" ref="CG159:CG168" si="325">CF159*$E159</f>
        <v>0</v>
      </c>
      <c r="CH159" s="123"/>
      <c r="CI159" s="124">
        <f t="shared" ref="CI159:CI168" si="326">CH159*$E159</f>
        <v>0</v>
      </c>
      <c r="CJ159" s="123"/>
      <c r="CK159" s="124">
        <f t="shared" ref="CK159:CK168" si="327">CJ159*$E159</f>
        <v>0</v>
      </c>
      <c r="CL159" s="123"/>
      <c r="CM159" s="124">
        <f t="shared" ref="CM159:CM168" si="328">CL159*$E159</f>
        <v>0</v>
      </c>
      <c r="CN159" s="123"/>
      <c r="CO159" s="124">
        <f t="shared" ref="CO159:CO168" si="329">CN159*$E159</f>
        <v>0</v>
      </c>
      <c r="CP159" s="123"/>
      <c r="CQ159" s="124">
        <f t="shared" ref="CQ159:CQ168" si="330">CP159*$E159</f>
        <v>0</v>
      </c>
      <c r="CR159" s="123"/>
      <c r="CS159" s="124">
        <f t="shared" ref="CS159:CS168" si="331">CR159*$E159</f>
        <v>0</v>
      </c>
      <c r="CT159" s="123"/>
      <c r="CU159" s="124">
        <f t="shared" ref="CU159:CU168" si="332">CT159*$E159</f>
        <v>0</v>
      </c>
      <c r="CV159" s="123"/>
      <c r="CW159" s="124">
        <f t="shared" ref="CW159:CW168" si="333">CV159*$E159</f>
        <v>0</v>
      </c>
      <c r="CX159" s="123"/>
      <c r="CY159" s="124">
        <f t="shared" ref="CY159:CY168" si="334">CX159*$E159</f>
        <v>0</v>
      </c>
      <c r="CZ159" s="123"/>
      <c r="DA159" s="124">
        <f t="shared" ref="DA159:DA168" si="335">CZ159*$E159</f>
        <v>0</v>
      </c>
      <c r="DB159" s="123"/>
      <c r="DC159" s="124">
        <f t="shared" si="210"/>
        <v>0</v>
      </c>
      <c r="DD159" s="123"/>
      <c r="DE159" s="124">
        <f t="shared" si="210"/>
        <v>0</v>
      </c>
      <c r="DF159" s="177">
        <f t="shared" si="283"/>
        <v>0</v>
      </c>
      <c r="DG159" s="126">
        <f t="shared" si="284"/>
        <v>0</v>
      </c>
      <c r="DH159" s="123"/>
      <c r="DI159" s="124">
        <f t="shared" ref="DI159:DI168" si="336">DH159*$E159</f>
        <v>0</v>
      </c>
      <c r="DJ159" s="123"/>
      <c r="DK159" s="124">
        <f t="shared" ref="DK159:DK168" si="337">DJ159*$E159</f>
        <v>0</v>
      </c>
      <c r="DL159" s="123"/>
      <c r="DM159" s="124">
        <f t="shared" ref="DM159:DM168" si="338">DL159*$E159</f>
        <v>0</v>
      </c>
      <c r="DN159" s="123"/>
      <c r="DO159" s="124">
        <f t="shared" ref="DO159:DO168" si="339">DN159*$E159</f>
        <v>0</v>
      </c>
      <c r="DP159" s="123"/>
      <c r="DQ159" s="124">
        <f t="shared" ref="DQ159:DQ168" si="340">DP159*$E159</f>
        <v>0</v>
      </c>
      <c r="DR159" s="123"/>
      <c r="DS159" s="124">
        <f t="shared" ref="DS159:DS168" si="341">DR159*$E159</f>
        <v>0</v>
      </c>
      <c r="DT159" s="123"/>
      <c r="DU159" s="124">
        <f t="shared" ref="DU159:DU168" si="342">DT159*$E159</f>
        <v>0</v>
      </c>
      <c r="DV159" s="123"/>
      <c r="DW159" s="124">
        <f t="shared" ref="DW159:DW168" si="343">DV159*$E159</f>
        <v>0</v>
      </c>
      <c r="DX159" s="123"/>
      <c r="DY159" s="124">
        <f t="shared" ref="DY159:DY168" si="344">DX159*$E159</f>
        <v>0</v>
      </c>
      <c r="DZ159" s="123"/>
      <c r="EA159" s="124">
        <f t="shared" ref="EA159:EA168" si="345">DZ159*$E159</f>
        <v>0</v>
      </c>
      <c r="EB159" s="123"/>
      <c r="EC159" s="124">
        <f t="shared" ref="EC159:EC168" si="346">EB159*$E159</f>
        <v>0</v>
      </c>
      <c r="ED159" s="123"/>
      <c r="EE159" s="124">
        <f t="shared" ref="EE159:EE168" si="347">ED159*$E159</f>
        <v>0</v>
      </c>
      <c r="EF159" s="27">
        <f t="shared" ref="EF159:EF168" si="348">SUM(DH159,DJ159,DL159,DN159,DP159,DR159,DT159,DV159,DX159,DZ159,EB159,ED159)</f>
        <v>0</v>
      </c>
      <c r="EG159" s="124">
        <f t="shared" ref="EG159:EG168" si="349">EF159*$E159</f>
        <v>0</v>
      </c>
    </row>
    <row r="160" spans="1:137" x14ac:dyDescent="0.5">
      <c r="A160" s="117">
        <v>122</v>
      </c>
      <c r="B160" s="127" t="s">
        <v>210</v>
      </c>
      <c r="C160" s="127" t="s">
        <v>231</v>
      </c>
      <c r="D160" s="117">
        <f>RANK(DF160,$DF$149:$DF$168)</f>
        <v>5</v>
      </c>
      <c r="E160" s="117">
        <v>0.35</v>
      </c>
      <c r="F160" s="139" t="s">
        <v>235</v>
      </c>
      <c r="G160" s="130"/>
      <c r="H160" s="123"/>
      <c r="I160" s="124">
        <f t="shared" si="287"/>
        <v>0</v>
      </c>
      <c r="J160" s="123"/>
      <c r="K160" s="124">
        <f t="shared" si="288"/>
        <v>0</v>
      </c>
      <c r="L160" s="123"/>
      <c r="M160" s="124">
        <f t="shared" si="289"/>
        <v>0</v>
      </c>
      <c r="N160" s="123"/>
      <c r="O160" s="124">
        <f t="shared" si="290"/>
        <v>0</v>
      </c>
      <c r="P160" s="123"/>
      <c r="Q160" s="124">
        <f t="shared" si="291"/>
        <v>0</v>
      </c>
      <c r="R160" s="123"/>
      <c r="S160" s="124">
        <f t="shared" si="292"/>
        <v>0</v>
      </c>
      <c r="T160" s="123"/>
      <c r="U160" s="124">
        <f t="shared" si="293"/>
        <v>0</v>
      </c>
      <c r="V160" s="123"/>
      <c r="W160" s="124">
        <f t="shared" si="294"/>
        <v>0</v>
      </c>
      <c r="X160" s="123"/>
      <c r="Y160" s="124">
        <f t="shared" si="295"/>
        <v>0</v>
      </c>
      <c r="Z160" s="123"/>
      <c r="AA160" s="124">
        <f t="shared" si="296"/>
        <v>0</v>
      </c>
      <c r="AB160" s="123"/>
      <c r="AC160" s="124">
        <f t="shared" si="297"/>
        <v>0</v>
      </c>
      <c r="AD160" s="123"/>
      <c r="AE160" s="124">
        <f t="shared" si="298"/>
        <v>0</v>
      </c>
      <c r="AF160" s="125">
        <f t="shared" si="280"/>
        <v>0</v>
      </c>
      <c r="AG160" s="126">
        <f t="shared" si="299"/>
        <v>0</v>
      </c>
      <c r="AH160" s="123"/>
      <c r="AI160" s="124">
        <f t="shared" si="300"/>
        <v>0</v>
      </c>
      <c r="AJ160" s="123"/>
      <c r="AK160" s="124">
        <f t="shared" si="301"/>
        <v>0</v>
      </c>
      <c r="AL160" s="123"/>
      <c r="AM160" s="124">
        <f t="shared" si="302"/>
        <v>0</v>
      </c>
      <c r="AN160" s="123"/>
      <c r="AO160" s="124">
        <f t="shared" si="303"/>
        <v>0</v>
      </c>
      <c r="AP160" s="123"/>
      <c r="AQ160" s="124">
        <f t="shared" si="304"/>
        <v>0</v>
      </c>
      <c r="AR160" s="123"/>
      <c r="AS160" s="124">
        <f t="shared" si="305"/>
        <v>0</v>
      </c>
      <c r="AT160" s="123"/>
      <c r="AU160" s="124">
        <f t="shared" si="306"/>
        <v>0</v>
      </c>
      <c r="AV160" s="123"/>
      <c r="AW160" s="124">
        <f t="shared" si="307"/>
        <v>0</v>
      </c>
      <c r="AX160" s="123"/>
      <c r="AY160" s="124">
        <f t="shared" si="308"/>
        <v>0</v>
      </c>
      <c r="AZ160" s="123"/>
      <c r="BA160" s="124">
        <f t="shared" si="309"/>
        <v>0</v>
      </c>
      <c r="BB160" s="123"/>
      <c r="BC160" s="124">
        <f t="shared" si="310"/>
        <v>0</v>
      </c>
      <c r="BD160" s="123"/>
      <c r="BE160" s="124">
        <f t="shared" si="311"/>
        <v>0</v>
      </c>
      <c r="BF160" s="125">
        <f t="shared" si="281"/>
        <v>0</v>
      </c>
      <c r="BG160" s="126">
        <f t="shared" si="312"/>
        <v>0</v>
      </c>
      <c r="BH160" s="123"/>
      <c r="BI160" s="124">
        <f t="shared" si="313"/>
        <v>0</v>
      </c>
      <c r="BJ160" s="123"/>
      <c r="BK160" s="124">
        <f t="shared" si="314"/>
        <v>0</v>
      </c>
      <c r="BL160" s="123"/>
      <c r="BM160" s="124">
        <f t="shared" si="315"/>
        <v>0</v>
      </c>
      <c r="BN160" s="123"/>
      <c r="BO160" s="124">
        <f t="shared" si="316"/>
        <v>0</v>
      </c>
      <c r="BP160" s="123"/>
      <c r="BQ160" s="124">
        <f t="shared" si="317"/>
        <v>0</v>
      </c>
      <c r="BR160" s="123"/>
      <c r="BS160" s="124">
        <f t="shared" si="318"/>
        <v>0</v>
      </c>
      <c r="BT160" s="123"/>
      <c r="BU160" s="124">
        <f t="shared" si="319"/>
        <v>0</v>
      </c>
      <c r="BV160" s="123"/>
      <c r="BW160" s="124">
        <f t="shared" si="320"/>
        <v>0</v>
      </c>
      <c r="BX160" s="123"/>
      <c r="BY160" s="124">
        <f t="shared" si="321"/>
        <v>0</v>
      </c>
      <c r="BZ160" s="123"/>
      <c r="CA160" s="124">
        <f t="shared" si="322"/>
        <v>0</v>
      </c>
      <c r="CB160" s="123"/>
      <c r="CC160" s="124">
        <f t="shared" si="323"/>
        <v>0</v>
      </c>
      <c r="CD160" s="123"/>
      <c r="CE160" s="124">
        <f t="shared" si="324"/>
        <v>0</v>
      </c>
      <c r="CF160" s="125">
        <f t="shared" si="282"/>
        <v>0</v>
      </c>
      <c r="CG160" s="126">
        <f t="shared" si="325"/>
        <v>0</v>
      </c>
      <c r="CH160" s="123"/>
      <c r="CI160" s="124">
        <f t="shared" si="326"/>
        <v>0</v>
      </c>
      <c r="CJ160" s="123"/>
      <c r="CK160" s="124">
        <f t="shared" si="327"/>
        <v>0</v>
      </c>
      <c r="CL160" s="123"/>
      <c r="CM160" s="124">
        <f t="shared" si="328"/>
        <v>0</v>
      </c>
      <c r="CN160" s="123"/>
      <c r="CO160" s="124">
        <f t="shared" si="329"/>
        <v>0</v>
      </c>
      <c r="CP160" s="123"/>
      <c r="CQ160" s="124">
        <f t="shared" si="330"/>
        <v>0</v>
      </c>
      <c r="CR160" s="123"/>
      <c r="CS160" s="124">
        <f t="shared" si="331"/>
        <v>0</v>
      </c>
      <c r="CT160" s="123"/>
      <c r="CU160" s="124">
        <f t="shared" si="332"/>
        <v>0</v>
      </c>
      <c r="CV160" s="123"/>
      <c r="CW160" s="124">
        <f t="shared" si="333"/>
        <v>0</v>
      </c>
      <c r="CX160" s="123"/>
      <c r="CY160" s="124">
        <f t="shared" si="334"/>
        <v>0</v>
      </c>
      <c r="CZ160" s="123"/>
      <c r="DA160" s="124">
        <f t="shared" si="335"/>
        <v>0</v>
      </c>
      <c r="DB160" s="123"/>
      <c r="DC160" s="124">
        <f t="shared" si="210"/>
        <v>0</v>
      </c>
      <c r="DD160" s="123"/>
      <c r="DE160" s="124">
        <f t="shared" si="210"/>
        <v>0</v>
      </c>
      <c r="DF160" s="177">
        <f t="shared" si="283"/>
        <v>0</v>
      </c>
      <c r="DG160" s="126">
        <f t="shared" si="284"/>
        <v>0</v>
      </c>
      <c r="DH160" s="123"/>
      <c r="DI160" s="124">
        <f t="shared" si="336"/>
        <v>0</v>
      </c>
      <c r="DJ160" s="123"/>
      <c r="DK160" s="124">
        <f t="shared" si="337"/>
        <v>0</v>
      </c>
      <c r="DL160" s="123"/>
      <c r="DM160" s="124">
        <f t="shared" si="338"/>
        <v>0</v>
      </c>
      <c r="DN160" s="123"/>
      <c r="DO160" s="124">
        <f t="shared" si="339"/>
        <v>0</v>
      </c>
      <c r="DP160" s="123"/>
      <c r="DQ160" s="124">
        <f t="shared" si="340"/>
        <v>0</v>
      </c>
      <c r="DR160" s="123"/>
      <c r="DS160" s="124">
        <f t="shared" si="341"/>
        <v>0</v>
      </c>
      <c r="DT160" s="123"/>
      <c r="DU160" s="124">
        <f t="shared" si="342"/>
        <v>0</v>
      </c>
      <c r="DV160" s="123"/>
      <c r="DW160" s="124">
        <f t="shared" si="343"/>
        <v>0</v>
      </c>
      <c r="DX160" s="123"/>
      <c r="DY160" s="124">
        <f t="shared" si="344"/>
        <v>0</v>
      </c>
      <c r="DZ160" s="123"/>
      <c r="EA160" s="124">
        <f t="shared" si="345"/>
        <v>0</v>
      </c>
      <c r="EB160" s="123"/>
      <c r="EC160" s="124">
        <f t="shared" si="346"/>
        <v>0</v>
      </c>
      <c r="ED160" s="123"/>
      <c r="EE160" s="124">
        <f t="shared" si="347"/>
        <v>0</v>
      </c>
      <c r="EF160" s="27">
        <f t="shared" si="348"/>
        <v>0</v>
      </c>
      <c r="EG160" s="124">
        <f t="shared" si="349"/>
        <v>0</v>
      </c>
    </row>
    <row r="161" spans="1:137" x14ac:dyDescent="0.5">
      <c r="A161" s="117">
        <v>123</v>
      </c>
      <c r="B161" s="127" t="s">
        <v>211</v>
      </c>
      <c r="C161" s="127" t="s">
        <v>231</v>
      </c>
      <c r="D161" s="117">
        <f>RANK(DF161,$DF$149:$DF$168)</f>
        <v>5</v>
      </c>
      <c r="E161" s="117">
        <v>0.7</v>
      </c>
      <c r="F161" s="139" t="s">
        <v>232</v>
      </c>
      <c r="G161" s="130"/>
      <c r="H161" s="123"/>
      <c r="I161" s="124">
        <f t="shared" si="287"/>
        <v>0</v>
      </c>
      <c r="J161" s="123"/>
      <c r="K161" s="124">
        <f t="shared" si="288"/>
        <v>0</v>
      </c>
      <c r="L161" s="123"/>
      <c r="M161" s="124">
        <f t="shared" si="289"/>
        <v>0</v>
      </c>
      <c r="N161" s="123"/>
      <c r="O161" s="124">
        <f t="shared" si="290"/>
        <v>0</v>
      </c>
      <c r="P161" s="123"/>
      <c r="Q161" s="124">
        <f t="shared" si="291"/>
        <v>0</v>
      </c>
      <c r="R161" s="123"/>
      <c r="S161" s="124">
        <f t="shared" si="292"/>
        <v>0</v>
      </c>
      <c r="T161" s="123"/>
      <c r="U161" s="124">
        <f t="shared" si="293"/>
        <v>0</v>
      </c>
      <c r="V161" s="123"/>
      <c r="W161" s="124">
        <f t="shared" si="294"/>
        <v>0</v>
      </c>
      <c r="X161" s="123"/>
      <c r="Y161" s="124">
        <f t="shared" si="295"/>
        <v>0</v>
      </c>
      <c r="Z161" s="123"/>
      <c r="AA161" s="124">
        <f t="shared" si="296"/>
        <v>0</v>
      </c>
      <c r="AB161" s="123"/>
      <c r="AC161" s="124">
        <f t="shared" si="297"/>
        <v>0</v>
      </c>
      <c r="AD161" s="123"/>
      <c r="AE161" s="124">
        <f t="shared" si="298"/>
        <v>0</v>
      </c>
      <c r="AF161" s="125">
        <f t="shared" si="280"/>
        <v>0</v>
      </c>
      <c r="AG161" s="126">
        <f t="shared" si="299"/>
        <v>0</v>
      </c>
      <c r="AH161" s="123"/>
      <c r="AI161" s="124">
        <f t="shared" si="300"/>
        <v>0</v>
      </c>
      <c r="AJ161" s="123"/>
      <c r="AK161" s="124">
        <f t="shared" si="301"/>
        <v>0</v>
      </c>
      <c r="AL161" s="123"/>
      <c r="AM161" s="124">
        <f t="shared" si="302"/>
        <v>0</v>
      </c>
      <c r="AN161" s="123"/>
      <c r="AO161" s="124">
        <f t="shared" si="303"/>
        <v>0</v>
      </c>
      <c r="AP161" s="123"/>
      <c r="AQ161" s="124">
        <f t="shared" si="304"/>
        <v>0</v>
      </c>
      <c r="AR161" s="123"/>
      <c r="AS161" s="124">
        <f t="shared" si="305"/>
        <v>0</v>
      </c>
      <c r="AT161" s="123"/>
      <c r="AU161" s="124">
        <f t="shared" si="306"/>
        <v>0</v>
      </c>
      <c r="AV161" s="123"/>
      <c r="AW161" s="124">
        <f t="shared" si="307"/>
        <v>0</v>
      </c>
      <c r="AX161" s="123"/>
      <c r="AY161" s="124">
        <f t="shared" si="308"/>
        <v>0</v>
      </c>
      <c r="AZ161" s="123"/>
      <c r="BA161" s="124">
        <f t="shared" si="309"/>
        <v>0</v>
      </c>
      <c r="BB161" s="123"/>
      <c r="BC161" s="124">
        <f t="shared" si="310"/>
        <v>0</v>
      </c>
      <c r="BD161" s="123"/>
      <c r="BE161" s="124">
        <f t="shared" si="311"/>
        <v>0</v>
      </c>
      <c r="BF161" s="125">
        <f t="shared" si="281"/>
        <v>0</v>
      </c>
      <c r="BG161" s="126">
        <f t="shared" si="312"/>
        <v>0</v>
      </c>
      <c r="BH161" s="123"/>
      <c r="BI161" s="124">
        <f t="shared" si="313"/>
        <v>0</v>
      </c>
      <c r="BJ161" s="123"/>
      <c r="BK161" s="124">
        <f t="shared" si="314"/>
        <v>0</v>
      </c>
      <c r="BL161" s="123"/>
      <c r="BM161" s="124">
        <f t="shared" si="315"/>
        <v>0</v>
      </c>
      <c r="BN161" s="123"/>
      <c r="BO161" s="124">
        <f t="shared" si="316"/>
        <v>0</v>
      </c>
      <c r="BP161" s="123"/>
      <c r="BQ161" s="124">
        <f t="shared" si="317"/>
        <v>0</v>
      </c>
      <c r="BR161" s="123"/>
      <c r="BS161" s="124">
        <f t="shared" si="318"/>
        <v>0</v>
      </c>
      <c r="BT161" s="123"/>
      <c r="BU161" s="124">
        <f t="shared" si="319"/>
        <v>0</v>
      </c>
      <c r="BV161" s="123"/>
      <c r="BW161" s="124">
        <f t="shared" si="320"/>
        <v>0</v>
      </c>
      <c r="BX161" s="123"/>
      <c r="BY161" s="124">
        <f t="shared" si="321"/>
        <v>0</v>
      </c>
      <c r="BZ161" s="123"/>
      <c r="CA161" s="124">
        <f t="shared" si="322"/>
        <v>0</v>
      </c>
      <c r="CB161" s="123"/>
      <c r="CC161" s="124">
        <f t="shared" si="323"/>
        <v>0</v>
      </c>
      <c r="CD161" s="123"/>
      <c r="CE161" s="124">
        <f t="shared" si="324"/>
        <v>0</v>
      </c>
      <c r="CF161" s="125">
        <f t="shared" si="282"/>
        <v>0</v>
      </c>
      <c r="CG161" s="126">
        <f t="shared" si="325"/>
        <v>0</v>
      </c>
      <c r="CH161" s="123"/>
      <c r="CI161" s="124">
        <f t="shared" si="326"/>
        <v>0</v>
      </c>
      <c r="CJ161" s="123"/>
      <c r="CK161" s="124">
        <f t="shared" si="327"/>
        <v>0</v>
      </c>
      <c r="CL161" s="123"/>
      <c r="CM161" s="124">
        <f t="shared" si="328"/>
        <v>0</v>
      </c>
      <c r="CN161" s="123"/>
      <c r="CO161" s="124">
        <f t="shared" si="329"/>
        <v>0</v>
      </c>
      <c r="CP161" s="123"/>
      <c r="CQ161" s="124">
        <f t="shared" si="330"/>
        <v>0</v>
      </c>
      <c r="CR161" s="123"/>
      <c r="CS161" s="124">
        <f t="shared" si="331"/>
        <v>0</v>
      </c>
      <c r="CT161" s="123"/>
      <c r="CU161" s="124">
        <f t="shared" si="332"/>
        <v>0</v>
      </c>
      <c r="CV161" s="123"/>
      <c r="CW161" s="124">
        <f t="shared" si="333"/>
        <v>0</v>
      </c>
      <c r="CX161" s="123"/>
      <c r="CY161" s="124">
        <f t="shared" si="334"/>
        <v>0</v>
      </c>
      <c r="CZ161" s="123"/>
      <c r="DA161" s="124">
        <f t="shared" si="335"/>
        <v>0</v>
      </c>
      <c r="DB161" s="123"/>
      <c r="DC161" s="124">
        <f t="shared" si="210"/>
        <v>0</v>
      </c>
      <c r="DD161" s="123"/>
      <c r="DE161" s="124">
        <f t="shared" si="210"/>
        <v>0</v>
      </c>
      <c r="DF161" s="177">
        <f t="shared" si="283"/>
        <v>0</v>
      </c>
      <c r="DG161" s="126">
        <f t="shared" si="284"/>
        <v>0</v>
      </c>
      <c r="DH161" s="123"/>
      <c r="DI161" s="124">
        <f t="shared" si="336"/>
        <v>0</v>
      </c>
      <c r="DJ161" s="123"/>
      <c r="DK161" s="124">
        <f t="shared" si="337"/>
        <v>0</v>
      </c>
      <c r="DL161" s="123"/>
      <c r="DM161" s="124">
        <f t="shared" si="338"/>
        <v>0</v>
      </c>
      <c r="DN161" s="123"/>
      <c r="DO161" s="124">
        <f t="shared" si="339"/>
        <v>0</v>
      </c>
      <c r="DP161" s="123"/>
      <c r="DQ161" s="124">
        <f t="shared" si="340"/>
        <v>0</v>
      </c>
      <c r="DR161" s="123"/>
      <c r="DS161" s="124">
        <f t="shared" si="341"/>
        <v>0</v>
      </c>
      <c r="DT161" s="123"/>
      <c r="DU161" s="124">
        <f t="shared" si="342"/>
        <v>0</v>
      </c>
      <c r="DV161" s="123"/>
      <c r="DW161" s="124">
        <f t="shared" si="343"/>
        <v>0</v>
      </c>
      <c r="DX161" s="123"/>
      <c r="DY161" s="124">
        <f t="shared" si="344"/>
        <v>0</v>
      </c>
      <c r="DZ161" s="123"/>
      <c r="EA161" s="124">
        <f t="shared" si="345"/>
        <v>0</v>
      </c>
      <c r="EB161" s="123"/>
      <c r="EC161" s="124">
        <f t="shared" si="346"/>
        <v>0</v>
      </c>
      <c r="ED161" s="123"/>
      <c r="EE161" s="124">
        <f t="shared" si="347"/>
        <v>0</v>
      </c>
      <c r="EF161" s="27">
        <f t="shared" si="348"/>
        <v>0</v>
      </c>
      <c r="EG161" s="124">
        <f t="shared" si="349"/>
        <v>0</v>
      </c>
    </row>
    <row r="162" spans="1:137" x14ac:dyDescent="0.5">
      <c r="A162" s="117">
        <v>124</v>
      </c>
      <c r="B162" s="127" t="s">
        <v>212</v>
      </c>
      <c r="C162" s="127" t="s">
        <v>231</v>
      </c>
      <c r="D162" s="117">
        <f>RANK(DF162,$DF$149:$DF$168)</f>
        <v>5</v>
      </c>
      <c r="E162" s="117">
        <v>0.35</v>
      </c>
      <c r="F162" s="139" t="s">
        <v>235</v>
      </c>
      <c r="G162" s="130"/>
      <c r="H162" s="123"/>
      <c r="I162" s="124">
        <f t="shared" si="287"/>
        <v>0</v>
      </c>
      <c r="J162" s="123"/>
      <c r="K162" s="124">
        <f t="shared" si="288"/>
        <v>0</v>
      </c>
      <c r="L162" s="123"/>
      <c r="M162" s="124">
        <f t="shared" si="289"/>
        <v>0</v>
      </c>
      <c r="N162" s="123"/>
      <c r="O162" s="124">
        <f t="shared" si="290"/>
        <v>0</v>
      </c>
      <c r="P162" s="123"/>
      <c r="Q162" s="124">
        <f t="shared" si="291"/>
        <v>0</v>
      </c>
      <c r="R162" s="123"/>
      <c r="S162" s="124">
        <f t="shared" si="292"/>
        <v>0</v>
      </c>
      <c r="T162" s="123"/>
      <c r="U162" s="124">
        <f t="shared" si="293"/>
        <v>0</v>
      </c>
      <c r="V162" s="123"/>
      <c r="W162" s="124">
        <f t="shared" si="294"/>
        <v>0</v>
      </c>
      <c r="X162" s="123"/>
      <c r="Y162" s="124">
        <f t="shared" si="295"/>
        <v>0</v>
      </c>
      <c r="Z162" s="123"/>
      <c r="AA162" s="124">
        <f t="shared" si="296"/>
        <v>0</v>
      </c>
      <c r="AB162" s="123"/>
      <c r="AC162" s="124">
        <f t="shared" si="297"/>
        <v>0</v>
      </c>
      <c r="AD162" s="123"/>
      <c r="AE162" s="124">
        <f t="shared" si="298"/>
        <v>0</v>
      </c>
      <c r="AF162" s="125">
        <f t="shared" si="280"/>
        <v>0</v>
      </c>
      <c r="AG162" s="126">
        <f t="shared" si="299"/>
        <v>0</v>
      </c>
      <c r="AH162" s="123"/>
      <c r="AI162" s="124">
        <f t="shared" si="300"/>
        <v>0</v>
      </c>
      <c r="AJ162" s="123"/>
      <c r="AK162" s="124">
        <f t="shared" si="301"/>
        <v>0</v>
      </c>
      <c r="AL162" s="123"/>
      <c r="AM162" s="124">
        <f t="shared" si="302"/>
        <v>0</v>
      </c>
      <c r="AN162" s="123"/>
      <c r="AO162" s="124">
        <f t="shared" si="303"/>
        <v>0</v>
      </c>
      <c r="AP162" s="123"/>
      <c r="AQ162" s="124">
        <f t="shared" si="304"/>
        <v>0</v>
      </c>
      <c r="AR162" s="123"/>
      <c r="AS162" s="124">
        <f t="shared" si="305"/>
        <v>0</v>
      </c>
      <c r="AT162" s="123"/>
      <c r="AU162" s="124">
        <f t="shared" si="306"/>
        <v>0</v>
      </c>
      <c r="AV162" s="123"/>
      <c r="AW162" s="124">
        <f t="shared" si="307"/>
        <v>0</v>
      </c>
      <c r="AX162" s="123"/>
      <c r="AY162" s="124">
        <f t="shared" si="308"/>
        <v>0</v>
      </c>
      <c r="AZ162" s="123"/>
      <c r="BA162" s="124">
        <f t="shared" si="309"/>
        <v>0</v>
      </c>
      <c r="BB162" s="123"/>
      <c r="BC162" s="124">
        <f t="shared" si="310"/>
        <v>0</v>
      </c>
      <c r="BD162" s="123"/>
      <c r="BE162" s="124">
        <f t="shared" si="311"/>
        <v>0</v>
      </c>
      <c r="BF162" s="125">
        <f t="shared" si="281"/>
        <v>0</v>
      </c>
      <c r="BG162" s="126">
        <f t="shared" si="312"/>
        <v>0</v>
      </c>
      <c r="BH162" s="123"/>
      <c r="BI162" s="124">
        <f t="shared" si="313"/>
        <v>0</v>
      </c>
      <c r="BJ162" s="123"/>
      <c r="BK162" s="124">
        <f t="shared" si="314"/>
        <v>0</v>
      </c>
      <c r="BL162" s="123"/>
      <c r="BM162" s="124">
        <f t="shared" si="315"/>
        <v>0</v>
      </c>
      <c r="BN162" s="123"/>
      <c r="BO162" s="124">
        <f t="shared" si="316"/>
        <v>0</v>
      </c>
      <c r="BP162" s="123"/>
      <c r="BQ162" s="124">
        <f t="shared" si="317"/>
        <v>0</v>
      </c>
      <c r="BR162" s="123"/>
      <c r="BS162" s="124">
        <f t="shared" si="318"/>
        <v>0</v>
      </c>
      <c r="BT162" s="123"/>
      <c r="BU162" s="124">
        <f t="shared" si="319"/>
        <v>0</v>
      </c>
      <c r="BV162" s="123"/>
      <c r="BW162" s="124">
        <f t="shared" si="320"/>
        <v>0</v>
      </c>
      <c r="BX162" s="123"/>
      <c r="BY162" s="124">
        <f t="shared" si="321"/>
        <v>0</v>
      </c>
      <c r="BZ162" s="123"/>
      <c r="CA162" s="124">
        <f t="shared" si="322"/>
        <v>0</v>
      </c>
      <c r="CB162" s="123"/>
      <c r="CC162" s="124">
        <f t="shared" si="323"/>
        <v>0</v>
      </c>
      <c r="CD162" s="123"/>
      <c r="CE162" s="124">
        <f t="shared" si="324"/>
        <v>0</v>
      </c>
      <c r="CF162" s="125">
        <f t="shared" si="282"/>
        <v>0</v>
      </c>
      <c r="CG162" s="126">
        <f t="shared" si="325"/>
        <v>0</v>
      </c>
      <c r="CH162" s="123"/>
      <c r="CI162" s="124">
        <f t="shared" si="326"/>
        <v>0</v>
      </c>
      <c r="CJ162" s="123"/>
      <c r="CK162" s="124">
        <f t="shared" si="327"/>
        <v>0</v>
      </c>
      <c r="CL162" s="123"/>
      <c r="CM162" s="124">
        <f t="shared" si="328"/>
        <v>0</v>
      </c>
      <c r="CN162" s="123"/>
      <c r="CO162" s="124">
        <f t="shared" si="329"/>
        <v>0</v>
      </c>
      <c r="CP162" s="123"/>
      <c r="CQ162" s="124">
        <f t="shared" si="330"/>
        <v>0</v>
      </c>
      <c r="CR162" s="123"/>
      <c r="CS162" s="124">
        <f t="shared" si="331"/>
        <v>0</v>
      </c>
      <c r="CT162" s="123"/>
      <c r="CU162" s="124">
        <f t="shared" si="332"/>
        <v>0</v>
      </c>
      <c r="CV162" s="123"/>
      <c r="CW162" s="124">
        <f t="shared" si="333"/>
        <v>0</v>
      </c>
      <c r="CX162" s="123"/>
      <c r="CY162" s="124">
        <f t="shared" si="334"/>
        <v>0</v>
      </c>
      <c r="CZ162" s="123"/>
      <c r="DA162" s="124">
        <f t="shared" si="335"/>
        <v>0</v>
      </c>
      <c r="DB162" s="123"/>
      <c r="DC162" s="124">
        <f t="shared" si="210"/>
        <v>0</v>
      </c>
      <c r="DD162" s="123"/>
      <c r="DE162" s="124">
        <f t="shared" si="210"/>
        <v>0</v>
      </c>
      <c r="DF162" s="177">
        <f t="shared" si="283"/>
        <v>0</v>
      </c>
      <c r="DG162" s="126">
        <f t="shared" si="284"/>
        <v>0</v>
      </c>
      <c r="DH162" s="123"/>
      <c r="DI162" s="124">
        <f t="shared" si="336"/>
        <v>0</v>
      </c>
      <c r="DJ162" s="123"/>
      <c r="DK162" s="124">
        <f t="shared" si="337"/>
        <v>0</v>
      </c>
      <c r="DL162" s="123"/>
      <c r="DM162" s="124">
        <f t="shared" si="338"/>
        <v>0</v>
      </c>
      <c r="DN162" s="123"/>
      <c r="DO162" s="124">
        <f t="shared" si="339"/>
        <v>0</v>
      </c>
      <c r="DP162" s="123"/>
      <c r="DQ162" s="124">
        <f t="shared" si="340"/>
        <v>0</v>
      </c>
      <c r="DR162" s="123"/>
      <c r="DS162" s="124">
        <f t="shared" si="341"/>
        <v>0</v>
      </c>
      <c r="DT162" s="123"/>
      <c r="DU162" s="124">
        <f t="shared" si="342"/>
        <v>0</v>
      </c>
      <c r="DV162" s="123"/>
      <c r="DW162" s="124">
        <f t="shared" si="343"/>
        <v>0</v>
      </c>
      <c r="DX162" s="123"/>
      <c r="DY162" s="124">
        <f t="shared" si="344"/>
        <v>0</v>
      </c>
      <c r="DZ162" s="123"/>
      <c r="EA162" s="124">
        <f t="shared" si="345"/>
        <v>0</v>
      </c>
      <c r="EB162" s="123"/>
      <c r="EC162" s="124">
        <f t="shared" si="346"/>
        <v>0</v>
      </c>
      <c r="ED162" s="123"/>
      <c r="EE162" s="124">
        <f t="shared" si="347"/>
        <v>0</v>
      </c>
      <c r="EF162" s="27">
        <f t="shared" si="348"/>
        <v>0</v>
      </c>
      <c r="EG162" s="124">
        <f t="shared" si="349"/>
        <v>0</v>
      </c>
    </row>
    <row r="163" spans="1:137" x14ac:dyDescent="0.5">
      <c r="A163" s="117">
        <v>125</v>
      </c>
      <c r="B163" s="127" t="s">
        <v>220</v>
      </c>
      <c r="C163" s="127" t="s">
        <v>231</v>
      </c>
      <c r="D163" s="117">
        <f>RANK(DF163,$DF$149:$DF$168)</f>
        <v>5</v>
      </c>
      <c r="E163" s="117">
        <v>0.7</v>
      </c>
      <c r="F163" s="139" t="s">
        <v>246</v>
      </c>
      <c r="G163" s="130"/>
      <c r="H163" s="123"/>
      <c r="I163" s="124">
        <f t="shared" si="287"/>
        <v>0</v>
      </c>
      <c r="J163" s="123"/>
      <c r="K163" s="124">
        <f t="shared" si="288"/>
        <v>0</v>
      </c>
      <c r="L163" s="123"/>
      <c r="M163" s="124">
        <f t="shared" si="289"/>
        <v>0</v>
      </c>
      <c r="N163" s="123"/>
      <c r="O163" s="124">
        <f t="shared" si="290"/>
        <v>0</v>
      </c>
      <c r="P163" s="123"/>
      <c r="Q163" s="124">
        <f t="shared" si="291"/>
        <v>0</v>
      </c>
      <c r="R163" s="123"/>
      <c r="S163" s="124">
        <f t="shared" si="292"/>
        <v>0</v>
      </c>
      <c r="T163" s="123"/>
      <c r="U163" s="124">
        <f t="shared" si="293"/>
        <v>0</v>
      </c>
      <c r="V163" s="123"/>
      <c r="W163" s="124">
        <f t="shared" si="294"/>
        <v>0</v>
      </c>
      <c r="X163" s="123"/>
      <c r="Y163" s="124">
        <f t="shared" si="295"/>
        <v>0</v>
      </c>
      <c r="Z163" s="123"/>
      <c r="AA163" s="124">
        <f t="shared" si="296"/>
        <v>0</v>
      </c>
      <c r="AB163" s="123"/>
      <c r="AC163" s="124">
        <f t="shared" si="297"/>
        <v>0</v>
      </c>
      <c r="AD163" s="123"/>
      <c r="AE163" s="124">
        <f t="shared" si="298"/>
        <v>0</v>
      </c>
      <c r="AF163" s="125">
        <f t="shared" si="280"/>
        <v>0</v>
      </c>
      <c r="AG163" s="126">
        <f t="shared" si="299"/>
        <v>0</v>
      </c>
      <c r="AH163" s="123"/>
      <c r="AI163" s="124">
        <f t="shared" si="300"/>
        <v>0</v>
      </c>
      <c r="AJ163" s="123"/>
      <c r="AK163" s="124">
        <f t="shared" si="301"/>
        <v>0</v>
      </c>
      <c r="AL163" s="123"/>
      <c r="AM163" s="124">
        <f t="shared" si="302"/>
        <v>0</v>
      </c>
      <c r="AN163" s="123"/>
      <c r="AO163" s="124">
        <f t="shared" si="303"/>
        <v>0</v>
      </c>
      <c r="AP163" s="123"/>
      <c r="AQ163" s="124">
        <f t="shared" si="304"/>
        <v>0</v>
      </c>
      <c r="AR163" s="123"/>
      <c r="AS163" s="124">
        <f t="shared" si="305"/>
        <v>0</v>
      </c>
      <c r="AT163" s="123"/>
      <c r="AU163" s="124">
        <f t="shared" si="306"/>
        <v>0</v>
      </c>
      <c r="AV163" s="123"/>
      <c r="AW163" s="124">
        <f t="shared" si="307"/>
        <v>0</v>
      </c>
      <c r="AX163" s="123"/>
      <c r="AY163" s="124">
        <f t="shared" si="308"/>
        <v>0</v>
      </c>
      <c r="AZ163" s="123"/>
      <c r="BA163" s="124">
        <f t="shared" si="309"/>
        <v>0</v>
      </c>
      <c r="BB163" s="123"/>
      <c r="BC163" s="124">
        <f t="shared" si="310"/>
        <v>0</v>
      </c>
      <c r="BD163" s="123"/>
      <c r="BE163" s="124">
        <f t="shared" si="311"/>
        <v>0</v>
      </c>
      <c r="BF163" s="125">
        <f t="shared" si="281"/>
        <v>0</v>
      </c>
      <c r="BG163" s="126">
        <f t="shared" si="312"/>
        <v>0</v>
      </c>
      <c r="BH163" s="123"/>
      <c r="BI163" s="124">
        <f t="shared" si="313"/>
        <v>0</v>
      </c>
      <c r="BJ163" s="123"/>
      <c r="BK163" s="124">
        <f t="shared" si="314"/>
        <v>0</v>
      </c>
      <c r="BL163" s="123"/>
      <c r="BM163" s="124">
        <f t="shared" si="315"/>
        <v>0</v>
      </c>
      <c r="BN163" s="123"/>
      <c r="BO163" s="124">
        <f t="shared" si="316"/>
        <v>0</v>
      </c>
      <c r="BP163" s="123"/>
      <c r="BQ163" s="124">
        <f t="shared" si="317"/>
        <v>0</v>
      </c>
      <c r="BR163" s="123"/>
      <c r="BS163" s="124">
        <f t="shared" si="318"/>
        <v>0</v>
      </c>
      <c r="BT163" s="123"/>
      <c r="BU163" s="124">
        <f t="shared" si="319"/>
        <v>0</v>
      </c>
      <c r="BV163" s="123"/>
      <c r="BW163" s="124">
        <f t="shared" si="320"/>
        <v>0</v>
      </c>
      <c r="BX163" s="123"/>
      <c r="BY163" s="124">
        <f t="shared" si="321"/>
        <v>0</v>
      </c>
      <c r="BZ163" s="123"/>
      <c r="CA163" s="124">
        <f t="shared" si="322"/>
        <v>0</v>
      </c>
      <c r="CB163" s="123"/>
      <c r="CC163" s="124">
        <f t="shared" si="323"/>
        <v>0</v>
      </c>
      <c r="CD163" s="123"/>
      <c r="CE163" s="124">
        <f t="shared" si="324"/>
        <v>0</v>
      </c>
      <c r="CF163" s="125">
        <f t="shared" si="282"/>
        <v>0</v>
      </c>
      <c r="CG163" s="126">
        <f t="shared" si="325"/>
        <v>0</v>
      </c>
      <c r="CH163" s="123"/>
      <c r="CI163" s="124">
        <f t="shared" si="326"/>
        <v>0</v>
      </c>
      <c r="CJ163" s="123"/>
      <c r="CK163" s="124">
        <f t="shared" si="327"/>
        <v>0</v>
      </c>
      <c r="CL163" s="123"/>
      <c r="CM163" s="124">
        <f t="shared" si="328"/>
        <v>0</v>
      </c>
      <c r="CN163" s="123"/>
      <c r="CO163" s="124">
        <f t="shared" si="329"/>
        <v>0</v>
      </c>
      <c r="CP163" s="123"/>
      <c r="CQ163" s="124">
        <f t="shared" si="330"/>
        <v>0</v>
      </c>
      <c r="CR163" s="123"/>
      <c r="CS163" s="124">
        <f t="shared" si="331"/>
        <v>0</v>
      </c>
      <c r="CT163" s="123"/>
      <c r="CU163" s="124">
        <f t="shared" si="332"/>
        <v>0</v>
      </c>
      <c r="CV163" s="123"/>
      <c r="CW163" s="124">
        <f t="shared" si="333"/>
        <v>0</v>
      </c>
      <c r="CX163" s="123"/>
      <c r="CY163" s="124">
        <f t="shared" si="334"/>
        <v>0</v>
      </c>
      <c r="CZ163" s="123"/>
      <c r="DA163" s="124">
        <f t="shared" si="335"/>
        <v>0</v>
      </c>
      <c r="DB163" s="123"/>
      <c r="DC163" s="124">
        <f t="shared" si="210"/>
        <v>0</v>
      </c>
      <c r="DD163" s="123"/>
      <c r="DE163" s="124">
        <f t="shared" si="210"/>
        <v>0</v>
      </c>
      <c r="DF163" s="177">
        <f t="shared" si="283"/>
        <v>0</v>
      </c>
      <c r="DG163" s="126">
        <f t="shared" si="284"/>
        <v>0</v>
      </c>
      <c r="DH163" s="123"/>
      <c r="DI163" s="124">
        <f t="shared" si="336"/>
        <v>0</v>
      </c>
      <c r="DJ163" s="123"/>
      <c r="DK163" s="124">
        <f t="shared" si="337"/>
        <v>0</v>
      </c>
      <c r="DL163" s="123"/>
      <c r="DM163" s="124">
        <f t="shared" si="338"/>
        <v>0</v>
      </c>
      <c r="DN163" s="123"/>
      <c r="DO163" s="124">
        <f t="shared" si="339"/>
        <v>0</v>
      </c>
      <c r="DP163" s="123"/>
      <c r="DQ163" s="124">
        <f t="shared" si="340"/>
        <v>0</v>
      </c>
      <c r="DR163" s="123"/>
      <c r="DS163" s="124">
        <f t="shared" si="341"/>
        <v>0</v>
      </c>
      <c r="DT163" s="123"/>
      <c r="DU163" s="124">
        <f t="shared" si="342"/>
        <v>0</v>
      </c>
      <c r="DV163" s="123"/>
      <c r="DW163" s="124">
        <f t="shared" si="343"/>
        <v>0</v>
      </c>
      <c r="DX163" s="123"/>
      <c r="DY163" s="124">
        <f t="shared" si="344"/>
        <v>0</v>
      </c>
      <c r="DZ163" s="123"/>
      <c r="EA163" s="124">
        <f t="shared" si="345"/>
        <v>0</v>
      </c>
      <c r="EB163" s="123"/>
      <c r="EC163" s="124">
        <f t="shared" si="346"/>
        <v>0</v>
      </c>
      <c r="ED163" s="123"/>
      <c r="EE163" s="124">
        <f t="shared" si="347"/>
        <v>0</v>
      </c>
      <c r="EF163" s="27">
        <f t="shared" si="348"/>
        <v>0</v>
      </c>
      <c r="EG163" s="124">
        <f t="shared" si="349"/>
        <v>0</v>
      </c>
    </row>
    <row r="164" spans="1:137" x14ac:dyDescent="0.5">
      <c r="A164" s="117">
        <v>126</v>
      </c>
      <c r="B164" s="127" t="s">
        <v>59</v>
      </c>
      <c r="C164" s="127"/>
      <c r="D164" s="117"/>
      <c r="E164" s="117">
        <v>0.7</v>
      </c>
      <c r="F164" s="139"/>
      <c r="G164" s="130">
        <v>5200</v>
      </c>
      <c r="H164" s="123">
        <v>824</v>
      </c>
      <c r="I164" s="124">
        <f t="shared" si="287"/>
        <v>576.79999999999995</v>
      </c>
      <c r="J164" s="123">
        <v>483</v>
      </c>
      <c r="K164" s="124">
        <f t="shared" si="288"/>
        <v>338.09999999999997</v>
      </c>
      <c r="L164" s="123">
        <v>120</v>
      </c>
      <c r="M164" s="124">
        <f t="shared" si="289"/>
        <v>84</v>
      </c>
      <c r="N164" s="123"/>
      <c r="O164" s="124">
        <f t="shared" si="290"/>
        <v>0</v>
      </c>
      <c r="P164" s="123"/>
      <c r="Q164" s="124">
        <f t="shared" si="291"/>
        <v>0</v>
      </c>
      <c r="R164" s="123"/>
      <c r="S164" s="124">
        <f t="shared" si="292"/>
        <v>0</v>
      </c>
      <c r="T164" s="123"/>
      <c r="U164" s="124">
        <f t="shared" si="293"/>
        <v>0</v>
      </c>
      <c r="V164" s="123"/>
      <c r="W164" s="124">
        <f t="shared" si="294"/>
        <v>0</v>
      </c>
      <c r="X164" s="123"/>
      <c r="Y164" s="124">
        <f t="shared" si="295"/>
        <v>0</v>
      </c>
      <c r="Z164" s="123"/>
      <c r="AA164" s="124">
        <f t="shared" si="296"/>
        <v>0</v>
      </c>
      <c r="AB164" s="123"/>
      <c r="AC164" s="124">
        <f t="shared" si="297"/>
        <v>0</v>
      </c>
      <c r="AD164" s="123"/>
      <c r="AE164" s="124">
        <f t="shared" si="298"/>
        <v>0</v>
      </c>
      <c r="AF164" s="125">
        <f t="shared" si="280"/>
        <v>1427</v>
      </c>
      <c r="AG164" s="126">
        <f t="shared" si="299"/>
        <v>998.9</v>
      </c>
      <c r="AH164" s="123"/>
      <c r="AI164" s="124">
        <f t="shared" si="300"/>
        <v>0</v>
      </c>
      <c r="AJ164" s="123"/>
      <c r="AK164" s="124">
        <f t="shared" si="301"/>
        <v>0</v>
      </c>
      <c r="AL164" s="123"/>
      <c r="AM164" s="124">
        <f t="shared" si="302"/>
        <v>0</v>
      </c>
      <c r="AN164" s="123"/>
      <c r="AO164" s="124">
        <f t="shared" si="303"/>
        <v>0</v>
      </c>
      <c r="AP164" s="123"/>
      <c r="AQ164" s="124">
        <f t="shared" si="304"/>
        <v>0</v>
      </c>
      <c r="AR164" s="123"/>
      <c r="AS164" s="124">
        <f t="shared" si="305"/>
        <v>0</v>
      </c>
      <c r="AT164" s="123"/>
      <c r="AU164" s="124">
        <f t="shared" si="306"/>
        <v>0</v>
      </c>
      <c r="AV164" s="123"/>
      <c r="AW164" s="124">
        <f t="shared" si="307"/>
        <v>0</v>
      </c>
      <c r="AX164" s="123"/>
      <c r="AY164" s="124">
        <f t="shared" si="308"/>
        <v>0</v>
      </c>
      <c r="AZ164" s="123"/>
      <c r="BA164" s="124">
        <f t="shared" si="309"/>
        <v>0</v>
      </c>
      <c r="BB164" s="123"/>
      <c r="BC164" s="124">
        <f t="shared" si="310"/>
        <v>0</v>
      </c>
      <c r="BD164" s="123"/>
      <c r="BE164" s="124">
        <f t="shared" si="311"/>
        <v>0</v>
      </c>
      <c r="BF164" s="125">
        <f t="shared" si="281"/>
        <v>0</v>
      </c>
      <c r="BG164" s="126">
        <f t="shared" si="312"/>
        <v>0</v>
      </c>
      <c r="BH164" s="123"/>
      <c r="BI164" s="124">
        <f t="shared" si="313"/>
        <v>0</v>
      </c>
      <c r="BJ164" s="123"/>
      <c r="BK164" s="124">
        <f t="shared" si="314"/>
        <v>0</v>
      </c>
      <c r="BL164" s="123"/>
      <c r="BM164" s="124">
        <f t="shared" si="315"/>
        <v>0</v>
      </c>
      <c r="BN164" s="123"/>
      <c r="BO164" s="124">
        <f t="shared" si="316"/>
        <v>0</v>
      </c>
      <c r="BP164" s="123"/>
      <c r="BQ164" s="124">
        <f t="shared" si="317"/>
        <v>0</v>
      </c>
      <c r="BR164" s="123"/>
      <c r="BS164" s="124">
        <f t="shared" si="318"/>
        <v>0</v>
      </c>
      <c r="BT164" s="123"/>
      <c r="BU164" s="124">
        <f t="shared" si="319"/>
        <v>0</v>
      </c>
      <c r="BV164" s="123"/>
      <c r="BW164" s="124">
        <f t="shared" si="320"/>
        <v>0</v>
      </c>
      <c r="BX164" s="123"/>
      <c r="BY164" s="124">
        <f t="shared" si="321"/>
        <v>0</v>
      </c>
      <c r="BZ164" s="123"/>
      <c r="CA164" s="124">
        <f t="shared" si="322"/>
        <v>0</v>
      </c>
      <c r="CB164" s="123"/>
      <c r="CC164" s="124">
        <f t="shared" si="323"/>
        <v>0</v>
      </c>
      <c r="CD164" s="123"/>
      <c r="CE164" s="124">
        <f t="shared" si="324"/>
        <v>0</v>
      </c>
      <c r="CF164" s="125">
        <f t="shared" si="282"/>
        <v>0</v>
      </c>
      <c r="CG164" s="126">
        <f t="shared" si="325"/>
        <v>0</v>
      </c>
      <c r="CH164" s="123"/>
      <c r="CI164" s="124">
        <f t="shared" si="326"/>
        <v>0</v>
      </c>
      <c r="CJ164" s="123"/>
      <c r="CK164" s="124">
        <f t="shared" si="327"/>
        <v>0</v>
      </c>
      <c r="CL164" s="123"/>
      <c r="CM164" s="124">
        <f t="shared" si="328"/>
        <v>0</v>
      </c>
      <c r="CN164" s="123"/>
      <c r="CO164" s="124">
        <f t="shared" si="329"/>
        <v>0</v>
      </c>
      <c r="CP164" s="123"/>
      <c r="CQ164" s="124">
        <f t="shared" si="330"/>
        <v>0</v>
      </c>
      <c r="CR164" s="123"/>
      <c r="CS164" s="124">
        <f t="shared" si="331"/>
        <v>0</v>
      </c>
      <c r="CT164" s="123"/>
      <c r="CU164" s="124">
        <f t="shared" si="332"/>
        <v>0</v>
      </c>
      <c r="CV164" s="123"/>
      <c r="CW164" s="124">
        <f t="shared" si="333"/>
        <v>0</v>
      </c>
      <c r="CX164" s="123"/>
      <c r="CY164" s="124">
        <f t="shared" si="334"/>
        <v>0</v>
      </c>
      <c r="CZ164" s="123"/>
      <c r="DA164" s="124">
        <f t="shared" si="335"/>
        <v>0</v>
      </c>
      <c r="DB164" s="123"/>
      <c r="DC164" s="124">
        <f t="shared" si="210"/>
        <v>0</v>
      </c>
      <c r="DD164" s="123"/>
      <c r="DE164" s="124">
        <f t="shared" si="210"/>
        <v>0</v>
      </c>
      <c r="DF164" s="177">
        <f t="shared" si="283"/>
        <v>0</v>
      </c>
      <c r="DG164" s="126">
        <f t="shared" si="284"/>
        <v>0</v>
      </c>
      <c r="DH164" s="123"/>
      <c r="DI164" s="124">
        <f t="shared" si="336"/>
        <v>0</v>
      </c>
      <c r="DJ164" s="123"/>
      <c r="DK164" s="124">
        <f t="shared" si="337"/>
        <v>0</v>
      </c>
      <c r="DL164" s="123"/>
      <c r="DM164" s="124">
        <f t="shared" si="338"/>
        <v>0</v>
      </c>
      <c r="DN164" s="123"/>
      <c r="DO164" s="124">
        <f t="shared" si="339"/>
        <v>0</v>
      </c>
      <c r="DP164" s="123"/>
      <c r="DQ164" s="124">
        <f t="shared" si="340"/>
        <v>0</v>
      </c>
      <c r="DR164" s="123"/>
      <c r="DS164" s="124">
        <f t="shared" si="341"/>
        <v>0</v>
      </c>
      <c r="DT164" s="123"/>
      <c r="DU164" s="124">
        <f t="shared" si="342"/>
        <v>0</v>
      </c>
      <c r="DV164" s="123"/>
      <c r="DW164" s="124">
        <f t="shared" si="343"/>
        <v>0</v>
      </c>
      <c r="DX164" s="123"/>
      <c r="DY164" s="124">
        <f t="shared" si="344"/>
        <v>0</v>
      </c>
      <c r="DZ164" s="123"/>
      <c r="EA164" s="124">
        <f t="shared" si="345"/>
        <v>0</v>
      </c>
      <c r="EB164" s="123"/>
      <c r="EC164" s="124">
        <f t="shared" si="346"/>
        <v>0</v>
      </c>
      <c r="ED164" s="123"/>
      <c r="EE164" s="124">
        <f t="shared" si="347"/>
        <v>0</v>
      </c>
      <c r="EF164" s="27">
        <f t="shared" si="348"/>
        <v>0</v>
      </c>
      <c r="EG164" s="124">
        <f t="shared" si="349"/>
        <v>0</v>
      </c>
    </row>
    <row r="165" spans="1:137" x14ac:dyDescent="0.5">
      <c r="A165" s="117">
        <v>127</v>
      </c>
      <c r="B165" s="127" t="s">
        <v>61</v>
      </c>
      <c r="C165" s="127"/>
      <c r="D165" s="117"/>
      <c r="E165" s="117">
        <v>0.35</v>
      </c>
      <c r="F165" s="139"/>
      <c r="G165" s="130">
        <v>4500</v>
      </c>
      <c r="H165" s="123"/>
      <c r="I165" s="124">
        <f t="shared" si="287"/>
        <v>0</v>
      </c>
      <c r="J165" s="123"/>
      <c r="K165" s="124">
        <f t="shared" si="288"/>
        <v>0</v>
      </c>
      <c r="L165" s="123"/>
      <c r="M165" s="124">
        <f t="shared" si="289"/>
        <v>0</v>
      </c>
      <c r="N165" s="123">
        <v>85</v>
      </c>
      <c r="O165" s="124">
        <f t="shared" si="290"/>
        <v>29.749999999999996</v>
      </c>
      <c r="P165" s="123">
        <v>33</v>
      </c>
      <c r="Q165" s="124">
        <f t="shared" si="291"/>
        <v>11.549999999999999</v>
      </c>
      <c r="R165" s="123"/>
      <c r="S165" s="124">
        <f t="shared" si="292"/>
        <v>0</v>
      </c>
      <c r="T165" s="123"/>
      <c r="U165" s="124">
        <f t="shared" si="293"/>
        <v>0</v>
      </c>
      <c r="V165" s="123"/>
      <c r="W165" s="124">
        <f t="shared" si="294"/>
        <v>0</v>
      </c>
      <c r="X165" s="123"/>
      <c r="Y165" s="124">
        <f t="shared" si="295"/>
        <v>0</v>
      </c>
      <c r="Z165" s="123"/>
      <c r="AA165" s="124">
        <f t="shared" si="296"/>
        <v>0</v>
      </c>
      <c r="AB165" s="123"/>
      <c r="AC165" s="124">
        <f t="shared" si="297"/>
        <v>0</v>
      </c>
      <c r="AD165" s="123"/>
      <c r="AE165" s="124">
        <f t="shared" si="298"/>
        <v>0</v>
      </c>
      <c r="AF165" s="125">
        <f t="shared" si="280"/>
        <v>118</v>
      </c>
      <c r="AG165" s="126">
        <f t="shared" si="299"/>
        <v>41.3</v>
      </c>
      <c r="AH165" s="123"/>
      <c r="AI165" s="124">
        <f t="shared" si="300"/>
        <v>0</v>
      </c>
      <c r="AJ165" s="123"/>
      <c r="AK165" s="124">
        <f t="shared" si="301"/>
        <v>0</v>
      </c>
      <c r="AL165" s="123"/>
      <c r="AM165" s="124">
        <f t="shared" si="302"/>
        <v>0</v>
      </c>
      <c r="AN165" s="123"/>
      <c r="AO165" s="124">
        <f t="shared" si="303"/>
        <v>0</v>
      </c>
      <c r="AP165" s="123"/>
      <c r="AQ165" s="124">
        <f t="shared" si="304"/>
        <v>0</v>
      </c>
      <c r="AR165" s="123"/>
      <c r="AS165" s="124">
        <f t="shared" si="305"/>
        <v>0</v>
      </c>
      <c r="AT165" s="123"/>
      <c r="AU165" s="124">
        <f t="shared" si="306"/>
        <v>0</v>
      </c>
      <c r="AV165" s="123"/>
      <c r="AW165" s="124">
        <f t="shared" si="307"/>
        <v>0</v>
      </c>
      <c r="AX165" s="123"/>
      <c r="AY165" s="124">
        <f t="shared" si="308"/>
        <v>0</v>
      </c>
      <c r="AZ165" s="123"/>
      <c r="BA165" s="124">
        <f t="shared" si="309"/>
        <v>0</v>
      </c>
      <c r="BB165" s="123"/>
      <c r="BC165" s="124">
        <f t="shared" si="310"/>
        <v>0</v>
      </c>
      <c r="BD165" s="123"/>
      <c r="BE165" s="124">
        <f t="shared" si="311"/>
        <v>0</v>
      </c>
      <c r="BF165" s="125">
        <f t="shared" si="281"/>
        <v>0</v>
      </c>
      <c r="BG165" s="126">
        <f t="shared" si="312"/>
        <v>0</v>
      </c>
      <c r="BH165" s="123"/>
      <c r="BI165" s="124">
        <f t="shared" si="313"/>
        <v>0</v>
      </c>
      <c r="BJ165" s="123"/>
      <c r="BK165" s="124">
        <f t="shared" si="314"/>
        <v>0</v>
      </c>
      <c r="BL165" s="123"/>
      <c r="BM165" s="124">
        <f t="shared" si="315"/>
        <v>0</v>
      </c>
      <c r="BN165" s="123"/>
      <c r="BO165" s="124">
        <f t="shared" si="316"/>
        <v>0</v>
      </c>
      <c r="BP165" s="123"/>
      <c r="BQ165" s="124">
        <f t="shared" si="317"/>
        <v>0</v>
      </c>
      <c r="BR165" s="123"/>
      <c r="BS165" s="124">
        <f t="shared" si="318"/>
        <v>0</v>
      </c>
      <c r="BT165" s="123"/>
      <c r="BU165" s="124">
        <f t="shared" si="319"/>
        <v>0</v>
      </c>
      <c r="BV165" s="123"/>
      <c r="BW165" s="124">
        <f t="shared" si="320"/>
        <v>0</v>
      </c>
      <c r="BX165" s="123"/>
      <c r="BY165" s="124">
        <f t="shared" si="321"/>
        <v>0</v>
      </c>
      <c r="BZ165" s="123"/>
      <c r="CA165" s="124">
        <f t="shared" si="322"/>
        <v>0</v>
      </c>
      <c r="CB165" s="123"/>
      <c r="CC165" s="124">
        <f t="shared" si="323"/>
        <v>0</v>
      </c>
      <c r="CD165" s="123"/>
      <c r="CE165" s="124">
        <f t="shared" si="324"/>
        <v>0</v>
      </c>
      <c r="CF165" s="125">
        <f t="shared" si="282"/>
        <v>0</v>
      </c>
      <c r="CG165" s="126">
        <f t="shared" si="325"/>
        <v>0</v>
      </c>
      <c r="CH165" s="123"/>
      <c r="CI165" s="124">
        <f t="shared" si="326"/>
        <v>0</v>
      </c>
      <c r="CJ165" s="123"/>
      <c r="CK165" s="124">
        <f t="shared" si="327"/>
        <v>0</v>
      </c>
      <c r="CL165" s="123"/>
      <c r="CM165" s="124">
        <f t="shared" si="328"/>
        <v>0</v>
      </c>
      <c r="CN165" s="123"/>
      <c r="CO165" s="124">
        <f t="shared" si="329"/>
        <v>0</v>
      </c>
      <c r="CP165" s="123"/>
      <c r="CQ165" s="124">
        <f t="shared" si="330"/>
        <v>0</v>
      </c>
      <c r="CR165" s="123"/>
      <c r="CS165" s="124">
        <f t="shared" si="331"/>
        <v>0</v>
      </c>
      <c r="CT165" s="123"/>
      <c r="CU165" s="124">
        <f t="shared" si="332"/>
        <v>0</v>
      </c>
      <c r="CV165" s="123"/>
      <c r="CW165" s="124">
        <f t="shared" si="333"/>
        <v>0</v>
      </c>
      <c r="CX165" s="123"/>
      <c r="CY165" s="124">
        <f t="shared" si="334"/>
        <v>0</v>
      </c>
      <c r="CZ165" s="123"/>
      <c r="DA165" s="124">
        <f t="shared" si="335"/>
        <v>0</v>
      </c>
      <c r="DB165" s="123"/>
      <c r="DC165" s="124">
        <f t="shared" si="210"/>
        <v>0</v>
      </c>
      <c r="DD165" s="123"/>
      <c r="DE165" s="124">
        <f t="shared" si="210"/>
        <v>0</v>
      </c>
      <c r="DF165" s="177">
        <f t="shared" si="283"/>
        <v>0</v>
      </c>
      <c r="DG165" s="126">
        <f t="shared" si="284"/>
        <v>0</v>
      </c>
      <c r="DH165" s="123"/>
      <c r="DI165" s="124">
        <f t="shared" si="336"/>
        <v>0</v>
      </c>
      <c r="DJ165" s="123"/>
      <c r="DK165" s="124">
        <f t="shared" si="337"/>
        <v>0</v>
      </c>
      <c r="DL165" s="123"/>
      <c r="DM165" s="124">
        <f t="shared" si="338"/>
        <v>0</v>
      </c>
      <c r="DN165" s="123"/>
      <c r="DO165" s="124">
        <f t="shared" si="339"/>
        <v>0</v>
      </c>
      <c r="DP165" s="123"/>
      <c r="DQ165" s="124">
        <f t="shared" si="340"/>
        <v>0</v>
      </c>
      <c r="DR165" s="123"/>
      <c r="DS165" s="124">
        <f t="shared" si="341"/>
        <v>0</v>
      </c>
      <c r="DT165" s="123"/>
      <c r="DU165" s="124">
        <f t="shared" si="342"/>
        <v>0</v>
      </c>
      <c r="DV165" s="123"/>
      <c r="DW165" s="124">
        <f t="shared" si="343"/>
        <v>0</v>
      </c>
      <c r="DX165" s="123"/>
      <c r="DY165" s="124">
        <f t="shared" si="344"/>
        <v>0</v>
      </c>
      <c r="DZ165" s="123"/>
      <c r="EA165" s="124">
        <f t="shared" si="345"/>
        <v>0</v>
      </c>
      <c r="EB165" s="123"/>
      <c r="EC165" s="124">
        <f t="shared" si="346"/>
        <v>0</v>
      </c>
      <c r="ED165" s="123"/>
      <c r="EE165" s="124">
        <f t="shared" si="347"/>
        <v>0</v>
      </c>
      <c r="EF165" s="27">
        <f t="shared" si="348"/>
        <v>0</v>
      </c>
      <c r="EG165" s="124">
        <f t="shared" si="349"/>
        <v>0</v>
      </c>
    </row>
    <row r="166" spans="1:137" x14ac:dyDescent="0.5">
      <c r="A166" s="117">
        <v>128</v>
      </c>
      <c r="B166" s="127" t="s">
        <v>62</v>
      </c>
      <c r="C166" s="127"/>
      <c r="D166" s="117"/>
      <c r="E166" s="117">
        <v>0.17499999999999999</v>
      </c>
      <c r="F166" s="139"/>
      <c r="G166" s="130">
        <v>2500</v>
      </c>
      <c r="H166" s="123"/>
      <c r="I166" s="124">
        <f t="shared" si="287"/>
        <v>0</v>
      </c>
      <c r="J166" s="123"/>
      <c r="K166" s="124">
        <f t="shared" si="288"/>
        <v>0</v>
      </c>
      <c r="L166" s="123"/>
      <c r="M166" s="124">
        <f t="shared" si="289"/>
        <v>0</v>
      </c>
      <c r="N166" s="123">
        <v>71</v>
      </c>
      <c r="O166" s="124">
        <f t="shared" si="290"/>
        <v>12.424999999999999</v>
      </c>
      <c r="P166" s="123">
        <v>48</v>
      </c>
      <c r="Q166" s="124">
        <f t="shared" si="291"/>
        <v>8.3999999999999986</v>
      </c>
      <c r="R166" s="123"/>
      <c r="S166" s="124">
        <f t="shared" si="292"/>
        <v>0</v>
      </c>
      <c r="T166" s="123"/>
      <c r="U166" s="124">
        <f t="shared" si="293"/>
        <v>0</v>
      </c>
      <c r="V166" s="123"/>
      <c r="W166" s="124">
        <f t="shared" si="294"/>
        <v>0</v>
      </c>
      <c r="X166" s="123"/>
      <c r="Y166" s="124">
        <f t="shared" si="295"/>
        <v>0</v>
      </c>
      <c r="Z166" s="123"/>
      <c r="AA166" s="124">
        <f t="shared" si="296"/>
        <v>0</v>
      </c>
      <c r="AB166" s="123"/>
      <c r="AC166" s="124">
        <f t="shared" si="297"/>
        <v>0</v>
      </c>
      <c r="AD166" s="123"/>
      <c r="AE166" s="124">
        <f t="shared" si="298"/>
        <v>0</v>
      </c>
      <c r="AF166" s="125">
        <f t="shared" si="280"/>
        <v>119</v>
      </c>
      <c r="AG166" s="126">
        <f t="shared" si="299"/>
        <v>20.824999999999999</v>
      </c>
      <c r="AH166" s="123"/>
      <c r="AI166" s="124">
        <f t="shared" si="300"/>
        <v>0</v>
      </c>
      <c r="AJ166" s="123"/>
      <c r="AK166" s="124">
        <f t="shared" si="301"/>
        <v>0</v>
      </c>
      <c r="AL166" s="123"/>
      <c r="AM166" s="124">
        <f t="shared" si="302"/>
        <v>0</v>
      </c>
      <c r="AN166" s="123"/>
      <c r="AO166" s="124">
        <f t="shared" si="303"/>
        <v>0</v>
      </c>
      <c r="AP166" s="123"/>
      <c r="AQ166" s="124">
        <f t="shared" si="304"/>
        <v>0</v>
      </c>
      <c r="AR166" s="123"/>
      <c r="AS166" s="124">
        <f t="shared" si="305"/>
        <v>0</v>
      </c>
      <c r="AT166" s="123"/>
      <c r="AU166" s="124">
        <f t="shared" si="306"/>
        <v>0</v>
      </c>
      <c r="AV166" s="123"/>
      <c r="AW166" s="124">
        <f t="shared" si="307"/>
        <v>0</v>
      </c>
      <c r="AX166" s="123"/>
      <c r="AY166" s="124">
        <f t="shared" si="308"/>
        <v>0</v>
      </c>
      <c r="AZ166" s="123"/>
      <c r="BA166" s="124">
        <f t="shared" si="309"/>
        <v>0</v>
      </c>
      <c r="BB166" s="123"/>
      <c r="BC166" s="124">
        <f t="shared" si="310"/>
        <v>0</v>
      </c>
      <c r="BD166" s="123"/>
      <c r="BE166" s="124">
        <f t="shared" si="311"/>
        <v>0</v>
      </c>
      <c r="BF166" s="125">
        <f t="shared" si="281"/>
        <v>0</v>
      </c>
      <c r="BG166" s="126">
        <f t="shared" si="312"/>
        <v>0</v>
      </c>
      <c r="BH166" s="123"/>
      <c r="BI166" s="124">
        <f t="shared" si="313"/>
        <v>0</v>
      </c>
      <c r="BJ166" s="123"/>
      <c r="BK166" s="124">
        <f t="shared" si="314"/>
        <v>0</v>
      </c>
      <c r="BL166" s="123"/>
      <c r="BM166" s="124">
        <f t="shared" si="315"/>
        <v>0</v>
      </c>
      <c r="BN166" s="123"/>
      <c r="BO166" s="124">
        <f t="shared" si="316"/>
        <v>0</v>
      </c>
      <c r="BP166" s="123"/>
      <c r="BQ166" s="124">
        <f t="shared" si="317"/>
        <v>0</v>
      </c>
      <c r="BR166" s="123"/>
      <c r="BS166" s="124">
        <f t="shared" si="318"/>
        <v>0</v>
      </c>
      <c r="BT166" s="123"/>
      <c r="BU166" s="124">
        <f t="shared" si="319"/>
        <v>0</v>
      </c>
      <c r="BV166" s="123"/>
      <c r="BW166" s="124">
        <f t="shared" si="320"/>
        <v>0</v>
      </c>
      <c r="BX166" s="123"/>
      <c r="BY166" s="124">
        <f t="shared" si="321"/>
        <v>0</v>
      </c>
      <c r="BZ166" s="123"/>
      <c r="CA166" s="124">
        <f t="shared" si="322"/>
        <v>0</v>
      </c>
      <c r="CB166" s="123"/>
      <c r="CC166" s="124">
        <f t="shared" si="323"/>
        <v>0</v>
      </c>
      <c r="CD166" s="123"/>
      <c r="CE166" s="124">
        <f t="shared" si="324"/>
        <v>0</v>
      </c>
      <c r="CF166" s="125">
        <f t="shared" si="282"/>
        <v>0</v>
      </c>
      <c r="CG166" s="126">
        <f t="shared" si="325"/>
        <v>0</v>
      </c>
      <c r="CH166" s="123"/>
      <c r="CI166" s="124">
        <f t="shared" si="326"/>
        <v>0</v>
      </c>
      <c r="CJ166" s="123"/>
      <c r="CK166" s="124">
        <f t="shared" si="327"/>
        <v>0</v>
      </c>
      <c r="CL166" s="123"/>
      <c r="CM166" s="124">
        <f t="shared" si="328"/>
        <v>0</v>
      </c>
      <c r="CN166" s="123"/>
      <c r="CO166" s="124">
        <f t="shared" si="329"/>
        <v>0</v>
      </c>
      <c r="CP166" s="123"/>
      <c r="CQ166" s="124">
        <f t="shared" si="330"/>
        <v>0</v>
      </c>
      <c r="CR166" s="123"/>
      <c r="CS166" s="124">
        <f t="shared" si="331"/>
        <v>0</v>
      </c>
      <c r="CT166" s="123"/>
      <c r="CU166" s="124">
        <f t="shared" si="332"/>
        <v>0</v>
      </c>
      <c r="CV166" s="123"/>
      <c r="CW166" s="124">
        <f t="shared" si="333"/>
        <v>0</v>
      </c>
      <c r="CX166" s="123"/>
      <c r="CY166" s="124">
        <f t="shared" si="334"/>
        <v>0</v>
      </c>
      <c r="CZ166" s="123"/>
      <c r="DA166" s="124">
        <f t="shared" si="335"/>
        <v>0</v>
      </c>
      <c r="DB166" s="123"/>
      <c r="DC166" s="124">
        <f t="shared" si="210"/>
        <v>0</v>
      </c>
      <c r="DD166" s="123"/>
      <c r="DE166" s="124">
        <f t="shared" si="210"/>
        <v>0</v>
      </c>
      <c r="DF166" s="177">
        <f t="shared" si="283"/>
        <v>0</v>
      </c>
      <c r="DG166" s="126">
        <f t="shared" si="284"/>
        <v>0</v>
      </c>
      <c r="DH166" s="123"/>
      <c r="DI166" s="124">
        <f t="shared" si="336"/>
        <v>0</v>
      </c>
      <c r="DJ166" s="123"/>
      <c r="DK166" s="124">
        <f t="shared" si="337"/>
        <v>0</v>
      </c>
      <c r="DL166" s="123"/>
      <c r="DM166" s="124">
        <f t="shared" si="338"/>
        <v>0</v>
      </c>
      <c r="DN166" s="123"/>
      <c r="DO166" s="124">
        <f t="shared" si="339"/>
        <v>0</v>
      </c>
      <c r="DP166" s="123"/>
      <c r="DQ166" s="124">
        <f t="shared" si="340"/>
        <v>0</v>
      </c>
      <c r="DR166" s="123"/>
      <c r="DS166" s="124">
        <f t="shared" si="341"/>
        <v>0</v>
      </c>
      <c r="DT166" s="123"/>
      <c r="DU166" s="124">
        <f t="shared" si="342"/>
        <v>0</v>
      </c>
      <c r="DV166" s="123"/>
      <c r="DW166" s="124">
        <f t="shared" si="343"/>
        <v>0</v>
      </c>
      <c r="DX166" s="123"/>
      <c r="DY166" s="124">
        <f t="shared" si="344"/>
        <v>0</v>
      </c>
      <c r="DZ166" s="123"/>
      <c r="EA166" s="124">
        <f t="shared" si="345"/>
        <v>0</v>
      </c>
      <c r="EB166" s="123"/>
      <c r="EC166" s="124">
        <f t="shared" si="346"/>
        <v>0</v>
      </c>
      <c r="ED166" s="123"/>
      <c r="EE166" s="124">
        <f t="shared" si="347"/>
        <v>0</v>
      </c>
      <c r="EF166" s="27">
        <f t="shared" si="348"/>
        <v>0</v>
      </c>
      <c r="EG166" s="124">
        <f t="shared" si="349"/>
        <v>0</v>
      </c>
    </row>
    <row r="167" spans="1:137" x14ac:dyDescent="0.5">
      <c r="A167" s="117">
        <v>129</v>
      </c>
      <c r="B167" s="127" t="s">
        <v>63</v>
      </c>
      <c r="C167" s="127"/>
      <c r="D167" s="117"/>
      <c r="E167" s="117">
        <v>0.17499999999999999</v>
      </c>
      <c r="F167" s="139"/>
      <c r="G167" s="130">
        <v>2500</v>
      </c>
      <c r="H167" s="123"/>
      <c r="I167" s="124">
        <f t="shared" si="287"/>
        <v>0</v>
      </c>
      <c r="J167" s="123"/>
      <c r="K167" s="124">
        <f t="shared" si="288"/>
        <v>0</v>
      </c>
      <c r="L167" s="123"/>
      <c r="M167" s="124">
        <f t="shared" si="289"/>
        <v>0</v>
      </c>
      <c r="N167" s="123">
        <v>12</v>
      </c>
      <c r="O167" s="124">
        <f t="shared" si="290"/>
        <v>2.0999999999999996</v>
      </c>
      <c r="P167" s="123">
        <v>25</v>
      </c>
      <c r="Q167" s="124">
        <f t="shared" si="291"/>
        <v>4.375</v>
      </c>
      <c r="R167" s="123"/>
      <c r="S167" s="124">
        <f t="shared" si="292"/>
        <v>0</v>
      </c>
      <c r="T167" s="123">
        <v>4</v>
      </c>
      <c r="U167" s="124">
        <f t="shared" si="293"/>
        <v>0.7</v>
      </c>
      <c r="V167" s="123"/>
      <c r="W167" s="124">
        <f t="shared" si="294"/>
        <v>0</v>
      </c>
      <c r="X167" s="123"/>
      <c r="Y167" s="124">
        <f t="shared" si="295"/>
        <v>0</v>
      </c>
      <c r="Z167" s="123">
        <v>15</v>
      </c>
      <c r="AA167" s="124">
        <f t="shared" si="296"/>
        <v>2.625</v>
      </c>
      <c r="AB167" s="123"/>
      <c r="AC167" s="124">
        <f t="shared" si="297"/>
        <v>0</v>
      </c>
      <c r="AD167" s="123"/>
      <c r="AE167" s="124">
        <f t="shared" si="298"/>
        <v>0</v>
      </c>
      <c r="AF167" s="125">
        <f t="shared" si="280"/>
        <v>56</v>
      </c>
      <c r="AG167" s="126">
        <f t="shared" si="299"/>
        <v>9.7999999999999989</v>
      </c>
      <c r="AH167" s="123"/>
      <c r="AI167" s="124">
        <f t="shared" si="300"/>
        <v>0</v>
      </c>
      <c r="AJ167" s="123"/>
      <c r="AK167" s="124">
        <f t="shared" si="301"/>
        <v>0</v>
      </c>
      <c r="AL167" s="123"/>
      <c r="AM167" s="124">
        <f t="shared" si="302"/>
        <v>0</v>
      </c>
      <c r="AN167" s="123"/>
      <c r="AO167" s="124">
        <f t="shared" si="303"/>
        <v>0</v>
      </c>
      <c r="AP167" s="123"/>
      <c r="AQ167" s="124">
        <f t="shared" si="304"/>
        <v>0</v>
      </c>
      <c r="AR167" s="123"/>
      <c r="AS167" s="124">
        <f t="shared" si="305"/>
        <v>0</v>
      </c>
      <c r="AT167" s="123"/>
      <c r="AU167" s="124">
        <f t="shared" si="306"/>
        <v>0</v>
      </c>
      <c r="AV167" s="123"/>
      <c r="AW167" s="124">
        <f t="shared" si="307"/>
        <v>0</v>
      </c>
      <c r="AX167" s="123"/>
      <c r="AY167" s="124">
        <f t="shared" si="308"/>
        <v>0</v>
      </c>
      <c r="AZ167" s="123"/>
      <c r="BA167" s="124">
        <f t="shared" si="309"/>
        <v>0</v>
      </c>
      <c r="BB167" s="123"/>
      <c r="BC167" s="124">
        <f t="shared" si="310"/>
        <v>0</v>
      </c>
      <c r="BD167" s="123"/>
      <c r="BE167" s="124">
        <f t="shared" si="311"/>
        <v>0</v>
      </c>
      <c r="BF167" s="125">
        <f t="shared" si="281"/>
        <v>0</v>
      </c>
      <c r="BG167" s="126">
        <f t="shared" si="312"/>
        <v>0</v>
      </c>
      <c r="BH167" s="123"/>
      <c r="BI167" s="124">
        <f t="shared" si="313"/>
        <v>0</v>
      </c>
      <c r="BJ167" s="123"/>
      <c r="BK167" s="124">
        <f t="shared" si="314"/>
        <v>0</v>
      </c>
      <c r="BL167" s="123"/>
      <c r="BM167" s="124">
        <f t="shared" si="315"/>
        <v>0</v>
      </c>
      <c r="BN167" s="123"/>
      <c r="BO167" s="124">
        <f t="shared" si="316"/>
        <v>0</v>
      </c>
      <c r="BP167" s="123"/>
      <c r="BQ167" s="124">
        <f t="shared" si="317"/>
        <v>0</v>
      </c>
      <c r="BR167" s="123"/>
      <c r="BS167" s="124">
        <f t="shared" si="318"/>
        <v>0</v>
      </c>
      <c r="BT167" s="123"/>
      <c r="BU167" s="124">
        <f t="shared" si="319"/>
        <v>0</v>
      </c>
      <c r="BV167" s="123"/>
      <c r="BW167" s="124">
        <f t="shared" si="320"/>
        <v>0</v>
      </c>
      <c r="BX167" s="123"/>
      <c r="BY167" s="124">
        <f t="shared" si="321"/>
        <v>0</v>
      </c>
      <c r="BZ167" s="123"/>
      <c r="CA167" s="124">
        <f t="shared" si="322"/>
        <v>0</v>
      </c>
      <c r="CB167" s="123"/>
      <c r="CC167" s="124">
        <f t="shared" si="323"/>
        <v>0</v>
      </c>
      <c r="CD167" s="123"/>
      <c r="CE167" s="124">
        <f t="shared" si="324"/>
        <v>0</v>
      </c>
      <c r="CF167" s="125">
        <f t="shared" si="282"/>
        <v>0</v>
      </c>
      <c r="CG167" s="126">
        <f t="shared" si="325"/>
        <v>0</v>
      </c>
      <c r="CH167" s="123"/>
      <c r="CI167" s="124">
        <f t="shared" si="326"/>
        <v>0</v>
      </c>
      <c r="CJ167" s="123"/>
      <c r="CK167" s="124">
        <f t="shared" si="327"/>
        <v>0</v>
      </c>
      <c r="CL167" s="123"/>
      <c r="CM167" s="124">
        <f t="shared" si="328"/>
        <v>0</v>
      </c>
      <c r="CN167" s="123"/>
      <c r="CO167" s="124">
        <f t="shared" si="329"/>
        <v>0</v>
      </c>
      <c r="CP167" s="123"/>
      <c r="CQ167" s="124">
        <f t="shared" si="330"/>
        <v>0</v>
      </c>
      <c r="CR167" s="123"/>
      <c r="CS167" s="124">
        <f t="shared" si="331"/>
        <v>0</v>
      </c>
      <c r="CT167" s="123"/>
      <c r="CU167" s="124">
        <f t="shared" si="332"/>
        <v>0</v>
      </c>
      <c r="CV167" s="123"/>
      <c r="CW167" s="124">
        <f t="shared" si="333"/>
        <v>0</v>
      </c>
      <c r="CX167" s="123"/>
      <c r="CY167" s="124">
        <f t="shared" si="334"/>
        <v>0</v>
      </c>
      <c r="CZ167" s="123"/>
      <c r="DA167" s="124">
        <f t="shared" si="335"/>
        <v>0</v>
      </c>
      <c r="DB167" s="123"/>
      <c r="DC167" s="124">
        <f t="shared" si="210"/>
        <v>0</v>
      </c>
      <c r="DD167" s="123"/>
      <c r="DE167" s="124">
        <f t="shared" si="210"/>
        <v>0</v>
      </c>
      <c r="DF167" s="177">
        <f t="shared" si="283"/>
        <v>0</v>
      </c>
      <c r="DG167" s="126">
        <f t="shared" si="284"/>
        <v>0</v>
      </c>
      <c r="DH167" s="123"/>
      <c r="DI167" s="124">
        <f t="shared" si="336"/>
        <v>0</v>
      </c>
      <c r="DJ167" s="123"/>
      <c r="DK167" s="124">
        <f t="shared" si="337"/>
        <v>0</v>
      </c>
      <c r="DL167" s="123"/>
      <c r="DM167" s="124">
        <f t="shared" si="338"/>
        <v>0</v>
      </c>
      <c r="DN167" s="123"/>
      <c r="DO167" s="124">
        <f t="shared" si="339"/>
        <v>0</v>
      </c>
      <c r="DP167" s="123"/>
      <c r="DQ167" s="124">
        <f t="shared" si="340"/>
        <v>0</v>
      </c>
      <c r="DR167" s="123"/>
      <c r="DS167" s="124">
        <f t="shared" si="341"/>
        <v>0</v>
      </c>
      <c r="DT167" s="123"/>
      <c r="DU167" s="124">
        <f t="shared" si="342"/>
        <v>0</v>
      </c>
      <c r="DV167" s="123"/>
      <c r="DW167" s="124">
        <f t="shared" si="343"/>
        <v>0</v>
      </c>
      <c r="DX167" s="123"/>
      <c r="DY167" s="124">
        <f t="shared" si="344"/>
        <v>0</v>
      </c>
      <c r="DZ167" s="123"/>
      <c r="EA167" s="124">
        <f t="shared" si="345"/>
        <v>0</v>
      </c>
      <c r="EB167" s="123"/>
      <c r="EC167" s="124">
        <f t="shared" si="346"/>
        <v>0</v>
      </c>
      <c r="ED167" s="123"/>
      <c r="EE167" s="124">
        <f t="shared" si="347"/>
        <v>0</v>
      </c>
      <c r="EF167" s="27">
        <f t="shared" si="348"/>
        <v>0</v>
      </c>
      <c r="EG167" s="124">
        <f t="shared" si="349"/>
        <v>0</v>
      </c>
    </row>
    <row r="168" spans="1:137" x14ac:dyDescent="0.5">
      <c r="A168" s="117"/>
      <c r="B168" s="127"/>
      <c r="C168" s="127"/>
      <c r="D168" s="117"/>
      <c r="E168" s="117"/>
      <c r="F168" s="139"/>
      <c r="G168" s="130"/>
      <c r="H168" s="123"/>
      <c r="I168" s="124">
        <f t="shared" si="287"/>
        <v>0</v>
      </c>
      <c r="J168" s="123"/>
      <c r="K168" s="124">
        <f t="shared" si="288"/>
        <v>0</v>
      </c>
      <c r="L168" s="123"/>
      <c r="M168" s="124">
        <f t="shared" si="289"/>
        <v>0</v>
      </c>
      <c r="N168" s="123"/>
      <c r="O168" s="124">
        <f t="shared" si="290"/>
        <v>0</v>
      </c>
      <c r="P168" s="123"/>
      <c r="Q168" s="124">
        <f t="shared" si="291"/>
        <v>0</v>
      </c>
      <c r="R168" s="123"/>
      <c r="S168" s="124">
        <f t="shared" si="292"/>
        <v>0</v>
      </c>
      <c r="T168" s="123"/>
      <c r="U168" s="124">
        <f t="shared" si="293"/>
        <v>0</v>
      </c>
      <c r="V168" s="123"/>
      <c r="W168" s="124">
        <f t="shared" si="294"/>
        <v>0</v>
      </c>
      <c r="X168" s="123"/>
      <c r="Y168" s="124">
        <f t="shared" si="295"/>
        <v>0</v>
      </c>
      <c r="Z168" s="123"/>
      <c r="AA168" s="124">
        <f t="shared" si="296"/>
        <v>0</v>
      </c>
      <c r="AB168" s="123"/>
      <c r="AC168" s="124">
        <f t="shared" si="297"/>
        <v>0</v>
      </c>
      <c r="AD168" s="123"/>
      <c r="AE168" s="124">
        <f t="shared" si="298"/>
        <v>0</v>
      </c>
      <c r="AF168" s="125">
        <f t="shared" si="280"/>
        <v>0</v>
      </c>
      <c r="AG168" s="126">
        <f t="shared" si="299"/>
        <v>0</v>
      </c>
      <c r="AH168" s="123"/>
      <c r="AI168" s="124">
        <f t="shared" si="300"/>
        <v>0</v>
      </c>
      <c r="AJ168" s="123"/>
      <c r="AK168" s="124">
        <f t="shared" si="301"/>
        <v>0</v>
      </c>
      <c r="AL168" s="123"/>
      <c r="AM168" s="124">
        <f t="shared" si="302"/>
        <v>0</v>
      </c>
      <c r="AN168" s="123"/>
      <c r="AO168" s="124">
        <f t="shared" si="303"/>
        <v>0</v>
      </c>
      <c r="AP168" s="123"/>
      <c r="AQ168" s="124">
        <f t="shared" si="304"/>
        <v>0</v>
      </c>
      <c r="AR168" s="123"/>
      <c r="AS168" s="124">
        <f t="shared" si="305"/>
        <v>0</v>
      </c>
      <c r="AT168" s="123"/>
      <c r="AU168" s="124">
        <f t="shared" si="306"/>
        <v>0</v>
      </c>
      <c r="AV168" s="123"/>
      <c r="AW168" s="124">
        <f t="shared" si="307"/>
        <v>0</v>
      </c>
      <c r="AX168" s="123"/>
      <c r="AY168" s="124">
        <f t="shared" si="308"/>
        <v>0</v>
      </c>
      <c r="AZ168" s="123"/>
      <c r="BA168" s="124">
        <f t="shared" si="309"/>
        <v>0</v>
      </c>
      <c r="BB168" s="123"/>
      <c r="BC168" s="124">
        <f t="shared" si="310"/>
        <v>0</v>
      </c>
      <c r="BD168" s="123"/>
      <c r="BE168" s="124">
        <f t="shared" si="311"/>
        <v>0</v>
      </c>
      <c r="BF168" s="125">
        <f t="shared" si="281"/>
        <v>0</v>
      </c>
      <c r="BG168" s="126">
        <f t="shared" si="312"/>
        <v>0</v>
      </c>
      <c r="BH168" s="123"/>
      <c r="BI168" s="124">
        <f t="shared" si="313"/>
        <v>0</v>
      </c>
      <c r="BJ168" s="123"/>
      <c r="BK168" s="124">
        <f t="shared" si="314"/>
        <v>0</v>
      </c>
      <c r="BL168" s="123"/>
      <c r="BM168" s="124">
        <f t="shared" si="315"/>
        <v>0</v>
      </c>
      <c r="BN168" s="123"/>
      <c r="BO168" s="124">
        <f t="shared" si="316"/>
        <v>0</v>
      </c>
      <c r="BP168" s="123"/>
      <c r="BQ168" s="124">
        <f t="shared" si="317"/>
        <v>0</v>
      </c>
      <c r="BR168" s="123"/>
      <c r="BS168" s="124">
        <f t="shared" si="318"/>
        <v>0</v>
      </c>
      <c r="BT168" s="123"/>
      <c r="BU168" s="124">
        <f t="shared" si="319"/>
        <v>0</v>
      </c>
      <c r="BV168" s="123"/>
      <c r="BW168" s="124">
        <f t="shared" si="320"/>
        <v>0</v>
      </c>
      <c r="BX168" s="123"/>
      <c r="BY168" s="124">
        <f t="shared" si="321"/>
        <v>0</v>
      </c>
      <c r="BZ168" s="123"/>
      <c r="CA168" s="124">
        <f t="shared" si="322"/>
        <v>0</v>
      </c>
      <c r="CB168" s="123"/>
      <c r="CC168" s="124">
        <f t="shared" si="323"/>
        <v>0</v>
      </c>
      <c r="CD168" s="123"/>
      <c r="CE168" s="124">
        <f t="shared" si="324"/>
        <v>0</v>
      </c>
      <c r="CF168" s="125"/>
      <c r="CG168" s="126">
        <f t="shared" si="325"/>
        <v>0</v>
      </c>
      <c r="CH168" s="123"/>
      <c r="CI168" s="124">
        <f t="shared" si="326"/>
        <v>0</v>
      </c>
      <c r="CJ168" s="123"/>
      <c r="CK168" s="124">
        <f t="shared" si="327"/>
        <v>0</v>
      </c>
      <c r="CL168" s="123"/>
      <c r="CM168" s="124">
        <f t="shared" si="328"/>
        <v>0</v>
      </c>
      <c r="CN168" s="123"/>
      <c r="CO168" s="124">
        <f t="shared" si="329"/>
        <v>0</v>
      </c>
      <c r="CP168" s="123"/>
      <c r="CQ168" s="124">
        <f t="shared" si="330"/>
        <v>0</v>
      </c>
      <c r="CR168" s="123"/>
      <c r="CS168" s="124">
        <f t="shared" si="331"/>
        <v>0</v>
      </c>
      <c r="CT168" s="123"/>
      <c r="CU168" s="124">
        <f t="shared" si="332"/>
        <v>0</v>
      </c>
      <c r="CV168" s="123"/>
      <c r="CW168" s="124">
        <f t="shared" si="333"/>
        <v>0</v>
      </c>
      <c r="CX168" s="123"/>
      <c r="CY168" s="124">
        <f t="shared" si="334"/>
        <v>0</v>
      </c>
      <c r="CZ168" s="123"/>
      <c r="DA168" s="124">
        <f t="shared" si="335"/>
        <v>0</v>
      </c>
      <c r="DB168" s="123"/>
      <c r="DC168" s="124">
        <f t="shared" si="210"/>
        <v>0</v>
      </c>
      <c r="DD168" s="123"/>
      <c r="DE168" s="124">
        <f t="shared" si="210"/>
        <v>0</v>
      </c>
      <c r="DF168" s="177">
        <f t="shared" si="283"/>
        <v>0</v>
      </c>
      <c r="DG168" s="126">
        <f t="shared" si="284"/>
        <v>0</v>
      </c>
      <c r="DH168" s="123"/>
      <c r="DI168" s="124">
        <f t="shared" si="336"/>
        <v>0</v>
      </c>
      <c r="DJ168" s="123"/>
      <c r="DK168" s="124">
        <f t="shared" si="337"/>
        <v>0</v>
      </c>
      <c r="DL168" s="123"/>
      <c r="DM168" s="124">
        <f t="shared" si="338"/>
        <v>0</v>
      </c>
      <c r="DN168" s="123"/>
      <c r="DO168" s="124">
        <f t="shared" si="339"/>
        <v>0</v>
      </c>
      <c r="DP168" s="123"/>
      <c r="DQ168" s="124">
        <f t="shared" si="340"/>
        <v>0</v>
      </c>
      <c r="DR168" s="123"/>
      <c r="DS168" s="124">
        <f t="shared" si="341"/>
        <v>0</v>
      </c>
      <c r="DT168" s="123"/>
      <c r="DU168" s="124">
        <f t="shared" si="342"/>
        <v>0</v>
      </c>
      <c r="DV168" s="123"/>
      <c r="DW168" s="124">
        <f t="shared" si="343"/>
        <v>0</v>
      </c>
      <c r="DX168" s="123"/>
      <c r="DY168" s="124">
        <f t="shared" si="344"/>
        <v>0</v>
      </c>
      <c r="DZ168" s="123"/>
      <c r="EA168" s="124">
        <f t="shared" si="345"/>
        <v>0</v>
      </c>
      <c r="EB168" s="123"/>
      <c r="EC168" s="124">
        <f t="shared" si="346"/>
        <v>0</v>
      </c>
      <c r="ED168" s="123"/>
      <c r="EE168" s="124">
        <f t="shared" si="347"/>
        <v>0</v>
      </c>
      <c r="EF168" s="27">
        <f t="shared" si="348"/>
        <v>0</v>
      </c>
      <c r="EG168" s="124">
        <f t="shared" si="349"/>
        <v>0</v>
      </c>
    </row>
    <row r="169" spans="1:137" x14ac:dyDescent="0.5">
      <c r="A169" s="140"/>
      <c r="B169" s="132" t="s">
        <v>247</v>
      </c>
      <c r="C169" s="132"/>
      <c r="D169" s="132"/>
      <c r="E169" s="132"/>
      <c r="F169" s="134"/>
      <c r="G169" s="134"/>
      <c r="H169" s="135">
        <f t="shared" ref="H169:AM169" si="350">SUM(H149:H168)</f>
        <v>8572</v>
      </c>
      <c r="I169" s="136">
        <f t="shared" si="350"/>
        <v>4195.9749999999995</v>
      </c>
      <c r="J169" s="135">
        <f t="shared" si="350"/>
        <v>4571</v>
      </c>
      <c r="K169" s="136">
        <f t="shared" si="350"/>
        <v>1976.8</v>
      </c>
      <c r="L169" s="135">
        <f t="shared" si="350"/>
        <v>4101</v>
      </c>
      <c r="M169" s="136">
        <f t="shared" si="350"/>
        <v>1793.7499999999998</v>
      </c>
      <c r="N169" s="135">
        <f t="shared" si="350"/>
        <v>4463</v>
      </c>
      <c r="O169" s="136">
        <f t="shared" si="350"/>
        <v>1795.1499999999996</v>
      </c>
      <c r="P169" s="135">
        <f t="shared" si="350"/>
        <v>3976</v>
      </c>
      <c r="Q169" s="136">
        <f t="shared" si="350"/>
        <v>1957.55</v>
      </c>
      <c r="R169" s="135">
        <f t="shared" si="350"/>
        <v>4262</v>
      </c>
      <c r="S169" s="136">
        <f t="shared" si="350"/>
        <v>1826.8249999999998</v>
      </c>
      <c r="T169" s="135">
        <f t="shared" si="350"/>
        <v>3393</v>
      </c>
      <c r="U169" s="136">
        <f t="shared" si="350"/>
        <v>1495.55</v>
      </c>
      <c r="V169" s="135">
        <f t="shared" si="350"/>
        <v>3192</v>
      </c>
      <c r="W169" s="136">
        <f t="shared" si="350"/>
        <v>1290.6249999999998</v>
      </c>
      <c r="X169" s="135">
        <f t="shared" si="350"/>
        <v>2321</v>
      </c>
      <c r="Y169" s="136">
        <f t="shared" si="350"/>
        <v>1238.4749999999997</v>
      </c>
      <c r="Z169" s="135">
        <f t="shared" si="350"/>
        <v>2315</v>
      </c>
      <c r="AA169" s="136">
        <f t="shared" si="350"/>
        <v>1156.2250000000001</v>
      </c>
      <c r="AB169" s="135">
        <f t="shared" si="350"/>
        <v>1416</v>
      </c>
      <c r="AC169" s="136">
        <f t="shared" si="350"/>
        <v>666.22499999999991</v>
      </c>
      <c r="AD169" s="135">
        <f t="shared" si="350"/>
        <v>4750</v>
      </c>
      <c r="AE169" s="136">
        <f t="shared" si="350"/>
        <v>1771.1749999999997</v>
      </c>
      <c r="AF169" s="137">
        <f t="shared" si="350"/>
        <v>47332</v>
      </c>
      <c r="AG169" s="138">
        <f t="shared" si="350"/>
        <v>21164.325000000001</v>
      </c>
      <c r="AH169" s="135">
        <f t="shared" si="350"/>
        <v>3146</v>
      </c>
      <c r="AI169" s="136">
        <f t="shared" si="350"/>
        <v>1879.4999999999998</v>
      </c>
      <c r="AJ169" s="135">
        <f t="shared" si="350"/>
        <v>1454</v>
      </c>
      <c r="AK169" s="136">
        <f t="shared" si="350"/>
        <v>633.67499999999995</v>
      </c>
      <c r="AL169" s="135">
        <f t="shared" si="350"/>
        <v>3254</v>
      </c>
      <c r="AM169" s="136">
        <f t="shared" si="350"/>
        <v>1556.625</v>
      </c>
      <c r="AN169" s="135">
        <f t="shared" ref="AN169:CY169" si="351">SUM(AN149:AN168)</f>
        <v>1323</v>
      </c>
      <c r="AO169" s="136">
        <f t="shared" si="351"/>
        <v>569.09999999999991</v>
      </c>
      <c r="AP169" s="135">
        <f t="shared" si="351"/>
        <v>1430</v>
      </c>
      <c r="AQ169" s="136">
        <f t="shared" si="351"/>
        <v>787.5</v>
      </c>
      <c r="AR169" s="135">
        <f t="shared" si="351"/>
        <v>925</v>
      </c>
      <c r="AS169" s="136">
        <f t="shared" si="351"/>
        <v>461.82499999999999</v>
      </c>
      <c r="AT169" s="135">
        <f t="shared" si="351"/>
        <v>432</v>
      </c>
      <c r="AU169" s="136">
        <f t="shared" si="351"/>
        <v>268.8</v>
      </c>
      <c r="AV169" s="135">
        <f t="shared" si="351"/>
        <v>1667</v>
      </c>
      <c r="AW169" s="136">
        <f t="shared" si="351"/>
        <v>567.17499999999995</v>
      </c>
      <c r="AX169" s="135">
        <f t="shared" si="351"/>
        <v>1747</v>
      </c>
      <c r="AY169" s="136">
        <f t="shared" si="351"/>
        <v>819.17499999999995</v>
      </c>
      <c r="AZ169" s="135">
        <f t="shared" si="351"/>
        <v>1097</v>
      </c>
      <c r="BA169" s="136">
        <f t="shared" si="351"/>
        <v>523.25</v>
      </c>
      <c r="BB169" s="135">
        <f t="shared" si="351"/>
        <v>1194</v>
      </c>
      <c r="BC169" s="136">
        <f t="shared" si="351"/>
        <v>501.9</v>
      </c>
      <c r="BD169" s="135">
        <f t="shared" si="351"/>
        <v>1044</v>
      </c>
      <c r="BE169" s="136">
        <f t="shared" si="351"/>
        <v>561.75</v>
      </c>
      <c r="BF169" s="137">
        <f t="shared" si="351"/>
        <v>18713</v>
      </c>
      <c r="BG169" s="138">
        <f t="shared" si="351"/>
        <v>9130.2749999999978</v>
      </c>
      <c r="BH169" s="135">
        <f t="shared" si="351"/>
        <v>936</v>
      </c>
      <c r="BI169" s="136">
        <f t="shared" si="351"/>
        <v>516.59999999999991</v>
      </c>
      <c r="BJ169" s="135">
        <f t="shared" si="351"/>
        <v>558</v>
      </c>
      <c r="BK169" s="136">
        <f t="shared" si="351"/>
        <v>306.60000000000002</v>
      </c>
      <c r="BL169" s="135">
        <f t="shared" si="351"/>
        <v>978</v>
      </c>
      <c r="BM169" s="136">
        <f t="shared" si="351"/>
        <v>550.19999999999993</v>
      </c>
      <c r="BN169" s="135">
        <f t="shared" si="351"/>
        <v>408</v>
      </c>
      <c r="BO169" s="136">
        <f t="shared" si="351"/>
        <v>226.79999999999995</v>
      </c>
      <c r="BP169" s="135">
        <f t="shared" si="351"/>
        <v>560</v>
      </c>
      <c r="BQ169" s="136">
        <f t="shared" si="351"/>
        <v>365.05</v>
      </c>
      <c r="BR169" s="135">
        <f t="shared" si="351"/>
        <v>288</v>
      </c>
      <c r="BS169" s="136">
        <f t="shared" si="351"/>
        <v>193.2</v>
      </c>
      <c r="BT169" s="135">
        <f t="shared" si="351"/>
        <v>114</v>
      </c>
      <c r="BU169" s="136">
        <f t="shared" si="351"/>
        <v>71.399999999999977</v>
      </c>
      <c r="BV169" s="135">
        <f t="shared" si="351"/>
        <v>756</v>
      </c>
      <c r="BW169" s="136">
        <f t="shared" si="351"/>
        <v>462</v>
      </c>
      <c r="BX169" s="135">
        <f t="shared" si="351"/>
        <v>396</v>
      </c>
      <c r="BY169" s="136">
        <f t="shared" si="351"/>
        <v>260.39999999999998</v>
      </c>
      <c r="BZ169" s="135">
        <f t="shared" si="351"/>
        <v>468</v>
      </c>
      <c r="CA169" s="136">
        <f t="shared" si="351"/>
        <v>327.60000000000002</v>
      </c>
      <c r="CB169" s="135">
        <f t="shared" si="351"/>
        <v>716</v>
      </c>
      <c r="CC169" s="136">
        <f t="shared" si="351"/>
        <v>491.74999999999994</v>
      </c>
      <c r="CD169" s="135">
        <f t="shared" si="351"/>
        <v>408</v>
      </c>
      <c r="CE169" s="136">
        <f t="shared" si="351"/>
        <v>159.6</v>
      </c>
      <c r="CF169" s="137">
        <f t="shared" si="351"/>
        <v>6586</v>
      </c>
      <c r="CG169" s="138">
        <f t="shared" si="351"/>
        <v>3931.2</v>
      </c>
      <c r="CH169" s="135">
        <f t="shared" si="351"/>
        <v>444</v>
      </c>
      <c r="CI169" s="136">
        <f t="shared" si="351"/>
        <v>285.59999999999997</v>
      </c>
      <c r="CJ169" s="135">
        <f t="shared" si="351"/>
        <v>288</v>
      </c>
      <c r="CK169" s="136">
        <f t="shared" si="351"/>
        <v>167.99999999999997</v>
      </c>
      <c r="CL169" s="135">
        <f t="shared" si="351"/>
        <v>48</v>
      </c>
      <c r="CM169" s="136">
        <f t="shared" si="351"/>
        <v>16.799999999999997</v>
      </c>
      <c r="CN169" s="135">
        <f t="shared" si="351"/>
        <v>192</v>
      </c>
      <c r="CO169" s="136">
        <f t="shared" si="351"/>
        <v>109.2</v>
      </c>
      <c r="CP169" s="135">
        <f t="shared" si="351"/>
        <v>24</v>
      </c>
      <c r="CQ169" s="136">
        <f t="shared" si="351"/>
        <v>8.3999999999999986</v>
      </c>
      <c r="CR169" s="135">
        <f t="shared" si="351"/>
        <v>132</v>
      </c>
      <c r="CS169" s="136">
        <f t="shared" si="351"/>
        <v>92.4</v>
      </c>
      <c r="CT169" s="135">
        <f t="shared" si="351"/>
        <v>132</v>
      </c>
      <c r="CU169" s="136">
        <f t="shared" si="351"/>
        <v>92.4</v>
      </c>
      <c r="CV169" s="135">
        <f t="shared" si="351"/>
        <v>24</v>
      </c>
      <c r="CW169" s="136">
        <f t="shared" si="351"/>
        <v>8.3999999999999986</v>
      </c>
      <c r="CX169" s="135">
        <f t="shared" si="351"/>
        <v>12</v>
      </c>
      <c r="CY169" s="136">
        <f t="shared" si="351"/>
        <v>8.3999999999999986</v>
      </c>
      <c r="CZ169" s="135">
        <f t="shared" ref="CZ169:DY169" si="352">SUM(CZ149:CZ168)</f>
        <v>96</v>
      </c>
      <c r="DA169" s="136">
        <f t="shared" si="352"/>
        <v>42</v>
      </c>
      <c r="DB169" s="135">
        <f t="shared" si="352"/>
        <v>121</v>
      </c>
      <c r="DC169" s="136">
        <f t="shared" si="352"/>
        <v>84.7</v>
      </c>
      <c r="DD169" s="135">
        <f t="shared" si="352"/>
        <v>60</v>
      </c>
      <c r="DE169" s="136">
        <f t="shared" si="352"/>
        <v>42</v>
      </c>
      <c r="DF169" s="137">
        <f t="shared" si="352"/>
        <v>1573</v>
      </c>
      <c r="DG169" s="138">
        <f t="shared" si="352"/>
        <v>958.29999999999984</v>
      </c>
      <c r="DH169" s="135">
        <f t="shared" si="352"/>
        <v>78</v>
      </c>
      <c r="DI169" s="136">
        <f t="shared" si="352"/>
        <v>37.799999999999997</v>
      </c>
      <c r="DJ169" s="135">
        <f t="shared" si="352"/>
        <v>60</v>
      </c>
      <c r="DK169" s="136">
        <f t="shared" si="352"/>
        <v>42</v>
      </c>
      <c r="DL169" s="135">
        <f t="shared" si="352"/>
        <v>0</v>
      </c>
      <c r="DM169" s="136">
        <f t="shared" si="352"/>
        <v>0</v>
      </c>
      <c r="DN169" s="135">
        <f t="shared" si="352"/>
        <v>0</v>
      </c>
      <c r="DO169" s="136">
        <f t="shared" si="352"/>
        <v>0</v>
      </c>
      <c r="DP169" s="135">
        <f t="shared" si="352"/>
        <v>0</v>
      </c>
      <c r="DQ169" s="136">
        <f t="shared" si="352"/>
        <v>0</v>
      </c>
      <c r="DR169" s="135">
        <f t="shared" si="352"/>
        <v>0</v>
      </c>
      <c r="DS169" s="136">
        <f t="shared" si="352"/>
        <v>0</v>
      </c>
      <c r="DT169" s="135">
        <f t="shared" si="352"/>
        <v>0</v>
      </c>
      <c r="DU169" s="136">
        <f t="shared" si="352"/>
        <v>0</v>
      </c>
      <c r="DV169" s="135">
        <f t="shared" si="352"/>
        <v>0</v>
      </c>
      <c r="DW169" s="136">
        <f t="shared" si="352"/>
        <v>0</v>
      </c>
      <c r="DX169" s="135">
        <f t="shared" si="352"/>
        <v>0</v>
      </c>
      <c r="DY169" s="136">
        <f t="shared" si="352"/>
        <v>0</v>
      </c>
      <c r="DZ169" s="135">
        <f t="shared" ref="DZ169:EG169" si="353">SUM(DZ149:DZ168)</f>
        <v>0</v>
      </c>
      <c r="EA169" s="136">
        <f t="shared" si="353"/>
        <v>0</v>
      </c>
      <c r="EB169" s="135">
        <f t="shared" si="353"/>
        <v>0</v>
      </c>
      <c r="EC169" s="136">
        <f t="shared" si="353"/>
        <v>0</v>
      </c>
      <c r="ED169" s="135">
        <f t="shared" si="353"/>
        <v>0</v>
      </c>
      <c r="EE169" s="136">
        <f t="shared" si="353"/>
        <v>0</v>
      </c>
      <c r="EF169" s="135">
        <f t="shared" si="353"/>
        <v>138</v>
      </c>
      <c r="EG169" s="136">
        <f t="shared" si="353"/>
        <v>79.800000000000011</v>
      </c>
    </row>
    <row r="170" spans="1:137" x14ac:dyDescent="0.5">
      <c r="A170" s="141"/>
      <c r="B170" s="142" t="s">
        <v>248</v>
      </c>
      <c r="C170" s="142"/>
      <c r="D170" s="142"/>
      <c r="E170" s="142"/>
      <c r="F170" s="142"/>
      <c r="G170" s="143"/>
      <c r="H170" s="144">
        <f t="shared" ref="H170:BS170" si="354">+H148+H169</f>
        <v>293930</v>
      </c>
      <c r="I170" s="145">
        <f t="shared" si="354"/>
        <v>189376.755</v>
      </c>
      <c r="J170" s="144">
        <f t="shared" si="354"/>
        <v>269870</v>
      </c>
      <c r="K170" s="145">
        <f t="shared" si="354"/>
        <v>175156.06</v>
      </c>
      <c r="L170" s="144">
        <f t="shared" si="354"/>
        <v>342053</v>
      </c>
      <c r="M170" s="145">
        <f t="shared" si="354"/>
        <v>221641.7</v>
      </c>
      <c r="N170" s="144">
        <f t="shared" si="354"/>
        <v>308169</v>
      </c>
      <c r="O170" s="145">
        <f t="shared" si="354"/>
        <v>199740.05</v>
      </c>
      <c r="P170" s="144">
        <f t="shared" si="354"/>
        <v>370933</v>
      </c>
      <c r="Q170" s="145">
        <f t="shared" si="354"/>
        <v>240052.64</v>
      </c>
      <c r="R170" s="144">
        <f t="shared" si="354"/>
        <v>337521</v>
      </c>
      <c r="S170" s="145">
        <f t="shared" si="354"/>
        <v>220267.96500000003</v>
      </c>
      <c r="T170" s="144">
        <f t="shared" si="354"/>
        <v>297482</v>
      </c>
      <c r="U170" s="145">
        <f t="shared" si="354"/>
        <v>193538.76</v>
      </c>
      <c r="V170" s="144">
        <f t="shared" si="354"/>
        <v>349598</v>
      </c>
      <c r="W170" s="145">
        <f t="shared" si="354"/>
        <v>227904.345</v>
      </c>
      <c r="X170" s="144">
        <f t="shared" si="354"/>
        <v>292445</v>
      </c>
      <c r="Y170" s="145">
        <f t="shared" si="354"/>
        <v>193553.595</v>
      </c>
      <c r="Z170" s="144">
        <f t="shared" si="354"/>
        <v>249336</v>
      </c>
      <c r="AA170" s="145">
        <f t="shared" si="354"/>
        <v>167083.94500000001</v>
      </c>
      <c r="AB170" s="144">
        <f t="shared" si="354"/>
        <v>253445</v>
      </c>
      <c r="AC170" s="145">
        <f t="shared" si="354"/>
        <v>168069.36499999996</v>
      </c>
      <c r="AD170" s="144">
        <f t="shared" si="354"/>
        <v>325405</v>
      </c>
      <c r="AE170" s="145">
        <f t="shared" si="354"/>
        <v>218315.67499999999</v>
      </c>
      <c r="AF170" s="146">
        <f t="shared" si="354"/>
        <v>3690187</v>
      </c>
      <c r="AG170" s="138">
        <f t="shared" si="354"/>
        <v>2414700.855</v>
      </c>
      <c r="AH170" s="144">
        <f t="shared" si="354"/>
        <v>328792</v>
      </c>
      <c r="AI170" s="145">
        <f t="shared" si="354"/>
        <v>223508.06000000003</v>
      </c>
      <c r="AJ170" s="144">
        <f t="shared" si="354"/>
        <v>270451</v>
      </c>
      <c r="AK170" s="145">
        <f t="shared" si="354"/>
        <v>180884.875</v>
      </c>
      <c r="AL170" s="144">
        <f t="shared" si="354"/>
        <v>346823</v>
      </c>
      <c r="AM170" s="145">
        <f t="shared" si="354"/>
        <v>235666.00499999998</v>
      </c>
      <c r="AN170" s="144">
        <f t="shared" si="354"/>
        <v>331583</v>
      </c>
      <c r="AO170" s="145">
        <f t="shared" si="354"/>
        <v>224855.09999999998</v>
      </c>
      <c r="AP170" s="144">
        <f t="shared" si="354"/>
        <v>347696</v>
      </c>
      <c r="AQ170" s="145">
        <f t="shared" si="354"/>
        <v>237460.98</v>
      </c>
      <c r="AR170" s="144">
        <f t="shared" si="354"/>
        <v>309886</v>
      </c>
      <c r="AS170" s="145">
        <f t="shared" si="354"/>
        <v>212669.94500000001</v>
      </c>
      <c r="AT170" s="144">
        <f t="shared" si="354"/>
        <v>317166</v>
      </c>
      <c r="AU170" s="145">
        <f t="shared" si="354"/>
        <v>216475.08</v>
      </c>
      <c r="AV170" s="144">
        <f t="shared" si="354"/>
        <v>382611</v>
      </c>
      <c r="AW170" s="145">
        <f t="shared" si="354"/>
        <v>256546.375</v>
      </c>
      <c r="AX170" s="144">
        <f t="shared" si="354"/>
        <v>204040</v>
      </c>
      <c r="AY170" s="145">
        <f t="shared" si="354"/>
        <v>142679.04499999998</v>
      </c>
      <c r="AZ170" s="144">
        <f t="shared" si="354"/>
        <v>227576</v>
      </c>
      <c r="BA170" s="145">
        <f t="shared" si="354"/>
        <v>157046.99</v>
      </c>
      <c r="BB170" s="144">
        <f t="shared" si="354"/>
        <v>263649</v>
      </c>
      <c r="BC170" s="145">
        <f t="shared" si="354"/>
        <v>182272.98</v>
      </c>
      <c r="BD170" s="144">
        <f t="shared" si="354"/>
        <v>288112</v>
      </c>
      <c r="BE170" s="145">
        <f t="shared" si="354"/>
        <v>201178.63</v>
      </c>
      <c r="BF170" s="146">
        <f t="shared" si="354"/>
        <v>3618385</v>
      </c>
      <c r="BG170" s="138">
        <f t="shared" si="354"/>
        <v>2471244.064999999</v>
      </c>
      <c r="BH170" s="144">
        <f t="shared" si="354"/>
        <v>285916</v>
      </c>
      <c r="BI170" s="145">
        <f t="shared" si="354"/>
        <v>201162.56</v>
      </c>
      <c r="BJ170" s="144">
        <f t="shared" si="354"/>
        <v>250960</v>
      </c>
      <c r="BK170" s="145">
        <f t="shared" si="354"/>
        <v>175654.36</v>
      </c>
      <c r="BL170" s="144">
        <f t="shared" si="354"/>
        <v>307158</v>
      </c>
      <c r="BM170" s="145">
        <f t="shared" si="354"/>
        <v>216652.04</v>
      </c>
      <c r="BN170" s="144">
        <f t="shared" si="354"/>
        <v>313614</v>
      </c>
      <c r="BO170" s="145">
        <f t="shared" si="354"/>
        <v>220387.83999999997</v>
      </c>
      <c r="BP170" s="144">
        <f t="shared" si="354"/>
        <v>320083</v>
      </c>
      <c r="BQ170" s="145">
        <f t="shared" si="354"/>
        <v>221383.83000000002</v>
      </c>
      <c r="BR170" s="144">
        <f t="shared" si="354"/>
        <v>319708</v>
      </c>
      <c r="BS170" s="145">
        <f t="shared" si="354"/>
        <v>227199.92</v>
      </c>
      <c r="BT170" s="144">
        <f t="shared" ref="BT170:DG170" si="355">+BT148+BT169</f>
        <v>309326</v>
      </c>
      <c r="BU170" s="145">
        <f t="shared" si="355"/>
        <v>219882.6</v>
      </c>
      <c r="BV170" s="144">
        <f t="shared" si="355"/>
        <v>359022</v>
      </c>
      <c r="BW170" s="145">
        <f t="shared" si="355"/>
        <v>258006.8</v>
      </c>
      <c r="BX170" s="144">
        <f t="shared" si="355"/>
        <v>289865</v>
      </c>
      <c r="BY170" s="145">
        <f t="shared" si="355"/>
        <v>211944.46000000002</v>
      </c>
      <c r="BZ170" s="144">
        <f t="shared" si="355"/>
        <v>334892</v>
      </c>
      <c r="CA170" s="145">
        <f t="shared" si="355"/>
        <v>242570.28000000003</v>
      </c>
      <c r="CB170" s="144">
        <f t="shared" si="355"/>
        <v>252012</v>
      </c>
      <c r="CC170" s="145">
        <f t="shared" si="355"/>
        <v>181756.59</v>
      </c>
      <c r="CD170" s="144">
        <f t="shared" si="355"/>
        <v>298933</v>
      </c>
      <c r="CE170" s="145">
        <f t="shared" si="355"/>
        <v>220605.06000000003</v>
      </c>
      <c r="CF170" s="146">
        <f t="shared" si="355"/>
        <v>3641489</v>
      </c>
      <c r="CG170" s="138">
        <f t="shared" si="355"/>
        <v>2597206.3400000003</v>
      </c>
      <c r="CH170" s="155">
        <f t="shared" si="355"/>
        <v>292511</v>
      </c>
      <c r="CI170" s="145">
        <f t="shared" si="355"/>
        <v>217320.86000000002</v>
      </c>
      <c r="CJ170" s="155">
        <f t="shared" si="355"/>
        <v>293882</v>
      </c>
      <c r="CK170" s="145">
        <f t="shared" si="355"/>
        <v>216037.63999999998</v>
      </c>
      <c r="CL170" s="155">
        <f t="shared" si="355"/>
        <v>365172</v>
      </c>
      <c r="CM170" s="145">
        <f t="shared" si="355"/>
        <v>263681.44</v>
      </c>
      <c r="CN170" s="144">
        <f t="shared" si="355"/>
        <v>250314</v>
      </c>
      <c r="CO170" s="145">
        <f t="shared" si="355"/>
        <v>175404.48000000004</v>
      </c>
      <c r="CP170" s="144">
        <f t="shared" si="355"/>
        <v>366448</v>
      </c>
      <c r="CQ170" s="145">
        <f t="shared" si="355"/>
        <v>272343.36000000004</v>
      </c>
      <c r="CR170" s="144">
        <f t="shared" si="355"/>
        <v>342840</v>
      </c>
      <c r="CS170" s="145">
        <f t="shared" si="355"/>
        <v>256223.59999999998</v>
      </c>
      <c r="CT170" s="144">
        <f t="shared" si="355"/>
        <v>319464</v>
      </c>
      <c r="CU170" s="145">
        <f t="shared" si="355"/>
        <v>237202.72</v>
      </c>
      <c r="CV170" s="144">
        <f t="shared" si="355"/>
        <v>306241</v>
      </c>
      <c r="CW170" s="145">
        <f t="shared" si="355"/>
        <v>234531.51000000004</v>
      </c>
      <c r="CX170" s="144">
        <f t="shared" si="355"/>
        <v>310563</v>
      </c>
      <c r="CY170" s="145">
        <f t="shared" si="355"/>
        <v>237498.03000000003</v>
      </c>
      <c r="CZ170" s="144">
        <f t="shared" si="355"/>
        <v>302483</v>
      </c>
      <c r="DA170" s="145">
        <f t="shared" si="355"/>
        <v>227118.46000000002</v>
      </c>
      <c r="DB170" s="144">
        <f t="shared" si="355"/>
        <v>282753</v>
      </c>
      <c r="DC170" s="145">
        <f t="shared" si="355"/>
        <v>216047.52000000002</v>
      </c>
      <c r="DD170" s="144">
        <f t="shared" si="355"/>
        <v>308233</v>
      </c>
      <c r="DE170" s="145">
        <f t="shared" si="355"/>
        <v>239161.66999999995</v>
      </c>
      <c r="DF170" s="146">
        <f t="shared" si="355"/>
        <v>3740904</v>
      </c>
      <c r="DG170" s="138">
        <f t="shared" si="355"/>
        <v>2792571.29</v>
      </c>
      <c r="DH170" s="155">
        <f t="shared" ref="DH170:EG170" si="356">+DH148+DH169</f>
        <v>299253</v>
      </c>
      <c r="DI170" s="145">
        <f t="shared" si="356"/>
        <v>233563.75</v>
      </c>
      <c r="DJ170" s="155">
        <f t="shared" si="356"/>
        <v>285959</v>
      </c>
      <c r="DK170" s="145">
        <f t="shared" si="356"/>
        <v>221720.60999999996</v>
      </c>
      <c r="DL170" s="155">
        <f t="shared" si="356"/>
        <v>0</v>
      </c>
      <c r="DM170" s="145">
        <f t="shared" si="356"/>
        <v>0</v>
      </c>
      <c r="DN170" s="144">
        <f t="shared" si="356"/>
        <v>0</v>
      </c>
      <c r="DO170" s="145">
        <f t="shared" si="356"/>
        <v>0</v>
      </c>
      <c r="DP170" s="144">
        <f t="shared" si="356"/>
        <v>0</v>
      </c>
      <c r="DQ170" s="145">
        <f t="shared" si="356"/>
        <v>0</v>
      </c>
      <c r="DR170" s="144">
        <f t="shared" si="356"/>
        <v>0</v>
      </c>
      <c r="DS170" s="145">
        <f t="shared" si="356"/>
        <v>0</v>
      </c>
      <c r="DT170" s="144">
        <f t="shared" si="356"/>
        <v>0</v>
      </c>
      <c r="DU170" s="145">
        <f t="shared" si="356"/>
        <v>0</v>
      </c>
      <c r="DV170" s="144">
        <f t="shared" si="356"/>
        <v>0</v>
      </c>
      <c r="DW170" s="145">
        <f t="shared" si="356"/>
        <v>0</v>
      </c>
      <c r="DX170" s="144">
        <f t="shared" si="356"/>
        <v>0</v>
      </c>
      <c r="DY170" s="145">
        <f t="shared" si="356"/>
        <v>0</v>
      </c>
      <c r="DZ170" s="144">
        <f t="shared" si="356"/>
        <v>0</v>
      </c>
      <c r="EA170" s="145">
        <f t="shared" si="356"/>
        <v>0</v>
      </c>
      <c r="EB170" s="144">
        <f t="shared" si="356"/>
        <v>0</v>
      </c>
      <c r="EC170" s="145">
        <f t="shared" si="356"/>
        <v>0</v>
      </c>
      <c r="ED170" s="144">
        <f t="shared" si="356"/>
        <v>0</v>
      </c>
      <c r="EE170" s="145">
        <f t="shared" si="356"/>
        <v>0</v>
      </c>
      <c r="EF170" s="144">
        <f t="shared" si="356"/>
        <v>585212</v>
      </c>
      <c r="EG170" s="145">
        <f t="shared" si="356"/>
        <v>455284.35999999993</v>
      </c>
    </row>
    <row r="171" spans="1:137" ht="21.75" customHeight="1" x14ac:dyDescent="0.5">
      <c r="BF171" s="147">
        <f>+BF170*12</f>
        <v>43420620</v>
      </c>
      <c r="CF171" s="147">
        <f>+CF170*12</f>
        <v>43697868</v>
      </c>
    </row>
    <row r="173" spans="1:137" x14ac:dyDescent="0.5">
      <c r="CJ173" s="149"/>
      <c r="CK173" s="150"/>
      <c r="CL173" s="149"/>
      <c r="CM173" s="150"/>
      <c r="CN173" s="149"/>
      <c r="CO173" s="150"/>
      <c r="CP173" s="149"/>
      <c r="CQ173" s="150"/>
      <c r="CT173" s="151"/>
      <c r="CU173" s="152"/>
      <c r="CV173" s="149"/>
      <c r="CW173" s="150"/>
      <c r="DJ173" s="149"/>
      <c r="DK173" s="150"/>
      <c r="DL173" s="149"/>
      <c r="DM173" s="150"/>
      <c r="DN173" s="149"/>
      <c r="DO173" s="150"/>
      <c r="DP173" s="149"/>
      <c r="DQ173" s="150"/>
      <c r="DT173" s="151"/>
      <c r="DU173" s="152"/>
      <c r="DV173" s="149"/>
      <c r="DW173" s="150"/>
    </row>
    <row r="174" spans="1:137" x14ac:dyDescent="0.5">
      <c r="CZ174" s="149"/>
      <c r="DA174" s="150"/>
      <c r="DZ174" s="149"/>
      <c r="EA174" s="150"/>
    </row>
  </sheetData>
  <mergeCells count="75">
    <mergeCell ref="A1:G1"/>
    <mergeCell ref="CH1:DG1"/>
    <mergeCell ref="A2:A3"/>
    <mergeCell ref="B2:B3"/>
    <mergeCell ref="C2:C3"/>
    <mergeCell ref="D2:D3"/>
    <mergeCell ref="E2:E3"/>
    <mergeCell ref="F2:F3"/>
    <mergeCell ref="G2:G3"/>
    <mergeCell ref="H2:I2"/>
    <mergeCell ref="AF2:A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BD2:BE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CB2:CC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EB2:EC2"/>
    <mergeCell ref="CZ2:DA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ED2:EE2"/>
    <mergeCell ref="DB2:DC2"/>
    <mergeCell ref="DD2:DE2"/>
    <mergeCell ref="DF2:DG2"/>
    <mergeCell ref="DH1:EG1"/>
    <mergeCell ref="DH2:DI2"/>
    <mergeCell ref="DJ2:DK2"/>
    <mergeCell ref="DL2:DM2"/>
    <mergeCell ref="DN2:DO2"/>
    <mergeCell ref="DP2:DQ2"/>
    <mergeCell ref="DR2:DS2"/>
    <mergeCell ref="EF2:EG2"/>
    <mergeCell ref="DT2:DU2"/>
    <mergeCell ref="DV2:DW2"/>
    <mergeCell ref="DX2:DY2"/>
    <mergeCell ref="DZ2:E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6034-FBEC-45FB-8AC8-3D6A6D801205}">
  <dimension ref="A1:AD68"/>
  <sheetViews>
    <sheetView zoomScaleNormal="100" workbookViewId="0">
      <pane xSplit="3" ySplit="2" topLeftCell="D32" activePane="bottomRight" state="frozen"/>
      <selection pane="topRight" activeCell="D1" sqref="D1"/>
      <selection pane="bottomLeft" activeCell="A3" sqref="A3"/>
      <selection pane="bottomRight" activeCell="A23" sqref="A23:XFD23"/>
    </sheetView>
  </sheetViews>
  <sheetFormatPr defaultRowHeight="21.75" customHeight="1" x14ac:dyDescent="0.5"/>
  <cols>
    <col min="1" max="1" width="3.5703125" style="1" bestFit="1" customWidth="1"/>
    <col min="2" max="2" width="34.140625" style="7" bestFit="1" customWidth="1"/>
    <col min="3" max="3" width="7.42578125" style="1" customWidth="1"/>
    <col min="4" max="4" width="11.5703125" style="7" bestFit="1" customWidth="1"/>
    <col min="5" max="5" width="12.7109375" style="6" bestFit="1" customWidth="1"/>
    <col min="6" max="6" width="11.5703125" style="7" bestFit="1" customWidth="1"/>
    <col min="7" max="7" width="12.7109375" style="6" bestFit="1" customWidth="1"/>
    <col min="8" max="8" width="11.5703125" style="7" bestFit="1" customWidth="1"/>
    <col min="9" max="9" width="12.7109375" style="6" bestFit="1" customWidth="1"/>
    <col min="10" max="10" width="11.5703125" style="7" bestFit="1" customWidth="1"/>
    <col min="11" max="11" width="12.7109375" style="6" bestFit="1" customWidth="1"/>
    <col min="12" max="12" width="11.5703125" style="7" bestFit="1" customWidth="1"/>
    <col min="13" max="13" width="12.7109375" style="6" bestFit="1" customWidth="1"/>
    <col min="14" max="14" width="11.5703125" style="7" bestFit="1" customWidth="1"/>
    <col min="15" max="15" width="12.7109375" style="6" bestFit="1" customWidth="1"/>
    <col min="16" max="16" width="11.5703125" style="7" bestFit="1" customWidth="1"/>
    <col min="17" max="17" width="12.7109375" style="6" bestFit="1" customWidth="1"/>
    <col min="18" max="18" width="11.5703125" style="7" bestFit="1" customWidth="1"/>
    <col min="19" max="19" width="12.7109375" style="6" bestFit="1" customWidth="1"/>
    <col min="20" max="20" width="11.5703125" style="7" bestFit="1" customWidth="1"/>
    <col min="21" max="21" width="12.7109375" style="6" bestFit="1" customWidth="1"/>
    <col min="22" max="22" width="11.5703125" style="7" bestFit="1" customWidth="1"/>
    <col min="23" max="23" width="12.7109375" style="6" bestFit="1" customWidth="1"/>
    <col min="24" max="24" width="11.5703125" style="7" bestFit="1" customWidth="1"/>
    <col min="25" max="25" width="12.7109375" style="6" bestFit="1" customWidth="1"/>
    <col min="26" max="26" width="11.5703125" style="7" bestFit="1" customWidth="1"/>
    <col min="27" max="27" width="12.7109375" style="6" bestFit="1" customWidth="1"/>
    <col min="28" max="28" width="13.42578125" style="7" bestFit="1" customWidth="1"/>
    <col min="29" max="29" width="14.42578125" style="6" bestFit="1" customWidth="1"/>
    <col min="30" max="30" width="13.85546875" style="7" bestFit="1" customWidth="1"/>
    <col min="31" max="31" width="17.5703125" style="7" customWidth="1"/>
    <col min="32" max="32" width="10.7109375" style="7" customWidth="1"/>
    <col min="33" max="33" width="11.5703125" style="7" customWidth="1"/>
    <col min="34" max="42" width="9.140625" style="7"/>
    <col min="43" max="43" width="18.42578125" style="7" bestFit="1" customWidth="1"/>
    <col min="44" max="16384" width="9.140625" style="7"/>
  </cols>
  <sheetData>
    <row r="1" spans="1:30" ht="21.75" customHeight="1" x14ac:dyDescent="0.5">
      <c r="B1" s="2" t="s">
        <v>79</v>
      </c>
      <c r="C1" s="3"/>
      <c r="D1" s="4"/>
      <c r="E1" s="5"/>
      <c r="F1" s="4"/>
      <c r="G1" s="5"/>
      <c r="H1" s="4"/>
      <c r="I1" s="5"/>
      <c r="J1" s="4"/>
      <c r="K1" s="5"/>
      <c r="L1" s="4"/>
      <c r="M1" s="5"/>
      <c r="N1" s="4"/>
      <c r="O1" s="5"/>
      <c r="P1" s="4"/>
      <c r="Q1" s="5"/>
      <c r="R1" s="4"/>
      <c r="S1" s="5"/>
      <c r="T1" s="4"/>
      <c r="U1" s="5"/>
      <c r="V1" s="4"/>
      <c r="W1" s="5"/>
      <c r="X1" s="4"/>
      <c r="Y1" s="5"/>
      <c r="Z1" s="4"/>
      <c r="AA1" s="5"/>
      <c r="AB1" s="4"/>
    </row>
    <row r="2" spans="1:30" ht="21.75" customHeight="1" x14ac:dyDescent="0.5">
      <c r="A2" s="181" t="s">
        <v>11</v>
      </c>
      <c r="B2" s="183" t="s">
        <v>12</v>
      </c>
      <c r="C2" s="183" t="s">
        <v>67</v>
      </c>
      <c r="D2" s="180">
        <v>44927</v>
      </c>
      <c r="E2" s="180"/>
      <c r="F2" s="180">
        <v>44958</v>
      </c>
      <c r="G2" s="180"/>
      <c r="H2" s="180">
        <v>44986</v>
      </c>
      <c r="I2" s="180"/>
      <c r="J2" s="180">
        <v>45017</v>
      </c>
      <c r="K2" s="180"/>
      <c r="L2" s="180">
        <v>45047</v>
      </c>
      <c r="M2" s="180"/>
      <c r="N2" s="180">
        <v>45078</v>
      </c>
      <c r="O2" s="180"/>
      <c r="P2" s="180">
        <v>45108</v>
      </c>
      <c r="Q2" s="180"/>
      <c r="R2" s="180">
        <v>45139</v>
      </c>
      <c r="S2" s="180"/>
      <c r="T2" s="180">
        <v>45170</v>
      </c>
      <c r="U2" s="180"/>
      <c r="V2" s="180">
        <v>45200</v>
      </c>
      <c r="W2" s="180"/>
      <c r="X2" s="180">
        <v>45231</v>
      </c>
      <c r="Y2" s="180"/>
      <c r="Z2" s="180">
        <v>45261</v>
      </c>
      <c r="AA2" s="180"/>
      <c r="AB2" s="185" t="s">
        <v>0</v>
      </c>
      <c r="AC2" s="185"/>
    </row>
    <row r="3" spans="1:30" ht="21.75" customHeight="1" x14ac:dyDescent="0.5">
      <c r="A3" s="182"/>
      <c r="B3" s="184"/>
      <c r="C3" s="184"/>
      <c r="D3" s="8" t="s">
        <v>14</v>
      </c>
      <c r="E3" s="9" t="s">
        <v>67</v>
      </c>
      <c r="F3" s="8" t="s">
        <v>14</v>
      </c>
      <c r="G3" s="9" t="s">
        <v>67</v>
      </c>
      <c r="H3" s="8" t="s">
        <v>14</v>
      </c>
      <c r="I3" s="9" t="s">
        <v>67</v>
      </c>
      <c r="J3" s="8" t="s">
        <v>14</v>
      </c>
      <c r="K3" s="9" t="s">
        <v>13</v>
      </c>
      <c r="L3" s="8" t="s">
        <v>14</v>
      </c>
      <c r="M3" s="9" t="s">
        <v>13</v>
      </c>
      <c r="N3" s="8" t="s">
        <v>14</v>
      </c>
      <c r="O3" s="9" t="s">
        <v>13</v>
      </c>
      <c r="P3" s="8" t="s">
        <v>14</v>
      </c>
      <c r="Q3" s="9" t="s">
        <v>13</v>
      </c>
      <c r="R3" s="8" t="s">
        <v>14</v>
      </c>
      <c r="S3" s="9" t="s">
        <v>13</v>
      </c>
      <c r="T3" s="8" t="s">
        <v>14</v>
      </c>
      <c r="U3" s="9" t="s">
        <v>13</v>
      </c>
      <c r="V3" s="8" t="s">
        <v>14</v>
      </c>
      <c r="W3" s="9" t="s">
        <v>13</v>
      </c>
      <c r="X3" s="8" t="s">
        <v>14</v>
      </c>
      <c r="Y3" s="9" t="s">
        <v>13</v>
      </c>
      <c r="Z3" s="8" t="s">
        <v>14</v>
      </c>
      <c r="AA3" s="9" t="s">
        <v>13</v>
      </c>
      <c r="AB3" s="8" t="s">
        <v>14</v>
      </c>
      <c r="AC3" s="9" t="s">
        <v>13</v>
      </c>
    </row>
    <row r="4" spans="1:30" ht="21.75" customHeight="1" x14ac:dyDescent="0.5">
      <c r="A4" s="10">
        <v>1</v>
      </c>
      <c r="B4" s="11" t="s">
        <v>35</v>
      </c>
      <c r="C4" s="30">
        <v>0.7</v>
      </c>
      <c r="D4" s="11">
        <v>5472</v>
      </c>
      <c r="E4" s="14">
        <f>D4*$C4</f>
        <v>3830.3999999999996</v>
      </c>
      <c r="F4" s="31">
        <v>1265</v>
      </c>
      <c r="G4" s="14">
        <f>F4*$C4</f>
        <v>885.5</v>
      </c>
      <c r="H4" s="15">
        <v>3960</v>
      </c>
      <c r="I4" s="14">
        <f>H4*$C4</f>
        <v>2772</v>
      </c>
      <c r="J4" s="32">
        <v>6888</v>
      </c>
      <c r="K4" s="14">
        <f>J4*$C4</f>
        <v>4821.5999999999995</v>
      </c>
      <c r="L4" s="15">
        <v>3792</v>
      </c>
      <c r="M4" s="14">
        <f>L4*$C4</f>
        <v>2654.3999999999996</v>
      </c>
      <c r="N4" s="15">
        <v>1872</v>
      </c>
      <c r="O4" s="14">
        <f>N4*$C4</f>
        <v>1310.3999999999999</v>
      </c>
      <c r="P4" s="17">
        <v>1500</v>
      </c>
      <c r="Q4" s="14">
        <f>P4*$C4</f>
        <v>1050</v>
      </c>
      <c r="R4" s="15">
        <v>3600</v>
      </c>
      <c r="S4" s="14">
        <f>R4*$C4</f>
        <v>2520</v>
      </c>
      <c r="T4" s="15">
        <v>1896</v>
      </c>
      <c r="U4" s="14">
        <f>T4*$C4</f>
        <v>1327.1999999999998</v>
      </c>
      <c r="V4" s="17">
        <v>3168</v>
      </c>
      <c r="W4" s="14">
        <f>V4*$C4</f>
        <v>2217.6</v>
      </c>
      <c r="X4" s="33">
        <v>3168</v>
      </c>
      <c r="Y4" s="14">
        <f>X4*$C4</f>
        <v>2217.6</v>
      </c>
      <c r="Z4" s="33">
        <v>3168</v>
      </c>
      <c r="AA4" s="14">
        <f>Z4*$C4</f>
        <v>2217.6</v>
      </c>
      <c r="AB4" s="15">
        <f>Z4+X4+V4+T4+R4+P4+N4+L4+J4+H4+F4+D4</f>
        <v>39749</v>
      </c>
      <c r="AC4" s="14">
        <f>AB4*$C4</f>
        <v>27824.3</v>
      </c>
      <c r="AD4" s="18"/>
    </row>
    <row r="5" spans="1:30" ht="21.75" customHeight="1" x14ac:dyDescent="0.5">
      <c r="A5" s="10">
        <v>2</v>
      </c>
      <c r="B5" s="11" t="s">
        <v>36</v>
      </c>
      <c r="C5" s="30">
        <v>0.64</v>
      </c>
      <c r="D5" s="11">
        <v>47815</v>
      </c>
      <c r="E5" s="14">
        <f t="shared" ref="E5:E28" si="0">D5*$C5</f>
        <v>30601.600000000002</v>
      </c>
      <c r="F5" s="15">
        <v>33572</v>
      </c>
      <c r="G5" s="14">
        <f t="shared" ref="G5:G28" si="1">F5*$C5</f>
        <v>21486.080000000002</v>
      </c>
      <c r="H5" s="15">
        <v>43638</v>
      </c>
      <c r="I5" s="14">
        <f t="shared" ref="I5:I28" si="2">H5*$C5</f>
        <v>27928.32</v>
      </c>
      <c r="J5" s="34">
        <v>40964</v>
      </c>
      <c r="K5" s="14">
        <f t="shared" ref="K5:K28" si="3">J5*$C5</f>
        <v>26216.959999999999</v>
      </c>
      <c r="L5" s="17">
        <v>38962</v>
      </c>
      <c r="M5" s="14">
        <f t="shared" ref="M5:M28" si="4">L5*$C5</f>
        <v>24935.68</v>
      </c>
      <c r="N5" s="15">
        <v>38066</v>
      </c>
      <c r="O5" s="14">
        <f t="shared" ref="O5:O28" si="5">N5*$C5</f>
        <v>24362.240000000002</v>
      </c>
      <c r="P5" s="17">
        <v>34216</v>
      </c>
      <c r="Q5" s="14">
        <f t="shared" ref="Q5:Q28" si="6">P5*$C5</f>
        <v>21898.240000000002</v>
      </c>
      <c r="R5" s="17">
        <v>63504</v>
      </c>
      <c r="S5" s="14">
        <f t="shared" ref="S5:S28" si="7">R5*$C5</f>
        <v>40642.559999999998</v>
      </c>
      <c r="T5" s="17">
        <v>29414</v>
      </c>
      <c r="U5" s="14">
        <f t="shared" ref="U5:U28" si="8">T5*$C5</f>
        <v>18824.96</v>
      </c>
      <c r="V5" s="17">
        <v>29232</v>
      </c>
      <c r="W5" s="14">
        <f t="shared" ref="W5:W28" si="9">V5*$C5</f>
        <v>18708.48</v>
      </c>
      <c r="X5" s="33">
        <v>30534</v>
      </c>
      <c r="Y5" s="14">
        <f t="shared" ref="Y5:Y28" si="10">X5*$C5</f>
        <v>19541.760000000002</v>
      </c>
      <c r="Z5" s="33">
        <v>32956</v>
      </c>
      <c r="AA5" s="14">
        <f>Z5*$C5</f>
        <v>21091.84</v>
      </c>
      <c r="AB5" s="15">
        <f>Z5+X5+V5+T5+R5+P5+N5+L5+J5+H5+F5+D5</f>
        <v>462873</v>
      </c>
      <c r="AC5" s="14">
        <f t="shared" ref="AC5:AC28" si="11">AB5*$C5</f>
        <v>296238.72000000003</v>
      </c>
    </row>
    <row r="6" spans="1:30" ht="21.75" customHeight="1" x14ac:dyDescent="0.5">
      <c r="A6" s="10">
        <v>3</v>
      </c>
      <c r="B6" s="19" t="s">
        <v>37</v>
      </c>
      <c r="C6" s="30">
        <v>1</v>
      </c>
      <c r="D6" s="11">
        <v>4020</v>
      </c>
      <c r="E6" s="14">
        <f t="shared" si="0"/>
        <v>4020</v>
      </c>
      <c r="F6" s="15">
        <v>2580</v>
      </c>
      <c r="G6" s="14">
        <f t="shared" si="1"/>
        <v>2580</v>
      </c>
      <c r="H6" s="35">
        <v>4392</v>
      </c>
      <c r="I6" s="14">
        <f t="shared" si="2"/>
        <v>4392</v>
      </c>
      <c r="J6" s="15">
        <v>1884</v>
      </c>
      <c r="K6" s="14">
        <f t="shared" si="3"/>
        <v>1884</v>
      </c>
      <c r="L6" s="15">
        <v>2868</v>
      </c>
      <c r="M6" s="14">
        <f t="shared" si="4"/>
        <v>2868</v>
      </c>
      <c r="N6" s="15">
        <v>2052</v>
      </c>
      <c r="O6" s="14">
        <f t="shared" si="5"/>
        <v>2052</v>
      </c>
      <c r="P6" s="15">
        <v>3672</v>
      </c>
      <c r="Q6" s="14">
        <f t="shared" si="6"/>
        <v>3672</v>
      </c>
      <c r="R6" s="15">
        <v>3984</v>
      </c>
      <c r="S6" s="14">
        <f t="shared" si="7"/>
        <v>3984</v>
      </c>
      <c r="T6" s="15">
        <v>1404</v>
      </c>
      <c r="U6" s="14">
        <f t="shared" si="8"/>
        <v>1404</v>
      </c>
      <c r="V6" s="15">
        <v>2760</v>
      </c>
      <c r="W6" s="14">
        <f t="shared" si="9"/>
        <v>2760</v>
      </c>
      <c r="X6" s="33">
        <v>3305</v>
      </c>
      <c r="Y6" s="14">
        <f t="shared" si="10"/>
        <v>3305</v>
      </c>
      <c r="Z6" s="33">
        <v>3144</v>
      </c>
      <c r="AA6" s="14">
        <f t="shared" ref="AA6:AA28" si="12">Z6*$C6</f>
        <v>3144</v>
      </c>
      <c r="AB6" s="15">
        <f t="shared" ref="AB6:AB28" si="13">Z6+X6+V6+T6+R6+P6+N6+L6+J6+H6+F6+D6</f>
        <v>36065</v>
      </c>
      <c r="AC6" s="14">
        <f t="shared" si="11"/>
        <v>36065</v>
      </c>
    </row>
    <row r="7" spans="1:30" ht="21.75" customHeight="1" x14ac:dyDescent="0.5">
      <c r="A7" s="10">
        <v>4</v>
      </c>
      <c r="B7" s="19" t="s">
        <v>38</v>
      </c>
      <c r="C7" s="30">
        <v>0.6</v>
      </c>
      <c r="D7" s="11">
        <v>612</v>
      </c>
      <c r="E7" s="14">
        <f t="shared" si="0"/>
        <v>367.2</v>
      </c>
      <c r="F7" s="15">
        <v>444</v>
      </c>
      <c r="G7" s="14">
        <f t="shared" si="1"/>
        <v>266.39999999999998</v>
      </c>
      <c r="H7" s="15">
        <v>120</v>
      </c>
      <c r="I7" s="14">
        <f t="shared" si="2"/>
        <v>72</v>
      </c>
      <c r="J7" s="15">
        <v>216</v>
      </c>
      <c r="K7" s="14">
        <f t="shared" si="3"/>
        <v>129.6</v>
      </c>
      <c r="L7" s="15">
        <v>480</v>
      </c>
      <c r="M7" s="14">
        <f t="shared" si="4"/>
        <v>288</v>
      </c>
      <c r="N7" s="15">
        <v>156</v>
      </c>
      <c r="O7" s="14">
        <f t="shared" si="5"/>
        <v>93.6</v>
      </c>
      <c r="P7" s="15">
        <v>276</v>
      </c>
      <c r="Q7" s="14">
        <f t="shared" si="6"/>
        <v>165.6</v>
      </c>
      <c r="R7" s="15">
        <v>420</v>
      </c>
      <c r="S7" s="14">
        <f t="shared" si="7"/>
        <v>252</v>
      </c>
      <c r="T7" s="15">
        <v>12</v>
      </c>
      <c r="U7" s="14">
        <f t="shared" si="8"/>
        <v>7.1999999999999993</v>
      </c>
      <c r="V7" s="15"/>
      <c r="W7" s="14">
        <f t="shared" si="9"/>
        <v>0</v>
      </c>
      <c r="X7" s="15">
        <v>48</v>
      </c>
      <c r="Y7" s="14">
        <f t="shared" si="10"/>
        <v>28.799999999999997</v>
      </c>
      <c r="Z7" s="15"/>
      <c r="AA7" s="14">
        <f t="shared" si="12"/>
        <v>0</v>
      </c>
      <c r="AB7" s="15">
        <f t="shared" si="13"/>
        <v>2784</v>
      </c>
      <c r="AC7" s="14">
        <f t="shared" si="11"/>
        <v>1670.3999999999999</v>
      </c>
    </row>
    <row r="8" spans="1:30" ht="21.75" customHeight="1" x14ac:dyDescent="0.5">
      <c r="A8" s="10"/>
      <c r="B8" s="19" t="s">
        <v>68</v>
      </c>
      <c r="C8" s="30">
        <v>0.3</v>
      </c>
      <c r="D8" s="11"/>
      <c r="E8" s="14"/>
      <c r="F8" s="15"/>
      <c r="G8" s="14"/>
      <c r="H8" s="36"/>
      <c r="I8" s="14"/>
      <c r="J8" s="15"/>
      <c r="K8" s="14"/>
      <c r="L8" s="15"/>
      <c r="M8" s="14"/>
      <c r="N8" s="15"/>
      <c r="O8" s="14"/>
      <c r="P8" s="15">
        <v>240</v>
      </c>
      <c r="Q8" s="14">
        <f t="shared" si="6"/>
        <v>72</v>
      </c>
      <c r="R8" s="15">
        <v>2600</v>
      </c>
      <c r="S8" s="14">
        <f t="shared" si="7"/>
        <v>780</v>
      </c>
      <c r="T8" s="15">
        <v>200</v>
      </c>
      <c r="U8" s="14">
        <f t="shared" si="8"/>
        <v>60</v>
      </c>
      <c r="V8" s="15"/>
      <c r="W8" s="14">
        <f t="shared" si="9"/>
        <v>0</v>
      </c>
      <c r="X8" s="15">
        <v>1200</v>
      </c>
      <c r="Y8" s="14">
        <f t="shared" si="10"/>
        <v>360</v>
      </c>
      <c r="Z8" s="15"/>
      <c r="AA8" s="14">
        <f t="shared" si="12"/>
        <v>0</v>
      </c>
      <c r="AB8" s="15">
        <f t="shared" si="13"/>
        <v>4240</v>
      </c>
      <c r="AC8" s="14">
        <f t="shared" si="11"/>
        <v>1272</v>
      </c>
    </row>
    <row r="9" spans="1:30" ht="21.75" customHeight="1" x14ac:dyDescent="0.5">
      <c r="A9" s="10">
        <v>5</v>
      </c>
      <c r="B9" s="11" t="s">
        <v>39</v>
      </c>
      <c r="C9" s="30">
        <v>1</v>
      </c>
      <c r="D9" s="11">
        <v>31037</v>
      </c>
      <c r="E9" s="14">
        <f t="shared" si="0"/>
        <v>31037</v>
      </c>
      <c r="F9" s="15">
        <v>19320</v>
      </c>
      <c r="G9" s="14">
        <f t="shared" si="1"/>
        <v>19320</v>
      </c>
      <c r="H9" s="32">
        <v>34224</v>
      </c>
      <c r="I9" s="14">
        <f t="shared" si="2"/>
        <v>34224</v>
      </c>
      <c r="J9" s="15">
        <v>33420</v>
      </c>
      <c r="K9" s="14">
        <f t="shared" si="3"/>
        <v>33420</v>
      </c>
      <c r="L9" s="15">
        <v>38700</v>
      </c>
      <c r="M9" s="14">
        <f t="shared" si="4"/>
        <v>38700</v>
      </c>
      <c r="N9" s="15">
        <v>37776</v>
      </c>
      <c r="O9" s="14">
        <f t="shared" si="5"/>
        <v>37776</v>
      </c>
      <c r="P9" s="15">
        <v>33720</v>
      </c>
      <c r="Q9" s="14">
        <f t="shared" si="6"/>
        <v>33720</v>
      </c>
      <c r="R9" s="15">
        <v>31248</v>
      </c>
      <c r="S9" s="14">
        <f t="shared" si="7"/>
        <v>31248</v>
      </c>
      <c r="T9" s="15">
        <v>32604</v>
      </c>
      <c r="U9" s="14">
        <f t="shared" si="8"/>
        <v>32604</v>
      </c>
      <c r="V9" s="15">
        <v>28584</v>
      </c>
      <c r="W9" s="14">
        <f t="shared" si="9"/>
        <v>28584</v>
      </c>
      <c r="X9" s="15">
        <v>35292</v>
      </c>
      <c r="Y9" s="14">
        <f t="shared" si="10"/>
        <v>35292</v>
      </c>
      <c r="Z9" s="15">
        <v>43020</v>
      </c>
      <c r="AA9" s="14">
        <f t="shared" si="12"/>
        <v>43020</v>
      </c>
      <c r="AB9" s="15">
        <f t="shared" si="13"/>
        <v>398945</v>
      </c>
      <c r="AC9" s="14">
        <f t="shared" si="11"/>
        <v>398945</v>
      </c>
    </row>
    <row r="10" spans="1:30" ht="21.75" hidden="1" customHeight="1" x14ac:dyDescent="0.5">
      <c r="A10" s="10">
        <v>6</v>
      </c>
      <c r="B10" s="11" t="s">
        <v>40</v>
      </c>
      <c r="C10" s="37">
        <v>2</v>
      </c>
      <c r="D10" s="11"/>
      <c r="E10" s="14">
        <f t="shared" si="0"/>
        <v>0</v>
      </c>
      <c r="F10" s="15"/>
      <c r="G10" s="14">
        <f t="shared" si="1"/>
        <v>0</v>
      </c>
      <c r="H10" s="15"/>
      <c r="I10" s="14">
        <f t="shared" si="2"/>
        <v>0</v>
      </c>
      <c r="J10" s="15"/>
      <c r="K10" s="14">
        <f t="shared" si="3"/>
        <v>0</v>
      </c>
      <c r="L10" s="15"/>
      <c r="M10" s="14">
        <f>L10*$C10</f>
        <v>0</v>
      </c>
      <c r="N10" s="15"/>
      <c r="O10" s="14">
        <f t="shared" si="5"/>
        <v>0</v>
      </c>
      <c r="P10" s="15"/>
      <c r="Q10" s="14">
        <f t="shared" si="6"/>
        <v>0</v>
      </c>
      <c r="R10" s="15"/>
      <c r="S10" s="14">
        <f t="shared" si="7"/>
        <v>0</v>
      </c>
      <c r="T10" s="15"/>
      <c r="U10" s="14">
        <f t="shared" si="8"/>
        <v>0</v>
      </c>
      <c r="V10" s="15"/>
      <c r="W10" s="14">
        <f t="shared" si="9"/>
        <v>0</v>
      </c>
      <c r="X10" s="15"/>
      <c r="Y10" s="14">
        <f t="shared" si="10"/>
        <v>0</v>
      </c>
      <c r="Z10" s="15"/>
      <c r="AA10" s="14">
        <f t="shared" si="12"/>
        <v>0</v>
      </c>
      <c r="AB10" s="15">
        <f t="shared" si="13"/>
        <v>0</v>
      </c>
      <c r="AC10" s="14">
        <f t="shared" si="11"/>
        <v>0</v>
      </c>
    </row>
    <row r="11" spans="1:30" ht="21.75" hidden="1" customHeight="1" x14ac:dyDescent="0.5">
      <c r="A11" s="10">
        <v>7</v>
      </c>
      <c r="B11" s="11" t="s">
        <v>41</v>
      </c>
      <c r="C11" s="30">
        <v>0.6</v>
      </c>
      <c r="D11" s="11"/>
      <c r="E11" s="14">
        <f t="shared" si="0"/>
        <v>0</v>
      </c>
      <c r="F11" s="15"/>
      <c r="G11" s="14">
        <f t="shared" si="1"/>
        <v>0</v>
      </c>
      <c r="H11" s="15"/>
      <c r="I11" s="14">
        <f t="shared" si="2"/>
        <v>0</v>
      </c>
      <c r="J11" s="15"/>
      <c r="K11" s="14">
        <f t="shared" si="3"/>
        <v>0</v>
      </c>
      <c r="L11" s="15"/>
      <c r="M11" s="14">
        <f t="shared" si="4"/>
        <v>0</v>
      </c>
      <c r="N11" s="15"/>
      <c r="O11" s="14">
        <f t="shared" si="5"/>
        <v>0</v>
      </c>
      <c r="P11" s="15"/>
      <c r="Q11" s="14">
        <f t="shared" si="6"/>
        <v>0</v>
      </c>
      <c r="R11" s="15"/>
      <c r="S11" s="14">
        <f t="shared" si="7"/>
        <v>0</v>
      </c>
      <c r="T11" s="15"/>
      <c r="U11" s="14">
        <f t="shared" si="8"/>
        <v>0</v>
      </c>
      <c r="V11" s="15"/>
      <c r="W11" s="14">
        <f t="shared" si="9"/>
        <v>0</v>
      </c>
      <c r="X11" s="15"/>
      <c r="Y11" s="14">
        <f t="shared" si="10"/>
        <v>0</v>
      </c>
      <c r="Z11" s="15"/>
      <c r="AA11" s="14">
        <f t="shared" si="12"/>
        <v>0</v>
      </c>
      <c r="AB11" s="15">
        <f t="shared" si="13"/>
        <v>0</v>
      </c>
      <c r="AC11" s="14">
        <f t="shared" si="11"/>
        <v>0</v>
      </c>
    </row>
    <row r="12" spans="1:30" ht="21.75" customHeight="1" x14ac:dyDescent="0.5">
      <c r="A12" s="10">
        <v>8</v>
      </c>
      <c r="B12" s="19" t="s">
        <v>42</v>
      </c>
      <c r="C12" s="37">
        <v>1</v>
      </c>
      <c r="D12" s="11"/>
      <c r="E12" s="14">
        <f t="shared" si="0"/>
        <v>0</v>
      </c>
      <c r="F12" s="15"/>
      <c r="G12" s="14">
        <f t="shared" si="1"/>
        <v>0</v>
      </c>
      <c r="H12" s="15">
        <v>84</v>
      </c>
      <c r="I12" s="14">
        <f t="shared" si="2"/>
        <v>84</v>
      </c>
      <c r="J12" s="15">
        <v>336</v>
      </c>
      <c r="K12" s="14">
        <f t="shared" si="3"/>
        <v>336</v>
      </c>
      <c r="L12" s="15"/>
      <c r="M12" s="14">
        <f t="shared" si="4"/>
        <v>0</v>
      </c>
      <c r="N12" s="15"/>
      <c r="O12" s="14">
        <f t="shared" si="5"/>
        <v>0</v>
      </c>
      <c r="P12" s="15">
        <v>72</v>
      </c>
      <c r="Q12" s="14">
        <f t="shared" si="6"/>
        <v>72</v>
      </c>
      <c r="R12" s="15"/>
      <c r="S12" s="14">
        <f t="shared" si="7"/>
        <v>0</v>
      </c>
      <c r="T12" s="15"/>
      <c r="U12" s="14">
        <f t="shared" si="8"/>
        <v>0</v>
      </c>
      <c r="V12" s="15"/>
      <c r="W12" s="14">
        <f t="shared" si="9"/>
        <v>0</v>
      </c>
      <c r="X12" s="15"/>
      <c r="Y12" s="14">
        <f t="shared" si="10"/>
        <v>0</v>
      </c>
      <c r="Z12" s="15"/>
      <c r="AA12" s="14">
        <f t="shared" si="12"/>
        <v>0</v>
      </c>
      <c r="AB12" s="15">
        <f>Z12+X12+V12+T12+R12+P12+N12+L12+J12+H12+F12+D12</f>
        <v>492</v>
      </c>
      <c r="AC12" s="14">
        <f t="shared" si="11"/>
        <v>492</v>
      </c>
    </row>
    <row r="13" spans="1:30" ht="21.75" customHeight="1" x14ac:dyDescent="0.5">
      <c r="A13" s="10">
        <v>9</v>
      </c>
      <c r="B13" s="11" t="s">
        <v>43</v>
      </c>
      <c r="C13" s="37">
        <v>1</v>
      </c>
      <c r="D13" s="11">
        <v>756</v>
      </c>
      <c r="E13" s="14">
        <f t="shared" si="0"/>
        <v>756</v>
      </c>
      <c r="F13" s="15">
        <v>574</v>
      </c>
      <c r="G13" s="14">
        <f t="shared" si="1"/>
        <v>574</v>
      </c>
      <c r="H13" s="15">
        <v>540</v>
      </c>
      <c r="I13" s="14">
        <f t="shared" si="2"/>
        <v>540</v>
      </c>
      <c r="J13" s="15">
        <v>204</v>
      </c>
      <c r="K13" s="14">
        <f t="shared" si="3"/>
        <v>204</v>
      </c>
      <c r="L13" s="15">
        <v>912</v>
      </c>
      <c r="M13" s="14">
        <f t="shared" si="4"/>
        <v>912</v>
      </c>
      <c r="N13" s="15">
        <v>108</v>
      </c>
      <c r="O13" s="14">
        <f t="shared" si="5"/>
        <v>108</v>
      </c>
      <c r="P13" s="15"/>
      <c r="Q13" s="14">
        <f t="shared" si="6"/>
        <v>0</v>
      </c>
      <c r="R13" s="15">
        <v>108</v>
      </c>
      <c r="S13" s="14">
        <f t="shared" si="7"/>
        <v>108</v>
      </c>
      <c r="T13" s="15">
        <v>264</v>
      </c>
      <c r="U13" s="14">
        <f t="shared" si="8"/>
        <v>264</v>
      </c>
      <c r="V13" s="15">
        <v>252</v>
      </c>
      <c r="W13" s="14">
        <f t="shared" si="9"/>
        <v>252</v>
      </c>
      <c r="X13" s="15">
        <v>180</v>
      </c>
      <c r="Y13" s="14">
        <f t="shared" si="10"/>
        <v>180</v>
      </c>
      <c r="Z13" s="15">
        <v>204</v>
      </c>
      <c r="AA13" s="14">
        <f t="shared" si="12"/>
        <v>204</v>
      </c>
      <c r="AB13" s="15">
        <f t="shared" si="13"/>
        <v>4102</v>
      </c>
      <c r="AC13" s="14">
        <f t="shared" si="11"/>
        <v>4102</v>
      </c>
    </row>
    <row r="14" spans="1:30" ht="21.75" customHeight="1" x14ac:dyDescent="0.5">
      <c r="A14" s="10">
        <v>10</v>
      </c>
      <c r="B14" s="11" t="s">
        <v>44</v>
      </c>
      <c r="C14" s="37">
        <v>0.3</v>
      </c>
      <c r="D14" s="11"/>
      <c r="E14" s="14">
        <v>5</v>
      </c>
      <c r="F14" s="15">
        <v>1572</v>
      </c>
      <c r="G14" s="14">
        <f t="shared" si="1"/>
        <v>471.59999999999997</v>
      </c>
      <c r="H14" s="15">
        <v>4020</v>
      </c>
      <c r="I14" s="14">
        <f t="shared" si="2"/>
        <v>1206</v>
      </c>
      <c r="J14" s="15">
        <v>9740</v>
      </c>
      <c r="K14" s="14">
        <f t="shared" si="3"/>
        <v>2922</v>
      </c>
      <c r="L14" s="15">
        <v>11136</v>
      </c>
      <c r="M14" s="14">
        <f t="shared" si="4"/>
        <v>3340.7999999999997</v>
      </c>
      <c r="N14" s="15"/>
      <c r="O14" s="14">
        <f t="shared" si="5"/>
        <v>0</v>
      </c>
      <c r="P14" s="15"/>
      <c r="Q14" s="14">
        <f t="shared" si="6"/>
        <v>0</v>
      </c>
      <c r="R14" s="15"/>
      <c r="S14" s="14">
        <f t="shared" si="7"/>
        <v>0</v>
      </c>
      <c r="T14" s="15"/>
      <c r="U14" s="14">
        <f t="shared" si="8"/>
        <v>0</v>
      </c>
      <c r="V14" s="15"/>
      <c r="W14" s="14">
        <f t="shared" si="9"/>
        <v>0</v>
      </c>
      <c r="X14" s="15"/>
      <c r="Y14" s="14">
        <f t="shared" si="10"/>
        <v>0</v>
      </c>
      <c r="Z14" s="15"/>
      <c r="AA14" s="14">
        <f t="shared" si="12"/>
        <v>0</v>
      </c>
      <c r="AB14" s="15">
        <f t="shared" si="13"/>
        <v>26468</v>
      </c>
      <c r="AC14" s="14">
        <f t="shared" si="11"/>
        <v>7940.4</v>
      </c>
    </row>
    <row r="15" spans="1:30" ht="21.75" customHeight="1" x14ac:dyDescent="0.5">
      <c r="A15" s="10">
        <v>11</v>
      </c>
      <c r="B15" s="11" t="s">
        <v>45</v>
      </c>
      <c r="C15" s="37">
        <v>0.64</v>
      </c>
      <c r="D15" s="11">
        <v>4438</v>
      </c>
      <c r="E15" s="14">
        <f t="shared" si="0"/>
        <v>2840.32</v>
      </c>
      <c r="F15" s="38">
        <v>4284</v>
      </c>
      <c r="G15" s="14">
        <f t="shared" si="1"/>
        <v>2741.76</v>
      </c>
      <c r="H15" s="15">
        <v>5320</v>
      </c>
      <c r="I15" s="14">
        <f t="shared" si="2"/>
        <v>3404.8</v>
      </c>
      <c r="J15" s="32">
        <v>3010</v>
      </c>
      <c r="K15" s="14">
        <f t="shared" si="3"/>
        <v>1926.4</v>
      </c>
      <c r="L15" s="15">
        <v>4144</v>
      </c>
      <c r="M15" s="14">
        <f t="shared" si="4"/>
        <v>2652.16</v>
      </c>
      <c r="N15" s="15">
        <v>5096</v>
      </c>
      <c r="O15" s="14">
        <f t="shared" si="5"/>
        <v>3261.44</v>
      </c>
      <c r="P15" s="15">
        <v>4130</v>
      </c>
      <c r="Q15" s="14">
        <f t="shared" si="6"/>
        <v>2643.2000000000003</v>
      </c>
      <c r="R15" s="15">
        <v>6650</v>
      </c>
      <c r="S15" s="14">
        <f t="shared" si="7"/>
        <v>4256</v>
      </c>
      <c r="T15" s="15">
        <v>2548</v>
      </c>
      <c r="U15" s="14">
        <f t="shared" si="8"/>
        <v>1630.72</v>
      </c>
      <c r="V15" s="15">
        <v>966</v>
      </c>
      <c r="W15" s="14">
        <f t="shared" si="9"/>
        <v>618.24</v>
      </c>
      <c r="X15" s="33">
        <v>5110</v>
      </c>
      <c r="Y15" s="14">
        <f t="shared" si="10"/>
        <v>3270.4</v>
      </c>
      <c r="Z15" s="33">
        <v>2198</v>
      </c>
      <c r="AA15" s="14">
        <f t="shared" si="12"/>
        <v>1406.72</v>
      </c>
      <c r="AB15" s="15">
        <f t="shared" si="13"/>
        <v>47894</v>
      </c>
      <c r="AC15" s="14">
        <f t="shared" si="11"/>
        <v>30652.16</v>
      </c>
    </row>
    <row r="16" spans="1:30" ht="21.75" customHeight="1" x14ac:dyDescent="0.5">
      <c r="A16" s="10">
        <v>12</v>
      </c>
      <c r="B16" s="11" t="s">
        <v>65</v>
      </c>
      <c r="C16" s="37">
        <v>0.64</v>
      </c>
      <c r="D16" s="11">
        <v>193046</v>
      </c>
      <c r="E16" s="14">
        <f t="shared" si="0"/>
        <v>123549.44</v>
      </c>
      <c r="F16" s="38">
        <v>170534</v>
      </c>
      <c r="G16" s="14">
        <f t="shared" si="1"/>
        <v>109141.76000000001</v>
      </c>
      <c r="H16" s="32">
        <v>206766</v>
      </c>
      <c r="I16" s="14">
        <f t="shared" si="2"/>
        <v>132330.23999999999</v>
      </c>
      <c r="J16" s="32">
        <v>196672</v>
      </c>
      <c r="K16" s="14">
        <f t="shared" si="3"/>
        <v>125870.08</v>
      </c>
      <c r="L16" s="15">
        <v>207984</v>
      </c>
      <c r="M16" s="14">
        <f t="shared" si="4"/>
        <v>133109.76000000001</v>
      </c>
      <c r="N16" s="15">
        <v>188433</v>
      </c>
      <c r="O16" s="14">
        <f t="shared" si="5"/>
        <v>120597.12</v>
      </c>
      <c r="P16" s="15">
        <v>204092</v>
      </c>
      <c r="Q16" s="14">
        <f t="shared" si="6"/>
        <v>130618.88</v>
      </c>
      <c r="R16" s="15">
        <v>223622</v>
      </c>
      <c r="S16" s="14">
        <f t="shared" si="7"/>
        <v>143118.08000000002</v>
      </c>
      <c r="T16" s="15">
        <v>112728</v>
      </c>
      <c r="U16" s="14">
        <f t="shared" si="8"/>
        <v>72145.919999999998</v>
      </c>
      <c r="V16" s="15">
        <v>134912</v>
      </c>
      <c r="W16" s="14">
        <f t="shared" si="9"/>
        <v>86343.680000000008</v>
      </c>
      <c r="X16" s="15">
        <v>153678</v>
      </c>
      <c r="Y16" s="14">
        <f t="shared" si="10"/>
        <v>98353.919999999998</v>
      </c>
      <c r="Z16" s="15">
        <v>171570</v>
      </c>
      <c r="AA16" s="14">
        <f t="shared" si="12"/>
        <v>109804.8</v>
      </c>
      <c r="AB16" s="15">
        <f t="shared" si="13"/>
        <v>2164037</v>
      </c>
      <c r="AC16" s="14">
        <f t="shared" si="11"/>
        <v>1384983.68</v>
      </c>
    </row>
    <row r="17" spans="1:29" ht="21.75" customHeight="1" x14ac:dyDescent="0.5">
      <c r="A17" s="10">
        <v>13</v>
      </c>
      <c r="B17" s="11" t="s">
        <v>66</v>
      </c>
      <c r="C17" s="37">
        <v>0.64</v>
      </c>
      <c r="D17" s="11">
        <v>2160</v>
      </c>
      <c r="E17" s="14">
        <f t="shared" si="0"/>
        <v>1382.4</v>
      </c>
      <c r="F17" s="38">
        <v>2160</v>
      </c>
      <c r="G17" s="14">
        <f t="shared" si="1"/>
        <v>1382.4</v>
      </c>
      <c r="H17" s="32">
        <v>3120</v>
      </c>
      <c r="I17" s="14">
        <f t="shared" si="2"/>
        <v>1996.8</v>
      </c>
      <c r="J17" s="32">
        <v>720</v>
      </c>
      <c r="K17" s="14">
        <f t="shared" si="3"/>
        <v>460.8</v>
      </c>
      <c r="L17" s="17"/>
      <c r="M17" s="14">
        <f t="shared" si="4"/>
        <v>0</v>
      </c>
      <c r="N17" s="15">
        <v>1680</v>
      </c>
      <c r="O17" s="14">
        <f t="shared" si="5"/>
        <v>1075.2</v>
      </c>
      <c r="P17" s="15"/>
      <c r="Q17" s="14">
        <f t="shared" si="6"/>
        <v>0</v>
      </c>
      <c r="R17" s="15">
        <v>720</v>
      </c>
      <c r="S17" s="14">
        <f t="shared" si="7"/>
        <v>460.8</v>
      </c>
      <c r="T17" s="15"/>
      <c r="U17" s="14">
        <f t="shared" si="8"/>
        <v>0</v>
      </c>
      <c r="V17" s="15">
        <v>1560</v>
      </c>
      <c r="W17" s="14">
        <f t="shared" si="9"/>
        <v>998.4</v>
      </c>
      <c r="X17" s="33">
        <v>480</v>
      </c>
      <c r="Y17" s="14">
        <f t="shared" si="10"/>
        <v>307.2</v>
      </c>
      <c r="Z17" s="33">
        <v>1320</v>
      </c>
      <c r="AA17" s="14">
        <f t="shared" si="12"/>
        <v>844.80000000000007</v>
      </c>
      <c r="AB17" s="15">
        <f t="shared" si="13"/>
        <v>13920</v>
      </c>
      <c r="AC17" s="14">
        <f t="shared" si="11"/>
        <v>8908.8000000000011</v>
      </c>
    </row>
    <row r="18" spans="1:29" ht="21.75" customHeight="1" x14ac:dyDescent="0.5">
      <c r="A18" s="10">
        <v>14</v>
      </c>
      <c r="B18" s="11" t="s">
        <v>46</v>
      </c>
      <c r="C18" s="37">
        <v>0.64</v>
      </c>
      <c r="D18" s="11">
        <v>12544</v>
      </c>
      <c r="E18" s="14">
        <f t="shared" si="0"/>
        <v>8028.16</v>
      </c>
      <c r="F18" s="38">
        <v>11606</v>
      </c>
      <c r="G18" s="14">
        <f t="shared" si="1"/>
        <v>7427.84</v>
      </c>
      <c r="H18" s="15">
        <v>10738</v>
      </c>
      <c r="I18" s="14">
        <f t="shared" si="2"/>
        <v>6872.32</v>
      </c>
      <c r="J18" s="32">
        <v>12502</v>
      </c>
      <c r="K18" s="14">
        <f t="shared" si="3"/>
        <v>8001.28</v>
      </c>
      <c r="L18" s="15">
        <v>10906</v>
      </c>
      <c r="M18" s="14">
        <f t="shared" si="4"/>
        <v>6979.84</v>
      </c>
      <c r="N18" s="15">
        <v>11970</v>
      </c>
      <c r="O18" s="14">
        <f t="shared" si="5"/>
        <v>7660.8</v>
      </c>
      <c r="P18" s="15">
        <v>11956</v>
      </c>
      <c r="Q18" s="14">
        <f t="shared" si="6"/>
        <v>7651.84</v>
      </c>
      <c r="R18" s="15">
        <v>13230</v>
      </c>
      <c r="S18" s="14">
        <f t="shared" si="7"/>
        <v>8467.2000000000007</v>
      </c>
      <c r="T18" s="15">
        <v>7238</v>
      </c>
      <c r="U18" s="14">
        <f t="shared" si="8"/>
        <v>4632.32</v>
      </c>
      <c r="V18" s="15">
        <v>8988</v>
      </c>
      <c r="W18" s="14">
        <f t="shared" si="9"/>
        <v>5752.32</v>
      </c>
      <c r="X18" s="15">
        <v>8456</v>
      </c>
      <c r="Y18" s="14">
        <f t="shared" si="10"/>
        <v>5411.84</v>
      </c>
      <c r="Z18" s="15">
        <v>9730</v>
      </c>
      <c r="AA18" s="14">
        <f t="shared" si="12"/>
        <v>6227.2</v>
      </c>
      <c r="AB18" s="15">
        <f t="shared" si="13"/>
        <v>129864</v>
      </c>
      <c r="AC18" s="14">
        <f t="shared" si="11"/>
        <v>83112.960000000006</v>
      </c>
    </row>
    <row r="19" spans="1:29" ht="21.75" customHeight="1" x14ac:dyDescent="0.5">
      <c r="A19" s="10">
        <v>15</v>
      </c>
      <c r="B19" s="11" t="s">
        <v>47</v>
      </c>
      <c r="C19" s="37">
        <v>0.64</v>
      </c>
      <c r="D19" s="11">
        <v>1596</v>
      </c>
      <c r="E19" s="14">
        <f t="shared" si="0"/>
        <v>1021.44</v>
      </c>
      <c r="F19" s="15"/>
      <c r="G19" s="14">
        <f t="shared" si="1"/>
        <v>0</v>
      </c>
      <c r="H19" s="15"/>
      <c r="I19" s="14">
        <f t="shared" si="2"/>
        <v>0</v>
      </c>
      <c r="J19" s="15"/>
      <c r="K19" s="14">
        <f t="shared" si="3"/>
        <v>0</v>
      </c>
      <c r="L19" s="15"/>
      <c r="M19" s="14">
        <f t="shared" si="4"/>
        <v>0</v>
      </c>
      <c r="N19" s="15"/>
      <c r="O19" s="14">
        <f t="shared" si="5"/>
        <v>0</v>
      </c>
      <c r="P19" s="15"/>
      <c r="Q19" s="14">
        <f t="shared" si="6"/>
        <v>0</v>
      </c>
      <c r="R19" s="15"/>
      <c r="S19" s="14">
        <f t="shared" si="7"/>
        <v>0</v>
      </c>
      <c r="T19" s="15"/>
      <c r="U19" s="14">
        <f t="shared" si="8"/>
        <v>0</v>
      </c>
      <c r="V19" s="15"/>
      <c r="W19" s="14">
        <f t="shared" si="9"/>
        <v>0</v>
      </c>
      <c r="X19" s="15"/>
      <c r="Y19" s="14">
        <f t="shared" si="10"/>
        <v>0</v>
      </c>
      <c r="Z19" s="15"/>
      <c r="AA19" s="14">
        <f t="shared" si="12"/>
        <v>0</v>
      </c>
      <c r="AB19" s="15">
        <f t="shared" si="13"/>
        <v>1596</v>
      </c>
      <c r="AC19" s="14">
        <f t="shared" si="11"/>
        <v>1021.44</v>
      </c>
    </row>
    <row r="20" spans="1:29" ht="21.75" customHeight="1" x14ac:dyDescent="0.5">
      <c r="A20" s="10">
        <v>16</v>
      </c>
      <c r="B20" s="11" t="s">
        <v>48</v>
      </c>
      <c r="C20" s="37">
        <v>0.64</v>
      </c>
      <c r="D20" s="11"/>
      <c r="E20" s="14">
        <f t="shared" si="0"/>
        <v>0</v>
      </c>
      <c r="F20" s="38">
        <v>1778</v>
      </c>
      <c r="G20" s="14">
        <f t="shared" si="1"/>
        <v>1137.92</v>
      </c>
      <c r="H20" s="32">
        <v>3640</v>
      </c>
      <c r="I20" s="14">
        <f t="shared" si="2"/>
        <v>2329.6</v>
      </c>
      <c r="J20" s="32">
        <v>2212</v>
      </c>
      <c r="K20" s="14">
        <f t="shared" si="3"/>
        <v>1415.68</v>
      </c>
      <c r="L20" s="15">
        <v>3696</v>
      </c>
      <c r="M20" s="14">
        <f t="shared" si="4"/>
        <v>2365.44</v>
      </c>
      <c r="N20" s="15">
        <v>2394</v>
      </c>
      <c r="O20" s="14">
        <f t="shared" si="5"/>
        <v>1532.16</v>
      </c>
      <c r="P20" s="15">
        <v>3514</v>
      </c>
      <c r="Q20" s="14">
        <f t="shared" si="6"/>
        <v>2248.96</v>
      </c>
      <c r="R20" s="15">
        <v>5068</v>
      </c>
      <c r="S20" s="14">
        <f t="shared" si="7"/>
        <v>3243.52</v>
      </c>
      <c r="T20" s="15">
        <v>602</v>
      </c>
      <c r="U20" s="14">
        <f t="shared" si="8"/>
        <v>385.28000000000003</v>
      </c>
      <c r="V20" s="15">
        <v>1498</v>
      </c>
      <c r="W20" s="14">
        <f t="shared" si="9"/>
        <v>958.72</v>
      </c>
      <c r="X20" s="15">
        <v>2100</v>
      </c>
      <c r="Y20" s="14">
        <f t="shared" si="10"/>
        <v>1344</v>
      </c>
      <c r="Z20" s="15">
        <v>1470</v>
      </c>
      <c r="AA20" s="14">
        <f t="shared" si="12"/>
        <v>940.80000000000007</v>
      </c>
      <c r="AB20" s="15">
        <f t="shared" si="13"/>
        <v>27972</v>
      </c>
      <c r="AC20" s="14">
        <f t="shared" si="11"/>
        <v>17902.080000000002</v>
      </c>
    </row>
    <row r="21" spans="1:29" ht="21.75" customHeight="1" x14ac:dyDescent="0.5">
      <c r="A21" s="10">
        <v>23</v>
      </c>
      <c r="B21" s="11" t="s">
        <v>69</v>
      </c>
      <c r="C21" s="37">
        <v>0.64</v>
      </c>
      <c r="D21" s="11">
        <v>360</v>
      </c>
      <c r="E21" s="14">
        <f t="shared" si="0"/>
        <v>230.4</v>
      </c>
      <c r="F21" s="15">
        <v>360</v>
      </c>
      <c r="G21" s="14">
        <f t="shared" si="1"/>
        <v>230.4</v>
      </c>
      <c r="H21" s="15">
        <v>1200</v>
      </c>
      <c r="I21" s="14">
        <f t="shared" si="2"/>
        <v>768</v>
      </c>
      <c r="J21" s="32">
        <v>360</v>
      </c>
      <c r="K21" s="14">
        <f t="shared" si="3"/>
        <v>230.4</v>
      </c>
      <c r="L21" s="15">
        <v>840</v>
      </c>
      <c r="M21" s="14">
        <f t="shared" si="4"/>
        <v>537.6</v>
      </c>
      <c r="N21" s="15">
        <v>360</v>
      </c>
      <c r="O21" s="14">
        <f t="shared" si="5"/>
        <v>230.4</v>
      </c>
      <c r="P21" s="15">
        <v>384</v>
      </c>
      <c r="Q21" s="14">
        <f t="shared" si="6"/>
        <v>245.76</v>
      </c>
      <c r="R21" s="15">
        <v>242</v>
      </c>
      <c r="S21" s="14">
        <f t="shared" si="7"/>
        <v>154.88</v>
      </c>
      <c r="T21" s="15">
        <v>1968</v>
      </c>
      <c r="U21" s="14">
        <f t="shared" si="8"/>
        <v>1259.52</v>
      </c>
      <c r="V21" s="33">
        <v>238</v>
      </c>
      <c r="W21" s="14">
        <f t="shared" si="9"/>
        <v>152.32</v>
      </c>
      <c r="X21" s="33">
        <v>112</v>
      </c>
      <c r="Y21" s="14">
        <f t="shared" si="10"/>
        <v>71.680000000000007</v>
      </c>
      <c r="Z21" s="33">
        <v>588</v>
      </c>
      <c r="AA21" s="14">
        <f t="shared" si="12"/>
        <v>376.32</v>
      </c>
      <c r="AB21" s="15">
        <f t="shared" si="13"/>
        <v>7012</v>
      </c>
      <c r="AC21" s="14">
        <f t="shared" si="11"/>
        <v>4487.68</v>
      </c>
    </row>
    <row r="22" spans="1:29" ht="21.75" customHeight="1" x14ac:dyDescent="0.5">
      <c r="A22" s="10"/>
      <c r="B22" s="11" t="s">
        <v>70</v>
      </c>
      <c r="C22" s="37">
        <v>0.64</v>
      </c>
      <c r="D22" s="11"/>
      <c r="E22" s="14">
        <f t="shared" si="0"/>
        <v>0</v>
      </c>
      <c r="F22" s="36"/>
      <c r="G22" s="14">
        <f t="shared" si="1"/>
        <v>0</v>
      </c>
      <c r="H22" s="36"/>
      <c r="I22" s="14">
        <f t="shared" si="2"/>
        <v>0</v>
      </c>
      <c r="J22" s="34"/>
      <c r="K22" s="14">
        <f t="shared" si="3"/>
        <v>0</v>
      </c>
      <c r="L22" s="15"/>
      <c r="M22" s="14">
        <f t="shared" si="4"/>
        <v>0</v>
      </c>
      <c r="N22" s="15"/>
      <c r="O22" s="14">
        <f t="shared" si="5"/>
        <v>0</v>
      </c>
      <c r="P22" s="15"/>
      <c r="Q22" s="14">
        <f t="shared" si="6"/>
        <v>0</v>
      </c>
      <c r="R22" s="15"/>
      <c r="S22" s="14">
        <f t="shared" si="7"/>
        <v>0</v>
      </c>
      <c r="T22" s="15"/>
      <c r="U22" s="14">
        <f t="shared" si="8"/>
        <v>0</v>
      </c>
      <c r="V22" s="33">
        <v>216</v>
      </c>
      <c r="W22" s="14">
        <f t="shared" si="9"/>
        <v>138.24</v>
      </c>
      <c r="X22" s="15">
        <v>552</v>
      </c>
      <c r="Y22" s="14">
        <f t="shared" si="10"/>
        <v>353.28000000000003</v>
      </c>
      <c r="Z22" s="15">
        <v>120</v>
      </c>
      <c r="AA22" s="14">
        <f t="shared" si="12"/>
        <v>76.8</v>
      </c>
      <c r="AB22" s="15">
        <f t="shared" si="13"/>
        <v>888</v>
      </c>
      <c r="AC22" s="14">
        <f t="shared" si="11"/>
        <v>568.32000000000005</v>
      </c>
    </row>
    <row r="23" spans="1:29" ht="21.75" customHeight="1" x14ac:dyDescent="0.5">
      <c r="A23" s="10">
        <v>24</v>
      </c>
      <c r="B23" s="20" t="s">
        <v>50</v>
      </c>
      <c r="C23" s="37">
        <v>0.64</v>
      </c>
      <c r="D23" s="11">
        <v>21480</v>
      </c>
      <c r="E23" s="14">
        <f t="shared" si="0"/>
        <v>13747.2</v>
      </c>
      <c r="F23" s="38">
        <v>18816</v>
      </c>
      <c r="G23" s="14">
        <f t="shared" si="1"/>
        <v>12042.24</v>
      </c>
      <c r="H23" s="32">
        <v>21360</v>
      </c>
      <c r="I23" s="14">
        <f t="shared" si="2"/>
        <v>13670.4</v>
      </c>
      <c r="J23" s="15">
        <v>21120</v>
      </c>
      <c r="K23" s="14">
        <f t="shared" si="3"/>
        <v>13516.800000000001</v>
      </c>
      <c r="L23" s="15">
        <v>21720</v>
      </c>
      <c r="M23" s="14">
        <f t="shared" si="4"/>
        <v>13900.800000000001</v>
      </c>
      <c r="N23" s="15">
        <v>18744</v>
      </c>
      <c r="O23" s="14">
        <f t="shared" si="5"/>
        <v>11996.16</v>
      </c>
      <c r="P23" s="15">
        <v>18960</v>
      </c>
      <c r="Q23" s="14">
        <f t="shared" si="6"/>
        <v>12134.4</v>
      </c>
      <c r="R23" s="15">
        <v>25824</v>
      </c>
      <c r="S23" s="14">
        <f t="shared" si="7"/>
        <v>16527.36</v>
      </c>
      <c r="T23" s="15">
        <v>11400</v>
      </c>
      <c r="U23" s="14">
        <f t="shared" si="8"/>
        <v>7296</v>
      </c>
      <c r="V23" s="15">
        <v>13896</v>
      </c>
      <c r="W23" s="14">
        <f t="shared" si="9"/>
        <v>8893.44</v>
      </c>
      <c r="X23" s="15">
        <v>18240</v>
      </c>
      <c r="Y23" s="14">
        <f t="shared" si="10"/>
        <v>11673.6</v>
      </c>
      <c r="Z23" s="15">
        <v>17400</v>
      </c>
      <c r="AA23" s="14">
        <f t="shared" si="12"/>
        <v>11136</v>
      </c>
      <c r="AB23" s="15">
        <f t="shared" si="13"/>
        <v>228960</v>
      </c>
      <c r="AC23" s="14">
        <f t="shared" si="11"/>
        <v>146534.39999999999</v>
      </c>
    </row>
    <row r="24" spans="1:29" ht="21.75" customHeight="1" x14ac:dyDescent="0.5">
      <c r="A24" s="10">
        <v>26</v>
      </c>
      <c r="B24" s="11" t="s">
        <v>51</v>
      </c>
      <c r="C24" s="37">
        <v>0.7</v>
      </c>
      <c r="D24" s="11">
        <v>298</v>
      </c>
      <c r="E24" s="14">
        <f t="shared" si="0"/>
        <v>208.6</v>
      </c>
      <c r="F24" s="38">
        <v>130</v>
      </c>
      <c r="G24" s="14">
        <f t="shared" si="1"/>
        <v>91</v>
      </c>
      <c r="H24" s="32">
        <v>447</v>
      </c>
      <c r="I24" s="14">
        <f t="shared" si="2"/>
        <v>312.89999999999998</v>
      </c>
      <c r="J24" s="32">
        <v>12</v>
      </c>
      <c r="K24" s="14">
        <f t="shared" si="3"/>
        <v>8.3999999999999986</v>
      </c>
      <c r="L24" s="15">
        <v>126</v>
      </c>
      <c r="M24" s="14">
        <f t="shared" si="4"/>
        <v>88.199999999999989</v>
      </c>
      <c r="N24" s="15">
        <v>182</v>
      </c>
      <c r="O24" s="14">
        <f t="shared" si="5"/>
        <v>127.39999999999999</v>
      </c>
      <c r="P24" s="15">
        <v>2</v>
      </c>
      <c r="Q24" s="14">
        <f t="shared" si="6"/>
        <v>1.4</v>
      </c>
      <c r="R24" s="15">
        <v>124</v>
      </c>
      <c r="S24" s="14">
        <f t="shared" si="7"/>
        <v>86.8</v>
      </c>
      <c r="T24" s="15">
        <v>10</v>
      </c>
      <c r="U24" s="14">
        <f t="shared" si="8"/>
        <v>7</v>
      </c>
      <c r="V24" s="15">
        <v>209</v>
      </c>
      <c r="W24" s="14">
        <f t="shared" si="9"/>
        <v>146.29999999999998</v>
      </c>
      <c r="X24" s="15"/>
      <c r="Y24" s="14">
        <f t="shared" si="10"/>
        <v>0</v>
      </c>
      <c r="Z24" s="33">
        <v>180</v>
      </c>
      <c r="AA24" s="14">
        <f t="shared" si="12"/>
        <v>125.99999999999999</v>
      </c>
      <c r="AB24" s="15">
        <f t="shared" si="13"/>
        <v>1720</v>
      </c>
      <c r="AC24" s="14">
        <f t="shared" si="11"/>
        <v>1204</v>
      </c>
    </row>
    <row r="25" spans="1:29" ht="21.75" customHeight="1" x14ac:dyDescent="0.5">
      <c r="A25" s="10">
        <v>27</v>
      </c>
      <c r="B25" s="11" t="s">
        <v>52</v>
      </c>
      <c r="C25" s="37">
        <v>0.35</v>
      </c>
      <c r="D25" s="11"/>
      <c r="E25" s="14">
        <f t="shared" si="0"/>
        <v>0</v>
      </c>
      <c r="F25" s="15">
        <v>2</v>
      </c>
      <c r="G25" s="14">
        <f t="shared" si="1"/>
        <v>0.7</v>
      </c>
      <c r="H25" s="32"/>
      <c r="I25" s="14">
        <f t="shared" si="2"/>
        <v>0</v>
      </c>
      <c r="J25" s="15"/>
      <c r="K25" s="14">
        <f t="shared" si="3"/>
        <v>0</v>
      </c>
      <c r="L25" s="15"/>
      <c r="M25" s="14">
        <f t="shared" si="4"/>
        <v>0</v>
      </c>
      <c r="N25" s="15">
        <v>72</v>
      </c>
      <c r="O25" s="14">
        <f t="shared" si="5"/>
        <v>25.2</v>
      </c>
      <c r="P25" s="15"/>
      <c r="Q25" s="14">
        <f t="shared" si="6"/>
        <v>0</v>
      </c>
      <c r="R25" s="15"/>
      <c r="S25" s="14">
        <f t="shared" si="7"/>
        <v>0</v>
      </c>
      <c r="T25" s="15">
        <v>5</v>
      </c>
      <c r="U25" s="14">
        <f t="shared" si="8"/>
        <v>1.75</v>
      </c>
      <c r="V25" s="15"/>
      <c r="W25" s="14">
        <f t="shared" si="9"/>
        <v>0</v>
      </c>
      <c r="X25" s="15"/>
      <c r="Y25" s="14">
        <f t="shared" si="10"/>
        <v>0</v>
      </c>
      <c r="Z25" s="15"/>
      <c r="AA25" s="14">
        <f>Z25*$C25</f>
        <v>0</v>
      </c>
      <c r="AB25" s="15">
        <f t="shared" si="13"/>
        <v>79</v>
      </c>
      <c r="AC25" s="14">
        <f t="shared" si="11"/>
        <v>27.65</v>
      </c>
    </row>
    <row r="26" spans="1:29" ht="21.75" hidden="1" customHeight="1" x14ac:dyDescent="0.5">
      <c r="A26" s="10"/>
      <c r="B26" s="39"/>
      <c r="C26" s="37"/>
      <c r="D26" s="11"/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  <c r="P26" s="15"/>
      <c r="Q26" s="14"/>
      <c r="R26" s="15"/>
      <c r="S26" s="14"/>
      <c r="T26" s="15"/>
      <c r="U26" s="14"/>
      <c r="V26" s="15"/>
      <c r="W26" s="14"/>
      <c r="X26" s="15"/>
      <c r="Y26" s="14"/>
      <c r="Z26" s="15"/>
      <c r="AA26" s="14"/>
      <c r="AB26" s="15"/>
      <c r="AC26" s="14">
        <f t="shared" si="11"/>
        <v>0</v>
      </c>
    </row>
    <row r="27" spans="1:29" ht="21.75" hidden="1" customHeight="1" x14ac:dyDescent="0.5">
      <c r="A27" s="10"/>
      <c r="B27" s="39"/>
      <c r="C27" s="37"/>
      <c r="D27" s="15"/>
      <c r="E27" s="14"/>
      <c r="F27" s="15"/>
      <c r="G27" s="14"/>
      <c r="H27" s="15"/>
      <c r="I27" s="14"/>
      <c r="J27" s="15"/>
      <c r="K27" s="14"/>
      <c r="L27" s="15"/>
      <c r="M27" s="14"/>
      <c r="N27" s="15"/>
      <c r="O27" s="14"/>
      <c r="P27" s="15"/>
      <c r="Q27" s="14"/>
      <c r="R27" s="15"/>
      <c r="S27" s="14"/>
      <c r="T27" s="15"/>
      <c r="U27" s="14"/>
      <c r="V27" s="15"/>
      <c r="W27" s="14"/>
      <c r="X27" s="15"/>
      <c r="Y27" s="14"/>
      <c r="Z27" s="15"/>
      <c r="AA27" s="14"/>
      <c r="AB27" s="15"/>
      <c r="AC27" s="14">
        <f t="shared" si="11"/>
        <v>0</v>
      </c>
    </row>
    <row r="28" spans="1:29" ht="21.75" hidden="1" customHeight="1" x14ac:dyDescent="0.5">
      <c r="A28" s="10"/>
      <c r="B28" s="39"/>
      <c r="C28" s="37"/>
      <c r="D28" s="15"/>
      <c r="E28" s="14">
        <f t="shared" si="0"/>
        <v>0</v>
      </c>
      <c r="F28" s="15"/>
      <c r="G28" s="14">
        <f t="shared" si="1"/>
        <v>0</v>
      </c>
      <c r="H28" s="15"/>
      <c r="I28" s="14">
        <f t="shared" si="2"/>
        <v>0</v>
      </c>
      <c r="J28" s="15"/>
      <c r="K28" s="14">
        <f t="shared" si="3"/>
        <v>0</v>
      </c>
      <c r="L28" s="15"/>
      <c r="M28" s="14">
        <f t="shared" si="4"/>
        <v>0</v>
      </c>
      <c r="N28" s="15"/>
      <c r="O28" s="14">
        <f t="shared" si="5"/>
        <v>0</v>
      </c>
      <c r="P28" s="15"/>
      <c r="Q28" s="14">
        <f t="shared" si="6"/>
        <v>0</v>
      </c>
      <c r="R28" s="15"/>
      <c r="S28" s="14">
        <f t="shared" si="7"/>
        <v>0</v>
      </c>
      <c r="T28" s="15"/>
      <c r="U28" s="14">
        <f t="shared" si="8"/>
        <v>0</v>
      </c>
      <c r="V28" s="15"/>
      <c r="W28" s="14">
        <f t="shared" si="9"/>
        <v>0</v>
      </c>
      <c r="X28" s="15"/>
      <c r="Y28" s="14">
        <f t="shared" si="10"/>
        <v>0</v>
      </c>
      <c r="Z28" s="15"/>
      <c r="AA28" s="14">
        <f t="shared" si="12"/>
        <v>0</v>
      </c>
      <c r="AB28" s="15">
        <f t="shared" si="13"/>
        <v>0</v>
      </c>
      <c r="AC28" s="14">
        <f t="shared" si="11"/>
        <v>0</v>
      </c>
    </row>
    <row r="29" spans="1:29" ht="21.75" customHeight="1" x14ac:dyDescent="0.5">
      <c r="A29" s="21"/>
      <c r="B29" s="40" t="s">
        <v>8</v>
      </c>
      <c r="C29" s="41"/>
      <c r="D29" s="24">
        <f t="shared" ref="D29:I29" si="14">SUM(D4:D28)</f>
        <v>325634</v>
      </c>
      <c r="E29" s="42">
        <f t="shared" si="14"/>
        <v>221625.16000000003</v>
      </c>
      <c r="F29" s="24">
        <f t="shared" si="14"/>
        <v>268997</v>
      </c>
      <c r="G29" s="25">
        <f>SUM(G4:G28)</f>
        <v>179779.6</v>
      </c>
      <c r="H29" s="24">
        <f t="shared" si="14"/>
        <v>343569</v>
      </c>
      <c r="I29" s="25">
        <f t="shared" si="14"/>
        <v>232903.37999999998</v>
      </c>
      <c r="J29" s="43">
        <f t="shared" ref="J29:K29" si="15">SUM(J4:J28)</f>
        <v>330260</v>
      </c>
      <c r="K29" s="25">
        <f t="shared" si="15"/>
        <v>221363.99999999997</v>
      </c>
      <c r="L29" s="24">
        <f t="shared" ref="L29:AA29" si="16">SUM(L4:L28)</f>
        <v>346266</v>
      </c>
      <c r="M29" s="25">
        <f t="shared" si="16"/>
        <v>233332.68000000002</v>
      </c>
      <c r="N29" s="24">
        <f t="shared" si="16"/>
        <v>308961</v>
      </c>
      <c r="O29" s="25">
        <f t="shared" si="16"/>
        <v>212208.12</v>
      </c>
      <c r="P29" s="24">
        <f t="shared" si="16"/>
        <v>316734</v>
      </c>
      <c r="Q29" s="25">
        <f t="shared" si="16"/>
        <v>216194.27999999997</v>
      </c>
      <c r="R29" s="24">
        <f t="shared" si="16"/>
        <v>380944</v>
      </c>
      <c r="S29" s="25">
        <f t="shared" si="16"/>
        <v>255849.2</v>
      </c>
      <c r="T29" s="24">
        <f t="shared" si="16"/>
        <v>202293</v>
      </c>
      <c r="U29" s="25">
        <f t="shared" si="16"/>
        <v>141849.87</v>
      </c>
      <c r="V29" s="24">
        <f t="shared" si="16"/>
        <v>226479</v>
      </c>
      <c r="W29" s="25">
        <f t="shared" si="16"/>
        <v>156523.74</v>
      </c>
      <c r="X29" s="24">
        <f t="shared" si="16"/>
        <v>262455</v>
      </c>
      <c r="Y29" s="25">
        <f t="shared" si="16"/>
        <v>181711.08000000002</v>
      </c>
      <c r="Z29" s="24">
        <f t="shared" si="16"/>
        <v>287068</v>
      </c>
      <c r="AA29" s="25">
        <f t="shared" si="16"/>
        <v>200616.88</v>
      </c>
      <c r="AB29" s="24">
        <f>SUM(D29+F29+H29+J29+L29+N29+P29+R29+T29+V29+X29+Z29)</f>
        <v>3599660</v>
      </c>
      <c r="AC29" s="25">
        <f>AA29+Y29+W29+U29+S29+Q29+O29+M29+K29+I29+G29+E29</f>
        <v>2453957.9899999998</v>
      </c>
    </row>
    <row r="30" spans="1:29" ht="21.75" customHeight="1" x14ac:dyDescent="0.5">
      <c r="A30" s="21"/>
      <c r="B30" s="40" t="s">
        <v>15</v>
      </c>
      <c r="C30" s="41"/>
      <c r="D30" s="24"/>
      <c r="E30" s="42">
        <v>221625.16000000003</v>
      </c>
      <c r="F30" s="24"/>
      <c r="G30" s="42">
        <v>179779.6</v>
      </c>
      <c r="H30" s="24"/>
      <c r="I30" s="42">
        <v>232903.37999999998</v>
      </c>
      <c r="J30" s="24"/>
      <c r="K30" s="25">
        <v>221363.99999999997</v>
      </c>
      <c r="L30" s="24"/>
      <c r="M30" s="42">
        <v>233332.68000000002</v>
      </c>
      <c r="N30" s="24"/>
      <c r="O30" s="42">
        <v>212208.12</v>
      </c>
      <c r="P30" s="24"/>
      <c r="Q30" s="42">
        <v>216194.27999999997</v>
      </c>
      <c r="R30" s="24"/>
      <c r="S30" s="42">
        <v>255849.2</v>
      </c>
      <c r="T30" s="24"/>
      <c r="U30" s="42">
        <v>141849.87</v>
      </c>
      <c r="V30" s="24"/>
      <c r="W30" s="42">
        <v>156523.74</v>
      </c>
      <c r="X30" s="24"/>
      <c r="Y30" s="25">
        <v>181711.08000000002</v>
      </c>
      <c r="Z30" s="24"/>
      <c r="AA30" s="25">
        <v>200616.88</v>
      </c>
      <c r="AB30" s="24"/>
      <c r="AC30" s="25">
        <v>2453957.9899999998</v>
      </c>
    </row>
    <row r="31" spans="1:29" ht="21.75" customHeight="1" x14ac:dyDescent="0.5">
      <c r="A31" s="10"/>
      <c r="B31" s="39"/>
      <c r="C31" s="37"/>
      <c r="D31" s="20"/>
      <c r="E31" s="26"/>
      <c r="F31" s="20"/>
      <c r="G31" s="26"/>
      <c r="H31" s="20"/>
      <c r="I31" s="26"/>
      <c r="J31" s="20"/>
      <c r="K31" s="26"/>
      <c r="L31" s="20"/>
      <c r="M31" s="26"/>
      <c r="N31" s="20"/>
      <c r="O31" s="26"/>
      <c r="P31" s="20"/>
      <c r="Q31" s="26"/>
      <c r="R31" s="20"/>
      <c r="S31" s="26"/>
      <c r="T31" s="20"/>
      <c r="U31" s="26"/>
      <c r="V31" s="20"/>
      <c r="W31" s="26"/>
      <c r="X31" s="20"/>
      <c r="Y31" s="26"/>
      <c r="Z31" s="20"/>
      <c r="AA31" s="26"/>
      <c r="AB31" s="15"/>
      <c r="AC31" s="26"/>
    </row>
    <row r="32" spans="1:29" ht="21.75" customHeight="1" x14ac:dyDescent="0.5">
      <c r="A32" s="10">
        <v>1</v>
      </c>
      <c r="B32" s="11" t="s">
        <v>53</v>
      </c>
      <c r="C32" s="37">
        <v>0.7</v>
      </c>
      <c r="D32" s="38">
        <v>324</v>
      </c>
      <c r="E32" s="26"/>
      <c r="F32" s="38">
        <v>182</v>
      </c>
      <c r="G32" s="26"/>
      <c r="H32" s="32">
        <v>886</v>
      </c>
      <c r="I32" s="26"/>
      <c r="J32" s="32">
        <v>404</v>
      </c>
      <c r="K32" s="17"/>
      <c r="L32" s="17">
        <v>483</v>
      </c>
      <c r="M32" s="26"/>
      <c r="N32" s="15">
        <v>142</v>
      </c>
      <c r="O32" s="26"/>
      <c r="P32" s="15">
        <v>108</v>
      </c>
      <c r="Q32" s="26"/>
      <c r="R32" s="15">
        <v>204</v>
      </c>
      <c r="S32" s="26"/>
      <c r="T32" s="15">
        <v>429</v>
      </c>
      <c r="U32" s="26"/>
      <c r="V32" s="15">
        <v>150</v>
      </c>
      <c r="W32" s="26"/>
      <c r="X32" s="33">
        <v>150</v>
      </c>
      <c r="Y32" s="14">
        <f t="shared" ref="Y32:Y41" si="17">X32*$C32</f>
        <v>105</v>
      </c>
      <c r="Z32" s="33">
        <v>192</v>
      </c>
      <c r="AA32" s="14">
        <f t="shared" ref="AA32:AA41" si="18">Z32*$C32</f>
        <v>134.39999999999998</v>
      </c>
      <c r="AB32" s="15">
        <f>SUM(D32:Z32)</f>
        <v>3759</v>
      </c>
      <c r="AC32" s="26"/>
    </row>
    <row r="33" spans="1:29" ht="21.75" customHeight="1" x14ac:dyDescent="0.5">
      <c r="A33" s="10">
        <v>2</v>
      </c>
      <c r="B33" s="11" t="s">
        <v>54</v>
      </c>
      <c r="C33" s="37">
        <v>0.35</v>
      </c>
      <c r="D33" s="38">
        <v>185</v>
      </c>
      <c r="E33" s="26"/>
      <c r="F33" s="38">
        <v>149</v>
      </c>
      <c r="G33" s="26"/>
      <c r="H33" s="32">
        <v>300</v>
      </c>
      <c r="I33" s="26"/>
      <c r="J33" s="32">
        <v>65</v>
      </c>
      <c r="K33" s="17"/>
      <c r="L33" s="17">
        <v>127</v>
      </c>
      <c r="M33" s="26"/>
      <c r="N33" s="15">
        <v>13</v>
      </c>
      <c r="O33" s="26"/>
      <c r="P33" s="15">
        <v>24</v>
      </c>
      <c r="Q33" s="26"/>
      <c r="R33" s="15">
        <v>122</v>
      </c>
      <c r="S33" s="26"/>
      <c r="T33" s="15">
        <v>236</v>
      </c>
      <c r="U33" s="26"/>
      <c r="V33" s="15">
        <v>36</v>
      </c>
      <c r="W33" s="26"/>
      <c r="X33" s="33">
        <v>96</v>
      </c>
      <c r="Y33" s="14">
        <f t="shared" si="17"/>
        <v>33.599999999999994</v>
      </c>
      <c r="Z33" s="33">
        <v>6</v>
      </c>
      <c r="AA33" s="14">
        <f t="shared" si="18"/>
        <v>2.0999999999999996</v>
      </c>
      <c r="AB33" s="15">
        <f t="shared" ref="AB33:AB56" si="19">SUM(D33:Z33)</f>
        <v>1392.6</v>
      </c>
      <c r="AC33" s="26"/>
    </row>
    <row r="34" spans="1:29" ht="21.75" customHeight="1" x14ac:dyDescent="0.5">
      <c r="A34" s="10">
        <v>3</v>
      </c>
      <c r="B34" s="11" t="s">
        <v>55</v>
      </c>
      <c r="C34" s="37">
        <v>0.17499999999999999</v>
      </c>
      <c r="D34" s="38">
        <v>229</v>
      </c>
      <c r="E34" s="26"/>
      <c r="F34" s="38">
        <v>385</v>
      </c>
      <c r="G34" s="26"/>
      <c r="H34" s="32">
        <v>591</v>
      </c>
      <c r="I34" s="26"/>
      <c r="J34" s="32">
        <v>481</v>
      </c>
      <c r="K34" s="17"/>
      <c r="L34" s="17">
        <v>226</v>
      </c>
      <c r="M34" s="26"/>
      <c r="N34" s="15">
        <v>126</v>
      </c>
      <c r="O34" s="26"/>
      <c r="P34" s="15"/>
      <c r="Q34" s="26"/>
      <c r="R34" s="15">
        <v>741</v>
      </c>
      <c r="S34" s="26"/>
      <c r="T34" s="15">
        <v>267</v>
      </c>
      <c r="U34" s="26"/>
      <c r="V34" s="15">
        <v>97</v>
      </c>
      <c r="W34" s="26"/>
      <c r="X34" s="33">
        <v>408</v>
      </c>
      <c r="Y34" s="14">
        <f t="shared" si="17"/>
        <v>71.399999999999991</v>
      </c>
      <c r="Z34" s="33">
        <v>6</v>
      </c>
      <c r="AA34" s="14">
        <f t="shared" si="18"/>
        <v>1.0499999999999998</v>
      </c>
      <c r="AB34" s="15">
        <f t="shared" si="19"/>
        <v>3628.4</v>
      </c>
      <c r="AC34" s="26"/>
    </row>
    <row r="35" spans="1:29" ht="21.75" customHeight="1" x14ac:dyDescent="0.5">
      <c r="A35" s="10">
        <v>4</v>
      </c>
      <c r="B35" s="11" t="s">
        <v>56</v>
      </c>
      <c r="C35" s="37">
        <v>0.7</v>
      </c>
      <c r="D35" s="15">
        <v>762</v>
      </c>
      <c r="E35" s="26"/>
      <c r="F35" s="38">
        <v>430</v>
      </c>
      <c r="G35" s="26"/>
      <c r="H35" s="32">
        <v>642</v>
      </c>
      <c r="I35" s="26"/>
      <c r="J35" s="32">
        <v>205</v>
      </c>
      <c r="K35" s="15"/>
      <c r="L35" s="15">
        <v>294</v>
      </c>
      <c r="M35" s="26"/>
      <c r="N35" s="15">
        <v>161</v>
      </c>
      <c r="O35" s="26"/>
      <c r="P35" s="15">
        <v>228</v>
      </c>
      <c r="Q35" s="26"/>
      <c r="R35" s="15">
        <v>204</v>
      </c>
      <c r="S35" s="26"/>
      <c r="T35" s="15">
        <v>347</v>
      </c>
      <c r="U35" s="26"/>
      <c r="V35" s="15">
        <v>161</v>
      </c>
      <c r="W35" s="26"/>
      <c r="X35" s="15">
        <v>342</v>
      </c>
      <c r="Y35" s="14">
        <f t="shared" si="17"/>
        <v>239.39999999999998</v>
      </c>
      <c r="Z35" s="15">
        <v>276</v>
      </c>
      <c r="AA35" s="14">
        <f t="shared" si="18"/>
        <v>193.2</v>
      </c>
      <c r="AB35" s="15">
        <f t="shared" si="19"/>
        <v>4291.3999999999996</v>
      </c>
      <c r="AC35" s="26"/>
    </row>
    <row r="36" spans="1:29" ht="21.75" customHeight="1" x14ac:dyDescent="0.5">
      <c r="A36" s="10">
        <v>5</v>
      </c>
      <c r="B36" s="11" t="s">
        <v>57</v>
      </c>
      <c r="C36" s="37">
        <v>0.35</v>
      </c>
      <c r="D36" s="15">
        <v>191</v>
      </c>
      <c r="E36" s="26"/>
      <c r="F36" s="38">
        <v>182</v>
      </c>
      <c r="G36" s="26"/>
      <c r="H36" s="32">
        <v>217</v>
      </c>
      <c r="I36" s="26"/>
      <c r="J36" s="32">
        <v>37</v>
      </c>
      <c r="K36" s="15"/>
      <c r="L36" s="15">
        <v>72</v>
      </c>
      <c r="M36" s="26"/>
      <c r="N36" s="15">
        <v>72</v>
      </c>
      <c r="O36" s="26"/>
      <c r="P36" s="15">
        <v>72</v>
      </c>
      <c r="Q36" s="26"/>
      <c r="R36" s="15">
        <v>48</v>
      </c>
      <c r="S36" s="26"/>
      <c r="T36" s="15">
        <v>190</v>
      </c>
      <c r="U36" s="26"/>
      <c r="V36" s="15">
        <v>204</v>
      </c>
      <c r="W36" s="26"/>
      <c r="X36" s="15">
        <v>102</v>
      </c>
      <c r="Y36" s="14">
        <f t="shared" si="17"/>
        <v>35.699999999999996</v>
      </c>
      <c r="Z36" s="15">
        <v>216</v>
      </c>
      <c r="AA36" s="14">
        <f t="shared" si="18"/>
        <v>75.599999999999994</v>
      </c>
      <c r="AB36" s="15">
        <f t="shared" si="19"/>
        <v>1638.7</v>
      </c>
      <c r="AC36" s="26"/>
    </row>
    <row r="37" spans="1:29" ht="21.75" customHeight="1" x14ac:dyDescent="0.5">
      <c r="A37" s="10">
        <v>6</v>
      </c>
      <c r="B37" s="11" t="s">
        <v>58</v>
      </c>
      <c r="C37" s="37">
        <v>0.17499999999999999</v>
      </c>
      <c r="D37" s="38">
        <v>135</v>
      </c>
      <c r="E37" s="26"/>
      <c r="F37" s="38">
        <v>126</v>
      </c>
      <c r="G37" s="26"/>
      <c r="H37" s="32">
        <v>438</v>
      </c>
      <c r="I37" s="26"/>
      <c r="J37" s="32">
        <v>131</v>
      </c>
      <c r="K37" s="15"/>
      <c r="L37" s="15">
        <v>48</v>
      </c>
      <c r="M37" s="26"/>
      <c r="N37" s="15">
        <v>171</v>
      </c>
      <c r="O37" s="26"/>
      <c r="P37" s="15"/>
      <c r="Q37" s="26"/>
      <c r="R37" s="15">
        <v>288</v>
      </c>
      <c r="S37" s="26"/>
      <c r="T37" s="15">
        <v>218</v>
      </c>
      <c r="U37" s="26"/>
      <c r="V37" s="15">
        <v>209</v>
      </c>
      <c r="W37" s="26"/>
      <c r="X37" s="15">
        <v>96</v>
      </c>
      <c r="Y37" s="14">
        <f t="shared" si="17"/>
        <v>16.799999999999997</v>
      </c>
      <c r="Z37" s="15">
        <v>168</v>
      </c>
      <c r="AA37" s="14">
        <f t="shared" si="18"/>
        <v>29.4</v>
      </c>
      <c r="AB37" s="15">
        <f t="shared" si="19"/>
        <v>2044.8</v>
      </c>
      <c r="AC37" s="26"/>
    </row>
    <row r="38" spans="1:29" ht="21.75" customHeight="1" x14ac:dyDescent="0.5">
      <c r="A38" s="10">
        <v>7</v>
      </c>
      <c r="B38" s="11" t="s">
        <v>59</v>
      </c>
      <c r="C38" s="37"/>
      <c r="D38" s="15"/>
      <c r="E38" s="26"/>
      <c r="F38" s="44"/>
      <c r="G38" s="26"/>
      <c r="H38" s="32"/>
      <c r="I38" s="26"/>
      <c r="J38" s="20"/>
      <c r="K38" s="26"/>
      <c r="L38" s="20"/>
      <c r="M38" s="26"/>
      <c r="N38" s="15"/>
      <c r="O38" s="26"/>
      <c r="P38" s="15"/>
      <c r="Q38" s="26"/>
      <c r="R38" s="15"/>
      <c r="S38" s="26"/>
      <c r="T38" s="15"/>
      <c r="U38" s="26"/>
      <c r="V38" s="15"/>
      <c r="W38" s="26"/>
      <c r="X38" s="15"/>
      <c r="Y38" s="14">
        <f t="shared" si="17"/>
        <v>0</v>
      </c>
      <c r="Z38" s="15"/>
      <c r="AA38" s="14">
        <f t="shared" si="18"/>
        <v>0</v>
      </c>
      <c r="AB38" s="15">
        <f t="shared" si="19"/>
        <v>0</v>
      </c>
      <c r="AC38" s="26"/>
    </row>
    <row r="39" spans="1:29" ht="21.75" customHeight="1" x14ac:dyDescent="0.5">
      <c r="A39" s="10">
        <v>8</v>
      </c>
      <c r="B39" s="39" t="s">
        <v>1</v>
      </c>
      <c r="C39" s="37"/>
      <c r="D39" s="20"/>
      <c r="E39" s="26"/>
      <c r="F39" s="20"/>
      <c r="G39" s="26"/>
      <c r="H39" s="20"/>
      <c r="I39" s="26"/>
      <c r="J39" s="20"/>
      <c r="K39" s="26"/>
      <c r="L39" s="20"/>
      <c r="M39" s="26"/>
      <c r="N39" s="15"/>
      <c r="O39" s="26"/>
      <c r="P39" s="15"/>
      <c r="Q39" s="26"/>
      <c r="R39" s="15"/>
      <c r="S39" s="26"/>
      <c r="T39" s="15"/>
      <c r="U39" s="26"/>
      <c r="V39" s="15"/>
      <c r="W39" s="26"/>
      <c r="X39" s="15"/>
      <c r="Y39" s="14">
        <f t="shared" si="17"/>
        <v>0</v>
      </c>
      <c r="Z39" s="15"/>
      <c r="AA39" s="14">
        <f t="shared" si="18"/>
        <v>0</v>
      </c>
      <c r="AB39" s="15">
        <f t="shared" si="19"/>
        <v>0</v>
      </c>
      <c r="AC39" s="26"/>
    </row>
    <row r="40" spans="1:29" ht="21.75" customHeight="1" x14ac:dyDescent="0.5">
      <c r="A40" s="10"/>
      <c r="B40" s="11" t="s">
        <v>60</v>
      </c>
      <c r="C40" s="37">
        <v>0.7</v>
      </c>
      <c r="D40" s="38">
        <v>1320</v>
      </c>
      <c r="E40" s="26"/>
      <c r="F40" s="38"/>
      <c r="G40" s="26"/>
      <c r="H40" s="20">
        <v>180</v>
      </c>
      <c r="I40" s="26"/>
      <c r="J40" s="20"/>
      <c r="K40" s="26"/>
      <c r="L40" s="20">
        <v>180</v>
      </c>
      <c r="M40" s="26"/>
      <c r="N40" s="15">
        <v>240</v>
      </c>
      <c r="O40" s="26"/>
      <c r="P40" s="15"/>
      <c r="Q40" s="26"/>
      <c r="R40" s="15">
        <v>60</v>
      </c>
      <c r="S40" s="26"/>
      <c r="T40" s="15">
        <v>60</v>
      </c>
      <c r="U40" s="26"/>
      <c r="V40" s="15">
        <v>240</v>
      </c>
      <c r="W40" s="26"/>
      <c r="X40" s="15"/>
      <c r="Y40" s="14">
        <f t="shared" si="17"/>
        <v>0</v>
      </c>
      <c r="Z40" s="33">
        <v>180</v>
      </c>
      <c r="AA40" s="14">
        <f t="shared" si="18"/>
        <v>125.99999999999999</v>
      </c>
      <c r="AB40" s="15">
        <f t="shared" si="19"/>
        <v>2460</v>
      </c>
      <c r="AC40" s="26"/>
    </row>
    <row r="41" spans="1:29" ht="21.75" customHeight="1" x14ac:dyDescent="0.5">
      <c r="A41" s="10"/>
      <c r="B41" s="11" t="s">
        <v>61</v>
      </c>
      <c r="C41" s="37"/>
      <c r="D41" s="20"/>
      <c r="E41" s="26"/>
      <c r="F41" s="20"/>
      <c r="G41" s="26"/>
      <c r="H41" s="20"/>
      <c r="I41" s="26"/>
      <c r="J41" s="32"/>
      <c r="K41" s="17"/>
      <c r="L41" s="17"/>
      <c r="M41" s="26"/>
      <c r="N41" s="15"/>
      <c r="O41" s="26"/>
      <c r="P41" s="15"/>
      <c r="Q41" s="26"/>
      <c r="R41" s="15"/>
      <c r="S41" s="26"/>
      <c r="T41" s="15"/>
      <c r="U41" s="26"/>
      <c r="V41" s="15"/>
      <c r="W41" s="26"/>
      <c r="X41" s="15"/>
      <c r="Y41" s="14">
        <f t="shared" si="17"/>
        <v>0</v>
      </c>
      <c r="Z41" s="15"/>
      <c r="AA41" s="14">
        <f t="shared" si="18"/>
        <v>0</v>
      </c>
      <c r="AB41" s="15">
        <f>D41+F41+H41+J41+L41+N41+P41+R41+T41+V41+X41+Z41</f>
        <v>0</v>
      </c>
      <c r="AC41" s="26"/>
    </row>
    <row r="42" spans="1:29" ht="21.75" customHeight="1" x14ac:dyDescent="0.5">
      <c r="A42" s="10"/>
      <c r="B42" s="11" t="s">
        <v>62</v>
      </c>
      <c r="C42" s="37"/>
      <c r="D42" s="20"/>
      <c r="E42" s="26"/>
      <c r="F42" s="20"/>
      <c r="G42" s="26"/>
      <c r="H42" s="20"/>
      <c r="I42" s="26"/>
      <c r="J42" s="32"/>
      <c r="K42" s="17"/>
      <c r="L42" s="17"/>
      <c r="M42" s="26"/>
      <c r="N42" s="15"/>
      <c r="O42" s="26"/>
      <c r="P42" s="15"/>
      <c r="Q42" s="26"/>
      <c r="R42" s="15"/>
      <c r="S42" s="26"/>
      <c r="T42" s="15"/>
      <c r="U42" s="26"/>
      <c r="V42" s="15"/>
      <c r="W42" s="26"/>
      <c r="X42" s="15"/>
      <c r="Y42" s="26"/>
      <c r="Z42" s="15"/>
      <c r="AA42" s="26"/>
      <c r="AB42" s="15">
        <f>D42+F42+H42+J42+L42+N42+P42+R42+T42+V42+X42+Z42</f>
        <v>0</v>
      </c>
      <c r="AC42" s="26"/>
    </row>
    <row r="43" spans="1:29" ht="21.75" customHeight="1" x14ac:dyDescent="0.5">
      <c r="A43" s="10"/>
      <c r="B43" s="11" t="s">
        <v>63</v>
      </c>
      <c r="C43" s="37"/>
      <c r="D43" s="20"/>
      <c r="E43" s="26"/>
      <c r="F43" s="20"/>
      <c r="G43" s="26"/>
      <c r="H43" s="20"/>
      <c r="I43" s="26"/>
      <c r="J43" s="32"/>
      <c r="K43" s="15"/>
      <c r="L43" s="15"/>
      <c r="M43" s="26"/>
      <c r="N43" s="15"/>
      <c r="O43" s="26"/>
      <c r="P43" s="15"/>
      <c r="Q43" s="26"/>
      <c r="R43" s="15"/>
      <c r="S43" s="26"/>
      <c r="T43" s="15"/>
      <c r="U43" s="26"/>
      <c r="V43" s="15"/>
      <c r="W43" s="26"/>
      <c r="X43" s="15"/>
      <c r="Y43" s="26"/>
      <c r="Z43" s="15"/>
      <c r="AA43" s="26"/>
      <c r="AB43" s="15">
        <f>D43+F43+H43+J43+L43+N43+P43+R43+T43+V43+X43+Z43</f>
        <v>0</v>
      </c>
      <c r="AC43" s="26"/>
    </row>
    <row r="44" spans="1:29" ht="21.75" customHeight="1" x14ac:dyDescent="0.5">
      <c r="A44" s="10"/>
      <c r="B44" s="11" t="s">
        <v>64</v>
      </c>
      <c r="C44" s="37"/>
      <c r="D44" s="20"/>
      <c r="E44" s="26"/>
      <c r="F44" s="20"/>
      <c r="G44" s="26"/>
      <c r="H44" s="20"/>
      <c r="I44" s="26"/>
      <c r="J44" s="20"/>
      <c r="K44" s="26"/>
      <c r="L44" s="20"/>
      <c r="M44" s="26"/>
      <c r="N44" s="15"/>
      <c r="O44" s="26"/>
      <c r="P44" s="15"/>
      <c r="Q44" s="26"/>
      <c r="R44" s="15"/>
      <c r="S44" s="26"/>
      <c r="T44" s="15"/>
      <c r="U44" s="26"/>
      <c r="V44" s="15"/>
      <c r="W44" s="26"/>
      <c r="X44" s="15"/>
      <c r="Y44" s="26"/>
      <c r="Z44" s="15"/>
      <c r="AA44" s="26"/>
      <c r="AB44" s="15">
        <f t="shared" ref="AB44:AB45" si="20">D44+F44+H44+J44+L44+N44+P44+R44+T44+V44+X44+Z44</f>
        <v>0</v>
      </c>
      <c r="AC44" s="26"/>
    </row>
    <row r="45" spans="1:29" ht="21.75" customHeight="1" x14ac:dyDescent="0.5">
      <c r="A45" s="10"/>
      <c r="B45" s="19" t="s">
        <v>73</v>
      </c>
      <c r="C45" s="37"/>
      <c r="D45" s="20">
        <v>12</v>
      </c>
      <c r="E45" s="26"/>
      <c r="F45" s="20"/>
      <c r="G45" s="26"/>
      <c r="H45" s="20"/>
      <c r="I45" s="26"/>
      <c r="J45" s="20"/>
      <c r="K45" s="26"/>
      <c r="L45" s="20"/>
      <c r="M45" s="26"/>
      <c r="N45" s="15"/>
      <c r="O45" s="26"/>
      <c r="P45" s="15"/>
      <c r="Q45" s="26"/>
      <c r="R45" s="15"/>
      <c r="S45" s="26"/>
      <c r="T45" s="15"/>
      <c r="U45" s="26"/>
      <c r="V45" s="15"/>
      <c r="W45" s="26"/>
      <c r="X45" s="15"/>
      <c r="Y45" s="26"/>
      <c r="Z45" s="15"/>
      <c r="AA45" s="26"/>
      <c r="AB45" s="15">
        <f t="shared" si="20"/>
        <v>12</v>
      </c>
      <c r="AC45" s="26"/>
    </row>
    <row r="46" spans="1:29" ht="21.75" customHeight="1" x14ac:dyDescent="0.5">
      <c r="A46" s="10"/>
      <c r="B46" s="19" t="s">
        <v>74</v>
      </c>
      <c r="C46" s="37"/>
      <c r="D46" s="20"/>
      <c r="E46" s="26"/>
      <c r="F46" s="20"/>
      <c r="G46" s="26"/>
      <c r="H46" s="20"/>
      <c r="I46" s="26"/>
      <c r="J46" s="20"/>
      <c r="K46" s="26"/>
      <c r="L46" s="20"/>
      <c r="M46" s="26"/>
      <c r="N46" s="15"/>
      <c r="O46" s="26"/>
      <c r="P46" s="15"/>
      <c r="Q46" s="26"/>
      <c r="R46" s="15"/>
      <c r="S46" s="26"/>
      <c r="T46" s="15"/>
      <c r="U46" s="26"/>
      <c r="V46" s="15"/>
      <c r="W46" s="26"/>
      <c r="X46" s="15"/>
      <c r="Y46" s="26"/>
      <c r="Z46" s="15"/>
      <c r="AA46" s="26"/>
      <c r="AB46" s="15">
        <f t="shared" si="19"/>
        <v>0</v>
      </c>
      <c r="AC46" s="26"/>
    </row>
    <row r="47" spans="1:29" ht="21.75" customHeight="1" x14ac:dyDescent="0.5">
      <c r="A47" s="10"/>
      <c r="B47" s="19" t="s">
        <v>75</v>
      </c>
      <c r="C47" s="37"/>
      <c r="D47" s="20"/>
      <c r="E47" s="26"/>
      <c r="F47" s="20"/>
      <c r="G47" s="26"/>
      <c r="H47" s="20"/>
      <c r="I47" s="26"/>
      <c r="J47" s="20"/>
      <c r="K47" s="26"/>
      <c r="L47" s="20"/>
      <c r="M47" s="26"/>
      <c r="N47" s="15"/>
      <c r="O47" s="26"/>
      <c r="P47" s="15"/>
      <c r="Q47" s="26"/>
      <c r="R47" s="15"/>
      <c r="S47" s="26"/>
      <c r="T47" s="15"/>
      <c r="U47" s="26"/>
      <c r="V47" s="15"/>
      <c r="W47" s="26"/>
      <c r="X47" s="15"/>
      <c r="Y47" s="26"/>
      <c r="Z47" s="15"/>
      <c r="AA47" s="26"/>
      <c r="AB47" s="15">
        <f t="shared" si="19"/>
        <v>0</v>
      </c>
      <c r="AC47" s="26"/>
    </row>
    <row r="48" spans="1:29" ht="21.75" customHeight="1" x14ac:dyDescent="0.5">
      <c r="A48" s="10"/>
      <c r="B48" s="19" t="s">
        <v>76</v>
      </c>
      <c r="C48" s="37"/>
      <c r="D48" s="20"/>
      <c r="E48" s="26"/>
      <c r="F48" s="20"/>
      <c r="G48" s="26"/>
      <c r="H48" s="20"/>
      <c r="I48" s="26"/>
      <c r="J48" s="20"/>
      <c r="K48" s="26"/>
      <c r="L48" s="20"/>
      <c r="M48" s="26"/>
      <c r="N48" s="15"/>
      <c r="O48" s="26"/>
      <c r="P48" s="15"/>
      <c r="Q48" s="26"/>
      <c r="R48" s="15"/>
      <c r="S48" s="26"/>
      <c r="T48" s="15"/>
      <c r="U48" s="26"/>
      <c r="V48" s="15"/>
      <c r="W48" s="26"/>
      <c r="X48" s="15"/>
      <c r="Y48" s="26"/>
      <c r="Z48" s="15"/>
      <c r="AA48" s="26"/>
      <c r="AB48" s="15">
        <f t="shared" si="19"/>
        <v>0</v>
      </c>
      <c r="AC48" s="26"/>
    </row>
    <row r="49" spans="1:29" ht="21.75" customHeight="1" x14ac:dyDescent="0.5">
      <c r="A49" s="10"/>
      <c r="B49" s="19" t="s">
        <v>77</v>
      </c>
      <c r="C49" s="37"/>
      <c r="D49" s="20"/>
      <c r="E49" s="26"/>
      <c r="F49" s="20"/>
      <c r="G49" s="26"/>
      <c r="H49" s="20"/>
      <c r="I49" s="26"/>
      <c r="J49" s="20"/>
      <c r="K49" s="26"/>
      <c r="L49" s="20"/>
      <c r="M49" s="26"/>
      <c r="N49" s="15"/>
      <c r="O49" s="26"/>
      <c r="P49" s="15"/>
      <c r="Q49" s="26"/>
      <c r="R49" s="15"/>
      <c r="S49" s="26"/>
      <c r="T49" s="15"/>
      <c r="U49" s="26"/>
      <c r="V49" s="15"/>
      <c r="W49" s="26"/>
      <c r="X49" s="15"/>
      <c r="Y49" s="26"/>
      <c r="Z49" s="15"/>
      <c r="AA49" s="26"/>
      <c r="AB49" s="15">
        <f t="shared" si="19"/>
        <v>0</v>
      </c>
      <c r="AC49" s="26"/>
    </row>
    <row r="50" spans="1:29" ht="21.75" customHeight="1" x14ac:dyDescent="0.5">
      <c r="A50" s="10"/>
      <c r="B50" s="19" t="s">
        <v>78</v>
      </c>
      <c r="C50" s="37"/>
      <c r="D50" s="20"/>
      <c r="E50" s="26"/>
      <c r="F50" s="20"/>
      <c r="G50" s="26"/>
      <c r="H50" s="20"/>
      <c r="I50" s="26"/>
      <c r="J50" s="20"/>
      <c r="K50" s="26"/>
      <c r="L50" s="20"/>
      <c r="M50" s="26"/>
      <c r="N50" s="15"/>
      <c r="O50" s="26"/>
      <c r="P50" s="15"/>
      <c r="Q50" s="26"/>
      <c r="R50" s="15"/>
      <c r="S50" s="26"/>
      <c r="T50" s="15"/>
      <c r="U50" s="26"/>
      <c r="V50" s="15"/>
      <c r="W50" s="26"/>
      <c r="X50" s="15"/>
      <c r="Y50" s="26"/>
      <c r="Z50" s="15"/>
      <c r="AA50" s="26"/>
      <c r="AB50" s="15">
        <f t="shared" si="19"/>
        <v>0</v>
      </c>
      <c r="AC50" s="26"/>
    </row>
    <row r="51" spans="1:29" ht="21.75" customHeight="1" x14ac:dyDescent="0.5">
      <c r="A51" s="10"/>
      <c r="B51" s="39"/>
      <c r="C51" s="37"/>
      <c r="D51" s="20"/>
      <c r="E51" s="26"/>
      <c r="F51" s="20"/>
      <c r="G51" s="26"/>
      <c r="H51" s="20"/>
      <c r="I51" s="26"/>
      <c r="J51" s="20"/>
      <c r="K51" s="26"/>
      <c r="L51" s="20"/>
      <c r="M51" s="26"/>
      <c r="N51" s="15"/>
      <c r="O51" s="26"/>
      <c r="P51" s="15"/>
      <c r="Q51" s="26"/>
      <c r="R51" s="15"/>
      <c r="S51" s="26"/>
      <c r="T51" s="15"/>
      <c r="U51" s="26"/>
      <c r="V51" s="15"/>
      <c r="W51" s="26"/>
      <c r="X51" s="15"/>
      <c r="Y51" s="26"/>
      <c r="Z51" s="15"/>
      <c r="AA51" s="26"/>
      <c r="AB51" s="15">
        <f t="shared" si="19"/>
        <v>0</v>
      </c>
      <c r="AC51" s="26"/>
    </row>
    <row r="52" spans="1:29" ht="21.75" customHeight="1" x14ac:dyDescent="0.5">
      <c r="A52" s="10"/>
      <c r="B52" s="39"/>
      <c r="C52" s="37"/>
      <c r="D52" s="20"/>
      <c r="E52" s="26"/>
      <c r="F52" s="20"/>
      <c r="G52" s="26"/>
      <c r="H52" s="20"/>
      <c r="I52" s="26"/>
      <c r="J52" s="20"/>
      <c r="K52" s="26"/>
      <c r="L52" s="20"/>
      <c r="M52" s="26"/>
      <c r="N52" s="15"/>
      <c r="O52" s="26"/>
      <c r="P52" s="15"/>
      <c r="Q52" s="26"/>
      <c r="R52" s="15"/>
      <c r="S52" s="26"/>
      <c r="T52" s="15"/>
      <c r="U52" s="26"/>
      <c r="V52" s="15"/>
      <c r="W52" s="26"/>
      <c r="X52" s="15"/>
      <c r="Y52" s="26"/>
      <c r="Z52" s="15"/>
      <c r="AA52" s="26"/>
      <c r="AB52" s="15">
        <f t="shared" si="19"/>
        <v>0</v>
      </c>
      <c r="AC52" s="26"/>
    </row>
    <row r="53" spans="1:29" ht="21.75" customHeight="1" x14ac:dyDescent="0.5">
      <c r="A53" s="10">
        <v>9</v>
      </c>
      <c r="B53" s="39"/>
      <c r="C53" s="37"/>
      <c r="D53" s="20"/>
      <c r="E53" s="26"/>
      <c r="F53" s="20"/>
      <c r="G53" s="26"/>
      <c r="H53" s="20"/>
      <c r="I53" s="26"/>
      <c r="J53" s="20"/>
      <c r="K53" s="26"/>
      <c r="L53" s="20"/>
      <c r="M53" s="26"/>
      <c r="N53" s="15"/>
      <c r="O53" s="26"/>
      <c r="P53" s="15"/>
      <c r="Q53" s="26"/>
      <c r="R53" s="15"/>
      <c r="S53" s="26"/>
      <c r="T53" s="15"/>
      <c r="U53" s="26"/>
      <c r="V53" s="15"/>
      <c r="W53" s="26"/>
      <c r="X53" s="15"/>
      <c r="Y53" s="26"/>
      <c r="Z53" s="15"/>
      <c r="AA53" s="26"/>
      <c r="AB53" s="15">
        <f t="shared" si="19"/>
        <v>0</v>
      </c>
      <c r="AC53" s="26"/>
    </row>
    <row r="54" spans="1:29" ht="21.75" customHeight="1" x14ac:dyDescent="0.5">
      <c r="A54" s="10">
        <v>10</v>
      </c>
      <c r="B54" s="39"/>
      <c r="C54" s="37"/>
      <c r="D54" s="20"/>
      <c r="E54" s="26"/>
      <c r="F54" s="20"/>
      <c r="G54" s="26"/>
      <c r="H54" s="20"/>
      <c r="I54" s="26"/>
      <c r="J54" s="20"/>
      <c r="K54" s="26"/>
      <c r="L54" s="20"/>
      <c r="M54" s="26"/>
      <c r="N54" s="15"/>
      <c r="O54" s="26"/>
      <c r="P54" s="15"/>
      <c r="Q54" s="26"/>
      <c r="R54" s="15"/>
      <c r="S54" s="26"/>
      <c r="T54" s="15"/>
      <c r="U54" s="26"/>
      <c r="V54" s="15"/>
      <c r="W54" s="26"/>
      <c r="X54" s="15"/>
      <c r="Y54" s="26"/>
      <c r="Z54" s="15"/>
      <c r="AA54" s="26"/>
      <c r="AB54" s="15">
        <f t="shared" si="19"/>
        <v>0</v>
      </c>
      <c r="AC54" s="26"/>
    </row>
    <row r="55" spans="1:29" ht="21.75" customHeight="1" x14ac:dyDescent="0.5">
      <c r="A55" s="10">
        <v>11</v>
      </c>
      <c r="B55" s="39"/>
      <c r="C55" s="37"/>
      <c r="D55" s="20"/>
      <c r="E55" s="26"/>
      <c r="F55" s="20"/>
      <c r="G55" s="26"/>
      <c r="H55" s="20"/>
      <c r="I55" s="26"/>
      <c r="J55" s="20"/>
      <c r="K55" s="26"/>
      <c r="L55" s="20"/>
      <c r="M55" s="26"/>
      <c r="N55" s="15"/>
      <c r="O55" s="26"/>
      <c r="P55" s="15"/>
      <c r="Q55" s="26"/>
      <c r="R55" s="15"/>
      <c r="S55" s="26"/>
      <c r="T55" s="15"/>
      <c r="U55" s="26"/>
      <c r="V55" s="15"/>
      <c r="W55" s="26"/>
      <c r="X55" s="15"/>
      <c r="Y55" s="26"/>
      <c r="Z55" s="15"/>
      <c r="AA55" s="26"/>
      <c r="AB55" s="15">
        <f t="shared" si="19"/>
        <v>0</v>
      </c>
      <c r="AC55" s="26"/>
    </row>
    <row r="56" spans="1:29" ht="21.75" customHeight="1" x14ac:dyDescent="0.5">
      <c r="A56" s="10"/>
      <c r="B56" s="39"/>
      <c r="C56" s="37"/>
      <c r="D56" s="20"/>
      <c r="E56" s="26"/>
      <c r="F56" s="20"/>
      <c r="G56" s="26"/>
      <c r="H56" s="20"/>
      <c r="I56" s="26"/>
      <c r="J56" s="20"/>
      <c r="K56" s="26"/>
      <c r="L56" s="20"/>
      <c r="M56" s="26"/>
      <c r="N56" s="15"/>
      <c r="O56" s="26"/>
      <c r="P56" s="15"/>
      <c r="Q56" s="26"/>
      <c r="R56" s="15"/>
      <c r="S56" s="26"/>
      <c r="T56" s="15"/>
      <c r="U56" s="26"/>
      <c r="V56" s="15"/>
      <c r="W56" s="26"/>
      <c r="X56" s="15"/>
      <c r="Y56" s="26"/>
      <c r="Z56" s="15"/>
      <c r="AA56" s="26"/>
      <c r="AB56" s="15">
        <f t="shared" si="19"/>
        <v>0</v>
      </c>
      <c r="AC56" s="26"/>
    </row>
    <row r="57" spans="1:29" ht="21.75" customHeight="1" x14ac:dyDescent="0.5">
      <c r="A57" s="21"/>
      <c r="B57" s="40" t="s">
        <v>9</v>
      </c>
      <c r="C57" s="41"/>
      <c r="D57" s="22">
        <f>SUM(D32:D56)</f>
        <v>3158</v>
      </c>
      <c r="E57" s="25"/>
      <c r="F57" s="22">
        <f>SUM(F32:F56)</f>
        <v>1454</v>
      </c>
      <c r="G57" s="25"/>
      <c r="H57" s="22">
        <f>SUM(H32:H56)</f>
        <v>3254</v>
      </c>
      <c r="I57" s="25"/>
      <c r="J57" s="22">
        <f>SUM(J32:J56)</f>
        <v>1323</v>
      </c>
      <c r="K57" s="25"/>
      <c r="L57" s="22">
        <f>SUM(L32:L56)</f>
        <v>1430</v>
      </c>
      <c r="M57" s="25"/>
      <c r="N57" s="24">
        <f>SUM(N32:N56)</f>
        <v>925</v>
      </c>
      <c r="O57" s="25"/>
      <c r="P57" s="24">
        <f>SUM(P32:P56)</f>
        <v>432</v>
      </c>
      <c r="Q57" s="25"/>
      <c r="R57" s="24">
        <f>SUM(R32:R56)</f>
        <v>1667</v>
      </c>
      <c r="S57" s="25"/>
      <c r="T57" s="24">
        <f>SUM(T32:T56)</f>
        <v>1747</v>
      </c>
      <c r="U57" s="25"/>
      <c r="V57" s="24">
        <f>SUM(V32:V56)</f>
        <v>1097</v>
      </c>
      <c r="W57" s="25"/>
      <c r="X57" s="24">
        <f>SUM(X32:X56)</f>
        <v>1194</v>
      </c>
      <c r="Y57" s="24">
        <f>SUM(Y32:Y56)</f>
        <v>501.9</v>
      </c>
      <c r="Z57" s="24">
        <f>SUM(Z32:Z56)</f>
        <v>1044</v>
      </c>
      <c r="AA57" s="24">
        <f>SUM(AA32:AA56)</f>
        <v>561.75</v>
      </c>
      <c r="AB57" s="24">
        <f>SUM(D57:Z57)</f>
        <v>19226.900000000001</v>
      </c>
      <c r="AC57" s="25"/>
    </row>
    <row r="58" spans="1:29" ht="21.75" customHeight="1" x14ac:dyDescent="0.5">
      <c r="A58" s="10"/>
      <c r="B58" s="39"/>
      <c r="C58" s="37"/>
      <c r="D58" s="20"/>
      <c r="E58" s="26"/>
      <c r="F58" s="20"/>
      <c r="G58" s="26"/>
      <c r="H58" s="20"/>
      <c r="I58" s="26"/>
      <c r="J58" s="20"/>
      <c r="K58" s="26"/>
      <c r="L58" s="20"/>
      <c r="M58" s="26"/>
      <c r="N58" s="15"/>
      <c r="O58" s="26"/>
      <c r="P58" s="15"/>
      <c r="Q58" s="26"/>
      <c r="R58" s="15"/>
      <c r="S58" s="26"/>
      <c r="T58" s="15"/>
      <c r="U58" s="26"/>
      <c r="V58" s="15"/>
      <c r="W58" s="26"/>
      <c r="X58" s="15"/>
      <c r="Y58" s="26"/>
      <c r="Z58" s="15"/>
      <c r="AA58" s="26"/>
      <c r="AB58" s="15"/>
      <c r="AC58" s="26"/>
    </row>
    <row r="59" spans="1:29" ht="21.75" customHeight="1" x14ac:dyDescent="0.5">
      <c r="A59" s="10"/>
      <c r="B59" s="39"/>
      <c r="C59" s="37"/>
      <c r="D59" s="20"/>
      <c r="E59" s="26"/>
      <c r="F59" s="20"/>
      <c r="G59" s="26"/>
      <c r="H59" s="20"/>
      <c r="I59" s="26"/>
      <c r="J59" s="20"/>
      <c r="K59" s="26"/>
      <c r="L59" s="20"/>
      <c r="M59" s="26"/>
      <c r="N59" s="15"/>
      <c r="O59" s="26"/>
      <c r="P59" s="15"/>
      <c r="Q59" s="26"/>
      <c r="R59" s="15"/>
      <c r="S59" s="26"/>
      <c r="T59" s="15"/>
      <c r="U59" s="26"/>
      <c r="V59" s="15"/>
      <c r="W59" s="26"/>
      <c r="X59" s="15"/>
      <c r="Y59" s="26"/>
      <c r="Z59" s="15"/>
      <c r="AA59" s="26"/>
      <c r="AB59" s="15"/>
      <c r="AC59" s="26"/>
    </row>
    <row r="60" spans="1:29" ht="21.75" customHeight="1" x14ac:dyDescent="0.5">
      <c r="A60" s="10"/>
      <c r="B60" s="39" t="s">
        <v>2</v>
      </c>
      <c r="C60" s="37"/>
      <c r="D60" s="20"/>
      <c r="E60" s="26"/>
      <c r="F60" s="20"/>
      <c r="G60" s="26"/>
      <c r="H60" s="20"/>
      <c r="I60" s="26"/>
      <c r="J60" s="20"/>
      <c r="K60" s="26"/>
      <c r="L60" s="20"/>
      <c r="M60" s="26"/>
      <c r="N60" s="15"/>
      <c r="O60" s="26"/>
      <c r="P60" s="15"/>
      <c r="Q60" s="26"/>
      <c r="R60" s="15"/>
      <c r="S60" s="26"/>
      <c r="T60" s="15"/>
      <c r="U60" s="26"/>
      <c r="V60" s="15"/>
      <c r="W60" s="26"/>
      <c r="X60" s="15"/>
      <c r="Y60" s="26"/>
      <c r="Z60" s="15"/>
      <c r="AA60" s="26"/>
      <c r="AB60" s="15">
        <f t="shared" ref="AB60:AB66" si="21">SUM(J60:Z60)</f>
        <v>0</v>
      </c>
      <c r="AC60" s="26"/>
    </row>
    <row r="61" spans="1:29" ht="21.75" customHeight="1" x14ac:dyDescent="0.5">
      <c r="A61" s="10"/>
      <c r="B61" s="39" t="s">
        <v>3</v>
      </c>
      <c r="C61" s="37"/>
      <c r="D61" s="20"/>
      <c r="E61" s="26"/>
      <c r="F61" s="20"/>
      <c r="G61" s="26"/>
      <c r="H61" s="20"/>
      <c r="I61" s="26"/>
      <c r="J61" s="20"/>
      <c r="K61" s="26"/>
      <c r="L61" s="20"/>
      <c r="M61" s="26"/>
      <c r="N61" s="15"/>
      <c r="O61" s="26"/>
      <c r="P61" s="15"/>
      <c r="Q61" s="26"/>
      <c r="R61" s="15"/>
      <c r="S61" s="26"/>
      <c r="T61" s="15"/>
      <c r="U61" s="26"/>
      <c r="V61" s="15"/>
      <c r="W61" s="26"/>
      <c r="X61" s="15"/>
      <c r="Y61" s="26"/>
      <c r="Z61" s="15"/>
      <c r="AA61" s="26"/>
      <c r="AB61" s="15">
        <f t="shared" si="21"/>
        <v>0</v>
      </c>
      <c r="AC61" s="26"/>
    </row>
    <row r="62" spans="1:29" ht="21.75" hidden="1" customHeight="1" x14ac:dyDescent="0.5">
      <c r="A62" s="10">
        <v>17</v>
      </c>
      <c r="B62" s="39" t="s">
        <v>4</v>
      </c>
      <c r="C62" s="37"/>
      <c r="D62" s="20"/>
      <c r="E62" s="26"/>
      <c r="F62" s="20"/>
      <c r="G62" s="26"/>
      <c r="H62" s="20"/>
      <c r="I62" s="26"/>
      <c r="J62" s="20"/>
      <c r="K62" s="26"/>
      <c r="L62" s="20"/>
      <c r="M62" s="26"/>
      <c r="N62" s="15"/>
      <c r="O62" s="26"/>
      <c r="P62" s="15"/>
      <c r="Q62" s="26"/>
      <c r="R62" s="15"/>
      <c r="S62" s="26"/>
      <c r="T62" s="15"/>
      <c r="U62" s="26"/>
      <c r="V62" s="15"/>
      <c r="W62" s="26"/>
      <c r="X62" s="15"/>
      <c r="Y62" s="26"/>
      <c r="Z62" s="15"/>
      <c r="AA62" s="26"/>
      <c r="AB62" s="15">
        <f t="shared" si="21"/>
        <v>0</v>
      </c>
      <c r="AC62" s="26"/>
    </row>
    <row r="63" spans="1:29" ht="21.75" hidden="1" customHeight="1" x14ac:dyDescent="0.5">
      <c r="A63" s="10"/>
      <c r="B63" s="39" t="s">
        <v>5</v>
      </c>
      <c r="C63" s="37"/>
      <c r="D63" s="20"/>
      <c r="E63" s="26"/>
      <c r="F63" s="20"/>
      <c r="G63" s="26"/>
      <c r="H63" s="20"/>
      <c r="I63" s="26"/>
      <c r="J63" s="20"/>
      <c r="K63" s="26"/>
      <c r="L63" s="20"/>
      <c r="M63" s="26"/>
      <c r="N63" s="15"/>
      <c r="O63" s="26"/>
      <c r="P63" s="15"/>
      <c r="Q63" s="26"/>
      <c r="R63" s="15"/>
      <c r="S63" s="26"/>
      <c r="T63" s="15"/>
      <c r="U63" s="26"/>
      <c r="V63" s="15"/>
      <c r="W63" s="26"/>
      <c r="X63" s="15"/>
      <c r="Y63" s="26"/>
      <c r="Z63" s="15"/>
      <c r="AA63" s="26"/>
      <c r="AB63" s="15">
        <f t="shared" si="21"/>
        <v>0</v>
      </c>
      <c r="AC63" s="26"/>
    </row>
    <row r="64" spans="1:29" ht="21.75" hidden="1" customHeight="1" x14ac:dyDescent="0.5">
      <c r="A64" s="10"/>
      <c r="B64" s="39" t="s">
        <v>6</v>
      </c>
      <c r="C64" s="37"/>
      <c r="D64" s="20"/>
      <c r="E64" s="26"/>
      <c r="F64" s="20"/>
      <c r="G64" s="26"/>
      <c r="H64" s="20"/>
      <c r="I64" s="26"/>
      <c r="J64" s="20"/>
      <c r="K64" s="26"/>
      <c r="L64" s="20"/>
      <c r="M64" s="26"/>
      <c r="N64" s="15"/>
      <c r="O64" s="26"/>
      <c r="P64" s="15"/>
      <c r="Q64" s="26"/>
      <c r="R64" s="15"/>
      <c r="S64" s="26"/>
      <c r="T64" s="15"/>
      <c r="U64" s="26"/>
      <c r="V64" s="15"/>
      <c r="W64" s="26"/>
      <c r="X64" s="15"/>
      <c r="Y64" s="26"/>
      <c r="Z64" s="15"/>
      <c r="AA64" s="26"/>
      <c r="AB64" s="15">
        <f t="shared" si="21"/>
        <v>0</v>
      </c>
      <c r="AC64" s="26"/>
    </row>
    <row r="65" spans="1:29" ht="21.75" hidden="1" customHeight="1" x14ac:dyDescent="0.5">
      <c r="A65" s="10"/>
      <c r="B65" s="45" t="s">
        <v>7</v>
      </c>
      <c r="C65" s="46"/>
      <c r="D65" s="47"/>
      <c r="E65" s="48"/>
      <c r="F65" s="47"/>
      <c r="G65" s="48"/>
      <c r="H65" s="47"/>
      <c r="I65" s="48"/>
      <c r="J65" s="47"/>
      <c r="K65" s="48"/>
      <c r="L65" s="47"/>
      <c r="M65" s="48"/>
      <c r="N65" s="49"/>
      <c r="O65" s="48"/>
      <c r="P65" s="49"/>
      <c r="Q65" s="48"/>
      <c r="R65" s="49"/>
      <c r="S65" s="48"/>
      <c r="T65" s="49"/>
      <c r="U65" s="48"/>
      <c r="V65" s="49"/>
      <c r="W65" s="48"/>
      <c r="X65" s="49"/>
      <c r="Y65" s="48"/>
      <c r="Z65" s="49"/>
      <c r="AA65" s="48"/>
      <c r="AB65" s="15">
        <f t="shared" si="21"/>
        <v>0</v>
      </c>
      <c r="AC65" s="26"/>
    </row>
    <row r="66" spans="1:29" ht="21.75" customHeight="1" x14ac:dyDescent="0.5">
      <c r="A66" s="21"/>
      <c r="B66" s="40" t="s">
        <v>10</v>
      </c>
      <c r="C66" s="41"/>
      <c r="D66" s="22"/>
      <c r="E66" s="25"/>
      <c r="F66" s="22"/>
      <c r="G66" s="25"/>
      <c r="H66" s="22"/>
      <c r="I66" s="25"/>
      <c r="J66" s="22"/>
      <c r="K66" s="25"/>
      <c r="L66" s="22"/>
      <c r="M66" s="25"/>
      <c r="N66" s="24"/>
      <c r="O66" s="25"/>
      <c r="P66" s="24"/>
      <c r="Q66" s="25"/>
      <c r="R66" s="24"/>
      <c r="S66" s="25"/>
      <c r="T66" s="24"/>
      <c r="U66" s="25"/>
      <c r="V66" s="24"/>
      <c r="W66" s="25"/>
      <c r="X66" s="24"/>
      <c r="Y66" s="25"/>
      <c r="Z66" s="24"/>
      <c r="AA66" s="25"/>
      <c r="AB66" s="24">
        <f t="shared" si="21"/>
        <v>0</v>
      </c>
      <c r="AC66" s="25"/>
    </row>
    <row r="67" spans="1:29" ht="21.75" customHeight="1" thickBot="1" x14ac:dyDescent="0.55000000000000004">
      <c r="A67" s="28"/>
      <c r="B67" s="50"/>
      <c r="C67" s="51"/>
      <c r="D67" s="52"/>
      <c r="E67" s="53"/>
      <c r="F67" s="52"/>
      <c r="G67" s="53"/>
      <c r="H67" s="52"/>
      <c r="I67" s="53"/>
      <c r="J67" s="52"/>
      <c r="K67" s="53"/>
      <c r="L67" s="52"/>
      <c r="M67" s="53"/>
      <c r="N67" s="36"/>
      <c r="O67" s="53"/>
      <c r="P67" s="36"/>
      <c r="Q67" s="53"/>
      <c r="R67" s="36"/>
      <c r="S67" s="53"/>
      <c r="T67" s="36"/>
      <c r="U67" s="53"/>
      <c r="V67" s="36"/>
      <c r="W67" s="53"/>
      <c r="X67" s="36"/>
      <c r="Y67" s="53"/>
      <c r="Z67" s="36"/>
      <c r="AA67" s="54"/>
      <c r="AB67" s="49"/>
      <c r="AC67" s="48"/>
    </row>
    <row r="68" spans="1:29" ht="21.75" customHeight="1" thickBot="1" x14ac:dyDescent="0.55000000000000004">
      <c r="A68" s="29"/>
      <c r="B68" s="55"/>
      <c r="C68" s="56"/>
      <c r="D68" s="57">
        <f>D57+D29</f>
        <v>328792</v>
      </c>
      <c r="E68" s="58"/>
      <c r="F68" s="57">
        <f>F57+F29</f>
        <v>270451</v>
      </c>
      <c r="G68" s="58"/>
      <c r="H68" s="57">
        <f>H57+H29</f>
        <v>346823</v>
      </c>
      <c r="I68" s="58"/>
      <c r="J68" s="57">
        <f>J57+J29</f>
        <v>331583</v>
      </c>
      <c r="K68" s="58"/>
      <c r="L68" s="57">
        <f>L57+L29</f>
        <v>347696</v>
      </c>
      <c r="M68" s="58"/>
      <c r="N68" s="57">
        <f>N57+N29</f>
        <v>309886</v>
      </c>
      <c r="O68" s="58"/>
      <c r="P68" s="57">
        <f>P57+P29</f>
        <v>317166</v>
      </c>
      <c r="Q68" s="58"/>
      <c r="R68" s="57">
        <f>R57+R29</f>
        <v>382611</v>
      </c>
      <c r="S68" s="58"/>
      <c r="T68" s="57">
        <f>T57+T29</f>
        <v>204040</v>
      </c>
      <c r="U68" s="58"/>
      <c r="V68" s="57">
        <f>V57+V29</f>
        <v>227576</v>
      </c>
      <c r="W68" s="58"/>
      <c r="X68" s="57">
        <f>X57+X29</f>
        <v>263649</v>
      </c>
      <c r="Y68" s="57">
        <f>Y66+Y57+Y29</f>
        <v>182212.98</v>
      </c>
      <c r="Z68" s="57">
        <f>Z57+Z29</f>
        <v>288112</v>
      </c>
      <c r="AA68" s="57">
        <f>AA66+AA57+AA29</f>
        <v>201178.63</v>
      </c>
      <c r="AB68" s="57">
        <f>D68+F68+H68+J68+L68+N68+P68+R68+T68+V68+X68+Z68</f>
        <v>3618385</v>
      </c>
      <c r="AC68" s="59"/>
    </row>
  </sheetData>
  <mergeCells count="16">
    <mergeCell ref="V2:W2"/>
    <mergeCell ref="X2:Y2"/>
    <mergeCell ref="Z2:AA2"/>
    <mergeCell ref="AB2:AC2"/>
    <mergeCell ref="J2:K2"/>
    <mergeCell ref="L2:M2"/>
    <mergeCell ref="N2:O2"/>
    <mergeCell ref="P2:Q2"/>
    <mergeCell ref="R2:S2"/>
    <mergeCell ref="T2:U2"/>
    <mergeCell ref="H2:I2"/>
    <mergeCell ref="A2:A3"/>
    <mergeCell ref="B2:B3"/>
    <mergeCell ref="C2:C3"/>
    <mergeCell ref="D2:E2"/>
    <mergeCell ref="F2:G2"/>
  </mergeCells>
  <pageMargins left="0.33" right="0.7" top="0.2" bottom="0.75" header="0.2" footer="0.3"/>
  <pageSetup paperSize="5" scale="8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39DD-166B-48BF-8B6D-E423B3E6ADE5}">
  <dimension ref="A1:AD66"/>
  <sheetViews>
    <sheetView zoomScaleNormal="100" workbookViewId="0">
      <pane xSplit="3" ySplit="2" topLeftCell="D17" activePane="bottomRight" state="frozen"/>
      <selection pane="topRight" activeCell="D1" sqref="D1"/>
      <selection pane="bottomLeft" activeCell="A3" sqref="A3"/>
      <selection pane="bottomRight" activeCell="O67" sqref="O67"/>
    </sheetView>
  </sheetViews>
  <sheetFormatPr defaultRowHeight="21.75" customHeight="1" x14ac:dyDescent="0.5"/>
  <cols>
    <col min="1" max="1" width="3.5703125" style="1" bestFit="1" customWidth="1"/>
    <col min="2" max="2" width="34.140625" style="7" bestFit="1" customWidth="1"/>
    <col min="3" max="3" width="7.42578125" style="1" customWidth="1"/>
    <col min="4" max="4" width="11.5703125" style="7" customWidth="1"/>
    <col min="5" max="5" width="12.7109375" style="6" customWidth="1"/>
    <col min="6" max="6" width="11.5703125" style="7" customWidth="1"/>
    <col min="7" max="7" width="12.7109375" style="6" customWidth="1"/>
    <col min="8" max="8" width="11.5703125" style="7" customWidth="1"/>
    <col min="9" max="9" width="12.7109375" style="6" customWidth="1"/>
    <col min="10" max="10" width="11.5703125" style="7" customWidth="1"/>
    <col min="11" max="11" width="12.7109375" style="6" customWidth="1"/>
    <col min="12" max="12" width="11.5703125" style="7" bestFit="1" customWidth="1"/>
    <col min="13" max="13" width="12.7109375" style="6" bestFit="1" customWidth="1"/>
    <col min="14" max="14" width="11.5703125" style="7" bestFit="1" customWidth="1"/>
    <col min="15" max="15" width="12.7109375" style="6" bestFit="1" customWidth="1"/>
    <col min="16" max="16" width="11.5703125" style="7" bestFit="1" customWidth="1"/>
    <col min="17" max="17" width="12.7109375" style="6" bestFit="1" customWidth="1"/>
    <col min="18" max="18" width="11.5703125" style="7" bestFit="1" customWidth="1"/>
    <col min="19" max="19" width="12.7109375" style="6" bestFit="1" customWidth="1"/>
    <col min="20" max="20" width="11.5703125" style="7" bestFit="1" customWidth="1"/>
    <col min="21" max="21" width="12.7109375" style="6" bestFit="1" customWidth="1"/>
    <col min="22" max="22" width="11.5703125" style="7" bestFit="1" customWidth="1"/>
    <col min="23" max="23" width="12.7109375" style="6" bestFit="1" customWidth="1"/>
    <col min="24" max="24" width="11.5703125" style="7" bestFit="1" customWidth="1"/>
    <col min="25" max="25" width="12.7109375" style="6" bestFit="1" customWidth="1"/>
    <col min="26" max="26" width="11.5703125" style="7" bestFit="1" customWidth="1"/>
    <col min="27" max="27" width="12.7109375" style="6" bestFit="1" customWidth="1"/>
    <col min="28" max="28" width="13.42578125" style="7" bestFit="1" customWidth="1"/>
    <col min="29" max="29" width="14.42578125" style="6" bestFit="1" customWidth="1"/>
    <col min="30" max="30" width="13.85546875" style="7" bestFit="1" customWidth="1"/>
    <col min="31" max="31" width="17.5703125" style="7" customWidth="1"/>
    <col min="32" max="32" width="10.7109375" style="7" customWidth="1"/>
    <col min="33" max="33" width="11.5703125" style="7" customWidth="1"/>
    <col min="34" max="42" width="9.140625" style="7"/>
    <col min="43" max="43" width="18.42578125" style="7" bestFit="1" customWidth="1"/>
    <col min="44" max="16384" width="9.140625" style="7"/>
  </cols>
  <sheetData>
    <row r="1" spans="1:30" ht="21.75" customHeight="1" x14ac:dyDescent="0.5">
      <c r="B1" s="2" t="s">
        <v>72</v>
      </c>
      <c r="C1" s="3"/>
      <c r="D1" s="4"/>
      <c r="E1" s="5"/>
      <c r="F1" s="4"/>
      <c r="G1" s="5"/>
      <c r="H1" s="4"/>
      <c r="I1" s="5"/>
      <c r="J1" s="4"/>
      <c r="K1" s="5"/>
      <c r="L1" s="4"/>
      <c r="M1" s="5"/>
      <c r="N1" s="4"/>
      <c r="O1" s="5"/>
      <c r="P1" s="4"/>
      <c r="Q1" s="5"/>
      <c r="R1" s="4"/>
      <c r="S1" s="5"/>
      <c r="T1" s="4"/>
      <c r="U1" s="5"/>
      <c r="V1" s="4"/>
      <c r="W1" s="5"/>
      <c r="X1" s="4"/>
      <c r="Y1" s="5"/>
      <c r="Z1" s="4"/>
      <c r="AA1" s="5"/>
      <c r="AB1" s="4"/>
    </row>
    <row r="2" spans="1:30" ht="21.75" customHeight="1" x14ac:dyDescent="0.5">
      <c r="A2" s="181" t="s">
        <v>11</v>
      </c>
      <c r="B2" s="199" t="s">
        <v>12</v>
      </c>
      <c r="C2" s="199" t="s">
        <v>13</v>
      </c>
      <c r="D2" s="180">
        <v>44562</v>
      </c>
      <c r="E2" s="180"/>
      <c r="F2" s="180">
        <v>44593</v>
      </c>
      <c r="G2" s="180"/>
      <c r="H2" s="180">
        <v>44621</v>
      </c>
      <c r="I2" s="180"/>
      <c r="J2" s="180">
        <v>44652</v>
      </c>
      <c r="K2" s="180"/>
      <c r="L2" s="180">
        <v>44682</v>
      </c>
      <c r="M2" s="180"/>
      <c r="N2" s="180">
        <v>44713</v>
      </c>
      <c r="O2" s="180"/>
      <c r="P2" s="180">
        <v>44743</v>
      </c>
      <c r="Q2" s="180"/>
      <c r="R2" s="180">
        <v>44774</v>
      </c>
      <c r="S2" s="180"/>
      <c r="T2" s="180">
        <v>44805</v>
      </c>
      <c r="U2" s="180"/>
      <c r="V2" s="180">
        <v>44835</v>
      </c>
      <c r="W2" s="180"/>
      <c r="X2" s="180">
        <v>44866</v>
      </c>
      <c r="Y2" s="180"/>
      <c r="Z2" s="180">
        <v>44896</v>
      </c>
      <c r="AA2" s="180"/>
      <c r="AB2" s="185" t="s">
        <v>0</v>
      </c>
      <c r="AC2" s="185"/>
    </row>
    <row r="3" spans="1:30" ht="21.75" customHeight="1" x14ac:dyDescent="0.5">
      <c r="A3" s="182"/>
      <c r="B3" s="199"/>
      <c r="C3" s="199"/>
      <c r="D3" s="8" t="s">
        <v>14</v>
      </c>
      <c r="E3" s="9" t="s">
        <v>13</v>
      </c>
      <c r="F3" s="8" t="s">
        <v>14</v>
      </c>
      <c r="G3" s="9" t="s">
        <v>13</v>
      </c>
      <c r="H3" s="8" t="s">
        <v>14</v>
      </c>
      <c r="I3" s="9" t="s">
        <v>13</v>
      </c>
      <c r="J3" s="8" t="s">
        <v>14</v>
      </c>
      <c r="K3" s="9" t="s">
        <v>13</v>
      </c>
      <c r="L3" s="8" t="s">
        <v>14</v>
      </c>
      <c r="M3" s="9" t="s">
        <v>13</v>
      </c>
      <c r="N3" s="8" t="s">
        <v>14</v>
      </c>
      <c r="O3" s="9" t="s">
        <v>13</v>
      </c>
      <c r="P3" s="8" t="s">
        <v>14</v>
      </c>
      <c r="Q3" s="9" t="s">
        <v>13</v>
      </c>
      <c r="R3" s="8" t="s">
        <v>14</v>
      </c>
      <c r="S3" s="9" t="s">
        <v>13</v>
      </c>
      <c r="T3" s="8" t="s">
        <v>14</v>
      </c>
      <c r="U3" s="9" t="s">
        <v>13</v>
      </c>
      <c r="V3" s="8" t="s">
        <v>14</v>
      </c>
      <c r="W3" s="9" t="s">
        <v>13</v>
      </c>
      <c r="X3" s="8" t="s">
        <v>14</v>
      </c>
      <c r="Y3" s="9" t="s">
        <v>13</v>
      </c>
      <c r="Z3" s="8" t="s">
        <v>14</v>
      </c>
      <c r="AA3" s="9" t="s">
        <v>13</v>
      </c>
      <c r="AB3" s="8" t="s">
        <v>14</v>
      </c>
      <c r="AC3" s="9" t="s">
        <v>13</v>
      </c>
    </row>
    <row r="4" spans="1:30" ht="21.75" customHeight="1" x14ac:dyDescent="0.5">
      <c r="A4" s="10">
        <v>1</v>
      </c>
      <c r="B4" s="11" t="s">
        <v>35</v>
      </c>
      <c r="C4" s="12">
        <v>0.7</v>
      </c>
      <c r="D4" s="13">
        <v>7044</v>
      </c>
      <c r="E4" s="14">
        <f>D4*$C4</f>
        <v>4930.7999999999993</v>
      </c>
      <c r="F4" s="15">
        <v>29058</v>
      </c>
      <c r="G4" s="14">
        <f>F4*$C4</f>
        <v>20340.599999999999</v>
      </c>
      <c r="H4" s="15">
        <v>9060</v>
      </c>
      <c r="I4" s="14">
        <f>H4*$C4</f>
        <v>6342</v>
      </c>
      <c r="J4" s="16">
        <f>480+9348</f>
        <v>9828</v>
      </c>
      <c r="K4" s="14">
        <f>J4*$C4</f>
        <v>6879.5999999999995</v>
      </c>
      <c r="L4" s="15">
        <v>3240</v>
      </c>
      <c r="M4" s="14">
        <f>L4*$C4</f>
        <v>2268</v>
      </c>
      <c r="N4" s="15">
        <v>7611</v>
      </c>
      <c r="O4" s="14">
        <f>N4*$C4</f>
        <v>5327.7</v>
      </c>
      <c r="P4" s="17">
        <v>4356</v>
      </c>
      <c r="Q4" s="14">
        <f>P4*$C4</f>
        <v>3049.2</v>
      </c>
      <c r="R4" s="15">
        <v>6353</v>
      </c>
      <c r="S4" s="14">
        <f>R4*$C4</f>
        <v>4447.0999999999995</v>
      </c>
      <c r="T4" s="15">
        <v>3384</v>
      </c>
      <c r="U4" s="14">
        <f>T4*$C4</f>
        <v>2368.7999999999997</v>
      </c>
      <c r="V4" s="17">
        <v>2831</v>
      </c>
      <c r="W4" s="14">
        <f>V4*$C4</f>
        <v>1981.6999999999998</v>
      </c>
      <c r="X4" s="15">
        <v>5556</v>
      </c>
      <c r="Y4" s="14">
        <f>X4*$C4</f>
        <v>3889.2</v>
      </c>
      <c r="Z4" s="15">
        <v>4176</v>
      </c>
      <c r="AA4" s="14">
        <f>Z4*$C4</f>
        <v>2923.2</v>
      </c>
      <c r="AB4" s="15">
        <f>D4+F4+H4+J4+L4+N4+P4+R4+T4+V4+X4+Z4</f>
        <v>92497</v>
      </c>
      <c r="AC4" s="14">
        <f>AB4*$C4</f>
        <v>64747.899999999994</v>
      </c>
      <c r="AD4" s="18"/>
    </row>
    <row r="5" spans="1:30" ht="21.75" customHeight="1" x14ac:dyDescent="0.5">
      <c r="A5" s="10">
        <v>2</v>
      </c>
      <c r="B5" s="11" t="s">
        <v>36</v>
      </c>
      <c r="C5" s="12">
        <v>0.64</v>
      </c>
      <c r="D5" s="13">
        <v>31336</v>
      </c>
      <c r="E5" s="14">
        <f t="shared" ref="E5:E26" si="0">D5*$C5</f>
        <v>20055.04</v>
      </c>
      <c r="F5" s="15"/>
      <c r="G5" s="14">
        <f t="shared" ref="G5:G26" si="1">F5*$C5</f>
        <v>0</v>
      </c>
      <c r="H5" s="15">
        <v>41174</v>
      </c>
      <c r="I5" s="14">
        <f t="shared" ref="I5:I26" si="2">H5*$C5</f>
        <v>26351.360000000001</v>
      </c>
      <c r="J5" s="16">
        <v>37772</v>
      </c>
      <c r="K5" s="14">
        <f t="shared" ref="K5:K26" si="3">J5*$C5</f>
        <v>24174.080000000002</v>
      </c>
      <c r="L5" s="17">
        <v>47936</v>
      </c>
      <c r="M5" s="14">
        <f t="shared" ref="M5:M26" si="4">L5*$C5</f>
        <v>30679.040000000001</v>
      </c>
      <c r="N5" s="15">
        <v>35826</v>
      </c>
      <c r="O5" s="14">
        <f t="shared" ref="O5:O26" si="5">N5*$C5</f>
        <v>22928.639999999999</v>
      </c>
      <c r="P5" s="17">
        <v>37100</v>
      </c>
      <c r="Q5" s="14">
        <f t="shared" ref="Q5:Q26" si="6">P5*$C5</f>
        <v>23744</v>
      </c>
      <c r="R5" s="17">
        <v>51772</v>
      </c>
      <c r="S5" s="14">
        <f t="shared" ref="S5:S26" si="7">R5*$C5</f>
        <v>33134.080000000002</v>
      </c>
      <c r="T5" s="17">
        <v>34496</v>
      </c>
      <c r="U5" s="14">
        <f t="shared" ref="U5:U26" si="8">T5*$C5</f>
        <v>22077.439999999999</v>
      </c>
      <c r="V5" s="17">
        <v>21462</v>
      </c>
      <c r="W5" s="14">
        <f t="shared" ref="W5:W26" si="9">V5*$C5</f>
        <v>13735.68</v>
      </c>
      <c r="X5" s="15">
        <v>26740</v>
      </c>
      <c r="Y5" s="14">
        <f t="shared" ref="Y5:Y26" si="10">X5*$C5</f>
        <v>17113.599999999999</v>
      </c>
      <c r="Z5" s="15">
        <v>42784</v>
      </c>
      <c r="AA5" s="14">
        <f t="shared" ref="AA5:AA26" si="11">Z5*$C5</f>
        <v>27381.760000000002</v>
      </c>
      <c r="AB5" s="15">
        <f t="shared" ref="AB5:AB26" si="12">Z5+X5+V5+T5+R5+P5+N5+L5+J5+H5+F5+D5</f>
        <v>408398</v>
      </c>
      <c r="AC5" s="14">
        <f t="shared" ref="AC5:AC26" si="13">AB5*$C5</f>
        <v>261374.72</v>
      </c>
    </row>
    <row r="6" spans="1:30" ht="21.75" customHeight="1" x14ac:dyDescent="0.5">
      <c r="A6" s="10">
        <v>3</v>
      </c>
      <c r="B6" s="19" t="s">
        <v>37</v>
      </c>
      <c r="C6" s="12">
        <v>1</v>
      </c>
      <c r="D6" s="13">
        <v>1176</v>
      </c>
      <c r="E6" s="14">
        <f t="shared" si="0"/>
        <v>1176</v>
      </c>
      <c r="F6" s="15">
        <v>1380</v>
      </c>
      <c r="G6" s="14">
        <f t="shared" si="1"/>
        <v>1380</v>
      </c>
      <c r="H6" s="16">
        <v>1716</v>
      </c>
      <c r="I6" s="14">
        <f t="shared" si="2"/>
        <v>1716</v>
      </c>
      <c r="J6" s="15">
        <v>2796</v>
      </c>
      <c r="K6" s="14">
        <f t="shared" si="3"/>
        <v>2796</v>
      </c>
      <c r="L6" s="15">
        <v>1416</v>
      </c>
      <c r="M6" s="14">
        <f t="shared" si="4"/>
        <v>1416</v>
      </c>
      <c r="N6" s="15">
        <v>1740</v>
      </c>
      <c r="O6" s="14">
        <f t="shared" si="5"/>
        <v>1740</v>
      </c>
      <c r="P6" s="15">
        <v>1308</v>
      </c>
      <c r="Q6" s="14">
        <f t="shared" si="6"/>
        <v>1308</v>
      </c>
      <c r="R6" s="15">
        <v>1476</v>
      </c>
      <c r="S6" s="14">
        <f t="shared" si="7"/>
        <v>1476</v>
      </c>
      <c r="T6" s="15">
        <v>1260</v>
      </c>
      <c r="U6" s="14">
        <f t="shared" si="8"/>
        <v>1260</v>
      </c>
      <c r="V6" s="15">
        <v>2148</v>
      </c>
      <c r="W6" s="14">
        <f t="shared" si="9"/>
        <v>2148</v>
      </c>
      <c r="X6" s="15">
        <v>1620</v>
      </c>
      <c r="Y6" s="14">
        <f t="shared" si="10"/>
        <v>1620</v>
      </c>
      <c r="Z6" s="15">
        <v>3258</v>
      </c>
      <c r="AA6" s="14">
        <f t="shared" si="11"/>
        <v>3258</v>
      </c>
      <c r="AB6" s="15">
        <f t="shared" si="12"/>
        <v>21294</v>
      </c>
      <c r="AC6" s="14">
        <f t="shared" si="13"/>
        <v>21294</v>
      </c>
    </row>
    <row r="7" spans="1:30" ht="21.75" hidden="1" customHeight="1" x14ac:dyDescent="0.5">
      <c r="A7" s="10">
        <v>4</v>
      </c>
      <c r="B7" s="19" t="s">
        <v>38</v>
      </c>
      <c r="C7" s="12">
        <v>0.6</v>
      </c>
      <c r="D7" s="15"/>
      <c r="E7" s="14">
        <f t="shared" si="0"/>
        <v>0</v>
      </c>
      <c r="F7" s="15"/>
      <c r="G7" s="14">
        <f t="shared" si="1"/>
        <v>0</v>
      </c>
      <c r="H7" s="15"/>
      <c r="I7" s="14">
        <f t="shared" si="2"/>
        <v>0</v>
      </c>
      <c r="J7" s="15"/>
      <c r="K7" s="14">
        <f t="shared" si="3"/>
        <v>0</v>
      </c>
      <c r="L7" s="15"/>
      <c r="M7" s="14">
        <f t="shared" si="4"/>
        <v>0</v>
      </c>
      <c r="N7" s="15"/>
      <c r="O7" s="14">
        <f t="shared" si="5"/>
        <v>0</v>
      </c>
      <c r="P7" s="15"/>
      <c r="Q7" s="14">
        <f t="shared" si="6"/>
        <v>0</v>
      </c>
      <c r="R7" s="15"/>
      <c r="S7" s="14">
        <f t="shared" si="7"/>
        <v>0</v>
      </c>
      <c r="T7" s="15"/>
      <c r="U7" s="14">
        <f t="shared" si="8"/>
        <v>0</v>
      </c>
      <c r="V7" s="15"/>
      <c r="W7" s="14">
        <f t="shared" si="9"/>
        <v>0</v>
      </c>
      <c r="X7" s="15"/>
      <c r="Y7" s="14">
        <f t="shared" si="10"/>
        <v>0</v>
      </c>
      <c r="Z7" s="15"/>
      <c r="AA7" s="14">
        <f t="shared" si="11"/>
        <v>0</v>
      </c>
      <c r="AB7" s="15">
        <f t="shared" si="12"/>
        <v>0</v>
      </c>
      <c r="AC7" s="14">
        <f t="shared" si="13"/>
        <v>0</v>
      </c>
    </row>
    <row r="8" spans="1:30" ht="21.75" customHeight="1" x14ac:dyDescent="0.5">
      <c r="A8" s="10">
        <v>5</v>
      </c>
      <c r="B8" s="11" t="s">
        <v>39</v>
      </c>
      <c r="C8" s="12">
        <v>1</v>
      </c>
      <c r="D8" s="13">
        <v>4800</v>
      </c>
      <c r="E8" s="14">
        <f t="shared" si="0"/>
        <v>4800</v>
      </c>
      <c r="F8" s="15">
        <v>3162</v>
      </c>
      <c r="G8" s="14">
        <f t="shared" si="1"/>
        <v>3162</v>
      </c>
      <c r="H8" s="16">
        <v>6744</v>
      </c>
      <c r="I8" s="14">
        <f t="shared" si="2"/>
        <v>6744</v>
      </c>
      <c r="J8" s="15">
        <v>5520</v>
      </c>
      <c r="K8" s="14">
        <f t="shared" si="3"/>
        <v>5520</v>
      </c>
      <c r="L8" s="15">
        <v>7056</v>
      </c>
      <c r="M8" s="14">
        <f t="shared" si="4"/>
        <v>7056</v>
      </c>
      <c r="N8" s="15">
        <v>11280</v>
      </c>
      <c r="O8" s="14">
        <f t="shared" si="5"/>
        <v>11280</v>
      </c>
      <c r="P8" s="15">
        <v>8580</v>
      </c>
      <c r="Q8" s="14">
        <f t="shared" si="6"/>
        <v>8580</v>
      </c>
      <c r="R8" s="15">
        <v>11088</v>
      </c>
      <c r="S8" s="14">
        <f t="shared" si="7"/>
        <v>11088</v>
      </c>
      <c r="T8" s="15">
        <v>16800</v>
      </c>
      <c r="U8" s="14">
        <f t="shared" si="8"/>
        <v>16800</v>
      </c>
      <c r="V8" s="15">
        <v>19092</v>
      </c>
      <c r="W8" s="14">
        <f t="shared" si="9"/>
        <v>19092</v>
      </c>
      <c r="X8" s="15">
        <v>14400</v>
      </c>
      <c r="Y8" s="14">
        <f t="shared" si="10"/>
        <v>14400</v>
      </c>
      <c r="Z8" s="15">
        <v>26640</v>
      </c>
      <c r="AA8" s="14">
        <f t="shared" si="11"/>
        <v>26640</v>
      </c>
      <c r="AB8" s="15">
        <f t="shared" si="12"/>
        <v>135162</v>
      </c>
      <c r="AC8" s="14">
        <f t="shared" si="13"/>
        <v>135162</v>
      </c>
    </row>
    <row r="9" spans="1:30" ht="21.75" hidden="1" customHeight="1" x14ac:dyDescent="0.5">
      <c r="A9" s="10">
        <v>6</v>
      </c>
      <c r="B9" s="11" t="s">
        <v>40</v>
      </c>
      <c r="C9" s="12">
        <v>2</v>
      </c>
      <c r="D9" s="15"/>
      <c r="E9" s="14">
        <f t="shared" si="0"/>
        <v>0</v>
      </c>
      <c r="F9" s="15"/>
      <c r="G9" s="14">
        <f t="shared" si="1"/>
        <v>0</v>
      </c>
      <c r="H9" s="15"/>
      <c r="I9" s="14">
        <f t="shared" si="2"/>
        <v>0</v>
      </c>
      <c r="J9" s="15"/>
      <c r="K9" s="14">
        <f t="shared" si="3"/>
        <v>0</v>
      </c>
      <c r="L9" s="15"/>
      <c r="M9" s="14">
        <f>L9*$C9</f>
        <v>0</v>
      </c>
      <c r="N9" s="15"/>
      <c r="O9" s="14">
        <f t="shared" si="5"/>
        <v>0</v>
      </c>
      <c r="P9" s="15"/>
      <c r="Q9" s="14">
        <f t="shared" si="6"/>
        <v>0</v>
      </c>
      <c r="R9" s="15"/>
      <c r="S9" s="14">
        <f t="shared" si="7"/>
        <v>0</v>
      </c>
      <c r="T9" s="15"/>
      <c r="U9" s="14">
        <f t="shared" si="8"/>
        <v>0</v>
      </c>
      <c r="V9" s="15"/>
      <c r="W9" s="14">
        <f t="shared" si="9"/>
        <v>0</v>
      </c>
      <c r="X9" s="15"/>
      <c r="Y9" s="14">
        <f t="shared" si="10"/>
        <v>0</v>
      </c>
      <c r="Z9" s="15"/>
      <c r="AA9" s="14">
        <f t="shared" si="11"/>
        <v>0</v>
      </c>
      <c r="AB9" s="15">
        <f t="shared" si="12"/>
        <v>0</v>
      </c>
      <c r="AC9" s="14">
        <f t="shared" si="13"/>
        <v>0</v>
      </c>
    </row>
    <row r="10" spans="1:30" ht="21.75" hidden="1" customHeight="1" x14ac:dyDescent="0.5">
      <c r="A10" s="10">
        <v>7</v>
      </c>
      <c r="B10" s="11" t="s">
        <v>41</v>
      </c>
      <c r="C10" s="12">
        <v>0.6</v>
      </c>
      <c r="D10" s="15"/>
      <c r="E10" s="14">
        <f t="shared" si="0"/>
        <v>0</v>
      </c>
      <c r="F10" s="15"/>
      <c r="G10" s="14">
        <f t="shared" si="1"/>
        <v>0</v>
      </c>
      <c r="H10" s="15"/>
      <c r="I10" s="14">
        <f t="shared" si="2"/>
        <v>0</v>
      </c>
      <c r="J10" s="15"/>
      <c r="K10" s="14">
        <f t="shared" si="3"/>
        <v>0</v>
      </c>
      <c r="L10" s="15"/>
      <c r="M10" s="14">
        <f t="shared" si="4"/>
        <v>0</v>
      </c>
      <c r="N10" s="15"/>
      <c r="O10" s="14">
        <f t="shared" si="5"/>
        <v>0</v>
      </c>
      <c r="P10" s="15"/>
      <c r="Q10" s="14">
        <f t="shared" si="6"/>
        <v>0</v>
      </c>
      <c r="R10" s="15"/>
      <c r="S10" s="14">
        <f t="shared" si="7"/>
        <v>0</v>
      </c>
      <c r="T10" s="15"/>
      <c r="U10" s="14">
        <f t="shared" si="8"/>
        <v>0</v>
      </c>
      <c r="V10" s="15"/>
      <c r="W10" s="14">
        <f t="shared" si="9"/>
        <v>0</v>
      </c>
      <c r="X10" s="15"/>
      <c r="Y10" s="14">
        <f t="shared" si="10"/>
        <v>0</v>
      </c>
      <c r="Z10" s="15"/>
      <c r="AA10" s="14">
        <f t="shared" si="11"/>
        <v>0</v>
      </c>
      <c r="AB10" s="15">
        <f t="shared" si="12"/>
        <v>0</v>
      </c>
      <c r="AC10" s="14">
        <f t="shared" si="13"/>
        <v>0</v>
      </c>
    </row>
    <row r="11" spans="1:30" ht="21.75" hidden="1" customHeight="1" x14ac:dyDescent="0.5">
      <c r="A11" s="10">
        <v>8</v>
      </c>
      <c r="B11" s="19" t="s">
        <v>42</v>
      </c>
      <c r="C11" s="12">
        <v>1</v>
      </c>
      <c r="D11" s="15"/>
      <c r="E11" s="14">
        <f t="shared" si="0"/>
        <v>0</v>
      </c>
      <c r="F11" s="15"/>
      <c r="G11" s="14">
        <f t="shared" si="1"/>
        <v>0</v>
      </c>
      <c r="H11" s="15"/>
      <c r="I11" s="14">
        <f t="shared" si="2"/>
        <v>0</v>
      </c>
      <c r="J11" s="15"/>
      <c r="K11" s="14">
        <f t="shared" si="3"/>
        <v>0</v>
      </c>
      <c r="L11" s="15"/>
      <c r="M11" s="14">
        <f t="shared" si="4"/>
        <v>0</v>
      </c>
      <c r="N11" s="15"/>
      <c r="O11" s="14">
        <f t="shared" si="5"/>
        <v>0</v>
      </c>
      <c r="P11" s="15"/>
      <c r="Q11" s="14">
        <f t="shared" si="6"/>
        <v>0</v>
      </c>
      <c r="R11" s="15"/>
      <c r="S11" s="14">
        <f t="shared" si="7"/>
        <v>0</v>
      </c>
      <c r="T11" s="15"/>
      <c r="U11" s="14">
        <f t="shared" si="8"/>
        <v>0</v>
      </c>
      <c r="V11" s="15"/>
      <c r="W11" s="14">
        <f t="shared" si="9"/>
        <v>0</v>
      </c>
      <c r="X11" s="15"/>
      <c r="Y11" s="14">
        <f t="shared" si="10"/>
        <v>0</v>
      </c>
      <c r="Z11" s="15"/>
      <c r="AA11" s="14">
        <f t="shared" si="11"/>
        <v>0</v>
      </c>
      <c r="AB11" s="15">
        <f>Z11+X11+V11+T11+R11+P11+N11+L11+J11+H11+F11+D11</f>
        <v>0</v>
      </c>
      <c r="AC11" s="14">
        <f t="shared" si="13"/>
        <v>0</v>
      </c>
    </row>
    <row r="12" spans="1:30" ht="21.75" customHeight="1" x14ac:dyDescent="0.5">
      <c r="A12" s="10">
        <v>9</v>
      </c>
      <c r="B12" s="11" t="s">
        <v>43</v>
      </c>
      <c r="C12" s="12">
        <v>1</v>
      </c>
      <c r="D12" s="15"/>
      <c r="E12" s="14">
        <f t="shared" si="0"/>
        <v>0</v>
      </c>
      <c r="F12" s="15"/>
      <c r="G12" s="14">
        <f t="shared" si="1"/>
        <v>0</v>
      </c>
      <c r="H12" s="15"/>
      <c r="I12" s="14">
        <f t="shared" si="2"/>
        <v>0</v>
      </c>
      <c r="J12" s="15"/>
      <c r="K12" s="14">
        <f t="shared" si="3"/>
        <v>0</v>
      </c>
      <c r="L12" s="15"/>
      <c r="M12" s="14">
        <f t="shared" si="4"/>
        <v>0</v>
      </c>
      <c r="N12" s="15"/>
      <c r="O12" s="14">
        <f t="shared" si="5"/>
        <v>0</v>
      </c>
      <c r="P12" s="15"/>
      <c r="Q12" s="14">
        <f t="shared" si="6"/>
        <v>0</v>
      </c>
      <c r="R12" s="15"/>
      <c r="S12" s="14">
        <f t="shared" si="7"/>
        <v>0</v>
      </c>
      <c r="T12" s="15"/>
      <c r="U12" s="14">
        <f t="shared" si="8"/>
        <v>0</v>
      </c>
      <c r="V12" s="15"/>
      <c r="W12" s="14">
        <f t="shared" si="9"/>
        <v>0</v>
      </c>
      <c r="X12" s="15"/>
      <c r="Y12" s="14">
        <f t="shared" si="10"/>
        <v>0</v>
      </c>
      <c r="Z12" s="15">
        <v>842</v>
      </c>
      <c r="AA12" s="14">
        <f t="shared" si="11"/>
        <v>842</v>
      </c>
      <c r="AB12" s="15">
        <f t="shared" si="12"/>
        <v>842</v>
      </c>
      <c r="AC12" s="14">
        <f t="shared" si="13"/>
        <v>842</v>
      </c>
    </row>
    <row r="13" spans="1:30" ht="21.75" hidden="1" customHeight="1" x14ac:dyDescent="0.5">
      <c r="A13" s="10">
        <v>10</v>
      </c>
      <c r="B13" s="11" t="s">
        <v>44</v>
      </c>
      <c r="C13" s="12">
        <v>0.3</v>
      </c>
      <c r="D13" s="15"/>
      <c r="E13" s="14">
        <f t="shared" si="0"/>
        <v>0</v>
      </c>
      <c r="F13" s="15"/>
      <c r="G13" s="14">
        <f t="shared" si="1"/>
        <v>0</v>
      </c>
      <c r="H13" s="15"/>
      <c r="I13" s="14">
        <f t="shared" si="2"/>
        <v>0</v>
      </c>
      <c r="J13" s="15"/>
      <c r="K13" s="14">
        <f t="shared" si="3"/>
        <v>0</v>
      </c>
      <c r="L13" s="15"/>
      <c r="M13" s="14">
        <f t="shared" si="4"/>
        <v>0</v>
      </c>
      <c r="N13" s="15"/>
      <c r="O13" s="14">
        <f t="shared" si="5"/>
        <v>0</v>
      </c>
      <c r="P13" s="15"/>
      <c r="Q13" s="14">
        <f t="shared" si="6"/>
        <v>0</v>
      </c>
      <c r="R13" s="15"/>
      <c r="S13" s="14">
        <f t="shared" si="7"/>
        <v>0</v>
      </c>
      <c r="T13" s="15"/>
      <c r="U13" s="14">
        <f t="shared" si="8"/>
        <v>0</v>
      </c>
      <c r="V13" s="15"/>
      <c r="W13" s="14">
        <f t="shared" si="9"/>
        <v>0</v>
      </c>
      <c r="X13" s="15"/>
      <c r="Y13" s="14">
        <f t="shared" si="10"/>
        <v>0</v>
      </c>
      <c r="Z13" s="15"/>
      <c r="AA13" s="14">
        <f t="shared" si="11"/>
        <v>0</v>
      </c>
      <c r="AB13" s="15">
        <f t="shared" si="12"/>
        <v>0</v>
      </c>
      <c r="AC13" s="14">
        <f t="shared" si="13"/>
        <v>0</v>
      </c>
    </row>
    <row r="14" spans="1:30" ht="21.75" customHeight="1" x14ac:dyDescent="0.5">
      <c r="A14" s="10">
        <v>11</v>
      </c>
      <c r="B14" s="11" t="s">
        <v>45</v>
      </c>
      <c r="C14" s="12">
        <v>0.64</v>
      </c>
      <c r="D14" s="13">
        <v>5460</v>
      </c>
      <c r="E14" s="14">
        <f t="shared" si="0"/>
        <v>3494.4</v>
      </c>
      <c r="F14" s="13">
        <v>7616</v>
      </c>
      <c r="G14" s="14">
        <f t="shared" si="1"/>
        <v>4874.24</v>
      </c>
      <c r="H14" s="15">
        <v>7112</v>
      </c>
      <c r="I14" s="14">
        <f t="shared" si="2"/>
        <v>4551.68</v>
      </c>
      <c r="J14" s="16">
        <v>6524</v>
      </c>
      <c r="K14" s="14">
        <f t="shared" si="3"/>
        <v>4175.3599999999997</v>
      </c>
      <c r="L14" s="15">
        <v>8260</v>
      </c>
      <c r="M14" s="14">
        <f t="shared" si="4"/>
        <v>5286.4000000000005</v>
      </c>
      <c r="N14" s="15">
        <v>8862</v>
      </c>
      <c r="O14" s="14">
        <f t="shared" si="5"/>
        <v>5671.68</v>
      </c>
      <c r="P14" s="15">
        <v>2884</v>
      </c>
      <c r="Q14" s="14">
        <f t="shared" si="6"/>
        <v>1845.76</v>
      </c>
      <c r="R14" s="15">
        <v>4592</v>
      </c>
      <c r="S14" s="14">
        <f t="shared" si="7"/>
        <v>2938.88</v>
      </c>
      <c r="T14" s="15">
        <v>2800</v>
      </c>
      <c r="U14" s="14">
        <f t="shared" si="8"/>
        <v>1792</v>
      </c>
      <c r="V14" s="15">
        <v>4144</v>
      </c>
      <c r="W14" s="14">
        <f t="shared" si="9"/>
        <v>2652.16</v>
      </c>
      <c r="X14" s="15">
        <v>5236</v>
      </c>
      <c r="Y14" s="14">
        <f t="shared" si="10"/>
        <v>3351.04</v>
      </c>
      <c r="Z14" s="15">
        <v>2940</v>
      </c>
      <c r="AA14" s="14">
        <f t="shared" si="11"/>
        <v>1881.6000000000001</v>
      </c>
      <c r="AB14" s="15">
        <f t="shared" si="12"/>
        <v>66430</v>
      </c>
      <c r="AC14" s="14">
        <f t="shared" si="13"/>
        <v>42515.200000000004</v>
      </c>
    </row>
    <row r="15" spans="1:30" ht="21.75" customHeight="1" x14ac:dyDescent="0.5">
      <c r="A15" s="10">
        <v>12</v>
      </c>
      <c r="B15" s="11" t="s">
        <v>65</v>
      </c>
      <c r="C15" s="12">
        <v>0.64</v>
      </c>
      <c r="D15" s="13">
        <v>197988</v>
      </c>
      <c r="E15" s="14">
        <f t="shared" si="0"/>
        <v>126712.32000000001</v>
      </c>
      <c r="F15" s="13">
        <v>195006</v>
      </c>
      <c r="G15" s="14">
        <f t="shared" si="1"/>
        <v>124803.84</v>
      </c>
      <c r="H15" s="16">
        <v>228872</v>
      </c>
      <c r="I15" s="14">
        <f t="shared" si="2"/>
        <v>146478.08000000002</v>
      </c>
      <c r="J15" s="16">
        <v>204638</v>
      </c>
      <c r="K15" s="14">
        <f t="shared" si="3"/>
        <v>130968.32000000001</v>
      </c>
      <c r="L15" s="15">
        <v>258090</v>
      </c>
      <c r="M15" s="14">
        <f t="shared" si="4"/>
        <v>165177.60000000001</v>
      </c>
      <c r="N15" s="15">
        <v>234402</v>
      </c>
      <c r="O15" s="14">
        <f t="shared" si="5"/>
        <v>150017.28</v>
      </c>
      <c r="P15" s="15">
        <v>201726</v>
      </c>
      <c r="Q15" s="14">
        <f t="shared" si="6"/>
        <v>129104.64</v>
      </c>
      <c r="R15" s="15">
        <v>232624</v>
      </c>
      <c r="S15" s="14">
        <f t="shared" si="7"/>
        <v>148879.36000000002</v>
      </c>
      <c r="T15" s="15">
        <v>197246</v>
      </c>
      <c r="U15" s="14">
        <f t="shared" si="8"/>
        <v>126237.44</v>
      </c>
      <c r="V15" s="15">
        <v>167538</v>
      </c>
      <c r="W15" s="14">
        <f t="shared" si="9"/>
        <v>107224.32000000001</v>
      </c>
      <c r="X15" s="15">
        <v>166432</v>
      </c>
      <c r="Y15" s="14">
        <f t="shared" si="10"/>
        <v>106516.48</v>
      </c>
      <c r="Z15" s="15">
        <v>203588</v>
      </c>
      <c r="AA15" s="14">
        <f t="shared" si="11"/>
        <v>130296.32000000001</v>
      </c>
      <c r="AB15" s="15">
        <f t="shared" si="12"/>
        <v>2488150</v>
      </c>
      <c r="AC15" s="14">
        <f t="shared" si="13"/>
        <v>1592416</v>
      </c>
    </row>
    <row r="16" spans="1:30" ht="21.75" customHeight="1" x14ac:dyDescent="0.5">
      <c r="A16" s="10">
        <v>13</v>
      </c>
      <c r="B16" s="11" t="s">
        <v>66</v>
      </c>
      <c r="C16" s="12">
        <v>0.64</v>
      </c>
      <c r="D16" s="13">
        <v>1800</v>
      </c>
      <c r="E16" s="14">
        <f t="shared" si="0"/>
        <v>1152</v>
      </c>
      <c r="F16" s="13">
        <v>1800</v>
      </c>
      <c r="G16" s="14">
        <f t="shared" si="1"/>
        <v>1152</v>
      </c>
      <c r="H16" s="16">
        <v>2520</v>
      </c>
      <c r="I16" s="14">
        <f t="shared" si="2"/>
        <v>1612.8</v>
      </c>
      <c r="J16" s="16">
        <v>1464</v>
      </c>
      <c r="K16" s="14">
        <f t="shared" si="3"/>
        <v>936.96</v>
      </c>
      <c r="L16" s="17">
        <v>3120</v>
      </c>
      <c r="M16" s="14">
        <f t="shared" si="4"/>
        <v>1996.8</v>
      </c>
      <c r="N16" s="15">
        <v>2400</v>
      </c>
      <c r="O16" s="14">
        <f t="shared" si="5"/>
        <v>1536</v>
      </c>
      <c r="P16" s="15">
        <v>2640</v>
      </c>
      <c r="Q16" s="14">
        <f t="shared" si="6"/>
        <v>1689.6000000000001</v>
      </c>
      <c r="R16" s="15">
        <v>4320</v>
      </c>
      <c r="S16" s="14">
        <f t="shared" si="7"/>
        <v>2764.8</v>
      </c>
      <c r="T16" s="15">
        <v>3600</v>
      </c>
      <c r="U16" s="14">
        <f t="shared" si="8"/>
        <v>2304</v>
      </c>
      <c r="V16" s="15">
        <v>720</v>
      </c>
      <c r="W16" s="14">
        <f t="shared" si="9"/>
        <v>460.8</v>
      </c>
      <c r="X16" s="15">
        <v>3000</v>
      </c>
      <c r="Y16" s="14">
        <f t="shared" si="10"/>
        <v>1920</v>
      </c>
      <c r="Z16" s="15">
        <v>1920</v>
      </c>
      <c r="AA16" s="14">
        <f t="shared" si="11"/>
        <v>1228.8</v>
      </c>
      <c r="AB16" s="15">
        <f t="shared" si="12"/>
        <v>29304</v>
      </c>
      <c r="AC16" s="14">
        <f t="shared" si="13"/>
        <v>18754.560000000001</v>
      </c>
    </row>
    <row r="17" spans="1:29" ht="21.75" customHeight="1" x14ac:dyDescent="0.5">
      <c r="A17" s="10">
        <v>14</v>
      </c>
      <c r="B17" s="11" t="s">
        <v>46</v>
      </c>
      <c r="C17" s="12">
        <v>0.64</v>
      </c>
      <c r="D17" s="13">
        <v>10962</v>
      </c>
      <c r="E17" s="14">
        <f t="shared" si="0"/>
        <v>7015.68</v>
      </c>
      <c r="F17" s="13">
        <v>9142</v>
      </c>
      <c r="G17" s="14">
        <f t="shared" si="1"/>
        <v>5850.88</v>
      </c>
      <c r="H17" s="15">
        <v>14070</v>
      </c>
      <c r="I17" s="14">
        <f t="shared" si="2"/>
        <v>9004.8000000000011</v>
      </c>
      <c r="J17" s="16">
        <v>11732</v>
      </c>
      <c r="K17" s="14">
        <f t="shared" si="3"/>
        <v>7508.4800000000005</v>
      </c>
      <c r="L17" s="15">
        <v>11284</v>
      </c>
      <c r="M17" s="14">
        <f t="shared" si="4"/>
        <v>7221.76</v>
      </c>
      <c r="N17" s="15">
        <v>10640</v>
      </c>
      <c r="O17" s="14">
        <f t="shared" si="5"/>
        <v>6809.6</v>
      </c>
      <c r="P17" s="15">
        <v>12838</v>
      </c>
      <c r="Q17" s="14">
        <f t="shared" si="6"/>
        <v>8216.32</v>
      </c>
      <c r="R17" s="15">
        <v>10766</v>
      </c>
      <c r="S17" s="14">
        <f t="shared" si="7"/>
        <v>6890.24</v>
      </c>
      <c r="T17" s="15">
        <v>11592</v>
      </c>
      <c r="U17" s="14">
        <f t="shared" si="8"/>
        <v>7418.88</v>
      </c>
      <c r="V17" s="15">
        <v>8932</v>
      </c>
      <c r="W17" s="14">
        <f t="shared" si="9"/>
        <v>5716.4800000000005</v>
      </c>
      <c r="X17" s="15">
        <v>10906</v>
      </c>
      <c r="Y17" s="14">
        <f t="shared" si="10"/>
        <v>6979.84</v>
      </c>
      <c r="Z17" s="15">
        <v>10878</v>
      </c>
      <c r="AA17" s="14">
        <f t="shared" si="11"/>
        <v>6961.92</v>
      </c>
      <c r="AB17" s="15">
        <f t="shared" si="12"/>
        <v>133742</v>
      </c>
      <c r="AC17" s="14">
        <f t="shared" si="13"/>
        <v>85594.880000000005</v>
      </c>
    </row>
    <row r="18" spans="1:29" ht="21.75" hidden="1" customHeight="1" x14ac:dyDescent="0.5">
      <c r="A18" s="10">
        <v>15</v>
      </c>
      <c r="B18" s="11" t="s">
        <v>47</v>
      </c>
      <c r="C18" s="12">
        <v>0.64</v>
      </c>
      <c r="D18" s="15"/>
      <c r="E18" s="14">
        <f t="shared" si="0"/>
        <v>0</v>
      </c>
      <c r="F18" s="15"/>
      <c r="G18" s="14">
        <f t="shared" si="1"/>
        <v>0</v>
      </c>
      <c r="H18" s="15"/>
      <c r="I18" s="14">
        <f t="shared" si="2"/>
        <v>0</v>
      </c>
      <c r="J18" s="15"/>
      <c r="K18" s="14">
        <f t="shared" si="3"/>
        <v>0</v>
      </c>
      <c r="L18" s="15"/>
      <c r="M18" s="14">
        <f t="shared" si="4"/>
        <v>0</v>
      </c>
      <c r="N18" s="15"/>
      <c r="O18" s="14">
        <f t="shared" si="5"/>
        <v>0</v>
      </c>
      <c r="P18" s="15"/>
      <c r="Q18" s="14">
        <f t="shared" si="6"/>
        <v>0</v>
      </c>
      <c r="R18" s="15"/>
      <c r="S18" s="14">
        <f t="shared" si="7"/>
        <v>0</v>
      </c>
      <c r="T18" s="15"/>
      <c r="U18" s="14">
        <f t="shared" si="8"/>
        <v>0</v>
      </c>
      <c r="V18" s="15"/>
      <c r="W18" s="14">
        <f t="shared" si="9"/>
        <v>0</v>
      </c>
      <c r="X18" s="15"/>
      <c r="Y18" s="14">
        <f t="shared" si="10"/>
        <v>0</v>
      </c>
      <c r="Z18" s="15"/>
      <c r="AA18" s="14">
        <f t="shared" si="11"/>
        <v>0</v>
      </c>
      <c r="AB18" s="15">
        <f t="shared" si="12"/>
        <v>0</v>
      </c>
      <c r="AC18" s="14">
        <f t="shared" si="13"/>
        <v>0</v>
      </c>
    </row>
    <row r="19" spans="1:29" ht="21" customHeight="1" x14ac:dyDescent="0.5">
      <c r="A19" s="10">
        <v>16</v>
      </c>
      <c r="B19" s="11" t="s">
        <v>48</v>
      </c>
      <c r="C19" s="12">
        <v>0.64</v>
      </c>
      <c r="D19" s="13">
        <v>2660</v>
      </c>
      <c r="E19" s="14">
        <f t="shared" si="0"/>
        <v>1702.4</v>
      </c>
      <c r="F19" s="13">
        <v>700</v>
      </c>
      <c r="G19" s="14">
        <f t="shared" si="1"/>
        <v>448</v>
      </c>
      <c r="H19" s="16">
        <v>3654</v>
      </c>
      <c r="I19" s="14">
        <f t="shared" si="2"/>
        <v>2338.56</v>
      </c>
      <c r="J19" s="16">
        <v>4046</v>
      </c>
      <c r="K19" s="14">
        <f t="shared" si="3"/>
        <v>2589.44</v>
      </c>
      <c r="L19" s="15">
        <v>1540</v>
      </c>
      <c r="M19" s="14">
        <f t="shared" si="4"/>
        <v>985.6</v>
      </c>
      <c r="N19" s="15">
        <v>3122</v>
      </c>
      <c r="O19" s="14">
        <f t="shared" si="5"/>
        <v>1998.0800000000002</v>
      </c>
      <c r="P19" s="15">
        <v>3906</v>
      </c>
      <c r="Q19" s="14">
        <f t="shared" si="6"/>
        <v>2499.84</v>
      </c>
      <c r="R19" s="15">
        <v>3094</v>
      </c>
      <c r="S19" s="14">
        <f t="shared" si="7"/>
        <v>1980.16</v>
      </c>
      <c r="T19" s="15">
        <v>574</v>
      </c>
      <c r="U19" s="14">
        <f t="shared" si="8"/>
        <v>367.36</v>
      </c>
      <c r="V19" s="15">
        <v>1746</v>
      </c>
      <c r="W19" s="14">
        <f t="shared" si="9"/>
        <v>1117.44</v>
      </c>
      <c r="X19" s="15">
        <v>1344</v>
      </c>
      <c r="Y19" s="14">
        <f t="shared" si="10"/>
        <v>860.16</v>
      </c>
      <c r="Z19" s="15">
        <v>2758</v>
      </c>
      <c r="AA19" s="14">
        <f t="shared" si="11"/>
        <v>1765.1200000000001</v>
      </c>
      <c r="AB19" s="15">
        <f t="shared" si="12"/>
        <v>29144</v>
      </c>
      <c r="AC19" s="14">
        <f t="shared" si="13"/>
        <v>18652.16</v>
      </c>
    </row>
    <row r="20" spans="1:29" ht="21.75" customHeight="1" x14ac:dyDescent="0.5">
      <c r="A20" s="10">
        <v>23</v>
      </c>
      <c r="B20" s="11" t="s">
        <v>49</v>
      </c>
      <c r="C20" s="12">
        <v>0.64</v>
      </c>
      <c r="D20" s="15">
        <v>360</v>
      </c>
      <c r="E20" s="14">
        <f t="shared" si="0"/>
        <v>230.4</v>
      </c>
      <c r="F20" s="15">
        <v>480</v>
      </c>
      <c r="G20" s="14">
        <f t="shared" si="1"/>
        <v>307.2</v>
      </c>
      <c r="H20" s="15">
        <v>1200</v>
      </c>
      <c r="I20" s="14">
        <f t="shared" si="2"/>
        <v>768</v>
      </c>
      <c r="J20" s="16">
        <v>840</v>
      </c>
      <c r="K20" s="14">
        <f t="shared" si="3"/>
        <v>537.6</v>
      </c>
      <c r="L20" s="15">
        <v>840</v>
      </c>
      <c r="M20" s="14">
        <f t="shared" si="4"/>
        <v>537.6</v>
      </c>
      <c r="N20" s="15">
        <v>744</v>
      </c>
      <c r="O20" s="14">
        <f t="shared" si="5"/>
        <v>476.16</v>
      </c>
      <c r="P20" s="15">
        <v>120</v>
      </c>
      <c r="Q20" s="14">
        <f t="shared" si="6"/>
        <v>76.8</v>
      </c>
      <c r="R20" s="15">
        <v>1560</v>
      </c>
      <c r="S20" s="14">
        <f t="shared" si="7"/>
        <v>998.4</v>
      </c>
      <c r="T20" s="15">
        <v>360</v>
      </c>
      <c r="U20" s="14">
        <f t="shared" si="8"/>
        <v>230.4</v>
      </c>
      <c r="V20" s="15">
        <v>1272</v>
      </c>
      <c r="W20" s="14">
        <f t="shared" si="9"/>
        <v>814.08</v>
      </c>
      <c r="X20" s="15">
        <v>360</v>
      </c>
      <c r="Y20" s="14">
        <f t="shared" si="10"/>
        <v>230.4</v>
      </c>
      <c r="Z20" s="15">
        <v>600</v>
      </c>
      <c r="AA20" s="14">
        <f t="shared" si="11"/>
        <v>384</v>
      </c>
      <c r="AB20" s="15">
        <f t="shared" si="12"/>
        <v>8736</v>
      </c>
      <c r="AC20" s="14">
        <f t="shared" si="13"/>
        <v>5591.04</v>
      </c>
    </row>
    <row r="21" spans="1:29" ht="21.75" customHeight="1" x14ac:dyDescent="0.5">
      <c r="A21" s="10">
        <v>24</v>
      </c>
      <c r="B21" s="20" t="s">
        <v>50</v>
      </c>
      <c r="C21" s="12">
        <v>0.64</v>
      </c>
      <c r="D21" s="13">
        <v>21456</v>
      </c>
      <c r="E21" s="14">
        <f t="shared" si="0"/>
        <v>13731.84</v>
      </c>
      <c r="F21" s="13">
        <v>16800</v>
      </c>
      <c r="G21" s="14">
        <f t="shared" si="1"/>
        <v>10752</v>
      </c>
      <c r="H21" s="16">
        <v>21528</v>
      </c>
      <c r="I21" s="14">
        <f t="shared" si="2"/>
        <v>13777.92</v>
      </c>
      <c r="J21" s="15">
        <v>18264</v>
      </c>
      <c r="K21" s="14">
        <f t="shared" si="3"/>
        <v>11688.960000000001</v>
      </c>
      <c r="L21" s="15">
        <v>23976</v>
      </c>
      <c r="M21" s="14">
        <f t="shared" si="4"/>
        <v>15344.64</v>
      </c>
      <c r="N21" s="15">
        <v>16440</v>
      </c>
      <c r="O21" s="14">
        <f t="shared" si="5"/>
        <v>10521.6</v>
      </c>
      <c r="P21" s="15">
        <v>18480</v>
      </c>
      <c r="Q21" s="14">
        <f t="shared" si="6"/>
        <v>11827.2</v>
      </c>
      <c r="R21" s="15">
        <v>18600</v>
      </c>
      <c r="S21" s="14">
        <f t="shared" si="7"/>
        <v>11904</v>
      </c>
      <c r="T21" s="15">
        <v>17760</v>
      </c>
      <c r="U21" s="14">
        <f t="shared" si="8"/>
        <v>11366.4</v>
      </c>
      <c r="V21" s="15">
        <v>16824</v>
      </c>
      <c r="W21" s="14">
        <f t="shared" si="9"/>
        <v>10767.36</v>
      </c>
      <c r="X21" s="15">
        <v>16368</v>
      </c>
      <c r="Y21" s="14">
        <f t="shared" si="10"/>
        <v>10475.52</v>
      </c>
      <c r="Z21" s="15">
        <v>19992</v>
      </c>
      <c r="AA21" s="14">
        <f t="shared" si="11"/>
        <v>12794.880000000001</v>
      </c>
      <c r="AB21" s="15">
        <f t="shared" si="12"/>
        <v>226488</v>
      </c>
      <c r="AC21" s="14">
        <f t="shared" si="13"/>
        <v>144952.32000000001</v>
      </c>
    </row>
    <row r="22" spans="1:29" ht="21.75" customHeight="1" x14ac:dyDescent="0.5">
      <c r="A22" s="10">
        <v>26</v>
      </c>
      <c r="B22" s="11" t="s">
        <v>51</v>
      </c>
      <c r="C22" s="12">
        <v>0.7</v>
      </c>
      <c r="D22" s="13">
        <v>198</v>
      </c>
      <c r="E22" s="14">
        <f t="shared" si="0"/>
        <v>138.6</v>
      </c>
      <c r="F22" s="13">
        <v>133</v>
      </c>
      <c r="G22" s="14">
        <f t="shared" si="1"/>
        <v>93.1</v>
      </c>
      <c r="H22" s="16">
        <v>156</v>
      </c>
      <c r="I22" s="14">
        <f t="shared" si="2"/>
        <v>109.19999999999999</v>
      </c>
      <c r="J22" s="16">
        <v>204</v>
      </c>
      <c r="K22" s="14">
        <f t="shared" si="3"/>
        <v>142.79999999999998</v>
      </c>
      <c r="L22" s="15">
        <v>160</v>
      </c>
      <c r="M22" s="14">
        <f t="shared" si="4"/>
        <v>112</v>
      </c>
      <c r="N22" s="15">
        <v>192</v>
      </c>
      <c r="O22" s="14">
        <f t="shared" si="5"/>
        <v>134.39999999999998</v>
      </c>
      <c r="P22" s="15">
        <v>140</v>
      </c>
      <c r="Q22" s="14">
        <f t="shared" si="6"/>
        <v>98</v>
      </c>
      <c r="R22" s="15">
        <v>161</v>
      </c>
      <c r="S22" s="14">
        <f t="shared" si="7"/>
        <v>112.69999999999999</v>
      </c>
      <c r="T22" s="15"/>
      <c r="U22" s="14">
        <f t="shared" si="8"/>
        <v>0</v>
      </c>
      <c r="V22" s="15">
        <v>298</v>
      </c>
      <c r="W22" s="14">
        <f t="shared" si="9"/>
        <v>208.6</v>
      </c>
      <c r="X22" s="15">
        <v>67</v>
      </c>
      <c r="Y22" s="14">
        <f t="shared" si="10"/>
        <v>46.9</v>
      </c>
      <c r="Z22" s="15">
        <v>243</v>
      </c>
      <c r="AA22" s="14">
        <f t="shared" si="11"/>
        <v>170.1</v>
      </c>
      <c r="AB22" s="15">
        <f t="shared" si="12"/>
        <v>1952</v>
      </c>
      <c r="AC22" s="14"/>
    </row>
    <row r="23" spans="1:29" ht="21.75" customHeight="1" x14ac:dyDescent="0.5">
      <c r="A23" s="10">
        <v>27</v>
      </c>
      <c r="B23" s="11" t="s">
        <v>52</v>
      </c>
      <c r="C23" s="12">
        <v>0.35</v>
      </c>
      <c r="D23" s="13">
        <v>118</v>
      </c>
      <c r="E23" s="14">
        <f t="shared" si="0"/>
        <v>41.3</v>
      </c>
      <c r="F23" s="15"/>
      <c r="G23" s="14">
        <f t="shared" si="1"/>
        <v>0</v>
      </c>
      <c r="H23" s="16">
        <v>139</v>
      </c>
      <c r="I23" s="14">
        <f t="shared" si="2"/>
        <v>48.65</v>
      </c>
      <c r="J23" s="15">
        <v>78</v>
      </c>
      <c r="K23" s="14">
        <f t="shared" si="3"/>
        <v>27.299999999999997</v>
      </c>
      <c r="L23" s="15">
        <v>39</v>
      </c>
      <c r="M23" s="14">
        <f t="shared" si="4"/>
        <v>13.649999999999999</v>
      </c>
      <c r="N23" s="15"/>
      <c r="O23" s="14">
        <f t="shared" si="5"/>
        <v>0</v>
      </c>
      <c r="P23" s="15">
        <v>11</v>
      </c>
      <c r="Q23" s="14">
        <f t="shared" si="6"/>
        <v>3.8499999999999996</v>
      </c>
      <c r="R23" s="15"/>
      <c r="S23" s="14">
        <f t="shared" si="7"/>
        <v>0</v>
      </c>
      <c r="T23" s="15">
        <v>240</v>
      </c>
      <c r="U23" s="14">
        <f t="shared" si="8"/>
        <v>84</v>
      </c>
      <c r="V23" s="15">
        <v>2</v>
      </c>
      <c r="W23" s="14">
        <f t="shared" si="9"/>
        <v>0.7</v>
      </c>
      <c r="X23" s="15"/>
      <c r="Y23" s="14">
        <f t="shared" si="10"/>
        <v>0</v>
      </c>
      <c r="Z23" s="15">
        <v>24</v>
      </c>
      <c r="AA23" s="14">
        <f>Z23*$C23</f>
        <v>8.3999999999999986</v>
      </c>
      <c r="AB23" s="15">
        <f t="shared" si="12"/>
        <v>651</v>
      </c>
      <c r="AC23" s="14"/>
    </row>
    <row r="24" spans="1:29" ht="21.75" hidden="1" customHeight="1" x14ac:dyDescent="0.5">
      <c r="A24" s="10"/>
      <c r="B24" s="20"/>
      <c r="C24" s="12"/>
      <c r="D24" s="15"/>
      <c r="E24" s="14"/>
      <c r="F24" s="15"/>
      <c r="G24" s="14"/>
      <c r="H24" s="15"/>
      <c r="I24" s="14"/>
      <c r="J24" s="15"/>
      <c r="K24" s="14"/>
      <c r="L24" s="15"/>
      <c r="M24" s="14"/>
      <c r="N24" s="15"/>
      <c r="O24" s="14"/>
      <c r="P24" s="15"/>
      <c r="Q24" s="14"/>
      <c r="R24" s="15"/>
      <c r="S24" s="14"/>
      <c r="T24" s="15"/>
      <c r="U24" s="14"/>
      <c r="V24" s="15"/>
      <c r="W24" s="14"/>
      <c r="X24" s="15"/>
      <c r="Y24" s="14"/>
      <c r="Z24" s="15"/>
      <c r="AA24" s="14"/>
      <c r="AB24" s="15"/>
      <c r="AC24" s="14"/>
    </row>
    <row r="25" spans="1:29" ht="21.75" hidden="1" customHeight="1" x14ac:dyDescent="0.5">
      <c r="A25" s="10"/>
      <c r="B25" s="20"/>
      <c r="C25" s="12"/>
      <c r="D25" s="15"/>
      <c r="E25" s="14"/>
      <c r="F25" s="15"/>
      <c r="G25" s="14"/>
      <c r="H25" s="15"/>
      <c r="I25" s="14"/>
      <c r="J25" s="15"/>
      <c r="K25" s="14"/>
      <c r="L25" s="15"/>
      <c r="M25" s="14"/>
      <c r="N25" s="15"/>
      <c r="O25" s="14"/>
      <c r="P25" s="15"/>
      <c r="Q25" s="14"/>
      <c r="R25" s="15"/>
      <c r="S25" s="14"/>
      <c r="T25" s="15"/>
      <c r="U25" s="14"/>
      <c r="V25" s="15"/>
      <c r="W25" s="14"/>
      <c r="X25" s="15"/>
      <c r="Y25" s="14"/>
      <c r="Z25" s="15"/>
      <c r="AA25" s="14"/>
      <c r="AB25" s="15"/>
      <c r="AC25" s="14"/>
    </row>
    <row r="26" spans="1:29" ht="21.75" hidden="1" customHeight="1" x14ac:dyDescent="0.5">
      <c r="A26" s="10"/>
      <c r="B26" s="20"/>
      <c r="C26" s="12"/>
      <c r="D26" s="15"/>
      <c r="E26" s="14">
        <f t="shared" si="0"/>
        <v>0</v>
      </c>
      <c r="F26" s="15"/>
      <c r="G26" s="14">
        <f t="shared" si="1"/>
        <v>0</v>
      </c>
      <c r="H26" s="15"/>
      <c r="I26" s="14">
        <f t="shared" si="2"/>
        <v>0</v>
      </c>
      <c r="J26" s="15"/>
      <c r="K26" s="14">
        <f t="shared" si="3"/>
        <v>0</v>
      </c>
      <c r="L26" s="15"/>
      <c r="M26" s="14">
        <f t="shared" si="4"/>
        <v>0</v>
      </c>
      <c r="N26" s="15"/>
      <c r="O26" s="14">
        <f t="shared" si="5"/>
        <v>0</v>
      </c>
      <c r="P26" s="15"/>
      <c r="Q26" s="14">
        <f t="shared" si="6"/>
        <v>0</v>
      </c>
      <c r="R26" s="15"/>
      <c r="S26" s="14">
        <f t="shared" si="7"/>
        <v>0</v>
      </c>
      <c r="T26" s="15"/>
      <c r="U26" s="14">
        <f t="shared" si="8"/>
        <v>0</v>
      </c>
      <c r="V26" s="15"/>
      <c r="W26" s="14">
        <f t="shared" si="9"/>
        <v>0</v>
      </c>
      <c r="X26" s="15"/>
      <c r="Y26" s="14">
        <f t="shared" si="10"/>
        <v>0</v>
      </c>
      <c r="Z26" s="15"/>
      <c r="AA26" s="14">
        <f t="shared" si="11"/>
        <v>0</v>
      </c>
      <c r="AB26" s="15">
        <f t="shared" si="12"/>
        <v>0</v>
      </c>
      <c r="AC26" s="14">
        <f t="shared" si="13"/>
        <v>0</v>
      </c>
    </row>
    <row r="27" spans="1:29" ht="21.75" customHeight="1" x14ac:dyDescent="0.5">
      <c r="A27" s="21"/>
      <c r="B27" s="22" t="s">
        <v>8</v>
      </c>
      <c r="C27" s="23"/>
      <c r="D27" s="24">
        <f t="shared" ref="D27:AA27" si="14">SUM(D4:D26)</f>
        <v>285358</v>
      </c>
      <c r="E27" s="25">
        <f t="shared" si="14"/>
        <v>185180.77999999997</v>
      </c>
      <c r="F27" s="24">
        <f t="shared" si="14"/>
        <v>265277</v>
      </c>
      <c r="G27" s="25">
        <f t="shared" si="14"/>
        <v>173163.86000000002</v>
      </c>
      <c r="H27" s="24">
        <f t="shared" si="14"/>
        <v>337945</v>
      </c>
      <c r="I27" s="25">
        <f t="shared" si="14"/>
        <v>219843.05000000002</v>
      </c>
      <c r="J27" s="24">
        <f t="shared" si="14"/>
        <v>303706</v>
      </c>
      <c r="K27" s="25">
        <f t="shared" si="14"/>
        <v>197944.9</v>
      </c>
      <c r="L27" s="24">
        <f t="shared" si="14"/>
        <v>366957</v>
      </c>
      <c r="M27" s="25">
        <f>SUM(M4:M26)</f>
        <v>238095.09</v>
      </c>
      <c r="N27" s="24">
        <f t="shared" si="14"/>
        <v>333259</v>
      </c>
      <c r="O27" s="25">
        <f t="shared" si="14"/>
        <v>218441.13999999998</v>
      </c>
      <c r="P27" s="24">
        <f t="shared" si="14"/>
        <v>294089</v>
      </c>
      <c r="Q27" s="25">
        <f t="shared" si="14"/>
        <v>192043.21000000002</v>
      </c>
      <c r="R27" s="24">
        <f t="shared" si="14"/>
        <v>346406</v>
      </c>
      <c r="S27" s="25">
        <f t="shared" si="14"/>
        <v>226613.72</v>
      </c>
      <c r="T27" s="24">
        <f t="shared" si="14"/>
        <v>290112</v>
      </c>
      <c r="U27" s="25">
        <f t="shared" si="14"/>
        <v>192306.71999999997</v>
      </c>
      <c r="V27" s="24">
        <f t="shared" si="14"/>
        <v>247009</v>
      </c>
      <c r="W27" s="25">
        <f t="shared" si="14"/>
        <v>165919.32000000004</v>
      </c>
      <c r="X27" s="24">
        <f t="shared" si="14"/>
        <v>252029</v>
      </c>
      <c r="Y27" s="25">
        <f t="shared" si="14"/>
        <v>167403.13999999998</v>
      </c>
      <c r="Z27" s="24">
        <f t="shared" si="14"/>
        <v>320643</v>
      </c>
      <c r="AA27" s="25">
        <f t="shared" si="14"/>
        <v>216536.1</v>
      </c>
      <c r="AB27" s="24">
        <f>SUM(D27+F27+H27+J27+L27+N27+P27+R27+T27+V27+X27+Z27)</f>
        <v>3642790</v>
      </c>
      <c r="AC27" s="25">
        <f>AA27+Y27+W27+U27+S27+Q27+O27+M27+K27+I27+G27+E27</f>
        <v>2393491.0299999998</v>
      </c>
    </row>
    <row r="28" spans="1:29" ht="21.75" customHeight="1" x14ac:dyDescent="0.5">
      <c r="A28" s="21"/>
      <c r="B28" s="22" t="s">
        <v>15</v>
      </c>
      <c r="C28" s="23"/>
      <c r="D28" s="24"/>
      <c r="E28" s="25">
        <v>185181</v>
      </c>
      <c r="F28" s="24"/>
      <c r="G28" s="25">
        <v>173164</v>
      </c>
      <c r="H28" s="24"/>
      <c r="I28" s="25">
        <v>219843</v>
      </c>
      <c r="J28" s="24"/>
      <c r="K28" s="25">
        <v>197944.9</v>
      </c>
      <c r="L28" s="24"/>
      <c r="M28" s="25">
        <v>238095.09</v>
      </c>
      <c r="N28" s="24"/>
      <c r="O28" s="25">
        <v>218441.13999999998</v>
      </c>
      <c r="P28" s="24"/>
      <c r="Q28" s="25">
        <v>192043.21000000002</v>
      </c>
      <c r="R28" s="24"/>
      <c r="S28" s="25">
        <v>226613.72</v>
      </c>
      <c r="T28" s="24"/>
      <c r="U28" s="25">
        <v>192306.71999999997</v>
      </c>
      <c r="V28" s="24"/>
      <c r="W28" s="25">
        <v>165919.32000000004</v>
      </c>
      <c r="X28" s="24"/>
      <c r="Y28" s="25">
        <v>167403.13999999998</v>
      </c>
      <c r="Z28" s="24"/>
      <c r="AA28" s="25">
        <v>216536.1</v>
      </c>
      <c r="AB28" s="24"/>
      <c r="AC28" s="25">
        <v>2393491.0299999998</v>
      </c>
    </row>
    <row r="29" spans="1:29" ht="21.75" hidden="1" customHeight="1" x14ac:dyDescent="0.5">
      <c r="A29" s="10"/>
      <c r="B29" s="20"/>
      <c r="C29" s="12"/>
      <c r="D29" s="20"/>
      <c r="E29" s="26"/>
      <c r="F29" s="20"/>
      <c r="G29" s="26"/>
      <c r="H29" s="20"/>
      <c r="I29" s="26"/>
      <c r="J29" s="20"/>
      <c r="K29" s="26"/>
      <c r="L29" s="20"/>
      <c r="M29" s="26"/>
      <c r="N29" s="20"/>
      <c r="O29" s="26"/>
      <c r="P29" s="20"/>
      <c r="Q29" s="26"/>
      <c r="R29" s="20"/>
      <c r="S29" s="26"/>
      <c r="T29" s="20"/>
      <c r="U29" s="26"/>
      <c r="V29" s="20"/>
      <c r="W29" s="26"/>
      <c r="X29" s="20"/>
      <c r="Y29" s="26"/>
      <c r="Z29" s="20"/>
      <c r="AA29" s="26"/>
      <c r="AB29" s="15"/>
      <c r="AC29" s="26"/>
    </row>
    <row r="30" spans="1:29" ht="21.75" customHeight="1" x14ac:dyDescent="0.5">
      <c r="A30" s="10">
        <v>1</v>
      </c>
      <c r="B30" s="11" t="s">
        <v>53</v>
      </c>
      <c r="C30" s="12">
        <v>0.7</v>
      </c>
      <c r="D30" s="13">
        <v>1709</v>
      </c>
      <c r="E30" s="26">
        <f>D30*C30</f>
        <v>1196.3</v>
      </c>
      <c r="F30" s="13">
        <v>860</v>
      </c>
      <c r="G30" s="26">
        <f>F30*C30</f>
        <v>602</v>
      </c>
      <c r="H30" s="16">
        <v>773</v>
      </c>
      <c r="I30" s="26">
        <f>H30*C30</f>
        <v>541.09999999999991</v>
      </c>
      <c r="J30" s="16">
        <v>814</v>
      </c>
      <c r="K30" s="17">
        <f>J30*C30</f>
        <v>569.79999999999995</v>
      </c>
      <c r="L30" s="17">
        <v>1383</v>
      </c>
      <c r="M30" s="26">
        <f>L30*C30</f>
        <v>968.09999999999991</v>
      </c>
      <c r="N30" s="15">
        <v>929</v>
      </c>
      <c r="O30" s="26">
        <f>N30*C30</f>
        <v>650.29999999999995</v>
      </c>
      <c r="P30" s="15">
        <v>864</v>
      </c>
      <c r="Q30" s="26">
        <f>P30*C30</f>
        <v>604.79999999999995</v>
      </c>
      <c r="R30" s="15">
        <v>797</v>
      </c>
      <c r="S30" s="26">
        <f>R30*C30</f>
        <v>557.9</v>
      </c>
      <c r="T30" s="15">
        <v>583</v>
      </c>
      <c r="U30" s="26">
        <f>T30*C30</f>
        <v>408.09999999999997</v>
      </c>
      <c r="V30" s="15">
        <v>685</v>
      </c>
      <c r="W30" s="26">
        <f>V30*C30</f>
        <v>479.49999999999994</v>
      </c>
      <c r="X30" s="15">
        <v>131</v>
      </c>
      <c r="Y30" s="26">
        <f>X30*C30</f>
        <v>91.699999999999989</v>
      </c>
      <c r="Z30" s="27">
        <v>631</v>
      </c>
      <c r="AA30" s="26">
        <f>Z30*C30</f>
        <v>441.7</v>
      </c>
      <c r="AB30" s="15">
        <f>SUM(D30:Z30)</f>
        <v>16828.599999999999</v>
      </c>
      <c r="AC30" s="26">
        <f>AB30*C30</f>
        <v>11780.019999999999</v>
      </c>
    </row>
    <row r="31" spans="1:29" ht="21.75" customHeight="1" x14ac:dyDescent="0.5">
      <c r="A31" s="10">
        <v>2</v>
      </c>
      <c r="B31" s="11" t="s">
        <v>54</v>
      </c>
      <c r="C31" s="12">
        <v>0.35</v>
      </c>
      <c r="D31" s="13">
        <v>800</v>
      </c>
      <c r="E31" s="26">
        <f t="shared" ref="E31:E38" si="15">D31*C31</f>
        <v>280</v>
      </c>
      <c r="F31" s="13">
        <v>477</v>
      </c>
      <c r="G31" s="26">
        <f t="shared" ref="G31:G38" si="16">F31*C31</f>
        <v>166.95</v>
      </c>
      <c r="H31" s="16">
        <v>379</v>
      </c>
      <c r="I31" s="26">
        <f t="shared" ref="I31:I38" si="17">H31*C31</f>
        <v>132.65</v>
      </c>
      <c r="J31" s="16">
        <v>384</v>
      </c>
      <c r="K31" s="17">
        <f t="shared" ref="K31:K38" si="18">J31*C31</f>
        <v>134.39999999999998</v>
      </c>
      <c r="L31" s="17">
        <v>289</v>
      </c>
      <c r="M31" s="26">
        <f t="shared" ref="M31:M38" si="19">L31*C31</f>
        <v>101.14999999999999</v>
      </c>
      <c r="N31" s="15">
        <v>270</v>
      </c>
      <c r="O31" s="26">
        <f t="shared" ref="O31:O38" si="20">N31*C31</f>
        <v>94.5</v>
      </c>
      <c r="P31" s="15">
        <v>129</v>
      </c>
      <c r="Q31" s="26">
        <f t="shared" ref="Q31:Q38" si="21">P31*C31</f>
        <v>45.15</v>
      </c>
      <c r="R31" s="15">
        <v>79</v>
      </c>
      <c r="S31" s="26">
        <f t="shared" ref="S31:S38" si="22">R31*C31</f>
        <v>27.65</v>
      </c>
      <c r="T31" s="15">
        <v>179</v>
      </c>
      <c r="U31" s="26">
        <f t="shared" ref="U31:U38" si="23">T31*C31</f>
        <v>62.65</v>
      </c>
      <c r="V31" s="15">
        <v>150</v>
      </c>
      <c r="W31" s="26">
        <f t="shared" ref="W31:W38" si="24">V31*C31</f>
        <v>52.5</v>
      </c>
      <c r="X31" s="15">
        <v>176</v>
      </c>
      <c r="Y31" s="26">
        <f t="shared" ref="Y31:Y38" si="25">X31*C31</f>
        <v>61.599999999999994</v>
      </c>
      <c r="Z31" s="27">
        <v>508</v>
      </c>
      <c r="AA31" s="26">
        <f t="shared" ref="AA31:AA38" si="26">Z31*C31</f>
        <v>177.79999999999998</v>
      </c>
      <c r="AB31" s="15">
        <f t="shared" ref="AB31:AB54" si="27">SUM(D31:Z31)</f>
        <v>4979.2000000000007</v>
      </c>
      <c r="AC31" s="26">
        <f t="shared" ref="AC31:AC38" si="28">AB31*C31</f>
        <v>1742.7200000000003</v>
      </c>
    </row>
    <row r="32" spans="1:29" ht="21.75" customHeight="1" x14ac:dyDescent="0.5">
      <c r="A32" s="10">
        <v>3</v>
      </c>
      <c r="B32" s="11" t="s">
        <v>55</v>
      </c>
      <c r="C32" s="12">
        <v>0.17499999999999999</v>
      </c>
      <c r="D32" s="13">
        <v>134</v>
      </c>
      <c r="E32" s="26">
        <f t="shared" si="15"/>
        <v>23.45</v>
      </c>
      <c r="F32" s="13">
        <v>511</v>
      </c>
      <c r="G32" s="26">
        <f t="shared" si="16"/>
        <v>89.424999999999997</v>
      </c>
      <c r="H32" s="16">
        <v>718</v>
      </c>
      <c r="I32" s="26">
        <f t="shared" si="17"/>
        <v>125.64999999999999</v>
      </c>
      <c r="J32" s="16">
        <v>871</v>
      </c>
      <c r="K32" s="17">
        <f t="shared" si="18"/>
        <v>152.42499999999998</v>
      </c>
      <c r="L32" s="17">
        <v>425</v>
      </c>
      <c r="M32" s="26">
        <f t="shared" si="19"/>
        <v>74.375</v>
      </c>
      <c r="N32" s="15">
        <v>1053</v>
      </c>
      <c r="O32" s="26">
        <f t="shared" si="20"/>
        <v>184.27499999999998</v>
      </c>
      <c r="P32" s="15">
        <v>546</v>
      </c>
      <c r="Q32" s="26">
        <f t="shared" si="21"/>
        <v>95.55</v>
      </c>
      <c r="R32" s="15">
        <v>903</v>
      </c>
      <c r="S32" s="26">
        <f t="shared" si="22"/>
        <v>158.02499999999998</v>
      </c>
      <c r="T32" s="15">
        <v>169</v>
      </c>
      <c r="U32" s="26">
        <f t="shared" si="23"/>
        <v>29.574999999999999</v>
      </c>
      <c r="V32" s="15">
        <v>215</v>
      </c>
      <c r="W32" s="26">
        <f t="shared" si="24"/>
        <v>37.625</v>
      </c>
      <c r="X32" s="15">
        <v>96</v>
      </c>
      <c r="Y32" s="26">
        <f t="shared" si="25"/>
        <v>16.799999999999997</v>
      </c>
      <c r="Z32" s="27">
        <v>1311</v>
      </c>
      <c r="AA32" s="26">
        <f t="shared" si="26"/>
        <v>229.42499999999998</v>
      </c>
      <c r="AB32" s="15">
        <f t="shared" si="27"/>
        <v>7939.1750000000002</v>
      </c>
      <c r="AC32" s="26">
        <f t="shared" si="28"/>
        <v>1389.3556249999999</v>
      </c>
    </row>
    <row r="33" spans="1:29" ht="21.75" customHeight="1" x14ac:dyDescent="0.5">
      <c r="A33" s="10">
        <v>4</v>
      </c>
      <c r="B33" s="11" t="s">
        <v>56</v>
      </c>
      <c r="C33" s="12">
        <v>0.7</v>
      </c>
      <c r="D33" s="15">
        <v>1806</v>
      </c>
      <c r="E33" s="26">
        <f t="shared" si="15"/>
        <v>1264.1999999999998</v>
      </c>
      <c r="F33" s="13">
        <v>475</v>
      </c>
      <c r="G33" s="26">
        <f t="shared" si="16"/>
        <v>332.5</v>
      </c>
      <c r="H33" s="16">
        <v>773</v>
      </c>
      <c r="I33" s="26">
        <f t="shared" si="17"/>
        <v>541.09999999999991</v>
      </c>
      <c r="J33" s="16">
        <v>719</v>
      </c>
      <c r="K33" s="17">
        <f t="shared" si="18"/>
        <v>503.29999999999995</v>
      </c>
      <c r="L33" s="15">
        <v>799</v>
      </c>
      <c r="M33" s="26">
        <f t="shared" si="19"/>
        <v>559.29999999999995</v>
      </c>
      <c r="N33" s="15">
        <v>939</v>
      </c>
      <c r="O33" s="26">
        <f t="shared" si="20"/>
        <v>657.3</v>
      </c>
      <c r="P33" s="15">
        <v>705</v>
      </c>
      <c r="Q33" s="26">
        <f t="shared" si="21"/>
        <v>493.49999999999994</v>
      </c>
      <c r="R33" s="15">
        <v>515</v>
      </c>
      <c r="S33" s="26">
        <f t="shared" si="22"/>
        <v>360.5</v>
      </c>
      <c r="T33" s="15">
        <v>816</v>
      </c>
      <c r="U33" s="26">
        <f t="shared" si="23"/>
        <v>571.19999999999993</v>
      </c>
      <c r="V33" s="15">
        <v>261</v>
      </c>
      <c r="W33" s="26">
        <f t="shared" si="24"/>
        <v>182.7</v>
      </c>
      <c r="X33" s="15">
        <v>543</v>
      </c>
      <c r="Y33" s="26">
        <f t="shared" si="25"/>
        <v>380.09999999999997</v>
      </c>
      <c r="Z33" s="27">
        <v>552</v>
      </c>
      <c r="AA33" s="26">
        <f t="shared" si="26"/>
        <v>386.4</v>
      </c>
      <c r="AB33" s="15">
        <f t="shared" si="27"/>
        <v>14748.7</v>
      </c>
      <c r="AC33" s="26">
        <f t="shared" si="28"/>
        <v>10324.09</v>
      </c>
    </row>
    <row r="34" spans="1:29" ht="21.75" customHeight="1" x14ac:dyDescent="0.5">
      <c r="A34" s="10">
        <v>5</v>
      </c>
      <c r="B34" s="11" t="s">
        <v>57</v>
      </c>
      <c r="C34" s="12">
        <v>0.35</v>
      </c>
      <c r="D34" s="15">
        <v>1171</v>
      </c>
      <c r="E34" s="26">
        <f t="shared" si="15"/>
        <v>409.84999999999997</v>
      </c>
      <c r="F34" s="13">
        <v>578</v>
      </c>
      <c r="G34" s="26">
        <f t="shared" si="16"/>
        <v>202.29999999999998</v>
      </c>
      <c r="H34" s="16">
        <v>592</v>
      </c>
      <c r="I34" s="26">
        <f t="shared" si="17"/>
        <v>207.2</v>
      </c>
      <c r="J34" s="16">
        <v>727</v>
      </c>
      <c r="K34" s="17">
        <f t="shared" si="18"/>
        <v>254.45</v>
      </c>
      <c r="L34" s="15">
        <v>342</v>
      </c>
      <c r="M34" s="26">
        <f t="shared" si="19"/>
        <v>119.69999999999999</v>
      </c>
      <c r="N34" s="15">
        <v>303</v>
      </c>
      <c r="O34" s="26">
        <f t="shared" si="20"/>
        <v>106.05</v>
      </c>
      <c r="P34" s="15">
        <v>317</v>
      </c>
      <c r="Q34" s="26">
        <f t="shared" si="21"/>
        <v>110.94999999999999</v>
      </c>
      <c r="R34" s="15">
        <v>168</v>
      </c>
      <c r="S34" s="26">
        <f t="shared" si="22"/>
        <v>58.8</v>
      </c>
      <c r="T34" s="15">
        <v>308</v>
      </c>
      <c r="U34" s="26">
        <f t="shared" si="23"/>
        <v>107.8</v>
      </c>
      <c r="V34" s="15">
        <v>332</v>
      </c>
      <c r="W34" s="26">
        <f t="shared" si="24"/>
        <v>116.19999999999999</v>
      </c>
      <c r="X34" s="15">
        <v>193</v>
      </c>
      <c r="Y34" s="26">
        <f t="shared" si="25"/>
        <v>67.55</v>
      </c>
      <c r="Z34" s="27">
        <v>486</v>
      </c>
      <c r="AA34" s="26">
        <f t="shared" si="26"/>
        <v>170.1</v>
      </c>
      <c r="AB34" s="15">
        <f t="shared" si="27"/>
        <v>7277.85</v>
      </c>
      <c r="AC34" s="26">
        <f t="shared" si="28"/>
        <v>2547.2474999999999</v>
      </c>
    </row>
    <row r="35" spans="1:29" ht="21.75" customHeight="1" x14ac:dyDescent="0.5">
      <c r="A35" s="10">
        <v>6</v>
      </c>
      <c r="B35" s="11" t="s">
        <v>58</v>
      </c>
      <c r="C35" s="12">
        <v>0.17499999999999999</v>
      </c>
      <c r="D35" s="13">
        <v>1989</v>
      </c>
      <c r="E35" s="26">
        <f t="shared" si="15"/>
        <v>348.07499999999999</v>
      </c>
      <c r="F35" s="13">
        <v>1115</v>
      </c>
      <c r="G35" s="26">
        <f t="shared" si="16"/>
        <v>195.125</v>
      </c>
      <c r="H35" s="16">
        <v>686</v>
      </c>
      <c r="I35" s="26">
        <f t="shared" si="17"/>
        <v>120.05</v>
      </c>
      <c r="J35" s="16">
        <v>780</v>
      </c>
      <c r="K35" s="17">
        <f t="shared" si="18"/>
        <v>136.5</v>
      </c>
      <c r="L35" s="15">
        <v>632</v>
      </c>
      <c r="M35" s="26">
        <f t="shared" si="19"/>
        <v>110.6</v>
      </c>
      <c r="N35" s="15">
        <v>768</v>
      </c>
      <c r="O35" s="26">
        <f t="shared" si="20"/>
        <v>134.39999999999998</v>
      </c>
      <c r="P35" s="15">
        <v>828</v>
      </c>
      <c r="Q35" s="26">
        <f t="shared" si="21"/>
        <v>144.89999999999998</v>
      </c>
      <c r="R35" s="15">
        <v>730</v>
      </c>
      <c r="S35" s="26">
        <f t="shared" si="22"/>
        <v>127.74999999999999</v>
      </c>
      <c r="T35" s="15">
        <v>242</v>
      </c>
      <c r="U35" s="26">
        <f t="shared" si="23"/>
        <v>42.349999999999994</v>
      </c>
      <c r="V35" s="15">
        <v>333</v>
      </c>
      <c r="W35" s="26">
        <f t="shared" si="24"/>
        <v>58.274999999999999</v>
      </c>
      <c r="X35" s="15">
        <v>277</v>
      </c>
      <c r="Y35" s="26">
        <f t="shared" si="25"/>
        <v>48.474999999999994</v>
      </c>
      <c r="Z35" s="27">
        <v>986</v>
      </c>
      <c r="AA35" s="26">
        <f t="shared" si="26"/>
        <v>172.54999999999998</v>
      </c>
      <c r="AB35" s="15">
        <f t="shared" si="27"/>
        <v>10832.5</v>
      </c>
      <c r="AC35" s="26">
        <f t="shared" si="28"/>
        <v>1895.6874999999998</v>
      </c>
    </row>
    <row r="36" spans="1:29" ht="21.75" customHeight="1" x14ac:dyDescent="0.5">
      <c r="A36" s="10">
        <v>7</v>
      </c>
      <c r="B36" s="11" t="s">
        <v>59</v>
      </c>
      <c r="C36" s="12">
        <v>0.7</v>
      </c>
      <c r="D36" s="15">
        <v>824</v>
      </c>
      <c r="E36" s="26">
        <f t="shared" si="15"/>
        <v>576.79999999999995</v>
      </c>
      <c r="F36" s="20">
        <v>483</v>
      </c>
      <c r="G36" s="26">
        <f t="shared" si="16"/>
        <v>338.09999999999997</v>
      </c>
      <c r="H36" s="16">
        <v>120</v>
      </c>
      <c r="I36" s="26">
        <f t="shared" si="17"/>
        <v>84</v>
      </c>
      <c r="J36" s="20"/>
      <c r="K36" s="17">
        <f t="shared" si="18"/>
        <v>0</v>
      </c>
      <c r="L36" s="20"/>
      <c r="M36" s="26">
        <f t="shared" si="19"/>
        <v>0</v>
      </c>
      <c r="N36" s="15"/>
      <c r="O36" s="26">
        <f t="shared" si="20"/>
        <v>0</v>
      </c>
      <c r="P36" s="15"/>
      <c r="Q36" s="26">
        <f t="shared" si="21"/>
        <v>0</v>
      </c>
      <c r="R36" s="15"/>
      <c r="S36" s="26">
        <f t="shared" si="22"/>
        <v>0</v>
      </c>
      <c r="T36" s="15"/>
      <c r="U36" s="26">
        <f t="shared" si="23"/>
        <v>0</v>
      </c>
      <c r="V36" s="15"/>
      <c r="W36" s="26">
        <f t="shared" si="24"/>
        <v>0</v>
      </c>
      <c r="X36" s="15"/>
      <c r="Y36" s="26">
        <f t="shared" si="25"/>
        <v>0</v>
      </c>
      <c r="Z36" s="15"/>
      <c r="AA36" s="26">
        <f t="shared" si="26"/>
        <v>0</v>
      </c>
      <c r="AB36" s="15">
        <f t="shared" si="27"/>
        <v>2425.9</v>
      </c>
      <c r="AC36" s="26">
        <f t="shared" si="28"/>
        <v>1698.1299999999999</v>
      </c>
    </row>
    <row r="37" spans="1:29" ht="21.75" hidden="1" customHeight="1" x14ac:dyDescent="0.5">
      <c r="A37" s="10">
        <v>8</v>
      </c>
      <c r="B37" s="20" t="s">
        <v>1</v>
      </c>
      <c r="C37" s="12"/>
      <c r="D37" s="20"/>
      <c r="E37" s="26">
        <f t="shared" si="15"/>
        <v>0</v>
      </c>
      <c r="F37" s="20"/>
      <c r="G37" s="26">
        <f t="shared" si="16"/>
        <v>0</v>
      </c>
      <c r="H37" s="20"/>
      <c r="I37" s="26">
        <f t="shared" si="17"/>
        <v>0</v>
      </c>
      <c r="J37" s="20"/>
      <c r="K37" s="17">
        <f t="shared" si="18"/>
        <v>0</v>
      </c>
      <c r="L37" s="20"/>
      <c r="M37" s="26">
        <f t="shared" si="19"/>
        <v>0</v>
      </c>
      <c r="N37" s="15"/>
      <c r="O37" s="26">
        <f t="shared" si="20"/>
        <v>0</v>
      </c>
      <c r="P37" s="15"/>
      <c r="Q37" s="26">
        <f t="shared" si="21"/>
        <v>0</v>
      </c>
      <c r="R37" s="15"/>
      <c r="S37" s="26">
        <f t="shared" si="22"/>
        <v>0</v>
      </c>
      <c r="T37" s="15"/>
      <c r="U37" s="26">
        <f t="shared" si="23"/>
        <v>0</v>
      </c>
      <c r="V37" s="15"/>
      <c r="W37" s="26">
        <f t="shared" si="24"/>
        <v>0</v>
      </c>
      <c r="X37" s="15"/>
      <c r="Y37" s="26">
        <f t="shared" si="25"/>
        <v>0</v>
      </c>
      <c r="Z37" s="15"/>
      <c r="AA37" s="26">
        <f t="shared" si="26"/>
        <v>0</v>
      </c>
      <c r="AB37" s="15"/>
      <c r="AC37" s="26">
        <f t="shared" si="28"/>
        <v>0</v>
      </c>
    </row>
    <row r="38" spans="1:29" ht="21.75" customHeight="1" x14ac:dyDescent="0.5">
      <c r="A38" s="10"/>
      <c r="B38" s="11" t="s">
        <v>60</v>
      </c>
      <c r="C38" s="12">
        <v>0.7</v>
      </c>
      <c r="D38" s="13">
        <v>139</v>
      </c>
      <c r="E38" s="26">
        <f t="shared" si="15"/>
        <v>97.3</v>
      </c>
      <c r="F38" s="13">
        <v>72</v>
      </c>
      <c r="G38" s="26">
        <f t="shared" si="16"/>
        <v>50.4</v>
      </c>
      <c r="H38" s="20">
        <v>60</v>
      </c>
      <c r="I38" s="26">
        <f t="shared" si="17"/>
        <v>42</v>
      </c>
      <c r="J38" s="20"/>
      <c r="K38" s="17">
        <f t="shared" si="18"/>
        <v>0</v>
      </c>
      <c r="L38" s="20"/>
      <c r="M38" s="26">
        <f t="shared" si="19"/>
        <v>0</v>
      </c>
      <c r="N38" s="15"/>
      <c r="O38" s="26">
        <f t="shared" si="20"/>
        <v>0</v>
      </c>
      <c r="P38" s="15"/>
      <c r="Q38" s="26">
        <f t="shared" si="21"/>
        <v>0</v>
      </c>
      <c r="R38" s="15"/>
      <c r="S38" s="26">
        <f t="shared" si="22"/>
        <v>0</v>
      </c>
      <c r="T38" s="15">
        <v>24</v>
      </c>
      <c r="U38" s="26">
        <f t="shared" si="23"/>
        <v>16.799999999999997</v>
      </c>
      <c r="V38" s="15">
        <v>324</v>
      </c>
      <c r="W38" s="26">
        <f t="shared" si="24"/>
        <v>226.79999999999998</v>
      </c>
      <c r="X38" s="15"/>
      <c r="Y38" s="26">
        <f t="shared" si="25"/>
        <v>0</v>
      </c>
      <c r="Z38" s="15">
        <v>276</v>
      </c>
      <c r="AA38" s="26">
        <f t="shared" si="26"/>
        <v>193.2</v>
      </c>
      <c r="AB38" s="15">
        <f>D38+F38+H38+T38+V38+Z38</f>
        <v>895</v>
      </c>
      <c r="AC38" s="26">
        <f t="shared" si="28"/>
        <v>626.5</v>
      </c>
    </row>
    <row r="39" spans="1:29" ht="21.75" customHeight="1" x14ac:dyDescent="0.5">
      <c r="A39" s="10"/>
      <c r="B39" s="11" t="s">
        <v>61</v>
      </c>
      <c r="C39" s="12"/>
      <c r="D39" s="20"/>
      <c r="E39" s="26"/>
      <c r="F39" s="20"/>
      <c r="G39" s="26"/>
      <c r="H39" s="20"/>
      <c r="I39" s="26"/>
      <c r="J39" s="16">
        <v>85</v>
      </c>
      <c r="K39" s="17"/>
      <c r="L39" s="17">
        <v>33</v>
      </c>
      <c r="M39" s="26"/>
      <c r="N39" s="15"/>
      <c r="O39" s="26"/>
      <c r="P39" s="15"/>
      <c r="Q39" s="26"/>
      <c r="R39" s="15"/>
      <c r="S39" s="26"/>
      <c r="T39" s="15"/>
      <c r="U39" s="26"/>
      <c r="V39" s="15"/>
      <c r="W39" s="26"/>
      <c r="X39" s="15"/>
      <c r="Y39" s="26"/>
      <c r="Z39" s="15"/>
      <c r="AA39" s="26"/>
      <c r="AB39" s="15">
        <f>D39+F39+H39+J39+L39+N39+P39+R39+T39+V39+X39+Z39</f>
        <v>118</v>
      </c>
      <c r="AC39" s="26"/>
    </row>
    <row r="40" spans="1:29" ht="21.75" customHeight="1" x14ac:dyDescent="0.5">
      <c r="A40" s="10"/>
      <c r="B40" s="11" t="s">
        <v>62</v>
      </c>
      <c r="C40" s="12"/>
      <c r="D40" s="20"/>
      <c r="E40" s="26"/>
      <c r="F40" s="20"/>
      <c r="G40" s="26"/>
      <c r="H40" s="20"/>
      <c r="I40" s="26"/>
      <c r="J40" s="16">
        <v>71</v>
      </c>
      <c r="K40" s="17"/>
      <c r="L40" s="17">
        <v>48</v>
      </c>
      <c r="M40" s="26"/>
      <c r="N40" s="15"/>
      <c r="O40" s="26"/>
      <c r="P40" s="15"/>
      <c r="Q40" s="26"/>
      <c r="R40" s="15"/>
      <c r="S40" s="26"/>
      <c r="T40" s="15"/>
      <c r="U40" s="26"/>
      <c r="V40" s="15"/>
      <c r="W40" s="26"/>
      <c r="X40" s="15"/>
      <c r="Y40" s="26"/>
      <c r="Z40" s="15"/>
      <c r="AA40" s="26"/>
      <c r="AB40" s="15">
        <f>D40+F40+H40+J40+L40+N40+P40+R40+T40+V40+X40+Z40</f>
        <v>119</v>
      </c>
      <c r="AC40" s="26"/>
    </row>
    <row r="41" spans="1:29" ht="21.75" customHeight="1" x14ac:dyDescent="0.5">
      <c r="A41" s="10"/>
      <c r="B41" s="11" t="s">
        <v>63</v>
      </c>
      <c r="C41" s="12"/>
      <c r="D41" s="20"/>
      <c r="E41" s="26"/>
      <c r="F41" s="20"/>
      <c r="G41" s="26"/>
      <c r="H41" s="20"/>
      <c r="I41" s="26"/>
      <c r="J41" s="16">
        <v>12</v>
      </c>
      <c r="K41" s="15"/>
      <c r="L41" s="15">
        <v>25</v>
      </c>
      <c r="M41" s="26"/>
      <c r="N41" s="15"/>
      <c r="O41" s="26"/>
      <c r="P41" s="15">
        <v>4</v>
      </c>
      <c r="Q41" s="26"/>
      <c r="R41" s="15"/>
      <c r="S41" s="26"/>
      <c r="T41" s="15"/>
      <c r="U41" s="26"/>
      <c r="V41" s="15">
        <v>15</v>
      </c>
      <c r="W41" s="26"/>
      <c r="X41" s="15"/>
      <c r="Y41" s="26"/>
      <c r="Z41" s="15"/>
      <c r="AA41" s="26"/>
      <c r="AB41" s="15">
        <f>D41+F41+H41+J41+L41+N41+P41+R41+T41+V41+X41+Z41</f>
        <v>56</v>
      </c>
      <c r="AC41" s="26"/>
    </row>
    <row r="42" spans="1:29" ht="21.75" hidden="1" customHeight="1" x14ac:dyDescent="0.5">
      <c r="A42" s="10"/>
      <c r="B42" s="11" t="s">
        <v>64</v>
      </c>
      <c r="C42" s="12"/>
      <c r="D42" s="20"/>
      <c r="E42" s="26"/>
      <c r="F42" s="20"/>
      <c r="G42" s="26"/>
      <c r="H42" s="20"/>
      <c r="I42" s="26"/>
      <c r="J42" s="20"/>
      <c r="K42" s="26"/>
      <c r="L42" s="20"/>
      <c r="M42" s="26"/>
      <c r="N42" s="15"/>
      <c r="O42" s="26"/>
      <c r="P42" s="15"/>
      <c r="Q42" s="26"/>
      <c r="R42" s="15"/>
      <c r="S42" s="26"/>
      <c r="T42" s="15"/>
      <c r="U42" s="26"/>
      <c r="V42" s="15"/>
      <c r="W42" s="26"/>
      <c r="X42" s="15"/>
      <c r="Y42" s="26"/>
      <c r="Z42" s="15"/>
      <c r="AA42" s="26"/>
      <c r="AB42" s="15">
        <f t="shared" ref="AB42:AB43" si="29">D42+F42+H42+J42+L42+N42+P42+R42+T42+V42+X42+Z42</f>
        <v>0</v>
      </c>
      <c r="AC42" s="26"/>
    </row>
    <row r="43" spans="1:29" ht="21.75" customHeight="1" x14ac:dyDescent="0.5">
      <c r="A43" s="10"/>
      <c r="B43" s="19" t="s">
        <v>73</v>
      </c>
      <c r="C43" s="12">
        <v>0.7</v>
      </c>
      <c r="D43" s="20"/>
      <c r="E43" s="26"/>
      <c r="F43" s="20">
        <v>22</v>
      </c>
      <c r="G43" s="26">
        <f>F43*C43</f>
        <v>15.399999999999999</v>
      </c>
      <c r="H43" s="20">
        <v>7</v>
      </c>
      <c r="I43" s="26">
        <f>H43*C43</f>
        <v>4.8999999999999995</v>
      </c>
      <c r="J43" s="20"/>
      <c r="K43" s="26"/>
      <c r="L43" s="20"/>
      <c r="M43" s="26"/>
      <c r="N43" s="15"/>
      <c r="O43" s="26"/>
      <c r="P43" s="15"/>
      <c r="Q43" s="26"/>
      <c r="R43" s="15"/>
      <c r="S43" s="26"/>
      <c r="T43" s="15">
        <v>12</v>
      </c>
      <c r="U43" s="26"/>
      <c r="V43" s="15">
        <v>12</v>
      </c>
      <c r="W43" s="26"/>
      <c r="X43" s="15"/>
      <c r="Y43" s="26"/>
      <c r="Z43" s="15">
        <v>12</v>
      </c>
      <c r="AA43" s="26"/>
      <c r="AB43" s="15">
        <f t="shared" si="29"/>
        <v>65</v>
      </c>
      <c r="AC43" s="26"/>
    </row>
    <row r="44" spans="1:29" ht="21.75" hidden="1" customHeight="1" x14ac:dyDescent="0.5">
      <c r="A44" s="10"/>
      <c r="B44" s="19" t="s">
        <v>74</v>
      </c>
      <c r="C44" s="12"/>
      <c r="D44" s="20"/>
      <c r="E44" s="26"/>
      <c r="F44" s="20"/>
      <c r="G44" s="26"/>
      <c r="H44" s="20"/>
      <c r="I44" s="26"/>
      <c r="J44" s="20"/>
      <c r="K44" s="26"/>
      <c r="L44" s="20"/>
      <c r="M44" s="26"/>
      <c r="N44" s="15"/>
      <c r="O44" s="26"/>
      <c r="P44" s="15"/>
      <c r="Q44" s="26"/>
      <c r="R44" s="15"/>
      <c r="S44" s="26"/>
      <c r="T44" s="15"/>
      <c r="U44" s="26"/>
      <c r="V44" s="15"/>
      <c r="W44" s="26"/>
      <c r="X44" s="15"/>
      <c r="Y44" s="26"/>
      <c r="Z44" s="15"/>
      <c r="AA44" s="26"/>
      <c r="AB44" s="15">
        <f t="shared" si="27"/>
        <v>0</v>
      </c>
      <c r="AC44" s="26"/>
    </row>
    <row r="45" spans="1:29" ht="21.75" hidden="1" customHeight="1" x14ac:dyDescent="0.5">
      <c r="A45" s="10"/>
      <c r="B45" s="19" t="s">
        <v>75</v>
      </c>
      <c r="C45" s="12"/>
      <c r="D45" s="20"/>
      <c r="E45" s="26"/>
      <c r="F45" s="20"/>
      <c r="G45" s="26"/>
      <c r="H45" s="20"/>
      <c r="I45" s="26"/>
      <c r="J45" s="20"/>
      <c r="K45" s="26"/>
      <c r="L45" s="20"/>
      <c r="M45" s="26"/>
      <c r="N45" s="15"/>
      <c r="O45" s="26"/>
      <c r="P45" s="15"/>
      <c r="Q45" s="26"/>
      <c r="R45" s="15"/>
      <c r="S45" s="26"/>
      <c r="T45" s="15"/>
      <c r="U45" s="26"/>
      <c r="V45" s="15"/>
      <c r="W45" s="26"/>
      <c r="X45" s="15"/>
      <c r="Y45" s="26"/>
      <c r="Z45" s="15"/>
      <c r="AA45" s="26"/>
      <c r="AB45" s="15">
        <f t="shared" si="27"/>
        <v>0</v>
      </c>
      <c r="AC45" s="26"/>
    </row>
    <row r="46" spans="1:29" ht="21.75" hidden="1" customHeight="1" x14ac:dyDescent="0.5">
      <c r="A46" s="10"/>
      <c r="B46" s="19" t="s">
        <v>76</v>
      </c>
      <c r="C46" s="12"/>
      <c r="D46" s="20"/>
      <c r="E46" s="26"/>
      <c r="F46" s="20"/>
      <c r="G46" s="26"/>
      <c r="H46" s="20"/>
      <c r="I46" s="26"/>
      <c r="J46" s="20"/>
      <c r="K46" s="26"/>
      <c r="L46" s="20"/>
      <c r="M46" s="26"/>
      <c r="N46" s="15"/>
      <c r="O46" s="26"/>
      <c r="P46" s="15"/>
      <c r="Q46" s="26"/>
      <c r="R46" s="15"/>
      <c r="S46" s="26"/>
      <c r="T46" s="15"/>
      <c r="U46" s="26"/>
      <c r="V46" s="15"/>
      <c r="W46" s="26"/>
      <c r="X46" s="15"/>
      <c r="Y46" s="26"/>
      <c r="Z46" s="15"/>
      <c r="AA46" s="26"/>
      <c r="AB46" s="15">
        <f t="shared" si="27"/>
        <v>0</v>
      </c>
      <c r="AC46" s="26"/>
    </row>
    <row r="47" spans="1:29" ht="21.75" hidden="1" customHeight="1" x14ac:dyDescent="0.5">
      <c r="A47" s="10"/>
      <c r="B47" s="19" t="s">
        <v>77</v>
      </c>
      <c r="C47" s="12"/>
      <c r="D47" s="20"/>
      <c r="E47" s="26"/>
      <c r="F47" s="20"/>
      <c r="G47" s="26"/>
      <c r="H47" s="20"/>
      <c r="I47" s="26"/>
      <c r="J47" s="20"/>
      <c r="K47" s="26"/>
      <c r="L47" s="20"/>
      <c r="M47" s="26"/>
      <c r="N47" s="15"/>
      <c r="O47" s="26"/>
      <c r="P47" s="15"/>
      <c r="Q47" s="26"/>
      <c r="R47" s="15"/>
      <c r="S47" s="26"/>
      <c r="T47" s="15"/>
      <c r="U47" s="26"/>
      <c r="V47" s="15"/>
      <c r="W47" s="26"/>
      <c r="X47" s="15"/>
      <c r="Y47" s="26"/>
      <c r="Z47" s="15"/>
      <c r="AA47" s="26"/>
      <c r="AB47" s="15">
        <f t="shared" si="27"/>
        <v>0</v>
      </c>
      <c r="AC47" s="26"/>
    </row>
    <row r="48" spans="1:29" ht="21.75" hidden="1" customHeight="1" x14ac:dyDescent="0.5">
      <c r="A48" s="10"/>
      <c r="B48" s="19" t="s">
        <v>78</v>
      </c>
      <c r="C48" s="12"/>
      <c r="D48" s="20"/>
      <c r="E48" s="26"/>
      <c r="F48" s="20"/>
      <c r="G48" s="26"/>
      <c r="H48" s="20"/>
      <c r="I48" s="26"/>
      <c r="J48" s="20"/>
      <c r="K48" s="26"/>
      <c r="L48" s="20"/>
      <c r="M48" s="26"/>
      <c r="N48" s="15"/>
      <c r="O48" s="26"/>
      <c r="P48" s="15"/>
      <c r="Q48" s="26"/>
      <c r="R48" s="15"/>
      <c r="S48" s="26"/>
      <c r="T48" s="15"/>
      <c r="U48" s="26"/>
      <c r="V48" s="15"/>
      <c r="W48" s="26"/>
      <c r="X48" s="15"/>
      <c r="Y48" s="26"/>
      <c r="Z48" s="15"/>
      <c r="AA48" s="26"/>
      <c r="AB48" s="15">
        <f t="shared" si="27"/>
        <v>0</v>
      </c>
      <c r="AC48" s="26"/>
    </row>
    <row r="49" spans="1:29" ht="21.75" hidden="1" customHeight="1" x14ac:dyDescent="0.5">
      <c r="A49" s="10"/>
      <c r="B49" s="20"/>
      <c r="C49" s="12"/>
      <c r="D49" s="20"/>
      <c r="E49" s="26"/>
      <c r="F49" s="20"/>
      <c r="G49" s="26"/>
      <c r="H49" s="20"/>
      <c r="I49" s="26"/>
      <c r="J49" s="20"/>
      <c r="K49" s="26"/>
      <c r="L49" s="20"/>
      <c r="M49" s="26"/>
      <c r="N49" s="15"/>
      <c r="O49" s="26"/>
      <c r="P49" s="15"/>
      <c r="Q49" s="26"/>
      <c r="R49" s="15"/>
      <c r="S49" s="26"/>
      <c r="T49" s="15"/>
      <c r="U49" s="26"/>
      <c r="V49" s="15"/>
      <c r="W49" s="26"/>
      <c r="X49" s="15"/>
      <c r="Y49" s="26"/>
      <c r="Z49" s="15"/>
      <c r="AA49" s="26"/>
      <c r="AB49" s="15">
        <f t="shared" si="27"/>
        <v>0</v>
      </c>
      <c r="AC49" s="26"/>
    </row>
    <row r="50" spans="1:29" ht="21.75" hidden="1" customHeight="1" x14ac:dyDescent="0.5">
      <c r="A50" s="10"/>
      <c r="B50" s="20"/>
      <c r="C50" s="12"/>
      <c r="D50" s="20"/>
      <c r="E50" s="26"/>
      <c r="F50" s="20"/>
      <c r="G50" s="26"/>
      <c r="H50" s="20"/>
      <c r="I50" s="26"/>
      <c r="J50" s="20"/>
      <c r="K50" s="26"/>
      <c r="L50" s="20"/>
      <c r="M50" s="26"/>
      <c r="N50" s="15"/>
      <c r="O50" s="26"/>
      <c r="P50" s="15"/>
      <c r="Q50" s="26"/>
      <c r="R50" s="15"/>
      <c r="S50" s="26"/>
      <c r="T50" s="15"/>
      <c r="U50" s="26"/>
      <c r="V50" s="15"/>
      <c r="W50" s="26"/>
      <c r="X50" s="15"/>
      <c r="Y50" s="26"/>
      <c r="Z50" s="15"/>
      <c r="AA50" s="26"/>
      <c r="AB50" s="15">
        <f t="shared" si="27"/>
        <v>0</v>
      </c>
      <c r="AC50" s="26"/>
    </row>
    <row r="51" spans="1:29" ht="21.75" hidden="1" customHeight="1" x14ac:dyDescent="0.5">
      <c r="A51" s="10">
        <v>9</v>
      </c>
      <c r="B51" s="20"/>
      <c r="C51" s="12"/>
      <c r="D51" s="20"/>
      <c r="E51" s="26"/>
      <c r="F51" s="20"/>
      <c r="G51" s="26"/>
      <c r="H51" s="20"/>
      <c r="I51" s="26"/>
      <c r="J51" s="20"/>
      <c r="K51" s="26"/>
      <c r="L51" s="20"/>
      <c r="M51" s="26"/>
      <c r="N51" s="15"/>
      <c r="O51" s="26"/>
      <c r="P51" s="15"/>
      <c r="Q51" s="26"/>
      <c r="R51" s="15"/>
      <c r="S51" s="26"/>
      <c r="T51" s="15"/>
      <c r="U51" s="26"/>
      <c r="V51" s="15"/>
      <c r="W51" s="26"/>
      <c r="X51" s="15"/>
      <c r="Y51" s="26"/>
      <c r="Z51" s="15"/>
      <c r="AA51" s="26"/>
      <c r="AB51" s="15">
        <f t="shared" si="27"/>
        <v>0</v>
      </c>
      <c r="AC51" s="26"/>
    </row>
    <row r="52" spans="1:29" ht="21.75" hidden="1" customHeight="1" x14ac:dyDescent="0.5">
      <c r="A52" s="10">
        <v>10</v>
      </c>
      <c r="B52" s="20"/>
      <c r="C52" s="12"/>
      <c r="D52" s="20"/>
      <c r="E52" s="26"/>
      <c r="F52" s="20"/>
      <c r="G52" s="26"/>
      <c r="H52" s="20"/>
      <c r="I52" s="26"/>
      <c r="J52" s="20"/>
      <c r="K52" s="26"/>
      <c r="L52" s="20"/>
      <c r="M52" s="26"/>
      <c r="N52" s="15"/>
      <c r="O52" s="26"/>
      <c r="P52" s="15"/>
      <c r="Q52" s="26"/>
      <c r="R52" s="15"/>
      <c r="S52" s="26"/>
      <c r="T52" s="15"/>
      <c r="U52" s="26"/>
      <c r="V52" s="15"/>
      <c r="W52" s="26"/>
      <c r="X52" s="15"/>
      <c r="Y52" s="26"/>
      <c r="Z52" s="15"/>
      <c r="AA52" s="26"/>
      <c r="AB52" s="15">
        <f t="shared" si="27"/>
        <v>0</v>
      </c>
      <c r="AC52" s="26"/>
    </row>
    <row r="53" spans="1:29" ht="21.75" hidden="1" customHeight="1" x14ac:dyDescent="0.5">
      <c r="A53" s="10">
        <v>11</v>
      </c>
      <c r="B53" s="20"/>
      <c r="C53" s="12"/>
      <c r="D53" s="20"/>
      <c r="E53" s="26"/>
      <c r="F53" s="20"/>
      <c r="G53" s="26"/>
      <c r="H53" s="20"/>
      <c r="I53" s="26"/>
      <c r="J53" s="20"/>
      <c r="K53" s="26"/>
      <c r="L53" s="20"/>
      <c r="M53" s="26"/>
      <c r="N53" s="15"/>
      <c r="O53" s="26"/>
      <c r="P53" s="15"/>
      <c r="Q53" s="26"/>
      <c r="R53" s="15"/>
      <c r="S53" s="26"/>
      <c r="T53" s="15"/>
      <c r="U53" s="26"/>
      <c r="V53" s="15"/>
      <c r="W53" s="26"/>
      <c r="X53" s="15"/>
      <c r="Y53" s="26"/>
      <c r="Z53" s="15"/>
      <c r="AA53" s="26"/>
      <c r="AB53" s="15">
        <f t="shared" si="27"/>
        <v>0</v>
      </c>
      <c r="AC53" s="26"/>
    </row>
    <row r="54" spans="1:29" ht="21.75" hidden="1" customHeight="1" x14ac:dyDescent="0.5">
      <c r="A54" s="10"/>
      <c r="B54" s="20"/>
      <c r="C54" s="12"/>
      <c r="D54" s="20"/>
      <c r="E54" s="26"/>
      <c r="F54" s="20"/>
      <c r="G54" s="26"/>
      <c r="H54" s="20"/>
      <c r="I54" s="26"/>
      <c r="J54" s="20"/>
      <c r="K54" s="26"/>
      <c r="L54" s="20"/>
      <c r="M54" s="26"/>
      <c r="N54" s="15"/>
      <c r="O54" s="26"/>
      <c r="P54" s="15"/>
      <c r="Q54" s="26"/>
      <c r="R54" s="15"/>
      <c r="S54" s="26"/>
      <c r="T54" s="15"/>
      <c r="U54" s="26"/>
      <c r="V54" s="15"/>
      <c r="W54" s="26"/>
      <c r="X54" s="15"/>
      <c r="Y54" s="26"/>
      <c r="Z54" s="15"/>
      <c r="AA54" s="26"/>
      <c r="AB54" s="15">
        <f t="shared" si="27"/>
        <v>0</v>
      </c>
      <c r="AC54" s="26"/>
    </row>
    <row r="55" spans="1:29" ht="21.75" customHeight="1" x14ac:dyDescent="0.5">
      <c r="A55" s="21"/>
      <c r="B55" s="22" t="s">
        <v>9</v>
      </c>
      <c r="C55" s="23"/>
      <c r="D55" s="22">
        <f t="shared" ref="D55:J55" si="30">SUM(D30:D54)</f>
        <v>8572</v>
      </c>
      <c r="E55" s="22">
        <f t="shared" si="30"/>
        <v>4195.9749999999995</v>
      </c>
      <c r="F55" s="22">
        <f t="shared" si="30"/>
        <v>4593</v>
      </c>
      <c r="G55" s="22">
        <f t="shared" si="30"/>
        <v>1992.2</v>
      </c>
      <c r="H55" s="22">
        <f t="shared" si="30"/>
        <v>4108</v>
      </c>
      <c r="I55" s="22">
        <f t="shared" si="30"/>
        <v>1798.6499999999999</v>
      </c>
      <c r="J55" s="22">
        <f t="shared" si="30"/>
        <v>4463</v>
      </c>
      <c r="K55" s="25"/>
      <c r="L55" s="22">
        <f>SUM(L30:L54)</f>
        <v>3976</v>
      </c>
      <c r="M55" s="25"/>
      <c r="N55" s="24">
        <f>SUM(N30:N54)</f>
        <v>4262</v>
      </c>
      <c r="O55" s="24">
        <f>SUM(O30:O54)</f>
        <v>1826.8249999999998</v>
      </c>
      <c r="P55" s="24">
        <f>SUM(P30:P54)</f>
        <v>3393</v>
      </c>
      <c r="Q55" s="25"/>
      <c r="R55" s="24">
        <f t="shared" ref="R55:AA55" si="31">SUM(R30:R54)</f>
        <v>3192</v>
      </c>
      <c r="S55" s="24">
        <f t="shared" si="31"/>
        <v>1290.6249999999998</v>
      </c>
      <c r="T55" s="24">
        <f t="shared" si="31"/>
        <v>2333</v>
      </c>
      <c r="U55" s="24">
        <f t="shared" si="31"/>
        <v>1238.4749999999997</v>
      </c>
      <c r="V55" s="24">
        <f t="shared" si="31"/>
        <v>2327</v>
      </c>
      <c r="W55" s="24">
        <f t="shared" si="31"/>
        <v>1153.6000000000001</v>
      </c>
      <c r="X55" s="24">
        <f t="shared" si="31"/>
        <v>1416</v>
      </c>
      <c r="Y55" s="24">
        <f t="shared" si="31"/>
        <v>666.22499999999991</v>
      </c>
      <c r="Z55" s="24">
        <f t="shared" si="31"/>
        <v>4762</v>
      </c>
      <c r="AA55" s="24">
        <f t="shared" si="31"/>
        <v>1771.1749999999997</v>
      </c>
      <c r="AB55" s="24">
        <f>SUM(D55:Z55)</f>
        <v>61559.57499999999</v>
      </c>
      <c r="AC55" s="25"/>
    </row>
    <row r="56" spans="1:29" ht="21.75" hidden="1" customHeight="1" x14ac:dyDescent="0.5">
      <c r="A56" s="10"/>
      <c r="B56" s="20"/>
      <c r="C56" s="12"/>
      <c r="D56" s="20"/>
      <c r="E56" s="26"/>
      <c r="F56" s="20"/>
      <c r="G56" s="26"/>
      <c r="H56" s="20"/>
      <c r="I56" s="26"/>
      <c r="J56" s="20"/>
      <c r="K56" s="26"/>
      <c r="L56" s="20"/>
      <c r="M56" s="26"/>
      <c r="N56" s="15"/>
      <c r="O56" s="26"/>
      <c r="P56" s="15"/>
      <c r="Q56" s="26"/>
      <c r="R56" s="15"/>
      <c r="S56" s="26"/>
      <c r="T56" s="15"/>
      <c r="U56" s="26"/>
      <c r="V56" s="15"/>
      <c r="W56" s="26"/>
      <c r="X56" s="15"/>
      <c r="Y56" s="26"/>
      <c r="Z56" s="15"/>
      <c r="AA56" s="26"/>
      <c r="AB56" s="15"/>
      <c r="AC56" s="26"/>
    </row>
    <row r="57" spans="1:29" ht="21.75" hidden="1" customHeight="1" x14ac:dyDescent="0.5">
      <c r="A57" s="10"/>
      <c r="B57" s="20"/>
      <c r="C57" s="12"/>
      <c r="D57" s="20"/>
      <c r="E57" s="26"/>
      <c r="F57" s="20"/>
      <c r="G57" s="26"/>
      <c r="H57" s="20"/>
      <c r="I57" s="26"/>
      <c r="J57" s="20"/>
      <c r="K57" s="26"/>
      <c r="L57" s="20"/>
      <c r="M57" s="26"/>
      <c r="N57" s="15"/>
      <c r="O57" s="26"/>
      <c r="P57" s="15"/>
      <c r="Q57" s="26"/>
      <c r="R57" s="15"/>
      <c r="S57" s="26"/>
      <c r="T57" s="15"/>
      <c r="U57" s="26"/>
      <c r="V57" s="15"/>
      <c r="W57" s="26"/>
      <c r="X57" s="15"/>
      <c r="Y57" s="26"/>
      <c r="Z57" s="15"/>
      <c r="AA57" s="26"/>
      <c r="AB57" s="15"/>
      <c r="AC57" s="26"/>
    </row>
    <row r="58" spans="1:29" ht="21.75" hidden="1" customHeight="1" x14ac:dyDescent="0.5">
      <c r="A58" s="10"/>
      <c r="B58" s="20" t="s">
        <v>2</v>
      </c>
      <c r="C58" s="12"/>
      <c r="D58" s="20"/>
      <c r="E58" s="26"/>
      <c r="F58" s="20"/>
      <c r="G58" s="26"/>
      <c r="H58" s="20"/>
      <c r="I58" s="26"/>
      <c r="J58" s="20"/>
      <c r="K58" s="26"/>
      <c r="L58" s="20"/>
      <c r="M58" s="26"/>
      <c r="N58" s="15"/>
      <c r="O58" s="26"/>
      <c r="P58" s="15"/>
      <c r="Q58" s="26"/>
      <c r="R58" s="15"/>
      <c r="S58" s="26"/>
      <c r="T58" s="15"/>
      <c r="U58" s="26"/>
      <c r="V58" s="15"/>
      <c r="W58" s="26"/>
      <c r="X58" s="15"/>
      <c r="Y58" s="26"/>
      <c r="Z58" s="15"/>
      <c r="AA58" s="26"/>
      <c r="AB58" s="15">
        <f t="shared" ref="AB58:AB64" si="32">SUM(J58:Z58)</f>
        <v>0</v>
      </c>
      <c r="AC58" s="26"/>
    </row>
    <row r="59" spans="1:29" ht="21.75" hidden="1" customHeight="1" x14ac:dyDescent="0.5">
      <c r="A59" s="10"/>
      <c r="B59" s="20" t="s">
        <v>3</v>
      </c>
      <c r="C59" s="12"/>
      <c r="D59" s="20"/>
      <c r="E59" s="26"/>
      <c r="F59" s="20"/>
      <c r="G59" s="26"/>
      <c r="H59" s="20"/>
      <c r="I59" s="26"/>
      <c r="J59" s="20"/>
      <c r="K59" s="26"/>
      <c r="L59" s="20"/>
      <c r="M59" s="26"/>
      <c r="N59" s="15"/>
      <c r="O59" s="26"/>
      <c r="P59" s="15"/>
      <c r="Q59" s="26"/>
      <c r="R59" s="15"/>
      <c r="S59" s="26"/>
      <c r="T59" s="15"/>
      <c r="U59" s="26"/>
      <c r="V59" s="15"/>
      <c r="W59" s="26"/>
      <c r="X59" s="15"/>
      <c r="Y59" s="26"/>
      <c r="Z59" s="15"/>
      <c r="AA59" s="26"/>
      <c r="AB59" s="15">
        <f t="shared" si="32"/>
        <v>0</v>
      </c>
      <c r="AC59" s="26"/>
    </row>
    <row r="60" spans="1:29" ht="21.75" hidden="1" customHeight="1" x14ac:dyDescent="0.5">
      <c r="A60" s="10">
        <v>17</v>
      </c>
      <c r="B60" s="20" t="s">
        <v>4</v>
      </c>
      <c r="C60" s="12"/>
      <c r="D60" s="20"/>
      <c r="E60" s="26"/>
      <c r="F60" s="20"/>
      <c r="G60" s="26"/>
      <c r="H60" s="20"/>
      <c r="I60" s="26"/>
      <c r="J60" s="20"/>
      <c r="K60" s="26"/>
      <c r="L60" s="20"/>
      <c r="M60" s="26"/>
      <c r="N60" s="15"/>
      <c r="O60" s="26"/>
      <c r="P60" s="15"/>
      <c r="Q60" s="26"/>
      <c r="R60" s="15"/>
      <c r="S60" s="26"/>
      <c r="T60" s="15"/>
      <c r="U60" s="26"/>
      <c r="V60" s="15"/>
      <c r="W60" s="26"/>
      <c r="X60" s="15"/>
      <c r="Y60" s="26"/>
      <c r="Z60" s="15"/>
      <c r="AA60" s="26"/>
      <c r="AB60" s="15">
        <f t="shared" si="32"/>
        <v>0</v>
      </c>
      <c r="AC60" s="26"/>
    </row>
    <row r="61" spans="1:29" ht="21.75" hidden="1" customHeight="1" x14ac:dyDescent="0.5">
      <c r="A61" s="10"/>
      <c r="B61" s="20" t="s">
        <v>5</v>
      </c>
      <c r="C61" s="12"/>
      <c r="D61" s="20"/>
      <c r="E61" s="26"/>
      <c r="F61" s="20"/>
      <c r="G61" s="26"/>
      <c r="H61" s="20"/>
      <c r="I61" s="26"/>
      <c r="J61" s="20"/>
      <c r="K61" s="26"/>
      <c r="L61" s="20"/>
      <c r="M61" s="26"/>
      <c r="N61" s="15"/>
      <c r="O61" s="26"/>
      <c r="P61" s="15"/>
      <c r="Q61" s="26"/>
      <c r="R61" s="15"/>
      <c r="S61" s="26"/>
      <c r="T61" s="15"/>
      <c r="U61" s="26"/>
      <c r="V61" s="15"/>
      <c r="W61" s="26"/>
      <c r="X61" s="15"/>
      <c r="Y61" s="26"/>
      <c r="Z61" s="15"/>
      <c r="AA61" s="26"/>
      <c r="AB61" s="15">
        <f t="shared" si="32"/>
        <v>0</v>
      </c>
      <c r="AC61" s="26"/>
    </row>
    <row r="62" spans="1:29" ht="21.75" hidden="1" customHeight="1" x14ac:dyDescent="0.5">
      <c r="A62" s="10"/>
      <c r="B62" s="20" t="s">
        <v>6</v>
      </c>
      <c r="C62" s="12"/>
      <c r="D62" s="20"/>
      <c r="E62" s="26"/>
      <c r="F62" s="20"/>
      <c r="G62" s="26"/>
      <c r="H62" s="20"/>
      <c r="I62" s="26"/>
      <c r="J62" s="20"/>
      <c r="K62" s="26"/>
      <c r="L62" s="20"/>
      <c r="M62" s="26"/>
      <c r="N62" s="15"/>
      <c r="O62" s="26"/>
      <c r="P62" s="15"/>
      <c r="Q62" s="26"/>
      <c r="R62" s="15"/>
      <c r="S62" s="26"/>
      <c r="T62" s="15"/>
      <c r="U62" s="26"/>
      <c r="V62" s="15"/>
      <c r="W62" s="26"/>
      <c r="X62" s="15"/>
      <c r="Y62" s="26"/>
      <c r="Z62" s="15"/>
      <c r="AA62" s="26"/>
      <c r="AB62" s="15">
        <f t="shared" si="32"/>
        <v>0</v>
      </c>
      <c r="AC62" s="26"/>
    </row>
    <row r="63" spans="1:29" ht="21.75" hidden="1" customHeight="1" x14ac:dyDescent="0.5">
      <c r="A63" s="10"/>
      <c r="B63" s="20" t="s">
        <v>7</v>
      </c>
      <c r="C63" s="12"/>
      <c r="D63" s="20"/>
      <c r="E63" s="26"/>
      <c r="F63" s="20"/>
      <c r="G63" s="26"/>
      <c r="H63" s="20"/>
      <c r="I63" s="26"/>
      <c r="J63" s="20"/>
      <c r="K63" s="26"/>
      <c r="L63" s="20"/>
      <c r="M63" s="26"/>
      <c r="N63" s="15"/>
      <c r="O63" s="26"/>
      <c r="P63" s="15"/>
      <c r="Q63" s="26"/>
      <c r="R63" s="15"/>
      <c r="S63" s="26"/>
      <c r="T63" s="15"/>
      <c r="U63" s="26"/>
      <c r="V63" s="15"/>
      <c r="W63" s="26"/>
      <c r="X63" s="15"/>
      <c r="Y63" s="26"/>
      <c r="Z63" s="15"/>
      <c r="AA63" s="26"/>
      <c r="AB63" s="15">
        <f t="shared" si="32"/>
        <v>0</v>
      </c>
      <c r="AC63" s="26"/>
    </row>
    <row r="64" spans="1:29" ht="21.75" customHeight="1" x14ac:dyDescent="0.5">
      <c r="A64" s="21"/>
      <c r="B64" s="22" t="s">
        <v>10</v>
      </c>
      <c r="C64" s="23"/>
      <c r="D64" s="22"/>
      <c r="E64" s="25"/>
      <c r="F64" s="22"/>
      <c r="G64" s="25"/>
      <c r="H64" s="22"/>
      <c r="I64" s="25"/>
      <c r="J64" s="22"/>
      <c r="K64" s="25"/>
      <c r="L64" s="22"/>
      <c r="M64" s="25"/>
      <c r="N64" s="24"/>
      <c r="O64" s="25"/>
      <c r="P64" s="24"/>
      <c r="Q64" s="25"/>
      <c r="R64" s="24"/>
      <c r="S64" s="25"/>
      <c r="T64" s="24"/>
      <c r="U64" s="25"/>
      <c r="V64" s="24"/>
      <c r="W64" s="25"/>
      <c r="X64" s="24"/>
      <c r="Y64" s="25"/>
      <c r="Z64" s="24"/>
      <c r="AA64" s="25"/>
      <c r="AB64" s="24">
        <f t="shared" si="32"/>
        <v>0</v>
      </c>
      <c r="AC64" s="25"/>
    </row>
    <row r="65" spans="1:29" ht="21.75" customHeight="1" thickBot="1" x14ac:dyDescent="0.55000000000000004">
      <c r="A65" s="28"/>
      <c r="B65" s="20"/>
      <c r="C65" s="12"/>
      <c r="D65" s="20"/>
      <c r="E65" s="26"/>
      <c r="F65" s="20"/>
      <c r="G65" s="26"/>
      <c r="H65" s="20"/>
      <c r="I65" s="26"/>
      <c r="J65" s="20"/>
      <c r="K65" s="26"/>
      <c r="L65" s="20"/>
      <c r="M65" s="26"/>
      <c r="N65" s="15"/>
      <c r="O65" s="26"/>
      <c r="P65" s="15"/>
      <c r="Q65" s="26"/>
      <c r="R65" s="15"/>
      <c r="S65" s="26"/>
      <c r="T65" s="15"/>
      <c r="U65" s="26"/>
      <c r="V65" s="15"/>
      <c r="W65" s="26"/>
      <c r="X65" s="15"/>
      <c r="Y65" s="26"/>
      <c r="Z65" s="15"/>
      <c r="AA65" s="26"/>
      <c r="AB65" s="15"/>
      <c r="AC65" s="26"/>
    </row>
    <row r="66" spans="1:29" ht="21.75" customHeight="1" thickBot="1" x14ac:dyDescent="0.55000000000000004">
      <c r="A66" s="29"/>
      <c r="B66" s="20"/>
      <c r="C66" s="12"/>
      <c r="D66" s="15">
        <f>D55+D27</f>
        <v>293930</v>
      </c>
      <c r="E66" s="15">
        <f>E55+E27</f>
        <v>189376.75499999998</v>
      </c>
      <c r="F66" s="15">
        <f>F55+F27</f>
        <v>269870</v>
      </c>
      <c r="G66" s="15">
        <f>G55+G27</f>
        <v>175156.06000000003</v>
      </c>
      <c r="H66" s="15">
        <f>H64+H55+H27</f>
        <v>342053</v>
      </c>
      <c r="I66" s="15">
        <f>I64+I55+I27</f>
        <v>221641.7</v>
      </c>
      <c r="J66" s="15">
        <f>J64+J55+J27</f>
        <v>308169</v>
      </c>
      <c r="K66" s="26"/>
      <c r="L66" s="15">
        <f>L64+L55+L27</f>
        <v>370933</v>
      </c>
      <c r="M66" s="26"/>
      <c r="N66" s="15">
        <f t="shared" ref="N66:AA66" si="33">N64+N55+N27</f>
        <v>337521</v>
      </c>
      <c r="O66" s="15">
        <f t="shared" si="33"/>
        <v>220267.965</v>
      </c>
      <c r="P66" s="15">
        <f t="shared" si="33"/>
        <v>297482</v>
      </c>
      <c r="Q66" s="15">
        <f t="shared" si="33"/>
        <v>192043.21000000002</v>
      </c>
      <c r="R66" s="15">
        <f t="shared" si="33"/>
        <v>349598</v>
      </c>
      <c r="S66" s="15">
        <f t="shared" si="33"/>
        <v>227904.345</v>
      </c>
      <c r="T66" s="15">
        <f t="shared" si="33"/>
        <v>292445</v>
      </c>
      <c r="U66" s="15">
        <f t="shared" si="33"/>
        <v>193545.19499999998</v>
      </c>
      <c r="V66" s="15">
        <f t="shared" si="33"/>
        <v>249336</v>
      </c>
      <c r="W66" s="15">
        <f t="shared" si="33"/>
        <v>167072.92000000004</v>
      </c>
      <c r="X66" s="15">
        <f t="shared" si="33"/>
        <v>253445</v>
      </c>
      <c r="Y66" s="15">
        <f t="shared" si="33"/>
        <v>168069.36499999999</v>
      </c>
      <c r="Z66" s="15">
        <f t="shared" si="33"/>
        <v>325405</v>
      </c>
      <c r="AA66" s="15">
        <f t="shared" si="33"/>
        <v>218307.27499999999</v>
      </c>
      <c r="AB66" s="15">
        <f>D66+F66+H66+J66+L66+N66+P66+R66+T66+V66+X66+Z66</f>
        <v>3690187</v>
      </c>
      <c r="AC66" s="26"/>
    </row>
  </sheetData>
  <mergeCells count="16">
    <mergeCell ref="A2:A3"/>
    <mergeCell ref="B2:B3"/>
    <mergeCell ref="C2:C3"/>
    <mergeCell ref="Z2:AA2"/>
    <mergeCell ref="AB2:AC2"/>
    <mergeCell ref="N2:O2"/>
    <mergeCell ref="P2:Q2"/>
    <mergeCell ref="R2:S2"/>
    <mergeCell ref="T2:U2"/>
    <mergeCell ref="V2:W2"/>
    <mergeCell ref="X2:Y2"/>
    <mergeCell ref="L2:M2"/>
    <mergeCell ref="D2:E2"/>
    <mergeCell ref="F2:G2"/>
    <mergeCell ref="H2:I2"/>
    <mergeCell ref="J2:K2"/>
  </mergeCells>
  <pageMargins left="0.33" right="0.7" top="0.2" bottom="0.75" header="0.2" footer="0.3"/>
  <pageSetup paperSize="5" scale="8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DB98-1881-4AB2-968F-8FC81B902D9D}">
  <dimension ref="A1:AC35"/>
  <sheetViews>
    <sheetView topLeftCell="A3" workbookViewId="0">
      <selection activeCell="C40" sqref="C40"/>
    </sheetView>
  </sheetViews>
  <sheetFormatPr defaultColWidth="9" defaultRowHeight="18" x14ac:dyDescent="0.5"/>
  <cols>
    <col min="1" max="1" width="9.140625" style="92" bestFit="1" customWidth="1"/>
    <col min="2" max="2" width="32.28515625" style="92" bestFit="1" customWidth="1"/>
    <col min="3" max="3" width="9.140625" style="92" bestFit="1" customWidth="1"/>
    <col min="4" max="27" width="9.28515625" style="92" bestFit="1" customWidth="1"/>
    <col min="28" max="29" width="10.140625" style="92" bestFit="1" customWidth="1"/>
    <col min="30" max="16384" width="9" style="92"/>
  </cols>
  <sheetData>
    <row r="1" spans="1:29" ht="21.75" customHeight="1" x14ac:dyDescent="0.5">
      <c r="B1" s="93" t="s">
        <v>72</v>
      </c>
      <c r="C1" s="94"/>
      <c r="D1" s="94"/>
      <c r="E1" s="61"/>
      <c r="F1" s="94"/>
      <c r="G1" s="61"/>
      <c r="H1" s="94"/>
      <c r="I1" s="61"/>
      <c r="J1" s="94"/>
      <c r="K1" s="61"/>
      <c r="L1" s="94"/>
      <c r="M1" s="61"/>
      <c r="N1" s="94"/>
      <c r="O1" s="61"/>
      <c r="P1" s="94"/>
      <c r="Q1" s="61"/>
      <c r="R1" s="94"/>
      <c r="S1" s="61"/>
      <c r="T1" s="94"/>
      <c r="U1" s="61"/>
      <c r="V1" s="94"/>
      <c r="W1" s="61"/>
      <c r="X1" s="94"/>
      <c r="Y1" s="61"/>
      <c r="Z1" s="94"/>
      <c r="AA1" s="61"/>
      <c r="AB1" s="94"/>
      <c r="AC1" s="62"/>
    </row>
    <row r="2" spans="1:29" ht="21.75" customHeight="1" x14ac:dyDescent="0.5">
      <c r="A2" s="202" t="s">
        <v>11</v>
      </c>
      <c r="B2" s="204" t="s">
        <v>12</v>
      </c>
      <c r="C2" s="204" t="s">
        <v>67</v>
      </c>
      <c r="D2" s="201">
        <v>44562</v>
      </c>
      <c r="E2" s="201"/>
      <c r="F2" s="201">
        <v>44593</v>
      </c>
      <c r="G2" s="201"/>
      <c r="H2" s="201">
        <v>44621</v>
      </c>
      <c r="I2" s="201"/>
      <c r="J2" s="201">
        <v>44652</v>
      </c>
      <c r="K2" s="201"/>
      <c r="L2" s="201">
        <v>44682</v>
      </c>
      <c r="M2" s="201"/>
      <c r="N2" s="201">
        <v>44713</v>
      </c>
      <c r="O2" s="201"/>
      <c r="P2" s="201">
        <v>44743</v>
      </c>
      <c r="Q2" s="201"/>
      <c r="R2" s="201">
        <v>44774</v>
      </c>
      <c r="S2" s="201"/>
      <c r="T2" s="201">
        <v>44805</v>
      </c>
      <c r="U2" s="201"/>
      <c r="V2" s="201">
        <v>44835</v>
      </c>
      <c r="W2" s="201"/>
      <c r="X2" s="201">
        <v>44866</v>
      </c>
      <c r="Y2" s="201"/>
      <c r="Z2" s="201">
        <v>44896</v>
      </c>
      <c r="AA2" s="201"/>
      <c r="AB2" s="200" t="s">
        <v>0</v>
      </c>
      <c r="AC2" s="200"/>
    </row>
    <row r="3" spans="1:29" ht="21.75" customHeight="1" x14ac:dyDescent="0.5">
      <c r="A3" s="203"/>
      <c r="B3" s="205"/>
      <c r="C3" s="205"/>
      <c r="D3" s="95" t="s">
        <v>14</v>
      </c>
      <c r="E3" s="9" t="s">
        <v>67</v>
      </c>
      <c r="F3" s="95" t="s">
        <v>14</v>
      </c>
      <c r="G3" s="9" t="s">
        <v>67</v>
      </c>
      <c r="H3" s="95" t="s">
        <v>14</v>
      </c>
      <c r="I3" s="9" t="s">
        <v>67</v>
      </c>
      <c r="J3" s="95" t="s">
        <v>14</v>
      </c>
      <c r="K3" s="9" t="s">
        <v>67</v>
      </c>
      <c r="L3" s="95" t="s">
        <v>14</v>
      </c>
      <c r="M3" s="9" t="s">
        <v>67</v>
      </c>
      <c r="N3" s="95" t="s">
        <v>14</v>
      </c>
      <c r="O3" s="9" t="s">
        <v>67</v>
      </c>
      <c r="P3" s="95" t="s">
        <v>14</v>
      </c>
      <c r="Q3" s="9" t="s">
        <v>67</v>
      </c>
      <c r="R3" s="95" t="s">
        <v>14</v>
      </c>
      <c r="S3" s="9" t="s">
        <v>67</v>
      </c>
      <c r="T3" s="95" t="s">
        <v>14</v>
      </c>
      <c r="U3" s="9" t="s">
        <v>67</v>
      </c>
      <c r="V3" s="95" t="s">
        <v>14</v>
      </c>
      <c r="W3" s="9" t="s">
        <v>67</v>
      </c>
      <c r="X3" s="95" t="s">
        <v>14</v>
      </c>
      <c r="Y3" s="9" t="s">
        <v>67</v>
      </c>
      <c r="Z3" s="95" t="s">
        <v>14</v>
      </c>
      <c r="AA3" s="9" t="s">
        <v>67</v>
      </c>
      <c r="AB3" s="95" t="s">
        <v>14</v>
      </c>
      <c r="AC3" s="9" t="s">
        <v>67</v>
      </c>
    </row>
    <row r="4" spans="1:29" x14ac:dyDescent="0.5">
      <c r="A4" s="67"/>
      <c r="B4" s="95">
        <v>2022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spans="1:29" x14ac:dyDescent="0.5">
      <c r="A5" s="67">
        <v>1</v>
      </c>
      <c r="B5" s="67" t="s">
        <v>71</v>
      </c>
      <c r="C5" s="153">
        <v>0.64</v>
      </c>
      <c r="D5" s="67">
        <v>2660</v>
      </c>
      <c r="E5" s="14">
        <f>D5*$C5</f>
        <v>1702.4</v>
      </c>
      <c r="F5" s="67">
        <v>700</v>
      </c>
      <c r="G5" s="14">
        <f>F5*$C5</f>
        <v>448</v>
      </c>
      <c r="H5" s="67">
        <v>3654</v>
      </c>
      <c r="I5" s="14">
        <f t="shared" ref="I5" si="0">H5*$C5</f>
        <v>2338.56</v>
      </c>
      <c r="J5" s="67">
        <v>4046</v>
      </c>
      <c r="K5" s="96">
        <f t="shared" ref="K5" si="1">J5*$C5</f>
        <v>2589.44</v>
      </c>
      <c r="L5" s="67">
        <v>1540</v>
      </c>
      <c r="M5" s="14">
        <f t="shared" ref="M5" si="2">L5*$C5</f>
        <v>985.6</v>
      </c>
      <c r="N5" s="67">
        <v>3122</v>
      </c>
      <c r="O5" s="14">
        <f t="shared" ref="O5" si="3">N5*$C5</f>
        <v>1998.0800000000002</v>
      </c>
      <c r="P5" s="67">
        <v>3906</v>
      </c>
      <c r="Q5" s="14">
        <f t="shared" ref="Q5" si="4">P5*$C5</f>
        <v>2499.84</v>
      </c>
      <c r="R5" s="67">
        <v>3094</v>
      </c>
      <c r="S5" s="14">
        <f t="shared" ref="S5" si="5">R5*$C5</f>
        <v>1980.16</v>
      </c>
      <c r="T5" s="67">
        <v>574</v>
      </c>
      <c r="U5" s="14">
        <f t="shared" ref="U5" si="6">T5*$C5</f>
        <v>367.36</v>
      </c>
      <c r="V5" s="67">
        <v>1746</v>
      </c>
      <c r="W5" s="14">
        <f t="shared" ref="W5" si="7">V5*$C5</f>
        <v>1117.44</v>
      </c>
      <c r="X5" s="67">
        <v>1344</v>
      </c>
      <c r="Y5" s="14">
        <f t="shared" ref="Y5" si="8">X5*$C5</f>
        <v>860.16</v>
      </c>
      <c r="Z5" s="67">
        <v>2758</v>
      </c>
      <c r="AA5" s="14">
        <f t="shared" ref="AA5" si="9">Z5*$C5</f>
        <v>1765.1200000000001</v>
      </c>
      <c r="AB5" s="67">
        <f t="shared" ref="AB5" si="10">Z5+X5+V5+T5+R5+P5+N5+L5+J5+H5+F5+D5</f>
        <v>29144</v>
      </c>
      <c r="AC5" s="14">
        <f t="shared" ref="AC5" si="11">AB5*$C5</f>
        <v>18652.16</v>
      </c>
    </row>
    <row r="6" spans="1:29" x14ac:dyDescent="0.5">
      <c r="A6" s="67"/>
      <c r="B6" s="67"/>
      <c r="C6" s="67"/>
      <c r="D6" s="67"/>
      <c r="E6" s="14"/>
      <c r="F6" s="67"/>
      <c r="G6" s="14"/>
      <c r="H6" s="67"/>
      <c r="I6" s="14"/>
      <c r="J6" s="67"/>
      <c r="K6" s="96"/>
      <c r="L6" s="67"/>
      <c r="M6" s="14"/>
      <c r="N6" s="67"/>
      <c r="O6" s="14"/>
      <c r="P6" s="67"/>
      <c r="Q6" s="14"/>
      <c r="R6" s="67"/>
      <c r="S6" s="14"/>
      <c r="T6" s="67"/>
      <c r="U6" s="14"/>
      <c r="V6" s="67"/>
      <c r="W6" s="14"/>
      <c r="X6" s="67"/>
      <c r="Y6" s="14"/>
      <c r="Z6" s="67"/>
      <c r="AA6" s="14"/>
      <c r="AB6" s="67"/>
      <c r="AC6" s="14"/>
    </row>
    <row r="7" spans="1:29" x14ac:dyDescent="0.5">
      <c r="A7" s="80"/>
      <c r="B7" s="80" t="s">
        <v>0</v>
      </c>
      <c r="C7" s="80"/>
      <c r="D7" s="80">
        <f>SUM(D5:D6)</f>
        <v>2660</v>
      </c>
      <c r="E7" s="82">
        <f t="shared" ref="E7:AC7" si="12">SUM(E5:E6)</f>
        <v>1702.4</v>
      </c>
      <c r="F7" s="80">
        <f t="shared" si="12"/>
        <v>700</v>
      </c>
      <c r="G7" s="82">
        <f t="shared" si="12"/>
        <v>448</v>
      </c>
      <c r="H7" s="80">
        <f t="shared" si="12"/>
        <v>3654</v>
      </c>
      <c r="I7" s="82">
        <f t="shared" si="12"/>
        <v>2338.56</v>
      </c>
      <c r="J7" s="80">
        <f t="shared" si="12"/>
        <v>4046</v>
      </c>
      <c r="K7" s="82">
        <f t="shared" si="12"/>
        <v>2589.44</v>
      </c>
      <c r="L7" s="80">
        <f t="shared" si="12"/>
        <v>1540</v>
      </c>
      <c r="M7" s="82">
        <f t="shared" si="12"/>
        <v>985.6</v>
      </c>
      <c r="N7" s="80">
        <f t="shared" si="12"/>
        <v>3122</v>
      </c>
      <c r="O7" s="82">
        <f t="shared" si="12"/>
        <v>1998.0800000000002</v>
      </c>
      <c r="P7" s="80">
        <f t="shared" si="12"/>
        <v>3906</v>
      </c>
      <c r="Q7" s="82">
        <f t="shared" si="12"/>
        <v>2499.84</v>
      </c>
      <c r="R7" s="80">
        <f t="shared" si="12"/>
        <v>3094</v>
      </c>
      <c r="S7" s="82">
        <f t="shared" si="12"/>
        <v>1980.16</v>
      </c>
      <c r="T7" s="80">
        <f t="shared" si="12"/>
        <v>574</v>
      </c>
      <c r="U7" s="82">
        <f t="shared" si="12"/>
        <v>367.36</v>
      </c>
      <c r="V7" s="80">
        <f t="shared" si="12"/>
        <v>1746</v>
      </c>
      <c r="W7" s="82">
        <f t="shared" si="12"/>
        <v>1117.44</v>
      </c>
      <c r="X7" s="80">
        <f t="shared" si="12"/>
        <v>1344</v>
      </c>
      <c r="Y7" s="82">
        <f t="shared" si="12"/>
        <v>860.16</v>
      </c>
      <c r="Z7" s="80">
        <f t="shared" si="12"/>
        <v>2758</v>
      </c>
      <c r="AA7" s="82">
        <f t="shared" si="12"/>
        <v>1765.1200000000001</v>
      </c>
      <c r="AB7" s="80">
        <f t="shared" si="12"/>
        <v>29144</v>
      </c>
      <c r="AC7" s="80">
        <f t="shared" si="12"/>
        <v>18652.16</v>
      </c>
    </row>
    <row r="9" spans="1:29" x14ac:dyDescent="0.5">
      <c r="B9" s="93" t="s">
        <v>79</v>
      </c>
      <c r="C9" s="94"/>
      <c r="D9" s="94"/>
      <c r="E9" s="61"/>
      <c r="F9" s="94"/>
      <c r="G9" s="61"/>
      <c r="H9" s="94"/>
      <c r="I9" s="61"/>
      <c r="J9" s="94"/>
      <c r="K9" s="61"/>
      <c r="L9" s="94"/>
      <c r="M9" s="61"/>
      <c r="N9" s="94"/>
      <c r="O9" s="61"/>
      <c r="P9" s="94"/>
      <c r="Q9" s="61"/>
      <c r="R9" s="94"/>
      <c r="S9" s="61"/>
      <c r="T9" s="94"/>
      <c r="U9" s="61"/>
      <c r="V9" s="94"/>
      <c r="W9" s="61"/>
      <c r="X9" s="94"/>
      <c r="Y9" s="61"/>
      <c r="Z9" s="94"/>
      <c r="AA9" s="61"/>
      <c r="AB9" s="94"/>
      <c r="AC9" s="62"/>
    </row>
    <row r="10" spans="1:29" x14ac:dyDescent="0.5">
      <c r="A10" s="202" t="s">
        <v>11</v>
      </c>
      <c r="B10" s="204" t="s">
        <v>12</v>
      </c>
      <c r="C10" s="204" t="s">
        <v>67</v>
      </c>
      <c r="D10" s="201">
        <v>44927</v>
      </c>
      <c r="E10" s="201"/>
      <c r="F10" s="201">
        <v>44959</v>
      </c>
      <c r="G10" s="201"/>
      <c r="H10" s="201">
        <v>44991</v>
      </c>
      <c r="I10" s="201"/>
      <c r="J10" s="201">
        <v>45023</v>
      </c>
      <c r="K10" s="201"/>
      <c r="L10" s="201">
        <v>45055</v>
      </c>
      <c r="M10" s="201"/>
      <c r="N10" s="201">
        <v>45087</v>
      </c>
      <c r="O10" s="201"/>
      <c r="P10" s="201">
        <v>45119</v>
      </c>
      <c r="Q10" s="201"/>
      <c r="R10" s="201">
        <v>45151</v>
      </c>
      <c r="S10" s="201"/>
      <c r="T10" s="201">
        <v>45183</v>
      </c>
      <c r="U10" s="201"/>
      <c r="V10" s="201">
        <v>45215</v>
      </c>
      <c r="W10" s="201"/>
      <c r="X10" s="201">
        <v>45247</v>
      </c>
      <c r="Y10" s="201"/>
      <c r="Z10" s="201">
        <v>45279</v>
      </c>
      <c r="AA10" s="201"/>
      <c r="AB10" s="200" t="s">
        <v>0</v>
      </c>
      <c r="AC10" s="200"/>
    </row>
    <row r="11" spans="1:29" x14ac:dyDescent="0.5">
      <c r="A11" s="203"/>
      <c r="B11" s="205"/>
      <c r="C11" s="205"/>
      <c r="D11" s="95" t="s">
        <v>14</v>
      </c>
      <c r="E11" s="9" t="s">
        <v>67</v>
      </c>
      <c r="F11" s="95" t="s">
        <v>14</v>
      </c>
      <c r="G11" s="9" t="s">
        <v>67</v>
      </c>
      <c r="H11" s="95" t="s">
        <v>14</v>
      </c>
      <c r="I11" s="9" t="s">
        <v>67</v>
      </c>
      <c r="J11" s="95" t="s">
        <v>14</v>
      </c>
      <c r="K11" s="9" t="s">
        <v>67</v>
      </c>
      <c r="L11" s="95" t="s">
        <v>14</v>
      </c>
      <c r="M11" s="9" t="s">
        <v>67</v>
      </c>
      <c r="N11" s="95" t="s">
        <v>14</v>
      </c>
      <c r="O11" s="9" t="s">
        <v>67</v>
      </c>
      <c r="P11" s="95" t="s">
        <v>14</v>
      </c>
      <c r="Q11" s="9" t="s">
        <v>67</v>
      </c>
      <c r="R11" s="95" t="s">
        <v>14</v>
      </c>
      <c r="S11" s="9" t="s">
        <v>67</v>
      </c>
      <c r="T11" s="95" t="s">
        <v>14</v>
      </c>
      <c r="U11" s="9" t="s">
        <v>67</v>
      </c>
      <c r="V11" s="95" t="s">
        <v>14</v>
      </c>
      <c r="W11" s="9" t="s">
        <v>67</v>
      </c>
      <c r="X11" s="95" t="s">
        <v>14</v>
      </c>
      <c r="Y11" s="9" t="s">
        <v>67</v>
      </c>
      <c r="Z11" s="95" t="s">
        <v>14</v>
      </c>
      <c r="AA11" s="9" t="s">
        <v>67</v>
      </c>
      <c r="AB11" s="95" t="s">
        <v>14</v>
      </c>
      <c r="AC11" s="9" t="s">
        <v>67</v>
      </c>
    </row>
    <row r="12" spans="1:29" x14ac:dyDescent="0.5">
      <c r="A12" s="67"/>
      <c r="B12" s="95">
        <v>2023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 spans="1:29" x14ac:dyDescent="0.5">
      <c r="A13" s="67">
        <v>1</v>
      </c>
      <c r="B13" s="67" t="s">
        <v>71</v>
      </c>
      <c r="C13" s="153">
        <v>0.64</v>
      </c>
      <c r="D13" s="67"/>
      <c r="E13" s="14">
        <f t="shared" ref="E13" si="13">D13*$C13</f>
        <v>0</v>
      </c>
      <c r="F13" s="67">
        <v>1778</v>
      </c>
      <c r="G13" s="14">
        <f t="shared" ref="G13" si="14">F13*$C13</f>
        <v>1137.92</v>
      </c>
      <c r="H13" s="67">
        <v>3640</v>
      </c>
      <c r="I13" s="14">
        <f t="shared" ref="I13" si="15">H13*$C13</f>
        <v>2329.6</v>
      </c>
      <c r="J13" s="67">
        <v>2212</v>
      </c>
      <c r="K13" s="96">
        <f t="shared" ref="K13" si="16">J13*$C13</f>
        <v>1415.68</v>
      </c>
      <c r="L13" s="67">
        <v>3696</v>
      </c>
      <c r="M13" s="14">
        <f t="shared" ref="M13" si="17">L13*$C13</f>
        <v>2365.44</v>
      </c>
      <c r="N13" s="67">
        <v>2394</v>
      </c>
      <c r="O13" s="14">
        <f t="shared" ref="O13" si="18">N13*$C13</f>
        <v>1532.16</v>
      </c>
      <c r="P13" s="67">
        <v>3514</v>
      </c>
      <c r="Q13" s="14">
        <f t="shared" ref="Q13" si="19">P13*$C13</f>
        <v>2248.96</v>
      </c>
      <c r="R13" s="67">
        <v>5068</v>
      </c>
      <c r="S13" s="14">
        <f t="shared" ref="S13" si="20">R13*$C13</f>
        <v>3243.52</v>
      </c>
      <c r="T13" s="67">
        <v>602</v>
      </c>
      <c r="U13" s="14">
        <f t="shared" ref="U13" si="21">T13*$C13</f>
        <v>385.28000000000003</v>
      </c>
      <c r="V13" s="67">
        <v>1498</v>
      </c>
      <c r="W13" s="14">
        <f t="shared" ref="W13" si="22">V13*$C13</f>
        <v>958.72</v>
      </c>
      <c r="X13" s="67">
        <v>2100</v>
      </c>
      <c r="Y13" s="14">
        <f t="shared" ref="Y13" si="23">X13*$C13</f>
        <v>1344</v>
      </c>
      <c r="Z13" s="67">
        <v>1470</v>
      </c>
      <c r="AA13" s="14">
        <f t="shared" ref="AA13" si="24">Z13*$C13</f>
        <v>940.80000000000007</v>
      </c>
      <c r="AB13" s="67">
        <f t="shared" ref="AB13" si="25">Z13+X13+V13+T13+R13+P13+N13+L13+J13+H13+F13+D13</f>
        <v>27972</v>
      </c>
      <c r="AC13" s="14">
        <f t="shared" ref="AC13" si="26">AB13*$C13</f>
        <v>17902.080000000002</v>
      </c>
    </row>
    <row r="14" spans="1:29" x14ac:dyDescent="0.5">
      <c r="A14" s="67">
        <v>2</v>
      </c>
      <c r="B14" s="67" t="s">
        <v>42</v>
      </c>
      <c r="C14" s="67">
        <v>1</v>
      </c>
      <c r="D14" s="67"/>
      <c r="E14" s="14">
        <f>D14*$C14</f>
        <v>0</v>
      </c>
      <c r="F14" s="67"/>
      <c r="G14" s="14">
        <f t="shared" ref="G14" si="27">F14*$C14</f>
        <v>0</v>
      </c>
      <c r="H14" s="67">
        <v>84</v>
      </c>
      <c r="I14" s="14">
        <f t="shared" ref="I14" si="28">H14*$C14</f>
        <v>84</v>
      </c>
      <c r="J14" s="67">
        <v>336</v>
      </c>
      <c r="K14" s="96">
        <f t="shared" ref="K14" si="29">J14*$C14</f>
        <v>336</v>
      </c>
      <c r="L14" s="67"/>
      <c r="M14" s="14">
        <f t="shared" ref="M14" si="30">L14*$C14</f>
        <v>0</v>
      </c>
      <c r="N14" s="67"/>
      <c r="O14" s="14">
        <f t="shared" ref="O14" si="31">N14*$C14</f>
        <v>0</v>
      </c>
      <c r="P14" s="67">
        <v>72</v>
      </c>
      <c r="Q14" s="14">
        <f t="shared" ref="Q14" si="32">P14*$C14</f>
        <v>72</v>
      </c>
      <c r="R14" s="67"/>
      <c r="S14" s="14">
        <f t="shared" ref="S14" si="33">R14*$C14</f>
        <v>0</v>
      </c>
      <c r="T14" s="67"/>
      <c r="U14" s="14">
        <f t="shared" ref="U14" si="34">T14*$C14</f>
        <v>0</v>
      </c>
      <c r="V14" s="67"/>
      <c r="W14" s="14">
        <f t="shared" ref="W14" si="35">V14*$C14</f>
        <v>0</v>
      </c>
      <c r="X14" s="67"/>
      <c r="Y14" s="14">
        <f t="shared" ref="Y14" si="36">X14*$C14</f>
        <v>0</v>
      </c>
      <c r="Z14" s="67"/>
      <c r="AA14" s="14">
        <f t="shared" ref="AA14" si="37">Z14*$C14</f>
        <v>0</v>
      </c>
      <c r="AB14" s="67">
        <f>Z14+X14+V14+T14+R14+P14+N14+L14+J14+H14+F14+D14</f>
        <v>492</v>
      </c>
      <c r="AC14" s="14">
        <f t="shared" ref="AC14" si="38">AB14*$C14</f>
        <v>492</v>
      </c>
    </row>
    <row r="15" spans="1:29" x14ac:dyDescent="0.5">
      <c r="A15" s="67"/>
      <c r="B15" s="67"/>
      <c r="C15" s="67"/>
      <c r="D15" s="67"/>
      <c r="E15" s="14"/>
      <c r="F15" s="67"/>
      <c r="G15" s="14"/>
      <c r="H15" s="67"/>
      <c r="I15" s="14"/>
      <c r="J15" s="67"/>
      <c r="K15" s="96"/>
      <c r="L15" s="67"/>
      <c r="M15" s="14"/>
      <c r="N15" s="67"/>
      <c r="O15" s="14"/>
      <c r="P15" s="67"/>
      <c r="Q15" s="14"/>
      <c r="R15" s="67"/>
      <c r="S15" s="14"/>
      <c r="T15" s="67"/>
      <c r="U15" s="14"/>
      <c r="V15" s="67"/>
      <c r="W15" s="14"/>
      <c r="X15" s="67"/>
      <c r="Y15" s="14"/>
      <c r="Z15" s="67"/>
      <c r="AA15" s="14"/>
      <c r="AB15" s="67"/>
      <c r="AC15" s="14"/>
    </row>
    <row r="16" spans="1:29" x14ac:dyDescent="0.5">
      <c r="A16" s="80"/>
      <c r="B16" s="80" t="s">
        <v>0</v>
      </c>
      <c r="C16" s="80"/>
      <c r="D16" s="80">
        <f>SUM(D13:D15)</f>
        <v>0</v>
      </c>
      <c r="E16" s="80">
        <f t="shared" ref="E16:AC16" si="39">SUM(E13:E15)</f>
        <v>0</v>
      </c>
      <c r="F16" s="80">
        <f t="shared" si="39"/>
        <v>1778</v>
      </c>
      <c r="G16" s="82">
        <f t="shared" si="39"/>
        <v>1137.92</v>
      </c>
      <c r="H16" s="80">
        <f t="shared" si="39"/>
        <v>3724</v>
      </c>
      <c r="I16" s="82">
        <f t="shared" si="39"/>
        <v>2413.6</v>
      </c>
      <c r="J16" s="80">
        <f t="shared" si="39"/>
        <v>2548</v>
      </c>
      <c r="K16" s="82">
        <f t="shared" si="39"/>
        <v>1751.68</v>
      </c>
      <c r="L16" s="80">
        <f t="shared" si="39"/>
        <v>3696</v>
      </c>
      <c r="M16" s="82">
        <f t="shared" si="39"/>
        <v>2365.44</v>
      </c>
      <c r="N16" s="80">
        <f t="shared" si="39"/>
        <v>2394</v>
      </c>
      <c r="O16" s="82">
        <f t="shared" si="39"/>
        <v>1532.16</v>
      </c>
      <c r="P16" s="80">
        <f t="shared" si="39"/>
        <v>3586</v>
      </c>
      <c r="Q16" s="82">
        <f t="shared" si="39"/>
        <v>2320.96</v>
      </c>
      <c r="R16" s="80">
        <f t="shared" si="39"/>
        <v>5068</v>
      </c>
      <c r="S16" s="82">
        <f t="shared" si="39"/>
        <v>3243.52</v>
      </c>
      <c r="T16" s="80">
        <f t="shared" si="39"/>
        <v>602</v>
      </c>
      <c r="U16" s="82">
        <f t="shared" si="39"/>
        <v>385.28000000000003</v>
      </c>
      <c r="V16" s="80">
        <f t="shared" si="39"/>
        <v>1498</v>
      </c>
      <c r="W16" s="82">
        <f t="shared" si="39"/>
        <v>958.72</v>
      </c>
      <c r="X16" s="80">
        <f t="shared" si="39"/>
        <v>2100</v>
      </c>
      <c r="Y16" s="82">
        <f t="shared" si="39"/>
        <v>1344</v>
      </c>
      <c r="Z16" s="80">
        <f t="shared" si="39"/>
        <v>1470</v>
      </c>
      <c r="AA16" s="82">
        <f t="shared" si="39"/>
        <v>940.80000000000007</v>
      </c>
      <c r="AB16" s="80">
        <f t="shared" si="39"/>
        <v>28464</v>
      </c>
      <c r="AC16" s="82">
        <f t="shared" si="39"/>
        <v>18394.080000000002</v>
      </c>
    </row>
    <row r="18" spans="1:29" x14ac:dyDescent="0.5">
      <c r="B18" s="93" t="s">
        <v>80</v>
      </c>
      <c r="C18" s="94"/>
      <c r="D18" s="94"/>
      <c r="E18" s="61"/>
      <c r="F18" s="94"/>
      <c r="G18" s="61"/>
      <c r="H18" s="94"/>
      <c r="I18" s="61"/>
      <c r="J18" s="94"/>
      <c r="K18" s="61"/>
      <c r="L18" s="94"/>
      <c r="M18" s="61"/>
      <c r="N18" s="94"/>
      <c r="O18" s="61"/>
      <c r="P18" s="94"/>
      <c r="Q18" s="61"/>
      <c r="R18" s="94"/>
      <c r="S18" s="61"/>
      <c r="T18" s="94"/>
      <c r="U18" s="61"/>
      <c r="V18" s="94"/>
      <c r="W18" s="61"/>
      <c r="X18" s="94"/>
      <c r="Y18" s="61"/>
      <c r="Z18" s="94"/>
      <c r="AA18" s="61"/>
      <c r="AB18" s="94"/>
      <c r="AC18" s="62"/>
    </row>
    <row r="19" spans="1:29" x14ac:dyDescent="0.5">
      <c r="A19" s="202" t="s">
        <v>11</v>
      </c>
      <c r="B19" s="204" t="s">
        <v>12</v>
      </c>
      <c r="C19" s="204" t="s">
        <v>67</v>
      </c>
      <c r="D19" s="201">
        <v>45292</v>
      </c>
      <c r="E19" s="201"/>
      <c r="F19" s="201">
        <v>45323</v>
      </c>
      <c r="G19" s="201"/>
      <c r="H19" s="201">
        <v>45352</v>
      </c>
      <c r="I19" s="201"/>
      <c r="J19" s="201">
        <v>45383</v>
      </c>
      <c r="K19" s="201"/>
      <c r="L19" s="201">
        <v>45413</v>
      </c>
      <c r="M19" s="201"/>
      <c r="N19" s="201">
        <v>45444</v>
      </c>
      <c r="O19" s="201"/>
      <c r="P19" s="201">
        <v>45474</v>
      </c>
      <c r="Q19" s="201"/>
      <c r="R19" s="201">
        <v>45505</v>
      </c>
      <c r="S19" s="201"/>
      <c r="T19" s="201">
        <v>45536</v>
      </c>
      <c r="U19" s="201"/>
      <c r="V19" s="201">
        <v>45566</v>
      </c>
      <c r="W19" s="201"/>
      <c r="X19" s="201">
        <v>45597</v>
      </c>
      <c r="Y19" s="201"/>
      <c r="Z19" s="201">
        <v>45627</v>
      </c>
      <c r="AA19" s="201"/>
      <c r="AB19" s="200" t="s">
        <v>0</v>
      </c>
      <c r="AC19" s="200"/>
    </row>
    <row r="20" spans="1:29" x14ac:dyDescent="0.5">
      <c r="A20" s="203"/>
      <c r="B20" s="205"/>
      <c r="C20" s="205"/>
      <c r="D20" s="95" t="s">
        <v>14</v>
      </c>
      <c r="E20" s="9" t="s">
        <v>67</v>
      </c>
      <c r="F20" s="95" t="s">
        <v>14</v>
      </c>
      <c r="G20" s="9" t="s">
        <v>67</v>
      </c>
      <c r="H20" s="95" t="s">
        <v>14</v>
      </c>
      <c r="I20" s="9" t="s">
        <v>67</v>
      </c>
      <c r="J20" s="95" t="s">
        <v>14</v>
      </c>
      <c r="K20" s="9" t="s">
        <v>67</v>
      </c>
      <c r="L20" s="95" t="s">
        <v>14</v>
      </c>
      <c r="M20" s="9" t="s">
        <v>67</v>
      </c>
      <c r="N20" s="95" t="s">
        <v>14</v>
      </c>
      <c r="O20" s="9" t="s">
        <v>67</v>
      </c>
      <c r="P20" s="95" t="s">
        <v>14</v>
      </c>
      <c r="Q20" s="9" t="s">
        <v>67</v>
      </c>
      <c r="R20" s="95" t="s">
        <v>14</v>
      </c>
      <c r="S20" s="9" t="s">
        <v>67</v>
      </c>
      <c r="T20" s="95" t="s">
        <v>14</v>
      </c>
      <c r="U20" s="9" t="s">
        <v>67</v>
      </c>
      <c r="V20" s="95" t="s">
        <v>14</v>
      </c>
      <c r="W20" s="9" t="s">
        <v>67</v>
      </c>
      <c r="X20" s="95" t="s">
        <v>14</v>
      </c>
      <c r="Y20" s="9" t="s">
        <v>67</v>
      </c>
      <c r="Z20" s="95" t="s">
        <v>14</v>
      </c>
      <c r="AA20" s="9" t="s">
        <v>67</v>
      </c>
      <c r="AB20" s="95" t="s">
        <v>14</v>
      </c>
      <c r="AC20" s="9" t="s">
        <v>67</v>
      </c>
    </row>
    <row r="21" spans="1:29" x14ac:dyDescent="0.5">
      <c r="A21" s="67"/>
      <c r="B21" s="95">
        <v>2024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</row>
    <row r="22" spans="1:29" x14ac:dyDescent="0.5">
      <c r="A22" s="67">
        <v>1</v>
      </c>
      <c r="B22" s="67" t="s">
        <v>42</v>
      </c>
      <c r="C22" s="67">
        <v>1</v>
      </c>
      <c r="D22" s="67"/>
      <c r="E22" s="14">
        <f t="shared" ref="E22" si="40">D22*$C22</f>
        <v>0</v>
      </c>
      <c r="F22" s="67"/>
      <c r="G22" s="14">
        <f t="shared" ref="G22:G23" si="41">F22*$C22</f>
        <v>0</v>
      </c>
      <c r="H22" s="67"/>
      <c r="I22" s="14">
        <f t="shared" ref="I22:I23" si="42">H22*$C22</f>
        <v>0</v>
      </c>
      <c r="J22" s="67"/>
      <c r="K22" s="96">
        <f t="shared" ref="K22:K23" si="43">J22*$C22</f>
        <v>0</v>
      </c>
      <c r="L22" s="67"/>
      <c r="M22" s="14">
        <f t="shared" ref="M22:M23" si="44">L22*$C22</f>
        <v>0</v>
      </c>
      <c r="N22" s="67">
        <v>156</v>
      </c>
      <c r="O22" s="14">
        <f t="shared" ref="O22:O23" si="45">N22*$C22</f>
        <v>156</v>
      </c>
      <c r="P22" s="67"/>
      <c r="Q22" s="14">
        <f t="shared" ref="Q22:Q23" si="46">P22*$C22</f>
        <v>0</v>
      </c>
      <c r="R22" s="67"/>
      <c r="S22" s="14">
        <f t="shared" ref="S22:S23" si="47">R22*$C22</f>
        <v>0</v>
      </c>
      <c r="T22" s="67"/>
      <c r="U22" s="14">
        <f t="shared" ref="U22:U23" si="48">T22*$C22</f>
        <v>0</v>
      </c>
      <c r="V22" s="67"/>
      <c r="W22" s="14">
        <f t="shared" ref="W22:W23" si="49">V22*$C22</f>
        <v>0</v>
      </c>
      <c r="X22" s="67"/>
      <c r="Y22" s="14">
        <f t="shared" ref="Y22:Y23" si="50">X22*$C22</f>
        <v>0</v>
      </c>
      <c r="Z22" s="67"/>
      <c r="AA22" s="14">
        <f t="shared" ref="AA22:AA23" si="51">Z22*$C22</f>
        <v>0</v>
      </c>
      <c r="AB22" s="67">
        <f>Z22+X22+V22+T22+R22+P22+N22+L22+J22+H22+F22+D22</f>
        <v>156</v>
      </c>
      <c r="AC22" s="14">
        <f t="shared" ref="AC22:AC23" si="52">AB22*$C22</f>
        <v>156</v>
      </c>
    </row>
    <row r="23" spans="1:29" x14ac:dyDescent="0.5">
      <c r="A23" s="67">
        <v>2</v>
      </c>
      <c r="B23" s="67" t="s">
        <v>71</v>
      </c>
      <c r="C23" s="153">
        <v>0.64</v>
      </c>
      <c r="D23" s="67">
        <v>1400</v>
      </c>
      <c r="E23" s="14">
        <f>D23*$C23</f>
        <v>896</v>
      </c>
      <c r="F23" s="67">
        <v>1960</v>
      </c>
      <c r="G23" s="14">
        <f t="shared" si="41"/>
        <v>1254.4000000000001</v>
      </c>
      <c r="H23" s="67">
        <v>6412</v>
      </c>
      <c r="I23" s="14">
        <f t="shared" si="42"/>
        <v>4103.68</v>
      </c>
      <c r="J23" s="67">
        <v>7490</v>
      </c>
      <c r="K23" s="96">
        <f t="shared" si="43"/>
        <v>4793.6000000000004</v>
      </c>
      <c r="L23" s="67">
        <v>2100</v>
      </c>
      <c r="M23" s="14">
        <f t="shared" si="44"/>
        <v>1344</v>
      </c>
      <c r="N23" s="67">
        <v>4200</v>
      </c>
      <c r="O23" s="14">
        <f t="shared" si="45"/>
        <v>2688</v>
      </c>
      <c r="P23" s="67">
        <v>3500</v>
      </c>
      <c r="Q23" s="14">
        <f t="shared" si="46"/>
        <v>2240</v>
      </c>
      <c r="R23" s="67">
        <v>3500</v>
      </c>
      <c r="S23" s="14">
        <f t="shared" si="47"/>
        <v>2240</v>
      </c>
      <c r="T23" s="67">
        <v>2800</v>
      </c>
      <c r="U23" s="14">
        <f t="shared" si="48"/>
        <v>1792</v>
      </c>
      <c r="V23" s="67">
        <v>3500</v>
      </c>
      <c r="W23" s="14">
        <f t="shared" si="49"/>
        <v>2240</v>
      </c>
      <c r="X23" s="67">
        <v>4200</v>
      </c>
      <c r="Y23" s="14">
        <f t="shared" si="50"/>
        <v>2688</v>
      </c>
      <c r="Z23" s="67">
        <v>2800</v>
      </c>
      <c r="AA23" s="14">
        <f t="shared" si="51"/>
        <v>1792</v>
      </c>
      <c r="AB23" s="67">
        <f t="shared" ref="AB23" si="53">Z23+X23+V23+T23+R23+P23+N23+L23+J23+H23+F23+D23</f>
        <v>43862</v>
      </c>
      <c r="AC23" s="14">
        <f t="shared" si="52"/>
        <v>28071.68</v>
      </c>
    </row>
    <row r="24" spans="1:29" x14ac:dyDescent="0.5">
      <c r="A24" s="67"/>
      <c r="B24" s="67"/>
      <c r="C24" s="67"/>
      <c r="D24" s="67"/>
      <c r="E24" s="14"/>
      <c r="F24" s="67"/>
      <c r="G24" s="14"/>
      <c r="H24" s="67"/>
      <c r="I24" s="14"/>
      <c r="J24" s="67"/>
      <c r="K24" s="96"/>
      <c r="L24" s="67"/>
      <c r="M24" s="14"/>
      <c r="N24" s="67"/>
      <c r="O24" s="14"/>
      <c r="P24" s="67"/>
      <c r="Q24" s="14"/>
      <c r="R24" s="67"/>
      <c r="S24" s="14"/>
      <c r="T24" s="67"/>
      <c r="U24" s="14"/>
      <c r="V24" s="67"/>
      <c r="W24" s="14"/>
      <c r="X24" s="67"/>
      <c r="Y24" s="14"/>
      <c r="Z24" s="67"/>
      <c r="AA24" s="14"/>
      <c r="AB24" s="67"/>
      <c r="AC24" s="14"/>
    </row>
    <row r="25" spans="1:29" x14ac:dyDescent="0.5">
      <c r="A25" s="67"/>
      <c r="B25" s="80" t="s">
        <v>0</v>
      </c>
      <c r="C25" s="80"/>
      <c r="D25" s="80">
        <f>SUM(D22:D24)</f>
        <v>1400</v>
      </c>
      <c r="E25" s="82">
        <f t="shared" ref="E25" si="54">SUM(E22:E24)</f>
        <v>896</v>
      </c>
      <c r="F25" s="80">
        <f t="shared" ref="F25" si="55">SUM(F22:F24)</f>
        <v>1960</v>
      </c>
      <c r="G25" s="82">
        <f t="shared" ref="G25" si="56">SUM(G22:G24)</f>
        <v>1254.4000000000001</v>
      </c>
      <c r="H25" s="80">
        <f t="shared" ref="H25" si="57">SUM(H22:H24)</f>
        <v>6412</v>
      </c>
      <c r="I25" s="82">
        <f t="shared" ref="I25" si="58">SUM(I22:I24)</f>
        <v>4103.68</v>
      </c>
      <c r="J25" s="80">
        <f t="shared" ref="J25" si="59">SUM(J22:J24)</f>
        <v>7490</v>
      </c>
      <c r="K25" s="82">
        <f>SUM(K22:K24)</f>
        <v>4793.6000000000004</v>
      </c>
      <c r="L25" s="80">
        <f t="shared" ref="L25" si="60">SUM(L22:L24)</f>
        <v>2100</v>
      </c>
      <c r="M25" s="82">
        <f t="shared" ref="M25" si="61">SUM(M22:M24)</f>
        <v>1344</v>
      </c>
      <c r="N25" s="80">
        <f t="shared" ref="N25" si="62">SUM(N22:N24)</f>
        <v>4356</v>
      </c>
      <c r="O25" s="82">
        <f t="shared" ref="O25" si="63">SUM(O22:O24)</f>
        <v>2844</v>
      </c>
      <c r="P25" s="80">
        <f t="shared" ref="P25" si="64">SUM(P22:P24)</f>
        <v>3500</v>
      </c>
      <c r="Q25" s="82">
        <f t="shared" ref="Q25" si="65">SUM(Q22:Q24)</f>
        <v>2240</v>
      </c>
      <c r="R25" s="80">
        <f t="shared" ref="R25" si="66">SUM(R22:R24)</f>
        <v>3500</v>
      </c>
      <c r="S25" s="82">
        <f t="shared" ref="S25" si="67">SUM(S22:S24)</f>
        <v>2240</v>
      </c>
      <c r="T25" s="80">
        <f t="shared" ref="T25" si="68">SUM(T22:T24)</f>
        <v>2800</v>
      </c>
      <c r="U25" s="82">
        <f t="shared" ref="U25" si="69">SUM(U22:U24)</f>
        <v>1792</v>
      </c>
      <c r="V25" s="80">
        <f t="shared" ref="V25" si="70">SUM(V22:V24)</f>
        <v>3500</v>
      </c>
      <c r="W25" s="82">
        <f t="shared" ref="W25" si="71">SUM(W22:W24)</f>
        <v>2240</v>
      </c>
      <c r="X25" s="80">
        <f t="shared" ref="X25" si="72">SUM(X22:X24)</f>
        <v>4200</v>
      </c>
      <c r="Y25" s="82">
        <f t="shared" ref="Y25" si="73">SUM(Y22:Y24)</f>
        <v>2688</v>
      </c>
      <c r="Z25" s="80">
        <f t="shared" ref="Z25" si="74">SUM(Z22:Z24)</f>
        <v>2800</v>
      </c>
      <c r="AA25" s="82">
        <f t="shared" ref="AA25" si="75">SUM(AA22:AA24)</f>
        <v>1792</v>
      </c>
      <c r="AB25" s="80">
        <f t="shared" ref="AB25" si="76">SUM(AB22:AB24)</f>
        <v>44018</v>
      </c>
      <c r="AC25" s="82">
        <f>SUM(AC22:AC24)</f>
        <v>28227.68</v>
      </c>
    </row>
    <row r="28" spans="1:29" x14ac:dyDescent="0.5">
      <c r="B28" s="93" t="s">
        <v>214</v>
      </c>
      <c r="C28" s="94"/>
      <c r="D28" s="94"/>
      <c r="E28" s="61"/>
      <c r="F28" s="94"/>
      <c r="G28" s="61"/>
      <c r="H28" s="94"/>
      <c r="I28" s="61"/>
      <c r="J28" s="94"/>
      <c r="K28" s="61"/>
      <c r="L28" s="94"/>
      <c r="M28" s="61"/>
      <c r="N28" s="94"/>
      <c r="O28" s="61"/>
      <c r="P28" s="94"/>
      <c r="Q28" s="61"/>
      <c r="R28" s="94"/>
      <c r="S28" s="61"/>
      <c r="T28" s="94"/>
      <c r="U28" s="61"/>
      <c r="V28" s="94"/>
      <c r="W28" s="61"/>
      <c r="X28" s="94"/>
      <c r="Y28" s="61"/>
      <c r="Z28" s="94"/>
      <c r="AA28" s="61"/>
      <c r="AB28" s="94"/>
      <c r="AC28" s="62"/>
    </row>
    <row r="29" spans="1:29" x14ac:dyDescent="0.5">
      <c r="A29" s="202" t="s">
        <v>11</v>
      </c>
      <c r="B29" s="204" t="s">
        <v>12</v>
      </c>
      <c r="C29" s="204" t="s">
        <v>67</v>
      </c>
      <c r="D29" s="201">
        <v>45658</v>
      </c>
      <c r="E29" s="201"/>
      <c r="F29" s="201">
        <v>45689</v>
      </c>
      <c r="G29" s="201"/>
      <c r="H29" s="201">
        <v>45717</v>
      </c>
      <c r="I29" s="201"/>
      <c r="J29" s="201">
        <v>45748</v>
      </c>
      <c r="K29" s="201"/>
      <c r="L29" s="201">
        <v>45778</v>
      </c>
      <c r="M29" s="201"/>
      <c r="N29" s="201">
        <v>45809</v>
      </c>
      <c r="O29" s="201"/>
      <c r="P29" s="201">
        <v>45839</v>
      </c>
      <c r="Q29" s="201"/>
      <c r="R29" s="201">
        <v>45870</v>
      </c>
      <c r="S29" s="201"/>
      <c r="T29" s="201">
        <v>45901</v>
      </c>
      <c r="U29" s="201"/>
      <c r="V29" s="201">
        <v>45931</v>
      </c>
      <c r="W29" s="201"/>
      <c r="X29" s="201">
        <v>45962</v>
      </c>
      <c r="Y29" s="201"/>
      <c r="Z29" s="201">
        <v>45992</v>
      </c>
      <c r="AA29" s="201"/>
      <c r="AB29" s="200" t="s">
        <v>0</v>
      </c>
      <c r="AC29" s="200"/>
    </row>
    <row r="30" spans="1:29" x14ac:dyDescent="0.5">
      <c r="A30" s="203"/>
      <c r="B30" s="205"/>
      <c r="C30" s="205"/>
      <c r="D30" s="95" t="s">
        <v>14</v>
      </c>
      <c r="E30" s="9" t="s">
        <v>67</v>
      </c>
      <c r="F30" s="95" t="s">
        <v>14</v>
      </c>
      <c r="G30" s="9" t="s">
        <v>67</v>
      </c>
      <c r="H30" s="95" t="s">
        <v>14</v>
      </c>
      <c r="I30" s="9" t="s">
        <v>67</v>
      </c>
      <c r="J30" s="95" t="s">
        <v>14</v>
      </c>
      <c r="K30" s="9" t="s">
        <v>67</v>
      </c>
      <c r="L30" s="95" t="s">
        <v>14</v>
      </c>
      <c r="M30" s="9" t="s">
        <v>67</v>
      </c>
      <c r="N30" s="95" t="s">
        <v>14</v>
      </c>
      <c r="O30" s="9" t="s">
        <v>67</v>
      </c>
      <c r="P30" s="95" t="s">
        <v>14</v>
      </c>
      <c r="Q30" s="9" t="s">
        <v>67</v>
      </c>
      <c r="R30" s="95" t="s">
        <v>14</v>
      </c>
      <c r="S30" s="9" t="s">
        <v>67</v>
      </c>
      <c r="T30" s="95" t="s">
        <v>14</v>
      </c>
      <c r="U30" s="9" t="s">
        <v>67</v>
      </c>
      <c r="V30" s="95" t="s">
        <v>14</v>
      </c>
      <c r="W30" s="9" t="s">
        <v>67</v>
      </c>
      <c r="X30" s="95" t="s">
        <v>14</v>
      </c>
      <c r="Y30" s="9" t="s">
        <v>67</v>
      </c>
      <c r="Z30" s="95" t="s">
        <v>14</v>
      </c>
      <c r="AA30" s="9" t="s">
        <v>67</v>
      </c>
      <c r="AB30" s="95" t="s">
        <v>14</v>
      </c>
      <c r="AC30" s="9" t="s">
        <v>67</v>
      </c>
    </row>
    <row r="31" spans="1:29" x14ac:dyDescent="0.5">
      <c r="A31" s="67"/>
      <c r="B31" s="95">
        <v>2024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</row>
    <row r="32" spans="1:29" x14ac:dyDescent="0.5">
      <c r="A32" s="67">
        <v>1</v>
      </c>
      <c r="B32" s="67" t="s">
        <v>40</v>
      </c>
      <c r="C32" s="67">
        <v>1</v>
      </c>
      <c r="D32" s="67">
        <v>24</v>
      </c>
      <c r="E32" s="14">
        <f t="shared" ref="E32" si="77">D32*$C32</f>
        <v>24</v>
      </c>
      <c r="F32" s="67"/>
      <c r="G32" s="14">
        <f t="shared" ref="G32:G33" si="78">F32*$C32</f>
        <v>0</v>
      </c>
      <c r="H32" s="67"/>
      <c r="I32" s="14">
        <f t="shared" ref="I32:I33" si="79">H32*$C32</f>
        <v>0</v>
      </c>
      <c r="J32" s="67"/>
      <c r="K32" s="96">
        <f t="shared" ref="K32:K33" si="80">J32*$C32</f>
        <v>0</v>
      </c>
      <c r="L32" s="67"/>
      <c r="M32" s="14">
        <f t="shared" ref="M32:M33" si="81">L32*$C32</f>
        <v>0</v>
      </c>
      <c r="N32" s="67"/>
      <c r="O32" s="14">
        <f t="shared" ref="O32:O33" si="82">N32*$C32</f>
        <v>0</v>
      </c>
      <c r="P32" s="67"/>
      <c r="Q32" s="14">
        <f t="shared" ref="Q32:Q33" si="83">P32*$C32</f>
        <v>0</v>
      </c>
      <c r="R32" s="67"/>
      <c r="S32" s="14">
        <f t="shared" ref="S32:S33" si="84">R32*$C32</f>
        <v>0</v>
      </c>
      <c r="T32" s="67"/>
      <c r="U32" s="14">
        <f t="shared" ref="U32:U33" si="85">T32*$C32</f>
        <v>0</v>
      </c>
      <c r="V32" s="67"/>
      <c r="W32" s="14">
        <f t="shared" ref="W32:W33" si="86">V32*$C32</f>
        <v>0</v>
      </c>
      <c r="X32" s="67"/>
      <c r="Y32" s="14">
        <f t="shared" ref="Y32:Y33" si="87">X32*$C32</f>
        <v>0</v>
      </c>
      <c r="Z32" s="67"/>
      <c r="AA32" s="14">
        <f t="shared" ref="AA32:AA33" si="88">Z32*$C32</f>
        <v>0</v>
      </c>
      <c r="AB32" s="67">
        <f>Z32+X32+V32+T32+R32+P32+N32+L32+J32+H32+F32+D32</f>
        <v>24</v>
      </c>
      <c r="AC32" s="14">
        <f t="shared" ref="AC32:AC33" si="89">AB32*$C32</f>
        <v>24</v>
      </c>
    </row>
    <row r="33" spans="1:29" x14ac:dyDescent="0.5">
      <c r="A33" s="67">
        <v>2</v>
      </c>
      <c r="B33" s="67" t="s">
        <v>71</v>
      </c>
      <c r="C33" s="153">
        <v>0.64</v>
      </c>
      <c r="D33" s="67">
        <v>2800</v>
      </c>
      <c r="E33" s="14">
        <f>D33*$C33</f>
        <v>1792</v>
      </c>
      <c r="F33" s="67">
        <v>1400</v>
      </c>
      <c r="G33" s="14">
        <f t="shared" si="78"/>
        <v>896</v>
      </c>
      <c r="H33" s="67">
        <v>2800</v>
      </c>
      <c r="I33" s="14">
        <f t="shared" si="79"/>
        <v>1792</v>
      </c>
      <c r="J33" s="67">
        <v>4200</v>
      </c>
      <c r="K33" s="96">
        <f t="shared" si="80"/>
        <v>2688</v>
      </c>
      <c r="L33" s="67">
        <v>1400</v>
      </c>
      <c r="M33" s="14">
        <f t="shared" si="81"/>
        <v>896</v>
      </c>
      <c r="N33" s="67"/>
      <c r="O33" s="14">
        <f t="shared" si="82"/>
        <v>0</v>
      </c>
      <c r="P33" s="67"/>
      <c r="Q33" s="14">
        <f t="shared" si="83"/>
        <v>0</v>
      </c>
      <c r="R33" s="67"/>
      <c r="S33" s="14">
        <f t="shared" si="84"/>
        <v>0</v>
      </c>
      <c r="T33" s="67"/>
      <c r="U33" s="14">
        <f t="shared" si="85"/>
        <v>0</v>
      </c>
      <c r="V33" s="67"/>
      <c r="W33" s="14">
        <f t="shared" si="86"/>
        <v>0</v>
      </c>
      <c r="X33" s="67"/>
      <c r="Y33" s="14">
        <f t="shared" si="87"/>
        <v>0</v>
      </c>
      <c r="Z33" s="67"/>
      <c r="AA33" s="14">
        <f t="shared" si="88"/>
        <v>0</v>
      </c>
      <c r="AB33" s="67">
        <f t="shared" ref="AB33" si="90">Z33+X33+V33+T33+R33+P33+N33+L33+J33+H33+F33+D33</f>
        <v>12600</v>
      </c>
      <c r="AC33" s="14">
        <f t="shared" si="89"/>
        <v>8064</v>
      </c>
    </row>
    <row r="34" spans="1:29" x14ac:dyDescent="0.5">
      <c r="A34" s="67"/>
      <c r="B34" s="67"/>
      <c r="C34" s="67"/>
      <c r="D34" s="67"/>
      <c r="E34" s="14"/>
      <c r="F34" s="67"/>
      <c r="G34" s="14"/>
      <c r="H34" s="67"/>
      <c r="I34" s="14"/>
      <c r="J34" s="67"/>
      <c r="K34" s="96"/>
      <c r="L34" s="67"/>
      <c r="M34" s="14"/>
      <c r="N34" s="67"/>
      <c r="O34" s="14"/>
      <c r="P34" s="67"/>
      <c r="Q34" s="14"/>
      <c r="R34" s="67"/>
      <c r="S34" s="14"/>
      <c r="T34" s="67"/>
      <c r="U34" s="14"/>
      <c r="V34" s="67"/>
      <c r="W34" s="14"/>
      <c r="X34" s="67"/>
      <c r="Y34" s="14"/>
      <c r="Z34" s="67"/>
      <c r="AA34" s="14"/>
      <c r="AB34" s="67"/>
      <c r="AC34" s="14"/>
    </row>
    <row r="35" spans="1:29" x14ac:dyDescent="0.5">
      <c r="A35" s="67"/>
      <c r="B35" s="80" t="s">
        <v>0</v>
      </c>
      <c r="C35" s="80"/>
      <c r="D35" s="80">
        <f>SUM(D32:D34)</f>
        <v>2824</v>
      </c>
      <c r="E35" s="82">
        <f t="shared" ref="E35:J35" si="91">SUM(E32:E34)</f>
        <v>1816</v>
      </c>
      <c r="F35" s="80">
        <f t="shared" si="91"/>
        <v>1400</v>
      </c>
      <c r="G35" s="82">
        <f t="shared" si="91"/>
        <v>896</v>
      </c>
      <c r="H35" s="80">
        <f t="shared" si="91"/>
        <v>2800</v>
      </c>
      <c r="I35" s="82">
        <f t="shared" si="91"/>
        <v>1792</v>
      </c>
      <c r="J35" s="80">
        <f t="shared" si="91"/>
        <v>4200</v>
      </c>
      <c r="K35" s="82">
        <f>SUM(K32:K34)</f>
        <v>2688</v>
      </c>
      <c r="L35" s="80">
        <f t="shared" ref="L35:AB35" si="92">SUM(L32:L34)</f>
        <v>1400</v>
      </c>
      <c r="M35" s="82">
        <f t="shared" si="92"/>
        <v>896</v>
      </c>
      <c r="N35" s="80">
        <f t="shared" si="92"/>
        <v>0</v>
      </c>
      <c r="O35" s="82">
        <f t="shared" si="92"/>
        <v>0</v>
      </c>
      <c r="P35" s="80">
        <f t="shared" si="92"/>
        <v>0</v>
      </c>
      <c r="Q35" s="82">
        <f t="shared" si="92"/>
        <v>0</v>
      </c>
      <c r="R35" s="80">
        <f t="shared" si="92"/>
        <v>0</v>
      </c>
      <c r="S35" s="82">
        <f t="shared" si="92"/>
        <v>0</v>
      </c>
      <c r="T35" s="80">
        <f t="shared" si="92"/>
        <v>0</v>
      </c>
      <c r="U35" s="82">
        <f t="shared" si="92"/>
        <v>0</v>
      </c>
      <c r="V35" s="80">
        <f t="shared" si="92"/>
        <v>0</v>
      </c>
      <c r="W35" s="82">
        <f t="shared" si="92"/>
        <v>0</v>
      </c>
      <c r="X35" s="80">
        <f t="shared" si="92"/>
        <v>0</v>
      </c>
      <c r="Y35" s="82">
        <f t="shared" si="92"/>
        <v>0</v>
      </c>
      <c r="Z35" s="80">
        <f t="shared" si="92"/>
        <v>0</v>
      </c>
      <c r="AA35" s="82">
        <f t="shared" si="92"/>
        <v>0</v>
      </c>
      <c r="AB35" s="80">
        <f t="shared" si="92"/>
        <v>12624</v>
      </c>
      <c r="AC35" s="82">
        <f>SUM(AC32:AC34)</f>
        <v>8088</v>
      </c>
    </row>
  </sheetData>
  <mergeCells count="64">
    <mergeCell ref="AB29:AC29"/>
    <mergeCell ref="R29:S29"/>
    <mergeCell ref="T29:U29"/>
    <mergeCell ref="V29:W29"/>
    <mergeCell ref="X29:Y29"/>
    <mergeCell ref="Z29:AA29"/>
    <mergeCell ref="H29:I29"/>
    <mergeCell ref="J29:K29"/>
    <mergeCell ref="L29:M29"/>
    <mergeCell ref="N29:O29"/>
    <mergeCell ref="P29:Q29"/>
    <mergeCell ref="A29:A30"/>
    <mergeCell ref="B29:B30"/>
    <mergeCell ref="C29:C30"/>
    <mergeCell ref="D29:E29"/>
    <mergeCell ref="F29:G29"/>
    <mergeCell ref="T2:U2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A10:A11"/>
    <mergeCell ref="B10:B11"/>
    <mergeCell ref="C10:C11"/>
    <mergeCell ref="D10:E10"/>
    <mergeCell ref="F10:G10"/>
    <mergeCell ref="X10:Y10"/>
    <mergeCell ref="V2:W2"/>
    <mergeCell ref="X2:Y2"/>
    <mergeCell ref="Z2:AA2"/>
    <mergeCell ref="AB2:AC2"/>
    <mergeCell ref="P10:Q10"/>
    <mergeCell ref="R10:S10"/>
    <mergeCell ref="R19:S19"/>
    <mergeCell ref="T10:U10"/>
    <mergeCell ref="V10:W10"/>
    <mergeCell ref="A19:A20"/>
    <mergeCell ref="B19:B20"/>
    <mergeCell ref="C19:C20"/>
    <mergeCell ref="D19:E19"/>
    <mergeCell ref="F19:G19"/>
    <mergeCell ref="AB19:AC19"/>
    <mergeCell ref="Z10:AA10"/>
    <mergeCell ref="H19:I19"/>
    <mergeCell ref="J19:K19"/>
    <mergeCell ref="L19:M19"/>
    <mergeCell ref="N19:O19"/>
    <mergeCell ref="P19:Q19"/>
    <mergeCell ref="T19:U19"/>
    <mergeCell ref="V19:W19"/>
    <mergeCell ref="X19:Y19"/>
    <mergeCell ref="Z19:AA19"/>
    <mergeCell ref="AB10:AC10"/>
    <mergeCell ref="H10:I10"/>
    <mergeCell ref="J10:K10"/>
    <mergeCell ref="L10:M10"/>
    <mergeCell ref="N10:O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4D13-7534-4321-AB36-9E8154C57117}">
  <dimension ref="A1:M55"/>
  <sheetViews>
    <sheetView topLeftCell="A20" workbookViewId="0">
      <selection activeCell="E34" sqref="E34"/>
    </sheetView>
  </sheetViews>
  <sheetFormatPr defaultRowHeight="18" x14ac:dyDescent="0.6"/>
  <cols>
    <col min="1" max="1" width="4.140625" style="98" bestFit="1" customWidth="1"/>
    <col min="2" max="2" width="45" style="98" customWidth="1"/>
    <col min="3" max="3" width="10.28515625" style="115" customWidth="1"/>
    <col min="4" max="4" width="9.42578125" style="115" bestFit="1" customWidth="1"/>
    <col min="5" max="6" width="14.85546875" style="98" bestFit="1" customWidth="1"/>
    <col min="7" max="7" width="11" style="98" hidden="1" customWidth="1"/>
    <col min="8" max="8" width="20.7109375" style="98" hidden="1" customWidth="1"/>
    <col min="9" max="9" width="11.42578125" style="98" hidden="1" customWidth="1"/>
    <col min="10" max="10" width="26.5703125" style="98" hidden="1" customWidth="1"/>
    <col min="11" max="11" width="9.5703125" style="98" hidden="1" customWidth="1"/>
    <col min="12" max="12" width="10.7109375" style="98" hidden="1" customWidth="1"/>
    <col min="13" max="13" width="8.28515625" style="98" hidden="1" customWidth="1"/>
    <col min="14" max="15" width="26.5703125" style="98" customWidth="1"/>
    <col min="16" max="16384" width="9.140625" style="98"/>
  </cols>
  <sheetData>
    <row r="1" spans="1:13" x14ac:dyDescent="0.6">
      <c r="A1" s="206"/>
      <c r="B1" s="206"/>
      <c r="C1" s="206"/>
      <c r="D1" s="206"/>
      <c r="E1" s="206"/>
      <c r="F1" s="206"/>
    </row>
    <row r="2" spans="1:13" x14ac:dyDescent="0.6">
      <c r="A2" s="213" t="s">
        <v>81</v>
      </c>
      <c r="B2" s="213"/>
      <c r="C2" s="213"/>
      <c r="D2" s="213"/>
      <c r="E2" s="213"/>
      <c r="F2" s="213"/>
    </row>
    <row r="3" spans="1:13" ht="61.5" customHeight="1" x14ac:dyDescent="0.6">
      <c r="A3" s="214" t="s">
        <v>82</v>
      </c>
      <c r="B3" s="215"/>
      <c r="C3" s="215"/>
      <c r="D3" s="215"/>
      <c r="E3" s="215"/>
      <c r="F3" s="215"/>
      <c r="G3" s="216" t="s">
        <v>83</v>
      </c>
      <c r="H3" s="216"/>
      <c r="I3" s="216"/>
      <c r="J3" s="216"/>
      <c r="K3" s="216"/>
      <c r="L3" s="99"/>
    </row>
    <row r="4" spans="1:13" s="97" customFormat="1" ht="36" x14ac:dyDescent="0.6">
      <c r="A4" s="100" t="s">
        <v>84</v>
      </c>
      <c r="B4" s="100" t="s">
        <v>85</v>
      </c>
      <c r="C4" s="100" t="s">
        <v>86</v>
      </c>
      <c r="D4" s="100" t="s">
        <v>87</v>
      </c>
      <c r="E4" s="101" t="s">
        <v>88</v>
      </c>
      <c r="F4" s="101" t="s">
        <v>89</v>
      </c>
      <c r="G4" s="102" t="s">
        <v>90</v>
      </c>
      <c r="H4" s="102" t="s">
        <v>91</v>
      </c>
      <c r="I4" s="103" t="s">
        <v>92</v>
      </c>
      <c r="J4" s="104"/>
      <c r="K4" s="103" t="s">
        <v>93</v>
      </c>
      <c r="L4" s="103" t="s">
        <v>94</v>
      </c>
      <c r="M4" s="104" t="s">
        <v>95</v>
      </c>
    </row>
    <row r="5" spans="1:13" x14ac:dyDescent="0.6">
      <c r="A5" s="105">
        <v>1</v>
      </c>
      <c r="B5" s="106" t="s">
        <v>35</v>
      </c>
      <c r="C5" s="107" t="s">
        <v>96</v>
      </c>
      <c r="D5" s="107" t="s">
        <v>97</v>
      </c>
      <c r="E5" s="105">
        <v>1870</v>
      </c>
      <c r="F5" s="105">
        <f>E5*12</f>
        <v>22440</v>
      </c>
      <c r="G5" s="17">
        <v>20</v>
      </c>
      <c r="H5" s="66">
        <v>5</v>
      </c>
      <c r="I5" s="17"/>
      <c r="J5" s="17"/>
      <c r="K5" s="17">
        <f>SUM(G5:J5)</f>
        <v>25</v>
      </c>
      <c r="L5" s="108">
        <v>5556</v>
      </c>
      <c r="M5" s="109"/>
    </row>
    <row r="6" spans="1:13" ht="21" customHeight="1" x14ac:dyDescent="0.6">
      <c r="A6" s="105">
        <v>3</v>
      </c>
      <c r="B6" s="106" t="s">
        <v>36</v>
      </c>
      <c r="C6" s="107" t="s">
        <v>98</v>
      </c>
      <c r="D6" s="107" t="s">
        <v>99</v>
      </c>
      <c r="E6" s="105">
        <v>1250</v>
      </c>
      <c r="F6" s="105">
        <f>E6*14</f>
        <v>17500</v>
      </c>
      <c r="G6" s="17">
        <v>12</v>
      </c>
      <c r="H6" s="66">
        <v>5</v>
      </c>
      <c r="I6" s="17"/>
      <c r="J6" s="17"/>
      <c r="K6" s="17">
        <f t="shared" ref="K6:K19" si="0">SUM(G6:J6)</f>
        <v>17</v>
      </c>
      <c r="L6" s="108">
        <v>26740</v>
      </c>
      <c r="M6" s="109"/>
    </row>
    <row r="7" spans="1:13" x14ac:dyDescent="0.6">
      <c r="A7" s="110">
        <v>4</v>
      </c>
      <c r="B7" s="106" t="s">
        <v>100</v>
      </c>
      <c r="C7" s="107" t="s">
        <v>101</v>
      </c>
      <c r="D7" s="107" t="s">
        <v>97</v>
      </c>
      <c r="E7" s="105">
        <v>1575</v>
      </c>
      <c r="F7" s="105">
        <f t="shared" ref="F7:F12" si="1">E7*12</f>
        <v>18900</v>
      </c>
      <c r="G7" s="17">
        <v>20</v>
      </c>
      <c r="H7" s="66">
        <v>5</v>
      </c>
      <c r="I7" s="17"/>
      <c r="J7" s="17"/>
      <c r="K7" s="17">
        <f t="shared" si="0"/>
        <v>25</v>
      </c>
      <c r="L7" s="108">
        <v>1620</v>
      </c>
      <c r="M7" s="109"/>
    </row>
    <row r="8" spans="1:13" x14ac:dyDescent="0.6">
      <c r="A8" s="105">
        <v>5</v>
      </c>
      <c r="B8" s="106" t="s">
        <v>102</v>
      </c>
      <c r="C8" s="107" t="s">
        <v>103</v>
      </c>
      <c r="D8" s="107" t="s">
        <v>97</v>
      </c>
      <c r="E8" s="105">
        <v>1100</v>
      </c>
      <c r="F8" s="105">
        <f>E8*12</f>
        <v>13200</v>
      </c>
      <c r="G8" s="17"/>
      <c r="H8" s="66"/>
      <c r="I8" s="17"/>
      <c r="J8" s="17"/>
      <c r="K8" s="17"/>
      <c r="L8" s="108"/>
      <c r="M8" s="109"/>
    </row>
    <row r="9" spans="1:13" x14ac:dyDescent="0.6">
      <c r="A9" s="110">
        <v>6</v>
      </c>
      <c r="B9" s="106" t="s">
        <v>104</v>
      </c>
      <c r="C9" s="107" t="s">
        <v>105</v>
      </c>
      <c r="D9" s="107" t="s">
        <v>106</v>
      </c>
      <c r="E9" s="105">
        <v>750</v>
      </c>
      <c r="F9" s="105">
        <f>E9*40</f>
        <v>30000</v>
      </c>
      <c r="G9" s="17"/>
      <c r="H9" s="66"/>
      <c r="I9" s="17"/>
      <c r="J9" s="17"/>
      <c r="K9" s="17"/>
      <c r="L9" s="108"/>
      <c r="M9" s="109"/>
    </row>
    <row r="10" spans="1:13" x14ac:dyDescent="0.6">
      <c r="A10" s="105">
        <v>7</v>
      </c>
      <c r="B10" s="106" t="s">
        <v>107</v>
      </c>
      <c r="C10" s="107" t="s">
        <v>98</v>
      </c>
      <c r="D10" s="107" t="s">
        <v>99</v>
      </c>
      <c r="E10" s="105">
        <v>1250</v>
      </c>
      <c r="F10" s="105">
        <f>E10*14</f>
        <v>17500</v>
      </c>
      <c r="G10" s="17">
        <v>12</v>
      </c>
      <c r="H10" s="66">
        <v>5</v>
      </c>
      <c r="I10" s="17"/>
      <c r="J10" s="17"/>
      <c r="K10" s="17">
        <f t="shared" ref="K10" si="2">SUM(G10:J10)</f>
        <v>17</v>
      </c>
      <c r="L10" s="108">
        <f>166432 +3000</f>
        <v>169432</v>
      </c>
      <c r="M10" s="109"/>
    </row>
    <row r="11" spans="1:13" x14ac:dyDescent="0.6">
      <c r="A11" s="110">
        <v>8</v>
      </c>
      <c r="B11" s="106" t="s">
        <v>107</v>
      </c>
      <c r="C11" s="107" t="s">
        <v>98</v>
      </c>
      <c r="D11" s="107" t="s">
        <v>108</v>
      </c>
      <c r="E11" s="105">
        <v>1250</v>
      </c>
      <c r="F11" s="105">
        <f>E11*14</f>
        <v>17500</v>
      </c>
      <c r="G11" s="17">
        <v>12</v>
      </c>
      <c r="H11" s="66">
        <v>5</v>
      </c>
      <c r="I11" s="17"/>
      <c r="J11" s="17"/>
      <c r="K11" s="17">
        <f t="shared" ref="K11" si="3">SUM(G11:J11)</f>
        <v>17</v>
      </c>
      <c r="L11" s="108">
        <f>166432 +3000</f>
        <v>169432</v>
      </c>
      <c r="M11" s="109"/>
    </row>
    <row r="12" spans="1:13" x14ac:dyDescent="0.6">
      <c r="A12" s="105">
        <v>9</v>
      </c>
      <c r="B12" s="106" t="s">
        <v>39</v>
      </c>
      <c r="C12" s="107" t="s">
        <v>101</v>
      </c>
      <c r="D12" s="107" t="s">
        <v>97</v>
      </c>
      <c r="E12" s="105">
        <v>1610</v>
      </c>
      <c r="F12" s="105">
        <f t="shared" si="1"/>
        <v>19320</v>
      </c>
      <c r="G12" s="17">
        <v>13.8</v>
      </c>
      <c r="H12" s="66">
        <v>5</v>
      </c>
      <c r="I12" s="17"/>
      <c r="J12" s="17"/>
      <c r="K12" s="17">
        <f t="shared" si="0"/>
        <v>18.8</v>
      </c>
      <c r="L12" s="108">
        <v>14400</v>
      </c>
      <c r="M12" s="109"/>
    </row>
    <row r="13" spans="1:13" x14ac:dyDescent="0.6">
      <c r="A13" s="110">
        <v>10</v>
      </c>
      <c r="B13" s="106" t="s">
        <v>109</v>
      </c>
      <c r="C13" s="107" t="s">
        <v>98</v>
      </c>
      <c r="D13" s="107" t="s">
        <v>99</v>
      </c>
      <c r="E13" s="105">
        <v>1700</v>
      </c>
      <c r="F13" s="105">
        <f>E13*14</f>
        <v>23800</v>
      </c>
      <c r="G13" s="17">
        <v>12</v>
      </c>
      <c r="H13" s="66">
        <v>5</v>
      </c>
      <c r="I13" s="17"/>
      <c r="J13" s="17"/>
      <c r="K13" s="17">
        <f t="shared" si="0"/>
        <v>17</v>
      </c>
      <c r="L13" s="108">
        <v>10906</v>
      </c>
      <c r="M13" s="109"/>
    </row>
    <row r="14" spans="1:13" x14ac:dyDescent="0.6">
      <c r="A14" s="105">
        <v>11</v>
      </c>
      <c r="B14" s="106" t="s">
        <v>45</v>
      </c>
      <c r="C14" s="107" t="s">
        <v>98</v>
      </c>
      <c r="D14" s="107" t="s">
        <v>99</v>
      </c>
      <c r="E14" s="105">
        <v>1400</v>
      </c>
      <c r="F14" s="105">
        <f>E14*14</f>
        <v>19600</v>
      </c>
      <c r="G14" s="17">
        <v>12</v>
      </c>
      <c r="H14" s="66">
        <v>5</v>
      </c>
      <c r="I14" s="17"/>
      <c r="J14" s="17"/>
      <c r="K14" s="17">
        <f t="shared" si="0"/>
        <v>17</v>
      </c>
      <c r="L14" s="108">
        <v>5236</v>
      </c>
      <c r="M14" s="109"/>
    </row>
    <row r="15" spans="1:13" x14ac:dyDescent="0.6">
      <c r="A15" s="110">
        <v>12</v>
      </c>
      <c r="B15" s="106" t="s">
        <v>48</v>
      </c>
      <c r="C15" s="107" t="s">
        <v>98</v>
      </c>
      <c r="D15" s="107" t="s">
        <v>99</v>
      </c>
      <c r="E15" s="105">
        <v>1250</v>
      </c>
      <c r="F15" s="105">
        <f>E15*14</f>
        <v>17500</v>
      </c>
      <c r="G15" s="17">
        <v>12</v>
      </c>
      <c r="H15" s="66">
        <v>5</v>
      </c>
      <c r="I15" s="17"/>
      <c r="J15" s="17"/>
      <c r="K15" s="17">
        <f t="shared" si="0"/>
        <v>17</v>
      </c>
      <c r="L15" s="108">
        <v>1344</v>
      </c>
      <c r="M15" s="109"/>
    </row>
    <row r="16" spans="1:13" x14ac:dyDescent="0.6">
      <c r="A16" s="105">
        <v>13</v>
      </c>
      <c r="B16" s="106" t="s">
        <v>110</v>
      </c>
      <c r="C16" s="107" t="s">
        <v>101</v>
      </c>
      <c r="D16" s="107" t="s">
        <v>97</v>
      </c>
      <c r="E16" s="105">
        <v>1500</v>
      </c>
      <c r="F16" s="105">
        <f>E16*12</f>
        <v>18000</v>
      </c>
      <c r="G16" s="17">
        <v>12</v>
      </c>
      <c r="H16" s="66">
        <v>5</v>
      </c>
      <c r="I16" s="17"/>
      <c r="J16" s="17"/>
      <c r="K16" s="17">
        <f t="shared" ref="K16" si="4">SUM(G16:J16)</f>
        <v>17</v>
      </c>
      <c r="L16" s="108">
        <v>1344</v>
      </c>
      <c r="M16" s="109"/>
    </row>
    <row r="17" spans="1:13" x14ac:dyDescent="0.6">
      <c r="A17" s="110">
        <v>14</v>
      </c>
      <c r="B17" s="106" t="s">
        <v>111</v>
      </c>
      <c r="C17" s="107" t="s">
        <v>103</v>
      </c>
      <c r="D17" s="107" t="s">
        <v>97</v>
      </c>
      <c r="E17" s="105">
        <v>1085</v>
      </c>
      <c r="F17" s="105">
        <f>E17*12</f>
        <v>13020</v>
      </c>
      <c r="G17" s="17">
        <v>12</v>
      </c>
      <c r="H17" s="66">
        <v>5</v>
      </c>
      <c r="I17" s="17"/>
      <c r="J17" s="17"/>
      <c r="K17" s="17">
        <f t="shared" ref="K17" si="5">SUM(G17:J17)</f>
        <v>17</v>
      </c>
      <c r="L17" s="108">
        <v>1344</v>
      </c>
      <c r="M17" s="109"/>
    </row>
    <row r="18" spans="1:13" x14ac:dyDescent="0.6">
      <c r="A18" s="105">
        <v>15</v>
      </c>
      <c r="B18" s="106" t="s">
        <v>49</v>
      </c>
      <c r="C18" s="107" t="s">
        <v>98</v>
      </c>
      <c r="D18" s="107" t="s">
        <v>99</v>
      </c>
      <c r="E18" s="105">
        <v>1250</v>
      </c>
      <c r="F18" s="105">
        <f>E18*14</f>
        <v>17500</v>
      </c>
      <c r="G18" s="17"/>
      <c r="H18" s="66"/>
      <c r="I18" s="17"/>
      <c r="J18" s="17"/>
      <c r="K18" s="17"/>
      <c r="L18" s="108"/>
      <c r="M18" s="109"/>
    </row>
    <row r="19" spans="1:13" x14ac:dyDescent="0.6">
      <c r="A19" s="110">
        <v>16</v>
      </c>
      <c r="B19" s="106" t="s">
        <v>50</v>
      </c>
      <c r="C19" s="107" t="s">
        <v>98</v>
      </c>
      <c r="D19" s="107" t="s">
        <v>108</v>
      </c>
      <c r="E19" s="105">
        <v>1250</v>
      </c>
      <c r="F19" s="105">
        <f>E19*24</f>
        <v>30000</v>
      </c>
      <c r="G19" s="17">
        <v>12.4</v>
      </c>
      <c r="H19" s="66">
        <v>5</v>
      </c>
      <c r="I19" s="17"/>
      <c r="J19" s="17"/>
      <c r="K19" s="17">
        <f t="shared" si="0"/>
        <v>17.399999999999999</v>
      </c>
      <c r="L19" s="108">
        <v>16368</v>
      </c>
      <c r="M19" s="109"/>
    </row>
    <row r="20" spans="1:13" x14ac:dyDescent="0.6">
      <c r="A20" s="105">
        <v>17</v>
      </c>
      <c r="B20" s="106" t="s">
        <v>112</v>
      </c>
      <c r="C20" s="107" t="s">
        <v>101</v>
      </c>
      <c r="D20" s="107" t="s">
        <v>97</v>
      </c>
      <c r="E20" s="105">
        <v>1500</v>
      </c>
      <c r="F20" s="105">
        <f>E20*12</f>
        <v>18000</v>
      </c>
      <c r="G20" s="111"/>
      <c r="H20" s="112"/>
      <c r="I20" s="111"/>
      <c r="J20" s="111"/>
      <c r="K20" s="111"/>
      <c r="L20" s="113"/>
      <c r="M20" s="99"/>
    </row>
    <row r="21" spans="1:13" hidden="1" x14ac:dyDescent="0.6">
      <c r="A21" s="110"/>
      <c r="B21" s="106"/>
      <c r="C21" s="107"/>
      <c r="D21" s="107"/>
      <c r="E21" s="105"/>
      <c r="F21" s="105"/>
      <c r="G21" s="111"/>
      <c r="H21" s="112"/>
      <c r="I21" s="111"/>
      <c r="J21" s="111"/>
      <c r="K21" s="111"/>
      <c r="L21" s="113"/>
      <c r="M21" s="99"/>
    </row>
    <row r="22" spans="1:13" hidden="1" x14ac:dyDescent="0.6">
      <c r="A22" s="110"/>
      <c r="B22" s="106"/>
      <c r="C22" s="107"/>
      <c r="D22" s="107"/>
      <c r="E22" s="105"/>
      <c r="F22" s="105"/>
      <c r="G22" s="111"/>
      <c r="H22" s="112"/>
      <c r="I22" s="111"/>
      <c r="J22" s="111"/>
      <c r="K22" s="111"/>
      <c r="L22" s="113"/>
      <c r="M22" s="99"/>
    </row>
    <row r="23" spans="1:13" hidden="1" x14ac:dyDescent="0.6">
      <c r="A23" s="110"/>
      <c r="B23" s="106"/>
      <c r="C23" s="107"/>
      <c r="D23" s="107"/>
      <c r="E23" s="105"/>
      <c r="F23" s="105"/>
      <c r="G23" s="111"/>
      <c r="H23" s="112"/>
      <c r="I23" s="111"/>
      <c r="J23" s="111"/>
      <c r="K23" s="111"/>
      <c r="L23" s="113"/>
      <c r="M23" s="99"/>
    </row>
    <row r="24" spans="1:13" x14ac:dyDescent="0.6">
      <c r="A24" s="217" t="s">
        <v>113</v>
      </c>
      <c r="B24" s="217"/>
      <c r="C24" s="217"/>
      <c r="D24" s="217"/>
      <c r="E24" s="217"/>
      <c r="F24" s="217"/>
    </row>
    <row r="25" spans="1:13" x14ac:dyDescent="0.6">
      <c r="A25" s="114"/>
      <c r="D25" s="206"/>
      <c r="E25" s="206"/>
      <c r="F25" s="206"/>
    </row>
    <row r="26" spans="1:13" x14ac:dyDescent="0.6">
      <c r="A26" s="114"/>
      <c r="E26" s="114"/>
      <c r="F26" s="114"/>
    </row>
    <row r="27" spans="1:13" x14ac:dyDescent="0.6">
      <c r="A27" s="114"/>
      <c r="E27" s="114"/>
      <c r="F27" s="114"/>
    </row>
    <row r="28" spans="1:13" x14ac:dyDescent="0.6">
      <c r="A28" s="206" t="s">
        <v>114</v>
      </c>
      <c r="B28" s="206"/>
      <c r="C28" s="206"/>
      <c r="D28" s="206"/>
      <c r="E28" s="206"/>
      <c r="F28" s="206"/>
    </row>
    <row r="29" spans="1:13" x14ac:dyDescent="0.6">
      <c r="A29" s="213" t="s">
        <v>81</v>
      </c>
      <c r="B29" s="213"/>
      <c r="C29" s="213"/>
      <c r="D29" s="213"/>
      <c r="E29" s="213"/>
      <c r="F29" s="213"/>
    </row>
    <row r="30" spans="1:13" ht="56.25" customHeight="1" x14ac:dyDescent="0.6">
      <c r="A30" s="214" t="s">
        <v>82</v>
      </c>
      <c r="B30" s="215"/>
      <c r="C30" s="215"/>
      <c r="D30" s="215"/>
      <c r="E30" s="215"/>
      <c r="F30" s="215"/>
      <c r="G30" s="216" t="s">
        <v>83</v>
      </c>
      <c r="H30" s="216"/>
      <c r="I30" s="216"/>
      <c r="J30" s="216"/>
      <c r="K30" s="216"/>
      <c r="L30" s="99"/>
    </row>
    <row r="31" spans="1:13" ht="36" x14ac:dyDescent="0.6">
      <c r="A31" s="100" t="s">
        <v>84</v>
      </c>
      <c r="B31" s="100" t="s">
        <v>85</v>
      </c>
      <c r="C31" s="100" t="s">
        <v>86</v>
      </c>
      <c r="D31" s="100" t="s">
        <v>87</v>
      </c>
      <c r="E31" s="101" t="s">
        <v>88</v>
      </c>
      <c r="F31" s="101" t="s">
        <v>89</v>
      </c>
      <c r="G31" s="102" t="s">
        <v>90</v>
      </c>
      <c r="H31" s="116" t="s">
        <v>115</v>
      </c>
      <c r="I31" s="104" t="s">
        <v>116</v>
      </c>
      <c r="J31" s="104"/>
      <c r="K31" s="103" t="s">
        <v>93</v>
      </c>
      <c r="L31" s="103" t="s">
        <v>94</v>
      </c>
      <c r="M31" s="104" t="s">
        <v>95</v>
      </c>
    </row>
    <row r="32" spans="1:13" x14ac:dyDescent="0.6">
      <c r="A32" s="105">
        <v>1</v>
      </c>
      <c r="B32" s="106" t="s">
        <v>53</v>
      </c>
      <c r="C32" s="107" t="s">
        <v>96</v>
      </c>
      <c r="D32" s="107" t="s">
        <v>97</v>
      </c>
      <c r="E32" s="105">
        <v>4500</v>
      </c>
      <c r="F32" s="105">
        <f>E32*12</f>
        <v>54000</v>
      </c>
      <c r="G32" s="109">
        <v>53</v>
      </c>
      <c r="H32" s="65">
        <v>353</v>
      </c>
      <c r="I32" s="109" t="s">
        <v>117</v>
      </c>
      <c r="J32" s="109"/>
      <c r="K32" s="17">
        <f>SUM(G32:J32)</f>
        <v>406</v>
      </c>
      <c r="L32" s="109">
        <v>131</v>
      </c>
      <c r="M32" s="109"/>
    </row>
    <row r="33" spans="1:13" x14ac:dyDescent="0.6">
      <c r="A33" s="105">
        <v>2</v>
      </c>
      <c r="B33" s="106" t="s">
        <v>54</v>
      </c>
      <c r="C33" s="107" t="s">
        <v>105</v>
      </c>
      <c r="D33" s="107" t="s">
        <v>108</v>
      </c>
      <c r="E33" s="105">
        <v>2300</v>
      </c>
      <c r="F33" s="105">
        <f>E33*24</f>
        <v>55200</v>
      </c>
      <c r="G33" s="109">
        <v>27</v>
      </c>
      <c r="H33" s="65">
        <v>177</v>
      </c>
      <c r="I33" s="109" t="s">
        <v>117</v>
      </c>
      <c r="J33" s="109"/>
      <c r="K33" s="17">
        <f t="shared" ref="K33:K40" si="6">SUM(G33:J33)</f>
        <v>204</v>
      </c>
      <c r="L33" s="109">
        <v>176</v>
      </c>
      <c r="M33" s="109"/>
    </row>
    <row r="34" spans="1:13" x14ac:dyDescent="0.6">
      <c r="A34" s="105">
        <v>3</v>
      </c>
      <c r="B34" s="106" t="s">
        <v>55</v>
      </c>
      <c r="C34" s="107" t="s">
        <v>118</v>
      </c>
      <c r="D34" s="107" t="s">
        <v>119</v>
      </c>
      <c r="E34" s="105">
        <v>1300</v>
      </c>
      <c r="F34" s="105">
        <f>E34*48</f>
        <v>62400</v>
      </c>
      <c r="G34" s="109">
        <v>13</v>
      </c>
      <c r="H34" s="65">
        <v>29</v>
      </c>
      <c r="I34" s="109" t="s">
        <v>117</v>
      </c>
      <c r="J34" s="109"/>
      <c r="K34" s="17">
        <f t="shared" si="6"/>
        <v>42</v>
      </c>
      <c r="L34" s="109">
        <v>96</v>
      </c>
      <c r="M34" s="109"/>
    </row>
    <row r="35" spans="1:13" x14ac:dyDescent="0.6">
      <c r="A35" s="105">
        <v>4</v>
      </c>
      <c r="B35" s="106" t="s">
        <v>56</v>
      </c>
      <c r="C35" s="107" t="s">
        <v>96</v>
      </c>
      <c r="D35" s="107" t="s">
        <v>97</v>
      </c>
      <c r="E35" s="105">
        <v>5200</v>
      </c>
      <c r="F35" s="105">
        <f>E35*12</f>
        <v>62400</v>
      </c>
      <c r="G35" s="109">
        <v>53</v>
      </c>
      <c r="H35" s="65" t="s">
        <v>120</v>
      </c>
      <c r="I35" s="109" t="s">
        <v>117</v>
      </c>
      <c r="J35" s="109"/>
      <c r="K35" s="17">
        <f t="shared" si="6"/>
        <v>53</v>
      </c>
      <c r="L35" s="109">
        <v>543</v>
      </c>
      <c r="M35" s="109"/>
    </row>
    <row r="36" spans="1:13" x14ac:dyDescent="0.6">
      <c r="A36" s="105">
        <v>5</v>
      </c>
      <c r="B36" s="106" t="s">
        <v>57</v>
      </c>
      <c r="C36" s="107" t="s">
        <v>105</v>
      </c>
      <c r="D36" s="107" t="s">
        <v>108</v>
      </c>
      <c r="E36" s="105">
        <v>2600</v>
      </c>
      <c r="F36" s="105">
        <f t="shared" ref="F36:F40" si="7">E36*24</f>
        <v>62400</v>
      </c>
      <c r="G36" s="109">
        <v>27</v>
      </c>
      <c r="H36" s="65" t="s">
        <v>120</v>
      </c>
      <c r="I36" s="109" t="s">
        <v>117</v>
      </c>
      <c r="J36" s="109"/>
      <c r="K36" s="17">
        <f t="shared" si="6"/>
        <v>27</v>
      </c>
      <c r="L36" s="109">
        <v>193</v>
      </c>
      <c r="M36" s="109"/>
    </row>
    <row r="37" spans="1:13" x14ac:dyDescent="0.6">
      <c r="A37" s="105">
        <v>6</v>
      </c>
      <c r="B37" s="106" t="s">
        <v>58</v>
      </c>
      <c r="C37" s="107" t="s">
        <v>118</v>
      </c>
      <c r="D37" s="107" t="s">
        <v>119</v>
      </c>
      <c r="E37" s="105">
        <v>1450</v>
      </c>
      <c r="F37" s="105">
        <f>E37*48</f>
        <v>69600</v>
      </c>
      <c r="G37" s="109">
        <v>13</v>
      </c>
      <c r="H37" s="65" t="s">
        <v>120</v>
      </c>
      <c r="I37" s="109" t="s">
        <v>117</v>
      </c>
      <c r="J37" s="109"/>
      <c r="K37" s="17">
        <f t="shared" si="6"/>
        <v>13</v>
      </c>
      <c r="L37" s="109">
        <v>277</v>
      </c>
      <c r="M37" s="109"/>
    </row>
    <row r="38" spans="1:13" x14ac:dyDescent="0.6">
      <c r="A38" s="105">
        <v>7</v>
      </c>
      <c r="B38" s="109" t="s">
        <v>60</v>
      </c>
      <c r="C38" s="65" t="s">
        <v>96</v>
      </c>
      <c r="D38" s="107" t="s">
        <v>97</v>
      </c>
      <c r="E38" s="105">
        <v>1700</v>
      </c>
      <c r="F38" s="105">
        <f>E38*12</f>
        <v>20400</v>
      </c>
      <c r="G38" s="109"/>
      <c r="H38" s="65"/>
      <c r="I38" s="109"/>
      <c r="J38" s="109"/>
      <c r="K38" s="17"/>
      <c r="L38" s="109"/>
      <c r="M38" s="109"/>
    </row>
    <row r="39" spans="1:13" x14ac:dyDescent="0.6">
      <c r="A39" s="105">
        <v>8</v>
      </c>
      <c r="B39" s="106" t="s">
        <v>51</v>
      </c>
      <c r="C39" s="107" t="s">
        <v>96</v>
      </c>
      <c r="D39" s="107" t="s">
        <v>97</v>
      </c>
      <c r="E39" s="105">
        <v>3600</v>
      </c>
      <c r="F39" s="105">
        <f>E39*12</f>
        <v>43200</v>
      </c>
      <c r="G39" s="109">
        <v>53</v>
      </c>
      <c r="H39" s="65">
        <v>353</v>
      </c>
      <c r="I39" s="109" t="s">
        <v>121</v>
      </c>
      <c r="J39" s="109"/>
      <c r="K39" s="17">
        <f t="shared" si="6"/>
        <v>406</v>
      </c>
      <c r="L39" s="109">
        <v>2</v>
      </c>
      <c r="M39" s="109"/>
    </row>
    <row r="40" spans="1:13" x14ac:dyDescent="0.6">
      <c r="A40" s="105">
        <v>9</v>
      </c>
      <c r="B40" s="106" t="s">
        <v>52</v>
      </c>
      <c r="C40" s="107" t="s">
        <v>105</v>
      </c>
      <c r="D40" s="107" t="s">
        <v>108</v>
      </c>
      <c r="E40" s="105">
        <v>2100</v>
      </c>
      <c r="F40" s="105">
        <f t="shared" si="7"/>
        <v>50400</v>
      </c>
      <c r="G40" s="109">
        <v>27</v>
      </c>
      <c r="H40" s="65">
        <v>177</v>
      </c>
      <c r="I40" s="109" t="s">
        <v>121</v>
      </c>
      <c r="J40" s="109"/>
      <c r="K40" s="17">
        <f t="shared" si="6"/>
        <v>204</v>
      </c>
      <c r="L40" s="109">
        <v>67</v>
      </c>
      <c r="M40" s="109"/>
    </row>
    <row r="41" spans="1:13" x14ac:dyDescent="0.6">
      <c r="A41" s="114"/>
      <c r="E41" s="114"/>
      <c r="F41" s="114"/>
    </row>
    <row r="42" spans="1:13" x14ac:dyDescent="0.6">
      <c r="A42" s="223" t="s">
        <v>122</v>
      </c>
      <c r="B42" s="223"/>
      <c r="C42" s="223"/>
      <c r="D42" s="223"/>
      <c r="E42" s="223"/>
      <c r="F42" s="114"/>
    </row>
    <row r="43" spans="1:13" x14ac:dyDescent="0.6">
      <c r="A43" s="114"/>
      <c r="E43" s="114"/>
      <c r="F43" s="114"/>
    </row>
    <row r="44" spans="1:13" x14ac:dyDescent="0.6">
      <c r="A44" s="100" t="s">
        <v>84</v>
      </c>
      <c r="B44" s="218" t="s">
        <v>123</v>
      </c>
      <c r="C44" s="219"/>
      <c r="D44" s="220"/>
      <c r="E44" s="221" t="s">
        <v>124</v>
      </c>
      <c r="F44" s="222"/>
    </row>
    <row r="45" spans="1:13" x14ac:dyDescent="0.6">
      <c r="A45" s="105">
        <v>1</v>
      </c>
      <c r="B45" s="207" t="s">
        <v>125</v>
      </c>
      <c r="C45" s="208"/>
      <c r="D45" s="209"/>
      <c r="E45" s="210" t="s">
        <v>126</v>
      </c>
      <c r="F45" s="211"/>
    </row>
    <row r="46" spans="1:13" x14ac:dyDescent="0.6">
      <c r="A46" s="105">
        <v>2</v>
      </c>
      <c r="B46" s="207" t="s">
        <v>127</v>
      </c>
      <c r="C46" s="208"/>
      <c r="D46" s="209"/>
      <c r="E46" s="210" t="s">
        <v>128</v>
      </c>
      <c r="F46" s="211"/>
    </row>
    <row r="47" spans="1:13" x14ac:dyDescent="0.6">
      <c r="A47" s="105">
        <v>3</v>
      </c>
      <c r="B47" s="207" t="s">
        <v>129</v>
      </c>
      <c r="C47" s="208"/>
      <c r="D47" s="209"/>
      <c r="E47" s="210" t="s">
        <v>130</v>
      </c>
      <c r="F47" s="211"/>
    </row>
    <row r="48" spans="1:13" x14ac:dyDescent="0.6">
      <c r="A48" s="105">
        <v>4</v>
      </c>
      <c r="B48" s="207" t="s">
        <v>131</v>
      </c>
      <c r="C48" s="208"/>
      <c r="D48" s="209"/>
      <c r="E48" s="210" t="s">
        <v>132</v>
      </c>
      <c r="F48" s="211"/>
    </row>
    <row r="49" spans="1:6" x14ac:dyDescent="0.6">
      <c r="A49" s="105">
        <v>5</v>
      </c>
      <c r="B49" s="207" t="s">
        <v>133</v>
      </c>
      <c r="C49" s="208"/>
      <c r="D49" s="209"/>
      <c r="E49" s="210" t="s">
        <v>134</v>
      </c>
      <c r="F49" s="211"/>
    </row>
    <row r="50" spans="1:6" x14ac:dyDescent="0.6">
      <c r="A50" s="114"/>
      <c r="E50" s="114"/>
      <c r="F50" s="114"/>
    </row>
    <row r="51" spans="1:6" x14ac:dyDescent="0.6">
      <c r="A51" s="212" t="s">
        <v>113</v>
      </c>
      <c r="B51" s="212"/>
      <c r="C51" s="212"/>
      <c r="D51" s="212"/>
      <c r="E51" s="212"/>
      <c r="F51" s="212"/>
    </row>
    <row r="52" spans="1:6" x14ac:dyDescent="0.6">
      <c r="A52" s="114"/>
      <c r="C52" s="206" t="s">
        <v>135</v>
      </c>
      <c r="D52" s="206"/>
      <c r="E52" s="206"/>
      <c r="F52" s="206"/>
    </row>
    <row r="53" spans="1:6" x14ac:dyDescent="0.6">
      <c r="A53" s="114"/>
    </row>
    <row r="54" spans="1:6" x14ac:dyDescent="0.6">
      <c r="A54" s="114"/>
    </row>
    <row r="55" spans="1:6" x14ac:dyDescent="0.6">
      <c r="A55" s="114"/>
    </row>
  </sheetData>
  <mergeCells count="25">
    <mergeCell ref="G3:K3"/>
    <mergeCell ref="A24:F24"/>
    <mergeCell ref="D25:F25"/>
    <mergeCell ref="B44:D44"/>
    <mergeCell ref="E44:F44"/>
    <mergeCell ref="A30:F30"/>
    <mergeCell ref="G30:K30"/>
    <mergeCell ref="A42:E42"/>
    <mergeCell ref="A1:F1"/>
    <mergeCell ref="A2:F2"/>
    <mergeCell ref="A3:F3"/>
    <mergeCell ref="A28:F28"/>
    <mergeCell ref="A29:F29"/>
    <mergeCell ref="C52:F52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Compare for MLM</vt:lpstr>
      <vt:lpstr>2024</vt:lpstr>
      <vt:lpstr>2025</vt:lpstr>
      <vt:lpstr>2026</vt:lpstr>
      <vt:lpstr>2023</vt:lpstr>
      <vt:lpstr>2022</vt:lpstr>
      <vt:lpstr>ကောင်းကြည်</vt:lpstr>
      <vt:lpstr>Selling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moehninsoe99@gmail.com</dc:creator>
  <cp:lastModifiedBy>USER</cp:lastModifiedBy>
  <cp:lastPrinted>2024-12-02T02:06:03Z</cp:lastPrinted>
  <dcterms:created xsi:type="dcterms:W3CDTF">2024-12-02T01:38:36Z</dcterms:created>
  <dcterms:modified xsi:type="dcterms:W3CDTF">2026-03-04T03:25:15Z</dcterms:modified>
</cp:coreProperties>
</file>