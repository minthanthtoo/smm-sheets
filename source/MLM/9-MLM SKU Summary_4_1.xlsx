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o Sai-2025\Ko Sai Report Up\Ko Sai Sales 2026\"/>
    </mc:Choice>
  </mc:AlternateContent>
  <xr:revisionPtr revIDLastSave="0" documentId="13_ncr:1_{F40A2C85-586B-4521-A8AF-8BDD9D4176C7}" xr6:coauthVersionLast="47" xr6:coauthVersionMax="47" xr10:uidLastSave="{00000000-0000-0000-0000-000000000000}"/>
  <bookViews>
    <workbookView xWindow="0" yWindow="0" windowWidth="16920" windowHeight="15300" xr2:uid="{903E0C23-D154-48AD-94FD-6BFFF3B36A66}"/>
  </bookViews>
  <sheets>
    <sheet name="9-MLM (SKU)" sheetId="1" r:id="rId1"/>
  </sheets>
  <externalReferences>
    <externalReference r:id="rId2"/>
    <externalReference r:id="rId3"/>
  </externalReferences>
  <definedNames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a" localSheetId="0">#REF!</definedName>
    <definedName name="aaaaa">#REF!</definedName>
    <definedName name="aaaaaaa" localSheetId="0">#REF!</definedName>
    <definedName name="aaaaaaa">#REF!</definedName>
    <definedName name="asd">'[1]Market ( Mar) '!#REF!</definedName>
    <definedName name="atr" localSheetId="0">#REF!</definedName>
    <definedName name="atr">#REF!</definedName>
    <definedName name="b" localSheetId="0">#REF!</definedName>
    <definedName name="b">#REF!</definedName>
    <definedName name="bb" localSheetId="0">#REF!</definedName>
    <definedName name="bb">#REF!</definedName>
    <definedName name="Beg_Bal" localSheetId="0">#REF!</definedName>
    <definedName name="Beg_Bal">#REF!</definedName>
    <definedName name="Cash_Cr" localSheetId="0">#REF!</definedName>
    <definedName name="Cash_Cr">#REF!</definedName>
    <definedName name="Cash_Dr" localSheetId="0">#REF!</definedName>
    <definedName name="Cash_Dr">#REF!</definedName>
    <definedName name="cc" localSheetId="0">#REF!</definedName>
    <definedName name="cc">#REF!</definedName>
    <definedName name="ccc" localSheetId="0">#REF!</definedName>
    <definedName name="ccc">#REF!</definedName>
    <definedName name="cft">#REF!</definedName>
    <definedName name="cr" localSheetId="0">#REF!</definedName>
    <definedName name="cr">#REF!</definedName>
    <definedName name="crs" localSheetId="0">#REF!</definedName>
    <definedName name="crs">#REF!</definedName>
    <definedName name="cvvvv" localSheetId="0">#REF!</definedName>
    <definedName name="cvvvv">#REF!</definedName>
    <definedName name="cwer">#REF!</definedName>
    <definedName name="Data" localSheetId="0">#REF!</definedName>
    <definedName name="Data">#REF!</definedName>
    <definedName name="dd" localSheetId="0">#REF!</definedName>
    <definedName name="dd">#REF!</definedName>
    <definedName name="ddd" localSheetId="0">#REF!</definedName>
    <definedName name="ddd">#REF!</definedName>
    <definedName name="dddd" localSheetId="0">#N/A</definedName>
    <definedName name="dddd">OFFSET(Full_Print,0,0,Last_Row)</definedName>
    <definedName name="dr" localSheetId="0">#REF!</definedName>
    <definedName name="dr">#REF!</definedName>
    <definedName name="drs" localSheetId="0">#REF!</definedName>
    <definedName name="drs">#REF!</definedName>
    <definedName name="dsfas" localSheetId="0">#REF!</definedName>
    <definedName name="dsfas">#REF!</definedName>
    <definedName name="eeee" localSheetId="0">#REF!</definedName>
    <definedName name="eeee">#REF!</definedName>
    <definedName name="eeeee">'[1]Market ( Mar) '!#REF!</definedName>
    <definedName name="End_Bal" localSheetId="0">#REF!</definedName>
    <definedName name="End_Bal">#REF!</definedName>
    <definedName name="Extra_Pay" localSheetId="0">#REF!</definedName>
    <definedName name="Extra_Pay">#REF!</definedName>
    <definedName name="fgf" localSheetId="0">#REF!</definedName>
    <definedName name="fgf">#REF!</definedName>
    <definedName name="fgjhj" localSheetId="0">#REF!</definedName>
    <definedName name="fgjhj">#REF!</definedName>
    <definedName name="ftyu">#REF!</definedName>
    <definedName name="Full_Print" localSheetId="0">#REF!</definedName>
    <definedName name="Full_Print">#REF!</definedName>
    <definedName name="fusales4">#REF!</definedName>
    <definedName name="gg">#REF!</definedName>
    <definedName name="gggggg">#REF!</definedName>
    <definedName name="Header_Row" localSheetId="0">ROW(#REF!)</definedName>
    <definedName name="Header_Row">ROW(#REF!)</definedName>
    <definedName name="hjj" localSheetId="0">#REF!</definedName>
    <definedName name="hjj">#REF!</definedName>
    <definedName name="hjjj">#REF!</definedName>
    <definedName name="hjkjk" localSheetId="0">#REF!</definedName>
    <definedName name="hjkjk">#REF!</definedName>
    <definedName name="hmjhj" localSheetId="0">#REF!</definedName>
    <definedName name="hmjhj">#REF!</definedName>
    <definedName name="ii" localSheetId="0">#REF!</definedName>
    <definedName name="ii">#REF!</definedName>
    <definedName name="III" localSheetId="0">#REF!</definedName>
    <definedName name="III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jbkjkl" localSheetId="0">#REF!</definedName>
    <definedName name="jbkjkl">#REF!</definedName>
    <definedName name="Journal_Cr" localSheetId="0">#REF!</definedName>
    <definedName name="Journal_Cr">#REF!</definedName>
    <definedName name="Journal_Dr" localSheetId="0">#REF!</definedName>
    <definedName name="Journal_Dr">#REF!</definedName>
    <definedName name="kdt" localSheetId="0">#REF!</definedName>
    <definedName name="kdt">#REF!</definedName>
    <definedName name="kk">IF(Loan_Amount*Interest_Rate*Loan_Years*Loan_Start&gt;0,1,0)</definedName>
    <definedName name="kluyufuf">#REF!</definedName>
    <definedName name="Last_Row" localSheetId="0">IF('9-MLM (SKU)'!Values_Entered,'9-MLM (SKU)'!Header_Row+'9-MLM (SKU)'!Number_of_Payments,'9-MLM (SKU)'!Header_Row)</definedName>
    <definedName name="Last_Row">IF(Values_Entered,Header_Row+Number_of_Payments,Header_Row)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SO" localSheetId="0">#REF!</definedName>
    <definedName name="LSO">#REF!</definedName>
    <definedName name="lsoq" localSheetId="0">#REF!</definedName>
    <definedName name="lsoq">#REF!</definedName>
    <definedName name="lsoq1">#REF!</definedName>
    <definedName name="mmmkk">#REF!</definedName>
    <definedName name="mms" localSheetId="0">#REF!</definedName>
    <definedName name="mms">#REF!</definedName>
    <definedName name="neew" localSheetId="0">#REF!</definedName>
    <definedName name="neew">#REF!</definedName>
    <definedName name="New" localSheetId="0">#REF!</definedName>
    <definedName name="New">#REF!</definedName>
    <definedName name="NOV" localSheetId="0">#REF!</definedName>
    <definedName name="NOV">#REF!</definedName>
    <definedName name="Num_Pmt_Per_Year" localSheetId="0">#REF!</definedName>
    <definedName name="Num_Pmt_Per_Year">#REF!</definedName>
    <definedName name="Number_of_Payments" localSheetId="0">MATCH(0.01,'9-MLM (SKU)'!End_Bal,-1)+1</definedName>
    <definedName name="Number_of_Payments">MATCH(0.01,End_Bal,-1)+1</definedName>
    <definedName name="ooo" localSheetId="0">#REF!</definedName>
    <definedName name="ooo">#REF!</definedName>
    <definedName name="Opening_Cr" localSheetId="0">#REF!</definedName>
    <definedName name="Opening_Cr">#REF!</definedName>
    <definedName name="Opening_Dr" localSheetId="0">#REF!</definedName>
    <definedName name="Opening_Dr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DATE(YEAR('9-MLM (SKU)'!Loan_Start),MONTH('9-MLM (SKU)'!Loan_Start)+Payment_Number,DAY('9-MLM (SKU)'!Loan_Start))</definedName>
    <definedName name="Payment_Date">DATE(YEAR(Loan_Start),MONTH(Loan_Start)+Payment_Number,DAY(Loan_Start))</definedName>
    <definedName name="Princ" localSheetId="0">#REF!</definedName>
    <definedName name="Princ">#REF!</definedName>
    <definedName name="princeee">#REF!</definedName>
    <definedName name="_xlnm.Print_Area" localSheetId="0">'9-MLM (SKU)'!#REF!</definedName>
    <definedName name="Print_Area_Reset" localSheetId="0">OFFSET('9-MLM (SKU)'!Full_Print,0,0,'9-MLM (SKU)'!Last_Row)</definedName>
    <definedName name="Print_Area_Reset">OFFSET(Full_Print,0,0,Last_Row)</definedName>
    <definedName name="qqqqqq" localSheetId="0">#REF!</definedName>
    <definedName name="qqqqqq">#REF!</definedName>
    <definedName name="Rate">#REF!</definedName>
    <definedName name="rty">#REF!</definedName>
    <definedName name="s" localSheetId="0">#REF!</definedName>
    <definedName name="s">#REF!</definedName>
    <definedName name="Salees">#REF!</definedName>
    <definedName name="sales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mm" localSheetId="0">#REF!</definedName>
    <definedName name="smm">#REF!</definedName>
    <definedName name="smmm">'[1]Market ( Mar) '!#REF!</definedName>
    <definedName name="tdk" localSheetId="0">#REF!</definedName>
    <definedName name="tdk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uuu" localSheetId="0">#REF!</definedName>
    <definedName name="uuu">#REF!</definedName>
    <definedName name="Values_Entered" localSheetId="0">IF('9-MLM (SKU)'!Loan_Amount*'9-MLM (SKU)'!Interest_Rate*'9-MLM (SKU)'!Loan_Years*'9-MLM (SKU)'!Loan_Start&gt;0,1,0)</definedName>
    <definedName name="Values_Entered">IF(Loan_Amount*Interest_Rate*Loan_Years*Loan_Start&gt;0,1,0)</definedName>
    <definedName name="vkhfkgf" localSheetId="0">#REF!</definedName>
    <definedName name="vkhfkgf">#REF!</definedName>
    <definedName name="wert">#REF!</definedName>
    <definedName name="xdfrg" localSheetId="0">#REF!</definedName>
    <definedName name="xdfrg">#REF!</definedName>
    <definedName name="y" localSheetId="0">#REF!</definedName>
    <definedName name="y">#REF!</definedName>
    <definedName name="yhhg123" localSheetId="0">IF(Values_Entered,'9-MLM (SKU)'!Header_Row+Number_of_Payments,'9-MLM (SKU)'!Header_Row)</definedName>
    <definedName name="yhhg123">#N/A</definedName>
    <definedName name="YMO4">#REF!</definedName>
    <definedName name="YMO5">#REF!</definedName>
    <definedName name="Ymowy">#REF!</definedName>
    <definedName name="yy" localSheetId="0">#REF!</definedName>
    <definedName name="yy">#REF!</definedName>
    <definedName name="yyyyy" localSheetId="0">#REF!</definedName>
    <definedName name="yyyyy">#REF!</definedName>
    <definedName name="zx" localSheetId="0">#REF!</definedName>
    <definedName name="zx">#REF!</definedName>
    <definedName name="zxz" localSheetId="0">#REF!</definedName>
    <definedName name="zx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5" i="1" l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4" i="1" l="1"/>
  <c r="EG4" i="1" s="1"/>
  <c r="CI146" i="1"/>
  <c r="CK146" i="1"/>
  <c r="CM146" i="1"/>
  <c r="CO146" i="1"/>
  <c r="CQ146" i="1"/>
  <c r="CS146" i="1"/>
  <c r="CU146" i="1"/>
  <c r="CW146" i="1"/>
  <c r="CY146" i="1"/>
  <c r="DA146" i="1"/>
  <c r="DC146" i="1"/>
  <c r="DE146" i="1"/>
  <c r="DF146" i="1"/>
  <c r="DG146" i="1"/>
  <c r="DI146" i="1"/>
  <c r="DK146" i="1"/>
  <c r="DM146" i="1"/>
  <c r="DO146" i="1"/>
  <c r="DQ146" i="1"/>
  <c r="DS146" i="1"/>
  <c r="DU146" i="1"/>
  <c r="DW146" i="1"/>
  <c r="DY146" i="1"/>
  <c r="EA146" i="1"/>
  <c r="EC146" i="1"/>
  <c r="EE146" i="1"/>
  <c r="EF146" i="1"/>
  <c r="EG146" i="1" s="1"/>
  <c r="DK5" i="1" l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K113" i="1"/>
  <c r="DK114" i="1"/>
  <c r="DK115" i="1"/>
  <c r="DK116" i="1"/>
  <c r="DK117" i="1"/>
  <c r="DK118" i="1"/>
  <c r="DK119" i="1"/>
  <c r="DK120" i="1"/>
  <c r="DK121" i="1"/>
  <c r="DK122" i="1"/>
  <c r="DK123" i="1"/>
  <c r="DK124" i="1"/>
  <c r="DK127" i="1"/>
  <c r="DK128" i="1"/>
  <c r="DK129" i="1"/>
  <c r="DK130" i="1"/>
  <c r="DK131" i="1"/>
  <c r="DK132" i="1"/>
  <c r="DK133" i="1"/>
  <c r="DK134" i="1"/>
  <c r="DK135" i="1"/>
  <c r="DK136" i="1"/>
  <c r="DK137" i="1"/>
  <c r="DK138" i="1"/>
  <c r="DK139" i="1"/>
  <c r="DK142" i="1"/>
  <c r="DK143" i="1"/>
  <c r="DK144" i="1"/>
  <c r="DK145" i="1"/>
  <c r="DK147" i="1"/>
  <c r="DK4" i="1"/>
  <c r="DK148" i="1" l="1"/>
  <c r="EG120" i="1"/>
  <c r="EG121" i="1"/>
  <c r="EG122" i="1"/>
  <c r="EE120" i="1"/>
  <c r="EE121" i="1"/>
  <c r="EE122" i="1"/>
  <c r="EE119" i="1"/>
  <c r="EC119" i="1"/>
  <c r="EC120" i="1"/>
  <c r="EC121" i="1"/>
  <c r="EC122" i="1"/>
  <c r="EC123" i="1"/>
  <c r="EC124" i="1"/>
  <c r="EC127" i="1"/>
  <c r="EC128" i="1"/>
  <c r="EC129" i="1"/>
  <c r="EA120" i="1"/>
  <c r="EA121" i="1"/>
  <c r="EA122" i="1"/>
  <c r="DY120" i="1"/>
  <c r="DY121" i="1"/>
  <c r="DY122" i="1"/>
  <c r="DW120" i="1"/>
  <c r="DW121" i="1"/>
  <c r="DW122" i="1"/>
  <c r="DU120" i="1"/>
  <c r="DU121" i="1"/>
  <c r="DU122" i="1"/>
  <c r="DS120" i="1"/>
  <c r="DS121" i="1"/>
  <c r="DS122" i="1"/>
  <c r="DO119" i="1"/>
  <c r="DO120" i="1"/>
  <c r="DO121" i="1"/>
  <c r="DO122" i="1"/>
  <c r="DO123" i="1"/>
  <c r="DO124" i="1"/>
  <c r="DO127" i="1"/>
  <c r="DO128" i="1"/>
  <c r="DO129" i="1"/>
  <c r="DM119" i="1"/>
  <c r="DM120" i="1"/>
  <c r="DM121" i="1"/>
  <c r="DM122" i="1"/>
  <c r="DM123" i="1"/>
  <c r="DM124" i="1"/>
  <c r="DM127" i="1"/>
  <c r="DM128" i="1"/>
  <c r="DM129" i="1"/>
  <c r="DI119" i="1"/>
  <c r="DI120" i="1"/>
  <c r="DI121" i="1"/>
  <c r="DI122" i="1"/>
  <c r="DI123" i="1"/>
  <c r="DI124" i="1"/>
  <c r="DI127" i="1"/>
  <c r="DI128" i="1"/>
  <c r="DI129" i="1"/>
  <c r="DF120" i="1"/>
  <c r="DG120" i="1" s="1"/>
  <c r="DF121" i="1"/>
  <c r="DG121" i="1" s="1"/>
  <c r="DF122" i="1"/>
  <c r="DG122" i="1" s="1"/>
  <c r="DE120" i="1"/>
  <c r="DE121" i="1"/>
  <c r="DE122" i="1"/>
  <c r="DC119" i="1"/>
  <c r="DC120" i="1"/>
  <c r="DC121" i="1"/>
  <c r="DC122" i="1"/>
  <c r="DC123" i="1"/>
  <c r="DC124" i="1"/>
  <c r="DC127" i="1"/>
  <c r="DC128" i="1"/>
  <c r="DC129" i="1"/>
  <c r="DA120" i="1"/>
  <c r="DA121" i="1"/>
  <c r="DA122" i="1"/>
  <c r="CY120" i="1"/>
  <c r="CY121" i="1"/>
  <c r="CY122" i="1"/>
  <c r="CW120" i="1"/>
  <c r="CW121" i="1"/>
  <c r="CW122" i="1"/>
  <c r="CU120" i="1"/>
  <c r="CU121" i="1"/>
  <c r="CU122" i="1"/>
  <c r="CS120" i="1"/>
  <c r="CS121" i="1"/>
  <c r="CS122" i="1"/>
  <c r="CQ120" i="1"/>
  <c r="CQ121" i="1"/>
  <c r="CQ122" i="1"/>
  <c r="CO119" i="1"/>
  <c r="CO120" i="1"/>
  <c r="CO121" i="1"/>
  <c r="CO122" i="1"/>
  <c r="CO123" i="1"/>
  <c r="CO124" i="1"/>
  <c r="CO127" i="1"/>
  <c r="CO128" i="1"/>
  <c r="CO129" i="1"/>
  <c r="CM119" i="1"/>
  <c r="CM120" i="1"/>
  <c r="CM121" i="1"/>
  <c r="CM122" i="1"/>
  <c r="CM123" i="1"/>
  <c r="CM124" i="1"/>
  <c r="CM127" i="1"/>
  <c r="CM128" i="1"/>
  <c r="CM129" i="1"/>
  <c r="CK119" i="1"/>
  <c r="CK120" i="1"/>
  <c r="CK121" i="1"/>
  <c r="CK122" i="1"/>
  <c r="CK123" i="1"/>
  <c r="CK124" i="1"/>
  <c r="CK127" i="1"/>
  <c r="CK128" i="1"/>
  <c r="CK129" i="1"/>
  <c r="CI119" i="1"/>
  <c r="CI120" i="1"/>
  <c r="CI121" i="1"/>
  <c r="CI122" i="1"/>
  <c r="CI123" i="1"/>
  <c r="CI124" i="1"/>
  <c r="CI127" i="1"/>
  <c r="CI128" i="1"/>
  <c r="CI129" i="1"/>
  <c r="CF116" i="1"/>
  <c r="CG116" i="1" s="1"/>
  <c r="CF117" i="1"/>
  <c r="CG117" i="1" s="1"/>
  <c r="CF118" i="1"/>
  <c r="CG118" i="1" s="1"/>
  <c r="CF119" i="1"/>
  <c r="CG119" i="1" s="1"/>
  <c r="CF120" i="1"/>
  <c r="CG120" i="1" s="1"/>
  <c r="CF121" i="1"/>
  <c r="CG121" i="1" s="1"/>
  <c r="CF122" i="1"/>
  <c r="CG122" i="1" s="1"/>
  <c r="CF123" i="1"/>
  <c r="CG123" i="1" s="1"/>
  <c r="CF124" i="1"/>
  <c r="CG124" i="1" s="1"/>
  <c r="CF127" i="1"/>
  <c r="CG127" i="1" s="1"/>
  <c r="CF128" i="1"/>
  <c r="CG128" i="1" s="1"/>
  <c r="CF129" i="1"/>
  <c r="CG129" i="1" s="1"/>
  <c r="CE116" i="1"/>
  <c r="CE117" i="1"/>
  <c r="CE118" i="1"/>
  <c r="CE119" i="1"/>
  <c r="CE120" i="1"/>
  <c r="CE121" i="1"/>
  <c r="CE122" i="1"/>
  <c r="CE123" i="1"/>
  <c r="CE124" i="1"/>
  <c r="CE127" i="1"/>
  <c r="CE128" i="1"/>
  <c r="CE129" i="1"/>
  <c r="CC116" i="1"/>
  <c r="CC117" i="1"/>
  <c r="CC118" i="1"/>
  <c r="CC119" i="1"/>
  <c r="CC120" i="1"/>
  <c r="CC121" i="1"/>
  <c r="CC122" i="1"/>
  <c r="CC123" i="1"/>
  <c r="CC124" i="1"/>
  <c r="CC127" i="1"/>
  <c r="CC128" i="1"/>
  <c r="CC129" i="1"/>
  <c r="CA116" i="1"/>
  <c r="CA117" i="1"/>
  <c r="CA118" i="1"/>
  <c r="CA119" i="1"/>
  <c r="CA120" i="1"/>
  <c r="CA121" i="1"/>
  <c r="CA122" i="1"/>
  <c r="CA123" i="1"/>
  <c r="CA124" i="1"/>
  <c r="CA127" i="1"/>
  <c r="CA128" i="1"/>
  <c r="CA129" i="1"/>
  <c r="BY116" i="1"/>
  <c r="BY117" i="1"/>
  <c r="BY118" i="1"/>
  <c r="BY119" i="1"/>
  <c r="BY120" i="1"/>
  <c r="BY121" i="1"/>
  <c r="BY122" i="1"/>
  <c r="BY123" i="1"/>
  <c r="BY124" i="1"/>
  <c r="BY127" i="1"/>
  <c r="BY128" i="1"/>
  <c r="BY129" i="1"/>
  <c r="BW116" i="1"/>
  <c r="BW117" i="1"/>
  <c r="BW118" i="1"/>
  <c r="BW119" i="1"/>
  <c r="BW120" i="1"/>
  <c r="BW121" i="1"/>
  <c r="BW122" i="1"/>
  <c r="BW123" i="1"/>
  <c r="BW124" i="1"/>
  <c r="BW127" i="1"/>
  <c r="BW128" i="1"/>
  <c r="BW129" i="1"/>
  <c r="BU116" i="1"/>
  <c r="BU117" i="1"/>
  <c r="BU118" i="1"/>
  <c r="BU119" i="1"/>
  <c r="BU120" i="1"/>
  <c r="BU121" i="1"/>
  <c r="BU122" i="1"/>
  <c r="BU123" i="1"/>
  <c r="BU124" i="1"/>
  <c r="BU127" i="1"/>
  <c r="BU128" i="1"/>
  <c r="BU129" i="1"/>
  <c r="BS116" i="1"/>
  <c r="BS117" i="1"/>
  <c r="BS118" i="1"/>
  <c r="BS119" i="1"/>
  <c r="BS120" i="1"/>
  <c r="BS121" i="1"/>
  <c r="BS122" i="1"/>
  <c r="BS123" i="1"/>
  <c r="BS124" i="1"/>
  <c r="BS127" i="1"/>
  <c r="BS128" i="1"/>
  <c r="BS129" i="1"/>
  <c r="BQ116" i="1"/>
  <c r="BQ117" i="1"/>
  <c r="BQ118" i="1"/>
  <c r="BQ119" i="1"/>
  <c r="BQ120" i="1"/>
  <c r="BQ121" i="1"/>
  <c r="BQ122" i="1"/>
  <c r="BQ123" i="1"/>
  <c r="BQ124" i="1"/>
  <c r="BQ127" i="1"/>
  <c r="BQ128" i="1"/>
  <c r="BQ129" i="1"/>
  <c r="BO116" i="1"/>
  <c r="BO117" i="1"/>
  <c r="BO118" i="1"/>
  <c r="BO119" i="1"/>
  <c r="BO120" i="1"/>
  <c r="BO121" i="1"/>
  <c r="BO122" i="1"/>
  <c r="BO123" i="1"/>
  <c r="BO124" i="1"/>
  <c r="BO127" i="1"/>
  <c r="BO128" i="1"/>
  <c r="BO129" i="1"/>
  <c r="BM116" i="1"/>
  <c r="BM117" i="1"/>
  <c r="BM118" i="1"/>
  <c r="BM119" i="1"/>
  <c r="BM120" i="1"/>
  <c r="BM121" i="1"/>
  <c r="BM122" i="1"/>
  <c r="BM123" i="1"/>
  <c r="BM124" i="1"/>
  <c r="BM127" i="1"/>
  <c r="BM128" i="1"/>
  <c r="BM129" i="1"/>
  <c r="BK116" i="1"/>
  <c r="BK117" i="1"/>
  <c r="BK118" i="1"/>
  <c r="BK119" i="1"/>
  <c r="BK120" i="1"/>
  <c r="BK121" i="1"/>
  <c r="BK122" i="1"/>
  <c r="BK123" i="1"/>
  <c r="BK124" i="1"/>
  <c r="BK127" i="1"/>
  <c r="BK128" i="1"/>
  <c r="BK129" i="1"/>
  <c r="BI116" i="1"/>
  <c r="BI117" i="1"/>
  <c r="BI118" i="1"/>
  <c r="BI119" i="1"/>
  <c r="BI120" i="1"/>
  <c r="BI121" i="1"/>
  <c r="BI122" i="1"/>
  <c r="BI123" i="1"/>
  <c r="BI124" i="1"/>
  <c r="BI127" i="1"/>
  <c r="BI128" i="1"/>
  <c r="BI129" i="1"/>
  <c r="BF116" i="1" l="1"/>
  <c r="BG116" i="1" s="1"/>
  <c r="BF117" i="1"/>
  <c r="BG117" i="1" s="1"/>
  <c r="BF118" i="1"/>
  <c r="BG118" i="1" s="1"/>
  <c r="BF119" i="1"/>
  <c r="BG119" i="1" s="1"/>
  <c r="BF120" i="1"/>
  <c r="BG120" i="1" s="1"/>
  <c r="BF121" i="1"/>
  <c r="BG121" i="1" s="1"/>
  <c r="BF122" i="1"/>
  <c r="BG122" i="1" s="1"/>
  <c r="BF123" i="1"/>
  <c r="BG123" i="1" s="1"/>
  <c r="BF124" i="1"/>
  <c r="BG124" i="1" s="1"/>
  <c r="BF127" i="1"/>
  <c r="BG127" i="1" s="1"/>
  <c r="BF128" i="1"/>
  <c r="BG128" i="1" s="1"/>
  <c r="BF129" i="1"/>
  <c r="BG129" i="1" s="1"/>
  <c r="BE116" i="1"/>
  <c r="BE117" i="1"/>
  <c r="BE118" i="1"/>
  <c r="BE119" i="1"/>
  <c r="BE120" i="1"/>
  <c r="BE121" i="1"/>
  <c r="BE122" i="1"/>
  <c r="BE123" i="1"/>
  <c r="BE124" i="1"/>
  <c r="BE127" i="1"/>
  <c r="BE128" i="1"/>
  <c r="BE129" i="1"/>
  <c r="BC116" i="1"/>
  <c r="BC117" i="1"/>
  <c r="BC118" i="1"/>
  <c r="BC119" i="1"/>
  <c r="BC120" i="1"/>
  <c r="BC121" i="1"/>
  <c r="BC122" i="1"/>
  <c r="BC123" i="1"/>
  <c r="BC124" i="1"/>
  <c r="BC127" i="1"/>
  <c r="BC128" i="1"/>
  <c r="BC129" i="1"/>
  <c r="BC115" i="1"/>
  <c r="BA116" i="1"/>
  <c r="BA117" i="1"/>
  <c r="BA118" i="1"/>
  <c r="BA119" i="1"/>
  <c r="BA120" i="1"/>
  <c r="BA121" i="1"/>
  <c r="BA122" i="1"/>
  <c r="BA123" i="1"/>
  <c r="BA124" i="1"/>
  <c r="BA127" i="1"/>
  <c r="BA128" i="1"/>
  <c r="BA129" i="1"/>
  <c r="AY116" i="1"/>
  <c r="AY117" i="1"/>
  <c r="AY118" i="1"/>
  <c r="AY119" i="1"/>
  <c r="AY120" i="1"/>
  <c r="AY121" i="1"/>
  <c r="AY122" i="1"/>
  <c r="AY123" i="1"/>
  <c r="AY124" i="1"/>
  <c r="AY127" i="1"/>
  <c r="AY128" i="1"/>
  <c r="AY129" i="1"/>
  <c r="AW116" i="1"/>
  <c r="AW117" i="1"/>
  <c r="AW118" i="1"/>
  <c r="AW119" i="1"/>
  <c r="AW120" i="1"/>
  <c r="AW121" i="1"/>
  <c r="AW122" i="1"/>
  <c r="AW123" i="1"/>
  <c r="AW124" i="1"/>
  <c r="AW127" i="1"/>
  <c r="AW128" i="1"/>
  <c r="AW129" i="1"/>
  <c r="AU116" i="1"/>
  <c r="AU117" i="1"/>
  <c r="AU118" i="1"/>
  <c r="AU119" i="1"/>
  <c r="AU120" i="1"/>
  <c r="AU121" i="1"/>
  <c r="AU122" i="1"/>
  <c r="AU123" i="1"/>
  <c r="AU124" i="1"/>
  <c r="AU127" i="1"/>
  <c r="AU128" i="1"/>
  <c r="AU129" i="1"/>
  <c r="AS116" i="1"/>
  <c r="AS117" i="1"/>
  <c r="AS118" i="1"/>
  <c r="AS119" i="1"/>
  <c r="AS120" i="1"/>
  <c r="AS121" i="1"/>
  <c r="AS122" i="1"/>
  <c r="AS123" i="1"/>
  <c r="AS124" i="1"/>
  <c r="AS127" i="1"/>
  <c r="AS128" i="1"/>
  <c r="AS129" i="1"/>
  <c r="AQ116" i="1"/>
  <c r="AQ117" i="1"/>
  <c r="AQ118" i="1"/>
  <c r="AQ119" i="1"/>
  <c r="AQ120" i="1"/>
  <c r="AQ121" i="1"/>
  <c r="AQ122" i="1"/>
  <c r="AQ123" i="1"/>
  <c r="AQ124" i="1"/>
  <c r="AQ127" i="1"/>
  <c r="AQ128" i="1"/>
  <c r="AQ129" i="1"/>
  <c r="AO116" i="1"/>
  <c r="AO117" i="1"/>
  <c r="AO118" i="1"/>
  <c r="AO119" i="1"/>
  <c r="AO120" i="1"/>
  <c r="AO121" i="1"/>
  <c r="AO122" i="1"/>
  <c r="AO123" i="1"/>
  <c r="AO124" i="1"/>
  <c r="AO127" i="1"/>
  <c r="AO128" i="1"/>
  <c r="AO129" i="1"/>
  <c r="AM116" i="1"/>
  <c r="AM117" i="1"/>
  <c r="AM118" i="1"/>
  <c r="AM119" i="1"/>
  <c r="AM120" i="1"/>
  <c r="AM121" i="1"/>
  <c r="AM122" i="1"/>
  <c r="AM123" i="1"/>
  <c r="AM124" i="1"/>
  <c r="AM127" i="1"/>
  <c r="AM128" i="1"/>
  <c r="AM129" i="1"/>
  <c r="AK116" i="1"/>
  <c r="AK117" i="1"/>
  <c r="AK118" i="1"/>
  <c r="AK119" i="1"/>
  <c r="AK120" i="1"/>
  <c r="AK121" i="1"/>
  <c r="AK122" i="1"/>
  <c r="AK123" i="1"/>
  <c r="AK124" i="1"/>
  <c r="AK127" i="1"/>
  <c r="AK128" i="1"/>
  <c r="AK129" i="1"/>
  <c r="AI116" i="1"/>
  <c r="AI117" i="1"/>
  <c r="AI118" i="1"/>
  <c r="AI119" i="1"/>
  <c r="AI120" i="1"/>
  <c r="AI121" i="1"/>
  <c r="AI122" i="1"/>
  <c r="AI123" i="1"/>
  <c r="AI124" i="1"/>
  <c r="AI127" i="1"/>
  <c r="AI128" i="1"/>
  <c r="AI129" i="1"/>
  <c r="AI130" i="1"/>
  <c r="AF116" i="1"/>
  <c r="AG116" i="1" s="1"/>
  <c r="AF117" i="1"/>
  <c r="AG117" i="1" s="1"/>
  <c r="AF118" i="1"/>
  <c r="AG118" i="1" s="1"/>
  <c r="AF119" i="1"/>
  <c r="AG119" i="1" s="1"/>
  <c r="AF120" i="1"/>
  <c r="AG120" i="1" s="1"/>
  <c r="AF121" i="1"/>
  <c r="AG121" i="1" s="1"/>
  <c r="AF122" i="1"/>
  <c r="AG122" i="1" s="1"/>
  <c r="AF123" i="1"/>
  <c r="AG123" i="1" s="1"/>
  <c r="AF124" i="1"/>
  <c r="AG124" i="1" s="1"/>
  <c r="AF127" i="1"/>
  <c r="AG127" i="1" s="1"/>
  <c r="AF128" i="1"/>
  <c r="AG128" i="1" s="1"/>
  <c r="AF129" i="1"/>
  <c r="AG129" i="1" s="1"/>
  <c r="AF130" i="1"/>
  <c r="AG130" i="1" s="1"/>
  <c r="AE116" i="1"/>
  <c r="DQ116" i="1" s="1"/>
  <c r="AE117" i="1"/>
  <c r="DQ117" i="1" s="1"/>
  <c r="AE118" i="1"/>
  <c r="DQ118" i="1" s="1"/>
  <c r="AE119" i="1"/>
  <c r="DQ119" i="1" s="1"/>
  <c r="AE120" i="1"/>
  <c r="DQ120" i="1" s="1"/>
  <c r="AE121" i="1"/>
  <c r="DQ121" i="1" s="1"/>
  <c r="AE122" i="1"/>
  <c r="DQ122" i="1" s="1"/>
  <c r="AE123" i="1"/>
  <c r="DQ123" i="1" s="1"/>
  <c r="AE124" i="1"/>
  <c r="DQ124" i="1" s="1"/>
  <c r="AE127" i="1"/>
  <c r="DQ127" i="1" s="1"/>
  <c r="AE128" i="1"/>
  <c r="DQ128" i="1" s="1"/>
  <c r="AE129" i="1"/>
  <c r="DQ129" i="1" s="1"/>
  <c r="AE130" i="1"/>
  <c r="AC116" i="1"/>
  <c r="AC117" i="1"/>
  <c r="AC118" i="1"/>
  <c r="AC119" i="1"/>
  <c r="AC120" i="1"/>
  <c r="AC121" i="1"/>
  <c r="AC122" i="1"/>
  <c r="AC123" i="1"/>
  <c r="AC124" i="1"/>
  <c r="AC127" i="1"/>
  <c r="AC128" i="1"/>
  <c r="AC129" i="1"/>
  <c r="AC130" i="1"/>
  <c r="AA116" i="1"/>
  <c r="AA117" i="1"/>
  <c r="AA118" i="1"/>
  <c r="AA119" i="1"/>
  <c r="AA120" i="1"/>
  <c r="AA121" i="1"/>
  <c r="AA122" i="1"/>
  <c r="AA123" i="1"/>
  <c r="AA124" i="1"/>
  <c r="AA127" i="1"/>
  <c r="AA128" i="1"/>
  <c r="AA129" i="1"/>
  <c r="AA130" i="1"/>
  <c r="Y116" i="1"/>
  <c r="Y117" i="1"/>
  <c r="Y118" i="1"/>
  <c r="Y119" i="1"/>
  <c r="Y120" i="1"/>
  <c r="Y121" i="1"/>
  <c r="Y122" i="1"/>
  <c r="Y123" i="1"/>
  <c r="Y124" i="1"/>
  <c r="Y127" i="1"/>
  <c r="Y128" i="1"/>
  <c r="Y129" i="1"/>
  <c r="W116" i="1"/>
  <c r="W117" i="1"/>
  <c r="W118" i="1"/>
  <c r="W119" i="1"/>
  <c r="W120" i="1"/>
  <c r="W121" i="1"/>
  <c r="W122" i="1"/>
  <c r="W123" i="1"/>
  <c r="W124" i="1"/>
  <c r="W127" i="1"/>
  <c r="W128" i="1"/>
  <c r="W129" i="1"/>
  <c r="U116" i="1"/>
  <c r="U117" i="1"/>
  <c r="U118" i="1"/>
  <c r="U119" i="1"/>
  <c r="U120" i="1"/>
  <c r="U121" i="1"/>
  <c r="U122" i="1"/>
  <c r="U123" i="1"/>
  <c r="U124" i="1"/>
  <c r="U127" i="1"/>
  <c r="U128" i="1"/>
  <c r="U129" i="1"/>
  <c r="S116" i="1"/>
  <c r="S117" i="1"/>
  <c r="S118" i="1"/>
  <c r="S119" i="1"/>
  <c r="S120" i="1"/>
  <c r="S121" i="1"/>
  <c r="S122" i="1"/>
  <c r="S123" i="1"/>
  <c r="S124" i="1"/>
  <c r="S127" i="1"/>
  <c r="S128" i="1"/>
  <c r="S129" i="1"/>
  <c r="Q116" i="1"/>
  <c r="Q117" i="1"/>
  <c r="Q118" i="1"/>
  <c r="Q119" i="1"/>
  <c r="Q120" i="1"/>
  <c r="Q121" i="1"/>
  <c r="Q122" i="1"/>
  <c r="Q123" i="1"/>
  <c r="Q124" i="1"/>
  <c r="Q127" i="1"/>
  <c r="Q128" i="1"/>
  <c r="Q129" i="1"/>
  <c r="O116" i="1"/>
  <c r="O117" i="1"/>
  <c r="O118" i="1"/>
  <c r="O119" i="1"/>
  <c r="O120" i="1"/>
  <c r="O121" i="1"/>
  <c r="O122" i="1"/>
  <c r="O123" i="1"/>
  <c r="O124" i="1"/>
  <c r="O127" i="1"/>
  <c r="O128" i="1"/>
  <c r="O129" i="1"/>
  <c r="M116" i="1"/>
  <c r="M117" i="1"/>
  <c r="M118" i="1"/>
  <c r="M119" i="1"/>
  <c r="M120" i="1"/>
  <c r="M121" i="1"/>
  <c r="M122" i="1"/>
  <c r="M123" i="1"/>
  <c r="M124" i="1"/>
  <c r="M127" i="1"/>
  <c r="M128" i="1"/>
  <c r="M129" i="1"/>
  <c r="M130" i="1"/>
  <c r="K114" i="1"/>
  <c r="K115" i="1"/>
  <c r="K116" i="1"/>
  <c r="K117" i="1"/>
  <c r="K118" i="1"/>
  <c r="K119" i="1"/>
  <c r="K120" i="1"/>
  <c r="K121" i="1"/>
  <c r="K122" i="1"/>
  <c r="K123" i="1"/>
  <c r="K124" i="1"/>
  <c r="K127" i="1"/>
  <c r="K128" i="1"/>
  <c r="K129" i="1"/>
  <c r="I115" i="1"/>
  <c r="I116" i="1"/>
  <c r="I117" i="1"/>
  <c r="I118" i="1"/>
  <c r="I119" i="1"/>
  <c r="I120" i="1"/>
  <c r="I121" i="1"/>
  <c r="I122" i="1"/>
  <c r="I123" i="1"/>
  <c r="I124" i="1"/>
  <c r="I127" i="1"/>
  <c r="I128" i="1"/>
  <c r="I129" i="1"/>
  <c r="I130" i="1"/>
  <c r="DO151" i="1"/>
  <c r="DO132" i="1"/>
  <c r="DO133" i="1"/>
  <c r="DO134" i="1"/>
  <c r="DO135" i="1"/>
  <c r="DO136" i="1"/>
  <c r="DO137" i="1"/>
  <c r="DO138" i="1"/>
  <c r="DO139" i="1"/>
  <c r="DO142" i="1"/>
  <c r="DO143" i="1"/>
  <c r="DO144" i="1"/>
  <c r="DO145" i="1"/>
  <c r="DO147" i="1"/>
  <c r="DO74" i="1"/>
  <c r="DO75" i="1"/>
  <c r="DO76" i="1"/>
  <c r="DO77" i="1"/>
  <c r="DO78" i="1"/>
  <c r="DO79" i="1"/>
  <c r="DO80" i="1"/>
  <c r="DO81" i="1"/>
  <c r="DO82" i="1"/>
  <c r="DO83" i="1"/>
  <c r="DO84" i="1"/>
  <c r="DO85" i="1"/>
  <c r="DO86" i="1"/>
  <c r="DO87" i="1"/>
  <c r="DO88" i="1"/>
  <c r="DO89" i="1"/>
  <c r="DO90" i="1"/>
  <c r="DO91" i="1"/>
  <c r="DO92" i="1"/>
  <c r="DO93" i="1"/>
  <c r="DO94" i="1"/>
  <c r="DO95" i="1"/>
  <c r="DO96" i="1"/>
  <c r="DO97" i="1"/>
  <c r="DO98" i="1"/>
  <c r="DO99" i="1"/>
  <c r="DO100" i="1"/>
  <c r="DO101" i="1"/>
  <c r="DO102" i="1"/>
  <c r="DO103" i="1"/>
  <c r="DO104" i="1"/>
  <c r="DO105" i="1"/>
  <c r="DO106" i="1"/>
  <c r="DO107" i="1"/>
  <c r="DO108" i="1"/>
  <c r="DO109" i="1"/>
  <c r="DO110" i="1"/>
  <c r="DO111" i="1"/>
  <c r="DO112" i="1"/>
  <c r="DO113" i="1"/>
  <c r="DO114" i="1"/>
  <c r="DO115" i="1"/>
  <c r="DO116" i="1"/>
  <c r="DO117" i="1"/>
  <c r="DO118" i="1"/>
  <c r="DO5" i="1"/>
  <c r="DO6" i="1"/>
  <c r="DO7" i="1"/>
  <c r="DO8" i="1"/>
  <c r="DO9" i="1"/>
  <c r="DO10" i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58" i="1"/>
  <c r="DO59" i="1"/>
  <c r="DO60" i="1"/>
  <c r="DO61" i="1"/>
  <c r="DO62" i="1"/>
  <c r="DO63" i="1"/>
  <c r="DO4" i="1"/>
  <c r="ED169" i="1"/>
  <c r="EB169" i="1"/>
  <c r="DZ169" i="1"/>
  <c r="DX169" i="1"/>
  <c r="DV169" i="1"/>
  <c r="DT169" i="1"/>
  <c r="DR169" i="1"/>
  <c r="DP169" i="1"/>
  <c r="DN169" i="1"/>
  <c r="DL169" i="1"/>
  <c r="DJ169" i="1"/>
  <c r="DH169" i="1"/>
  <c r="EF168" i="1"/>
  <c r="EG168" i="1" s="1"/>
  <c r="EE168" i="1"/>
  <c r="EC168" i="1"/>
  <c r="EA168" i="1"/>
  <c r="DY168" i="1"/>
  <c r="DW168" i="1"/>
  <c r="DU168" i="1"/>
  <c r="DS168" i="1"/>
  <c r="DQ168" i="1"/>
  <c r="DO168" i="1"/>
  <c r="DM168" i="1"/>
  <c r="DK168" i="1"/>
  <c r="DI168" i="1"/>
  <c r="EF167" i="1"/>
  <c r="EG167" i="1" s="1"/>
  <c r="EE167" i="1"/>
  <c r="EC167" i="1"/>
  <c r="EA167" i="1"/>
  <c r="DY167" i="1"/>
  <c r="DW167" i="1"/>
  <c r="DU167" i="1"/>
  <c r="DS167" i="1"/>
  <c r="DQ167" i="1"/>
  <c r="DO167" i="1"/>
  <c r="DM167" i="1"/>
  <c r="DK167" i="1"/>
  <c r="DI167" i="1"/>
  <c r="EF166" i="1"/>
  <c r="EG166" i="1" s="1"/>
  <c r="EE166" i="1"/>
  <c r="EC166" i="1"/>
  <c r="EA166" i="1"/>
  <c r="DY166" i="1"/>
  <c r="DW166" i="1"/>
  <c r="DU166" i="1"/>
  <c r="DS166" i="1"/>
  <c r="DQ166" i="1"/>
  <c r="DO166" i="1"/>
  <c r="DM166" i="1"/>
  <c r="DK166" i="1"/>
  <c r="DI166" i="1"/>
  <c r="EF165" i="1"/>
  <c r="EG165" i="1" s="1"/>
  <c r="EE165" i="1"/>
  <c r="EC165" i="1"/>
  <c r="EA165" i="1"/>
  <c r="DY165" i="1"/>
  <c r="DW165" i="1"/>
  <c r="DU165" i="1"/>
  <c r="DS165" i="1"/>
  <c r="DQ165" i="1"/>
  <c r="DO165" i="1"/>
  <c r="DM165" i="1"/>
  <c r="DK165" i="1"/>
  <c r="DI165" i="1"/>
  <c r="EF164" i="1"/>
  <c r="EG164" i="1" s="1"/>
  <c r="EE164" i="1"/>
  <c r="EC164" i="1"/>
  <c r="EA164" i="1"/>
  <c r="DY164" i="1"/>
  <c r="DW164" i="1"/>
  <c r="DU164" i="1"/>
  <c r="DS164" i="1"/>
  <c r="DQ164" i="1"/>
  <c r="DO164" i="1"/>
  <c r="DM164" i="1"/>
  <c r="DK164" i="1"/>
  <c r="DI164" i="1"/>
  <c r="EF163" i="1"/>
  <c r="EG163" i="1" s="1"/>
  <c r="EE163" i="1"/>
  <c r="EC163" i="1"/>
  <c r="EA163" i="1"/>
  <c r="DY163" i="1"/>
  <c r="DW163" i="1"/>
  <c r="DU163" i="1"/>
  <c r="DS163" i="1"/>
  <c r="DQ163" i="1"/>
  <c r="DO163" i="1"/>
  <c r="DM163" i="1"/>
  <c r="DK163" i="1"/>
  <c r="DI163" i="1"/>
  <c r="EF162" i="1"/>
  <c r="EG162" i="1" s="1"/>
  <c r="EE162" i="1"/>
  <c r="EC162" i="1"/>
  <c r="EA162" i="1"/>
  <c r="DY162" i="1"/>
  <c r="DW162" i="1"/>
  <c r="DU162" i="1"/>
  <c r="DS162" i="1"/>
  <c r="DQ162" i="1"/>
  <c r="DO162" i="1"/>
  <c r="DM162" i="1"/>
  <c r="DK162" i="1"/>
  <c r="DI162" i="1"/>
  <c r="EF161" i="1"/>
  <c r="EG161" i="1" s="1"/>
  <c r="EE161" i="1"/>
  <c r="EC161" i="1"/>
  <c r="EA161" i="1"/>
  <c r="DY161" i="1"/>
  <c r="DW161" i="1"/>
  <c r="DU161" i="1"/>
  <c r="DS161" i="1"/>
  <c r="DQ161" i="1"/>
  <c r="DO161" i="1"/>
  <c r="DM161" i="1"/>
  <c r="DK161" i="1"/>
  <c r="DI161" i="1"/>
  <c r="EF160" i="1"/>
  <c r="EG160" i="1" s="1"/>
  <c r="EE160" i="1"/>
  <c r="EC160" i="1"/>
  <c r="EA160" i="1"/>
  <c r="DY160" i="1"/>
  <c r="DW160" i="1"/>
  <c r="DU160" i="1"/>
  <c r="DS160" i="1"/>
  <c r="DQ160" i="1"/>
  <c r="DO160" i="1"/>
  <c r="DM160" i="1"/>
  <c r="DK160" i="1"/>
  <c r="DI160" i="1"/>
  <c r="EF159" i="1"/>
  <c r="EG159" i="1" s="1"/>
  <c r="EE159" i="1"/>
  <c r="EC159" i="1"/>
  <c r="EA159" i="1"/>
  <c r="DY159" i="1"/>
  <c r="DW159" i="1"/>
  <c r="DU159" i="1"/>
  <c r="DS159" i="1"/>
  <c r="DQ159" i="1"/>
  <c r="DO159" i="1"/>
  <c r="DM159" i="1"/>
  <c r="DK159" i="1"/>
  <c r="DI159" i="1"/>
  <c r="EF156" i="1"/>
  <c r="EG156" i="1" s="1"/>
  <c r="EE156" i="1"/>
  <c r="EC156" i="1"/>
  <c r="EA156" i="1"/>
  <c r="DY156" i="1"/>
  <c r="DW156" i="1"/>
  <c r="DU156" i="1"/>
  <c r="DS156" i="1"/>
  <c r="DQ156" i="1"/>
  <c r="DO156" i="1"/>
  <c r="DM156" i="1"/>
  <c r="DK156" i="1"/>
  <c r="DI156" i="1"/>
  <c r="EF155" i="1"/>
  <c r="EG155" i="1" s="1"/>
  <c r="EE155" i="1"/>
  <c r="EC155" i="1"/>
  <c r="EA155" i="1"/>
  <c r="DY155" i="1"/>
  <c r="DW155" i="1"/>
  <c r="DU155" i="1"/>
  <c r="DS155" i="1"/>
  <c r="DQ155" i="1"/>
  <c r="DO155" i="1"/>
  <c r="DM155" i="1"/>
  <c r="DK155" i="1"/>
  <c r="DI155" i="1"/>
  <c r="EF154" i="1"/>
  <c r="EG154" i="1" s="1"/>
  <c r="EE154" i="1"/>
  <c r="EC154" i="1"/>
  <c r="EA154" i="1"/>
  <c r="DY154" i="1"/>
  <c r="DW154" i="1"/>
  <c r="DU154" i="1"/>
  <c r="DS154" i="1"/>
  <c r="DQ154" i="1"/>
  <c r="DO154" i="1"/>
  <c r="DM154" i="1"/>
  <c r="DK154" i="1"/>
  <c r="DI154" i="1"/>
  <c r="EF153" i="1"/>
  <c r="EG153" i="1" s="1"/>
  <c r="EE153" i="1"/>
  <c r="EC153" i="1"/>
  <c r="EA153" i="1"/>
  <c r="DY153" i="1"/>
  <c r="DW153" i="1"/>
  <c r="DU153" i="1"/>
  <c r="DS153" i="1"/>
  <c r="DQ153" i="1"/>
  <c r="DO153" i="1"/>
  <c r="DM153" i="1"/>
  <c r="DK153" i="1"/>
  <c r="DI153" i="1"/>
  <c r="EF152" i="1"/>
  <c r="EG152" i="1" s="1"/>
  <c r="EE152" i="1"/>
  <c r="EC152" i="1"/>
  <c r="EA152" i="1"/>
  <c r="DY152" i="1"/>
  <c r="DW152" i="1"/>
  <c r="DU152" i="1"/>
  <c r="DS152" i="1"/>
  <c r="DQ152" i="1"/>
  <c r="DO152" i="1"/>
  <c r="DM152" i="1"/>
  <c r="DK152" i="1"/>
  <c r="DI152" i="1"/>
  <c r="EF151" i="1"/>
  <c r="EG151" i="1" s="1"/>
  <c r="EE151" i="1"/>
  <c r="EC151" i="1"/>
  <c r="EA151" i="1"/>
  <c r="DY151" i="1"/>
  <c r="DW151" i="1"/>
  <c r="DU151" i="1"/>
  <c r="DS151" i="1"/>
  <c r="DQ151" i="1"/>
  <c r="DM151" i="1"/>
  <c r="DK151" i="1"/>
  <c r="DI151" i="1"/>
  <c r="EF150" i="1"/>
  <c r="EE150" i="1"/>
  <c r="EC150" i="1"/>
  <c r="EA150" i="1"/>
  <c r="DY150" i="1"/>
  <c r="DW150" i="1"/>
  <c r="DU150" i="1"/>
  <c r="DS150" i="1"/>
  <c r="DQ150" i="1"/>
  <c r="DO150" i="1"/>
  <c r="DM150" i="1"/>
  <c r="DK150" i="1"/>
  <c r="DI150" i="1"/>
  <c r="ED148" i="1"/>
  <c r="EB148" i="1"/>
  <c r="DZ148" i="1"/>
  <c r="DX148" i="1"/>
  <c r="DV148" i="1"/>
  <c r="DT148" i="1"/>
  <c r="DR148" i="1"/>
  <c r="DP148" i="1"/>
  <c r="DN148" i="1"/>
  <c r="DL148" i="1"/>
  <c r="DJ148" i="1"/>
  <c r="DH148" i="1"/>
  <c r="EF147" i="1"/>
  <c r="EG147" i="1" s="1"/>
  <c r="EE147" i="1"/>
  <c r="EC147" i="1"/>
  <c r="EA147" i="1"/>
  <c r="DY147" i="1"/>
  <c r="DW147" i="1"/>
  <c r="DU147" i="1"/>
  <c r="DS147" i="1"/>
  <c r="DQ147" i="1"/>
  <c r="DM147" i="1"/>
  <c r="DI147" i="1"/>
  <c r="EF145" i="1"/>
  <c r="EG145" i="1" s="1"/>
  <c r="EE145" i="1"/>
  <c r="EC145" i="1"/>
  <c r="EA145" i="1"/>
  <c r="DY145" i="1"/>
  <c r="DW145" i="1"/>
  <c r="DU145" i="1"/>
  <c r="DS145" i="1"/>
  <c r="DQ145" i="1"/>
  <c r="DM145" i="1"/>
  <c r="DI145" i="1"/>
  <c r="EF144" i="1"/>
  <c r="EG144" i="1" s="1"/>
  <c r="EE144" i="1"/>
  <c r="EC144" i="1"/>
  <c r="EA144" i="1"/>
  <c r="DY144" i="1"/>
  <c r="DW144" i="1"/>
  <c r="DU144" i="1"/>
  <c r="DS144" i="1"/>
  <c r="DM144" i="1"/>
  <c r="DI144" i="1"/>
  <c r="EF143" i="1"/>
  <c r="EG143" i="1" s="1"/>
  <c r="EE143" i="1"/>
  <c r="EC143" i="1"/>
  <c r="EA143" i="1"/>
  <c r="DY143" i="1"/>
  <c r="DW143" i="1"/>
  <c r="DU143" i="1"/>
  <c r="DS143" i="1"/>
  <c r="DM143" i="1"/>
  <c r="DI143" i="1"/>
  <c r="EF142" i="1"/>
  <c r="EG142" i="1" s="1"/>
  <c r="EE142" i="1"/>
  <c r="EC142" i="1"/>
  <c r="EA142" i="1"/>
  <c r="DY142" i="1"/>
  <c r="DW142" i="1"/>
  <c r="DU142" i="1"/>
  <c r="DS142" i="1"/>
  <c r="DQ142" i="1"/>
  <c r="DM142" i="1"/>
  <c r="DI142" i="1"/>
  <c r="EF139" i="1"/>
  <c r="EG139" i="1" s="1"/>
  <c r="EE139" i="1"/>
  <c r="EC139" i="1"/>
  <c r="EA139" i="1"/>
  <c r="DY139" i="1"/>
  <c r="DW139" i="1"/>
  <c r="DU139" i="1"/>
  <c r="DS139" i="1"/>
  <c r="DM139" i="1"/>
  <c r="DI139" i="1"/>
  <c r="EF138" i="1"/>
  <c r="EG138" i="1" s="1"/>
  <c r="EE138" i="1"/>
  <c r="EC138" i="1"/>
  <c r="EA138" i="1"/>
  <c r="DY138" i="1"/>
  <c r="DW138" i="1"/>
  <c r="DU138" i="1"/>
  <c r="DS138" i="1"/>
  <c r="DQ138" i="1"/>
  <c r="DM138" i="1"/>
  <c r="DI138" i="1"/>
  <c r="EF137" i="1"/>
  <c r="EG137" i="1" s="1"/>
  <c r="EE137" i="1"/>
  <c r="EC137" i="1"/>
  <c r="EA137" i="1"/>
  <c r="DY137" i="1"/>
  <c r="DW137" i="1"/>
  <c r="DU137" i="1"/>
  <c r="DS137" i="1"/>
  <c r="DM137" i="1"/>
  <c r="DI137" i="1"/>
  <c r="EF136" i="1"/>
  <c r="EG136" i="1" s="1"/>
  <c r="EE136" i="1"/>
  <c r="EC136" i="1"/>
  <c r="EA136" i="1"/>
  <c r="DY136" i="1"/>
  <c r="DW136" i="1"/>
  <c r="DU136" i="1"/>
  <c r="DS136" i="1"/>
  <c r="DM136" i="1"/>
  <c r="DI136" i="1"/>
  <c r="EF135" i="1"/>
  <c r="EG135" i="1" s="1"/>
  <c r="EE135" i="1"/>
  <c r="EC135" i="1"/>
  <c r="EA135" i="1"/>
  <c r="DY135" i="1"/>
  <c r="DW135" i="1"/>
  <c r="DU135" i="1"/>
  <c r="DS135" i="1"/>
  <c r="DM135" i="1"/>
  <c r="DI135" i="1"/>
  <c r="EF134" i="1"/>
  <c r="EG134" i="1" s="1"/>
  <c r="EE134" i="1"/>
  <c r="EC134" i="1"/>
  <c r="EA134" i="1"/>
  <c r="DY134" i="1"/>
  <c r="DW134" i="1"/>
  <c r="DU134" i="1"/>
  <c r="DS134" i="1"/>
  <c r="DM134" i="1"/>
  <c r="DI134" i="1"/>
  <c r="EF133" i="1"/>
  <c r="EG133" i="1" s="1"/>
  <c r="EE133" i="1"/>
  <c r="EC133" i="1"/>
  <c r="EA133" i="1"/>
  <c r="DY133" i="1"/>
  <c r="DW133" i="1"/>
  <c r="DU133" i="1"/>
  <c r="DS133" i="1"/>
  <c r="DM133" i="1"/>
  <c r="DI133" i="1"/>
  <c r="EF132" i="1"/>
  <c r="EG132" i="1" s="1"/>
  <c r="EE132" i="1"/>
  <c r="EC132" i="1"/>
  <c r="EA132" i="1"/>
  <c r="DY132" i="1"/>
  <c r="DW132" i="1"/>
  <c r="DU132" i="1"/>
  <c r="DS132" i="1"/>
  <c r="DM132" i="1"/>
  <c r="DI132" i="1"/>
  <c r="EF131" i="1"/>
  <c r="EG131" i="1" s="1"/>
  <c r="EE131" i="1"/>
  <c r="EC131" i="1"/>
  <c r="EA131" i="1"/>
  <c r="DY131" i="1"/>
  <c r="DW131" i="1"/>
  <c r="DU131" i="1"/>
  <c r="DS131" i="1"/>
  <c r="DO131" i="1"/>
  <c r="DM131" i="1"/>
  <c r="DI131" i="1"/>
  <c r="EF130" i="1"/>
  <c r="EG130" i="1" s="1"/>
  <c r="EE130" i="1"/>
  <c r="EC130" i="1"/>
  <c r="EA130" i="1"/>
  <c r="DY130" i="1"/>
  <c r="DW130" i="1"/>
  <c r="DU130" i="1"/>
  <c r="DS130" i="1"/>
  <c r="DO130" i="1"/>
  <c r="DM130" i="1"/>
  <c r="DI130" i="1"/>
  <c r="EF129" i="1"/>
  <c r="EG129" i="1" s="1"/>
  <c r="EE129" i="1"/>
  <c r="EA129" i="1"/>
  <c r="DY129" i="1"/>
  <c r="DW129" i="1"/>
  <c r="DU129" i="1"/>
  <c r="DS129" i="1"/>
  <c r="EF128" i="1"/>
  <c r="EG128" i="1" s="1"/>
  <c r="EE128" i="1"/>
  <c r="EA128" i="1"/>
  <c r="DY128" i="1"/>
  <c r="DW128" i="1"/>
  <c r="DU128" i="1"/>
  <c r="DS128" i="1"/>
  <c r="EF127" i="1"/>
  <c r="EG127" i="1" s="1"/>
  <c r="EE127" i="1"/>
  <c r="EA127" i="1"/>
  <c r="DY127" i="1"/>
  <c r="DW127" i="1"/>
  <c r="DU127" i="1"/>
  <c r="DS127" i="1"/>
  <c r="EG124" i="1"/>
  <c r="EE124" i="1"/>
  <c r="EA124" i="1"/>
  <c r="DY124" i="1"/>
  <c r="DW124" i="1"/>
  <c r="DU124" i="1"/>
  <c r="DS124" i="1"/>
  <c r="EG123" i="1"/>
  <c r="EE123" i="1"/>
  <c r="EA123" i="1"/>
  <c r="DY123" i="1"/>
  <c r="DW123" i="1"/>
  <c r="DU123" i="1"/>
  <c r="DS123" i="1"/>
  <c r="EG119" i="1"/>
  <c r="EA119" i="1"/>
  <c r="DY119" i="1"/>
  <c r="DW119" i="1"/>
  <c r="DU119" i="1"/>
  <c r="DS119" i="1"/>
  <c r="EG118" i="1"/>
  <c r="EE118" i="1"/>
  <c r="EC118" i="1"/>
  <c r="EA118" i="1"/>
  <c r="DY118" i="1"/>
  <c r="DW118" i="1"/>
  <c r="DU118" i="1"/>
  <c r="DS118" i="1"/>
  <c r="DM118" i="1"/>
  <c r="DI118" i="1"/>
  <c r="EG117" i="1"/>
  <c r="EE117" i="1"/>
  <c r="EC117" i="1"/>
  <c r="EA117" i="1"/>
  <c r="DY117" i="1"/>
  <c r="DW117" i="1"/>
  <c r="DU117" i="1"/>
  <c r="DS117" i="1"/>
  <c r="DM117" i="1"/>
  <c r="DI117" i="1"/>
  <c r="EG116" i="1"/>
  <c r="EE116" i="1"/>
  <c r="EC116" i="1"/>
  <c r="EA116" i="1"/>
  <c r="DY116" i="1"/>
  <c r="DW116" i="1"/>
  <c r="DU116" i="1"/>
  <c r="DS116" i="1"/>
  <c r="DM116" i="1"/>
  <c r="DI116" i="1"/>
  <c r="EG115" i="1"/>
  <c r="EE115" i="1"/>
  <c r="EC115" i="1"/>
  <c r="EA115" i="1"/>
  <c r="DY115" i="1"/>
  <c r="DW115" i="1"/>
  <c r="DU115" i="1"/>
  <c r="DS115" i="1"/>
  <c r="DM115" i="1"/>
  <c r="DI115" i="1"/>
  <c r="EG114" i="1"/>
  <c r="EE114" i="1"/>
  <c r="EC114" i="1"/>
  <c r="EA114" i="1"/>
  <c r="DY114" i="1"/>
  <c r="DW114" i="1"/>
  <c r="DU114" i="1"/>
  <c r="DS114" i="1"/>
  <c r="DM114" i="1"/>
  <c r="DI114" i="1"/>
  <c r="EG113" i="1"/>
  <c r="EE113" i="1"/>
  <c r="EC113" i="1"/>
  <c r="EA113" i="1"/>
  <c r="DY113" i="1"/>
  <c r="DW113" i="1"/>
  <c r="DU113" i="1"/>
  <c r="DS113" i="1"/>
  <c r="DM113" i="1"/>
  <c r="DI113" i="1"/>
  <c r="EG112" i="1"/>
  <c r="EE112" i="1"/>
  <c r="EC112" i="1"/>
  <c r="EA112" i="1"/>
  <c r="DY112" i="1"/>
  <c r="DW112" i="1"/>
  <c r="DU112" i="1"/>
  <c r="DS112" i="1"/>
  <c r="DQ112" i="1"/>
  <c r="DM112" i="1"/>
  <c r="DI112" i="1"/>
  <c r="EG111" i="1"/>
  <c r="EE111" i="1"/>
  <c r="EC111" i="1"/>
  <c r="EA111" i="1"/>
  <c r="DY111" i="1"/>
  <c r="DW111" i="1"/>
  <c r="DU111" i="1"/>
  <c r="DS111" i="1"/>
  <c r="DM111" i="1"/>
  <c r="DI111" i="1"/>
  <c r="EG110" i="1"/>
  <c r="EE110" i="1"/>
  <c r="EC110" i="1"/>
  <c r="EA110" i="1"/>
  <c r="DY110" i="1"/>
  <c r="DW110" i="1"/>
  <c r="DU110" i="1"/>
  <c r="DS110" i="1"/>
  <c r="DQ110" i="1"/>
  <c r="DM110" i="1"/>
  <c r="DI110" i="1"/>
  <c r="EG109" i="1"/>
  <c r="EE109" i="1"/>
  <c r="EC109" i="1"/>
  <c r="EA109" i="1"/>
  <c r="DY109" i="1"/>
  <c r="DW109" i="1"/>
  <c r="DU109" i="1"/>
  <c r="DS109" i="1"/>
  <c r="DQ109" i="1"/>
  <c r="DM109" i="1"/>
  <c r="DI109" i="1"/>
  <c r="EG108" i="1"/>
  <c r="EE108" i="1"/>
  <c r="EC108" i="1"/>
  <c r="EA108" i="1"/>
  <c r="DY108" i="1"/>
  <c r="DW108" i="1"/>
  <c r="DU108" i="1"/>
  <c r="DS108" i="1"/>
  <c r="DQ108" i="1"/>
  <c r="DM108" i="1"/>
  <c r="DI108" i="1"/>
  <c r="EG107" i="1"/>
  <c r="EE107" i="1"/>
  <c r="EC107" i="1"/>
  <c r="EA107" i="1"/>
  <c r="DY107" i="1"/>
  <c r="DW107" i="1"/>
  <c r="DU107" i="1"/>
  <c r="DS107" i="1"/>
  <c r="DQ107" i="1"/>
  <c r="DM107" i="1"/>
  <c r="DI107" i="1"/>
  <c r="EG106" i="1"/>
  <c r="EE106" i="1"/>
  <c r="EC106" i="1"/>
  <c r="EA106" i="1"/>
  <c r="DY106" i="1"/>
  <c r="DW106" i="1"/>
  <c r="DU106" i="1"/>
  <c r="DS106" i="1"/>
  <c r="DM106" i="1"/>
  <c r="DI106" i="1"/>
  <c r="EG105" i="1"/>
  <c r="EE105" i="1"/>
  <c r="EC105" i="1"/>
  <c r="EA105" i="1"/>
  <c r="DY105" i="1"/>
  <c r="DW105" i="1"/>
  <c r="DU105" i="1"/>
  <c r="DS105" i="1"/>
  <c r="DQ105" i="1"/>
  <c r="DM105" i="1"/>
  <c r="DI105" i="1"/>
  <c r="EG104" i="1"/>
  <c r="EE104" i="1"/>
  <c r="EC104" i="1"/>
  <c r="EA104" i="1"/>
  <c r="DY104" i="1"/>
  <c r="DW104" i="1"/>
  <c r="DU104" i="1"/>
  <c r="DS104" i="1"/>
  <c r="DQ104" i="1"/>
  <c r="DM104" i="1"/>
  <c r="DI104" i="1"/>
  <c r="EG103" i="1"/>
  <c r="EE103" i="1"/>
  <c r="EC103" i="1"/>
  <c r="EA103" i="1"/>
  <c r="DY103" i="1"/>
  <c r="DW103" i="1"/>
  <c r="DU103" i="1"/>
  <c r="DS103" i="1"/>
  <c r="DQ103" i="1"/>
  <c r="DM103" i="1"/>
  <c r="DI103" i="1"/>
  <c r="EG102" i="1"/>
  <c r="EE102" i="1"/>
  <c r="EC102" i="1"/>
  <c r="EA102" i="1"/>
  <c r="DY102" i="1"/>
  <c r="DW102" i="1"/>
  <c r="DU102" i="1"/>
  <c r="DS102" i="1"/>
  <c r="DQ102" i="1"/>
  <c r="DM102" i="1"/>
  <c r="DI102" i="1"/>
  <c r="EG101" i="1"/>
  <c r="EE101" i="1"/>
  <c r="EC101" i="1"/>
  <c r="EA101" i="1"/>
  <c r="DY101" i="1"/>
  <c r="DW101" i="1"/>
  <c r="DU101" i="1"/>
  <c r="DS101" i="1"/>
  <c r="DM101" i="1"/>
  <c r="DI101" i="1"/>
  <c r="EG100" i="1"/>
  <c r="EE100" i="1"/>
  <c r="EC100" i="1"/>
  <c r="EA100" i="1"/>
  <c r="DY100" i="1"/>
  <c r="DW100" i="1"/>
  <c r="DU100" i="1"/>
  <c r="DS100" i="1"/>
  <c r="DQ100" i="1"/>
  <c r="DM100" i="1"/>
  <c r="DI100" i="1"/>
  <c r="EG99" i="1"/>
  <c r="EE99" i="1"/>
  <c r="EC99" i="1"/>
  <c r="EA99" i="1"/>
  <c r="DY99" i="1"/>
  <c r="DW99" i="1"/>
  <c r="DU99" i="1"/>
  <c r="DS99" i="1"/>
  <c r="DM99" i="1"/>
  <c r="DI99" i="1"/>
  <c r="EG98" i="1"/>
  <c r="EE98" i="1"/>
  <c r="EC98" i="1"/>
  <c r="EA98" i="1"/>
  <c r="DY98" i="1"/>
  <c r="DW98" i="1"/>
  <c r="DU98" i="1"/>
  <c r="DS98" i="1"/>
  <c r="DQ98" i="1"/>
  <c r="DM98" i="1"/>
  <c r="DI98" i="1"/>
  <c r="EG97" i="1"/>
  <c r="EE97" i="1"/>
  <c r="EC97" i="1"/>
  <c r="EA97" i="1"/>
  <c r="DY97" i="1"/>
  <c r="DW97" i="1"/>
  <c r="DU97" i="1"/>
  <c r="DS97" i="1"/>
  <c r="DQ97" i="1"/>
  <c r="DM97" i="1"/>
  <c r="DI97" i="1"/>
  <c r="EG96" i="1"/>
  <c r="EE96" i="1"/>
  <c r="EC96" i="1"/>
  <c r="EA96" i="1"/>
  <c r="DY96" i="1"/>
  <c r="DW96" i="1"/>
  <c r="DU96" i="1"/>
  <c r="DS96" i="1"/>
  <c r="DQ96" i="1"/>
  <c r="DM96" i="1"/>
  <c r="DI96" i="1"/>
  <c r="EG95" i="1"/>
  <c r="EE95" i="1"/>
  <c r="EC95" i="1"/>
  <c r="EA95" i="1"/>
  <c r="DY95" i="1"/>
  <c r="DW95" i="1"/>
  <c r="DU95" i="1"/>
  <c r="DS95" i="1"/>
  <c r="DM95" i="1"/>
  <c r="DI95" i="1"/>
  <c r="EG94" i="1"/>
  <c r="EE94" i="1"/>
  <c r="EC94" i="1"/>
  <c r="EA94" i="1"/>
  <c r="DY94" i="1"/>
  <c r="DW94" i="1"/>
  <c r="DU94" i="1"/>
  <c r="DS94" i="1"/>
  <c r="DM94" i="1"/>
  <c r="DI94" i="1"/>
  <c r="EG93" i="1"/>
  <c r="EE93" i="1"/>
  <c r="EC93" i="1"/>
  <c r="EA93" i="1"/>
  <c r="DY93" i="1"/>
  <c r="DW93" i="1"/>
  <c r="DU93" i="1"/>
  <c r="DS93" i="1"/>
  <c r="DM93" i="1"/>
  <c r="DI93" i="1"/>
  <c r="EG92" i="1"/>
  <c r="EE92" i="1"/>
  <c r="EC92" i="1"/>
  <c r="EA92" i="1"/>
  <c r="DY92" i="1"/>
  <c r="DW92" i="1"/>
  <c r="DU92" i="1"/>
  <c r="DS92" i="1"/>
  <c r="DM92" i="1"/>
  <c r="DI92" i="1"/>
  <c r="EG91" i="1"/>
  <c r="EE91" i="1"/>
  <c r="EC91" i="1"/>
  <c r="EA91" i="1"/>
  <c r="DY91" i="1"/>
  <c r="DW91" i="1"/>
  <c r="DU91" i="1"/>
  <c r="DS91" i="1"/>
  <c r="DM91" i="1"/>
  <c r="DI91" i="1"/>
  <c r="EG90" i="1"/>
  <c r="EE90" i="1"/>
  <c r="EC90" i="1"/>
  <c r="EA90" i="1"/>
  <c r="DY90" i="1"/>
  <c r="DW90" i="1"/>
  <c r="DU90" i="1"/>
  <c r="DS90" i="1"/>
  <c r="DM90" i="1"/>
  <c r="DI90" i="1"/>
  <c r="EG89" i="1"/>
  <c r="EE89" i="1"/>
  <c r="EC89" i="1"/>
  <c r="EA89" i="1"/>
  <c r="DY89" i="1"/>
  <c r="DW89" i="1"/>
  <c r="DU89" i="1"/>
  <c r="DS89" i="1"/>
  <c r="DM89" i="1"/>
  <c r="DI89" i="1"/>
  <c r="EG88" i="1"/>
  <c r="EE88" i="1"/>
  <c r="EC88" i="1"/>
  <c r="EA88" i="1"/>
  <c r="DY88" i="1"/>
  <c r="DW88" i="1"/>
  <c r="DU88" i="1"/>
  <c r="DS88" i="1"/>
  <c r="DM88" i="1"/>
  <c r="DI88" i="1"/>
  <c r="EG87" i="1"/>
  <c r="EE87" i="1"/>
  <c r="EC87" i="1"/>
  <c r="EA87" i="1"/>
  <c r="DY87" i="1"/>
  <c r="DW87" i="1"/>
  <c r="DU87" i="1"/>
  <c r="DS87" i="1"/>
  <c r="DM87" i="1"/>
  <c r="DI87" i="1"/>
  <c r="EG86" i="1"/>
  <c r="EE86" i="1"/>
  <c r="EC86" i="1"/>
  <c r="EA86" i="1"/>
  <c r="DY86" i="1"/>
  <c r="DW86" i="1"/>
  <c r="DU86" i="1"/>
  <c r="DS86" i="1"/>
  <c r="DM86" i="1"/>
  <c r="DI86" i="1"/>
  <c r="EG85" i="1"/>
  <c r="EE85" i="1"/>
  <c r="EC85" i="1"/>
  <c r="EA85" i="1"/>
  <c r="DY85" i="1"/>
  <c r="DW85" i="1"/>
  <c r="DU85" i="1"/>
  <c r="DS85" i="1"/>
  <c r="DM85" i="1"/>
  <c r="DI85" i="1"/>
  <c r="EG84" i="1"/>
  <c r="EE84" i="1"/>
  <c r="EC84" i="1"/>
  <c r="EA84" i="1"/>
  <c r="DY84" i="1"/>
  <c r="DW84" i="1"/>
  <c r="DU84" i="1"/>
  <c r="DS84" i="1"/>
  <c r="DM84" i="1"/>
  <c r="DI84" i="1"/>
  <c r="EG83" i="1"/>
  <c r="EE83" i="1"/>
  <c r="EC83" i="1"/>
  <c r="EA83" i="1"/>
  <c r="DY83" i="1"/>
  <c r="DW83" i="1"/>
  <c r="DU83" i="1"/>
  <c r="DS83" i="1"/>
  <c r="DQ83" i="1"/>
  <c r="DM83" i="1"/>
  <c r="DI83" i="1"/>
  <c r="EG82" i="1"/>
  <c r="EE82" i="1"/>
  <c r="EC82" i="1"/>
  <c r="EA82" i="1"/>
  <c r="DY82" i="1"/>
  <c r="DW82" i="1"/>
  <c r="DU82" i="1"/>
  <c r="DS82" i="1"/>
  <c r="DQ82" i="1"/>
  <c r="DM82" i="1"/>
  <c r="DI82" i="1"/>
  <c r="EG81" i="1"/>
  <c r="EE81" i="1"/>
  <c r="EC81" i="1"/>
  <c r="EA81" i="1"/>
  <c r="DY81" i="1"/>
  <c r="DW81" i="1"/>
  <c r="DU81" i="1"/>
  <c r="DS81" i="1"/>
  <c r="DM81" i="1"/>
  <c r="DI81" i="1"/>
  <c r="EG80" i="1"/>
  <c r="EE80" i="1"/>
  <c r="EC80" i="1"/>
  <c r="EA80" i="1"/>
  <c r="DY80" i="1"/>
  <c r="DW80" i="1"/>
  <c r="DU80" i="1"/>
  <c r="DS80" i="1"/>
  <c r="DM80" i="1"/>
  <c r="DI80" i="1"/>
  <c r="EG79" i="1"/>
  <c r="EE79" i="1"/>
  <c r="EC79" i="1"/>
  <c r="EA79" i="1"/>
  <c r="DY79" i="1"/>
  <c r="DW79" i="1"/>
  <c r="DU79" i="1"/>
  <c r="DS79" i="1"/>
  <c r="DM79" i="1"/>
  <c r="DI79" i="1"/>
  <c r="EG78" i="1"/>
  <c r="EE78" i="1"/>
  <c r="EC78" i="1"/>
  <c r="EA78" i="1"/>
  <c r="DY78" i="1"/>
  <c r="DW78" i="1"/>
  <c r="DU78" i="1"/>
  <c r="DS78" i="1"/>
  <c r="DM78" i="1"/>
  <c r="DI78" i="1"/>
  <c r="EG77" i="1"/>
  <c r="EE77" i="1"/>
  <c r="EC77" i="1"/>
  <c r="EA77" i="1"/>
  <c r="DY77" i="1"/>
  <c r="DW77" i="1"/>
  <c r="DU77" i="1"/>
  <c r="DS77" i="1"/>
  <c r="DM77" i="1"/>
  <c r="DI77" i="1"/>
  <c r="EG76" i="1"/>
  <c r="EE76" i="1"/>
  <c r="EC76" i="1"/>
  <c r="EA76" i="1"/>
  <c r="DY76" i="1"/>
  <c r="DW76" i="1"/>
  <c r="DU76" i="1"/>
  <c r="DS76" i="1"/>
  <c r="DM76" i="1"/>
  <c r="DI76" i="1"/>
  <c r="EG75" i="1"/>
  <c r="EE75" i="1"/>
  <c r="EC75" i="1"/>
  <c r="EA75" i="1"/>
  <c r="DY75" i="1"/>
  <c r="DW75" i="1"/>
  <c r="DU75" i="1"/>
  <c r="DS75" i="1"/>
  <c r="DM75" i="1"/>
  <c r="DI75" i="1"/>
  <c r="EG74" i="1"/>
  <c r="EE74" i="1"/>
  <c r="EC74" i="1"/>
  <c r="EA74" i="1"/>
  <c r="DY74" i="1"/>
  <c r="DW74" i="1"/>
  <c r="DU74" i="1"/>
  <c r="DS74" i="1"/>
  <c r="DM74" i="1"/>
  <c r="DI74" i="1"/>
  <c r="EG73" i="1"/>
  <c r="EE73" i="1"/>
  <c r="EC73" i="1"/>
  <c r="EA73" i="1"/>
  <c r="DY73" i="1"/>
  <c r="DW73" i="1"/>
  <c r="DU73" i="1"/>
  <c r="DS73" i="1"/>
  <c r="DO73" i="1"/>
  <c r="DM73" i="1"/>
  <c r="DI73" i="1"/>
  <c r="EG72" i="1"/>
  <c r="EE72" i="1"/>
  <c r="EC72" i="1"/>
  <c r="EA72" i="1"/>
  <c r="DY72" i="1"/>
  <c r="DW72" i="1"/>
  <c r="DU72" i="1"/>
  <c r="DS72" i="1"/>
  <c r="DO72" i="1"/>
  <c r="DM72" i="1"/>
  <c r="DI72" i="1"/>
  <c r="EG71" i="1"/>
  <c r="EE71" i="1"/>
  <c r="EC71" i="1"/>
  <c r="EA71" i="1"/>
  <c r="DY71" i="1"/>
  <c r="DW71" i="1"/>
  <c r="DU71" i="1"/>
  <c r="DS71" i="1"/>
  <c r="DO71" i="1"/>
  <c r="DM71" i="1"/>
  <c r="DI71" i="1"/>
  <c r="EG70" i="1"/>
  <c r="EE70" i="1"/>
  <c r="EC70" i="1"/>
  <c r="EA70" i="1"/>
  <c r="DY70" i="1"/>
  <c r="DW70" i="1"/>
  <c r="DU70" i="1"/>
  <c r="DS70" i="1"/>
  <c r="DO70" i="1"/>
  <c r="DM70" i="1"/>
  <c r="DI70" i="1"/>
  <c r="EG69" i="1"/>
  <c r="EE69" i="1"/>
  <c r="EC69" i="1"/>
  <c r="EA69" i="1"/>
  <c r="DY69" i="1"/>
  <c r="DW69" i="1"/>
  <c r="DU69" i="1"/>
  <c r="DS69" i="1"/>
  <c r="DO69" i="1"/>
  <c r="DM69" i="1"/>
  <c r="DI69" i="1"/>
  <c r="EG68" i="1"/>
  <c r="EE68" i="1"/>
  <c r="EC68" i="1"/>
  <c r="EA68" i="1"/>
  <c r="DY68" i="1"/>
  <c r="DW68" i="1"/>
  <c r="DU68" i="1"/>
  <c r="DS68" i="1"/>
  <c r="DO68" i="1"/>
  <c r="DM68" i="1"/>
  <c r="DI68" i="1"/>
  <c r="EG67" i="1"/>
  <c r="EE67" i="1"/>
  <c r="EC67" i="1"/>
  <c r="EA67" i="1"/>
  <c r="DY67" i="1"/>
  <c r="DW67" i="1"/>
  <c r="DU67" i="1"/>
  <c r="DS67" i="1"/>
  <c r="DO67" i="1"/>
  <c r="DM67" i="1"/>
  <c r="DI67" i="1"/>
  <c r="EG66" i="1"/>
  <c r="EE66" i="1"/>
  <c r="EC66" i="1"/>
  <c r="EA66" i="1"/>
  <c r="DY66" i="1"/>
  <c r="DW66" i="1"/>
  <c r="DU66" i="1"/>
  <c r="DS66" i="1"/>
  <c r="DO66" i="1"/>
  <c r="DM66" i="1"/>
  <c r="DI66" i="1"/>
  <c r="EG65" i="1"/>
  <c r="EE65" i="1"/>
  <c r="EC65" i="1"/>
  <c r="EA65" i="1"/>
  <c r="DY65" i="1"/>
  <c r="DW65" i="1"/>
  <c r="DU65" i="1"/>
  <c r="DS65" i="1"/>
  <c r="DQ65" i="1"/>
  <c r="DO65" i="1"/>
  <c r="DM65" i="1"/>
  <c r="DI65" i="1"/>
  <c r="EG64" i="1"/>
  <c r="EE64" i="1"/>
  <c r="EC64" i="1"/>
  <c r="EA64" i="1"/>
  <c r="DY64" i="1"/>
  <c r="DW64" i="1"/>
  <c r="DU64" i="1"/>
  <c r="DS64" i="1"/>
  <c r="DM64" i="1"/>
  <c r="DI64" i="1"/>
  <c r="EG63" i="1"/>
  <c r="EE63" i="1"/>
  <c r="EC63" i="1"/>
  <c r="EA63" i="1"/>
  <c r="DY63" i="1"/>
  <c r="DW63" i="1"/>
  <c r="DU63" i="1"/>
  <c r="DS63" i="1"/>
  <c r="DM63" i="1"/>
  <c r="DI63" i="1"/>
  <c r="EG62" i="1"/>
  <c r="EE62" i="1"/>
  <c r="EC62" i="1"/>
  <c r="EA62" i="1"/>
  <c r="DY62" i="1"/>
  <c r="DW62" i="1"/>
  <c r="DS62" i="1"/>
  <c r="DM62" i="1"/>
  <c r="DI62" i="1"/>
  <c r="EG61" i="1"/>
  <c r="EE61" i="1"/>
  <c r="EC61" i="1"/>
  <c r="EA61" i="1"/>
  <c r="DY61" i="1"/>
  <c r="DW61" i="1"/>
  <c r="DU61" i="1"/>
  <c r="DS61" i="1"/>
  <c r="DM61" i="1"/>
  <c r="DI61" i="1"/>
  <c r="EG60" i="1"/>
  <c r="EE60" i="1"/>
  <c r="EC60" i="1"/>
  <c r="EA60" i="1"/>
  <c r="DY60" i="1"/>
  <c r="DW60" i="1"/>
  <c r="DU60" i="1"/>
  <c r="DS60" i="1"/>
  <c r="DM60" i="1"/>
  <c r="DI60" i="1"/>
  <c r="EG59" i="1"/>
  <c r="EE59" i="1"/>
  <c r="EC59" i="1"/>
  <c r="EA59" i="1"/>
  <c r="DY59" i="1"/>
  <c r="DW59" i="1"/>
  <c r="DU59" i="1"/>
  <c r="DS59" i="1"/>
  <c r="DM59" i="1"/>
  <c r="DI59" i="1"/>
  <c r="EG58" i="1"/>
  <c r="EE58" i="1"/>
  <c r="EC58" i="1"/>
  <c r="EA58" i="1"/>
  <c r="DY58" i="1"/>
  <c r="DW58" i="1"/>
  <c r="DU58" i="1"/>
  <c r="DS58" i="1"/>
  <c r="DM58" i="1"/>
  <c r="DI58" i="1"/>
  <c r="EG57" i="1"/>
  <c r="EE57" i="1"/>
  <c r="EC57" i="1"/>
  <c r="EA57" i="1"/>
  <c r="DY57" i="1"/>
  <c r="DW57" i="1"/>
  <c r="DU57" i="1"/>
  <c r="DS57" i="1"/>
  <c r="DM57" i="1"/>
  <c r="DI57" i="1"/>
  <c r="EG56" i="1"/>
  <c r="EE56" i="1"/>
  <c r="EC56" i="1"/>
  <c r="EA56" i="1"/>
  <c r="DY56" i="1"/>
  <c r="DW56" i="1"/>
  <c r="DU56" i="1"/>
  <c r="DS56" i="1"/>
  <c r="DM56" i="1"/>
  <c r="DI56" i="1"/>
  <c r="EG55" i="1"/>
  <c r="EE55" i="1"/>
  <c r="EC55" i="1"/>
  <c r="EA55" i="1"/>
  <c r="DY55" i="1"/>
  <c r="DW55" i="1"/>
  <c r="DU55" i="1"/>
  <c r="DS55" i="1"/>
  <c r="DM55" i="1"/>
  <c r="DI55" i="1"/>
  <c r="EG54" i="1"/>
  <c r="EE54" i="1"/>
  <c r="EC54" i="1"/>
  <c r="EA54" i="1"/>
  <c r="DY54" i="1"/>
  <c r="DW54" i="1"/>
  <c r="DU54" i="1"/>
  <c r="DS54" i="1"/>
  <c r="DM54" i="1"/>
  <c r="DI54" i="1"/>
  <c r="EG53" i="1"/>
  <c r="EE53" i="1"/>
  <c r="EC53" i="1"/>
  <c r="EA53" i="1"/>
  <c r="DY53" i="1"/>
  <c r="DW53" i="1"/>
  <c r="DU53" i="1"/>
  <c r="DS53" i="1"/>
  <c r="DM53" i="1"/>
  <c r="DI53" i="1"/>
  <c r="EG52" i="1"/>
  <c r="EE52" i="1"/>
  <c r="EC52" i="1"/>
  <c r="EA52" i="1"/>
  <c r="DY52" i="1"/>
  <c r="DW52" i="1"/>
  <c r="DU52" i="1"/>
  <c r="DS52" i="1"/>
  <c r="DM52" i="1"/>
  <c r="DI52" i="1"/>
  <c r="EG51" i="1"/>
  <c r="EE51" i="1"/>
  <c r="EC51" i="1"/>
  <c r="EA51" i="1"/>
  <c r="DY51" i="1"/>
  <c r="DW51" i="1"/>
  <c r="DU51" i="1"/>
  <c r="DS51" i="1"/>
  <c r="DM51" i="1"/>
  <c r="DI51" i="1"/>
  <c r="EG50" i="1"/>
  <c r="EE50" i="1"/>
  <c r="EC50" i="1"/>
  <c r="EA50" i="1"/>
  <c r="DY50" i="1"/>
  <c r="DW50" i="1"/>
  <c r="DU50" i="1"/>
  <c r="DS50" i="1"/>
  <c r="DM50" i="1"/>
  <c r="DI50" i="1"/>
  <c r="EG49" i="1"/>
  <c r="EE49" i="1"/>
  <c r="EC49" i="1"/>
  <c r="EA49" i="1"/>
  <c r="DY49" i="1"/>
  <c r="DW49" i="1"/>
  <c r="DU49" i="1"/>
  <c r="DS49" i="1"/>
  <c r="DM49" i="1"/>
  <c r="DI49" i="1"/>
  <c r="EG48" i="1"/>
  <c r="EE48" i="1"/>
  <c r="EC48" i="1"/>
  <c r="EA48" i="1"/>
  <c r="DY48" i="1"/>
  <c r="DW48" i="1"/>
  <c r="DU48" i="1"/>
  <c r="DS48" i="1"/>
  <c r="DM48" i="1"/>
  <c r="DI48" i="1"/>
  <c r="EG47" i="1"/>
  <c r="EE47" i="1"/>
  <c r="EC47" i="1"/>
  <c r="EA47" i="1"/>
  <c r="DY47" i="1"/>
  <c r="DW47" i="1"/>
  <c r="DU47" i="1"/>
  <c r="DS47" i="1"/>
  <c r="DM47" i="1"/>
  <c r="DI47" i="1"/>
  <c r="EG46" i="1"/>
  <c r="EE46" i="1"/>
  <c r="EC46" i="1"/>
  <c r="EA46" i="1"/>
  <c r="DY46" i="1"/>
  <c r="DW46" i="1"/>
  <c r="DU46" i="1"/>
  <c r="DS46" i="1"/>
  <c r="DM46" i="1"/>
  <c r="DI46" i="1"/>
  <c r="EG45" i="1"/>
  <c r="EE45" i="1"/>
  <c r="EC45" i="1"/>
  <c r="EA45" i="1"/>
  <c r="DY45" i="1"/>
  <c r="DW45" i="1"/>
  <c r="DU45" i="1"/>
  <c r="DS45" i="1"/>
  <c r="DM45" i="1"/>
  <c r="DI45" i="1"/>
  <c r="EG44" i="1"/>
  <c r="EE44" i="1"/>
  <c r="EC44" i="1"/>
  <c r="EA44" i="1"/>
  <c r="DY44" i="1"/>
  <c r="DW44" i="1"/>
  <c r="DU44" i="1"/>
  <c r="DS44" i="1"/>
  <c r="DM44" i="1"/>
  <c r="DI44" i="1"/>
  <c r="EG43" i="1"/>
  <c r="EE43" i="1"/>
  <c r="EC43" i="1"/>
  <c r="EA43" i="1"/>
  <c r="DY43" i="1"/>
  <c r="DW43" i="1"/>
  <c r="DU43" i="1"/>
  <c r="DS43" i="1"/>
  <c r="DM43" i="1"/>
  <c r="DI43" i="1"/>
  <c r="EG42" i="1"/>
  <c r="EE42" i="1"/>
  <c r="EC42" i="1"/>
  <c r="EA42" i="1"/>
  <c r="DY42" i="1"/>
  <c r="DW42" i="1"/>
  <c r="DU42" i="1"/>
  <c r="DS42" i="1"/>
  <c r="DM42" i="1"/>
  <c r="DI42" i="1"/>
  <c r="EG41" i="1"/>
  <c r="EE41" i="1"/>
  <c r="EC41" i="1"/>
  <c r="EA41" i="1"/>
  <c r="DY41" i="1"/>
  <c r="DW41" i="1"/>
  <c r="DU41" i="1"/>
  <c r="DS41" i="1"/>
  <c r="DM41" i="1"/>
  <c r="DI41" i="1"/>
  <c r="EG40" i="1"/>
  <c r="EE40" i="1"/>
  <c r="EC40" i="1"/>
  <c r="EA40" i="1"/>
  <c r="DY40" i="1"/>
  <c r="DW40" i="1"/>
  <c r="DU40" i="1"/>
  <c r="DS40" i="1"/>
  <c r="DM40" i="1"/>
  <c r="DI40" i="1"/>
  <c r="EG39" i="1"/>
  <c r="EE39" i="1"/>
  <c r="EC39" i="1"/>
  <c r="EA39" i="1"/>
  <c r="DY39" i="1"/>
  <c r="DW39" i="1"/>
  <c r="DU39" i="1"/>
  <c r="DS39" i="1"/>
  <c r="DM39" i="1"/>
  <c r="DI39" i="1"/>
  <c r="EG38" i="1"/>
  <c r="EE38" i="1"/>
  <c r="EC38" i="1"/>
  <c r="EA38" i="1"/>
  <c r="DY38" i="1"/>
  <c r="DW38" i="1"/>
  <c r="DU38" i="1"/>
  <c r="DS38" i="1"/>
  <c r="DM38" i="1"/>
  <c r="DI38" i="1"/>
  <c r="EG37" i="1"/>
  <c r="EE37" i="1"/>
  <c r="EC37" i="1"/>
  <c r="EA37" i="1"/>
  <c r="DY37" i="1"/>
  <c r="DW37" i="1"/>
  <c r="DU37" i="1"/>
  <c r="DS37" i="1"/>
  <c r="DM37" i="1"/>
  <c r="DI37" i="1"/>
  <c r="EG36" i="1"/>
  <c r="EE36" i="1"/>
  <c r="EC36" i="1"/>
  <c r="EA36" i="1"/>
  <c r="DY36" i="1"/>
  <c r="DW36" i="1"/>
  <c r="DU36" i="1"/>
  <c r="DS36" i="1"/>
  <c r="DM36" i="1"/>
  <c r="DI36" i="1"/>
  <c r="EG35" i="1"/>
  <c r="EE35" i="1"/>
  <c r="EC35" i="1"/>
  <c r="EA35" i="1"/>
  <c r="DY35" i="1"/>
  <c r="DW35" i="1"/>
  <c r="DU35" i="1"/>
  <c r="DS35" i="1"/>
  <c r="DM35" i="1"/>
  <c r="DI35" i="1"/>
  <c r="EG34" i="1"/>
  <c r="EE34" i="1"/>
  <c r="EC34" i="1"/>
  <c r="EA34" i="1"/>
  <c r="DY34" i="1"/>
  <c r="DW34" i="1"/>
  <c r="DU34" i="1"/>
  <c r="DS34" i="1"/>
  <c r="DM34" i="1"/>
  <c r="DI34" i="1"/>
  <c r="EG33" i="1"/>
  <c r="EE33" i="1"/>
  <c r="EC33" i="1"/>
  <c r="EA33" i="1"/>
  <c r="DY33" i="1"/>
  <c r="DW33" i="1"/>
  <c r="DU33" i="1"/>
  <c r="DS33" i="1"/>
  <c r="DM33" i="1"/>
  <c r="DI33" i="1"/>
  <c r="EG32" i="1"/>
  <c r="EE32" i="1"/>
  <c r="EC32" i="1"/>
  <c r="EA32" i="1"/>
  <c r="DY32" i="1"/>
  <c r="DW32" i="1"/>
  <c r="DU32" i="1"/>
  <c r="DS32" i="1"/>
  <c r="DM32" i="1"/>
  <c r="DI32" i="1"/>
  <c r="EG31" i="1"/>
  <c r="EE31" i="1"/>
  <c r="EC31" i="1"/>
  <c r="EA31" i="1"/>
  <c r="DY31" i="1"/>
  <c r="DW31" i="1"/>
  <c r="DU31" i="1"/>
  <c r="DS31" i="1"/>
  <c r="DM31" i="1"/>
  <c r="DI31" i="1"/>
  <c r="EG30" i="1"/>
  <c r="EE30" i="1"/>
  <c r="EC30" i="1"/>
  <c r="EA30" i="1"/>
  <c r="DY30" i="1"/>
  <c r="DW30" i="1"/>
  <c r="DU30" i="1"/>
  <c r="DS30" i="1"/>
  <c r="DM30" i="1"/>
  <c r="DI30" i="1"/>
  <c r="EG29" i="1"/>
  <c r="EE29" i="1"/>
  <c r="EC29" i="1"/>
  <c r="EA29" i="1"/>
  <c r="DY29" i="1"/>
  <c r="DW29" i="1"/>
  <c r="DU29" i="1"/>
  <c r="DS29" i="1"/>
  <c r="DM29" i="1"/>
  <c r="DI29" i="1"/>
  <c r="EG28" i="1"/>
  <c r="EE28" i="1"/>
  <c r="EC28" i="1"/>
  <c r="EA28" i="1"/>
  <c r="DY28" i="1"/>
  <c r="DW28" i="1"/>
  <c r="DU28" i="1"/>
  <c r="DS28" i="1"/>
  <c r="DM28" i="1"/>
  <c r="DI28" i="1"/>
  <c r="EG27" i="1"/>
  <c r="EE27" i="1"/>
  <c r="EC27" i="1"/>
  <c r="EA27" i="1"/>
  <c r="DY27" i="1"/>
  <c r="DW27" i="1"/>
  <c r="DU27" i="1"/>
  <c r="DS27" i="1"/>
  <c r="DM27" i="1"/>
  <c r="DI27" i="1"/>
  <c r="EG26" i="1"/>
  <c r="EE26" i="1"/>
  <c r="EC26" i="1"/>
  <c r="EA26" i="1"/>
  <c r="DY26" i="1"/>
  <c r="DW26" i="1"/>
  <c r="DU26" i="1"/>
  <c r="DS26" i="1"/>
  <c r="DM26" i="1"/>
  <c r="DI26" i="1"/>
  <c r="EG25" i="1"/>
  <c r="EE25" i="1"/>
  <c r="EC25" i="1"/>
  <c r="EA25" i="1"/>
  <c r="DY25" i="1"/>
  <c r="DW25" i="1"/>
  <c r="DU25" i="1"/>
  <c r="DS25" i="1"/>
  <c r="DM25" i="1"/>
  <c r="DI25" i="1"/>
  <c r="EG24" i="1"/>
  <c r="EE24" i="1"/>
  <c r="EC24" i="1"/>
  <c r="EA24" i="1"/>
  <c r="DY24" i="1"/>
  <c r="DW24" i="1"/>
  <c r="DU24" i="1"/>
  <c r="DS24" i="1"/>
  <c r="DM24" i="1"/>
  <c r="DI24" i="1"/>
  <c r="EG23" i="1"/>
  <c r="EE23" i="1"/>
  <c r="EC23" i="1"/>
  <c r="EA23" i="1"/>
  <c r="DY23" i="1"/>
  <c r="DW23" i="1"/>
  <c r="DU23" i="1"/>
  <c r="DS23" i="1"/>
  <c r="DM23" i="1"/>
  <c r="DI23" i="1"/>
  <c r="EG22" i="1"/>
  <c r="EE22" i="1"/>
  <c r="EC22" i="1"/>
  <c r="EA22" i="1"/>
  <c r="DY22" i="1"/>
  <c r="DW22" i="1"/>
  <c r="DU22" i="1"/>
  <c r="DS22" i="1"/>
  <c r="DM22" i="1"/>
  <c r="DI22" i="1"/>
  <c r="EG21" i="1"/>
  <c r="EE21" i="1"/>
  <c r="EC21" i="1"/>
  <c r="EA21" i="1"/>
  <c r="DY21" i="1"/>
  <c r="DW21" i="1"/>
  <c r="DU21" i="1"/>
  <c r="DS21" i="1"/>
  <c r="DM21" i="1"/>
  <c r="DI21" i="1"/>
  <c r="EG20" i="1"/>
  <c r="EE20" i="1"/>
  <c r="EC20" i="1"/>
  <c r="EA20" i="1"/>
  <c r="DY20" i="1"/>
  <c r="DW20" i="1"/>
  <c r="DU20" i="1"/>
  <c r="DS20" i="1"/>
  <c r="DM20" i="1"/>
  <c r="DI20" i="1"/>
  <c r="EG19" i="1"/>
  <c r="EE19" i="1"/>
  <c r="EC19" i="1"/>
  <c r="EA19" i="1"/>
  <c r="DY19" i="1"/>
  <c r="DW19" i="1"/>
  <c r="DU19" i="1"/>
  <c r="DS19" i="1"/>
  <c r="DM19" i="1"/>
  <c r="DI19" i="1"/>
  <c r="EG18" i="1"/>
  <c r="EE18" i="1"/>
  <c r="EC18" i="1"/>
  <c r="EA18" i="1"/>
  <c r="DY18" i="1"/>
  <c r="DW18" i="1"/>
  <c r="DU18" i="1"/>
  <c r="DS18" i="1"/>
  <c r="DM18" i="1"/>
  <c r="DI18" i="1"/>
  <c r="EG17" i="1"/>
  <c r="EE17" i="1"/>
  <c r="EC17" i="1"/>
  <c r="EA17" i="1"/>
  <c r="DY17" i="1"/>
  <c r="DW17" i="1"/>
  <c r="DU17" i="1"/>
  <c r="DS17" i="1"/>
  <c r="DM17" i="1"/>
  <c r="DI17" i="1"/>
  <c r="EG16" i="1"/>
  <c r="EE16" i="1"/>
  <c r="EC16" i="1"/>
  <c r="EA16" i="1"/>
  <c r="DY16" i="1"/>
  <c r="DW16" i="1"/>
  <c r="DU16" i="1"/>
  <c r="DS16" i="1"/>
  <c r="DM16" i="1"/>
  <c r="DI16" i="1"/>
  <c r="EG15" i="1"/>
  <c r="EE15" i="1"/>
  <c r="EC15" i="1"/>
  <c r="EA15" i="1"/>
  <c r="DY15" i="1"/>
  <c r="DW15" i="1"/>
  <c r="DU15" i="1"/>
  <c r="DS15" i="1"/>
  <c r="DM15" i="1"/>
  <c r="DI15" i="1"/>
  <c r="EG14" i="1"/>
  <c r="EE14" i="1"/>
  <c r="EC14" i="1"/>
  <c r="EA14" i="1"/>
  <c r="DY14" i="1"/>
  <c r="DW14" i="1"/>
  <c r="DU14" i="1"/>
  <c r="DS14" i="1"/>
  <c r="DM14" i="1"/>
  <c r="DI14" i="1"/>
  <c r="EG13" i="1"/>
  <c r="EE13" i="1"/>
  <c r="EC13" i="1"/>
  <c r="EA13" i="1"/>
  <c r="DY13" i="1"/>
  <c r="DW13" i="1"/>
  <c r="DU13" i="1"/>
  <c r="DS13" i="1"/>
  <c r="DM13" i="1"/>
  <c r="DI13" i="1"/>
  <c r="EG12" i="1"/>
  <c r="EE12" i="1"/>
  <c r="EC12" i="1"/>
  <c r="EA12" i="1"/>
  <c r="DY12" i="1"/>
  <c r="DW12" i="1"/>
  <c r="DU12" i="1"/>
  <c r="DS12" i="1"/>
  <c r="DM12" i="1"/>
  <c r="DI12" i="1"/>
  <c r="EG11" i="1"/>
  <c r="EE11" i="1"/>
  <c r="EC11" i="1"/>
  <c r="EA11" i="1"/>
  <c r="DY11" i="1"/>
  <c r="DW11" i="1"/>
  <c r="DU11" i="1"/>
  <c r="DS11" i="1"/>
  <c r="DM11" i="1"/>
  <c r="DI11" i="1"/>
  <c r="EG10" i="1"/>
  <c r="EE10" i="1"/>
  <c r="EC10" i="1"/>
  <c r="EA10" i="1"/>
  <c r="DY10" i="1"/>
  <c r="DW10" i="1"/>
  <c r="DU10" i="1"/>
  <c r="DS10" i="1"/>
  <c r="DM10" i="1"/>
  <c r="DI10" i="1"/>
  <c r="EG9" i="1"/>
  <c r="EE9" i="1"/>
  <c r="EC9" i="1"/>
  <c r="EA9" i="1"/>
  <c r="DY9" i="1"/>
  <c r="DW9" i="1"/>
  <c r="DU9" i="1"/>
  <c r="DS9" i="1"/>
  <c r="DM9" i="1"/>
  <c r="DI9" i="1"/>
  <c r="EG8" i="1"/>
  <c r="EE8" i="1"/>
  <c r="EC8" i="1"/>
  <c r="EA8" i="1"/>
  <c r="DY8" i="1"/>
  <c r="DW8" i="1"/>
  <c r="DU8" i="1"/>
  <c r="DS8" i="1"/>
  <c r="DM8" i="1"/>
  <c r="DI8" i="1"/>
  <c r="EG7" i="1"/>
  <c r="EE7" i="1"/>
  <c r="EC7" i="1"/>
  <c r="EA7" i="1"/>
  <c r="DY7" i="1"/>
  <c r="DW7" i="1"/>
  <c r="DU7" i="1"/>
  <c r="DS7" i="1"/>
  <c r="DM7" i="1"/>
  <c r="DI7" i="1"/>
  <c r="EG6" i="1"/>
  <c r="EE6" i="1"/>
  <c r="EC6" i="1"/>
  <c r="EA6" i="1"/>
  <c r="DY6" i="1"/>
  <c r="DW6" i="1"/>
  <c r="DU6" i="1"/>
  <c r="DS6" i="1"/>
  <c r="DM6" i="1"/>
  <c r="DI6" i="1"/>
  <c r="EG5" i="1"/>
  <c r="EE5" i="1"/>
  <c r="EC5" i="1"/>
  <c r="EA5" i="1"/>
  <c r="DY5" i="1"/>
  <c r="DW5" i="1"/>
  <c r="DU5" i="1"/>
  <c r="DS5" i="1"/>
  <c r="DM5" i="1"/>
  <c r="DI5" i="1"/>
  <c r="EE4" i="1"/>
  <c r="EC4" i="1"/>
  <c r="EA4" i="1"/>
  <c r="DY4" i="1"/>
  <c r="DW4" i="1"/>
  <c r="DU4" i="1"/>
  <c r="DS4" i="1"/>
  <c r="DM4" i="1"/>
  <c r="DI4" i="1"/>
  <c r="DE153" i="1"/>
  <c r="ED170" i="1" l="1"/>
  <c r="DH170" i="1"/>
  <c r="DX170" i="1"/>
  <c r="DZ170" i="1"/>
  <c r="EA148" i="1"/>
  <c r="DV170" i="1"/>
  <c r="DI169" i="1"/>
  <c r="DJ170" i="1"/>
  <c r="DL170" i="1"/>
  <c r="DM169" i="1"/>
  <c r="DW148" i="1"/>
  <c r="DW169" i="1"/>
  <c r="DP170" i="1"/>
  <c r="EE169" i="1"/>
  <c r="EB170" i="1"/>
  <c r="EC169" i="1"/>
  <c r="EA169" i="1"/>
  <c r="DY169" i="1"/>
  <c r="DT170" i="1"/>
  <c r="DU169" i="1"/>
  <c r="DS169" i="1"/>
  <c r="DR170" i="1"/>
  <c r="DQ169" i="1"/>
  <c r="DN170" i="1"/>
  <c r="DO169" i="1"/>
  <c r="EF169" i="1"/>
  <c r="DK169" i="1"/>
  <c r="EG150" i="1"/>
  <c r="EG169" i="1" s="1"/>
  <c r="EE148" i="1"/>
  <c r="EC148" i="1"/>
  <c r="DY148" i="1"/>
  <c r="DU148" i="1"/>
  <c r="DS148" i="1"/>
  <c r="DO148" i="1"/>
  <c r="DM148" i="1"/>
  <c r="DI148" i="1"/>
  <c r="EF148" i="1"/>
  <c r="EG148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3" i="1"/>
  <c r="DE94" i="1"/>
  <c r="DE95" i="1"/>
  <c r="DE96" i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115" i="1"/>
  <c r="DE116" i="1"/>
  <c r="DE117" i="1"/>
  <c r="DE118" i="1"/>
  <c r="DE119" i="1"/>
  <c r="DE123" i="1"/>
  <c r="DE124" i="1"/>
  <c r="DE127" i="1"/>
  <c r="DE128" i="1"/>
  <c r="DE129" i="1"/>
  <c r="DE130" i="1"/>
  <c r="DE131" i="1"/>
  <c r="DE132" i="1"/>
  <c r="DE133" i="1"/>
  <c r="DE134" i="1"/>
  <c r="DE135" i="1"/>
  <c r="DE136" i="1"/>
  <c r="DE137" i="1"/>
  <c r="DE138" i="1"/>
  <c r="DE139" i="1"/>
  <c r="DE142" i="1"/>
  <c r="DE143" i="1"/>
  <c r="DE144" i="1"/>
  <c r="DE145" i="1"/>
  <c r="DE147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4" i="1"/>
  <c r="DY170" i="1" l="1"/>
  <c r="DM170" i="1"/>
  <c r="EC170" i="1"/>
  <c r="DU170" i="1"/>
  <c r="EA170" i="1"/>
  <c r="DW170" i="1"/>
  <c r="DI170" i="1"/>
  <c r="EE170" i="1"/>
  <c r="DS170" i="1"/>
  <c r="DO170" i="1"/>
  <c r="EF170" i="1"/>
  <c r="DK170" i="1"/>
  <c r="EG170" i="1"/>
  <c r="DD148" i="1"/>
  <c r="DD169" i="1"/>
  <c r="DD170" i="1" l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F112" i="1"/>
  <c r="DF113" i="1"/>
  <c r="DF114" i="1"/>
  <c r="DF115" i="1"/>
  <c r="DF116" i="1"/>
  <c r="DF117" i="1"/>
  <c r="DF118" i="1"/>
  <c r="DF119" i="1"/>
  <c r="DF123" i="1"/>
  <c r="DF124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2" i="1"/>
  <c r="DF143" i="1"/>
  <c r="DF144" i="1"/>
  <c r="DF145" i="1"/>
  <c r="DF147" i="1"/>
  <c r="D120" i="1" l="1"/>
  <c r="DG119" i="1"/>
  <c r="DG123" i="1"/>
  <c r="DG124" i="1"/>
  <c r="DG127" i="1"/>
  <c r="DG128" i="1"/>
  <c r="DG129" i="1"/>
  <c r="DA119" i="1"/>
  <c r="DA123" i="1"/>
  <c r="DA124" i="1"/>
  <c r="DA127" i="1"/>
  <c r="DA128" i="1"/>
  <c r="DA129" i="1"/>
  <c r="DA130" i="1"/>
  <c r="CY119" i="1"/>
  <c r="CY123" i="1"/>
  <c r="CY124" i="1"/>
  <c r="CY127" i="1"/>
  <c r="CY128" i="1"/>
  <c r="CY129" i="1"/>
  <c r="CW119" i="1"/>
  <c r="CW123" i="1"/>
  <c r="CW124" i="1"/>
  <c r="CW127" i="1"/>
  <c r="CW128" i="1"/>
  <c r="CW129" i="1"/>
  <c r="CU119" i="1"/>
  <c r="CU123" i="1"/>
  <c r="CU124" i="1"/>
  <c r="CU127" i="1"/>
  <c r="CU128" i="1"/>
  <c r="CU129" i="1"/>
  <c r="CS119" i="1"/>
  <c r="CS123" i="1"/>
  <c r="CS124" i="1"/>
  <c r="CS127" i="1"/>
  <c r="CS128" i="1"/>
  <c r="CS129" i="1"/>
  <c r="CQ119" i="1"/>
  <c r="CQ123" i="1"/>
  <c r="CQ124" i="1"/>
  <c r="CQ127" i="1"/>
  <c r="CQ128" i="1"/>
  <c r="CQ129" i="1"/>
  <c r="AQ96" i="1" l="1"/>
  <c r="AQ97" i="1"/>
  <c r="AQ98" i="1"/>
  <c r="AO96" i="1"/>
  <c r="AO97" i="1"/>
  <c r="AO98" i="1"/>
  <c r="AM96" i="1"/>
  <c r="AM97" i="1"/>
  <c r="AM98" i="1"/>
  <c r="AK96" i="1"/>
  <c r="AK97" i="1"/>
  <c r="AK98" i="1"/>
  <c r="CM40" i="1"/>
  <c r="BI41" i="1" l="1"/>
  <c r="DF151" i="1" l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30" i="1"/>
  <c r="CQ131" i="1"/>
  <c r="CQ132" i="1"/>
  <c r="CQ133" i="1"/>
  <c r="CQ134" i="1"/>
  <c r="CQ135" i="1"/>
  <c r="CQ136" i="1"/>
  <c r="CQ137" i="1"/>
  <c r="CQ138" i="1"/>
  <c r="CQ139" i="1"/>
  <c r="CQ142" i="1"/>
  <c r="CQ143" i="1"/>
  <c r="CQ144" i="1"/>
  <c r="CQ145" i="1"/>
  <c r="CQ147" i="1"/>
  <c r="CQ4" i="1"/>
  <c r="BF4" i="1"/>
  <c r="CF4" i="1" l="1"/>
  <c r="CN148" i="1"/>
  <c r="DB169" i="1" l="1"/>
  <c r="CZ169" i="1"/>
  <c r="CX169" i="1"/>
  <c r="CV169" i="1"/>
  <c r="CT169" i="1"/>
  <c r="CR169" i="1"/>
  <c r="CP169" i="1"/>
  <c r="CN169" i="1"/>
  <c r="CL169" i="1"/>
  <c r="CJ169" i="1"/>
  <c r="CH169" i="1"/>
  <c r="CD169" i="1"/>
  <c r="CB169" i="1"/>
  <c r="BZ169" i="1"/>
  <c r="BX169" i="1"/>
  <c r="BV169" i="1"/>
  <c r="BT169" i="1"/>
  <c r="BR169" i="1"/>
  <c r="BP169" i="1"/>
  <c r="BN169" i="1"/>
  <c r="BL169" i="1"/>
  <c r="BJ169" i="1"/>
  <c r="BH169" i="1"/>
  <c r="BD169" i="1"/>
  <c r="BB169" i="1"/>
  <c r="AZ169" i="1"/>
  <c r="AX169" i="1"/>
  <c r="AV169" i="1"/>
  <c r="AT169" i="1"/>
  <c r="AR169" i="1"/>
  <c r="AP169" i="1"/>
  <c r="AN169" i="1"/>
  <c r="AL169" i="1"/>
  <c r="AJ169" i="1"/>
  <c r="AH169" i="1"/>
  <c r="AD169" i="1"/>
  <c r="AB169" i="1"/>
  <c r="Z169" i="1"/>
  <c r="X169" i="1"/>
  <c r="V169" i="1"/>
  <c r="T169" i="1"/>
  <c r="R169" i="1"/>
  <c r="P169" i="1"/>
  <c r="N169" i="1"/>
  <c r="L169" i="1"/>
  <c r="J169" i="1"/>
  <c r="H169" i="1"/>
  <c r="DF168" i="1"/>
  <c r="DG168" i="1" s="1"/>
  <c r="DE168" i="1"/>
  <c r="DC168" i="1"/>
  <c r="DA168" i="1"/>
  <c r="CY168" i="1"/>
  <c r="CW168" i="1"/>
  <c r="CU168" i="1"/>
  <c r="CS168" i="1"/>
  <c r="CQ168" i="1"/>
  <c r="CO168" i="1"/>
  <c r="CM168" i="1"/>
  <c r="CK168" i="1"/>
  <c r="CI168" i="1"/>
  <c r="BF168" i="1"/>
  <c r="BG168" i="1" s="1"/>
  <c r="BE168" i="1"/>
  <c r="BC168" i="1"/>
  <c r="BA168" i="1"/>
  <c r="AY168" i="1"/>
  <c r="AW168" i="1"/>
  <c r="AU168" i="1"/>
  <c r="AS168" i="1"/>
  <c r="AQ168" i="1"/>
  <c r="AO168" i="1"/>
  <c r="AM168" i="1"/>
  <c r="AK168" i="1"/>
  <c r="AI168" i="1"/>
  <c r="AF168" i="1"/>
  <c r="AG168" i="1" s="1"/>
  <c r="AE168" i="1"/>
  <c r="AC168" i="1"/>
  <c r="AA168" i="1"/>
  <c r="Y168" i="1"/>
  <c r="W168" i="1"/>
  <c r="U168" i="1"/>
  <c r="S168" i="1"/>
  <c r="Q168" i="1"/>
  <c r="O168" i="1"/>
  <c r="M168" i="1"/>
  <c r="K168" i="1"/>
  <c r="I168" i="1"/>
  <c r="DF167" i="1"/>
  <c r="DG167" i="1" s="1"/>
  <c r="DE167" i="1"/>
  <c r="DC167" i="1"/>
  <c r="DA167" i="1"/>
  <c r="CY167" i="1"/>
  <c r="CW167" i="1"/>
  <c r="CU167" i="1"/>
  <c r="CS167" i="1"/>
  <c r="CQ167" i="1"/>
  <c r="CO167" i="1"/>
  <c r="CM167" i="1"/>
  <c r="CK167" i="1"/>
  <c r="CI167" i="1"/>
  <c r="CF167" i="1"/>
  <c r="CG167" i="1" s="1"/>
  <c r="CE167" i="1"/>
  <c r="CC167" i="1"/>
  <c r="CA167" i="1"/>
  <c r="BY167" i="1"/>
  <c r="BW167" i="1"/>
  <c r="BU167" i="1"/>
  <c r="BS167" i="1"/>
  <c r="BQ167" i="1"/>
  <c r="BO167" i="1"/>
  <c r="BM167" i="1"/>
  <c r="BK167" i="1"/>
  <c r="BI167" i="1"/>
  <c r="BF167" i="1"/>
  <c r="BG167" i="1" s="1"/>
  <c r="BE167" i="1"/>
  <c r="BC167" i="1"/>
  <c r="BA167" i="1"/>
  <c r="AY167" i="1"/>
  <c r="AW167" i="1"/>
  <c r="AU167" i="1"/>
  <c r="AS167" i="1"/>
  <c r="AQ167" i="1"/>
  <c r="AO167" i="1"/>
  <c r="AM167" i="1"/>
  <c r="AK167" i="1"/>
  <c r="AI167" i="1"/>
  <c r="AF167" i="1"/>
  <c r="AG167" i="1" s="1"/>
  <c r="AE167" i="1"/>
  <c r="AC167" i="1"/>
  <c r="AA167" i="1"/>
  <c r="Y167" i="1"/>
  <c r="W167" i="1"/>
  <c r="U167" i="1"/>
  <c r="S167" i="1"/>
  <c r="Q167" i="1"/>
  <c r="O167" i="1"/>
  <c r="M167" i="1"/>
  <c r="K167" i="1"/>
  <c r="I167" i="1"/>
  <c r="DF166" i="1"/>
  <c r="DG166" i="1" s="1"/>
  <c r="DE166" i="1"/>
  <c r="DC166" i="1"/>
  <c r="DA166" i="1"/>
  <c r="CY166" i="1"/>
  <c r="CW166" i="1"/>
  <c r="CU166" i="1"/>
  <c r="CS166" i="1"/>
  <c r="CQ166" i="1"/>
  <c r="CO166" i="1"/>
  <c r="CM166" i="1"/>
  <c r="CK166" i="1"/>
  <c r="CI166" i="1"/>
  <c r="CF166" i="1"/>
  <c r="CG166" i="1" s="1"/>
  <c r="CE166" i="1"/>
  <c r="CC166" i="1"/>
  <c r="CA166" i="1"/>
  <c r="BY166" i="1"/>
  <c r="BW166" i="1"/>
  <c r="BU166" i="1"/>
  <c r="BS166" i="1"/>
  <c r="BQ166" i="1"/>
  <c r="BO166" i="1"/>
  <c r="BM166" i="1"/>
  <c r="BK166" i="1"/>
  <c r="BI166" i="1"/>
  <c r="BF166" i="1"/>
  <c r="BG166" i="1" s="1"/>
  <c r="BE166" i="1"/>
  <c r="BC166" i="1"/>
  <c r="BA166" i="1"/>
  <c r="AY166" i="1"/>
  <c r="AW166" i="1"/>
  <c r="AU166" i="1"/>
  <c r="AS166" i="1"/>
  <c r="AQ166" i="1"/>
  <c r="AO166" i="1"/>
  <c r="AM166" i="1"/>
  <c r="AK166" i="1"/>
  <c r="AI166" i="1"/>
  <c r="AF166" i="1"/>
  <c r="AG166" i="1" s="1"/>
  <c r="AE166" i="1"/>
  <c r="AC166" i="1"/>
  <c r="AA166" i="1"/>
  <c r="Y166" i="1"/>
  <c r="W166" i="1"/>
  <c r="U166" i="1"/>
  <c r="S166" i="1"/>
  <c r="Q166" i="1"/>
  <c r="O166" i="1"/>
  <c r="M166" i="1"/>
  <c r="K166" i="1"/>
  <c r="I166" i="1"/>
  <c r="DF165" i="1"/>
  <c r="DG165" i="1" s="1"/>
  <c r="DE165" i="1"/>
  <c r="DC165" i="1"/>
  <c r="DA165" i="1"/>
  <c r="CY165" i="1"/>
  <c r="CW165" i="1"/>
  <c r="CU165" i="1"/>
  <c r="CS165" i="1"/>
  <c r="CQ165" i="1"/>
  <c r="CO165" i="1"/>
  <c r="CM165" i="1"/>
  <c r="CK165" i="1"/>
  <c r="CI165" i="1"/>
  <c r="CF165" i="1"/>
  <c r="CG165" i="1" s="1"/>
  <c r="CE165" i="1"/>
  <c r="CC165" i="1"/>
  <c r="CA165" i="1"/>
  <c r="BY165" i="1"/>
  <c r="BW165" i="1"/>
  <c r="BU165" i="1"/>
  <c r="BS165" i="1"/>
  <c r="BQ165" i="1"/>
  <c r="BO165" i="1"/>
  <c r="BM165" i="1"/>
  <c r="BK165" i="1"/>
  <c r="BI165" i="1"/>
  <c r="BF165" i="1"/>
  <c r="BG165" i="1" s="1"/>
  <c r="BE165" i="1"/>
  <c r="BC165" i="1"/>
  <c r="BA165" i="1"/>
  <c r="AY165" i="1"/>
  <c r="AW165" i="1"/>
  <c r="AU165" i="1"/>
  <c r="AS165" i="1"/>
  <c r="AQ165" i="1"/>
  <c r="AO165" i="1"/>
  <c r="AM165" i="1"/>
  <c r="AK165" i="1"/>
  <c r="AI165" i="1"/>
  <c r="AF165" i="1"/>
  <c r="AG165" i="1" s="1"/>
  <c r="AE165" i="1"/>
  <c r="AC165" i="1"/>
  <c r="AA165" i="1"/>
  <c r="Y165" i="1"/>
  <c r="W165" i="1"/>
  <c r="U165" i="1"/>
  <c r="S165" i="1"/>
  <c r="Q165" i="1"/>
  <c r="O165" i="1"/>
  <c r="M165" i="1"/>
  <c r="K165" i="1"/>
  <c r="I165" i="1"/>
  <c r="DF164" i="1"/>
  <c r="DG164" i="1" s="1"/>
  <c r="DE164" i="1"/>
  <c r="DC164" i="1"/>
  <c r="DA164" i="1"/>
  <c r="CY164" i="1"/>
  <c r="CW164" i="1"/>
  <c r="CU164" i="1"/>
  <c r="CS164" i="1"/>
  <c r="CQ164" i="1"/>
  <c r="CO164" i="1"/>
  <c r="CM164" i="1"/>
  <c r="CK164" i="1"/>
  <c r="CI164" i="1"/>
  <c r="CF164" i="1"/>
  <c r="CG164" i="1" s="1"/>
  <c r="CE164" i="1"/>
  <c r="CC164" i="1"/>
  <c r="CA164" i="1"/>
  <c r="BY164" i="1"/>
  <c r="BW164" i="1"/>
  <c r="BU164" i="1"/>
  <c r="BS164" i="1"/>
  <c r="BQ164" i="1"/>
  <c r="BO164" i="1"/>
  <c r="BM164" i="1"/>
  <c r="BK164" i="1"/>
  <c r="BI164" i="1"/>
  <c r="BF164" i="1"/>
  <c r="BG164" i="1" s="1"/>
  <c r="BE164" i="1"/>
  <c r="BC164" i="1"/>
  <c r="BA164" i="1"/>
  <c r="AY164" i="1"/>
  <c r="AW164" i="1"/>
  <c r="AU164" i="1"/>
  <c r="AS164" i="1"/>
  <c r="AQ164" i="1"/>
  <c r="AO164" i="1"/>
  <c r="AM164" i="1"/>
  <c r="AK164" i="1"/>
  <c r="AI164" i="1"/>
  <c r="AF164" i="1"/>
  <c r="AG164" i="1" s="1"/>
  <c r="AE164" i="1"/>
  <c r="AC164" i="1"/>
  <c r="AA164" i="1"/>
  <c r="Y164" i="1"/>
  <c r="W164" i="1"/>
  <c r="U164" i="1"/>
  <c r="S164" i="1"/>
  <c r="Q164" i="1"/>
  <c r="O164" i="1"/>
  <c r="M164" i="1"/>
  <c r="K164" i="1"/>
  <c r="I164" i="1"/>
  <c r="DF163" i="1"/>
  <c r="DG163" i="1" s="1"/>
  <c r="DE163" i="1"/>
  <c r="DC163" i="1"/>
  <c r="DA163" i="1"/>
  <c r="CY163" i="1"/>
  <c r="CW163" i="1"/>
  <c r="CU163" i="1"/>
  <c r="CS163" i="1"/>
  <c r="CQ163" i="1"/>
  <c r="CO163" i="1"/>
  <c r="CM163" i="1"/>
  <c r="CK163" i="1"/>
  <c r="CI163" i="1"/>
  <c r="CF163" i="1"/>
  <c r="CG163" i="1" s="1"/>
  <c r="CE163" i="1"/>
  <c r="CC163" i="1"/>
  <c r="CA163" i="1"/>
  <c r="BY163" i="1"/>
  <c r="BW163" i="1"/>
  <c r="BU163" i="1"/>
  <c r="BS163" i="1"/>
  <c r="BQ163" i="1"/>
  <c r="BO163" i="1"/>
  <c r="BM163" i="1"/>
  <c r="BK163" i="1"/>
  <c r="BI163" i="1"/>
  <c r="BF163" i="1"/>
  <c r="BG163" i="1" s="1"/>
  <c r="BE163" i="1"/>
  <c r="BC163" i="1"/>
  <c r="BA163" i="1"/>
  <c r="AY163" i="1"/>
  <c r="AW163" i="1"/>
  <c r="AU163" i="1"/>
  <c r="AS163" i="1"/>
  <c r="AQ163" i="1"/>
  <c r="AO163" i="1"/>
  <c r="AM163" i="1"/>
  <c r="AK163" i="1"/>
  <c r="AI163" i="1"/>
  <c r="AF163" i="1"/>
  <c r="AG163" i="1" s="1"/>
  <c r="AE163" i="1"/>
  <c r="AC163" i="1"/>
  <c r="AA163" i="1"/>
  <c r="Y163" i="1"/>
  <c r="W163" i="1"/>
  <c r="U163" i="1"/>
  <c r="S163" i="1"/>
  <c r="Q163" i="1"/>
  <c r="O163" i="1"/>
  <c r="M163" i="1"/>
  <c r="K163" i="1"/>
  <c r="I163" i="1"/>
  <c r="DF162" i="1"/>
  <c r="DG162" i="1" s="1"/>
  <c r="DE162" i="1"/>
  <c r="DC162" i="1"/>
  <c r="DA162" i="1"/>
  <c r="CY162" i="1"/>
  <c r="CW162" i="1"/>
  <c r="CU162" i="1"/>
  <c r="CS162" i="1"/>
  <c r="CQ162" i="1"/>
  <c r="CO162" i="1"/>
  <c r="CM162" i="1"/>
  <c r="CK162" i="1"/>
  <c r="CI162" i="1"/>
  <c r="CF162" i="1"/>
  <c r="CG162" i="1" s="1"/>
  <c r="CE162" i="1"/>
  <c r="CC162" i="1"/>
  <c r="CA162" i="1"/>
  <c r="BY162" i="1"/>
  <c r="BW162" i="1"/>
  <c r="BU162" i="1"/>
  <c r="BS162" i="1"/>
  <c r="BQ162" i="1"/>
  <c r="BO162" i="1"/>
  <c r="BM162" i="1"/>
  <c r="BK162" i="1"/>
  <c r="BI162" i="1"/>
  <c r="BF162" i="1"/>
  <c r="BG162" i="1" s="1"/>
  <c r="BE162" i="1"/>
  <c r="BC162" i="1"/>
  <c r="BA162" i="1"/>
  <c r="AY162" i="1"/>
  <c r="AW162" i="1"/>
  <c r="AU162" i="1"/>
  <c r="AS162" i="1"/>
  <c r="AQ162" i="1"/>
  <c r="AO162" i="1"/>
  <c r="AM162" i="1"/>
  <c r="AK162" i="1"/>
  <c r="AI162" i="1"/>
  <c r="AF162" i="1"/>
  <c r="AG162" i="1" s="1"/>
  <c r="AE162" i="1"/>
  <c r="AC162" i="1"/>
  <c r="AA162" i="1"/>
  <c r="Y162" i="1"/>
  <c r="W162" i="1"/>
  <c r="U162" i="1"/>
  <c r="S162" i="1"/>
  <c r="Q162" i="1"/>
  <c r="O162" i="1"/>
  <c r="M162" i="1"/>
  <c r="K162" i="1"/>
  <c r="I162" i="1"/>
  <c r="DF161" i="1"/>
  <c r="DG161" i="1" s="1"/>
  <c r="DE161" i="1"/>
  <c r="DC161" i="1"/>
  <c r="DA161" i="1"/>
  <c r="CY161" i="1"/>
  <c r="CW161" i="1"/>
  <c r="CU161" i="1"/>
  <c r="CS161" i="1"/>
  <c r="CQ161" i="1"/>
  <c r="CO161" i="1"/>
  <c r="CM161" i="1"/>
  <c r="CK161" i="1"/>
  <c r="CI161" i="1"/>
  <c r="CF161" i="1"/>
  <c r="CG161" i="1" s="1"/>
  <c r="CE161" i="1"/>
  <c r="CC161" i="1"/>
  <c r="CA161" i="1"/>
  <c r="BY161" i="1"/>
  <c r="BW161" i="1"/>
  <c r="BU161" i="1"/>
  <c r="BS161" i="1"/>
  <c r="BQ161" i="1"/>
  <c r="BO161" i="1"/>
  <c r="BM161" i="1"/>
  <c r="BK161" i="1"/>
  <c r="BI161" i="1"/>
  <c r="BF161" i="1"/>
  <c r="BG161" i="1" s="1"/>
  <c r="BE161" i="1"/>
  <c r="BC161" i="1"/>
  <c r="BA161" i="1"/>
  <c r="AY161" i="1"/>
  <c r="AW161" i="1"/>
  <c r="AU161" i="1"/>
  <c r="AS161" i="1"/>
  <c r="AQ161" i="1"/>
  <c r="AO161" i="1"/>
  <c r="AM161" i="1"/>
  <c r="AK161" i="1"/>
  <c r="AI161" i="1"/>
  <c r="AF161" i="1"/>
  <c r="AG161" i="1" s="1"/>
  <c r="AE161" i="1"/>
  <c r="AC161" i="1"/>
  <c r="AA161" i="1"/>
  <c r="Y161" i="1"/>
  <c r="W161" i="1"/>
  <c r="U161" i="1"/>
  <c r="S161" i="1"/>
  <c r="Q161" i="1"/>
  <c r="O161" i="1"/>
  <c r="M161" i="1"/>
  <c r="K161" i="1"/>
  <c r="I161" i="1"/>
  <c r="DF160" i="1"/>
  <c r="DG160" i="1" s="1"/>
  <c r="DE160" i="1"/>
  <c r="DC160" i="1"/>
  <c r="DA160" i="1"/>
  <c r="CY160" i="1"/>
  <c r="CW160" i="1"/>
  <c r="CU160" i="1"/>
  <c r="CS160" i="1"/>
  <c r="CQ160" i="1"/>
  <c r="CO160" i="1"/>
  <c r="CM160" i="1"/>
  <c r="CK160" i="1"/>
  <c r="CI160" i="1"/>
  <c r="CF160" i="1"/>
  <c r="CG160" i="1" s="1"/>
  <c r="CE160" i="1"/>
  <c r="CC160" i="1"/>
  <c r="CA160" i="1"/>
  <c r="BY160" i="1"/>
  <c r="BW160" i="1"/>
  <c r="BU160" i="1"/>
  <c r="BS160" i="1"/>
  <c r="BQ160" i="1"/>
  <c r="BO160" i="1"/>
  <c r="BM160" i="1"/>
  <c r="BK160" i="1"/>
  <c r="BI160" i="1"/>
  <c r="BF160" i="1"/>
  <c r="BG160" i="1" s="1"/>
  <c r="BE160" i="1"/>
  <c r="BC160" i="1"/>
  <c r="BA160" i="1"/>
  <c r="AY160" i="1"/>
  <c r="AW160" i="1"/>
  <c r="AU160" i="1"/>
  <c r="AS160" i="1"/>
  <c r="AQ160" i="1"/>
  <c r="AO160" i="1"/>
  <c r="AM160" i="1"/>
  <c r="AK160" i="1"/>
  <c r="AI160" i="1"/>
  <c r="AF160" i="1"/>
  <c r="AG160" i="1" s="1"/>
  <c r="AE160" i="1"/>
  <c r="AC160" i="1"/>
  <c r="AA160" i="1"/>
  <c r="Y160" i="1"/>
  <c r="W160" i="1"/>
  <c r="U160" i="1"/>
  <c r="S160" i="1"/>
  <c r="Q160" i="1"/>
  <c r="O160" i="1"/>
  <c r="M160" i="1"/>
  <c r="K160" i="1"/>
  <c r="I160" i="1"/>
  <c r="DF159" i="1"/>
  <c r="DG159" i="1" s="1"/>
  <c r="DE159" i="1"/>
  <c r="DC159" i="1"/>
  <c r="DA159" i="1"/>
  <c r="CY159" i="1"/>
  <c r="CW159" i="1"/>
  <c r="CU159" i="1"/>
  <c r="CS159" i="1"/>
  <c r="CQ159" i="1"/>
  <c r="CO159" i="1"/>
  <c r="CM159" i="1"/>
  <c r="CK159" i="1"/>
  <c r="CI159" i="1"/>
  <c r="CF159" i="1"/>
  <c r="CG159" i="1" s="1"/>
  <c r="CE159" i="1"/>
  <c r="CC159" i="1"/>
  <c r="CA159" i="1"/>
  <c r="BY159" i="1"/>
  <c r="BW159" i="1"/>
  <c r="BU159" i="1"/>
  <c r="BS159" i="1"/>
  <c r="BQ159" i="1"/>
  <c r="BO159" i="1"/>
  <c r="BM159" i="1"/>
  <c r="BK159" i="1"/>
  <c r="BI159" i="1"/>
  <c r="BF159" i="1"/>
  <c r="BG159" i="1" s="1"/>
  <c r="BE159" i="1"/>
  <c r="BC159" i="1"/>
  <c r="BA159" i="1"/>
  <c r="AY159" i="1"/>
  <c r="AW159" i="1"/>
  <c r="AU159" i="1"/>
  <c r="AS159" i="1"/>
  <c r="AQ159" i="1"/>
  <c r="AO159" i="1"/>
  <c r="AM159" i="1"/>
  <c r="AK159" i="1"/>
  <c r="AI159" i="1"/>
  <c r="AF159" i="1"/>
  <c r="AG159" i="1" s="1"/>
  <c r="AE159" i="1"/>
  <c r="AC159" i="1"/>
  <c r="AA159" i="1"/>
  <c r="Y159" i="1"/>
  <c r="W159" i="1"/>
  <c r="U159" i="1"/>
  <c r="S159" i="1"/>
  <c r="Q159" i="1"/>
  <c r="O159" i="1"/>
  <c r="M159" i="1"/>
  <c r="K159" i="1"/>
  <c r="I159" i="1"/>
  <c r="DF156" i="1"/>
  <c r="DG156" i="1" s="1"/>
  <c r="DE156" i="1"/>
  <c r="DC156" i="1"/>
  <c r="DA156" i="1"/>
  <c r="CY156" i="1"/>
  <c r="CW156" i="1"/>
  <c r="CU156" i="1"/>
  <c r="CS156" i="1"/>
  <c r="CQ156" i="1"/>
  <c r="CO156" i="1"/>
  <c r="CM156" i="1"/>
  <c r="CK156" i="1"/>
  <c r="CI156" i="1"/>
  <c r="CF156" i="1"/>
  <c r="CG156" i="1" s="1"/>
  <c r="CE156" i="1"/>
  <c r="CC156" i="1"/>
  <c r="CA156" i="1"/>
  <c r="BY156" i="1"/>
  <c r="BW156" i="1"/>
  <c r="BU156" i="1"/>
  <c r="BS156" i="1"/>
  <c r="BQ156" i="1"/>
  <c r="BO156" i="1"/>
  <c r="BM156" i="1"/>
  <c r="BK156" i="1"/>
  <c r="BI156" i="1"/>
  <c r="BF156" i="1"/>
  <c r="BG156" i="1" s="1"/>
  <c r="BE156" i="1"/>
  <c r="BC156" i="1"/>
  <c r="BA156" i="1"/>
  <c r="AY156" i="1"/>
  <c r="AW156" i="1"/>
  <c r="AU156" i="1"/>
  <c r="AS156" i="1"/>
  <c r="AQ156" i="1"/>
  <c r="AO156" i="1"/>
  <c r="AM156" i="1"/>
  <c r="AK156" i="1"/>
  <c r="AI156" i="1"/>
  <c r="AF156" i="1"/>
  <c r="AG156" i="1" s="1"/>
  <c r="AE156" i="1"/>
  <c r="AC156" i="1"/>
  <c r="AA156" i="1"/>
  <c r="Y156" i="1"/>
  <c r="W156" i="1"/>
  <c r="U156" i="1"/>
  <c r="S156" i="1"/>
  <c r="Q156" i="1"/>
  <c r="O156" i="1"/>
  <c r="M156" i="1"/>
  <c r="K156" i="1"/>
  <c r="I156" i="1"/>
  <c r="DF155" i="1"/>
  <c r="DG155" i="1" s="1"/>
  <c r="DE155" i="1"/>
  <c r="DC155" i="1"/>
  <c r="DA155" i="1"/>
  <c r="CY155" i="1"/>
  <c r="CW155" i="1"/>
  <c r="CU155" i="1"/>
  <c r="CS155" i="1"/>
  <c r="CQ155" i="1"/>
  <c r="CO155" i="1"/>
  <c r="CM155" i="1"/>
  <c r="CK155" i="1"/>
  <c r="CI155" i="1"/>
  <c r="CF155" i="1"/>
  <c r="CG155" i="1" s="1"/>
  <c r="CE155" i="1"/>
  <c r="CC155" i="1"/>
  <c r="CA155" i="1"/>
  <c r="BY155" i="1"/>
  <c r="BW155" i="1"/>
  <c r="BU155" i="1"/>
  <c r="BS155" i="1"/>
  <c r="BQ155" i="1"/>
  <c r="BO155" i="1"/>
  <c r="BM155" i="1"/>
  <c r="BK155" i="1"/>
  <c r="BI155" i="1"/>
  <c r="BF155" i="1"/>
  <c r="BG155" i="1" s="1"/>
  <c r="BE155" i="1"/>
  <c r="BC155" i="1"/>
  <c r="BA155" i="1"/>
  <c r="AY155" i="1"/>
  <c r="AW155" i="1"/>
  <c r="AU155" i="1"/>
  <c r="AS155" i="1"/>
  <c r="AQ155" i="1"/>
  <c r="AO155" i="1"/>
  <c r="AM155" i="1"/>
  <c r="AK155" i="1"/>
  <c r="AI155" i="1"/>
  <c r="AF155" i="1"/>
  <c r="AG155" i="1" s="1"/>
  <c r="AE155" i="1"/>
  <c r="AC155" i="1"/>
  <c r="AA155" i="1"/>
  <c r="Y155" i="1"/>
  <c r="W155" i="1"/>
  <c r="U155" i="1"/>
  <c r="S155" i="1"/>
  <c r="Q155" i="1"/>
  <c r="O155" i="1"/>
  <c r="M155" i="1"/>
  <c r="K155" i="1"/>
  <c r="I155" i="1"/>
  <c r="DF154" i="1"/>
  <c r="DE154" i="1"/>
  <c r="DC154" i="1"/>
  <c r="DA154" i="1"/>
  <c r="CY154" i="1"/>
  <c r="CW154" i="1"/>
  <c r="CU154" i="1"/>
  <c r="CS154" i="1"/>
  <c r="CQ154" i="1"/>
  <c r="CO154" i="1"/>
  <c r="CM154" i="1"/>
  <c r="CK154" i="1"/>
  <c r="CI154" i="1"/>
  <c r="CF154" i="1"/>
  <c r="CG154" i="1" s="1"/>
  <c r="CE154" i="1"/>
  <c r="CC154" i="1"/>
  <c r="CA154" i="1"/>
  <c r="BY154" i="1"/>
  <c r="BW154" i="1"/>
  <c r="BU154" i="1"/>
  <c r="BS154" i="1"/>
  <c r="BQ154" i="1"/>
  <c r="BO154" i="1"/>
  <c r="BM154" i="1"/>
  <c r="BK154" i="1"/>
  <c r="BI154" i="1"/>
  <c r="BF154" i="1"/>
  <c r="BG154" i="1" s="1"/>
  <c r="BE154" i="1"/>
  <c r="BC154" i="1"/>
  <c r="BA154" i="1"/>
  <c r="AY154" i="1"/>
  <c r="AW154" i="1"/>
  <c r="AU154" i="1"/>
  <c r="AS154" i="1"/>
  <c r="AQ154" i="1"/>
  <c r="AO154" i="1"/>
  <c r="AM154" i="1"/>
  <c r="AK154" i="1"/>
  <c r="AI154" i="1"/>
  <c r="AF154" i="1"/>
  <c r="AG154" i="1" s="1"/>
  <c r="AE154" i="1"/>
  <c r="AC154" i="1"/>
  <c r="AA154" i="1"/>
  <c r="Y154" i="1"/>
  <c r="W154" i="1"/>
  <c r="U154" i="1"/>
  <c r="S154" i="1"/>
  <c r="Q154" i="1"/>
  <c r="O154" i="1"/>
  <c r="M154" i="1"/>
  <c r="K154" i="1"/>
  <c r="I154" i="1"/>
  <c r="DF153" i="1"/>
  <c r="DG153" i="1" s="1"/>
  <c r="DC153" i="1"/>
  <c r="DA153" i="1"/>
  <c r="CY153" i="1"/>
  <c r="CW153" i="1"/>
  <c r="CU153" i="1"/>
  <c r="CS153" i="1"/>
  <c r="CQ153" i="1"/>
  <c r="CO153" i="1"/>
  <c r="CM153" i="1"/>
  <c r="CK153" i="1"/>
  <c r="CI153" i="1"/>
  <c r="CF153" i="1"/>
  <c r="CG153" i="1" s="1"/>
  <c r="CE153" i="1"/>
  <c r="CC153" i="1"/>
  <c r="CA153" i="1"/>
  <c r="BY153" i="1"/>
  <c r="BW153" i="1"/>
  <c r="BU153" i="1"/>
  <c r="BS153" i="1"/>
  <c r="BQ153" i="1"/>
  <c r="BO153" i="1"/>
  <c r="BM153" i="1"/>
  <c r="BK153" i="1"/>
  <c r="BI153" i="1"/>
  <c r="BF153" i="1"/>
  <c r="BG153" i="1" s="1"/>
  <c r="BE153" i="1"/>
  <c r="BC153" i="1"/>
  <c r="BA153" i="1"/>
  <c r="AY153" i="1"/>
  <c r="AW153" i="1"/>
  <c r="AU153" i="1"/>
  <c r="AS153" i="1"/>
  <c r="AQ153" i="1"/>
  <c r="AO153" i="1"/>
  <c r="AM153" i="1"/>
  <c r="AK153" i="1"/>
  <c r="AI153" i="1"/>
  <c r="AF153" i="1"/>
  <c r="AG153" i="1" s="1"/>
  <c r="AE153" i="1"/>
  <c r="AC153" i="1"/>
  <c r="AA153" i="1"/>
  <c r="Y153" i="1"/>
  <c r="W153" i="1"/>
  <c r="U153" i="1"/>
  <c r="S153" i="1"/>
  <c r="Q153" i="1"/>
  <c r="O153" i="1"/>
  <c r="M153" i="1"/>
  <c r="K153" i="1"/>
  <c r="I153" i="1"/>
  <c r="DF152" i="1"/>
  <c r="DG152" i="1" s="1"/>
  <c r="DE152" i="1"/>
  <c r="DC152" i="1"/>
  <c r="DA152" i="1"/>
  <c r="CY152" i="1"/>
  <c r="CW152" i="1"/>
  <c r="CU152" i="1"/>
  <c r="CS152" i="1"/>
  <c r="CQ152" i="1"/>
  <c r="CO152" i="1"/>
  <c r="CM152" i="1"/>
  <c r="CK152" i="1"/>
  <c r="CI152" i="1"/>
  <c r="CF152" i="1"/>
  <c r="CG152" i="1" s="1"/>
  <c r="CE152" i="1"/>
  <c r="CC152" i="1"/>
  <c r="CA152" i="1"/>
  <c r="BY152" i="1"/>
  <c r="BW152" i="1"/>
  <c r="BU152" i="1"/>
  <c r="BS152" i="1"/>
  <c r="BQ152" i="1"/>
  <c r="BO152" i="1"/>
  <c r="BM152" i="1"/>
  <c r="BK152" i="1"/>
  <c r="BI152" i="1"/>
  <c r="BF152" i="1"/>
  <c r="BG152" i="1" s="1"/>
  <c r="BE152" i="1"/>
  <c r="BC152" i="1"/>
  <c r="BA152" i="1"/>
  <c r="AY152" i="1"/>
  <c r="AW152" i="1"/>
  <c r="AU152" i="1"/>
  <c r="AS152" i="1"/>
  <c r="AQ152" i="1"/>
  <c r="AO152" i="1"/>
  <c r="AM152" i="1"/>
  <c r="AK152" i="1"/>
  <c r="AI152" i="1"/>
  <c r="AF152" i="1"/>
  <c r="AG152" i="1" s="1"/>
  <c r="AE152" i="1"/>
  <c r="AC152" i="1"/>
  <c r="AA152" i="1"/>
  <c r="Y152" i="1"/>
  <c r="W152" i="1"/>
  <c r="U152" i="1"/>
  <c r="S152" i="1"/>
  <c r="Q152" i="1"/>
  <c r="O152" i="1"/>
  <c r="M152" i="1"/>
  <c r="K152" i="1"/>
  <c r="I152" i="1"/>
  <c r="DE151" i="1"/>
  <c r="DC151" i="1"/>
  <c r="DA151" i="1"/>
  <c r="CY151" i="1"/>
  <c r="CW151" i="1"/>
  <c r="CU151" i="1"/>
  <c r="CS151" i="1"/>
  <c r="CQ151" i="1"/>
  <c r="CM151" i="1"/>
  <c r="CK151" i="1"/>
  <c r="CI151" i="1"/>
  <c r="CF151" i="1"/>
  <c r="CG151" i="1" s="1"/>
  <c r="CE151" i="1"/>
  <c r="CC151" i="1"/>
  <c r="CA151" i="1"/>
  <c r="BY151" i="1"/>
  <c r="BW151" i="1"/>
  <c r="BU151" i="1"/>
  <c r="BS151" i="1"/>
  <c r="BQ151" i="1"/>
  <c r="BO151" i="1"/>
  <c r="BM151" i="1"/>
  <c r="BK151" i="1"/>
  <c r="BI151" i="1"/>
  <c r="BF151" i="1"/>
  <c r="BG151" i="1" s="1"/>
  <c r="BE151" i="1"/>
  <c r="BC151" i="1"/>
  <c r="BA151" i="1"/>
  <c r="AY151" i="1"/>
  <c r="AW151" i="1"/>
  <c r="AU151" i="1"/>
  <c r="AS151" i="1"/>
  <c r="AQ151" i="1"/>
  <c r="AO151" i="1"/>
  <c r="AM151" i="1"/>
  <c r="AK151" i="1"/>
  <c r="AI151" i="1"/>
  <c r="AF151" i="1"/>
  <c r="AE151" i="1"/>
  <c r="AC151" i="1"/>
  <c r="AA151" i="1"/>
  <c r="Y151" i="1"/>
  <c r="W151" i="1"/>
  <c r="U151" i="1"/>
  <c r="S151" i="1"/>
  <c r="Q151" i="1"/>
  <c r="O151" i="1"/>
  <c r="M151" i="1"/>
  <c r="K151" i="1"/>
  <c r="I151" i="1"/>
  <c r="DF150" i="1"/>
  <c r="DE150" i="1"/>
  <c r="DC150" i="1"/>
  <c r="DA150" i="1"/>
  <c r="CY150" i="1"/>
  <c r="CW150" i="1"/>
  <c r="CU150" i="1"/>
  <c r="CS150" i="1"/>
  <c r="CQ150" i="1"/>
  <c r="CO150" i="1"/>
  <c r="CM150" i="1"/>
  <c r="CK150" i="1"/>
  <c r="CI150" i="1"/>
  <c r="CF150" i="1"/>
  <c r="CE150" i="1"/>
  <c r="CC150" i="1"/>
  <c r="CA150" i="1"/>
  <c r="BY150" i="1"/>
  <c r="BW150" i="1"/>
  <c r="BU150" i="1"/>
  <c r="BS150" i="1"/>
  <c r="BQ150" i="1"/>
  <c r="BO150" i="1"/>
  <c r="BM150" i="1"/>
  <c r="BK150" i="1"/>
  <c r="BI150" i="1"/>
  <c r="BF150" i="1"/>
  <c r="BG150" i="1" s="1"/>
  <c r="BE150" i="1"/>
  <c r="BC150" i="1"/>
  <c r="BA150" i="1"/>
  <c r="AY150" i="1"/>
  <c r="AW150" i="1"/>
  <c r="AU150" i="1"/>
  <c r="AS150" i="1"/>
  <c r="AQ150" i="1"/>
  <c r="AO150" i="1"/>
  <c r="AM150" i="1"/>
  <c r="AK150" i="1"/>
  <c r="AI150" i="1"/>
  <c r="AF150" i="1"/>
  <c r="AG150" i="1" s="1"/>
  <c r="AE150" i="1"/>
  <c r="AC150" i="1"/>
  <c r="AA150" i="1"/>
  <c r="Y150" i="1"/>
  <c r="W150" i="1"/>
  <c r="U150" i="1"/>
  <c r="S150" i="1"/>
  <c r="Q150" i="1"/>
  <c r="O150" i="1"/>
  <c r="M150" i="1"/>
  <c r="K150" i="1"/>
  <c r="I150" i="1"/>
  <c r="DB148" i="1"/>
  <c r="CZ148" i="1"/>
  <c r="CX148" i="1"/>
  <c r="CV148" i="1"/>
  <c r="CT148" i="1"/>
  <c r="CR148" i="1"/>
  <c r="CP148" i="1"/>
  <c r="CL148" i="1"/>
  <c r="CJ148" i="1"/>
  <c r="CH148" i="1"/>
  <c r="CD148" i="1"/>
  <c r="CB148" i="1"/>
  <c r="CB170" i="1" s="1"/>
  <c r="BZ148" i="1"/>
  <c r="BX148" i="1"/>
  <c r="BV148" i="1"/>
  <c r="BT148" i="1"/>
  <c r="BR148" i="1"/>
  <c r="BP148" i="1"/>
  <c r="BN148" i="1"/>
  <c r="BJ148" i="1"/>
  <c r="BH148" i="1"/>
  <c r="BD148" i="1"/>
  <c r="BB148" i="1"/>
  <c r="AZ148" i="1"/>
  <c r="AX148" i="1"/>
  <c r="AV148" i="1"/>
  <c r="AT148" i="1"/>
  <c r="AR148" i="1"/>
  <c r="AP148" i="1"/>
  <c r="AN148" i="1"/>
  <c r="AL148" i="1"/>
  <c r="AJ148" i="1"/>
  <c r="AH148" i="1"/>
  <c r="AD148" i="1"/>
  <c r="AB148" i="1"/>
  <c r="Z148" i="1"/>
  <c r="X148" i="1"/>
  <c r="V148" i="1"/>
  <c r="T148" i="1"/>
  <c r="R148" i="1"/>
  <c r="P148" i="1"/>
  <c r="L148" i="1"/>
  <c r="J148" i="1"/>
  <c r="H148" i="1"/>
  <c r="DG147" i="1"/>
  <c r="DC147" i="1"/>
  <c r="DA147" i="1"/>
  <c r="CY147" i="1"/>
  <c r="CW147" i="1"/>
  <c r="CU147" i="1"/>
  <c r="CS147" i="1"/>
  <c r="CO147" i="1"/>
  <c r="CM147" i="1"/>
  <c r="CK147" i="1"/>
  <c r="CI147" i="1"/>
  <c r="DG145" i="1"/>
  <c r="DC145" i="1"/>
  <c r="DA145" i="1"/>
  <c r="CY145" i="1"/>
  <c r="CW145" i="1"/>
  <c r="CU145" i="1"/>
  <c r="CS145" i="1"/>
  <c r="CO145" i="1"/>
  <c r="CM145" i="1"/>
  <c r="CK145" i="1"/>
  <c r="CI145" i="1"/>
  <c r="DG144" i="1"/>
  <c r="DC144" i="1"/>
  <c r="DA144" i="1"/>
  <c r="CY144" i="1"/>
  <c r="CW144" i="1"/>
  <c r="CU144" i="1"/>
  <c r="CS144" i="1"/>
  <c r="CO144" i="1"/>
  <c r="CM144" i="1"/>
  <c r="CK144" i="1"/>
  <c r="CI144" i="1"/>
  <c r="CF144" i="1"/>
  <c r="CG144" i="1" s="1"/>
  <c r="CE144" i="1"/>
  <c r="CC144" i="1"/>
  <c r="CA144" i="1"/>
  <c r="BY144" i="1"/>
  <c r="BW144" i="1"/>
  <c r="BU144" i="1"/>
  <c r="BS144" i="1"/>
  <c r="BQ144" i="1"/>
  <c r="BO144" i="1"/>
  <c r="BM144" i="1"/>
  <c r="BK144" i="1"/>
  <c r="BI144" i="1"/>
  <c r="BF144" i="1"/>
  <c r="BG144" i="1" s="1"/>
  <c r="BE144" i="1"/>
  <c r="BC144" i="1"/>
  <c r="BA144" i="1"/>
  <c r="AY144" i="1"/>
  <c r="AW144" i="1"/>
  <c r="AU144" i="1"/>
  <c r="AS144" i="1"/>
  <c r="AQ144" i="1"/>
  <c r="AO144" i="1"/>
  <c r="AM144" i="1"/>
  <c r="AK144" i="1"/>
  <c r="AI144" i="1"/>
  <c r="AF144" i="1"/>
  <c r="AG144" i="1" s="1"/>
  <c r="AE144" i="1"/>
  <c r="DQ144" i="1" s="1"/>
  <c r="AC144" i="1"/>
  <c r="AA144" i="1"/>
  <c r="Y144" i="1"/>
  <c r="W144" i="1"/>
  <c r="U144" i="1"/>
  <c r="S144" i="1"/>
  <c r="Q144" i="1"/>
  <c r="O144" i="1"/>
  <c r="M144" i="1"/>
  <c r="K144" i="1"/>
  <c r="I144" i="1"/>
  <c r="DG143" i="1"/>
  <c r="DC143" i="1"/>
  <c r="DA143" i="1"/>
  <c r="CY143" i="1"/>
  <c r="CW143" i="1"/>
  <c r="CU143" i="1"/>
  <c r="CS143" i="1"/>
  <c r="CO143" i="1"/>
  <c r="CM143" i="1"/>
  <c r="CK143" i="1"/>
  <c r="CI143" i="1"/>
  <c r="CF143" i="1"/>
  <c r="CG143" i="1" s="1"/>
  <c r="CE143" i="1"/>
  <c r="CC143" i="1"/>
  <c r="CA143" i="1"/>
  <c r="BY143" i="1"/>
  <c r="BW143" i="1"/>
  <c r="BU143" i="1"/>
  <c r="BS143" i="1"/>
  <c r="BQ143" i="1"/>
  <c r="BO143" i="1"/>
  <c r="BM143" i="1"/>
  <c r="BK143" i="1"/>
  <c r="BI143" i="1"/>
  <c r="BF143" i="1"/>
  <c r="BG143" i="1" s="1"/>
  <c r="BE143" i="1"/>
  <c r="BC143" i="1"/>
  <c r="BA143" i="1"/>
  <c r="AY143" i="1"/>
  <c r="AW143" i="1"/>
  <c r="AU143" i="1"/>
  <c r="AS143" i="1"/>
  <c r="AQ143" i="1"/>
  <c r="AO143" i="1"/>
  <c r="AM143" i="1"/>
  <c r="AK143" i="1"/>
  <c r="AI143" i="1"/>
  <c r="AF143" i="1"/>
  <c r="AG143" i="1" s="1"/>
  <c r="AE143" i="1"/>
  <c r="DQ143" i="1" s="1"/>
  <c r="AC143" i="1"/>
  <c r="AA143" i="1"/>
  <c r="Y143" i="1"/>
  <c r="W143" i="1"/>
  <c r="U143" i="1"/>
  <c r="S143" i="1"/>
  <c r="Q143" i="1"/>
  <c r="O143" i="1"/>
  <c r="M143" i="1"/>
  <c r="K143" i="1"/>
  <c r="I143" i="1"/>
  <c r="DG142" i="1"/>
  <c r="DC142" i="1"/>
  <c r="DA142" i="1"/>
  <c r="CY142" i="1"/>
  <c r="CW142" i="1"/>
  <c r="CU142" i="1"/>
  <c r="CS142" i="1"/>
  <c r="CO142" i="1"/>
  <c r="CM142" i="1"/>
  <c r="CK142" i="1"/>
  <c r="CI142" i="1"/>
  <c r="DC139" i="1"/>
  <c r="DA139" i="1"/>
  <c r="CY139" i="1"/>
  <c r="CW139" i="1"/>
  <c r="CU139" i="1"/>
  <c r="CS139" i="1"/>
  <c r="CO139" i="1"/>
  <c r="CM139" i="1"/>
  <c r="CK139" i="1"/>
  <c r="CI139" i="1"/>
  <c r="CF139" i="1"/>
  <c r="CG139" i="1" s="1"/>
  <c r="CE139" i="1"/>
  <c r="CC139" i="1"/>
  <c r="CA139" i="1"/>
  <c r="BY139" i="1"/>
  <c r="BW139" i="1"/>
  <c r="BU139" i="1"/>
  <c r="BS139" i="1"/>
  <c r="BQ139" i="1"/>
  <c r="BO139" i="1"/>
  <c r="BM139" i="1"/>
  <c r="BK139" i="1"/>
  <c r="BI139" i="1"/>
  <c r="BF139" i="1"/>
  <c r="BG139" i="1" s="1"/>
  <c r="BE139" i="1"/>
  <c r="BC139" i="1"/>
  <c r="BA139" i="1"/>
  <c r="AY139" i="1"/>
  <c r="AW139" i="1"/>
  <c r="AU139" i="1"/>
  <c r="AS139" i="1"/>
  <c r="AQ139" i="1"/>
  <c r="AO139" i="1"/>
  <c r="AM139" i="1"/>
  <c r="AK139" i="1"/>
  <c r="AI139" i="1"/>
  <c r="AF139" i="1"/>
  <c r="AG139" i="1" s="1"/>
  <c r="AE139" i="1"/>
  <c r="DQ139" i="1" s="1"/>
  <c r="AC139" i="1"/>
  <c r="AA139" i="1"/>
  <c r="Y139" i="1"/>
  <c r="W139" i="1"/>
  <c r="U139" i="1"/>
  <c r="S139" i="1"/>
  <c r="Q139" i="1"/>
  <c r="O139" i="1"/>
  <c r="M139" i="1"/>
  <c r="K139" i="1"/>
  <c r="I139" i="1"/>
  <c r="DG138" i="1"/>
  <c r="DC138" i="1"/>
  <c r="DA138" i="1"/>
  <c r="CY138" i="1"/>
  <c r="CW138" i="1"/>
  <c r="CU138" i="1"/>
  <c r="CS138" i="1"/>
  <c r="CO138" i="1"/>
  <c r="CM138" i="1"/>
  <c r="CK138" i="1"/>
  <c r="CI138" i="1"/>
  <c r="DG137" i="1"/>
  <c r="DC137" i="1"/>
  <c r="DA137" i="1"/>
  <c r="CY137" i="1"/>
  <c r="CW137" i="1"/>
  <c r="CU137" i="1"/>
  <c r="CS137" i="1"/>
  <c r="CO137" i="1"/>
  <c r="CM137" i="1"/>
  <c r="CK137" i="1"/>
  <c r="CI137" i="1"/>
  <c r="CF137" i="1"/>
  <c r="CG137" i="1" s="1"/>
  <c r="CE137" i="1"/>
  <c r="CC137" i="1"/>
  <c r="CA137" i="1"/>
  <c r="BY137" i="1"/>
  <c r="BW137" i="1"/>
  <c r="BU137" i="1"/>
  <c r="BS137" i="1"/>
  <c r="BQ137" i="1"/>
  <c r="BO137" i="1"/>
  <c r="BM137" i="1"/>
  <c r="BK137" i="1"/>
  <c r="BI137" i="1"/>
  <c r="BF137" i="1"/>
  <c r="BG137" i="1" s="1"/>
  <c r="BE137" i="1"/>
  <c r="BC137" i="1"/>
  <c r="BA137" i="1"/>
  <c r="AY137" i="1"/>
  <c r="AW137" i="1"/>
  <c r="AU137" i="1"/>
  <c r="AS137" i="1"/>
  <c r="AQ137" i="1"/>
  <c r="AO137" i="1"/>
  <c r="AM137" i="1"/>
  <c r="AK137" i="1"/>
  <c r="AI137" i="1"/>
  <c r="AF137" i="1"/>
  <c r="AG137" i="1" s="1"/>
  <c r="AE137" i="1"/>
  <c r="DQ137" i="1" s="1"/>
  <c r="AC137" i="1"/>
  <c r="AA137" i="1"/>
  <c r="Y137" i="1"/>
  <c r="W137" i="1"/>
  <c r="U137" i="1"/>
  <c r="S137" i="1"/>
  <c r="Q137" i="1"/>
  <c r="O137" i="1"/>
  <c r="M137" i="1"/>
  <c r="K137" i="1"/>
  <c r="I137" i="1"/>
  <c r="DG136" i="1"/>
  <c r="DC136" i="1"/>
  <c r="DA136" i="1"/>
  <c r="CY136" i="1"/>
  <c r="CW136" i="1"/>
  <c r="CU136" i="1"/>
  <c r="CS136" i="1"/>
  <c r="CO136" i="1"/>
  <c r="CM136" i="1"/>
  <c r="CK136" i="1"/>
  <c r="CI136" i="1"/>
  <c r="CF136" i="1"/>
  <c r="CG136" i="1" s="1"/>
  <c r="CE136" i="1"/>
  <c r="CC136" i="1"/>
  <c r="CA136" i="1"/>
  <c r="BY136" i="1"/>
  <c r="BW136" i="1"/>
  <c r="BU136" i="1"/>
  <c r="BS136" i="1"/>
  <c r="BQ136" i="1"/>
  <c r="BO136" i="1"/>
  <c r="BM136" i="1"/>
  <c r="BK136" i="1"/>
  <c r="BI136" i="1"/>
  <c r="BF136" i="1"/>
  <c r="BG136" i="1" s="1"/>
  <c r="BE136" i="1"/>
  <c r="BC136" i="1"/>
  <c r="BA136" i="1"/>
  <c r="AY136" i="1"/>
  <c r="AW136" i="1"/>
  <c r="AU136" i="1"/>
  <c r="AS136" i="1"/>
  <c r="AQ136" i="1"/>
  <c r="AO136" i="1"/>
  <c r="AM136" i="1"/>
  <c r="AK136" i="1"/>
  <c r="AI136" i="1"/>
  <c r="AF136" i="1"/>
  <c r="AG136" i="1" s="1"/>
  <c r="AE136" i="1"/>
  <c r="DQ136" i="1" s="1"/>
  <c r="AC136" i="1"/>
  <c r="AA136" i="1"/>
  <c r="Y136" i="1"/>
  <c r="W136" i="1"/>
  <c r="U136" i="1"/>
  <c r="S136" i="1"/>
  <c r="Q136" i="1"/>
  <c r="O136" i="1"/>
  <c r="M136" i="1"/>
  <c r="K136" i="1"/>
  <c r="I136" i="1"/>
  <c r="DG135" i="1"/>
  <c r="DC135" i="1"/>
  <c r="DA135" i="1"/>
  <c r="CY135" i="1"/>
  <c r="CW135" i="1"/>
  <c r="CU135" i="1"/>
  <c r="CS135" i="1"/>
  <c r="CO135" i="1"/>
  <c r="CM135" i="1"/>
  <c r="CK135" i="1"/>
  <c r="CI135" i="1"/>
  <c r="CF135" i="1"/>
  <c r="CG135" i="1" s="1"/>
  <c r="CE135" i="1"/>
  <c r="CC135" i="1"/>
  <c r="CA135" i="1"/>
  <c r="BY135" i="1"/>
  <c r="BW135" i="1"/>
  <c r="BU135" i="1"/>
  <c r="BS135" i="1"/>
  <c r="BQ135" i="1"/>
  <c r="BO135" i="1"/>
  <c r="BM135" i="1"/>
  <c r="BK135" i="1"/>
  <c r="BI135" i="1"/>
  <c r="BF135" i="1"/>
  <c r="BG135" i="1" s="1"/>
  <c r="BE135" i="1"/>
  <c r="BC135" i="1"/>
  <c r="BA135" i="1"/>
  <c r="AY135" i="1"/>
  <c r="AW135" i="1"/>
  <c r="AU135" i="1"/>
  <c r="AS135" i="1"/>
  <c r="AQ135" i="1"/>
  <c r="AO135" i="1"/>
  <c r="AM135" i="1"/>
  <c r="AK135" i="1"/>
  <c r="AI135" i="1"/>
  <c r="AF135" i="1"/>
  <c r="AG135" i="1" s="1"/>
  <c r="AE135" i="1"/>
  <c r="DQ135" i="1" s="1"/>
  <c r="AC135" i="1"/>
  <c r="AA135" i="1"/>
  <c r="Y135" i="1"/>
  <c r="W135" i="1"/>
  <c r="U135" i="1"/>
  <c r="S135" i="1"/>
  <c r="Q135" i="1"/>
  <c r="O135" i="1"/>
  <c r="M135" i="1"/>
  <c r="K135" i="1"/>
  <c r="I135" i="1"/>
  <c r="DG134" i="1"/>
  <c r="DC134" i="1"/>
  <c r="DA134" i="1"/>
  <c r="CY134" i="1"/>
  <c r="CW134" i="1"/>
  <c r="CU134" i="1"/>
  <c r="CS134" i="1"/>
  <c r="CO134" i="1"/>
  <c r="CM134" i="1"/>
  <c r="CK134" i="1"/>
  <c r="CI134" i="1"/>
  <c r="CF134" i="1"/>
  <c r="CG134" i="1" s="1"/>
  <c r="CE134" i="1"/>
  <c r="CC134" i="1"/>
  <c r="CA134" i="1"/>
  <c r="BY134" i="1"/>
  <c r="BW134" i="1"/>
  <c r="BU134" i="1"/>
  <c r="BS134" i="1"/>
  <c r="BQ134" i="1"/>
  <c r="BO134" i="1"/>
  <c r="BM134" i="1"/>
  <c r="BK134" i="1"/>
  <c r="BI134" i="1"/>
  <c r="BF134" i="1"/>
  <c r="BG134" i="1" s="1"/>
  <c r="BE134" i="1"/>
  <c r="BC134" i="1"/>
  <c r="BA134" i="1"/>
  <c r="AY134" i="1"/>
  <c r="AW134" i="1"/>
  <c r="AU134" i="1"/>
  <c r="AS134" i="1"/>
  <c r="AQ134" i="1"/>
  <c r="AO134" i="1"/>
  <c r="AM134" i="1"/>
  <c r="AK134" i="1"/>
  <c r="AI134" i="1"/>
  <c r="AF134" i="1"/>
  <c r="AG134" i="1" s="1"/>
  <c r="AE134" i="1"/>
  <c r="DQ134" i="1" s="1"/>
  <c r="AC134" i="1"/>
  <c r="AA134" i="1"/>
  <c r="Y134" i="1"/>
  <c r="W134" i="1"/>
  <c r="U134" i="1"/>
  <c r="S134" i="1"/>
  <c r="Q134" i="1"/>
  <c r="O134" i="1"/>
  <c r="M134" i="1"/>
  <c r="K134" i="1"/>
  <c r="I134" i="1"/>
  <c r="DG133" i="1"/>
  <c r="DC133" i="1"/>
  <c r="DA133" i="1"/>
  <c r="CY133" i="1"/>
  <c r="CW133" i="1"/>
  <c r="CU133" i="1"/>
  <c r="CS133" i="1"/>
  <c r="CO133" i="1"/>
  <c r="CM133" i="1"/>
  <c r="CK133" i="1"/>
  <c r="CI133" i="1"/>
  <c r="CF133" i="1"/>
  <c r="CG133" i="1" s="1"/>
  <c r="CE133" i="1"/>
  <c r="CC133" i="1"/>
  <c r="CA133" i="1"/>
  <c r="BY133" i="1"/>
  <c r="BW133" i="1"/>
  <c r="BU133" i="1"/>
  <c r="BS133" i="1"/>
  <c r="BQ133" i="1"/>
  <c r="BO133" i="1"/>
  <c r="BM133" i="1"/>
  <c r="BK133" i="1"/>
  <c r="BI133" i="1"/>
  <c r="BF133" i="1"/>
  <c r="BG133" i="1" s="1"/>
  <c r="BE133" i="1"/>
  <c r="BC133" i="1"/>
  <c r="BA133" i="1"/>
  <c r="AY133" i="1"/>
  <c r="AW133" i="1"/>
  <c r="AU133" i="1"/>
  <c r="AS133" i="1"/>
  <c r="AQ133" i="1"/>
  <c r="AO133" i="1"/>
  <c r="AM133" i="1"/>
  <c r="AK133" i="1"/>
  <c r="AI133" i="1"/>
  <c r="AF133" i="1"/>
  <c r="AG133" i="1" s="1"/>
  <c r="AE133" i="1"/>
  <c r="DQ133" i="1" s="1"/>
  <c r="AC133" i="1"/>
  <c r="AA133" i="1"/>
  <c r="Y133" i="1"/>
  <c r="W133" i="1"/>
  <c r="U133" i="1"/>
  <c r="S133" i="1"/>
  <c r="Q133" i="1"/>
  <c r="O133" i="1"/>
  <c r="M133" i="1"/>
  <c r="K133" i="1"/>
  <c r="I133" i="1"/>
  <c r="DC132" i="1"/>
  <c r="DA132" i="1"/>
  <c r="CY132" i="1"/>
  <c r="CW132" i="1"/>
  <c r="CU132" i="1"/>
  <c r="CS132" i="1"/>
  <c r="CO132" i="1"/>
  <c r="CM132" i="1"/>
  <c r="CK132" i="1"/>
  <c r="CI132" i="1"/>
  <c r="CF132" i="1"/>
  <c r="CG132" i="1" s="1"/>
  <c r="CE132" i="1"/>
  <c r="CC132" i="1"/>
  <c r="CA132" i="1"/>
  <c r="BY132" i="1"/>
  <c r="BW132" i="1"/>
  <c r="BU132" i="1"/>
  <c r="BS132" i="1"/>
  <c r="BQ132" i="1"/>
  <c r="BO132" i="1"/>
  <c r="BM132" i="1"/>
  <c r="BK132" i="1"/>
  <c r="BI132" i="1"/>
  <c r="BF132" i="1"/>
  <c r="BG132" i="1" s="1"/>
  <c r="BE132" i="1"/>
  <c r="BC132" i="1"/>
  <c r="BA132" i="1"/>
  <c r="AY132" i="1"/>
  <c r="AW132" i="1"/>
  <c r="AU132" i="1"/>
  <c r="AS132" i="1"/>
  <c r="AQ132" i="1"/>
  <c r="AO132" i="1"/>
  <c r="AM132" i="1"/>
  <c r="AK132" i="1"/>
  <c r="AI132" i="1"/>
  <c r="AF132" i="1"/>
  <c r="AG132" i="1" s="1"/>
  <c r="AE132" i="1"/>
  <c r="DQ132" i="1" s="1"/>
  <c r="AC132" i="1"/>
  <c r="AA132" i="1"/>
  <c r="Y132" i="1"/>
  <c r="W132" i="1"/>
  <c r="U132" i="1"/>
  <c r="S132" i="1"/>
  <c r="Q132" i="1"/>
  <c r="O132" i="1"/>
  <c r="M132" i="1"/>
  <c r="K132" i="1"/>
  <c r="I132" i="1"/>
  <c r="DG131" i="1"/>
  <c r="DC131" i="1"/>
  <c r="DA131" i="1"/>
  <c r="CY131" i="1"/>
  <c r="CW131" i="1"/>
  <c r="CU131" i="1"/>
  <c r="CS131" i="1"/>
  <c r="CO131" i="1"/>
  <c r="CM131" i="1"/>
  <c r="CK131" i="1"/>
  <c r="CI131" i="1"/>
  <c r="CF131" i="1"/>
  <c r="CG131" i="1" s="1"/>
  <c r="CE131" i="1"/>
  <c r="CC131" i="1"/>
  <c r="CA131" i="1"/>
  <c r="BY131" i="1"/>
  <c r="BW131" i="1"/>
  <c r="BU131" i="1"/>
  <c r="BS131" i="1"/>
  <c r="BQ131" i="1"/>
  <c r="BO131" i="1"/>
  <c r="BM131" i="1"/>
  <c r="BK131" i="1"/>
  <c r="BI131" i="1"/>
  <c r="BF131" i="1"/>
  <c r="BG131" i="1" s="1"/>
  <c r="BE131" i="1"/>
  <c r="BC131" i="1"/>
  <c r="BA131" i="1"/>
  <c r="AY131" i="1"/>
  <c r="AW131" i="1"/>
  <c r="AU131" i="1"/>
  <c r="AS131" i="1"/>
  <c r="AQ131" i="1"/>
  <c r="AO131" i="1"/>
  <c r="AM131" i="1"/>
  <c r="AK131" i="1"/>
  <c r="AI131" i="1"/>
  <c r="AF131" i="1"/>
  <c r="AG131" i="1" s="1"/>
  <c r="AE131" i="1"/>
  <c r="DQ131" i="1" s="1"/>
  <c r="AC131" i="1"/>
  <c r="AA131" i="1"/>
  <c r="Y131" i="1"/>
  <c r="W131" i="1"/>
  <c r="U131" i="1"/>
  <c r="S131" i="1"/>
  <c r="Q131" i="1"/>
  <c r="O131" i="1"/>
  <c r="M131" i="1"/>
  <c r="K131" i="1"/>
  <c r="I131" i="1"/>
  <c r="DG130" i="1"/>
  <c r="DC130" i="1"/>
  <c r="CY130" i="1"/>
  <c r="CW130" i="1"/>
  <c r="CU130" i="1"/>
  <c r="CS130" i="1"/>
  <c r="CO130" i="1"/>
  <c r="CM130" i="1"/>
  <c r="CK130" i="1"/>
  <c r="CI130" i="1"/>
  <c r="CF130" i="1"/>
  <c r="CG130" i="1" s="1"/>
  <c r="CE130" i="1"/>
  <c r="CC130" i="1"/>
  <c r="CA130" i="1"/>
  <c r="BY130" i="1"/>
  <c r="BW130" i="1"/>
  <c r="BU130" i="1"/>
  <c r="BS130" i="1"/>
  <c r="BQ130" i="1"/>
  <c r="BO130" i="1"/>
  <c r="BM130" i="1"/>
  <c r="BK130" i="1"/>
  <c r="BI130" i="1"/>
  <c r="BF130" i="1"/>
  <c r="BG130" i="1" s="1"/>
  <c r="BE130" i="1"/>
  <c r="BC130" i="1"/>
  <c r="BA130" i="1"/>
  <c r="AY130" i="1"/>
  <c r="AW130" i="1"/>
  <c r="AU130" i="1"/>
  <c r="AS130" i="1"/>
  <c r="AQ130" i="1"/>
  <c r="AO130" i="1"/>
  <c r="AM130" i="1"/>
  <c r="AK130" i="1"/>
  <c r="DQ130" i="1"/>
  <c r="Y130" i="1"/>
  <c r="W130" i="1"/>
  <c r="U130" i="1"/>
  <c r="S130" i="1"/>
  <c r="Q130" i="1"/>
  <c r="O130" i="1"/>
  <c r="K130" i="1"/>
  <c r="DG118" i="1"/>
  <c r="DC118" i="1"/>
  <c r="DA118" i="1"/>
  <c r="CY118" i="1"/>
  <c r="CW118" i="1"/>
  <c r="CU118" i="1"/>
  <c r="CS118" i="1"/>
  <c r="CO118" i="1"/>
  <c r="CM118" i="1"/>
  <c r="CK118" i="1"/>
  <c r="CI118" i="1"/>
  <c r="DG117" i="1"/>
  <c r="DC117" i="1"/>
  <c r="DA117" i="1"/>
  <c r="CY117" i="1"/>
  <c r="CW117" i="1"/>
  <c r="CU117" i="1"/>
  <c r="CS117" i="1"/>
  <c r="CO117" i="1"/>
  <c r="CM117" i="1"/>
  <c r="CK117" i="1"/>
  <c r="CI117" i="1"/>
  <c r="DG116" i="1"/>
  <c r="DC116" i="1"/>
  <c r="DA116" i="1"/>
  <c r="CY116" i="1"/>
  <c r="CW116" i="1"/>
  <c r="CU116" i="1"/>
  <c r="CS116" i="1"/>
  <c r="CO116" i="1"/>
  <c r="CM116" i="1"/>
  <c r="CK116" i="1"/>
  <c r="CI116" i="1"/>
  <c r="DG115" i="1"/>
  <c r="DC115" i="1"/>
  <c r="DA115" i="1"/>
  <c r="CY115" i="1"/>
  <c r="CW115" i="1"/>
  <c r="CU115" i="1"/>
  <c r="CS115" i="1"/>
  <c r="CO115" i="1"/>
  <c r="CM115" i="1"/>
  <c r="CK115" i="1"/>
  <c r="CI115" i="1"/>
  <c r="CF115" i="1"/>
  <c r="CG115" i="1" s="1"/>
  <c r="CE115" i="1"/>
  <c r="CC115" i="1"/>
  <c r="CA115" i="1"/>
  <c r="BY115" i="1"/>
  <c r="BW115" i="1"/>
  <c r="BU115" i="1"/>
  <c r="BS115" i="1"/>
  <c r="BQ115" i="1"/>
  <c r="BO115" i="1"/>
  <c r="BM115" i="1"/>
  <c r="BK115" i="1"/>
  <c r="BI115" i="1"/>
  <c r="BF115" i="1"/>
  <c r="BG115" i="1" s="1"/>
  <c r="BE115" i="1"/>
  <c r="BA115" i="1"/>
  <c r="AY115" i="1"/>
  <c r="AW115" i="1"/>
  <c r="AU115" i="1"/>
  <c r="AS115" i="1"/>
  <c r="AQ115" i="1"/>
  <c r="AO115" i="1"/>
  <c r="AM115" i="1"/>
  <c r="AK115" i="1"/>
  <c r="AI115" i="1"/>
  <c r="AF115" i="1"/>
  <c r="AG115" i="1" s="1"/>
  <c r="AE115" i="1"/>
  <c r="DQ115" i="1" s="1"/>
  <c r="AC115" i="1"/>
  <c r="AA115" i="1"/>
  <c r="Y115" i="1"/>
  <c r="W115" i="1"/>
  <c r="U115" i="1"/>
  <c r="S115" i="1"/>
  <c r="Q115" i="1"/>
  <c r="O115" i="1"/>
  <c r="M115" i="1"/>
  <c r="DG114" i="1"/>
  <c r="DC114" i="1"/>
  <c r="DA114" i="1"/>
  <c r="CY114" i="1"/>
  <c r="CW114" i="1"/>
  <c r="CU114" i="1"/>
  <c r="CS114" i="1"/>
  <c r="CO114" i="1"/>
  <c r="CM114" i="1"/>
  <c r="CK114" i="1"/>
  <c r="CI114" i="1"/>
  <c r="CF114" i="1"/>
  <c r="CG114" i="1" s="1"/>
  <c r="CE114" i="1"/>
  <c r="CC114" i="1"/>
  <c r="CA114" i="1"/>
  <c r="BY114" i="1"/>
  <c r="BW114" i="1"/>
  <c r="BU114" i="1"/>
  <c r="BS114" i="1"/>
  <c r="BQ114" i="1"/>
  <c r="BO114" i="1"/>
  <c r="BM114" i="1"/>
  <c r="BK114" i="1"/>
  <c r="BI114" i="1"/>
  <c r="BF114" i="1"/>
  <c r="BG114" i="1" s="1"/>
  <c r="BE114" i="1"/>
  <c r="BC114" i="1"/>
  <c r="BA114" i="1"/>
  <c r="AY114" i="1"/>
  <c r="AW114" i="1"/>
  <c r="AU114" i="1"/>
  <c r="AS114" i="1"/>
  <c r="AQ114" i="1"/>
  <c r="AO114" i="1"/>
  <c r="AM114" i="1"/>
  <c r="AK114" i="1"/>
  <c r="AI114" i="1"/>
  <c r="AF114" i="1"/>
  <c r="AG114" i="1" s="1"/>
  <c r="AE114" i="1"/>
  <c r="DQ114" i="1" s="1"/>
  <c r="AC114" i="1"/>
  <c r="AA114" i="1"/>
  <c r="Y114" i="1"/>
  <c r="W114" i="1"/>
  <c r="U114" i="1"/>
  <c r="S114" i="1"/>
  <c r="Q114" i="1"/>
  <c r="O114" i="1"/>
  <c r="M114" i="1"/>
  <c r="I114" i="1"/>
  <c r="DG113" i="1"/>
  <c r="DC113" i="1"/>
  <c r="DA113" i="1"/>
  <c r="CY113" i="1"/>
  <c r="CW113" i="1"/>
  <c r="CU113" i="1"/>
  <c r="CS113" i="1"/>
  <c r="CM113" i="1"/>
  <c r="CK113" i="1"/>
  <c r="CI113" i="1"/>
  <c r="CF113" i="1"/>
  <c r="CG113" i="1" s="1"/>
  <c r="CE113" i="1"/>
  <c r="CC113" i="1"/>
  <c r="CA113" i="1"/>
  <c r="BY113" i="1"/>
  <c r="BW113" i="1"/>
  <c r="BU113" i="1"/>
  <c r="BS113" i="1"/>
  <c r="BQ113" i="1"/>
  <c r="BO113" i="1"/>
  <c r="BM113" i="1"/>
  <c r="BK113" i="1"/>
  <c r="BI113" i="1"/>
  <c r="BF113" i="1"/>
  <c r="BG113" i="1" s="1"/>
  <c r="BE113" i="1"/>
  <c r="BC113" i="1"/>
  <c r="BA113" i="1"/>
  <c r="AY113" i="1"/>
  <c r="AW113" i="1"/>
  <c r="AU113" i="1"/>
  <c r="AS113" i="1"/>
  <c r="AQ113" i="1"/>
  <c r="AO113" i="1"/>
  <c r="AM113" i="1"/>
  <c r="AK113" i="1"/>
  <c r="AI113" i="1"/>
  <c r="AF113" i="1"/>
  <c r="AG113" i="1" s="1"/>
  <c r="AE113" i="1"/>
  <c r="DQ113" i="1" s="1"/>
  <c r="AC113" i="1"/>
  <c r="AA113" i="1"/>
  <c r="Y113" i="1"/>
  <c r="W113" i="1"/>
  <c r="U113" i="1"/>
  <c r="S113" i="1"/>
  <c r="Q113" i="1"/>
  <c r="O113" i="1"/>
  <c r="M113" i="1"/>
  <c r="K113" i="1"/>
  <c r="I113" i="1"/>
  <c r="DG112" i="1"/>
  <c r="DC112" i="1"/>
  <c r="DA112" i="1"/>
  <c r="CY112" i="1"/>
  <c r="CW112" i="1"/>
  <c r="CU112" i="1"/>
  <c r="CS112" i="1"/>
  <c r="CO112" i="1"/>
  <c r="CM112" i="1"/>
  <c r="CK112" i="1"/>
  <c r="CI112" i="1"/>
  <c r="DG111" i="1"/>
  <c r="DC111" i="1"/>
  <c r="DA111" i="1"/>
  <c r="CY111" i="1"/>
  <c r="CW111" i="1"/>
  <c r="CU111" i="1"/>
  <c r="CS111" i="1"/>
  <c r="CO111" i="1"/>
  <c r="CM111" i="1"/>
  <c r="CK111" i="1"/>
  <c r="CI111" i="1"/>
  <c r="CF111" i="1"/>
  <c r="CG111" i="1" s="1"/>
  <c r="CE111" i="1"/>
  <c r="CC111" i="1"/>
  <c r="CA111" i="1"/>
  <c r="BY111" i="1"/>
  <c r="BW111" i="1"/>
  <c r="BU111" i="1"/>
  <c r="BS111" i="1"/>
  <c r="BQ111" i="1"/>
  <c r="BO111" i="1"/>
  <c r="BM111" i="1"/>
  <c r="BK111" i="1"/>
  <c r="BI111" i="1"/>
  <c r="BF111" i="1"/>
  <c r="BG111" i="1" s="1"/>
  <c r="BE111" i="1"/>
  <c r="BC111" i="1"/>
  <c r="BA111" i="1"/>
  <c r="AY111" i="1"/>
  <c r="AW111" i="1"/>
  <c r="AU111" i="1"/>
  <c r="AS111" i="1"/>
  <c r="AQ111" i="1"/>
  <c r="AO111" i="1"/>
  <c r="AM111" i="1"/>
  <c r="AK111" i="1"/>
  <c r="AI111" i="1"/>
  <c r="AF111" i="1"/>
  <c r="AG111" i="1" s="1"/>
  <c r="AE111" i="1"/>
  <c r="DQ111" i="1" s="1"/>
  <c r="AC111" i="1"/>
  <c r="AA111" i="1"/>
  <c r="Y111" i="1"/>
  <c r="W111" i="1"/>
  <c r="U111" i="1"/>
  <c r="S111" i="1"/>
  <c r="Q111" i="1"/>
  <c r="O111" i="1"/>
  <c r="M111" i="1"/>
  <c r="K111" i="1"/>
  <c r="I111" i="1"/>
  <c r="DG110" i="1"/>
  <c r="DC110" i="1"/>
  <c r="DA110" i="1"/>
  <c r="CY110" i="1"/>
  <c r="CW110" i="1"/>
  <c r="CU110" i="1"/>
  <c r="CS110" i="1"/>
  <c r="CO110" i="1"/>
  <c r="CM110" i="1"/>
  <c r="CK110" i="1"/>
  <c r="CI110" i="1"/>
  <c r="DG109" i="1"/>
  <c r="DC109" i="1"/>
  <c r="DA109" i="1"/>
  <c r="CY109" i="1"/>
  <c r="CW109" i="1"/>
  <c r="CU109" i="1"/>
  <c r="CS109" i="1"/>
  <c r="CO109" i="1"/>
  <c r="CM109" i="1"/>
  <c r="CK109" i="1"/>
  <c r="CI109" i="1"/>
  <c r="DG108" i="1"/>
  <c r="DC108" i="1"/>
  <c r="DA108" i="1"/>
  <c r="CY108" i="1"/>
  <c r="CW108" i="1"/>
  <c r="CU108" i="1"/>
  <c r="CS108" i="1"/>
  <c r="CO108" i="1"/>
  <c r="CM108" i="1"/>
  <c r="CK108" i="1"/>
  <c r="CI108" i="1"/>
  <c r="DG107" i="1"/>
  <c r="DC107" i="1"/>
  <c r="DA107" i="1"/>
  <c r="CY107" i="1"/>
  <c r="CW107" i="1"/>
  <c r="CU107" i="1"/>
  <c r="CS107" i="1"/>
  <c r="CO107" i="1"/>
  <c r="CM107" i="1"/>
  <c r="CK107" i="1"/>
  <c r="CI107" i="1"/>
  <c r="DG106" i="1"/>
  <c r="DC106" i="1"/>
  <c r="DA106" i="1"/>
  <c r="CY106" i="1"/>
  <c r="CW106" i="1"/>
  <c r="CU106" i="1"/>
  <c r="CS106" i="1"/>
  <c r="CO106" i="1"/>
  <c r="CM106" i="1"/>
  <c r="CK106" i="1"/>
  <c r="CI106" i="1"/>
  <c r="CF106" i="1"/>
  <c r="CG106" i="1" s="1"/>
  <c r="CE106" i="1"/>
  <c r="CC106" i="1"/>
  <c r="CA106" i="1"/>
  <c r="BY106" i="1"/>
  <c r="BW106" i="1"/>
  <c r="BU106" i="1"/>
  <c r="BS106" i="1"/>
  <c r="BQ106" i="1"/>
  <c r="BO106" i="1"/>
  <c r="BM106" i="1"/>
  <c r="BK106" i="1"/>
  <c r="BI106" i="1"/>
  <c r="BF106" i="1"/>
  <c r="BG106" i="1" s="1"/>
  <c r="BE106" i="1"/>
  <c r="BC106" i="1"/>
  <c r="BA106" i="1"/>
  <c r="AY106" i="1"/>
  <c r="AW106" i="1"/>
  <c r="AU106" i="1"/>
  <c r="AS106" i="1"/>
  <c r="AQ106" i="1"/>
  <c r="AO106" i="1"/>
  <c r="AM106" i="1"/>
  <c r="AK106" i="1"/>
  <c r="AI106" i="1"/>
  <c r="AF106" i="1"/>
  <c r="AG106" i="1" s="1"/>
  <c r="AE106" i="1"/>
  <c r="DQ106" i="1" s="1"/>
  <c r="AC106" i="1"/>
  <c r="AA106" i="1"/>
  <c r="Y106" i="1"/>
  <c r="W106" i="1"/>
  <c r="U106" i="1"/>
  <c r="S106" i="1"/>
  <c r="Q106" i="1"/>
  <c r="O106" i="1"/>
  <c r="M106" i="1"/>
  <c r="K106" i="1"/>
  <c r="I106" i="1"/>
  <c r="DG105" i="1"/>
  <c r="DC105" i="1"/>
  <c r="DA105" i="1"/>
  <c r="CY105" i="1"/>
  <c r="CW105" i="1"/>
  <c r="CU105" i="1"/>
  <c r="CS105" i="1"/>
  <c r="CO105" i="1"/>
  <c r="CM105" i="1"/>
  <c r="CK105" i="1"/>
  <c r="CI105" i="1"/>
  <c r="CF105" i="1"/>
  <c r="BF105" i="1"/>
  <c r="AF105" i="1"/>
  <c r="DG104" i="1"/>
  <c r="DC104" i="1"/>
  <c r="DA104" i="1"/>
  <c r="CY104" i="1"/>
  <c r="CW104" i="1"/>
  <c r="CU104" i="1"/>
  <c r="CS104" i="1"/>
  <c r="CO104" i="1"/>
  <c r="CM104" i="1"/>
  <c r="CK104" i="1"/>
  <c r="CI104" i="1"/>
  <c r="DG103" i="1"/>
  <c r="DC103" i="1"/>
  <c r="DA103" i="1"/>
  <c r="CY103" i="1"/>
  <c r="CW103" i="1"/>
  <c r="CU103" i="1"/>
  <c r="CS103" i="1"/>
  <c r="CO103" i="1"/>
  <c r="CM103" i="1"/>
  <c r="CK103" i="1"/>
  <c r="CI103" i="1"/>
  <c r="DG102" i="1"/>
  <c r="DC102" i="1"/>
  <c r="DA102" i="1"/>
  <c r="CY102" i="1"/>
  <c r="CW102" i="1"/>
  <c r="CU102" i="1"/>
  <c r="CS102" i="1"/>
  <c r="CO102" i="1"/>
  <c r="CM102" i="1"/>
  <c r="CK102" i="1"/>
  <c r="CI102" i="1"/>
  <c r="DG101" i="1"/>
  <c r="DC101" i="1"/>
  <c r="DA101" i="1"/>
  <c r="CY101" i="1"/>
  <c r="CW101" i="1"/>
  <c r="CU101" i="1"/>
  <c r="CS101" i="1"/>
  <c r="CO101" i="1"/>
  <c r="CM101" i="1"/>
  <c r="CK101" i="1"/>
  <c r="CI101" i="1"/>
  <c r="CF101" i="1"/>
  <c r="CG101" i="1" s="1"/>
  <c r="CE101" i="1"/>
  <c r="CC101" i="1"/>
  <c r="CA101" i="1"/>
  <c r="BY101" i="1"/>
  <c r="BW101" i="1"/>
  <c r="BU101" i="1"/>
  <c r="BS101" i="1"/>
  <c r="BQ101" i="1"/>
  <c r="BO101" i="1"/>
  <c r="BM101" i="1"/>
  <c r="BK101" i="1"/>
  <c r="BI101" i="1"/>
  <c r="BF101" i="1"/>
  <c r="BG101" i="1" s="1"/>
  <c r="BE101" i="1"/>
  <c r="BC101" i="1"/>
  <c r="BA101" i="1"/>
  <c r="AY101" i="1"/>
  <c r="AW101" i="1"/>
  <c r="AU101" i="1"/>
  <c r="AS101" i="1"/>
  <c r="AQ101" i="1"/>
  <c r="AO101" i="1"/>
  <c r="AM101" i="1"/>
  <c r="AK101" i="1"/>
  <c r="AI101" i="1"/>
  <c r="AF101" i="1"/>
  <c r="AG101" i="1" s="1"/>
  <c r="AE101" i="1"/>
  <c r="DQ101" i="1" s="1"/>
  <c r="AC101" i="1"/>
  <c r="AA101" i="1"/>
  <c r="Y101" i="1"/>
  <c r="W101" i="1"/>
  <c r="U101" i="1"/>
  <c r="S101" i="1"/>
  <c r="Q101" i="1"/>
  <c r="O101" i="1"/>
  <c r="M101" i="1"/>
  <c r="K101" i="1"/>
  <c r="I101" i="1"/>
  <c r="DG100" i="1"/>
  <c r="DC100" i="1"/>
  <c r="DA100" i="1"/>
  <c r="CY100" i="1"/>
  <c r="CW100" i="1"/>
  <c r="CU100" i="1"/>
  <c r="CS100" i="1"/>
  <c r="CO100" i="1"/>
  <c r="CM100" i="1"/>
  <c r="CK100" i="1"/>
  <c r="CI100" i="1"/>
  <c r="DG99" i="1"/>
  <c r="DC99" i="1"/>
  <c r="DA99" i="1"/>
  <c r="CY99" i="1"/>
  <c r="CW99" i="1"/>
  <c r="CU99" i="1"/>
  <c r="CS99" i="1"/>
  <c r="CO99" i="1"/>
  <c r="CM99" i="1"/>
  <c r="CK99" i="1"/>
  <c r="CI99" i="1"/>
  <c r="CF99" i="1"/>
  <c r="CG99" i="1" s="1"/>
  <c r="CE99" i="1"/>
  <c r="CC99" i="1"/>
  <c r="CA99" i="1"/>
  <c r="BY99" i="1"/>
  <c r="BW99" i="1"/>
  <c r="BU99" i="1"/>
  <c r="BS99" i="1"/>
  <c r="BQ99" i="1"/>
  <c r="BO99" i="1"/>
  <c r="BM99" i="1"/>
  <c r="BK99" i="1"/>
  <c r="BI99" i="1"/>
  <c r="BF99" i="1"/>
  <c r="BG99" i="1" s="1"/>
  <c r="BE99" i="1"/>
  <c r="BC99" i="1"/>
  <c r="BA99" i="1"/>
  <c r="AY99" i="1"/>
  <c r="AW99" i="1"/>
  <c r="AU99" i="1"/>
  <c r="AS99" i="1"/>
  <c r="AQ99" i="1"/>
  <c r="AO99" i="1"/>
  <c r="AM99" i="1"/>
  <c r="AK99" i="1"/>
  <c r="AI99" i="1"/>
  <c r="AF99" i="1"/>
  <c r="AG99" i="1" s="1"/>
  <c r="AE99" i="1"/>
  <c r="DQ99" i="1" s="1"/>
  <c r="AC99" i="1"/>
  <c r="AA99" i="1"/>
  <c r="Y99" i="1"/>
  <c r="W99" i="1"/>
  <c r="U99" i="1"/>
  <c r="S99" i="1"/>
  <c r="Q99" i="1"/>
  <c r="O99" i="1"/>
  <c r="M99" i="1"/>
  <c r="K99" i="1"/>
  <c r="I99" i="1"/>
  <c r="DG98" i="1"/>
  <c r="DC98" i="1"/>
  <c r="DA98" i="1"/>
  <c r="CY98" i="1"/>
  <c r="CW98" i="1"/>
  <c r="CU98" i="1"/>
  <c r="CS98" i="1"/>
  <c r="CO98" i="1"/>
  <c r="CM98" i="1"/>
  <c r="CK98" i="1"/>
  <c r="CI98" i="1"/>
  <c r="CF98" i="1"/>
  <c r="CG98" i="1" s="1"/>
  <c r="CE98" i="1"/>
  <c r="CC98" i="1"/>
  <c r="CA98" i="1"/>
  <c r="BY98" i="1"/>
  <c r="BW98" i="1"/>
  <c r="BU98" i="1"/>
  <c r="BS98" i="1"/>
  <c r="BQ98" i="1"/>
  <c r="BO98" i="1"/>
  <c r="BM98" i="1"/>
  <c r="BK98" i="1"/>
  <c r="BI98" i="1"/>
  <c r="BF98" i="1"/>
  <c r="BG98" i="1" s="1"/>
  <c r="AF98" i="1"/>
  <c r="DG97" i="1"/>
  <c r="DC97" i="1"/>
  <c r="DA97" i="1"/>
  <c r="CY97" i="1"/>
  <c r="CW97" i="1"/>
  <c r="CU97" i="1"/>
  <c r="CS97" i="1"/>
  <c r="CO97" i="1"/>
  <c r="CM97" i="1"/>
  <c r="CK97" i="1"/>
  <c r="CI97" i="1"/>
  <c r="DG96" i="1"/>
  <c r="DC96" i="1"/>
  <c r="DA96" i="1"/>
  <c r="CY96" i="1"/>
  <c r="CW96" i="1"/>
  <c r="CU96" i="1"/>
  <c r="CS96" i="1"/>
  <c r="CO96" i="1"/>
  <c r="CM96" i="1"/>
  <c r="CK96" i="1"/>
  <c r="CI96" i="1"/>
  <c r="DG95" i="1"/>
  <c r="DC95" i="1"/>
  <c r="DA95" i="1"/>
  <c r="CY95" i="1"/>
  <c r="CW95" i="1"/>
  <c r="CU95" i="1"/>
  <c r="CS95" i="1"/>
  <c r="CO95" i="1"/>
  <c r="CM95" i="1"/>
  <c r="CK95" i="1"/>
  <c r="CI95" i="1"/>
  <c r="CF95" i="1"/>
  <c r="CG95" i="1" s="1"/>
  <c r="CE95" i="1"/>
  <c r="CC95" i="1"/>
  <c r="CA95" i="1"/>
  <c r="BY95" i="1"/>
  <c r="BW95" i="1"/>
  <c r="BU95" i="1"/>
  <c r="BS95" i="1"/>
  <c r="BQ95" i="1"/>
  <c r="BO95" i="1"/>
  <c r="BM95" i="1"/>
  <c r="BK95" i="1"/>
  <c r="BI95" i="1"/>
  <c r="BF95" i="1"/>
  <c r="BG95" i="1" s="1"/>
  <c r="BE95" i="1"/>
  <c r="BC95" i="1"/>
  <c r="BA95" i="1"/>
  <c r="AY95" i="1"/>
  <c r="AW95" i="1"/>
  <c r="AU95" i="1"/>
  <c r="AS95" i="1"/>
  <c r="AQ95" i="1"/>
  <c r="AO95" i="1"/>
  <c r="AM95" i="1"/>
  <c r="AK95" i="1"/>
  <c r="AI95" i="1"/>
  <c r="AF95" i="1"/>
  <c r="AG95" i="1" s="1"/>
  <c r="AE95" i="1"/>
  <c r="DQ95" i="1" s="1"/>
  <c r="AC95" i="1"/>
  <c r="AA95" i="1"/>
  <c r="Y95" i="1"/>
  <c r="W95" i="1"/>
  <c r="U95" i="1"/>
  <c r="S95" i="1"/>
  <c r="Q95" i="1"/>
  <c r="O95" i="1"/>
  <c r="M95" i="1"/>
  <c r="K95" i="1"/>
  <c r="I95" i="1"/>
  <c r="DG94" i="1"/>
  <c r="DC94" i="1"/>
  <c r="DA94" i="1"/>
  <c r="CY94" i="1"/>
  <c r="CW94" i="1"/>
  <c r="CU94" i="1"/>
  <c r="CS94" i="1"/>
  <c r="CO94" i="1"/>
  <c r="CM94" i="1"/>
  <c r="CK94" i="1"/>
  <c r="CI94" i="1"/>
  <c r="CF94" i="1"/>
  <c r="CG94" i="1" s="1"/>
  <c r="CE94" i="1"/>
  <c r="CC94" i="1"/>
  <c r="CA94" i="1"/>
  <c r="BY94" i="1"/>
  <c r="BW94" i="1"/>
  <c r="BU94" i="1"/>
  <c r="BS94" i="1"/>
  <c r="BQ94" i="1"/>
  <c r="BO94" i="1"/>
  <c r="BM94" i="1"/>
  <c r="BK94" i="1"/>
  <c r="BI94" i="1"/>
  <c r="BF94" i="1"/>
  <c r="BG94" i="1" s="1"/>
  <c r="BE94" i="1"/>
  <c r="BC94" i="1"/>
  <c r="BA94" i="1"/>
  <c r="AY94" i="1"/>
  <c r="AW94" i="1"/>
  <c r="AU94" i="1"/>
  <c r="AS94" i="1"/>
  <c r="AQ94" i="1"/>
  <c r="AO94" i="1"/>
  <c r="AM94" i="1"/>
  <c r="AK94" i="1"/>
  <c r="AI94" i="1"/>
  <c r="AF94" i="1"/>
  <c r="AG94" i="1" s="1"/>
  <c r="AE94" i="1"/>
  <c r="DQ94" i="1" s="1"/>
  <c r="AC94" i="1"/>
  <c r="AA94" i="1"/>
  <c r="Y94" i="1"/>
  <c r="W94" i="1"/>
  <c r="U94" i="1"/>
  <c r="S94" i="1"/>
  <c r="Q94" i="1"/>
  <c r="O94" i="1"/>
  <c r="M94" i="1"/>
  <c r="K94" i="1"/>
  <c r="I94" i="1"/>
  <c r="DC93" i="1"/>
  <c r="DA93" i="1"/>
  <c r="CY93" i="1"/>
  <c r="CW93" i="1"/>
  <c r="CU93" i="1"/>
  <c r="CS93" i="1"/>
  <c r="CO93" i="1"/>
  <c r="CM93" i="1"/>
  <c r="CK93" i="1"/>
  <c r="CI93" i="1"/>
  <c r="CF93" i="1"/>
  <c r="CG93" i="1" s="1"/>
  <c r="CE93" i="1"/>
  <c r="CC93" i="1"/>
  <c r="CA93" i="1"/>
  <c r="BY93" i="1"/>
  <c r="BW93" i="1"/>
  <c r="BU93" i="1"/>
  <c r="BS93" i="1"/>
  <c r="BQ93" i="1"/>
  <c r="BO93" i="1"/>
  <c r="BM93" i="1"/>
  <c r="BK93" i="1"/>
  <c r="BI93" i="1"/>
  <c r="BF93" i="1"/>
  <c r="BG93" i="1" s="1"/>
  <c r="BE93" i="1"/>
  <c r="BC93" i="1"/>
  <c r="BA93" i="1"/>
  <c r="AY93" i="1"/>
  <c r="AW93" i="1"/>
  <c r="AU93" i="1"/>
  <c r="AS93" i="1"/>
  <c r="AQ93" i="1"/>
  <c r="AO93" i="1"/>
  <c r="AM93" i="1"/>
  <c r="AK93" i="1"/>
  <c r="AI93" i="1"/>
  <c r="AF93" i="1"/>
  <c r="AG93" i="1" s="1"/>
  <c r="AE93" i="1"/>
  <c r="DQ93" i="1" s="1"/>
  <c r="AC93" i="1"/>
  <c r="AA93" i="1"/>
  <c r="Y93" i="1"/>
  <c r="W93" i="1"/>
  <c r="U93" i="1"/>
  <c r="S93" i="1"/>
  <c r="Q93" i="1"/>
  <c r="O93" i="1"/>
  <c r="M93" i="1"/>
  <c r="K93" i="1"/>
  <c r="I93" i="1"/>
  <c r="DG92" i="1"/>
  <c r="DC92" i="1"/>
  <c r="DA92" i="1"/>
  <c r="CY92" i="1"/>
  <c r="CW92" i="1"/>
  <c r="CU92" i="1"/>
  <c r="CS92" i="1"/>
  <c r="CO92" i="1"/>
  <c r="CM92" i="1"/>
  <c r="CK92" i="1"/>
  <c r="CI92" i="1"/>
  <c r="CF92" i="1"/>
  <c r="CG92" i="1" s="1"/>
  <c r="CE92" i="1"/>
  <c r="CC92" i="1"/>
  <c r="CA92" i="1"/>
  <c r="BY92" i="1"/>
  <c r="BW92" i="1"/>
  <c r="BU92" i="1"/>
  <c r="BS92" i="1"/>
  <c r="BQ92" i="1"/>
  <c r="BO92" i="1"/>
  <c r="BM92" i="1"/>
  <c r="BK92" i="1"/>
  <c r="BI92" i="1"/>
  <c r="BF92" i="1"/>
  <c r="BG92" i="1" s="1"/>
  <c r="BE92" i="1"/>
  <c r="BC92" i="1"/>
  <c r="BA92" i="1"/>
  <c r="AY92" i="1"/>
  <c r="AW92" i="1"/>
  <c r="AU92" i="1"/>
  <c r="AS92" i="1"/>
  <c r="AQ92" i="1"/>
  <c r="AO92" i="1"/>
  <c r="AM92" i="1"/>
  <c r="AK92" i="1"/>
  <c r="AI92" i="1"/>
  <c r="AF92" i="1"/>
  <c r="AG92" i="1" s="1"/>
  <c r="AE92" i="1"/>
  <c r="DQ92" i="1" s="1"/>
  <c r="AC92" i="1"/>
  <c r="AA92" i="1"/>
  <c r="Y92" i="1"/>
  <c r="W92" i="1"/>
  <c r="U92" i="1"/>
  <c r="S92" i="1"/>
  <c r="Q92" i="1"/>
  <c r="O92" i="1"/>
  <c r="M92" i="1"/>
  <c r="K92" i="1"/>
  <c r="I92" i="1"/>
  <c r="DG91" i="1"/>
  <c r="DC91" i="1"/>
  <c r="DA91" i="1"/>
  <c r="CY91" i="1"/>
  <c r="CW91" i="1"/>
  <c r="CU91" i="1"/>
  <c r="CS91" i="1"/>
  <c r="CO91" i="1"/>
  <c r="CM91" i="1"/>
  <c r="CK91" i="1"/>
  <c r="CI91" i="1"/>
  <c r="CF91" i="1"/>
  <c r="CG91" i="1" s="1"/>
  <c r="CE91" i="1"/>
  <c r="CC91" i="1"/>
  <c r="CA91" i="1"/>
  <c r="BY91" i="1"/>
  <c r="BW91" i="1"/>
  <c r="BU91" i="1"/>
  <c r="BS91" i="1"/>
  <c r="BQ91" i="1"/>
  <c r="BO91" i="1"/>
  <c r="BM91" i="1"/>
  <c r="BK91" i="1"/>
  <c r="BI91" i="1"/>
  <c r="BF91" i="1"/>
  <c r="BG91" i="1" s="1"/>
  <c r="BE91" i="1"/>
  <c r="BC91" i="1"/>
  <c r="BA91" i="1"/>
  <c r="AY91" i="1"/>
  <c r="AW91" i="1"/>
  <c r="AU91" i="1"/>
  <c r="AS91" i="1"/>
  <c r="AQ91" i="1"/>
  <c r="AO91" i="1"/>
  <c r="AM91" i="1"/>
  <c r="AK91" i="1"/>
  <c r="AI91" i="1"/>
  <c r="AF91" i="1"/>
  <c r="AG91" i="1" s="1"/>
  <c r="AE91" i="1"/>
  <c r="DQ91" i="1" s="1"/>
  <c r="AC91" i="1"/>
  <c r="AA91" i="1"/>
  <c r="Y91" i="1"/>
  <c r="W91" i="1"/>
  <c r="U91" i="1"/>
  <c r="S91" i="1"/>
  <c r="Q91" i="1"/>
  <c r="O91" i="1"/>
  <c r="M91" i="1"/>
  <c r="K91" i="1"/>
  <c r="I91" i="1"/>
  <c r="DG90" i="1"/>
  <c r="DC90" i="1"/>
  <c r="DA90" i="1"/>
  <c r="CY90" i="1"/>
  <c r="CW90" i="1"/>
  <c r="CU90" i="1"/>
  <c r="CS90" i="1"/>
  <c r="CO90" i="1"/>
  <c r="CM90" i="1"/>
  <c r="CK90" i="1"/>
  <c r="CI90" i="1"/>
  <c r="CF90" i="1"/>
  <c r="CG90" i="1" s="1"/>
  <c r="CE90" i="1"/>
  <c r="CC90" i="1"/>
  <c r="CA90" i="1"/>
  <c r="BY90" i="1"/>
  <c r="BW90" i="1"/>
  <c r="BU90" i="1"/>
  <c r="BS90" i="1"/>
  <c r="BQ90" i="1"/>
  <c r="BO90" i="1"/>
  <c r="BM90" i="1"/>
  <c r="BK90" i="1"/>
  <c r="BI90" i="1"/>
  <c r="BF90" i="1"/>
  <c r="BG90" i="1" s="1"/>
  <c r="BE90" i="1"/>
  <c r="BC90" i="1"/>
  <c r="BA90" i="1"/>
  <c r="AY90" i="1"/>
  <c r="AW90" i="1"/>
  <c r="AU90" i="1"/>
  <c r="AS90" i="1"/>
  <c r="AQ90" i="1"/>
  <c r="AO90" i="1"/>
  <c r="AM90" i="1"/>
  <c r="AK90" i="1"/>
  <c r="AI90" i="1"/>
  <c r="AF90" i="1"/>
  <c r="AG90" i="1" s="1"/>
  <c r="AE90" i="1"/>
  <c r="DQ90" i="1" s="1"/>
  <c r="AC90" i="1"/>
  <c r="AA90" i="1"/>
  <c r="Y90" i="1"/>
  <c r="W90" i="1"/>
  <c r="U90" i="1"/>
  <c r="S90" i="1"/>
  <c r="Q90" i="1"/>
  <c r="O90" i="1"/>
  <c r="M90" i="1"/>
  <c r="K90" i="1"/>
  <c r="I90" i="1"/>
  <c r="DC89" i="1"/>
  <c r="DA89" i="1"/>
  <c r="CY89" i="1"/>
  <c r="CW89" i="1"/>
  <c r="CU89" i="1"/>
  <c r="CS89" i="1"/>
  <c r="CO89" i="1"/>
  <c r="CM89" i="1"/>
  <c r="CK89" i="1"/>
  <c r="CI89" i="1"/>
  <c r="CF89" i="1"/>
  <c r="CG89" i="1" s="1"/>
  <c r="CE89" i="1"/>
  <c r="CC89" i="1"/>
  <c r="CA89" i="1"/>
  <c r="BY89" i="1"/>
  <c r="BW89" i="1"/>
  <c r="BU89" i="1"/>
  <c r="BS89" i="1"/>
  <c r="BQ89" i="1"/>
  <c r="BO89" i="1"/>
  <c r="BM89" i="1"/>
  <c r="BK89" i="1"/>
  <c r="BI89" i="1"/>
  <c r="BF89" i="1"/>
  <c r="BG89" i="1" s="1"/>
  <c r="BE89" i="1"/>
  <c r="BC89" i="1"/>
  <c r="BA89" i="1"/>
  <c r="AY89" i="1"/>
  <c r="AW89" i="1"/>
  <c r="AU89" i="1"/>
  <c r="AS89" i="1"/>
  <c r="AQ89" i="1"/>
  <c r="AO89" i="1"/>
  <c r="AM89" i="1"/>
  <c r="AK89" i="1"/>
  <c r="AI89" i="1"/>
  <c r="AF89" i="1"/>
  <c r="AG89" i="1" s="1"/>
  <c r="AE89" i="1"/>
  <c r="DQ89" i="1" s="1"/>
  <c r="AC89" i="1"/>
  <c r="AA89" i="1"/>
  <c r="Y89" i="1"/>
  <c r="W89" i="1"/>
  <c r="U89" i="1"/>
  <c r="S89" i="1"/>
  <c r="Q89" i="1"/>
  <c r="O89" i="1"/>
  <c r="M89" i="1"/>
  <c r="K89" i="1"/>
  <c r="I89" i="1"/>
  <c r="DG88" i="1"/>
  <c r="DC88" i="1"/>
  <c r="DA88" i="1"/>
  <c r="CY88" i="1"/>
  <c r="CW88" i="1"/>
  <c r="CU88" i="1"/>
  <c r="CS88" i="1"/>
  <c r="CO88" i="1"/>
  <c r="CM88" i="1"/>
  <c r="CK88" i="1"/>
  <c r="CI88" i="1"/>
  <c r="CF88" i="1"/>
  <c r="CG88" i="1" s="1"/>
  <c r="CE88" i="1"/>
  <c r="CC88" i="1"/>
  <c r="CA88" i="1"/>
  <c r="BY88" i="1"/>
  <c r="BW88" i="1"/>
  <c r="BU88" i="1"/>
  <c r="BS88" i="1"/>
  <c r="BQ88" i="1"/>
  <c r="BO88" i="1"/>
  <c r="BM88" i="1"/>
  <c r="BK88" i="1"/>
  <c r="BI88" i="1"/>
  <c r="BF88" i="1"/>
  <c r="BG88" i="1" s="1"/>
  <c r="BE88" i="1"/>
  <c r="BC88" i="1"/>
  <c r="BA88" i="1"/>
  <c r="AY88" i="1"/>
  <c r="AW88" i="1"/>
  <c r="AU88" i="1"/>
  <c r="AS88" i="1"/>
  <c r="AQ88" i="1"/>
  <c r="AO88" i="1"/>
  <c r="AM88" i="1"/>
  <c r="AK88" i="1"/>
  <c r="AI88" i="1"/>
  <c r="AF88" i="1"/>
  <c r="AG88" i="1" s="1"/>
  <c r="AE88" i="1"/>
  <c r="DQ88" i="1" s="1"/>
  <c r="AC88" i="1"/>
  <c r="AA88" i="1"/>
  <c r="Y88" i="1"/>
  <c r="W88" i="1"/>
  <c r="U88" i="1"/>
  <c r="S88" i="1"/>
  <c r="Q88" i="1"/>
  <c r="O88" i="1"/>
  <c r="M88" i="1"/>
  <c r="K88" i="1"/>
  <c r="I88" i="1"/>
  <c r="DG87" i="1"/>
  <c r="DC87" i="1"/>
  <c r="DA87" i="1"/>
  <c r="CY87" i="1"/>
  <c r="CW87" i="1"/>
  <c r="CU87" i="1"/>
  <c r="CS87" i="1"/>
  <c r="CO87" i="1"/>
  <c r="CM87" i="1"/>
  <c r="CK87" i="1"/>
  <c r="CI87" i="1"/>
  <c r="CF87" i="1"/>
  <c r="CG87" i="1" s="1"/>
  <c r="CE87" i="1"/>
  <c r="CC87" i="1"/>
  <c r="CA87" i="1"/>
  <c r="BY87" i="1"/>
  <c r="BW87" i="1"/>
  <c r="BU87" i="1"/>
  <c r="BS87" i="1"/>
  <c r="BQ87" i="1"/>
  <c r="BO87" i="1"/>
  <c r="BM87" i="1"/>
  <c r="BK87" i="1"/>
  <c r="BI87" i="1"/>
  <c r="BF87" i="1"/>
  <c r="BG87" i="1" s="1"/>
  <c r="BE87" i="1"/>
  <c r="BC87" i="1"/>
  <c r="BA87" i="1"/>
  <c r="AY87" i="1"/>
  <c r="AW87" i="1"/>
  <c r="AU87" i="1"/>
  <c r="AS87" i="1"/>
  <c r="AQ87" i="1"/>
  <c r="AO87" i="1"/>
  <c r="AM87" i="1"/>
  <c r="AK87" i="1"/>
  <c r="AI87" i="1"/>
  <c r="AF87" i="1"/>
  <c r="AG87" i="1" s="1"/>
  <c r="AE87" i="1"/>
  <c r="DQ87" i="1" s="1"/>
  <c r="AC87" i="1"/>
  <c r="AA87" i="1"/>
  <c r="Y87" i="1"/>
  <c r="W87" i="1"/>
  <c r="U87" i="1"/>
  <c r="S87" i="1"/>
  <c r="Q87" i="1"/>
  <c r="O87" i="1"/>
  <c r="M87" i="1"/>
  <c r="K87" i="1"/>
  <c r="I87" i="1"/>
  <c r="DG86" i="1"/>
  <c r="DC86" i="1"/>
  <c r="DA86" i="1"/>
  <c r="CY86" i="1"/>
  <c r="CW86" i="1"/>
  <c r="CU86" i="1"/>
  <c r="CS86" i="1"/>
  <c r="CO86" i="1"/>
  <c r="CM86" i="1"/>
  <c r="CK86" i="1"/>
  <c r="CI86" i="1"/>
  <c r="CF86" i="1"/>
  <c r="CG86" i="1" s="1"/>
  <c r="CE86" i="1"/>
  <c r="CC86" i="1"/>
  <c r="CA86" i="1"/>
  <c r="BY86" i="1"/>
  <c r="BW86" i="1"/>
  <c r="BU86" i="1"/>
  <c r="BS86" i="1"/>
  <c r="BQ86" i="1"/>
  <c r="BO86" i="1"/>
  <c r="BM86" i="1"/>
  <c r="BK86" i="1"/>
  <c r="BI86" i="1"/>
  <c r="BF86" i="1"/>
  <c r="BG86" i="1" s="1"/>
  <c r="BE86" i="1"/>
  <c r="BC86" i="1"/>
  <c r="BA86" i="1"/>
  <c r="AY86" i="1"/>
  <c r="AW86" i="1"/>
  <c r="AU86" i="1"/>
  <c r="AS86" i="1"/>
  <c r="AQ86" i="1"/>
  <c r="AO86" i="1"/>
  <c r="AM86" i="1"/>
  <c r="AK86" i="1"/>
  <c r="AI86" i="1"/>
  <c r="AF86" i="1"/>
  <c r="AG86" i="1" s="1"/>
  <c r="AE86" i="1"/>
  <c r="DQ86" i="1" s="1"/>
  <c r="AC86" i="1"/>
  <c r="AA86" i="1"/>
  <c r="Y86" i="1"/>
  <c r="W86" i="1"/>
  <c r="U86" i="1"/>
  <c r="S86" i="1"/>
  <c r="Q86" i="1"/>
  <c r="O86" i="1"/>
  <c r="M86" i="1"/>
  <c r="K86" i="1"/>
  <c r="I86" i="1"/>
  <c r="DG85" i="1"/>
  <c r="DC85" i="1"/>
  <c r="DA85" i="1"/>
  <c r="CY85" i="1"/>
  <c r="CW85" i="1"/>
  <c r="CU85" i="1"/>
  <c r="CS85" i="1"/>
  <c r="CO85" i="1"/>
  <c r="CM85" i="1"/>
  <c r="CK85" i="1"/>
  <c r="CI85" i="1"/>
  <c r="CF85" i="1"/>
  <c r="CG85" i="1" s="1"/>
  <c r="CE85" i="1"/>
  <c r="CC85" i="1"/>
  <c r="CA85" i="1"/>
  <c r="BY85" i="1"/>
  <c r="BW85" i="1"/>
  <c r="BU85" i="1"/>
  <c r="BS85" i="1"/>
  <c r="BQ85" i="1"/>
  <c r="BO85" i="1"/>
  <c r="BM85" i="1"/>
  <c r="BK85" i="1"/>
  <c r="BI85" i="1"/>
  <c r="BF85" i="1"/>
  <c r="BG85" i="1" s="1"/>
  <c r="BE85" i="1"/>
  <c r="BC85" i="1"/>
  <c r="BA85" i="1"/>
  <c r="AY85" i="1"/>
  <c r="AW85" i="1"/>
  <c r="AU85" i="1"/>
  <c r="AS85" i="1"/>
  <c r="AQ85" i="1"/>
  <c r="AO85" i="1"/>
  <c r="AM85" i="1"/>
  <c r="AK85" i="1"/>
  <c r="AI85" i="1"/>
  <c r="AF85" i="1"/>
  <c r="AG85" i="1" s="1"/>
  <c r="AE85" i="1"/>
  <c r="DQ85" i="1" s="1"/>
  <c r="AC85" i="1"/>
  <c r="AA85" i="1"/>
  <c r="Y85" i="1"/>
  <c r="W85" i="1"/>
  <c r="U85" i="1"/>
  <c r="S85" i="1"/>
  <c r="Q85" i="1"/>
  <c r="O85" i="1"/>
  <c r="M85" i="1"/>
  <c r="K85" i="1"/>
  <c r="I85" i="1"/>
  <c r="DG84" i="1"/>
  <c r="DC84" i="1"/>
  <c r="DA84" i="1"/>
  <c r="CY84" i="1"/>
  <c r="CW84" i="1"/>
  <c r="CU84" i="1"/>
  <c r="CS84" i="1"/>
  <c r="CO84" i="1"/>
  <c r="CM84" i="1"/>
  <c r="CK84" i="1"/>
  <c r="CI84" i="1"/>
  <c r="CF84" i="1"/>
  <c r="CG84" i="1" s="1"/>
  <c r="CE84" i="1"/>
  <c r="CC84" i="1"/>
  <c r="CA84" i="1"/>
  <c r="BY84" i="1"/>
  <c r="BW84" i="1"/>
  <c r="BU84" i="1"/>
  <c r="BS84" i="1"/>
  <c r="BQ84" i="1"/>
  <c r="BO84" i="1"/>
  <c r="BM84" i="1"/>
  <c r="BK84" i="1"/>
  <c r="BI84" i="1"/>
  <c r="BF84" i="1"/>
  <c r="BG84" i="1" s="1"/>
  <c r="BE84" i="1"/>
  <c r="BC84" i="1"/>
  <c r="BA84" i="1"/>
  <c r="AY84" i="1"/>
  <c r="AW84" i="1"/>
  <c r="AU84" i="1"/>
  <c r="AS84" i="1"/>
  <c r="AQ84" i="1"/>
  <c r="AO84" i="1"/>
  <c r="AM84" i="1"/>
  <c r="AK84" i="1"/>
  <c r="AI84" i="1"/>
  <c r="AF84" i="1"/>
  <c r="AG84" i="1" s="1"/>
  <c r="AE84" i="1"/>
  <c r="DQ84" i="1" s="1"/>
  <c r="AC84" i="1"/>
  <c r="AA84" i="1"/>
  <c r="Y84" i="1"/>
  <c r="W84" i="1"/>
  <c r="U84" i="1"/>
  <c r="S84" i="1"/>
  <c r="Q84" i="1"/>
  <c r="O84" i="1"/>
  <c r="M84" i="1"/>
  <c r="K84" i="1"/>
  <c r="I84" i="1"/>
  <c r="DG83" i="1"/>
  <c r="DC83" i="1"/>
  <c r="DA83" i="1"/>
  <c r="CY83" i="1"/>
  <c r="CW83" i="1"/>
  <c r="CU83" i="1"/>
  <c r="CS83" i="1"/>
  <c r="CO83" i="1"/>
  <c r="CM83" i="1"/>
  <c r="CK83" i="1"/>
  <c r="CI83" i="1"/>
  <c r="DG82" i="1"/>
  <c r="DC82" i="1"/>
  <c r="DA82" i="1"/>
  <c r="CY82" i="1"/>
  <c r="CW82" i="1"/>
  <c r="CU82" i="1"/>
  <c r="CS82" i="1"/>
  <c r="CO82" i="1"/>
  <c r="CM82" i="1"/>
  <c r="CK82" i="1"/>
  <c r="CI82" i="1"/>
  <c r="DC81" i="1"/>
  <c r="DA81" i="1"/>
  <c r="CY81" i="1"/>
  <c r="CW81" i="1"/>
  <c r="CU81" i="1"/>
  <c r="CS81" i="1"/>
  <c r="CO81" i="1"/>
  <c r="CM81" i="1"/>
  <c r="CK81" i="1"/>
  <c r="CI81" i="1"/>
  <c r="CF81" i="1"/>
  <c r="CG81" i="1" s="1"/>
  <c r="CE81" i="1"/>
  <c r="CC81" i="1"/>
  <c r="CA81" i="1"/>
  <c r="BY81" i="1"/>
  <c r="BW81" i="1"/>
  <c r="BU81" i="1"/>
  <c r="BS81" i="1"/>
  <c r="BQ81" i="1"/>
  <c r="BO81" i="1"/>
  <c r="BM81" i="1"/>
  <c r="BK81" i="1"/>
  <c r="BI81" i="1"/>
  <c r="BF81" i="1"/>
  <c r="BG81" i="1" s="1"/>
  <c r="BE81" i="1"/>
  <c r="BC81" i="1"/>
  <c r="BA81" i="1"/>
  <c r="AY81" i="1"/>
  <c r="AW81" i="1"/>
  <c r="AU81" i="1"/>
  <c r="AS81" i="1"/>
  <c r="AQ81" i="1"/>
  <c r="AO81" i="1"/>
  <c r="AM81" i="1"/>
  <c r="AK81" i="1"/>
  <c r="AI81" i="1"/>
  <c r="AF81" i="1"/>
  <c r="AG81" i="1" s="1"/>
  <c r="AE81" i="1"/>
  <c r="DQ81" i="1" s="1"/>
  <c r="AC81" i="1"/>
  <c r="AA81" i="1"/>
  <c r="Y81" i="1"/>
  <c r="W81" i="1"/>
  <c r="U81" i="1"/>
  <c r="S81" i="1"/>
  <c r="Q81" i="1"/>
  <c r="O81" i="1"/>
  <c r="M81" i="1"/>
  <c r="K81" i="1"/>
  <c r="I81" i="1"/>
  <c r="DG80" i="1"/>
  <c r="DC80" i="1"/>
  <c r="DA80" i="1"/>
  <c r="CY80" i="1"/>
  <c r="CW80" i="1"/>
  <c r="CU80" i="1"/>
  <c r="CS80" i="1"/>
  <c r="CO80" i="1"/>
  <c r="CM80" i="1"/>
  <c r="CK80" i="1"/>
  <c r="CI80" i="1"/>
  <c r="CF80" i="1"/>
  <c r="CG80" i="1" s="1"/>
  <c r="CE80" i="1"/>
  <c r="CC80" i="1"/>
  <c r="CA80" i="1"/>
  <c r="BY80" i="1"/>
  <c r="BW80" i="1"/>
  <c r="BU80" i="1"/>
  <c r="BS80" i="1"/>
  <c r="BQ80" i="1"/>
  <c r="BO80" i="1"/>
  <c r="BM80" i="1"/>
  <c r="BK80" i="1"/>
  <c r="BI80" i="1"/>
  <c r="BF80" i="1"/>
  <c r="BG80" i="1" s="1"/>
  <c r="BE80" i="1"/>
  <c r="BC80" i="1"/>
  <c r="BA80" i="1"/>
  <c r="AY80" i="1"/>
  <c r="AW80" i="1"/>
  <c r="AU80" i="1"/>
  <c r="AS80" i="1"/>
  <c r="AQ80" i="1"/>
  <c r="AO80" i="1"/>
  <c r="AM80" i="1"/>
  <c r="AK80" i="1"/>
  <c r="AI80" i="1"/>
  <c r="AF80" i="1"/>
  <c r="AG80" i="1" s="1"/>
  <c r="AE80" i="1"/>
  <c r="DQ80" i="1" s="1"/>
  <c r="AC80" i="1"/>
  <c r="AA80" i="1"/>
  <c r="Y80" i="1"/>
  <c r="W80" i="1"/>
  <c r="U80" i="1"/>
  <c r="S80" i="1"/>
  <c r="Q80" i="1"/>
  <c r="O80" i="1"/>
  <c r="M80" i="1"/>
  <c r="K80" i="1"/>
  <c r="I80" i="1"/>
  <c r="DG79" i="1"/>
  <c r="DC79" i="1"/>
  <c r="DA79" i="1"/>
  <c r="CY79" i="1"/>
  <c r="CW79" i="1"/>
  <c r="CU79" i="1"/>
  <c r="CS79" i="1"/>
  <c r="CO79" i="1"/>
  <c r="CM79" i="1"/>
  <c r="CK79" i="1"/>
  <c r="CI79" i="1"/>
  <c r="CF79" i="1"/>
  <c r="CG79" i="1" s="1"/>
  <c r="CE79" i="1"/>
  <c r="CC79" i="1"/>
  <c r="CA79" i="1"/>
  <c r="BY79" i="1"/>
  <c r="BW79" i="1"/>
  <c r="BU79" i="1"/>
  <c r="BS79" i="1"/>
  <c r="BQ79" i="1"/>
  <c r="BO79" i="1"/>
  <c r="BM79" i="1"/>
  <c r="BK79" i="1"/>
  <c r="BI79" i="1"/>
  <c r="BF79" i="1"/>
  <c r="BG79" i="1" s="1"/>
  <c r="BE79" i="1"/>
  <c r="BC79" i="1"/>
  <c r="BA79" i="1"/>
  <c r="AY79" i="1"/>
  <c r="AW79" i="1"/>
  <c r="AU79" i="1"/>
  <c r="AS79" i="1"/>
  <c r="AQ79" i="1"/>
  <c r="AO79" i="1"/>
  <c r="AM79" i="1"/>
  <c r="AK79" i="1"/>
  <c r="AI79" i="1"/>
  <c r="AF79" i="1"/>
  <c r="AG79" i="1" s="1"/>
  <c r="AE79" i="1"/>
  <c r="DQ79" i="1" s="1"/>
  <c r="AC79" i="1"/>
  <c r="AA79" i="1"/>
  <c r="Y79" i="1"/>
  <c r="W79" i="1"/>
  <c r="U79" i="1"/>
  <c r="S79" i="1"/>
  <c r="Q79" i="1"/>
  <c r="O79" i="1"/>
  <c r="M79" i="1"/>
  <c r="K79" i="1"/>
  <c r="I79" i="1"/>
  <c r="DG78" i="1"/>
  <c r="DC78" i="1"/>
  <c r="DA78" i="1"/>
  <c r="CY78" i="1"/>
  <c r="CW78" i="1"/>
  <c r="CU78" i="1"/>
  <c r="CS78" i="1"/>
  <c r="CO78" i="1"/>
  <c r="CM78" i="1"/>
  <c r="CK78" i="1"/>
  <c r="CI78" i="1"/>
  <c r="CF78" i="1"/>
  <c r="CG78" i="1" s="1"/>
  <c r="CE78" i="1"/>
  <c r="CC78" i="1"/>
  <c r="CA78" i="1"/>
  <c r="BY78" i="1"/>
  <c r="BW78" i="1"/>
  <c r="BU78" i="1"/>
  <c r="BS78" i="1"/>
  <c r="BQ78" i="1"/>
  <c r="BO78" i="1"/>
  <c r="BM78" i="1"/>
  <c r="BK78" i="1"/>
  <c r="BI78" i="1"/>
  <c r="BF78" i="1"/>
  <c r="BG78" i="1" s="1"/>
  <c r="BE78" i="1"/>
  <c r="BC78" i="1"/>
  <c r="BA78" i="1"/>
  <c r="AY78" i="1"/>
  <c r="AW78" i="1"/>
  <c r="AU78" i="1"/>
  <c r="AS78" i="1"/>
  <c r="AQ78" i="1"/>
  <c r="AO78" i="1"/>
  <c r="AM78" i="1"/>
  <c r="AK78" i="1"/>
  <c r="AI78" i="1"/>
  <c r="AF78" i="1"/>
  <c r="AG78" i="1" s="1"/>
  <c r="AE78" i="1"/>
  <c r="DQ78" i="1" s="1"/>
  <c r="AC78" i="1"/>
  <c r="AA78" i="1"/>
  <c r="Y78" i="1"/>
  <c r="W78" i="1"/>
  <c r="U78" i="1"/>
  <c r="S78" i="1"/>
  <c r="Q78" i="1"/>
  <c r="O78" i="1"/>
  <c r="M78" i="1"/>
  <c r="K78" i="1"/>
  <c r="I78" i="1"/>
  <c r="DG77" i="1"/>
  <c r="DC77" i="1"/>
  <c r="DA77" i="1"/>
  <c r="CY77" i="1"/>
  <c r="CW77" i="1"/>
  <c r="CU77" i="1"/>
  <c r="CS77" i="1"/>
  <c r="CO77" i="1"/>
  <c r="CM77" i="1"/>
  <c r="CK77" i="1"/>
  <c r="CI77" i="1"/>
  <c r="CF77" i="1"/>
  <c r="CG77" i="1" s="1"/>
  <c r="CE77" i="1"/>
  <c r="CC77" i="1"/>
  <c r="CA77" i="1"/>
  <c r="BY77" i="1"/>
  <c r="BW77" i="1"/>
  <c r="BU77" i="1"/>
  <c r="BS77" i="1"/>
  <c r="BQ77" i="1"/>
  <c r="BO77" i="1"/>
  <c r="BM77" i="1"/>
  <c r="BK77" i="1"/>
  <c r="BI77" i="1"/>
  <c r="BF77" i="1"/>
  <c r="BG77" i="1" s="1"/>
  <c r="BE77" i="1"/>
  <c r="BC77" i="1"/>
  <c r="BA77" i="1"/>
  <c r="AY77" i="1"/>
  <c r="AW77" i="1"/>
  <c r="AU77" i="1"/>
  <c r="AS77" i="1"/>
  <c r="AQ77" i="1"/>
  <c r="AO77" i="1"/>
  <c r="AM77" i="1"/>
  <c r="AK77" i="1"/>
  <c r="AI77" i="1"/>
  <c r="AF77" i="1"/>
  <c r="AG77" i="1" s="1"/>
  <c r="AE77" i="1"/>
  <c r="DQ77" i="1" s="1"/>
  <c r="AC77" i="1"/>
  <c r="AA77" i="1"/>
  <c r="Y77" i="1"/>
  <c r="W77" i="1"/>
  <c r="U77" i="1"/>
  <c r="S77" i="1"/>
  <c r="Q77" i="1"/>
  <c r="O77" i="1"/>
  <c r="M77" i="1"/>
  <c r="K77" i="1"/>
  <c r="I77" i="1"/>
  <c r="DG76" i="1"/>
  <c r="DC76" i="1"/>
  <c r="DA76" i="1"/>
  <c r="CY76" i="1"/>
  <c r="CW76" i="1"/>
  <c r="CU76" i="1"/>
  <c r="CS76" i="1"/>
  <c r="CO76" i="1"/>
  <c r="CM76" i="1"/>
  <c r="CK76" i="1"/>
  <c r="CI76" i="1"/>
  <c r="CF76" i="1"/>
  <c r="CG76" i="1" s="1"/>
  <c r="CE76" i="1"/>
  <c r="CC76" i="1"/>
  <c r="CA76" i="1"/>
  <c r="BY76" i="1"/>
  <c r="BW76" i="1"/>
  <c r="BU76" i="1"/>
  <c r="BS76" i="1"/>
  <c r="BQ76" i="1"/>
  <c r="BO76" i="1"/>
  <c r="BM76" i="1"/>
  <c r="BK76" i="1"/>
  <c r="BI76" i="1"/>
  <c r="BF76" i="1"/>
  <c r="BG76" i="1" s="1"/>
  <c r="BE76" i="1"/>
  <c r="BC76" i="1"/>
  <c r="BA76" i="1"/>
  <c r="AY76" i="1"/>
  <c r="AW76" i="1"/>
  <c r="AU76" i="1"/>
  <c r="AS76" i="1"/>
  <c r="AQ76" i="1"/>
  <c r="AO76" i="1"/>
  <c r="AM76" i="1"/>
  <c r="AK76" i="1"/>
  <c r="AI76" i="1"/>
  <c r="AF76" i="1"/>
  <c r="AG76" i="1" s="1"/>
  <c r="AE76" i="1"/>
  <c r="DQ76" i="1" s="1"/>
  <c r="AC76" i="1"/>
  <c r="AA76" i="1"/>
  <c r="Y76" i="1"/>
  <c r="W76" i="1"/>
  <c r="U76" i="1"/>
  <c r="S76" i="1"/>
  <c r="Q76" i="1"/>
  <c r="O76" i="1"/>
  <c r="M76" i="1"/>
  <c r="K76" i="1"/>
  <c r="I76" i="1"/>
  <c r="DG75" i="1"/>
  <c r="DC75" i="1"/>
  <c r="DA75" i="1"/>
  <c r="CY75" i="1"/>
  <c r="CW75" i="1"/>
  <c r="CU75" i="1"/>
  <c r="CS75" i="1"/>
  <c r="CO75" i="1"/>
  <c r="CM75" i="1"/>
  <c r="CK75" i="1"/>
  <c r="CI75" i="1"/>
  <c r="CF75" i="1"/>
  <c r="CG75" i="1" s="1"/>
  <c r="CE75" i="1"/>
  <c r="CC75" i="1"/>
  <c r="CA75" i="1"/>
  <c r="BY75" i="1"/>
  <c r="BW75" i="1"/>
  <c r="BU75" i="1"/>
  <c r="BS75" i="1"/>
  <c r="BQ75" i="1"/>
  <c r="BO75" i="1"/>
  <c r="BM75" i="1"/>
  <c r="BK75" i="1"/>
  <c r="BI75" i="1"/>
  <c r="BF75" i="1"/>
  <c r="BG75" i="1" s="1"/>
  <c r="BE75" i="1"/>
  <c r="BC75" i="1"/>
  <c r="BA75" i="1"/>
  <c r="AY75" i="1"/>
  <c r="AW75" i="1"/>
  <c r="AU75" i="1"/>
  <c r="AS75" i="1"/>
  <c r="AQ75" i="1"/>
  <c r="AO75" i="1"/>
  <c r="AM75" i="1"/>
  <c r="AK75" i="1"/>
  <c r="AI75" i="1"/>
  <c r="AF75" i="1"/>
  <c r="AG75" i="1" s="1"/>
  <c r="AE75" i="1"/>
  <c r="DQ75" i="1" s="1"/>
  <c r="AC75" i="1"/>
  <c r="AA75" i="1"/>
  <c r="Y75" i="1"/>
  <c r="W75" i="1"/>
  <c r="U75" i="1"/>
  <c r="S75" i="1"/>
  <c r="Q75" i="1"/>
  <c r="O75" i="1"/>
  <c r="M75" i="1"/>
  <c r="K75" i="1"/>
  <c r="I75" i="1"/>
  <c r="DG74" i="1"/>
  <c r="DC74" i="1"/>
  <c r="DA74" i="1"/>
  <c r="CY74" i="1"/>
  <c r="CW74" i="1"/>
  <c r="CU74" i="1"/>
  <c r="CS74" i="1"/>
  <c r="CM74" i="1"/>
  <c r="CK74" i="1"/>
  <c r="CI74" i="1"/>
  <c r="CF74" i="1"/>
  <c r="CG74" i="1" s="1"/>
  <c r="CE74" i="1"/>
  <c r="CC74" i="1"/>
  <c r="CA74" i="1"/>
  <c r="BY74" i="1"/>
  <c r="BW74" i="1"/>
  <c r="BU74" i="1"/>
  <c r="BS74" i="1"/>
  <c r="BQ74" i="1"/>
  <c r="BO74" i="1"/>
  <c r="BM74" i="1"/>
  <c r="BK74" i="1"/>
  <c r="BI74" i="1"/>
  <c r="BF74" i="1"/>
  <c r="BG74" i="1" s="1"/>
  <c r="BE74" i="1"/>
  <c r="BC74" i="1"/>
  <c r="BA74" i="1"/>
  <c r="AY74" i="1"/>
  <c r="AW74" i="1"/>
  <c r="AU74" i="1"/>
  <c r="AS74" i="1"/>
  <c r="AQ74" i="1"/>
  <c r="AO74" i="1"/>
  <c r="AM74" i="1"/>
  <c r="AK74" i="1"/>
  <c r="AI74" i="1"/>
  <c r="AF74" i="1"/>
  <c r="AG74" i="1" s="1"/>
  <c r="AE74" i="1"/>
  <c r="DQ74" i="1" s="1"/>
  <c r="AC74" i="1"/>
  <c r="AA74" i="1"/>
  <c r="Y74" i="1"/>
  <c r="W74" i="1"/>
  <c r="U74" i="1"/>
  <c r="S74" i="1"/>
  <c r="Q74" i="1"/>
  <c r="O74" i="1"/>
  <c r="M74" i="1"/>
  <c r="K74" i="1"/>
  <c r="I74" i="1"/>
  <c r="DG73" i="1"/>
  <c r="DC73" i="1"/>
  <c r="DA73" i="1"/>
  <c r="CY73" i="1"/>
  <c r="CW73" i="1"/>
  <c r="CU73" i="1"/>
  <c r="CS73" i="1"/>
  <c r="CO73" i="1"/>
  <c r="CM73" i="1"/>
  <c r="CK73" i="1"/>
  <c r="CI73" i="1"/>
  <c r="CF73" i="1"/>
  <c r="CG73" i="1" s="1"/>
  <c r="CE73" i="1"/>
  <c r="CC73" i="1"/>
  <c r="CA73" i="1"/>
  <c r="BY73" i="1"/>
  <c r="BW73" i="1"/>
  <c r="BU73" i="1"/>
  <c r="BS73" i="1"/>
  <c r="BQ73" i="1"/>
  <c r="BO73" i="1"/>
  <c r="BM73" i="1"/>
  <c r="BK73" i="1"/>
  <c r="BI73" i="1"/>
  <c r="BF73" i="1"/>
  <c r="BG73" i="1" s="1"/>
  <c r="BE73" i="1"/>
  <c r="BC73" i="1"/>
  <c r="BA73" i="1"/>
  <c r="AY73" i="1"/>
  <c r="AW73" i="1"/>
  <c r="AU73" i="1"/>
  <c r="AS73" i="1"/>
  <c r="AQ73" i="1"/>
  <c r="AO73" i="1"/>
  <c r="AM73" i="1"/>
  <c r="AK73" i="1"/>
  <c r="AI73" i="1"/>
  <c r="AF73" i="1"/>
  <c r="AG73" i="1" s="1"/>
  <c r="AE73" i="1"/>
  <c r="DQ73" i="1" s="1"/>
  <c r="AC73" i="1"/>
  <c r="AA73" i="1"/>
  <c r="Y73" i="1"/>
  <c r="W73" i="1"/>
  <c r="U73" i="1"/>
  <c r="S73" i="1"/>
  <c r="Q73" i="1"/>
  <c r="O73" i="1"/>
  <c r="M73" i="1"/>
  <c r="K73" i="1"/>
  <c r="I73" i="1"/>
  <c r="DG72" i="1"/>
  <c r="DC72" i="1"/>
  <c r="DA72" i="1"/>
  <c r="CY72" i="1"/>
  <c r="CW72" i="1"/>
  <c r="CU72" i="1"/>
  <c r="CS72" i="1"/>
  <c r="CO72" i="1"/>
  <c r="CM72" i="1"/>
  <c r="CK72" i="1"/>
  <c r="CI72" i="1"/>
  <c r="CF72" i="1"/>
  <c r="CG72" i="1" s="1"/>
  <c r="CE72" i="1"/>
  <c r="CC72" i="1"/>
  <c r="CA72" i="1"/>
  <c r="BY72" i="1"/>
  <c r="BW72" i="1"/>
  <c r="BU72" i="1"/>
  <c r="BS72" i="1"/>
  <c r="BQ72" i="1"/>
  <c r="BO72" i="1"/>
  <c r="BM72" i="1"/>
  <c r="BK72" i="1"/>
  <c r="BI72" i="1"/>
  <c r="BF72" i="1"/>
  <c r="BG72" i="1" s="1"/>
  <c r="BE72" i="1"/>
  <c r="BC72" i="1"/>
  <c r="BA72" i="1"/>
  <c r="AY72" i="1"/>
  <c r="AW72" i="1"/>
  <c r="AU72" i="1"/>
  <c r="AS72" i="1"/>
  <c r="AQ72" i="1"/>
  <c r="AO72" i="1"/>
  <c r="AM72" i="1"/>
  <c r="AK72" i="1"/>
  <c r="AI72" i="1"/>
  <c r="AF72" i="1"/>
  <c r="AG72" i="1" s="1"/>
  <c r="AE72" i="1"/>
  <c r="DQ72" i="1" s="1"/>
  <c r="AC72" i="1"/>
  <c r="AA72" i="1"/>
  <c r="Y72" i="1"/>
  <c r="W72" i="1"/>
  <c r="U72" i="1"/>
  <c r="S72" i="1"/>
  <c r="Q72" i="1"/>
  <c r="O72" i="1"/>
  <c r="M72" i="1"/>
  <c r="K72" i="1"/>
  <c r="I72" i="1"/>
  <c r="DG71" i="1"/>
  <c r="DC71" i="1"/>
  <c r="DA71" i="1"/>
  <c r="CY71" i="1"/>
  <c r="CW71" i="1"/>
  <c r="CU71" i="1"/>
  <c r="CS71" i="1"/>
  <c r="CO71" i="1"/>
  <c r="CM71" i="1"/>
  <c r="CK71" i="1"/>
  <c r="CI71" i="1"/>
  <c r="CF71" i="1"/>
  <c r="CG71" i="1" s="1"/>
  <c r="CE71" i="1"/>
  <c r="CC71" i="1"/>
  <c r="CA71" i="1"/>
  <c r="BY71" i="1"/>
  <c r="BW71" i="1"/>
  <c r="BU71" i="1"/>
  <c r="BS71" i="1"/>
  <c r="BQ71" i="1"/>
  <c r="BO71" i="1"/>
  <c r="BM71" i="1"/>
  <c r="BK71" i="1"/>
  <c r="BI71" i="1"/>
  <c r="BF71" i="1"/>
  <c r="BG71" i="1" s="1"/>
  <c r="BE71" i="1"/>
  <c r="BC71" i="1"/>
  <c r="BA71" i="1"/>
  <c r="AY71" i="1"/>
  <c r="AW71" i="1"/>
  <c r="AU71" i="1"/>
  <c r="AS71" i="1"/>
  <c r="AQ71" i="1"/>
  <c r="AO71" i="1"/>
  <c r="AM71" i="1"/>
  <c r="AK71" i="1"/>
  <c r="AI71" i="1"/>
  <c r="AF71" i="1"/>
  <c r="AG71" i="1" s="1"/>
  <c r="AE71" i="1"/>
  <c r="DQ71" i="1" s="1"/>
  <c r="AC71" i="1"/>
  <c r="AA71" i="1"/>
  <c r="Y71" i="1"/>
  <c r="W71" i="1"/>
  <c r="U71" i="1"/>
  <c r="S71" i="1"/>
  <c r="Q71" i="1"/>
  <c r="O71" i="1"/>
  <c r="M71" i="1"/>
  <c r="K71" i="1"/>
  <c r="I71" i="1"/>
  <c r="DG70" i="1"/>
  <c r="DC70" i="1"/>
  <c r="DA70" i="1"/>
  <c r="CY70" i="1"/>
  <c r="CW70" i="1"/>
  <c r="CU70" i="1"/>
  <c r="CS70" i="1"/>
  <c r="CO70" i="1"/>
  <c r="CM70" i="1"/>
  <c r="CK70" i="1"/>
  <c r="CI70" i="1"/>
  <c r="CF70" i="1"/>
  <c r="CG70" i="1" s="1"/>
  <c r="CE70" i="1"/>
  <c r="CC70" i="1"/>
  <c r="CA70" i="1"/>
  <c r="BY70" i="1"/>
  <c r="BW70" i="1"/>
  <c r="BU70" i="1"/>
  <c r="BS70" i="1"/>
  <c r="BQ70" i="1"/>
  <c r="BO70" i="1"/>
  <c r="BM70" i="1"/>
  <c r="BK70" i="1"/>
  <c r="BI70" i="1"/>
  <c r="BF70" i="1"/>
  <c r="BG70" i="1" s="1"/>
  <c r="BE70" i="1"/>
  <c r="BC70" i="1"/>
  <c r="BA70" i="1"/>
  <c r="AY70" i="1"/>
  <c r="AW70" i="1"/>
  <c r="AU70" i="1"/>
  <c r="AS70" i="1"/>
  <c r="AQ70" i="1"/>
  <c r="AO70" i="1"/>
  <c r="AM70" i="1"/>
  <c r="AK70" i="1"/>
  <c r="AI70" i="1"/>
  <c r="AF70" i="1"/>
  <c r="AG70" i="1" s="1"/>
  <c r="AE70" i="1"/>
  <c r="DQ70" i="1" s="1"/>
  <c r="AC70" i="1"/>
  <c r="AA70" i="1"/>
  <c r="Y70" i="1"/>
  <c r="W70" i="1"/>
  <c r="U70" i="1"/>
  <c r="S70" i="1"/>
  <c r="Q70" i="1"/>
  <c r="O70" i="1"/>
  <c r="M70" i="1"/>
  <c r="K70" i="1"/>
  <c r="I70" i="1"/>
  <c r="DG69" i="1"/>
  <c r="DC69" i="1"/>
  <c r="DA69" i="1"/>
  <c r="CY69" i="1"/>
  <c r="CW69" i="1"/>
  <c r="CU69" i="1"/>
  <c r="CS69" i="1"/>
  <c r="CO69" i="1"/>
  <c r="CM69" i="1"/>
  <c r="CK69" i="1"/>
  <c r="CI69" i="1"/>
  <c r="CF69" i="1"/>
  <c r="CG69" i="1" s="1"/>
  <c r="CE69" i="1"/>
  <c r="CC69" i="1"/>
  <c r="CA69" i="1"/>
  <c r="BY69" i="1"/>
  <c r="BW69" i="1"/>
  <c r="BU69" i="1"/>
  <c r="BS69" i="1"/>
  <c r="BQ69" i="1"/>
  <c r="BO69" i="1"/>
  <c r="BM69" i="1"/>
  <c r="BK69" i="1"/>
  <c r="BI69" i="1"/>
  <c r="BF69" i="1"/>
  <c r="BG69" i="1" s="1"/>
  <c r="BE69" i="1"/>
  <c r="BC69" i="1"/>
  <c r="BA69" i="1"/>
  <c r="AY69" i="1"/>
  <c r="AW69" i="1"/>
  <c r="AU69" i="1"/>
  <c r="AS69" i="1"/>
  <c r="AQ69" i="1"/>
  <c r="AO69" i="1"/>
  <c r="AM69" i="1"/>
  <c r="AK69" i="1"/>
  <c r="AI69" i="1"/>
  <c r="AF69" i="1"/>
  <c r="AG69" i="1" s="1"/>
  <c r="AE69" i="1"/>
  <c r="DQ69" i="1" s="1"/>
  <c r="AC69" i="1"/>
  <c r="AA69" i="1"/>
  <c r="Y69" i="1"/>
  <c r="W69" i="1"/>
  <c r="U69" i="1"/>
  <c r="S69" i="1"/>
  <c r="Q69" i="1"/>
  <c r="O69" i="1"/>
  <c r="M69" i="1"/>
  <c r="K69" i="1"/>
  <c r="I69" i="1"/>
  <c r="DG68" i="1"/>
  <c r="DC68" i="1"/>
  <c r="DA68" i="1"/>
  <c r="CY68" i="1"/>
  <c r="CW68" i="1"/>
  <c r="CU68" i="1"/>
  <c r="CS68" i="1"/>
  <c r="CO68" i="1"/>
  <c r="CM68" i="1"/>
  <c r="CK68" i="1"/>
  <c r="CI68" i="1"/>
  <c r="CF68" i="1"/>
  <c r="CG68" i="1" s="1"/>
  <c r="CE68" i="1"/>
  <c r="CC68" i="1"/>
  <c r="CA68" i="1"/>
  <c r="BY68" i="1"/>
  <c r="BW68" i="1"/>
  <c r="BU68" i="1"/>
  <c r="BS68" i="1"/>
  <c r="BQ68" i="1"/>
  <c r="BO68" i="1"/>
  <c r="BM68" i="1"/>
  <c r="BK68" i="1"/>
  <c r="BI68" i="1"/>
  <c r="BF68" i="1"/>
  <c r="BG68" i="1" s="1"/>
  <c r="BE68" i="1"/>
  <c r="BC68" i="1"/>
  <c r="BA68" i="1"/>
  <c r="AY68" i="1"/>
  <c r="AW68" i="1"/>
  <c r="AU68" i="1"/>
  <c r="AS68" i="1"/>
  <c r="AQ68" i="1"/>
  <c r="AO68" i="1"/>
  <c r="AM68" i="1"/>
  <c r="AK68" i="1"/>
  <c r="AI68" i="1"/>
  <c r="AF68" i="1"/>
  <c r="AG68" i="1" s="1"/>
  <c r="AE68" i="1"/>
  <c r="DQ68" i="1" s="1"/>
  <c r="AC68" i="1"/>
  <c r="AA68" i="1"/>
  <c r="Y68" i="1"/>
  <c r="W68" i="1"/>
  <c r="U68" i="1"/>
  <c r="S68" i="1"/>
  <c r="Q68" i="1"/>
  <c r="O68" i="1"/>
  <c r="M68" i="1"/>
  <c r="K68" i="1"/>
  <c r="I68" i="1"/>
  <c r="DG67" i="1"/>
  <c r="DC67" i="1"/>
  <c r="DA67" i="1"/>
  <c r="CY67" i="1"/>
  <c r="CW67" i="1"/>
  <c r="CU67" i="1"/>
  <c r="CS67" i="1"/>
  <c r="CO67" i="1"/>
  <c r="CM67" i="1"/>
  <c r="CK67" i="1"/>
  <c r="CI67" i="1"/>
  <c r="CF67" i="1"/>
  <c r="CG67" i="1" s="1"/>
  <c r="CE67" i="1"/>
  <c r="CC67" i="1"/>
  <c r="CA67" i="1"/>
  <c r="BY67" i="1"/>
  <c r="BW67" i="1"/>
  <c r="BU67" i="1"/>
  <c r="BS67" i="1"/>
  <c r="BQ67" i="1"/>
  <c r="BO67" i="1"/>
  <c r="BM67" i="1"/>
  <c r="BK67" i="1"/>
  <c r="BI67" i="1"/>
  <c r="BF67" i="1"/>
  <c r="BG67" i="1" s="1"/>
  <c r="BE67" i="1"/>
  <c r="BC67" i="1"/>
  <c r="BA67" i="1"/>
  <c r="AY67" i="1"/>
  <c r="AW67" i="1"/>
  <c r="AU67" i="1"/>
  <c r="AS67" i="1"/>
  <c r="AQ67" i="1"/>
  <c r="AO67" i="1"/>
  <c r="AM67" i="1"/>
  <c r="AK67" i="1"/>
  <c r="AI67" i="1"/>
  <c r="AF67" i="1"/>
  <c r="AG67" i="1" s="1"/>
  <c r="AE67" i="1"/>
  <c r="DQ67" i="1" s="1"/>
  <c r="AC67" i="1"/>
  <c r="AA67" i="1"/>
  <c r="Y67" i="1"/>
  <c r="W67" i="1"/>
  <c r="U67" i="1"/>
  <c r="S67" i="1"/>
  <c r="Q67" i="1"/>
  <c r="O67" i="1"/>
  <c r="M67" i="1"/>
  <c r="K67" i="1"/>
  <c r="I67" i="1"/>
  <c r="DG66" i="1"/>
  <c r="DC66" i="1"/>
  <c r="DA66" i="1"/>
  <c r="CY66" i="1"/>
  <c r="CW66" i="1"/>
  <c r="CU66" i="1"/>
  <c r="CS66" i="1"/>
  <c r="CO66" i="1"/>
  <c r="CM66" i="1"/>
  <c r="CK66" i="1"/>
  <c r="CI66" i="1"/>
  <c r="CF66" i="1"/>
  <c r="CG66" i="1" s="1"/>
  <c r="CE66" i="1"/>
  <c r="CC66" i="1"/>
  <c r="CA66" i="1"/>
  <c r="BY66" i="1"/>
  <c r="BW66" i="1"/>
  <c r="BU66" i="1"/>
  <c r="BS66" i="1"/>
  <c r="BQ66" i="1"/>
  <c r="BO66" i="1"/>
  <c r="BM66" i="1"/>
  <c r="BK66" i="1"/>
  <c r="BI66" i="1"/>
  <c r="BF66" i="1"/>
  <c r="BG66" i="1" s="1"/>
  <c r="BE66" i="1"/>
  <c r="BC66" i="1"/>
  <c r="BA66" i="1"/>
  <c r="AY66" i="1"/>
  <c r="AW66" i="1"/>
  <c r="AU66" i="1"/>
  <c r="AS66" i="1"/>
  <c r="AQ66" i="1"/>
  <c r="AO66" i="1"/>
  <c r="AM66" i="1"/>
  <c r="AK66" i="1"/>
  <c r="AI66" i="1"/>
  <c r="AF66" i="1"/>
  <c r="AG66" i="1" s="1"/>
  <c r="AE66" i="1"/>
  <c r="DQ66" i="1" s="1"/>
  <c r="AC66" i="1"/>
  <c r="AA66" i="1"/>
  <c r="Y66" i="1"/>
  <c r="W66" i="1"/>
  <c r="U66" i="1"/>
  <c r="S66" i="1"/>
  <c r="Q66" i="1"/>
  <c r="O66" i="1"/>
  <c r="M66" i="1"/>
  <c r="K66" i="1"/>
  <c r="I66" i="1"/>
  <c r="DG65" i="1"/>
  <c r="DC65" i="1"/>
  <c r="DA65" i="1"/>
  <c r="CY65" i="1"/>
  <c r="CW65" i="1"/>
  <c r="CU65" i="1"/>
  <c r="CS65" i="1"/>
  <c r="CO65" i="1"/>
  <c r="CM65" i="1"/>
  <c r="CK65" i="1"/>
  <c r="CI65" i="1"/>
  <c r="DG64" i="1"/>
  <c r="DC64" i="1"/>
  <c r="DA64" i="1"/>
  <c r="CY64" i="1"/>
  <c r="CW64" i="1"/>
  <c r="CU64" i="1"/>
  <c r="CS64" i="1"/>
  <c r="CM64" i="1"/>
  <c r="CK64" i="1"/>
  <c r="CI64" i="1"/>
  <c r="CF64" i="1"/>
  <c r="CG64" i="1" s="1"/>
  <c r="CE64" i="1"/>
  <c r="CC64" i="1"/>
  <c r="CA64" i="1"/>
  <c r="BY64" i="1"/>
  <c r="BW64" i="1"/>
  <c r="BU64" i="1"/>
  <c r="BS64" i="1"/>
  <c r="BQ64" i="1"/>
  <c r="BO64" i="1"/>
  <c r="BM64" i="1"/>
  <c r="BK64" i="1"/>
  <c r="BI64" i="1"/>
  <c r="BF64" i="1"/>
  <c r="BG64" i="1" s="1"/>
  <c r="BE64" i="1"/>
  <c r="BC64" i="1"/>
  <c r="BA64" i="1"/>
  <c r="AY64" i="1"/>
  <c r="AW64" i="1"/>
  <c r="AU64" i="1"/>
  <c r="AS64" i="1"/>
  <c r="AQ64" i="1"/>
  <c r="AO64" i="1"/>
  <c r="AM64" i="1"/>
  <c r="AK64" i="1"/>
  <c r="AI64" i="1"/>
  <c r="AF64" i="1"/>
  <c r="AG64" i="1" s="1"/>
  <c r="AE64" i="1"/>
  <c r="DQ64" i="1" s="1"/>
  <c r="AC64" i="1"/>
  <c r="AA64" i="1"/>
  <c r="Y64" i="1"/>
  <c r="W64" i="1"/>
  <c r="U64" i="1"/>
  <c r="S64" i="1"/>
  <c r="Q64" i="1"/>
  <c r="O64" i="1"/>
  <c r="M64" i="1"/>
  <c r="K64" i="1"/>
  <c r="I64" i="1"/>
  <c r="DG63" i="1"/>
  <c r="DC63" i="1"/>
  <c r="DA63" i="1"/>
  <c r="CY63" i="1"/>
  <c r="CW63" i="1"/>
  <c r="CU63" i="1"/>
  <c r="CS63" i="1"/>
  <c r="CO63" i="1"/>
  <c r="CM63" i="1"/>
  <c r="CK63" i="1"/>
  <c r="CI63" i="1"/>
  <c r="CF63" i="1"/>
  <c r="CG63" i="1" s="1"/>
  <c r="CE63" i="1"/>
  <c r="CC63" i="1"/>
  <c r="CA63" i="1"/>
  <c r="BY63" i="1"/>
  <c r="BW63" i="1"/>
  <c r="BU63" i="1"/>
  <c r="BS63" i="1"/>
  <c r="BQ63" i="1"/>
  <c r="BO63" i="1"/>
  <c r="BM63" i="1"/>
  <c r="BK63" i="1"/>
  <c r="BI63" i="1"/>
  <c r="BF63" i="1"/>
  <c r="BG63" i="1" s="1"/>
  <c r="BE63" i="1"/>
  <c r="BC63" i="1"/>
  <c r="BA63" i="1"/>
  <c r="AY63" i="1"/>
  <c r="AW63" i="1"/>
  <c r="AU63" i="1"/>
  <c r="AS63" i="1"/>
  <c r="AQ63" i="1"/>
  <c r="AO63" i="1"/>
  <c r="AM63" i="1"/>
  <c r="AK63" i="1"/>
  <c r="AI63" i="1"/>
  <c r="AF63" i="1"/>
  <c r="AG63" i="1" s="1"/>
  <c r="AE63" i="1"/>
  <c r="DQ63" i="1" s="1"/>
  <c r="AC63" i="1"/>
  <c r="AA63" i="1"/>
  <c r="Y63" i="1"/>
  <c r="W63" i="1"/>
  <c r="U63" i="1"/>
  <c r="S63" i="1"/>
  <c r="Q63" i="1"/>
  <c r="O63" i="1"/>
  <c r="M63" i="1"/>
  <c r="K63" i="1"/>
  <c r="I63" i="1"/>
  <c r="DG62" i="1"/>
  <c r="DC62" i="1"/>
  <c r="DA62" i="1"/>
  <c r="CY62" i="1"/>
  <c r="CW62" i="1"/>
  <c r="CS62" i="1"/>
  <c r="CO62" i="1"/>
  <c r="CM62" i="1"/>
  <c r="CK62" i="1"/>
  <c r="CI62" i="1"/>
  <c r="CF62" i="1"/>
  <c r="CG62" i="1" s="1"/>
  <c r="CE62" i="1"/>
  <c r="CC62" i="1"/>
  <c r="CA62" i="1"/>
  <c r="BY62" i="1"/>
  <c r="BW62" i="1"/>
  <c r="BU62" i="1"/>
  <c r="BS62" i="1"/>
  <c r="BQ62" i="1"/>
  <c r="BO62" i="1"/>
  <c r="BM62" i="1"/>
  <c r="BK62" i="1"/>
  <c r="BI62" i="1"/>
  <c r="BF62" i="1"/>
  <c r="BG62" i="1" s="1"/>
  <c r="BE62" i="1"/>
  <c r="BC62" i="1"/>
  <c r="BA62" i="1"/>
  <c r="AY62" i="1"/>
  <c r="AW62" i="1"/>
  <c r="AU62" i="1"/>
  <c r="AS62" i="1"/>
  <c r="AQ62" i="1"/>
  <c r="AO62" i="1"/>
  <c r="AM62" i="1"/>
  <c r="AK62" i="1"/>
  <c r="AI62" i="1"/>
  <c r="AF62" i="1"/>
  <c r="AG62" i="1" s="1"/>
  <c r="AE62" i="1"/>
  <c r="DQ62" i="1" s="1"/>
  <c r="AC62" i="1"/>
  <c r="AA62" i="1"/>
  <c r="Y62" i="1"/>
  <c r="W62" i="1"/>
  <c r="U62" i="1"/>
  <c r="S62" i="1"/>
  <c r="Q62" i="1"/>
  <c r="O62" i="1"/>
  <c r="M62" i="1"/>
  <c r="K62" i="1"/>
  <c r="I62" i="1"/>
  <c r="DG61" i="1"/>
  <c r="DC61" i="1"/>
  <c r="DA61" i="1"/>
  <c r="CY61" i="1"/>
  <c r="CW61" i="1"/>
  <c r="CU61" i="1"/>
  <c r="CS61" i="1"/>
  <c r="CO61" i="1"/>
  <c r="CM61" i="1"/>
  <c r="CK61" i="1"/>
  <c r="CI61" i="1"/>
  <c r="CF61" i="1"/>
  <c r="CG61" i="1" s="1"/>
  <c r="CE61" i="1"/>
  <c r="CC61" i="1"/>
  <c r="CA61" i="1"/>
  <c r="BY61" i="1"/>
  <c r="BW61" i="1"/>
  <c r="BU61" i="1"/>
  <c r="BS61" i="1"/>
  <c r="BQ61" i="1"/>
  <c r="BO61" i="1"/>
  <c r="BM61" i="1"/>
  <c r="BK61" i="1"/>
  <c r="BI61" i="1"/>
  <c r="BF61" i="1"/>
  <c r="BG61" i="1" s="1"/>
  <c r="BE61" i="1"/>
  <c r="BC61" i="1"/>
  <c r="BA61" i="1"/>
  <c r="AY61" i="1"/>
  <c r="AW61" i="1"/>
  <c r="AU61" i="1"/>
  <c r="AS61" i="1"/>
  <c r="AQ61" i="1"/>
  <c r="AO61" i="1"/>
  <c r="AM61" i="1"/>
  <c r="AK61" i="1"/>
  <c r="AI61" i="1"/>
  <c r="AF61" i="1"/>
  <c r="AG61" i="1" s="1"/>
  <c r="AE61" i="1"/>
  <c r="DQ61" i="1" s="1"/>
  <c r="AC61" i="1"/>
  <c r="AA61" i="1"/>
  <c r="Y61" i="1"/>
  <c r="W61" i="1"/>
  <c r="U61" i="1"/>
  <c r="S61" i="1"/>
  <c r="Q61" i="1"/>
  <c r="O61" i="1"/>
  <c r="M61" i="1"/>
  <c r="K61" i="1"/>
  <c r="I61" i="1"/>
  <c r="DC60" i="1"/>
  <c r="DA60" i="1"/>
  <c r="CY60" i="1"/>
  <c r="CW60" i="1"/>
  <c r="CU60" i="1"/>
  <c r="CS60" i="1"/>
  <c r="CO60" i="1"/>
  <c r="CM60" i="1"/>
  <c r="CK60" i="1"/>
  <c r="CI60" i="1"/>
  <c r="CF60" i="1"/>
  <c r="CG60" i="1" s="1"/>
  <c r="CE60" i="1"/>
  <c r="CC60" i="1"/>
  <c r="CA60" i="1"/>
  <c r="BY60" i="1"/>
  <c r="BW60" i="1"/>
  <c r="BU60" i="1"/>
  <c r="BS60" i="1"/>
  <c r="BQ60" i="1"/>
  <c r="BO60" i="1"/>
  <c r="BM60" i="1"/>
  <c r="BK60" i="1"/>
  <c r="BI60" i="1"/>
  <c r="BF60" i="1"/>
  <c r="BG60" i="1" s="1"/>
  <c r="BE60" i="1"/>
  <c r="BC60" i="1"/>
  <c r="BA60" i="1"/>
  <c r="AY60" i="1"/>
  <c r="AW60" i="1"/>
  <c r="AU60" i="1"/>
  <c r="AS60" i="1"/>
  <c r="AQ60" i="1"/>
  <c r="AO60" i="1"/>
  <c r="AM60" i="1"/>
  <c r="AK60" i="1"/>
  <c r="AI60" i="1"/>
  <c r="AF60" i="1"/>
  <c r="AG60" i="1" s="1"/>
  <c r="AE60" i="1"/>
  <c r="DQ60" i="1" s="1"/>
  <c r="AC60" i="1"/>
  <c r="AA60" i="1"/>
  <c r="Y60" i="1"/>
  <c r="W60" i="1"/>
  <c r="U60" i="1"/>
  <c r="S60" i="1"/>
  <c r="Q60" i="1"/>
  <c r="O60" i="1"/>
  <c r="M60" i="1"/>
  <c r="K60" i="1"/>
  <c r="I60" i="1"/>
  <c r="DG59" i="1"/>
  <c r="DC59" i="1"/>
  <c r="DA59" i="1"/>
  <c r="CY59" i="1"/>
  <c r="CW59" i="1"/>
  <c r="CU59" i="1"/>
  <c r="CS59" i="1"/>
  <c r="CO59" i="1"/>
  <c r="CM59" i="1"/>
  <c r="CK59" i="1"/>
  <c r="CI59" i="1"/>
  <c r="CF59" i="1"/>
  <c r="CG59" i="1" s="1"/>
  <c r="CE59" i="1"/>
  <c r="CC59" i="1"/>
  <c r="CA59" i="1"/>
  <c r="BY59" i="1"/>
  <c r="BW59" i="1"/>
  <c r="BU59" i="1"/>
  <c r="BS59" i="1"/>
  <c r="BQ59" i="1"/>
  <c r="BO59" i="1"/>
  <c r="BM59" i="1"/>
  <c r="BK59" i="1"/>
  <c r="BI59" i="1"/>
  <c r="BF59" i="1"/>
  <c r="BG59" i="1" s="1"/>
  <c r="BE59" i="1"/>
  <c r="BC59" i="1"/>
  <c r="BA59" i="1"/>
  <c r="AY59" i="1"/>
  <c r="AW59" i="1"/>
  <c r="AU59" i="1"/>
  <c r="AS59" i="1"/>
  <c r="AQ59" i="1"/>
  <c r="AO59" i="1"/>
  <c r="AM59" i="1"/>
  <c r="AK59" i="1"/>
  <c r="AI59" i="1"/>
  <c r="AF59" i="1"/>
  <c r="AG59" i="1" s="1"/>
  <c r="AE59" i="1"/>
  <c r="DQ59" i="1" s="1"/>
  <c r="AC59" i="1"/>
  <c r="AA59" i="1"/>
  <c r="Y59" i="1"/>
  <c r="W59" i="1"/>
  <c r="U59" i="1"/>
  <c r="S59" i="1"/>
  <c r="Q59" i="1"/>
  <c r="O59" i="1"/>
  <c r="M59" i="1"/>
  <c r="K59" i="1"/>
  <c r="I59" i="1"/>
  <c r="DG58" i="1"/>
  <c r="DC58" i="1"/>
  <c r="DA58" i="1"/>
  <c r="CY58" i="1"/>
  <c r="CW58" i="1"/>
  <c r="CU58" i="1"/>
  <c r="CS58" i="1"/>
  <c r="CO58" i="1"/>
  <c r="CM58" i="1"/>
  <c r="CK58" i="1"/>
  <c r="CI58" i="1"/>
  <c r="CF58" i="1"/>
  <c r="CG58" i="1" s="1"/>
  <c r="CE58" i="1"/>
  <c r="CC58" i="1"/>
  <c r="CA58" i="1"/>
  <c r="BY58" i="1"/>
  <c r="BW58" i="1"/>
  <c r="BU58" i="1"/>
  <c r="BS58" i="1"/>
  <c r="BQ58" i="1"/>
  <c r="BO58" i="1"/>
  <c r="BM58" i="1"/>
  <c r="BK58" i="1"/>
  <c r="BI58" i="1"/>
  <c r="BF58" i="1"/>
  <c r="BG58" i="1" s="1"/>
  <c r="BE58" i="1"/>
  <c r="BC58" i="1"/>
  <c r="BA58" i="1"/>
  <c r="AY58" i="1"/>
  <c r="AW58" i="1"/>
  <c r="AU58" i="1"/>
  <c r="AS58" i="1"/>
  <c r="AQ58" i="1"/>
  <c r="AO58" i="1"/>
  <c r="AM58" i="1"/>
  <c r="AK58" i="1"/>
  <c r="AI58" i="1"/>
  <c r="AF58" i="1"/>
  <c r="AG58" i="1" s="1"/>
  <c r="AE58" i="1"/>
  <c r="DQ58" i="1" s="1"/>
  <c r="AC58" i="1"/>
  <c r="AA58" i="1"/>
  <c r="Y58" i="1"/>
  <c r="W58" i="1"/>
  <c r="U58" i="1"/>
  <c r="S58" i="1"/>
  <c r="Q58" i="1"/>
  <c r="O58" i="1"/>
  <c r="M58" i="1"/>
  <c r="K58" i="1"/>
  <c r="I58" i="1"/>
  <c r="DG57" i="1"/>
  <c r="DC57" i="1"/>
  <c r="DA57" i="1"/>
  <c r="CY57" i="1"/>
  <c r="CW57" i="1"/>
  <c r="CU57" i="1"/>
  <c r="CS57" i="1"/>
  <c r="CO57" i="1"/>
  <c r="CM57" i="1"/>
  <c r="CK57" i="1"/>
  <c r="CI57" i="1"/>
  <c r="CF57" i="1"/>
  <c r="CG57" i="1" s="1"/>
  <c r="CE57" i="1"/>
  <c r="CC57" i="1"/>
  <c r="CA57" i="1"/>
  <c r="BY57" i="1"/>
  <c r="BW57" i="1"/>
  <c r="BU57" i="1"/>
  <c r="BS57" i="1"/>
  <c r="BQ57" i="1"/>
  <c r="BO57" i="1"/>
  <c r="BM57" i="1"/>
  <c r="BK57" i="1"/>
  <c r="BI57" i="1"/>
  <c r="BF57" i="1"/>
  <c r="BG57" i="1" s="1"/>
  <c r="BE57" i="1"/>
  <c r="BC57" i="1"/>
  <c r="BA57" i="1"/>
  <c r="AY57" i="1"/>
  <c r="AW57" i="1"/>
  <c r="AU57" i="1"/>
  <c r="AS57" i="1"/>
  <c r="AQ57" i="1"/>
  <c r="AO57" i="1"/>
  <c r="AM57" i="1"/>
  <c r="AK57" i="1"/>
  <c r="AI57" i="1"/>
  <c r="AF57" i="1"/>
  <c r="AG57" i="1" s="1"/>
  <c r="AE57" i="1"/>
  <c r="DQ57" i="1" s="1"/>
  <c r="AC57" i="1"/>
  <c r="AA57" i="1"/>
  <c r="Y57" i="1"/>
  <c r="W57" i="1"/>
  <c r="U57" i="1"/>
  <c r="S57" i="1"/>
  <c r="Q57" i="1"/>
  <c r="O57" i="1"/>
  <c r="M57" i="1"/>
  <c r="K57" i="1"/>
  <c r="I57" i="1"/>
  <c r="DG56" i="1"/>
  <c r="DC56" i="1"/>
  <c r="DA56" i="1"/>
  <c r="CY56" i="1"/>
  <c r="CW56" i="1"/>
  <c r="CU56" i="1"/>
  <c r="CS56" i="1"/>
  <c r="CO56" i="1"/>
  <c r="CM56" i="1"/>
  <c r="CK56" i="1"/>
  <c r="CI56" i="1"/>
  <c r="CF56" i="1"/>
  <c r="CG56" i="1" s="1"/>
  <c r="CE56" i="1"/>
  <c r="CC56" i="1"/>
  <c r="CA56" i="1"/>
  <c r="BY56" i="1"/>
  <c r="BW56" i="1"/>
  <c r="BU56" i="1"/>
  <c r="BS56" i="1"/>
  <c r="BQ56" i="1"/>
  <c r="BO56" i="1"/>
  <c r="BM56" i="1"/>
  <c r="BK56" i="1"/>
  <c r="BI56" i="1"/>
  <c r="BF56" i="1"/>
  <c r="BG56" i="1" s="1"/>
  <c r="BE56" i="1"/>
  <c r="BC56" i="1"/>
  <c r="BA56" i="1"/>
  <c r="AY56" i="1"/>
  <c r="AW56" i="1"/>
  <c r="AU56" i="1"/>
  <c r="AS56" i="1"/>
  <c r="AQ56" i="1"/>
  <c r="AO56" i="1"/>
  <c r="AM56" i="1"/>
  <c r="AK56" i="1"/>
  <c r="AI56" i="1"/>
  <c r="AF56" i="1"/>
  <c r="AG56" i="1" s="1"/>
  <c r="AE56" i="1"/>
  <c r="DQ56" i="1" s="1"/>
  <c r="AC56" i="1"/>
  <c r="AA56" i="1"/>
  <c r="Y56" i="1"/>
  <c r="W56" i="1"/>
  <c r="U56" i="1"/>
  <c r="S56" i="1"/>
  <c r="Q56" i="1"/>
  <c r="O56" i="1"/>
  <c r="M56" i="1"/>
  <c r="K56" i="1"/>
  <c r="I56" i="1"/>
  <c r="DC55" i="1"/>
  <c r="DA55" i="1"/>
  <c r="CY55" i="1"/>
  <c r="CW55" i="1"/>
  <c r="CU55" i="1"/>
  <c r="CS55" i="1"/>
  <c r="CO55" i="1"/>
  <c r="CM55" i="1"/>
  <c r="CK55" i="1"/>
  <c r="CI55" i="1"/>
  <c r="CF55" i="1"/>
  <c r="CG55" i="1" s="1"/>
  <c r="CE55" i="1"/>
  <c r="CC55" i="1"/>
  <c r="CA55" i="1"/>
  <c r="BY55" i="1"/>
  <c r="BW55" i="1"/>
  <c r="BU55" i="1"/>
  <c r="BS55" i="1"/>
  <c r="BQ55" i="1"/>
  <c r="BO55" i="1"/>
  <c r="BM55" i="1"/>
  <c r="BK55" i="1"/>
  <c r="BI55" i="1"/>
  <c r="BF55" i="1"/>
  <c r="BG55" i="1" s="1"/>
  <c r="BE55" i="1"/>
  <c r="BC55" i="1"/>
  <c r="BA55" i="1"/>
  <c r="AY55" i="1"/>
  <c r="AW55" i="1"/>
  <c r="AU55" i="1"/>
  <c r="AS55" i="1"/>
  <c r="AQ55" i="1"/>
  <c r="AO55" i="1"/>
  <c r="AM55" i="1"/>
  <c r="AK55" i="1"/>
  <c r="AI55" i="1"/>
  <c r="AF55" i="1"/>
  <c r="AG55" i="1" s="1"/>
  <c r="AE55" i="1"/>
  <c r="DQ55" i="1" s="1"/>
  <c r="AC55" i="1"/>
  <c r="AA55" i="1"/>
  <c r="Y55" i="1"/>
  <c r="W55" i="1"/>
  <c r="U55" i="1"/>
  <c r="S55" i="1"/>
  <c r="Q55" i="1"/>
  <c r="O55" i="1"/>
  <c r="M55" i="1"/>
  <c r="K55" i="1"/>
  <c r="I55" i="1"/>
  <c r="DG54" i="1"/>
  <c r="DC54" i="1"/>
  <c r="DA54" i="1"/>
  <c r="CY54" i="1"/>
  <c r="CW54" i="1"/>
  <c r="CU54" i="1"/>
  <c r="CS54" i="1"/>
  <c r="CO54" i="1"/>
  <c r="CM54" i="1"/>
  <c r="CK54" i="1"/>
  <c r="CI54" i="1"/>
  <c r="CF54" i="1"/>
  <c r="CG54" i="1" s="1"/>
  <c r="CE54" i="1"/>
  <c r="CC54" i="1"/>
  <c r="CA54" i="1"/>
  <c r="BY54" i="1"/>
  <c r="BW54" i="1"/>
  <c r="BU54" i="1"/>
  <c r="BS54" i="1"/>
  <c r="BQ54" i="1"/>
  <c r="BO54" i="1"/>
  <c r="BM54" i="1"/>
  <c r="BK54" i="1"/>
  <c r="BI54" i="1"/>
  <c r="BF54" i="1"/>
  <c r="BG54" i="1" s="1"/>
  <c r="BE54" i="1"/>
  <c r="BC54" i="1"/>
  <c r="BA54" i="1"/>
  <c r="AY54" i="1"/>
  <c r="AW54" i="1"/>
  <c r="AU54" i="1"/>
  <c r="AS54" i="1"/>
  <c r="AQ54" i="1"/>
  <c r="AO54" i="1"/>
  <c r="AM54" i="1"/>
  <c r="AK54" i="1"/>
  <c r="AI54" i="1"/>
  <c r="AF54" i="1"/>
  <c r="AG54" i="1" s="1"/>
  <c r="AE54" i="1"/>
  <c r="DQ54" i="1" s="1"/>
  <c r="AC54" i="1"/>
  <c r="AA54" i="1"/>
  <c r="Y54" i="1"/>
  <c r="W54" i="1"/>
  <c r="U54" i="1"/>
  <c r="S54" i="1"/>
  <c r="Q54" i="1"/>
  <c r="O54" i="1"/>
  <c r="M54" i="1"/>
  <c r="K54" i="1"/>
  <c r="I54" i="1"/>
  <c r="DG53" i="1"/>
  <c r="DC53" i="1"/>
  <c r="DA53" i="1"/>
  <c r="CY53" i="1"/>
  <c r="CW53" i="1"/>
  <c r="CU53" i="1"/>
  <c r="CS53" i="1"/>
  <c r="CO53" i="1"/>
  <c r="CM53" i="1"/>
  <c r="CK53" i="1"/>
  <c r="CI53" i="1"/>
  <c r="CF53" i="1"/>
  <c r="CG53" i="1" s="1"/>
  <c r="CE53" i="1"/>
  <c r="CC53" i="1"/>
  <c r="CA53" i="1"/>
  <c r="BY53" i="1"/>
  <c r="BW53" i="1"/>
  <c r="BU53" i="1"/>
  <c r="BS53" i="1"/>
  <c r="BQ53" i="1"/>
  <c r="BO53" i="1"/>
  <c r="BM53" i="1"/>
  <c r="BK53" i="1"/>
  <c r="BI53" i="1"/>
  <c r="BF53" i="1"/>
  <c r="BG53" i="1" s="1"/>
  <c r="BE53" i="1"/>
  <c r="BC53" i="1"/>
  <c r="BA53" i="1"/>
  <c r="AY53" i="1"/>
  <c r="AW53" i="1"/>
  <c r="AU53" i="1"/>
  <c r="AS53" i="1"/>
  <c r="AQ53" i="1"/>
  <c r="AO53" i="1"/>
  <c r="AM53" i="1"/>
  <c r="AK53" i="1"/>
  <c r="AI53" i="1"/>
  <c r="AF53" i="1"/>
  <c r="AG53" i="1" s="1"/>
  <c r="AE53" i="1"/>
  <c r="DQ53" i="1" s="1"/>
  <c r="AC53" i="1"/>
  <c r="AA53" i="1"/>
  <c r="Y53" i="1"/>
  <c r="W53" i="1"/>
  <c r="U53" i="1"/>
  <c r="S53" i="1"/>
  <c r="Q53" i="1"/>
  <c r="O53" i="1"/>
  <c r="M53" i="1"/>
  <c r="K53" i="1"/>
  <c r="I53" i="1"/>
  <c r="DG52" i="1"/>
  <c r="DC52" i="1"/>
  <c r="DA52" i="1"/>
  <c r="CY52" i="1"/>
  <c r="CW52" i="1"/>
  <c r="CU52" i="1"/>
  <c r="CS52" i="1"/>
  <c r="CO52" i="1"/>
  <c r="CM52" i="1"/>
  <c r="CK52" i="1"/>
  <c r="CI52" i="1"/>
  <c r="CF52" i="1"/>
  <c r="CG52" i="1" s="1"/>
  <c r="CE52" i="1"/>
  <c r="CC52" i="1"/>
  <c r="CA52" i="1"/>
  <c r="BY52" i="1"/>
  <c r="BW52" i="1"/>
  <c r="BU52" i="1"/>
  <c r="BS52" i="1"/>
  <c r="BQ52" i="1"/>
  <c r="BO52" i="1"/>
  <c r="BM52" i="1"/>
  <c r="BK52" i="1"/>
  <c r="BI52" i="1"/>
  <c r="BF52" i="1"/>
  <c r="BG52" i="1" s="1"/>
  <c r="BE52" i="1"/>
  <c r="BC52" i="1"/>
  <c r="BA52" i="1"/>
  <c r="AY52" i="1"/>
  <c r="AW52" i="1"/>
  <c r="AU52" i="1"/>
  <c r="AS52" i="1"/>
  <c r="AQ52" i="1"/>
  <c r="AO52" i="1"/>
  <c r="AM52" i="1"/>
  <c r="AK52" i="1"/>
  <c r="AI52" i="1"/>
  <c r="AF52" i="1"/>
  <c r="AG52" i="1" s="1"/>
  <c r="AE52" i="1"/>
  <c r="DQ52" i="1" s="1"/>
  <c r="AC52" i="1"/>
  <c r="AA52" i="1"/>
  <c r="Y52" i="1"/>
  <c r="W52" i="1"/>
  <c r="U52" i="1"/>
  <c r="S52" i="1"/>
  <c r="Q52" i="1"/>
  <c r="O52" i="1"/>
  <c r="M52" i="1"/>
  <c r="K52" i="1"/>
  <c r="I52" i="1"/>
  <c r="DG51" i="1"/>
  <c r="DC51" i="1"/>
  <c r="DA51" i="1"/>
  <c r="CY51" i="1"/>
  <c r="CW51" i="1"/>
  <c r="CU51" i="1"/>
  <c r="CS51" i="1"/>
  <c r="CO51" i="1"/>
  <c r="CM51" i="1"/>
  <c r="CK51" i="1"/>
  <c r="CI51" i="1"/>
  <c r="CF51" i="1"/>
  <c r="CG51" i="1" s="1"/>
  <c r="CE51" i="1"/>
  <c r="CC51" i="1"/>
  <c r="CA51" i="1"/>
  <c r="BY51" i="1"/>
  <c r="BW51" i="1"/>
  <c r="BU51" i="1"/>
  <c r="BS51" i="1"/>
  <c r="BQ51" i="1"/>
  <c r="BO51" i="1"/>
  <c r="BM51" i="1"/>
  <c r="BK51" i="1"/>
  <c r="BI51" i="1"/>
  <c r="BF51" i="1"/>
  <c r="BG51" i="1" s="1"/>
  <c r="BE51" i="1"/>
  <c r="BC51" i="1"/>
  <c r="BA51" i="1"/>
  <c r="AY51" i="1"/>
  <c r="AW51" i="1"/>
  <c r="AU51" i="1"/>
  <c r="AS51" i="1"/>
  <c r="AQ51" i="1"/>
  <c r="AO51" i="1"/>
  <c r="AM51" i="1"/>
  <c r="AK51" i="1"/>
  <c r="AI51" i="1"/>
  <c r="AF51" i="1"/>
  <c r="AG51" i="1" s="1"/>
  <c r="AE51" i="1"/>
  <c r="DQ51" i="1" s="1"/>
  <c r="AC51" i="1"/>
  <c r="AA51" i="1"/>
  <c r="Y51" i="1"/>
  <c r="W51" i="1"/>
  <c r="U51" i="1"/>
  <c r="S51" i="1"/>
  <c r="Q51" i="1"/>
  <c r="O51" i="1"/>
  <c r="M51" i="1"/>
  <c r="K51" i="1"/>
  <c r="I51" i="1"/>
  <c r="DG50" i="1"/>
  <c r="DC50" i="1"/>
  <c r="DA50" i="1"/>
  <c r="CY50" i="1"/>
  <c r="CW50" i="1"/>
  <c r="CU50" i="1"/>
  <c r="CS50" i="1"/>
  <c r="CO50" i="1"/>
  <c r="CM50" i="1"/>
  <c r="CK50" i="1"/>
  <c r="CI50" i="1"/>
  <c r="CF50" i="1"/>
  <c r="CG50" i="1" s="1"/>
  <c r="CE50" i="1"/>
  <c r="CC50" i="1"/>
  <c r="CA50" i="1"/>
  <c r="BY50" i="1"/>
  <c r="BW50" i="1"/>
  <c r="BU50" i="1"/>
  <c r="BS50" i="1"/>
  <c r="BQ50" i="1"/>
  <c r="BO50" i="1"/>
  <c r="BM50" i="1"/>
  <c r="BK50" i="1"/>
  <c r="BI50" i="1"/>
  <c r="BF50" i="1"/>
  <c r="BG50" i="1" s="1"/>
  <c r="BE50" i="1"/>
  <c r="BC50" i="1"/>
  <c r="BA50" i="1"/>
  <c r="AY50" i="1"/>
  <c r="AW50" i="1"/>
  <c r="AU50" i="1"/>
  <c r="AS50" i="1"/>
  <c r="AQ50" i="1"/>
  <c r="AO50" i="1"/>
  <c r="AM50" i="1"/>
  <c r="AK50" i="1"/>
  <c r="AI50" i="1"/>
  <c r="AF50" i="1"/>
  <c r="AG50" i="1" s="1"/>
  <c r="AE50" i="1"/>
  <c r="DQ50" i="1" s="1"/>
  <c r="AC50" i="1"/>
  <c r="AA50" i="1"/>
  <c r="Y50" i="1"/>
  <c r="W50" i="1"/>
  <c r="U50" i="1"/>
  <c r="S50" i="1"/>
  <c r="Q50" i="1"/>
  <c r="O50" i="1"/>
  <c r="M50" i="1"/>
  <c r="K50" i="1"/>
  <c r="I50" i="1"/>
  <c r="DC49" i="1"/>
  <c r="DA49" i="1"/>
  <c r="CY49" i="1"/>
  <c r="CW49" i="1"/>
  <c r="CU49" i="1"/>
  <c r="CS49" i="1"/>
  <c r="CO49" i="1"/>
  <c r="CM49" i="1"/>
  <c r="CK49" i="1"/>
  <c r="CI49" i="1"/>
  <c r="CF49" i="1"/>
  <c r="CG49" i="1" s="1"/>
  <c r="CE49" i="1"/>
  <c r="CC49" i="1"/>
  <c r="CA49" i="1"/>
  <c r="BY49" i="1"/>
  <c r="BW49" i="1"/>
  <c r="BU49" i="1"/>
  <c r="BS49" i="1"/>
  <c r="BQ49" i="1"/>
  <c r="BO49" i="1"/>
  <c r="BM49" i="1"/>
  <c r="BK49" i="1"/>
  <c r="BI49" i="1"/>
  <c r="BF49" i="1"/>
  <c r="BG49" i="1" s="1"/>
  <c r="BE49" i="1"/>
  <c r="BC49" i="1"/>
  <c r="BA49" i="1"/>
  <c r="AY49" i="1"/>
  <c r="AW49" i="1"/>
  <c r="AU49" i="1"/>
  <c r="AS49" i="1"/>
  <c r="AQ49" i="1"/>
  <c r="AO49" i="1"/>
  <c r="AM49" i="1"/>
  <c r="AK49" i="1"/>
  <c r="AI49" i="1"/>
  <c r="AF49" i="1"/>
  <c r="AG49" i="1" s="1"/>
  <c r="AE49" i="1"/>
  <c r="DQ49" i="1" s="1"/>
  <c r="AC49" i="1"/>
  <c r="AA49" i="1"/>
  <c r="Y49" i="1"/>
  <c r="W49" i="1"/>
  <c r="U49" i="1"/>
  <c r="S49" i="1"/>
  <c r="Q49" i="1"/>
  <c r="O49" i="1"/>
  <c r="M49" i="1"/>
  <c r="K49" i="1"/>
  <c r="I49" i="1"/>
  <c r="DG48" i="1"/>
  <c r="DC48" i="1"/>
  <c r="DA48" i="1"/>
  <c r="CY48" i="1"/>
  <c r="CW48" i="1"/>
  <c r="CU48" i="1"/>
  <c r="CS48" i="1"/>
  <c r="CO48" i="1"/>
  <c r="CM48" i="1"/>
  <c r="CK48" i="1"/>
  <c r="CI48" i="1"/>
  <c r="CF48" i="1"/>
  <c r="CG48" i="1" s="1"/>
  <c r="CE48" i="1"/>
  <c r="CC48" i="1"/>
  <c r="CA48" i="1"/>
  <c r="BY48" i="1"/>
  <c r="BW48" i="1"/>
  <c r="BU48" i="1"/>
  <c r="BS48" i="1"/>
  <c r="BQ48" i="1"/>
  <c r="BO48" i="1"/>
  <c r="BM48" i="1"/>
  <c r="BK48" i="1"/>
  <c r="BI48" i="1"/>
  <c r="BF48" i="1"/>
  <c r="BG48" i="1" s="1"/>
  <c r="BE48" i="1"/>
  <c r="BC48" i="1"/>
  <c r="BA48" i="1"/>
  <c r="AY48" i="1"/>
  <c r="AW48" i="1"/>
  <c r="AU48" i="1"/>
  <c r="AS48" i="1"/>
  <c r="AQ48" i="1"/>
  <c r="AO48" i="1"/>
  <c r="AM48" i="1"/>
  <c r="AK48" i="1"/>
  <c r="AI48" i="1"/>
  <c r="AF48" i="1"/>
  <c r="AG48" i="1" s="1"/>
  <c r="AE48" i="1"/>
  <c r="DQ48" i="1" s="1"/>
  <c r="AC48" i="1"/>
  <c r="AA48" i="1"/>
  <c r="Y48" i="1"/>
  <c r="W48" i="1"/>
  <c r="U48" i="1"/>
  <c r="S48" i="1"/>
  <c r="Q48" i="1"/>
  <c r="O48" i="1"/>
  <c r="M48" i="1"/>
  <c r="K48" i="1"/>
  <c r="I48" i="1"/>
  <c r="DG47" i="1"/>
  <c r="DC47" i="1"/>
  <c r="DA47" i="1"/>
  <c r="CY47" i="1"/>
  <c r="CW47" i="1"/>
  <c r="CU47" i="1"/>
  <c r="CS47" i="1"/>
  <c r="CO47" i="1"/>
  <c r="CM47" i="1"/>
  <c r="CK47" i="1"/>
  <c r="CI47" i="1"/>
  <c r="CF47" i="1"/>
  <c r="CG47" i="1" s="1"/>
  <c r="CE47" i="1"/>
  <c r="CC47" i="1"/>
  <c r="CA47" i="1"/>
  <c r="BY47" i="1"/>
  <c r="BW47" i="1"/>
  <c r="BU47" i="1"/>
  <c r="BS47" i="1"/>
  <c r="BQ47" i="1"/>
  <c r="BO47" i="1"/>
  <c r="BM47" i="1"/>
  <c r="BK47" i="1"/>
  <c r="BI47" i="1"/>
  <c r="BF47" i="1"/>
  <c r="BG47" i="1" s="1"/>
  <c r="BE47" i="1"/>
  <c r="BC47" i="1"/>
  <c r="BA47" i="1"/>
  <c r="AY47" i="1"/>
  <c r="AW47" i="1"/>
  <c r="AU47" i="1"/>
  <c r="AS47" i="1"/>
  <c r="AQ47" i="1"/>
  <c r="AO47" i="1"/>
  <c r="AM47" i="1"/>
  <c r="AK47" i="1"/>
  <c r="AI47" i="1"/>
  <c r="AF47" i="1"/>
  <c r="AG47" i="1" s="1"/>
  <c r="AE47" i="1"/>
  <c r="DQ47" i="1" s="1"/>
  <c r="AC47" i="1"/>
  <c r="AA47" i="1"/>
  <c r="Y47" i="1"/>
  <c r="W47" i="1"/>
  <c r="U47" i="1"/>
  <c r="S47" i="1"/>
  <c r="Q47" i="1"/>
  <c r="O47" i="1"/>
  <c r="M47" i="1"/>
  <c r="K47" i="1"/>
  <c r="I47" i="1"/>
  <c r="DG46" i="1"/>
  <c r="DC46" i="1"/>
  <c r="DA46" i="1"/>
  <c r="CY46" i="1"/>
  <c r="CW46" i="1"/>
  <c r="CU46" i="1"/>
  <c r="CS46" i="1"/>
  <c r="CO46" i="1"/>
  <c r="CM46" i="1"/>
  <c r="CK46" i="1"/>
  <c r="CI46" i="1"/>
  <c r="CF46" i="1"/>
  <c r="CG46" i="1" s="1"/>
  <c r="CE46" i="1"/>
  <c r="CC46" i="1"/>
  <c r="CA46" i="1"/>
  <c r="BY46" i="1"/>
  <c r="BW46" i="1"/>
  <c r="BU46" i="1"/>
  <c r="BS46" i="1"/>
  <c r="BQ46" i="1"/>
  <c r="BO46" i="1"/>
  <c r="BM46" i="1"/>
  <c r="BK46" i="1"/>
  <c r="BI46" i="1"/>
  <c r="BF46" i="1"/>
  <c r="BG46" i="1" s="1"/>
  <c r="BE46" i="1"/>
  <c r="BC46" i="1"/>
  <c r="BA46" i="1"/>
  <c r="AY46" i="1"/>
  <c r="AW46" i="1"/>
  <c r="AU46" i="1"/>
  <c r="AS46" i="1"/>
  <c r="AQ46" i="1"/>
  <c r="AO46" i="1"/>
  <c r="AM46" i="1"/>
  <c r="AK46" i="1"/>
  <c r="AI46" i="1"/>
  <c r="AF46" i="1"/>
  <c r="AG46" i="1" s="1"/>
  <c r="AE46" i="1"/>
  <c r="DQ46" i="1" s="1"/>
  <c r="AC46" i="1"/>
  <c r="AA46" i="1"/>
  <c r="Y46" i="1"/>
  <c r="W46" i="1"/>
  <c r="U46" i="1"/>
  <c r="S46" i="1"/>
  <c r="Q46" i="1"/>
  <c r="O46" i="1"/>
  <c r="M46" i="1"/>
  <c r="K46" i="1"/>
  <c r="I46" i="1"/>
  <c r="DG45" i="1"/>
  <c r="DC45" i="1"/>
  <c r="DA45" i="1"/>
  <c r="CY45" i="1"/>
  <c r="CW45" i="1"/>
  <c r="CU45" i="1"/>
  <c r="CS45" i="1"/>
  <c r="CO45" i="1"/>
  <c r="CM45" i="1"/>
  <c r="CK45" i="1"/>
  <c r="CI45" i="1"/>
  <c r="CF45" i="1"/>
  <c r="CG45" i="1" s="1"/>
  <c r="CE45" i="1"/>
  <c r="CC45" i="1"/>
  <c r="CA45" i="1"/>
  <c r="BY45" i="1"/>
  <c r="BW45" i="1"/>
  <c r="BU45" i="1"/>
  <c r="BS45" i="1"/>
  <c r="BQ45" i="1"/>
  <c r="BO45" i="1"/>
  <c r="BM45" i="1"/>
  <c r="BK45" i="1"/>
  <c r="BI45" i="1"/>
  <c r="BF45" i="1"/>
  <c r="BG45" i="1" s="1"/>
  <c r="BE45" i="1"/>
  <c r="BC45" i="1"/>
  <c r="BA45" i="1"/>
  <c r="AY45" i="1"/>
  <c r="AW45" i="1"/>
  <c r="AU45" i="1"/>
  <c r="AS45" i="1"/>
  <c r="AQ45" i="1"/>
  <c r="AO45" i="1"/>
  <c r="AM45" i="1"/>
  <c r="AK45" i="1"/>
  <c r="AI45" i="1"/>
  <c r="AF45" i="1"/>
  <c r="AG45" i="1" s="1"/>
  <c r="AE45" i="1"/>
  <c r="DQ45" i="1" s="1"/>
  <c r="AC45" i="1"/>
  <c r="AA45" i="1"/>
  <c r="Y45" i="1"/>
  <c r="W45" i="1"/>
  <c r="U45" i="1"/>
  <c r="S45" i="1"/>
  <c r="Q45" i="1"/>
  <c r="O45" i="1"/>
  <c r="M45" i="1"/>
  <c r="K45" i="1"/>
  <c r="I45" i="1"/>
  <c r="DG44" i="1"/>
  <c r="DC44" i="1"/>
  <c r="DA44" i="1"/>
  <c r="CY44" i="1"/>
  <c r="CW44" i="1"/>
  <c r="CU44" i="1"/>
  <c r="CS44" i="1"/>
  <c r="CM44" i="1"/>
  <c r="CK44" i="1"/>
  <c r="CI44" i="1"/>
  <c r="CF44" i="1"/>
  <c r="CG44" i="1" s="1"/>
  <c r="CE44" i="1"/>
  <c r="CC44" i="1"/>
  <c r="CA44" i="1"/>
  <c r="BY44" i="1"/>
  <c r="BW44" i="1"/>
  <c r="BU44" i="1"/>
  <c r="BS44" i="1"/>
  <c r="BQ44" i="1"/>
  <c r="BO44" i="1"/>
  <c r="BM44" i="1"/>
  <c r="BK44" i="1"/>
  <c r="BI44" i="1"/>
  <c r="BF44" i="1"/>
  <c r="BG44" i="1" s="1"/>
  <c r="BE44" i="1"/>
  <c r="BC44" i="1"/>
  <c r="BA44" i="1"/>
  <c r="AY44" i="1"/>
  <c r="AW44" i="1"/>
  <c r="AU44" i="1"/>
  <c r="AS44" i="1"/>
  <c r="AQ44" i="1"/>
  <c r="AO44" i="1"/>
  <c r="AM44" i="1"/>
  <c r="AK44" i="1"/>
  <c r="AI44" i="1"/>
  <c r="AF44" i="1"/>
  <c r="AG44" i="1" s="1"/>
  <c r="AE44" i="1"/>
  <c r="DQ44" i="1" s="1"/>
  <c r="AC44" i="1"/>
  <c r="AA44" i="1"/>
  <c r="Y44" i="1"/>
  <c r="W44" i="1"/>
  <c r="U44" i="1"/>
  <c r="S44" i="1"/>
  <c r="Q44" i="1"/>
  <c r="O44" i="1"/>
  <c r="M44" i="1"/>
  <c r="K44" i="1"/>
  <c r="I44" i="1"/>
  <c r="DG43" i="1"/>
  <c r="DC43" i="1"/>
  <c r="DA43" i="1"/>
  <c r="CY43" i="1"/>
  <c r="CW43" i="1"/>
  <c r="CU43" i="1"/>
  <c r="CS43" i="1"/>
  <c r="CO43" i="1"/>
  <c r="CM43" i="1"/>
  <c r="CK43" i="1"/>
  <c r="CI43" i="1"/>
  <c r="CF43" i="1"/>
  <c r="CG43" i="1" s="1"/>
  <c r="CE43" i="1"/>
  <c r="CC43" i="1"/>
  <c r="CA43" i="1"/>
  <c r="BY43" i="1"/>
  <c r="BW43" i="1"/>
  <c r="BU43" i="1"/>
  <c r="BS43" i="1"/>
  <c r="BQ43" i="1"/>
  <c r="BO43" i="1"/>
  <c r="BM43" i="1"/>
  <c r="BK43" i="1"/>
  <c r="BI43" i="1"/>
  <c r="BF43" i="1"/>
  <c r="BG43" i="1" s="1"/>
  <c r="BE43" i="1"/>
  <c r="BC43" i="1"/>
  <c r="BA43" i="1"/>
  <c r="AY43" i="1"/>
  <c r="AW43" i="1"/>
  <c r="AU43" i="1"/>
  <c r="AS43" i="1"/>
  <c r="AQ43" i="1"/>
  <c r="AO43" i="1"/>
  <c r="AM43" i="1"/>
  <c r="AK43" i="1"/>
  <c r="AI43" i="1"/>
  <c r="AF43" i="1"/>
  <c r="AG43" i="1" s="1"/>
  <c r="AE43" i="1"/>
  <c r="DQ43" i="1" s="1"/>
  <c r="AC43" i="1"/>
  <c r="AA43" i="1"/>
  <c r="Y43" i="1"/>
  <c r="W43" i="1"/>
  <c r="U43" i="1"/>
  <c r="S43" i="1"/>
  <c r="Q43" i="1"/>
  <c r="O43" i="1"/>
  <c r="M43" i="1"/>
  <c r="K43" i="1"/>
  <c r="I43" i="1"/>
  <c r="DG42" i="1"/>
  <c r="DC42" i="1"/>
  <c r="DA42" i="1"/>
  <c r="CY42" i="1"/>
  <c r="CW42" i="1"/>
  <c r="CU42" i="1"/>
  <c r="CS42" i="1"/>
  <c r="CO42" i="1"/>
  <c r="CM42" i="1"/>
  <c r="CK42" i="1"/>
  <c r="CI42" i="1"/>
  <c r="CF42" i="1"/>
  <c r="CG42" i="1" s="1"/>
  <c r="CE42" i="1"/>
  <c r="CC42" i="1"/>
  <c r="CA42" i="1"/>
  <c r="BY42" i="1"/>
  <c r="BW42" i="1"/>
  <c r="BU42" i="1"/>
  <c r="BS42" i="1"/>
  <c r="BQ42" i="1"/>
  <c r="BO42" i="1"/>
  <c r="BM42" i="1"/>
  <c r="BK42" i="1"/>
  <c r="BI42" i="1"/>
  <c r="BF42" i="1"/>
  <c r="BG42" i="1" s="1"/>
  <c r="BE42" i="1"/>
  <c r="BC42" i="1"/>
  <c r="BA42" i="1"/>
  <c r="AY42" i="1"/>
  <c r="AW42" i="1"/>
  <c r="AU42" i="1"/>
  <c r="AS42" i="1"/>
  <c r="AQ42" i="1"/>
  <c r="AO42" i="1"/>
  <c r="AM42" i="1"/>
  <c r="AK42" i="1"/>
  <c r="AI42" i="1"/>
  <c r="AF42" i="1"/>
  <c r="AG42" i="1" s="1"/>
  <c r="AE42" i="1"/>
  <c r="DQ42" i="1" s="1"/>
  <c r="AC42" i="1"/>
  <c r="AA42" i="1"/>
  <c r="Y42" i="1"/>
  <c r="W42" i="1"/>
  <c r="U42" i="1"/>
  <c r="S42" i="1"/>
  <c r="Q42" i="1"/>
  <c r="O42" i="1"/>
  <c r="M42" i="1"/>
  <c r="K42" i="1"/>
  <c r="I42" i="1"/>
  <c r="DG41" i="1"/>
  <c r="DC41" i="1"/>
  <c r="DA41" i="1"/>
  <c r="CY41" i="1"/>
  <c r="CW41" i="1"/>
  <c r="CU41" i="1"/>
  <c r="CS41" i="1"/>
  <c r="CM41" i="1"/>
  <c r="CK41" i="1"/>
  <c r="CI41" i="1"/>
  <c r="CF41" i="1"/>
  <c r="CG41" i="1" s="1"/>
  <c r="CE41" i="1"/>
  <c r="CC41" i="1"/>
  <c r="CA41" i="1"/>
  <c r="BY41" i="1"/>
  <c r="BW41" i="1"/>
  <c r="BU41" i="1"/>
  <c r="BS41" i="1"/>
  <c r="BQ41" i="1"/>
  <c r="BO41" i="1"/>
  <c r="BM41" i="1"/>
  <c r="BK41" i="1"/>
  <c r="BF41" i="1"/>
  <c r="BG41" i="1" s="1"/>
  <c r="BE41" i="1"/>
  <c r="BC41" i="1"/>
  <c r="BA41" i="1"/>
  <c r="AY41" i="1"/>
  <c r="AW41" i="1"/>
  <c r="AU41" i="1"/>
  <c r="AS41" i="1"/>
  <c r="AQ41" i="1"/>
  <c r="AO41" i="1"/>
  <c r="AM41" i="1"/>
  <c r="AK41" i="1"/>
  <c r="AI41" i="1"/>
  <c r="AF41" i="1"/>
  <c r="AG41" i="1" s="1"/>
  <c r="AE41" i="1"/>
  <c r="DQ41" i="1" s="1"/>
  <c r="AC41" i="1"/>
  <c r="AA41" i="1"/>
  <c r="Y41" i="1"/>
  <c r="W41" i="1"/>
  <c r="U41" i="1"/>
  <c r="S41" i="1"/>
  <c r="Q41" i="1"/>
  <c r="O41" i="1"/>
  <c r="M41" i="1"/>
  <c r="K41" i="1"/>
  <c r="I41" i="1"/>
  <c r="DG40" i="1"/>
  <c r="DC40" i="1"/>
  <c r="DA40" i="1"/>
  <c r="CY40" i="1"/>
  <c r="CW40" i="1"/>
  <c r="CU40" i="1"/>
  <c r="CS40" i="1"/>
  <c r="CO40" i="1"/>
  <c r="CK40" i="1"/>
  <c r="CI40" i="1"/>
  <c r="CF40" i="1"/>
  <c r="CG40" i="1" s="1"/>
  <c r="CE40" i="1"/>
  <c r="CC40" i="1"/>
  <c r="CA40" i="1"/>
  <c r="BY40" i="1"/>
  <c r="BW40" i="1"/>
  <c r="BU40" i="1"/>
  <c r="BS40" i="1"/>
  <c r="BQ40" i="1"/>
  <c r="BO40" i="1"/>
  <c r="BM40" i="1"/>
  <c r="BK40" i="1"/>
  <c r="BI40" i="1"/>
  <c r="BF40" i="1"/>
  <c r="BG40" i="1" s="1"/>
  <c r="BE40" i="1"/>
  <c r="BC40" i="1"/>
  <c r="BA40" i="1"/>
  <c r="AY40" i="1"/>
  <c r="AW40" i="1"/>
  <c r="AU40" i="1"/>
  <c r="AS40" i="1"/>
  <c r="AQ40" i="1"/>
  <c r="AO40" i="1"/>
  <c r="AM40" i="1"/>
  <c r="AK40" i="1"/>
  <c r="AI40" i="1"/>
  <c r="AF40" i="1"/>
  <c r="AG40" i="1" s="1"/>
  <c r="AE40" i="1"/>
  <c r="DQ40" i="1" s="1"/>
  <c r="AC40" i="1"/>
  <c r="AA40" i="1"/>
  <c r="Y40" i="1"/>
  <c r="W40" i="1"/>
  <c r="U40" i="1"/>
  <c r="S40" i="1"/>
  <c r="Q40" i="1"/>
  <c r="O40" i="1"/>
  <c r="M40" i="1"/>
  <c r="K40" i="1"/>
  <c r="I40" i="1"/>
  <c r="DG39" i="1"/>
  <c r="DC39" i="1"/>
  <c r="DA39" i="1"/>
  <c r="CY39" i="1"/>
  <c r="CW39" i="1"/>
  <c r="CU39" i="1"/>
  <c r="CS39" i="1"/>
  <c r="CM39" i="1"/>
  <c r="CK39" i="1"/>
  <c r="CI39" i="1"/>
  <c r="CF39" i="1"/>
  <c r="CG39" i="1" s="1"/>
  <c r="CE39" i="1"/>
  <c r="CC39" i="1"/>
  <c r="CA39" i="1"/>
  <c r="BY39" i="1"/>
  <c r="BW39" i="1"/>
  <c r="BU39" i="1"/>
  <c r="BS39" i="1"/>
  <c r="BQ39" i="1"/>
  <c r="BO39" i="1"/>
  <c r="BM39" i="1"/>
  <c r="BK39" i="1"/>
  <c r="BI39" i="1"/>
  <c r="BF39" i="1"/>
  <c r="BG39" i="1" s="1"/>
  <c r="BE39" i="1"/>
  <c r="BC39" i="1"/>
  <c r="BA39" i="1"/>
  <c r="AY39" i="1"/>
  <c r="AW39" i="1"/>
  <c r="AU39" i="1"/>
  <c r="AS39" i="1"/>
  <c r="AQ39" i="1"/>
  <c r="AO39" i="1"/>
  <c r="AM39" i="1"/>
  <c r="AK39" i="1"/>
  <c r="AI39" i="1"/>
  <c r="AF39" i="1"/>
  <c r="AG39" i="1" s="1"/>
  <c r="AE39" i="1"/>
  <c r="DQ39" i="1" s="1"/>
  <c r="AC39" i="1"/>
  <c r="AA39" i="1"/>
  <c r="Y39" i="1"/>
  <c r="W39" i="1"/>
  <c r="U39" i="1"/>
  <c r="S39" i="1"/>
  <c r="Q39" i="1"/>
  <c r="O39" i="1"/>
  <c r="M39" i="1"/>
  <c r="K39" i="1"/>
  <c r="I39" i="1"/>
  <c r="DG38" i="1"/>
  <c r="DC38" i="1"/>
  <c r="DA38" i="1"/>
  <c r="CY38" i="1"/>
  <c r="CW38" i="1"/>
  <c r="CU38" i="1"/>
  <c r="CS38" i="1"/>
  <c r="CO38" i="1"/>
  <c r="CM38" i="1"/>
  <c r="CK38" i="1"/>
  <c r="CI38" i="1"/>
  <c r="CF38" i="1"/>
  <c r="CG38" i="1" s="1"/>
  <c r="CE38" i="1"/>
  <c r="CC38" i="1"/>
  <c r="CA38" i="1"/>
  <c r="BY38" i="1"/>
  <c r="BW38" i="1"/>
  <c r="BU38" i="1"/>
  <c r="BS38" i="1"/>
  <c r="BQ38" i="1"/>
  <c r="BO38" i="1"/>
  <c r="BM38" i="1"/>
  <c r="BK38" i="1"/>
  <c r="BI38" i="1"/>
  <c r="BF38" i="1"/>
  <c r="BG38" i="1" s="1"/>
  <c r="BE38" i="1"/>
  <c r="BC38" i="1"/>
  <c r="BA38" i="1"/>
  <c r="AY38" i="1"/>
  <c r="AW38" i="1"/>
  <c r="AU38" i="1"/>
  <c r="AS38" i="1"/>
  <c r="AQ38" i="1"/>
  <c r="AO38" i="1"/>
  <c r="AM38" i="1"/>
  <c r="AK38" i="1"/>
  <c r="AI38" i="1"/>
  <c r="AF38" i="1"/>
  <c r="AG38" i="1" s="1"/>
  <c r="AE38" i="1"/>
  <c r="DQ38" i="1" s="1"/>
  <c r="AC38" i="1"/>
  <c r="AA38" i="1"/>
  <c r="Y38" i="1"/>
  <c r="W38" i="1"/>
  <c r="U38" i="1"/>
  <c r="S38" i="1"/>
  <c r="Q38" i="1"/>
  <c r="O38" i="1"/>
  <c r="M38" i="1"/>
  <c r="K38" i="1"/>
  <c r="I38" i="1"/>
  <c r="DG37" i="1"/>
  <c r="DC37" i="1"/>
  <c r="DA37" i="1"/>
  <c r="CY37" i="1"/>
  <c r="CW37" i="1"/>
  <c r="CU37" i="1"/>
  <c r="CS37" i="1"/>
  <c r="CO37" i="1"/>
  <c r="CM37" i="1"/>
  <c r="CK37" i="1"/>
  <c r="CI37" i="1"/>
  <c r="CF37" i="1"/>
  <c r="CG37" i="1" s="1"/>
  <c r="CE37" i="1"/>
  <c r="CC37" i="1"/>
  <c r="CA37" i="1"/>
  <c r="BY37" i="1"/>
  <c r="BW37" i="1"/>
  <c r="BU37" i="1"/>
  <c r="BS37" i="1"/>
  <c r="BQ37" i="1"/>
  <c r="BO37" i="1"/>
  <c r="BM37" i="1"/>
  <c r="BK37" i="1"/>
  <c r="BI37" i="1"/>
  <c r="BF37" i="1"/>
  <c r="BG37" i="1" s="1"/>
  <c r="BE37" i="1"/>
  <c r="BC37" i="1"/>
  <c r="BA37" i="1"/>
  <c r="AY37" i="1"/>
  <c r="AW37" i="1"/>
  <c r="AU37" i="1"/>
  <c r="AS37" i="1"/>
  <c r="AQ37" i="1"/>
  <c r="AO37" i="1"/>
  <c r="AM37" i="1"/>
  <c r="AK37" i="1"/>
  <c r="AI37" i="1"/>
  <c r="AF37" i="1"/>
  <c r="AG37" i="1" s="1"/>
  <c r="AE37" i="1"/>
  <c r="DQ37" i="1" s="1"/>
  <c r="AC37" i="1"/>
  <c r="AA37" i="1"/>
  <c r="Y37" i="1"/>
  <c r="W37" i="1"/>
  <c r="U37" i="1"/>
  <c r="S37" i="1"/>
  <c r="Q37" i="1"/>
  <c r="O37" i="1"/>
  <c r="M37" i="1"/>
  <c r="K37" i="1"/>
  <c r="I37" i="1"/>
  <c r="DG36" i="1"/>
  <c r="DC36" i="1"/>
  <c r="DA36" i="1"/>
  <c r="CY36" i="1"/>
  <c r="CW36" i="1"/>
  <c r="CU36" i="1"/>
  <c r="CS36" i="1"/>
  <c r="CO36" i="1"/>
  <c r="CM36" i="1"/>
  <c r="CK36" i="1"/>
  <c r="CI36" i="1"/>
  <c r="CF36" i="1"/>
  <c r="CG36" i="1" s="1"/>
  <c r="CE36" i="1"/>
  <c r="CC36" i="1"/>
  <c r="CA36" i="1"/>
  <c r="BY36" i="1"/>
  <c r="BW36" i="1"/>
  <c r="BU36" i="1"/>
  <c r="BS36" i="1"/>
  <c r="BQ36" i="1"/>
  <c r="BO36" i="1"/>
  <c r="BM36" i="1"/>
  <c r="BK36" i="1"/>
  <c r="BI36" i="1"/>
  <c r="BF36" i="1"/>
  <c r="BG36" i="1" s="1"/>
  <c r="BE36" i="1"/>
  <c r="BC36" i="1"/>
  <c r="BA36" i="1"/>
  <c r="AY36" i="1"/>
  <c r="AW36" i="1"/>
  <c r="AU36" i="1"/>
  <c r="AS36" i="1"/>
  <c r="AQ36" i="1"/>
  <c r="AO36" i="1"/>
  <c r="AM36" i="1"/>
  <c r="AK36" i="1"/>
  <c r="AI36" i="1"/>
  <c r="AF36" i="1"/>
  <c r="AG36" i="1" s="1"/>
  <c r="AE36" i="1"/>
  <c r="DQ36" i="1" s="1"/>
  <c r="AC36" i="1"/>
  <c r="AA36" i="1"/>
  <c r="Y36" i="1"/>
  <c r="W36" i="1"/>
  <c r="U36" i="1"/>
  <c r="S36" i="1"/>
  <c r="Q36" i="1"/>
  <c r="O36" i="1"/>
  <c r="M36" i="1"/>
  <c r="K36" i="1"/>
  <c r="I36" i="1"/>
  <c r="DG35" i="1"/>
  <c r="DC35" i="1"/>
  <c r="DA35" i="1"/>
  <c r="CY35" i="1"/>
  <c r="CW35" i="1"/>
  <c r="CU35" i="1"/>
  <c r="CS35" i="1"/>
  <c r="CO35" i="1"/>
  <c r="CM35" i="1"/>
  <c r="CK35" i="1"/>
  <c r="CI35" i="1"/>
  <c r="CF35" i="1"/>
  <c r="CG35" i="1" s="1"/>
  <c r="CE35" i="1"/>
  <c r="CC35" i="1"/>
  <c r="CA35" i="1"/>
  <c r="BY35" i="1"/>
  <c r="BW35" i="1"/>
  <c r="BU35" i="1"/>
  <c r="BS35" i="1"/>
  <c r="BQ35" i="1"/>
  <c r="BO35" i="1"/>
  <c r="BM35" i="1"/>
  <c r="BK35" i="1"/>
  <c r="BI35" i="1"/>
  <c r="BF35" i="1"/>
  <c r="BG35" i="1" s="1"/>
  <c r="BE35" i="1"/>
  <c r="BC35" i="1"/>
  <c r="BA35" i="1"/>
  <c r="AY35" i="1"/>
  <c r="AW35" i="1"/>
  <c r="AU35" i="1"/>
  <c r="AS35" i="1"/>
  <c r="AQ35" i="1"/>
  <c r="AO35" i="1"/>
  <c r="AM35" i="1"/>
  <c r="AK35" i="1"/>
  <c r="AI35" i="1"/>
  <c r="AF35" i="1"/>
  <c r="AG35" i="1" s="1"/>
  <c r="AE35" i="1"/>
  <c r="DQ35" i="1" s="1"/>
  <c r="AC35" i="1"/>
  <c r="AA35" i="1"/>
  <c r="Y35" i="1"/>
  <c r="W35" i="1"/>
  <c r="U35" i="1"/>
  <c r="S35" i="1"/>
  <c r="Q35" i="1"/>
  <c r="O35" i="1"/>
  <c r="M35" i="1"/>
  <c r="K35" i="1"/>
  <c r="I35" i="1"/>
  <c r="DG34" i="1"/>
  <c r="DC34" i="1"/>
  <c r="DA34" i="1"/>
  <c r="CY34" i="1"/>
  <c r="CW34" i="1"/>
  <c r="CU34" i="1"/>
  <c r="CS34" i="1"/>
  <c r="CO34" i="1"/>
  <c r="CM34" i="1"/>
  <c r="CK34" i="1"/>
  <c r="CI34" i="1"/>
  <c r="CF34" i="1"/>
  <c r="CG34" i="1" s="1"/>
  <c r="CE34" i="1"/>
  <c r="CC34" i="1"/>
  <c r="CA34" i="1"/>
  <c r="BY34" i="1"/>
  <c r="BW34" i="1"/>
  <c r="BU34" i="1"/>
  <c r="BS34" i="1"/>
  <c r="BQ34" i="1"/>
  <c r="BO34" i="1"/>
  <c r="BM34" i="1"/>
  <c r="BK34" i="1"/>
  <c r="BI34" i="1"/>
  <c r="BF34" i="1"/>
  <c r="BG34" i="1" s="1"/>
  <c r="BE34" i="1"/>
  <c r="BC34" i="1"/>
  <c r="BA34" i="1"/>
  <c r="AY34" i="1"/>
  <c r="AW34" i="1"/>
  <c r="AU34" i="1"/>
  <c r="AS34" i="1"/>
  <c r="AQ34" i="1"/>
  <c r="AO34" i="1"/>
  <c r="AM34" i="1"/>
  <c r="AK34" i="1"/>
  <c r="AI34" i="1"/>
  <c r="AF34" i="1"/>
  <c r="AG34" i="1" s="1"/>
  <c r="AE34" i="1"/>
  <c r="DQ34" i="1" s="1"/>
  <c r="AC34" i="1"/>
  <c r="AA34" i="1"/>
  <c r="Y34" i="1"/>
  <c r="W34" i="1"/>
  <c r="U34" i="1"/>
  <c r="S34" i="1"/>
  <c r="Q34" i="1"/>
  <c r="O34" i="1"/>
  <c r="M34" i="1"/>
  <c r="K34" i="1"/>
  <c r="I34" i="1"/>
  <c r="DG33" i="1"/>
  <c r="DC33" i="1"/>
  <c r="DA33" i="1"/>
  <c r="CY33" i="1"/>
  <c r="CW33" i="1"/>
  <c r="CU33" i="1"/>
  <c r="CS33" i="1"/>
  <c r="CO33" i="1"/>
  <c r="CM33" i="1"/>
  <c r="CK33" i="1"/>
  <c r="CI33" i="1"/>
  <c r="CF33" i="1"/>
  <c r="CG33" i="1" s="1"/>
  <c r="CE33" i="1"/>
  <c r="CC33" i="1"/>
  <c r="CA33" i="1"/>
  <c r="BY33" i="1"/>
  <c r="BW33" i="1"/>
  <c r="BU33" i="1"/>
  <c r="BS33" i="1"/>
  <c r="BQ33" i="1"/>
  <c r="BO33" i="1"/>
  <c r="BM33" i="1"/>
  <c r="BK33" i="1"/>
  <c r="BI33" i="1"/>
  <c r="BF33" i="1"/>
  <c r="BG33" i="1" s="1"/>
  <c r="BE33" i="1"/>
  <c r="BC33" i="1"/>
  <c r="BA33" i="1"/>
  <c r="AY33" i="1"/>
  <c r="AW33" i="1"/>
  <c r="AU33" i="1"/>
  <c r="AS33" i="1"/>
  <c r="AQ33" i="1"/>
  <c r="AO33" i="1"/>
  <c r="AM33" i="1"/>
  <c r="AK33" i="1"/>
  <c r="AI33" i="1"/>
  <c r="AF33" i="1"/>
  <c r="AG33" i="1" s="1"/>
  <c r="AE33" i="1"/>
  <c r="DQ33" i="1" s="1"/>
  <c r="AC33" i="1"/>
  <c r="AA33" i="1"/>
  <c r="Y33" i="1"/>
  <c r="W33" i="1"/>
  <c r="U33" i="1"/>
  <c r="S33" i="1"/>
  <c r="Q33" i="1"/>
  <c r="O33" i="1"/>
  <c r="M33" i="1"/>
  <c r="K33" i="1"/>
  <c r="I33" i="1"/>
  <c r="DG32" i="1"/>
  <c r="DC32" i="1"/>
  <c r="DA32" i="1"/>
  <c r="CY32" i="1"/>
  <c r="CW32" i="1"/>
  <c r="CU32" i="1"/>
  <c r="CS32" i="1"/>
  <c r="CO32" i="1"/>
  <c r="CM32" i="1"/>
  <c r="CK32" i="1"/>
  <c r="CI32" i="1"/>
  <c r="CF32" i="1"/>
  <c r="CG32" i="1" s="1"/>
  <c r="CE32" i="1"/>
  <c r="CC32" i="1"/>
  <c r="CA32" i="1"/>
  <c r="BY32" i="1"/>
  <c r="BW32" i="1"/>
  <c r="BU32" i="1"/>
  <c r="BS32" i="1"/>
  <c r="BQ32" i="1"/>
  <c r="BO32" i="1"/>
  <c r="BM32" i="1"/>
  <c r="BK32" i="1"/>
  <c r="BI32" i="1"/>
  <c r="BF32" i="1"/>
  <c r="BG32" i="1" s="1"/>
  <c r="BE32" i="1"/>
  <c r="BC32" i="1"/>
  <c r="BA32" i="1"/>
  <c r="AY32" i="1"/>
  <c r="AW32" i="1"/>
  <c r="AU32" i="1"/>
  <c r="AS32" i="1"/>
  <c r="AQ32" i="1"/>
  <c r="AO32" i="1"/>
  <c r="AM32" i="1"/>
  <c r="AK32" i="1"/>
  <c r="AI32" i="1"/>
  <c r="AF32" i="1"/>
  <c r="AG32" i="1" s="1"/>
  <c r="AE32" i="1"/>
  <c r="DQ32" i="1" s="1"/>
  <c r="AC32" i="1"/>
  <c r="AA32" i="1"/>
  <c r="Y32" i="1"/>
  <c r="W32" i="1"/>
  <c r="U32" i="1"/>
  <c r="S32" i="1"/>
  <c r="Q32" i="1"/>
  <c r="O32" i="1"/>
  <c r="M32" i="1"/>
  <c r="K32" i="1"/>
  <c r="I32" i="1"/>
  <c r="DG31" i="1"/>
  <c r="DC31" i="1"/>
  <c r="DA31" i="1"/>
  <c r="CY31" i="1"/>
  <c r="CW31" i="1"/>
  <c r="CU31" i="1"/>
  <c r="CS31" i="1"/>
  <c r="CM31" i="1"/>
  <c r="CK31" i="1"/>
  <c r="CI31" i="1"/>
  <c r="CF31" i="1"/>
  <c r="CG31" i="1" s="1"/>
  <c r="CE31" i="1"/>
  <c r="CC31" i="1"/>
  <c r="CA31" i="1"/>
  <c r="BY31" i="1"/>
  <c r="BW31" i="1"/>
  <c r="BU31" i="1"/>
  <c r="BS31" i="1"/>
  <c r="BQ31" i="1"/>
  <c r="BO31" i="1"/>
  <c r="BM31" i="1"/>
  <c r="BK31" i="1"/>
  <c r="BI31" i="1"/>
  <c r="BF31" i="1"/>
  <c r="BG31" i="1" s="1"/>
  <c r="BE31" i="1"/>
  <c r="BC31" i="1"/>
  <c r="BA31" i="1"/>
  <c r="AY31" i="1"/>
  <c r="AW31" i="1"/>
  <c r="AU31" i="1"/>
  <c r="AS31" i="1"/>
  <c r="AQ31" i="1"/>
  <c r="AO31" i="1"/>
  <c r="AM31" i="1"/>
  <c r="AK31" i="1"/>
  <c r="AI31" i="1"/>
  <c r="AF31" i="1"/>
  <c r="AG31" i="1" s="1"/>
  <c r="AE31" i="1"/>
  <c r="DQ31" i="1" s="1"/>
  <c r="AC31" i="1"/>
  <c r="AA31" i="1"/>
  <c r="Y31" i="1"/>
  <c r="W31" i="1"/>
  <c r="U31" i="1"/>
  <c r="S31" i="1"/>
  <c r="Q31" i="1"/>
  <c r="O31" i="1"/>
  <c r="M31" i="1"/>
  <c r="K31" i="1"/>
  <c r="I31" i="1"/>
  <c r="DG30" i="1"/>
  <c r="DC30" i="1"/>
  <c r="DA30" i="1"/>
  <c r="CY30" i="1"/>
  <c r="CW30" i="1"/>
  <c r="CU30" i="1"/>
  <c r="CS30" i="1"/>
  <c r="CO30" i="1"/>
  <c r="CM30" i="1"/>
  <c r="CK30" i="1"/>
  <c r="CI30" i="1"/>
  <c r="CF30" i="1"/>
  <c r="CG30" i="1" s="1"/>
  <c r="CE30" i="1"/>
  <c r="CC30" i="1"/>
  <c r="CA30" i="1"/>
  <c r="BY30" i="1"/>
  <c r="BW30" i="1"/>
  <c r="BU30" i="1"/>
  <c r="BS30" i="1"/>
  <c r="BQ30" i="1"/>
  <c r="BO30" i="1"/>
  <c r="BM30" i="1"/>
  <c r="BK30" i="1"/>
  <c r="BI30" i="1"/>
  <c r="BF30" i="1"/>
  <c r="BG30" i="1" s="1"/>
  <c r="BE30" i="1"/>
  <c r="BC30" i="1"/>
  <c r="BA30" i="1"/>
  <c r="AY30" i="1"/>
  <c r="AW30" i="1"/>
  <c r="AU30" i="1"/>
  <c r="AS30" i="1"/>
  <c r="AQ30" i="1"/>
  <c r="AO30" i="1"/>
  <c r="AM30" i="1"/>
  <c r="AK30" i="1"/>
  <c r="AI30" i="1"/>
  <c r="AF30" i="1"/>
  <c r="AG30" i="1" s="1"/>
  <c r="AE30" i="1"/>
  <c r="DQ30" i="1" s="1"/>
  <c r="AC30" i="1"/>
  <c r="AA30" i="1"/>
  <c r="Y30" i="1"/>
  <c r="W30" i="1"/>
  <c r="U30" i="1"/>
  <c r="S30" i="1"/>
  <c r="Q30" i="1"/>
  <c r="O30" i="1"/>
  <c r="M30" i="1"/>
  <c r="K30" i="1"/>
  <c r="I30" i="1"/>
  <c r="DG29" i="1"/>
  <c r="DC29" i="1"/>
  <c r="DA29" i="1"/>
  <c r="CY29" i="1"/>
  <c r="CW29" i="1"/>
  <c r="CU29" i="1"/>
  <c r="CS29" i="1"/>
  <c r="CO29" i="1"/>
  <c r="CM29" i="1"/>
  <c r="CK29" i="1"/>
  <c r="CI29" i="1"/>
  <c r="CF29" i="1"/>
  <c r="CG29" i="1" s="1"/>
  <c r="CE29" i="1"/>
  <c r="CC29" i="1"/>
  <c r="CA29" i="1"/>
  <c r="BY29" i="1"/>
  <c r="BW29" i="1"/>
  <c r="BU29" i="1"/>
  <c r="BS29" i="1"/>
  <c r="BQ29" i="1"/>
  <c r="BO29" i="1"/>
  <c r="BM29" i="1"/>
  <c r="BK29" i="1"/>
  <c r="BI29" i="1"/>
  <c r="BF29" i="1"/>
  <c r="BG29" i="1" s="1"/>
  <c r="BE29" i="1"/>
  <c r="BC29" i="1"/>
  <c r="BA29" i="1"/>
  <c r="AY29" i="1"/>
  <c r="AW29" i="1"/>
  <c r="AU29" i="1"/>
  <c r="AS29" i="1"/>
  <c r="AQ29" i="1"/>
  <c r="AO29" i="1"/>
  <c r="AM29" i="1"/>
  <c r="AK29" i="1"/>
  <c r="AI29" i="1"/>
  <c r="AF29" i="1"/>
  <c r="AG29" i="1" s="1"/>
  <c r="AE29" i="1"/>
  <c r="DQ29" i="1" s="1"/>
  <c r="AC29" i="1"/>
  <c r="AA29" i="1"/>
  <c r="Y29" i="1"/>
  <c r="W29" i="1"/>
  <c r="U29" i="1"/>
  <c r="S29" i="1"/>
  <c r="Q29" i="1"/>
  <c r="O29" i="1"/>
  <c r="M29" i="1"/>
  <c r="K29" i="1"/>
  <c r="I29" i="1"/>
  <c r="DG28" i="1"/>
  <c r="DC28" i="1"/>
  <c r="DA28" i="1"/>
  <c r="CY28" i="1"/>
  <c r="CW28" i="1"/>
  <c r="CU28" i="1"/>
  <c r="CS28" i="1"/>
  <c r="CO28" i="1"/>
  <c r="CM28" i="1"/>
  <c r="CK28" i="1"/>
  <c r="CI28" i="1"/>
  <c r="CF28" i="1"/>
  <c r="CG28" i="1" s="1"/>
  <c r="CE28" i="1"/>
  <c r="CC28" i="1"/>
  <c r="CA28" i="1"/>
  <c r="BY28" i="1"/>
  <c r="BW28" i="1"/>
  <c r="BU28" i="1"/>
  <c r="BS28" i="1"/>
  <c r="BQ28" i="1"/>
  <c r="BO28" i="1"/>
  <c r="BM28" i="1"/>
  <c r="BK28" i="1"/>
  <c r="BI28" i="1"/>
  <c r="BF28" i="1"/>
  <c r="BG28" i="1" s="1"/>
  <c r="BE28" i="1"/>
  <c r="BC28" i="1"/>
  <c r="BA28" i="1"/>
  <c r="AY28" i="1"/>
  <c r="AW28" i="1"/>
  <c r="AU28" i="1"/>
  <c r="AS28" i="1"/>
  <c r="AQ28" i="1"/>
  <c r="AO28" i="1"/>
  <c r="AM28" i="1"/>
  <c r="AK28" i="1"/>
  <c r="AI28" i="1"/>
  <c r="AF28" i="1"/>
  <c r="AG28" i="1" s="1"/>
  <c r="AE28" i="1"/>
  <c r="DQ28" i="1" s="1"/>
  <c r="AC28" i="1"/>
  <c r="AA28" i="1"/>
  <c r="Y28" i="1"/>
  <c r="W28" i="1"/>
  <c r="U28" i="1"/>
  <c r="S28" i="1"/>
  <c r="Q28" i="1"/>
  <c r="O28" i="1"/>
  <c r="M28" i="1"/>
  <c r="K28" i="1"/>
  <c r="I28" i="1"/>
  <c r="DG27" i="1"/>
  <c r="DC27" i="1"/>
  <c r="DA27" i="1"/>
  <c r="CY27" i="1"/>
  <c r="CW27" i="1"/>
  <c r="CU27" i="1"/>
  <c r="CS27" i="1"/>
  <c r="CO27" i="1"/>
  <c r="CM27" i="1"/>
  <c r="CK27" i="1"/>
  <c r="CI27" i="1"/>
  <c r="CF27" i="1"/>
  <c r="CG27" i="1" s="1"/>
  <c r="CE27" i="1"/>
  <c r="CC27" i="1"/>
  <c r="CA27" i="1"/>
  <c r="BY27" i="1"/>
  <c r="BW27" i="1"/>
  <c r="BU27" i="1"/>
  <c r="BS27" i="1"/>
  <c r="BQ27" i="1"/>
  <c r="BO27" i="1"/>
  <c r="BM27" i="1"/>
  <c r="BK27" i="1"/>
  <c r="BI27" i="1"/>
  <c r="BF27" i="1"/>
  <c r="BG27" i="1" s="1"/>
  <c r="BE27" i="1"/>
  <c r="BC27" i="1"/>
  <c r="BA27" i="1"/>
  <c r="AY27" i="1"/>
  <c r="AW27" i="1"/>
  <c r="AU27" i="1"/>
  <c r="AS27" i="1"/>
  <c r="AQ27" i="1"/>
  <c r="AO27" i="1"/>
  <c r="AM27" i="1"/>
  <c r="AK27" i="1"/>
  <c r="AI27" i="1"/>
  <c r="AF27" i="1"/>
  <c r="AG27" i="1" s="1"/>
  <c r="AE27" i="1"/>
  <c r="DQ27" i="1" s="1"/>
  <c r="AC27" i="1"/>
  <c r="AA27" i="1"/>
  <c r="Y27" i="1"/>
  <c r="W27" i="1"/>
  <c r="U27" i="1"/>
  <c r="S27" i="1"/>
  <c r="Q27" i="1"/>
  <c r="O27" i="1"/>
  <c r="M27" i="1"/>
  <c r="K27" i="1"/>
  <c r="I27" i="1"/>
  <c r="DG26" i="1"/>
  <c r="DC26" i="1"/>
  <c r="DA26" i="1"/>
  <c r="CY26" i="1"/>
  <c r="CW26" i="1"/>
  <c r="CU26" i="1"/>
  <c r="CS26" i="1"/>
  <c r="CO26" i="1"/>
  <c r="CM26" i="1"/>
  <c r="CK26" i="1"/>
  <c r="CI26" i="1"/>
  <c r="CF26" i="1"/>
  <c r="CG26" i="1" s="1"/>
  <c r="CE26" i="1"/>
  <c r="CC26" i="1"/>
  <c r="CA26" i="1"/>
  <c r="BY26" i="1"/>
  <c r="BW26" i="1"/>
  <c r="BU26" i="1"/>
  <c r="BS26" i="1"/>
  <c r="BQ26" i="1"/>
  <c r="BO26" i="1"/>
  <c r="BM26" i="1"/>
  <c r="BK26" i="1"/>
  <c r="BI26" i="1"/>
  <c r="BF26" i="1"/>
  <c r="BG26" i="1" s="1"/>
  <c r="BE26" i="1"/>
  <c r="BC26" i="1"/>
  <c r="BA26" i="1"/>
  <c r="AY26" i="1"/>
  <c r="AW26" i="1"/>
  <c r="AU26" i="1"/>
  <c r="AS26" i="1"/>
  <c r="AQ26" i="1"/>
  <c r="AO26" i="1"/>
  <c r="AM26" i="1"/>
  <c r="AK26" i="1"/>
  <c r="AI26" i="1"/>
  <c r="AF26" i="1"/>
  <c r="AG26" i="1" s="1"/>
  <c r="AE26" i="1"/>
  <c r="DQ26" i="1" s="1"/>
  <c r="AC26" i="1"/>
  <c r="AA26" i="1"/>
  <c r="Y26" i="1"/>
  <c r="W26" i="1"/>
  <c r="U26" i="1"/>
  <c r="S26" i="1"/>
  <c r="Q26" i="1"/>
  <c r="O26" i="1"/>
  <c r="M26" i="1"/>
  <c r="K26" i="1"/>
  <c r="I26" i="1"/>
  <c r="DG25" i="1"/>
  <c r="DC25" i="1"/>
  <c r="DA25" i="1"/>
  <c r="CY25" i="1"/>
  <c r="CW25" i="1"/>
  <c r="CU25" i="1"/>
  <c r="CS25" i="1"/>
  <c r="CO25" i="1"/>
  <c r="CM25" i="1"/>
  <c r="CK25" i="1"/>
  <c r="CI25" i="1"/>
  <c r="CF25" i="1"/>
  <c r="CG25" i="1" s="1"/>
  <c r="CE25" i="1"/>
  <c r="CC25" i="1"/>
  <c r="CA25" i="1"/>
  <c r="BY25" i="1"/>
  <c r="BW25" i="1"/>
  <c r="BU25" i="1"/>
  <c r="BS25" i="1"/>
  <c r="BQ25" i="1"/>
  <c r="BO25" i="1"/>
  <c r="BM25" i="1"/>
  <c r="BK25" i="1"/>
  <c r="BI25" i="1"/>
  <c r="BF25" i="1"/>
  <c r="BG25" i="1" s="1"/>
  <c r="BE25" i="1"/>
  <c r="BC25" i="1"/>
  <c r="BA25" i="1"/>
  <c r="AY25" i="1"/>
  <c r="AW25" i="1"/>
  <c r="AU25" i="1"/>
  <c r="AS25" i="1"/>
  <c r="AQ25" i="1"/>
  <c r="AO25" i="1"/>
  <c r="AM25" i="1"/>
  <c r="AK25" i="1"/>
  <c r="AI25" i="1"/>
  <c r="AF25" i="1"/>
  <c r="AG25" i="1" s="1"/>
  <c r="AE25" i="1"/>
  <c r="DQ25" i="1" s="1"/>
  <c r="AC25" i="1"/>
  <c r="AA25" i="1"/>
  <c r="Y25" i="1"/>
  <c r="W25" i="1"/>
  <c r="U25" i="1"/>
  <c r="S25" i="1"/>
  <c r="Q25" i="1"/>
  <c r="O25" i="1"/>
  <c r="M25" i="1"/>
  <c r="K25" i="1"/>
  <c r="I25" i="1"/>
  <c r="DG24" i="1"/>
  <c r="DC24" i="1"/>
  <c r="DA24" i="1"/>
  <c r="CY24" i="1"/>
  <c r="CW24" i="1"/>
  <c r="CU24" i="1"/>
  <c r="CS24" i="1"/>
  <c r="CO24" i="1"/>
  <c r="CM24" i="1"/>
  <c r="CK24" i="1"/>
  <c r="CI24" i="1"/>
  <c r="CF24" i="1"/>
  <c r="CG24" i="1" s="1"/>
  <c r="CE24" i="1"/>
  <c r="CC24" i="1"/>
  <c r="CA24" i="1"/>
  <c r="BY24" i="1"/>
  <c r="BW24" i="1"/>
  <c r="BU24" i="1"/>
  <c r="BS24" i="1"/>
  <c r="BQ24" i="1"/>
  <c r="BO24" i="1"/>
  <c r="BM24" i="1"/>
  <c r="BK24" i="1"/>
  <c r="BI24" i="1"/>
  <c r="BF24" i="1"/>
  <c r="BG24" i="1" s="1"/>
  <c r="BE24" i="1"/>
  <c r="BC24" i="1"/>
  <c r="BA24" i="1"/>
  <c r="AY24" i="1"/>
  <c r="AW24" i="1"/>
  <c r="AU24" i="1"/>
  <c r="AS24" i="1"/>
  <c r="AQ24" i="1"/>
  <c r="AO24" i="1"/>
  <c r="AM24" i="1"/>
  <c r="AK24" i="1"/>
  <c r="AI24" i="1"/>
  <c r="AF24" i="1"/>
  <c r="AG24" i="1" s="1"/>
  <c r="AE24" i="1"/>
  <c r="DQ24" i="1" s="1"/>
  <c r="AC24" i="1"/>
  <c r="AA24" i="1"/>
  <c r="Y24" i="1"/>
  <c r="W24" i="1"/>
  <c r="U24" i="1"/>
  <c r="S24" i="1"/>
  <c r="Q24" i="1"/>
  <c r="O24" i="1"/>
  <c r="M24" i="1"/>
  <c r="K24" i="1"/>
  <c r="I24" i="1"/>
  <c r="DC23" i="1"/>
  <c r="DA23" i="1"/>
  <c r="CY23" i="1"/>
  <c r="CW23" i="1"/>
  <c r="CU23" i="1"/>
  <c r="CS23" i="1"/>
  <c r="CO23" i="1"/>
  <c r="CM23" i="1"/>
  <c r="CK23" i="1"/>
  <c r="CI23" i="1"/>
  <c r="CF23" i="1"/>
  <c r="CG23" i="1" s="1"/>
  <c r="CE23" i="1"/>
  <c r="CC23" i="1"/>
  <c r="CA23" i="1"/>
  <c r="BY23" i="1"/>
  <c r="BW23" i="1"/>
  <c r="BU23" i="1"/>
  <c r="BS23" i="1"/>
  <c r="BQ23" i="1"/>
  <c r="BO23" i="1"/>
  <c r="BM23" i="1"/>
  <c r="BK23" i="1"/>
  <c r="BI23" i="1"/>
  <c r="BF23" i="1"/>
  <c r="BG23" i="1" s="1"/>
  <c r="BE23" i="1"/>
  <c r="BC23" i="1"/>
  <c r="BA23" i="1"/>
  <c r="AY23" i="1"/>
  <c r="AW23" i="1"/>
  <c r="AU23" i="1"/>
  <c r="AS23" i="1"/>
  <c r="AQ23" i="1"/>
  <c r="AO23" i="1"/>
  <c r="AM23" i="1"/>
  <c r="AK23" i="1"/>
  <c r="AI23" i="1"/>
  <c r="AF23" i="1"/>
  <c r="AG23" i="1" s="1"/>
  <c r="AE23" i="1"/>
  <c r="DQ23" i="1" s="1"/>
  <c r="AC23" i="1"/>
  <c r="AA23" i="1"/>
  <c r="Y23" i="1"/>
  <c r="W23" i="1"/>
  <c r="U23" i="1"/>
  <c r="S23" i="1"/>
  <c r="Q23" i="1"/>
  <c r="O23" i="1"/>
  <c r="M23" i="1"/>
  <c r="K23" i="1"/>
  <c r="I23" i="1"/>
  <c r="DC22" i="1"/>
  <c r="DA22" i="1"/>
  <c r="CY22" i="1"/>
  <c r="CW22" i="1"/>
  <c r="CU22" i="1"/>
  <c r="CS22" i="1"/>
  <c r="CM22" i="1"/>
  <c r="CK22" i="1"/>
  <c r="CI22" i="1"/>
  <c r="CF22" i="1"/>
  <c r="CG22" i="1" s="1"/>
  <c r="CE22" i="1"/>
  <c r="CC22" i="1"/>
  <c r="CA22" i="1"/>
  <c r="BY22" i="1"/>
  <c r="BW22" i="1"/>
  <c r="BU22" i="1"/>
  <c r="BS22" i="1"/>
  <c r="BQ22" i="1"/>
  <c r="BO22" i="1"/>
  <c r="BM22" i="1"/>
  <c r="BK22" i="1"/>
  <c r="BI22" i="1"/>
  <c r="BF22" i="1"/>
  <c r="BG22" i="1" s="1"/>
  <c r="BE22" i="1"/>
  <c r="BC22" i="1"/>
  <c r="BA22" i="1"/>
  <c r="AY22" i="1"/>
  <c r="AW22" i="1"/>
  <c r="AU22" i="1"/>
  <c r="AS22" i="1"/>
  <c r="AQ22" i="1"/>
  <c r="AO22" i="1"/>
  <c r="AM22" i="1"/>
  <c r="AK22" i="1"/>
  <c r="AI22" i="1"/>
  <c r="AF22" i="1"/>
  <c r="AG22" i="1" s="1"/>
  <c r="AE22" i="1"/>
  <c r="DQ22" i="1" s="1"/>
  <c r="AC22" i="1"/>
  <c r="AA22" i="1"/>
  <c r="Y22" i="1"/>
  <c r="W22" i="1"/>
  <c r="U22" i="1"/>
  <c r="S22" i="1"/>
  <c r="Q22" i="1"/>
  <c r="O22" i="1"/>
  <c r="M22" i="1"/>
  <c r="K22" i="1"/>
  <c r="I22" i="1"/>
  <c r="DC21" i="1"/>
  <c r="DA21" i="1"/>
  <c r="CY21" i="1"/>
  <c r="CW21" i="1"/>
  <c r="CU21" i="1"/>
  <c r="CS21" i="1"/>
  <c r="CO21" i="1"/>
  <c r="CM21" i="1"/>
  <c r="CK21" i="1"/>
  <c r="CI21" i="1"/>
  <c r="CF21" i="1"/>
  <c r="CG21" i="1" s="1"/>
  <c r="CE21" i="1"/>
  <c r="CC21" i="1"/>
  <c r="CA21" i="1"/>
  <c r="BY21" i="1"/>
  <c r="BW21" i="1"/>
  <c r="BU21" i="1"/>
  <c r="BS21" i="1"/>
  <c r="BQ21" i="1"/>
  <c r="BO21" i="1"/>
  <c r="BM21" i="1"/>
  <c r="BK21" i="1"/>
  <c r="BI21" i="1"/>
  <c r="BF21" i="1"/>
  <c r="BG21" i="1" s="1"/>
  <c r="BE21" i="1"/>
  <c r="BC21" i="1"/>
  <c r="BA21" i="1"/>
  <c r="AY21" i="1"/>
  <c r="AW21" i="1"/>
  <c r="AU21" i="1"/>
  <c r="AS21" i="1"/>
  <c r="AQ21" i="1"/>
  <c r="AO21" i="1"/>
  <c r="AM21" i="1"/>
  <c r="AK21" i="1"/>
  <c r="AI21" i="1"/>
  <c r="AF21" i="1"/>
  <c r="AG21" i="1" s="1"/>
  <c r="AE21" i="1"/>
  <c r="DQ21" i="1" s="1"/>
  <c r="AC21" i="1"/>
  <c r="AA21" i="1"/>
  <c r="Y21" i="1"/>
  <c r="W21" i="1"/>
  <c r="U21" i="1"/>
  <c r="S21" i="1"/>
  <c r="Q21" i="1"/>
  <c r="O21" i="1"/>
  <c r="M21" i="1"/>
  <c r="K21" i="1"/>
  <c r="I21" i="1"/>
  <c r="DG20" i="1"/>
  <c r="DC20" i="1"/>
  <c r="DA20" i="1"/>
  <c r="CY20" i="1"/>
  <c r="CW20" i="1"/>
  <c r="CU20" i="1"/>
  <c r="CS20" i="1"/>
  <c r="CO20" i="1"/>
  <c r="CM20" i="1"/>
  <c r="CK20" i="1"/>
  <c r="CI20" i="1"/>
  <c r="CF20" i="1"/>
  <c r="CG20" i="1" s="1"/>
  <c r="CE20" i="1"/>
  <c r="CC20" i="1"/>
  <c r="CA20" i="1"/>
  <c r="BY20" i="1"/>
  <c r="BW20" i="1"/>
  <c r="BU20" i="1"/>
  <c r="BS20" i="1"/>
  <c r="BQ20" i="1"/>
  <c r="BO20" i="1"/>
  <c r="BM20" i="1"/>
  <c r="BK20" i="1"/>
  <c r="BI20" i="1"/>
  <c r="BF20" i="1"/>
  <c r="BG20" i="1" s="1"/>
  <c r="BE20" i="1"/>
  <c r="BC20" i="1"/>
  <c r="BA20" i="1"/>
  <c r="AY20" i="1"/>
  <c r="AW20" i="1"/>
  <c r="AU20" i="1"/>
  <c r="AS20" i="1"/>
  <c r="AQ20" i="1"/>
  <c r="AO20" i="1"/>
  <c r="AM20" i="1"/>
  <c r="AK20" i="1"/>
  <c r="AI20" i="1"/>
  <c r="AF20" i="1"/>
  <c r="AG20" i="1" s="1"/>
  <c r="AE20" i="1"/>
  <c r="DQ20" i="1" s="1"/>
  <c r="AC20" i="1"/>
  <c r="AA20" i="1"/>
  <c r="Y20" i="1"/>
  <c r="W20" i="1"/>
  <c r="U20" i="1"/>
  <c r="S20" i="1"/>
  <c r="Q20" i="1"/>
  <c r="O20" i="1"/>
  <c r="M20" i="1"/>
  <c r="K20" i="1"/>
  <c r="I20" i="1"/>
  <c r="DG19" i="1"/>
  <c r="DC19" i="1"/>
  <c r="DA19" i="1"/>
  <c r="CY19" i="1"/>
  <c r="CW19" i="1"/>
  <c r="CU19" i="1"/>
  <c r="CS19" i="1"/>
  <c r="CO19" i="1"/>
  <c r="CM19" i="1"/>
  <c r="CK19" i="1"/>
  <c r="CI19" i="1"/>
  <c r="CF19" i="1"/>
  <c r="CG19" i="1" s="1"/>
  <c r="CE19" i="1"/>
  <c r="CC19" i="1"/>
  <c r="CA19" i="1"/>
  <c r="BY19" i="1"/>
  <c r="BW19" i="1"/>
  <c r="BU19" i="1"/>
  <c r="BS19" i="1"/>
  <c r="BQ19" i="1"/>
  <c r="BO19" i="1"/>
  <c r="BM19" i="1"/>
  <c r="BK19" i="1"/>
  <c r="BI19" i="1"/>
  <c r="BF19" i="1"/>
  <c r="BG19" i="1" s="1"/>
  <c r="BE19" i="1"/>
  <c r="BC19" i="1"/>
  <c r="BA19" i="1"/>
  <c r="AY19" i="1"/>
  <c r="AW19" i="1"/>
  <c r="AU19" i="1"/>
  <c r="AS19" i="1"/>
  <c r="AQ19" i="1"/>
  <c r="AO19" i="1"/>
  <c r="AM19" i="1"/>
  <c r="AK19" i="1"/>
  <c r="AI19" i="1"/>
  <c r="AF19" i="1"/>
  <c r="AG19" i="1" s="1"/>
  <c r="AE19" i="1"/>
  <c r="DQ19" i="1" s="1"/>
  <c r="AC19" i="1"/>
  <c r="AA19" i="1"/>
  <c r="Y19" i="1"/>
  <c r="W19" i="1"/>
  <c r="U19" i="1"/>
  <c r="S19" i="1"/>
  <c r="Q19" i="1"/>
  <c r="O19" i="1"/>
  <c r="M19" i="1"/>
  <c r="K19" i="1"/>
  <c r="I19" i="1"/>
  <c r="DG18" i="1"/>
  <c r="DC18" i="1"/>
  <c r="DA18" i="1"/>
  <c r="CY18" i="1"/>
  <c r="CW18" i="1"/>
  <c r="CU18" i="1"/>
  <c r="CS18" i="1"/>
  <c r="CO18" i="1"/>
  <c r="CM18" i="1"/>
  <c r="CK18" i="1"/>
  <c r="CI18" i="1"/>
  <c r="CF18" i="1"/>
  <c r="CG18" i="1" s="1"/>
  <c r="CE18" i="1"/>
  <c r="CC18" i="1"/>
  <c r="CA18" i="1"/>
  <c r="BY18" i="1"/>
  <c r="BW18" i="1"/>
  <c r="BU18" i="1"/>
  <c r="BS18" i="1"/>
  <c r="BQ18" i="1"/>
  <c r="BO18" i="1"/>
  <c r="BM18" i="1"/>
  <c r="BK18" i="1"/>
  <c r="BI18" i="1"/>
  <c r="BF18" i="1"/>
  <c r="BG18" i="1" s="1"/>
  <c r="BE18" i="1"/>
  <c r="BC18" i="1"/>
  <c r="BA18" i="1"/>
  <c r="AY18" i="1"/>
  <c r="AW18" i="1"/>
  <c r="AU18" i="1"/>
  <c r="AS18" i="1"/>
  <c r="AQ18" i="1"/>
  <c r="AO18" i="1"/>
  <c r="AM18" i="1"/>
  <c r="AK18" i="1"/>
  <c r="AI18" i="1"/>
  <c r="AF18" i="1"/>
  <c r="AG18" i="1" s="1"/>
  <c r="AE18" i="1"/>
  <c r="DQ18" i="1" s="1"/>
  <c r="AC18" i="1"/>
  <c r="AA18" i="1"/>
  <c r="Y18" i="1"/>
  <c r="W18" i="1"/>
  <c r="U18" i="1"/>
  <c r="S18" i="1"/>
  <c r="Q18" i="1"/>
  <c r="O18" i="1"/>
  <c r="M18" i="1"/>
  <c r="K18" i="1"/>
  <c r="I18" i="1"/>
  <c r="DC17" i="1"/>
  <c r="DA17" i="1"/>
  <c r="CY17" i="1"/>
  <c r="CW17" i="1"/>
  <c r="CU17" i="1"/>
  <c r="CS17" i="1"/>
  <c r="CO17" i="1"/>
  <c r="CM17" i="1"/>
  <c r="CK17" i="1"/>
  <c r="CI17" i="1"/>
  <c r="CF17" i="1"/>
  <c r="CG17" i="1" s="1"/>
  <c r="CE17" i="1"/>
  <c r="CC17" i="1"/>
  <c r="CA17" i="1"/>
  <c r="BY17" i="1"/>
  <c r="BW17" i="1"/>
  <c r="BU17" i="1"/>
  <c r="BS17" i="1"/>
  <c r="BQ17" i="1"/>
  <c r="BO17" i="1"/>
  <c r="BM17" i="1"/>
  <c r="BK17" i="1"/>
  <c r="BI17" i="1"/>
  <c r="BF17" i="1"/>
  <c r="BG17" i="1" s="1"/>
  <c r="BE17" i="1"/>
  <c r="BC17" i="1"/>
  <c r="BA17" i="1"/>
  <c r="AY17" i="1"/>
  <c r="AW17" i="1"/>
  <c r="AU17" i="1"/>
  <c r="AS17" i="1"/>
  <c r="AQ17" i="1"/>
  <c r="AO17" i="1"/>
  <c r="AM17" i="1"/>
  <c r="AK17" i="1"/>
  <c r="AI17" i="1"/>
  <c r="AF17" i="1"/>
  <c r="AG17" i="1" s="1"/>
  <c r="AE17" i="1"/>
  <c r="DQ17" i="1" s="1"/>
  <c r="AC17" i="1"/>
  <c r="AA17" i="1"/>
  <c r="Y17" i="1"/>
  <c r="W17" i="1"/>
  <c r="U17" i="1"/>
  <c r="S17" i="1"/>
  <c r="Q17" i="1"/>
  <c r="O17" i="1"/>
  <c r="M17" i="1"/>
  <c r="K17" i="1"/>
  <c r="I17" i="1"/>
  <c r="DG16" i="1"/>
  <c r="DC16" i="1"/>
  <c r="DA16" i="1"/>
  <c r="CY16" i="1"/>
  <c r="CW16" i="1"/>
  <c r="CU16" i="1"/>
  <c r="CS16" i="1"/>
  <c r="CO16" i="1"/>
  <c r="CM16" i="1"/>
  <c r="CK16" i="1"/>
  <c r="CI16" i="1"/>
  <c r="CF16" i="1"/>
  <c r="CG16" i="1" s="1"/>
  <c r="CE16" i="1"/>
  <c r="CC16" i="1"/>
  <c r="CA16" i="1"/>
  <c r="BY16" i="1"/>
  <c r="BW16" i="1"/>
  <c r="BU16" i="1"/>
  <c r="BS16" i="1"/>
  <c r="BQ16" i="1"/>
  <c r="BO16" i="1"/>
  <c r="BM16" i="1"/>
  <c r="BK16" i="1"/>
  <c r="BI16" i="1"/>
  <c r="BF16" i="1"/>
  <c r="BG16" i="1" s="1"/>
  <c r="BE16" i="1"/>
  <c r="BC16" i="1"/>
  <c r="BA16" i="1"/>
  <c r="AY16" i="1"/>
  <c r="AW16" i="1"/>
  <c r="AU16" i="1"/>
  <c r="AS16" i="1"/>
  <c r="AQ16" i="1"/>
  <c r="AO16" i="1"/>
  <c r="AM16" i="1"/>
  <c r="AK16" i="1"/>
  <c r="AI16" i="1"/>
  <c r="AF16" i="1"/>
  <c r="AG16" i="1" s="1"/>
  <c r="AE16" i="1"/>
  <c r="DQ16" i="1" s="1"/>
  <c r="AC16" i="1"/>
  <c r="AA16" i="1"/>
  <c r="Y16" i="1"/>
  <c r="W16" i="1"/>
  <c r="U16" i="1"/>
  <c r="S16" i="1"/>
  <c r="Q16" i="1"/>
  <c r="O16" i="1"/>
  <c r="M16" i="1"/>
  <c r="K16" i="1"/>
  <c r="I16" i="1"/>
  <c r="DG15" i="1"/>
  <c r="DC15" i="1"/>
  <c r="DA15" i="1"/>
  <c r="CY15" i="1"/>
  <c r="CW15" i="1"/>
  <c r="CU15" i="1"/>
  <c r="CS15" i="1"/>
  <c r="CO15" i="1"/>
  <c r="CM15" i="1"/>
  <c r="CK15" i="1"/>
  <c r="CI15" i="1"/>
  <c r="CF15" i="1"/>
  <c r="CG15" i="1" s="1"/>
  <c r="CE15" i="1"/>
  <c r="CC15" i="1"/>
  <c r="CA15" i="1"/>
  <c r="BY15" i="1"/>
  <c r="BW15" i="1"/>
  <c r="BU15" i="1"/>
  <c r="BS15" i="1"/>
  <c r="BQ15" i="1"/>
  <c r="BO15" i="1"/>
  <c r="BM15" i="1"/>
  <c r="BK15" i="1"/>
  <c r="BI15" i="1"/>
  <c r="BF15" i="1"/>
  <c r="BG15" i="1" s="1"/>
  <c r="BE15" i="1"/>
  <c r="BC15" i="1"/>
  <c r="BA15" i="1"/>
  <c r="AY15" i="1"/>
  <c r="AW15" i="1"/>
  <c r="AU15" i="1"/>
  <c r="AS15" i="1"/>
  <c r="AQ15" i="1"/>
  <c r="AO15" i="1"/>
  <c r="AM15" i="1"/>
  <c r="AK15" i="1"/>
  <c r="AI15" i="1"/>
  <c r="AF15" i="1"/>
  <c r="AG15" i="1" s="1"/>
  <c r="AE15" i="1"/>
  <c r="DQ15" i="1" s="1"/>
  <c r="AC15" i="1"/>
  <c r="AA15" i="1"/>
  <c r="Y15" i="1"/>
  <c r="W15" i="1"/>
  <c r="U15" i="1"/>
  <c r="S15" i="1"/>
  <c r="Q15" i="1"/>
  <c r="O15" i="1"/>
  <c r="M15" i="1"/>
  <c r="K15" i="1"/>
  <c r="I15" i="1"/>
  <c r="DG14" i="1"/>
  <c r="DC14" i="1"/>
  <c r="DA14" i="1"/>
  <c r="CY14" i="1"/>
  <c r="CW14" i="1"/>
  <c r="CU14" i="1"/>
  <c r="CS14" i="1"/>
  <c r="CO14" i="1"/>
  <c r="CM14" i="1"/>
  <c r="CK14" i="1"/>
  <c r="CI14" i="1"/>
  <c r="CF14" i="1"/>
  <c r="CG14" i="1" s="1"/>
  <c r="CE14" i="1"/>
  <c r="CC14" i="1"/>
  <c r="CA14" i="1"/>
  <c r="BY14" i="1"/>
  <c r="BW14" i="1"/>
  <c r="BU14" i="1"/>
  <c r="BS14" i="1"/>
  <c r="BQ14" i="1"/>
  <c r="BO14" i="1"/>
  <c r="BM14" i="1"/>
  <c r="BK14" i="1"/>
  <c r="BI14" i="1"/>
  <c r="BF14" i="1"/>
  <c r="BG14" i="1" s="1"/>
  <c r="BE14" i="1"/>
  <c r="BC14" i="1"/>
  <c r="BA14" i="1"/>
  <c r="AY14" i="1"/>
  <c r="AW14" i="1"/>
  <c r="AU14" i="1"/>
  <c r="AS14" i="1"/>
  <c r="AQ14" i="1"/>
  <c r="AO14" i="1"/>
  <c r="AM14" i="1"/>
  <c r="AK14" i="1"/>
  <c r="AI14" i="1"/>
  <c r="AF14" i="1"/>
  <c r="AG14" i="1" s="1"/>
  <c r="AE14" i="1"/>
  <c r="DQ14" i="1" s="1"/>
  <c r="AC14" i="1"/>
  <c r="AA14" i="1"/>
  <c r="Y14" i="1"/>
  <c r="W14" i="1"/>
  <c r="U14" i="1"/>
  <c r="S14" i="1"/>
  <c r="Q14" i="1"/>
  <c r="O14" i="1"/>
  <c r="M14" i="1"/>
  <c r="K14" i="1"/>
  <c r="I14" i="1"/>
  <c r="DG13" i="1"/>
  <c r="DC13" i="1"/>
  <c r="DA13" i="1"/>
  <c r="CY13" i="1"/>
  <c r="CW13" i="1"/>
  <c r="CU13" i="1"/>
  <c r="CS13" i="1"/>
  <c r="CO13" i="1"/>
  <c r="CM13" i="1"/>
  <c r="CK13" i="1"/>
  <c r="CI13" i="1"/>
  <c r="CF13" i="1"/>
  <c r="CG13" i="1" s="1"/>
  <c r="CE13" i="1"/>
  <c r="CC13" i="1"/>
  <c r="CA13" i="1"/>
  <c r="BY13" i="1"/>
  <c r="BW13" i="1"/>
  <c r="BU13" i="1"/>
  <c r="BS13" i="1"/>
  <c r="BQ13" i="1"/>
  <c r="BO13" i="1"/>
  <c r="BM13" i="1"/>
  <c r="BK13" i="1"/>
  <c r="BI13" i="1"/>
  <c r="BF13" i="1"/>
  <c r="BG13" i="1" s="1"/>
  <c r="BE13" i="1"/>
  <c r="BC13" i="1"/>
  <c r="BA13" i="1"/>
  <c r="AY13" i="1"/>
  <c r="AW13" i="1"/>
  <c r="AU13" i="1"/>
  <c r="AS13" i="1"/>
  <c r="AQ13" i="1"/>
  <c r="AO13" i="1"/>
  <c r="AM13" i="1"/>
  <c r="AK13" i="1"/>
  <c r="AI13" i="1"/>
  <c r="AF13" i="1"/>
  <c r="AG13" i="1" s="1"/>
  <c r="AE13" i="1"/>
  <c r="DQ13" i="1" s="1"/>
  <c r="AC13" i="1"/>
  <c r="AA13" i="1"/>
  <c r="Y13" i="1"/>
  <c r="W13" i="1"/>
  <c r="U13" i="1"/>
  <c r="S13" i="1"/>
  <c r="Q13" i="1"/>
  <c r="O13" i="1"/>
  <c r="M13" i="1"/>
  <c r="K13" i="1"/>
  <c r="I13" i="1"/>
  <c r="DG12" i="1"/>
  <c r="DC12" i="1"/>
  <c r="DA12" i="1"/>
  <c r="CY12" i="1"/>
  <c r="CW12" i="1"/>
  <c r="CU12" i="1"/>
  <c r="CS12" i="1"/>
  <c r="CM12" i="1"/>
  <c r="CK12" i="1"/>
  <c r="CI12" i="1"/>
  <c r="CE12" i="1"/>
  <c r="CC12" i="1"/>
  <c r="CA12" i="1"/>
  <c r="BY12" i="1"/>
  <c r="BW12" i="1"/>
  <c r="BU12" i="1"/>
  <c r="BS12" i="1"/>
  <c r="BQ12" i="1"/>
  <c r="BO12" i="1"/>
  <c r="BM12" i="1"/>
  <c r="BK12" i="1"/>
  <c r="BI12" i="1"/>
  <c r="BF12" i="1"/>
  <c r="BG12" i="1" s="1"/>
  <c r="BE12" i="1"/>
  <c r="BC12" i="1"/>
  <c r="BA12" i="1"/>
  <c r="AY12" i="1"/>
  <c r="AW12" i="1"/>
  <c r="AU12" i="1"/>
  <c r="AS12" i="1"/>
  <c r="AQ12" i="1"/>
  <c r="AO12" i="1"/>
  <c r="AM12" i="1"/>
  <c r="AK12" i="1"/>
  <c r="AI12" i="1"/>
  <c r="AF12" i="1"/>
  <c r="AG12" i="1" s="1"/>
  <c r="AE12" i="1"/>
  <c r="DQ12" i="1" s="1"/>
  <c r="AC12" i="1"/>
  <c r="AA12" i="1"/>
  <c r="Y12" i="1"/>
  <c r="W12" i="1"/>
  <c r="U12" i="1"/>
  <c r="S12" i="1"/>
  <c r="Q12" i="1"/>
  <c r="O12" i="1"/>
  <c r="M12" i="1"/>
  <c r="K12" i="1"/>
  <c r="I12" i="1"/>
  <c r="DG11" i="1"/>
  <c r="DC11" i="1"/>
  <c r="DA11" i="1"/>
  <c r="CY11" i="1"/>
  <c r="CW11" i="1"/>
  <c r="CU11" i="1"/>
  <c r="CS11" i="1"/>
  <c r="CO11" i="1"/>
  <c r="CM11" i="1"/>
  <c r="CK11" i="1"/>
  <c r="CI11" i="1"/>
  <c r="CF11" i="1"/>
  <c r="CG11" i="1" s="1"/>
  <c r="CE11" i="1"/>
  <c r="CC11" i="1"/>
  <c r="CA11" i="1"/>
  <c r="BY11" i="1"/>
  <c r="BW11" i="1"/>
  <c r="BU11" i="1"/>
  <c r="BS11" i="1"/>
  <c r="BQ11" i="1"/>
  <c r="BO11" i="1"/>
  <c r="BM11" i="1"/>
  <c r="BK11" i="1"/>
  <c r="BI11" i="1"/>
  <c r="BF11" i="1"/>
  <c r="BG11" i="1" s="1"/>
  <c r="BE11" i="1"/>
  <c r="BC11" i="1"/>
  <c r="BA11" i="1"/>
  <c r="AY11" i="1"/>
  <c r="AW11" i="1"/>
  <c r="AU11" i="1"/>
  <c r="AS11" i="1"/>
  <c r="AQ11" i="1"/>
  <c r="AO11" i="1"/>
  <c r="AM11" i="1"/>
  <c r="AK11" i="1"/>
  <c r="AI11" i="1"/>
  <c r="AF11" i="1"/>
  <c r="AG11" i="1" s="1"/>
  <c r="AE11" i="1"/>
  <c r="DQ11" i="1" s="1"/>
  <c r="AC11" i="1"/>
  <c r="AA11" i="1"/>
  <c r="Y11" i="1"/>
  <c r="W11" i="1"/>
  <c r="U11" i="1"/>
  <c r="S11" i="1"/>
  <c r="Q11" i="1"/>
  <c r="O11" i="1"/>
  <c r="M11" i="1"/>
  <c r="K11" i="1"/>
  <c r="I11" i="1"/>
  <c r="DC10" i="1"/>
  <c r="DA10" i="1"/>
  <c r="CY10" i="1"/>
  <c r="CW10" i="1"/>
  <c r="CU10" i="1"/>
  <c r="CS10" i="1"/>
  <c r="CO10" i="1"/>
  <c r="CM10" i="1"/>
  <c r="CK10" i="1"/>
  <c r="CI10" i="1"/>
  <c r="CF10" i="1"/>
  <c r="CG10" i="1" s="1"/>
  <c r="CE10" i="1"/>
  <c r="CC10" i="1"/>
  <c r="CA10" i="1"/>
  <c r="BY10" i="1"/>
  <c r="BW10" i="1"/>
  <c r="BU10" i="1"/>
  <c r="BS10" i="1"/>
  <c r="BQ10" i="1"/>
  <c r="BO10" i="1"/>
  <c r="BM10" i="1"/>
  <c r="BK10" i="1"/>
  <c r="BI10" i="1"/>
  <c r="BF10" i="1"/>
  <c r="BG10" i="1" s="1"/>
  <c r="BE10" i="1"/>
  <c r="BC10" i="1"/>
  <c r="BA10" i="1"/>
  <c r="AY10" i="1"/>
  <c r="AW10" i="1"/>
  <c r="AU10" i="1"/>
  <c r="AS10" i="1"/>
  <c r="AQ10" i="1"/>
  <c r="AO10" i="1"/>
  <c r="AM10" i="1"/>
  <c r="AK10" i="1"/>
  <c r="AI10" i="1"/>
  <c r="AF10" i="1"/>
  <c r="AG10" i="1" s="1"/>
  <c r="AE10" i="1"/>
  <c r="DQ10" i="1" s="1"/>
  <c r="AC10" i="1"/>
  <c r="AA10" i="1"/>
  <c r="Y10" i="1"/>
  <c r="W10" i="1"/>
  <c r="U10" i="1"/>
  <c r="S10" i="1"/>
  <c r="Q10" i="1"/>
  <c r="O10" i="1"/>
  <c r="M10" i="1"/>
  <c r="K10" i="1"/>
  <c r="I10" i="1"/>
  <c r="DG9" i="1"/>
  <c r="DC9" i="1"/>
  <c r="DA9" i="1"/>
  <c r="CY9" i="1"/>
  <c r="CW9" i="1"/>
  <c r="CU9" i="1"/>
  <c r="CS9" i="1"/>
  <c r="CO9" i="1"/>
  <c r="CM9" i="1"/>
  <c r="CK9" i="1"/>
  <c r="CI9" i="1"/>
  <c r="CF9" i="1"/>
  <c r="CG9" i="1" s="1"/>
  <c r="CE9" i="1"/>
  <c r="CC9" i="1"/>
  <c r="CA9" i="1"/>
  <c r="BY9" i="1"/>
  <c r="BW9" i="1"/>
  <c r="BU9" i="1"/>
  <c r="BS9" i="1"/>
  <c r="BQ9" i="1"/>
  <c r="BO9" i="1"/>
  <c r="BM9" i="1"/>
  <c r="BK9" i="1"/>
  <c r="BI9" i="1"/>
  <c r="BF9" i="1"/>
  <c r="BG9" i="1" s="1"/>
  <c r="BE9" i="1"/>
  <c r="BC9" i="1"/>
  <c r="BA9" i="1"/>
  <c r="AY9" i="1"/>
  <c r="AW9" i="1"/>
  <c r="AU9" i="1"/>
  <c r="AS9" i="1"/>
  <c r="AQ9" i="1"/>
  <c r="AO9" i="1"/>
  <c r="AM9" i="1"/>
  <c r="AK9" i="1"/>
  <c r="AI9" i="1"/>
  <c r="AF9" i="1"/>
  <c r="AG9" i="1" s="1"/>
  <c r="AE9" i="1"/>
  <c r="DQ9" i="1" s="1"/>
  <c r="AC9" i="1"/>
  <c r="AA9" i="1"/>
  <c r="Y9" i="1"/>
  <c r="W9" i="1"/>
  <c r="U9" i="1"/>
  <c r="S9" i="1"/>
  <c r="Q9" i="1"/>
  <c r="O9" i="1"/>
  <c r="M9" i="1"/>
  <c r="K9" i="1"/>
  <c r="I9" i="1"/>
  <c r="DG8" i="1"/>
  <c r="DC8" i="1"/>
  <c r="DA8" i="1"/>
  <c r="CY8" i="1"/>
  <c r="CW8" i="1"/>
  <c r="CU8" i="1"/>
  <c r="CS8" i="1"/>
  <c r="CO8" i="1"/>
  <c r="CM8" i="1"/>
  <c r="CK8" i="1"/>
  <c r="CI8" i="1"/>
  <c r="CF8" i="1"/>
  <c r="CG8" i="1" s="1"/>
  <c r="CE8" i="1"/>
  <c r="CC8" i="1"/>
  <c r="CA8" i="1"/>
  <c r="BY8" i="1"/>
  <c r="BW8" i="1"/>
  <c r="BU8" i="1"/>
  <c r="BS8" i="1"/>
  <c r="BQ8" i="1"/>
  <c r="BO8" i="1"/>
  <c r="BM8" i="1"/>
  <c r="BK8" i="1"/>
  <c r="BI8" i="1"/>
  <c r="BF8" i="1"/>
  <c r="BG8" i="1" s="1"/>
  <c r="BE8" i="1"/>
  <c r="BC8" i="1"/>
  <c r="BA8" i="1"/>
  <c r="AY8" i="1"/>
  <c r="AW8" i="1"/>
  <c r="AU8" i="1"/>
  <c r="AS8" i="1"/>
  <c r="AQ8" i="1"/>
  <c r="AO8" i="1"/>
  <c r="AM8" i="1"/>
  <c r="AK8" i="1"/>
  <c r="AI8" i="1"/>
  <c r="AF8" i="1"/>
  <c r="AG8" i="1" s="1"/>
  <c r="AE8" i="1"/>
  <c r="DQ8" i="1" s="1"/>
  <c r="AC8" i="1"/>
  <c r="AA8" i="1"/>
  <c r="Y8" i="1"/>
  <c r="W8" i="1"/>
  <c r="U8" i="1"/>
  <c r="S8" i="1"/>
  <c r="Q8" i="1"/>
  <c r="O8" i="1"/>
  <c r="M8" i="1"/>
  <c r="K8" i="1"/>
  <c r="I8" i="1"/>
  <c r="DG7" i="1"/>
  <c r="DC7" i="1"/>
  <c r="DA7" i="1"/>
  <c r="CY7" i="1"/>
  <c r="CW7" i="1"/>
  <c r="CU7" i="1"/>
  <c r="CS7" i="1"/>
  <c r="CM7" i="1"/>
  <c r="CK7" i="1"/>
  <c r="CI7" i="1"/>
  <c r="CF7" i="1"/>
  <c r="CG7" i="1" s="1"/>
  <c r="CE7" i="1"/>
  <c r="CC7" i="1"/>
  <c r="CA7" i="1"/>
  <c r="BY7" i="1"/>
  <c r="BW7" i="1"/>
  <c r="BU7" i="1"/>
  <c r="BS7" i="1"/>
  <c r="BQ7" i="1"/>
  <c r="BO7" i="1"/>
  <c r="BM7" i="1"/>
  <c r="BK7" i="1"/>
  <c r="BI7" i="1"/>
  <c r="BF7" i="1"/>
  <c r="BG7" i="1" s="1"/>
  <c r="BE7" i="1"/>
  <c r="BC7" i="1"/>
  <c r="BA7" i="1"/>
  <c r="AY7" i="1"/>
  <c r="AW7" i="1"/>
  <c r="AU7" i="1"/>
  <c r="AS7" i="1"/>
  <c r="AQ7" i="1"/>
  <c r="AO7" i="1"/>
  <c r="AM7" i="1"/>
  <c r="AK7" i="1"/>
  <c r="AI7" i="1"/>
  <c r="AF7" i="1"/>
  <c r="AG7" i="1" s="1"/>
  <c r="AE7" i="1"/>
  <c r="DQ7" i="1" s="1"/>
  <c r="AC7" i="1"/>
  <c r="AA7" i="1"/>
  <c r="Y7" i="1"/>
  <c r="W7" i="1"/>
  <c r="U7" i="1"/>
  <c r="S7" i="1"/>
  <c r="Q7" i="1"/>
  <c r="O7" i="1"/>
  <c r="M7" i="1"/>
  <c r="K7" i="1"/>
  <c r="I7" i="1"/>
  <c r="DC6" i="1"/>
  <c r="DA6" i="1"/>
  <c r="CY6" i="1"/>
  <c r="CW6" i="1"/>
  <c r="CU6" i="1"/>
  <c r="CS6" i="1"/>
  <c r="CO6" i="1"/>
  <c r="CM6" i="1"/>
  <c r="CK6" i="1"/>
  <c r="CI6" i="1"/>
  <c r="CF6" i="1"/>
  <c r="CG6" i="1" s="1"/>
  <c r="CE6" i="1"/>
  <c r="CC6" i="1"/>
  <c r="CA6" i="1"/>
  <c r="BY6" i="1"/>
  <c r="BW6" i="1"/>
  <c r="BU6" i="1"/>
  <c r="BS6" i="1"/>
  <c r="BQ6" i="1"/>
  <c r="BO6" i="1"/>
  <c r="BM6" i="1"/>
  <c r="BK6" i="1"/>
  <c r="BI6" i="1"/>
  <c r="BF6" i="1"/>
  <c r="BG6" i="1" s="1"/>
  <c r="BE6" i="1"/>
  <c r="BC6" i="1"/>
  <c r="BA6" i="1"/>
  <c r="AY6" i="1"/>
  <c r="AW6" i="1"/>
  <c r="AU6" i="1"/>
  <c r="AS6" i="1"/>
  <c r="AQ6" i="1"/>
  <c r="AO6" i="1"/>
  <c r="AM6" i="1"/>
  <c r="AK6" i="1"/>
  <c r="AI6" i="1"/>
  <c r="AF6" i="1"/>
  <c r="AG6" i="1" s="1"/>
  <c r="AE6" i="1"/>
  <c r="DQ6" i="1" s="1"/>
  <c r="AC6" i="1"/>
  <c r="AA6" i="1"/>
  <c r="Y6" i="1"/>
  <c r="W6" i="1"/>
  <c r="U6" i="1"/>
  <c r="S6" i="1"/>
  <c r="Q6" i="1"/>
  <c r="O6" i="1"/>
  <c r="M6" i="1"/>
  <c r="K6" i="1"/>
  <c r="I6" i="1"/>
  <c r="DG5" i="1"/>
  <c r="DC5" i="1"/>
  <c r="DA5" i="1"/>
  <c r="CY5" i="1"/>
  <c r="CW5" i="1"/>
  <c r="CU5" i="1"/>
  <c r="CS5" i="1"/>
  <c r="CO5" i="1"/>
  <c r="CM5" i="1"/>
  <c r="CK5" i="1"/>
  <c r="CI5" i="1"/>
  <c r="CF5" i="1"/>
  <c r="CG5" i="1" s="1"/>
  <c r="CE5" i="1"/>
  <c r="CC5" i="1"/>
  <c r="CA5" i="1"/>
  <c r="BY5" i="1"/>
  <c r="BW5" i="1"/>
  <c r="BU5" i="1"/>
  <c r="BS5" i="1"/>
  <c r="BQ5" i="1"/>
  <c r="BO5" i="1"/>
  <c r="BM5" i="1"/>
  <c r="BK5" i="1"/>
  <c r="BI5" i="1"/>
  <c r="BF5" i="1"/>
  <c r="BG5" i="1" s="1"/>
  <c r="BE5" i="1"/>
  <c r="BC5" i="1"/>
  <c r="BA5" i="1"/>
  <c r="AY5" i="1"/>
  <c r="AW5" i="1"/>
  <c r="AU5" i="1"/>
  <c r="AS5" i="1"/>
  <c r="AQ5" i="1"/>
  <c r="AO5" i="1"/>
  <c r="AM5" i="1"/>
  <c r="AK5" i="1"/>
  <c r="AI5" i="1"/>
  <c r="AF5" i="1"/>
  <c r="AG5" i="1" s="1"/>
  <c r="AE5" i="1"/>
  <c r="DQ5" i="1" s="1"/>
  <c r="AC5" i="1"/>
  <c r="AA5" i="1"/>
  <c r="Y5" i="1"/>
  <c r="W5" i="1"/>
  <c r="U5" i="1"/>
  <c r="S5" i="1"/>
  <c r="Q5" i="1"/>
  <c r="O5" i="1"/>
  <c r="M5" i="1"/>
  <c r="K5" i="1"/>
  <c r="I5" i="1"/>
  <c r="DC4" i="1"/>
  <c r="DA4" i="1"/>
  <c r="CY4" i="1"/>
  <c r="CW4" i="1"/>
  <c r="CU4" i="1"/>
  <c r="CS4" i="1"/>
  <c r="CM4" i="1"/>
  <c r="CK4" i="1"/>
  <c r="CI4" i="1"/>
  <c r="CE4" i="1"/>
  <c r="CC4" i="1"/>
  <c r="CA4" i="1"/>
  <c r="BY4" i="1"/>
  <c r="BW4" i="1"/>
  <c r="BU4" i="1"/>
  <c r="BS4" i="1"/>
  <c r="BQ4" i="1"/>
  <c r="BO4" i="1"/>
  <c r="BM4" i="1"/>
  <c r="BK4" i="1"/>
  <c r="BI4" i="1"/>
  <c r="BE4" i="1"/>
  <c r="BC4" i="1"/>
  <c r="BA4" i="1"/>
  <c r="AY4" i="1"/>
  <c r="AW4" i="1"/>
  <c r="AU4" i="1"/>
  <c r="AS4" i="1"/>
  <c r="AQ4" i="1"/>
  <c r="AO4" i="1"/>
  <c r="AM4" i="1"/>
  <c r="AK4" i="1"/>
  <c r="AI4" i="1"/>
  <c r="AE4" i="1"/>
  <c r="DQ4" i="1" s="1"/>
  <c r="AC4" i="1"/>
  <c r="AA4" i="1"/>
  <c r="Y4" i="1"/>
  <c r="W4" i="1"/>
  <c r="U4" i="1"/>
  <c r="S4" i="1"/>
  <c r="Q4" i="1"/>
  <c r="N4" i="1"/>
  <c r="M4" i="1"/>
  <c r="K4" i="1"/>
  <c r="I4" i="1"/>
  <c r="CD170" i="1" l="1"/>
  <c r="DQ148" i="1"/>
  <c r="DQ170" i="1" s="1"/>
  <c r="AD170" i="1"/>
  <c r="DE148" i="1"/>
  <c r="BD170" i="1"/>
  <c r="DG154" i="1"/>
  <c r="D158" i="1"/>
  <c r="DG150" i="1"/>
  <c r="D157" i="1"/>
  <c r="Z170" i="1"/>
  <c r="BR170" i="1"/>
  <c r="CV170" i="1"/>
  <c r="CH170" i="1"/>
  <c r="CJ170" i="1"/>
  <c r="BW169" i="1"/>
  <c r="BH170" i="1"/>
  <c r="CR170" i="1"/>
  <c r="CX170" i="1"/>
  <c r="BX170" i="1"/>
  <c r="CZ170" i="1"/>
  <c r="H170" i="1"/>
  <c r="AJ170" i="1"/>
  <c r="J170" i="1"/>
  <c r="CP170" i="1"/>
  <c r="CK169" i="1"/>
  <c r="BO169" i="1"/>
  <c r="BF148" i="1"/>
  <c r="CT170" i="1"/>
  <c r="D156" i="1"/>
  <c r="V170" i="1"/>
  <c r="AV170" i="1"/>
  <c r="AY169" i="1"/>
  <c r="DB170" i="1"/>
  <c r="U169" i="1"/>
  <c r="AH170" i="1"/>
  <c r="BB170" i="1"/>
  <c r="BG169" i="1"/>
  <c r="M148" i="1"/>
  <c r="N148" i="1"/>
  <c r="N170" i="1" s="1"/>
  <c r="AF4" i="1"/>
  <c r="BJ170" i="1"/>
  <c r="CL170" i="1"/>
  <c r="O169" i="1"/>
  <c r="BI169" i="1"/>
  <c r="CF169" i="1"/>
  <c r="DC169" i="1"/>
  <c r="CU169" i="1"/>
  <c r="M169" i="1"/>
  <c r="DA169" i="1"/>
  <c r="AM169" i="1"/>
  <c r="BO148" i="1"/>
  <c r="AL170" i="1"/>
  <c r="BN170" i="1"/>
  <c r="CG150" i="1"/>
  <c r="CG169" i="1" s="1"/>
  <c r="AK169" i="1"/>
  <c r="CE169" i="1"/>
  <c r="CM148" i="1"/>
  <c r="S148" i="1"/>
  <c r="L170" i="1"/>
  <c r="AN170" i="1"/>
  <c r="BP170" i="1"/>
  <c r="BE169" i="1"/>
  <c r="CS148" i="1"/>
  <c r="P170" i="1"/>
  <c r="R170" i="1"/>
  <c r="AR170" i="1"/>
  <c r="BT170" i="1"/>
  <c r="W169" i="1"/>
  <c r="AP170" i="1"/>
  <c r="AW148" i="1"/>
  <c r="BU148" i="1"/>
  <c r="CF12" i="1"/>
  <c r="CG12" i="1" s="1"/>
  <c r="AY148" i="1"/>
  <c r="CA148" i="1"/>
  <c r="T170" i="1"/>
  <c r="AT170" i="1"/>
  <c r="BV170" i="1"/>
  <c r="AA169" i="1"/>
  <c r="CQ169" i="1"/>
  <c r="BK169" i="1"/>
  <c r="AC148" i="1"/>
  <c r="BC148" i="1"/>
  <c r="X170" i="1"/>
  <c r="AX170" i="1"/>
  <c r="BZ170" i="1"/>
  <c r="CI169" i="1"/>
  <c r="AK148" i="1"/>
  <c r="AQ148" i="1"/>
  <c r="CY148" i="1"/>
  <c r="Y148" i="1"/>
  <c r="AE148" i="1"/>
  <c r="BI148" i="1"/>
  <c r="AS169" i="1"/>
  <c r="CQ148" i="1"/>
  <c r="D44" i="1"/>
  <c r="D18" i="1"/>
  <c r="DG22" i="1"/>
  <c r="D62" i="1"/>
  <c r="D24" i="1"/>
  <c r="CN170" i="1"/>
  <c r="D8" i="1"/>
  <c r="D36" i="1"/>
  <c r="D135" i="1"/>
  <c r="D28" i="1"/>
  <c r="D33" i="1"/>
  <c r="D9" i="1"/>
  <c r="D4" i="1"/>
  <c r="D55" i="1"/>
  <c r="D132" i="1"/>
  <c r="D6" i="1"/>
  <c r="D49" i="1"/>
  <c r="D74" i="1"/>
  <c r="D10" i="1"/>
  <c r="D60" i="1"/>
  <c r="I148" i="1"/>
  <c r="BA148" i="1"/>
  <c r="BW148" i="1"/>
  <c r="D27" i="1"/>
  <c r="D38" i="1"/>
  <c r="D46" i="1"/>
  <c r="DG55" i="1"/>
  <c r="D87" i="1"/>
  <c r="D92" i="1"/>
  <c r="D95" i="1"/>
  <c r="DG132" i="1"/>
  <c r="D137" i="1"/>
  <c r="CA169" i="1"/>
  <c r="CW169" i="1"/>
  <c r="K148" i="1"/>
  <c r="BY148" i="1"/>
  <c r="CU148" i="1"/>
  <c r="DG6" i="1"/>
  <c r="DG10" i="1"/>
  <c r="D19" i="1"/>
  <c r="D56" i="1"/>
  <c r="DG60" i="1"/>
  <c r="D72" i="1"/>
  <c r="D84" i="1"/>
  <c r="D88" i="1"/>
  <c r="AB170" i="1"/>
  <c r="BL148" i="1"/>
  <c r="Q169" i="1"/>
  <c r="AO169" i="1"/>
  <c r="DE169" i="1"/>
  <c r="BU169" i="1"/>
  <c r="BE148" i="1"/>
  <c r="CW148" i="1"/>
  <c r="D7" i="1"/>
  <c r="D11" i="1"/>
  <c r="D35" i="1"/>
  <c r="D43" i="1"/>
  <c r="D52" i="1"/>
  <c r="D64" i="1"/>
  <c r="D68" i="1"/>
  <c r="D93" i="1"/>
  <c r="D130" i="1"/>
  <c r="DG139" i="1"/>
  <c r="D139" i="1"/>
  <c r="S169" i="1"/>
  <c r="AQ169" i="1"/>
  <c r="BM169" i="1"/>
  <c r="DF169" i="1"/>
  <c r="AI148" i="1"/>
  <c r="CC148" i="1"/>
  <c r="D20" i="1"/>
  <c r="D32" i="1"/>
  <c r="D40" i="1"/>
  <c r="DG93" i="1"/>
  <c r="D134" i="1"/>
  <c r="AC169" i="1"/>
  <c r="O4" i="1"/>
  <c r="O148" i="1" s="1"/>
  <c r="BG4" i="1"/>
  <c r="BG148" i="1" s="1"/>
  <c r="CE148" i="1"/>
  <c r="DA148" i="1"/>
  <c r="D14" i="1"/>
  <c r="D26" i="1"/>
  <c r="D58" i="1"/>
  <c r="D90" i="1"/>
  <c r="D94" i="1"/>
  <c r="AU169" i="1"/>
  <c r="BQ169" i="1"/>
  <c r="CM169" i="1"/>
  <c r="D151" i="1"/>
  <c r="BC169" i="1"/>
  <c r="Q148" i="1"/>
  <c r="AM148" i="1"/>
  <c r="DC148" i="1"/>
  <c r="D21" i="1"/>
  <c r="D29" i="1"/>
  <c r="D37" i="1"/>
  <c r="D45" i="1"/>
  <c r="DG49" i="1"/>
  <c r="D78" i="1"/>
  <c r="D143" i="1"/>
  <c r="AZ170" i="1"/>
  <c r="Y169" i="1"/>
  <c r="AW169" i="1"/>
  <c r="BS169" i="1"/>
  <c r="CO169" i="1"/>
  <c r="I169" i="1"/>
  <c r="AG151" i="1"/>
  <c r="AF169" i="1"/>
  <c r="AO148" i="1"/>
  <c r="BK148" i="1"/>
  <c r="CG4" i="1"/>
  <c r="DG21" i="1"/>
  <c r="D34" i="1"/>
  <c r="D42" i="1"/>
  <c r="D63" i="1"/>
  <c r="D71" i="1"/>
  <c r="D136" i="1"/>
  <c r="D144" i="1"/>
  <c r="D153" i="1"/>
  <c r="U148" i="1"/>
  <c r="BM148" i="1"/>
  <c r="CI148" i="1"/>
  <c r="D13" i="1"/>
  <c r="D16" i="1"/>
  <c r="D22" i="1"/>
  <c r="D51" i="1"/>
  <c r="D67" i="1"/>
  <c r="D75" i="1"/>
  <c r="D80" i="1"/>
  <c r="D133" i="1"/>
  <c r="DF148" i="1"/>
  <c r="BA169" i="1"/>
  <c r="CS169" i="1"/>
  <c r="D155" i="1"/>
  <c r="W148" i="1"/>
  <c r="AS148" i="1"/>
  <c r="CK148" i="1"/>
  <c r="DG4" i="1"/>
  <c r="D31" i="1"/>
  <c r="D39" i="1"/>
  <c r="D47" i="1"/>
  <c r="D57" i="1"/>
  <c r="D81" i="1"/>
  <c r="D150" i="1"/>
  <c r="AE169" i="1"/>
  <c r="BY169" i="1"/>
  <c r="D160" i="1"/>
  <c r="AU148" i="1"/>
  <c r="BQ148" i="1"/>
  <c r="D17" i="1"/>
  <c r="D23" i="1"/>
  <c r="D77" i="1"/>
  <c r="DG81" i="1"/>
  <c r="D89" i="1"/>
  <c r="AG169" i="1"/>
  <c r="D154" i="1"/>
  <c r="D162" i="1"/>
  <c r="DG151" i="1"/>
  <c r="D159" i="1"/>
  <c r="D41" i="1"/>
  <c r="D50" i="1"/>
  <c r="D66" i="1"/>
  <c r="D163" i="1"/>
  <c r="AA148" i="1"/>
  <c r="BS148" i="1"/>
  <c r="CO148" i="1"/>
  <c r="D12" i="1"/>
  <c r="DG17" i="1"/>
  <c r="DG23" i="1"/>
  <c r="D70" i="1"/>
  <c r="D86" i="1"/>
  <c r="DG89" i="1"/>
  <c r="D131" i="1"/>
  <c r="K169" i="1"/>
  <c r="AI169" i="1"/>
  <c r="BF169" i="1"/>
  <c r="CC169" i="1"/>
  <c r="CY169" i="1"/>
  <c r="D152" i="1"/>
  <c r="D161" i="1"/>
  <c r="BI170" i="1" l="1"/>
  <c r="BE170" i="1"/>
  <c r="BG170" i="1"/>
  <c r="DG169" i="1"/>
  <c r="CK170" i="1"/>
  <c r="DE170" i="1"/>
  <c r="DA170" i="1"/>
  <c r="BW170" i="1"/>
  <c r="AM170" i="1"/>
  <c r="CI170" i="1"/>
  <c r="U170" i="1"/>
  <c r="BL170" i="1"/>
  <c r="CM170" i="1"/>
  <c r="CA170" i="1"/>
  <c r="AC170" i="1"/>
  <c r="BO170" i="1"/>
  <c r="CQ170" i="1"/>
  <c r="BC170" i="1"/>
  <c r="CY170" i="1"/>
  <c r="Y170" i="1"/>
  <c r="AQ170" i="1"/>
  <c r="W170" i="1"/>
  <c r="AE170" i="1"/>
  <c r="BK170" i="1"/>
  <c r="AY170" i="1"/>
  <c r="CS170" i="1"/>
  <c r="DF170" i="1"/>
  <c r="BF170" i="1"/>
  <c r="BF171" i="1" s="1"/>
  <c r="AA170" i="1"/>
  <c r="AU170" i="1"/>
  <c r="AS170" i="1"/>
  <c r="O170" i="1"/>
  <c r="S170" i="1"/>
  <c r="BU170" i="1"/>
  <c r="CO170" i="1"/>
  <c r="BS170" i="1"/>
  <c r="CU170" i="1"/>
  <c r="CG148" i="1"/>
  <c r="CG170" i="1" s="1"/>
  <c r="CF148" i="1"/>
  <c r="CF170" i="1" s="1"/>
  <c r="CF171" i="1" s="1"/>
  <c r="DC170" i="1"/>
  <c r="BY170" i="1"/>
  <c r="AK170" i="1"/>
  <c r="AW170" i="1"/>
  <c r="BQ170" i="1"/>
  <c r="CE170" i="1"/>
  <c r="M170" i="1"/>
  <c r="CC170" i="1"/>
  <c r="AI170" i="1"/>
  <c r="BM170" i="1"/>
  <c r="AO170" i="1"/>
  <c r="Q170" i="1"/>
  <c r="BA170" i="1"/>
  <c r="AF148" i="1"/>
  <c r="AF170" i="1" s="1"/>
  <c r="AF171" i="1" s="1"/>
  <c r="AG4" i="1"/>
  <c r="AG148" i="1" s="1"/>
  <c r="AG170" i="1" s="1"/>
  <c r="DG148" i="1"/>
  <c r="K170" i="1"/>
  <c r="I170" i="1"/>
  <c r="CW170" i="1"/>
  <c r="DG170" i="1" l="1"/>
</calcChain>
</file>

<file path=xl/sharedStrings.xml><?xml version="1.0" encoding="utf-8"?>
<sst xmlns="http://schemas.openxmlformats.org/spreadsheetml/2006/main" count="524" uniqueCount="144">
  <si>
    <t>MLM</t>
  </si>
  <si>
    <t>Sr.</t>
  </si>
  <si>
    <t xml:space="preserve">Product Name </t>
  </si>
  <si>
    <t>Ranking</t>
  </si>
  <si>
    <t>ML</t>
  </si>
  <si>
    <t xml:space="preserve">Packing </t>
  </si>
  <si>
    <t>Sales Price</t>
  </si>
  <si>
    <t>2022 Average</t>
  </si>
  <si>
    <t>2023 Average</t>
  </si>
  <si>
    <t>2024 Average</t>
  </si>
  <si>
    <t>2025 Total</t>
  </si>
  <si>
    <t>Bot</t>
  </si>
  <si>
    <t>Lit</t>
  </si>
  <si>
    <t>"Zay" Vodka 700-ml</t>
  </si>
  <si>
    <t>ပုလင်း</t>
  </si>
  <si>
    <t>1 * 12</t>
  </si>
  <si>
    <t>"Zay" Vodka (1 Liter)</t>
  </si>
  <si>
    <t>‌ကော်ဘူး</t>
  </si>
  <si>
    <t>"Zay" (1 Liter)</t>
  </si>
  <si>
    <t>"Zay" (0.6 Liter)</t>
  </si>
  <si>
    <t>"Zay" (0.35 Liter)</t>
  </si>
  <si>
    <t>1 * 40</t>
  </si>
  <si>
    <t>"Zay" Vodka</t>
  </si>
  <si>
    <t>1 * 24</t>
  </si>
  <si>
    <t>"Zay" Vodka - 640ml</t>
  </si>
  <si>
    <t>1 * 14</t>
  </si>
  <si>
    <t>"Zay" - 640ml</t>
  </si>
  <si>
    <t>Kaung Kyi (1 Liter)_25%</t>
  </si>
  <si>
    <t>Kaung Kyi (1 Liter)_40%</t>
  </si>
  <si>
    <t>Kaung Kyi (0.6 Liter)_25%</t>
  </si>
  <si>
    <t>Kaung Kyi (0.6 Liter)_40%</t>
  </si>
  <si>
    <t>Kaung Kyi (0.35 Liter)_25%</t>
  </si>
  <si>
    <t>Kaung Kyi ( 0.35 Liter) - 40%</t>
  </si>
  <si>
    <t xml:space="preserve">Kaung Kyi </t>
  </si>
  <si>
    <t>Kaung Kyi (40%)</t>
  </si>
  <si>
    <t>Kaung Kyi (46%)</t>
  </si>
  <si>
    <t>မိုးနဲကွန်ကီကော်ဘူး(1 Liter)</t>
  </si>
  <si>
    <t>မိုးနဲကွန်ကီကော်ဘူး(0.6 Liter)</t>
  </si>
  <si>
    <t>1*12</t>
  </si>
  <si>
    <t xml:space="preserve">Moe Nae Kon Ki </t>
  </si>
  <si>
    <t>‌မျောက်ရှယ်</t>
  </si>
  <si>
    <t>Zayawaddy Red(1 Liter)30%</t>
  </si>
  <si>
    <t>Zayawaddy Red(1 Liter)40%</t>
  </si>
  <si>
    <t>Zayawaddy Red(0.6 Liter)30%</t>
  </si>
  <si>
    <t>Zayawaddy  Red(0.6 Liter)40%</t>
  </si>
  <si>
    <t>Zayawaddy  Red(0.35 Liter)40%</t>
  </si>
  <si>
    <t>ဇေယျဝတီ Smooth (စိမ်း)</t>
  </si>
  <si>
    <t xml:space="preserve">Zayawaddy Red </t>
  </si>
  <si>
    <t>Zeyawaddy Rum (43%)</t>
  </si>
  <si>
    <t>ဇေယျဝတီ Smooth (နီ)</t>
  </si>
  <si>
    <t>ဇေယျဝတီ Red (ပု)</t>
  </si>
  <si>
    <t>‌ဇေယျဝတီ Red (ice)</t>
  </si>
  <si>
    <t>မြန်မာရှောက်ပျား(1 Liter)</t>
  </si>
  <si>
    <t>မြန်မာရှောက်ပျား</t>
  </si>
  <si>
    <t>သံပုရာအရက်(1 Liter)</t>
  </si>
  <si>
    <t>သံပုရာအရက်(0.6 Liter)</t>
  </si>
  <si>
    <t>သံပုရာအရက်</t>
  </si>
  <si>
    <t>Dagon Tamarind (1 Liter)</t>
  </si>
  <si>
    <t>Dagon Tamarind - 600ml</t>
  </si>
  <si>
    <t>Dagon Tamarind (0.35 Liter)</t>
  </si>
  <si>
    <t>2 in 1 မန်ကျည်း</t>
  </si>
  <si>
    <t xml:space="preserve">Dagon Tamarind </t>
  </si>
  <si>
    <t>Rice ကောက်ညှင်းစပါး(1 Liter)</t>
  </si>
  <si>
    <t>Rice ကောက်ညှင်းစပါး(0.6 Liter)</t>
  </si>
  <si>
    <t>Rice ကောက်ညှင်းစပါး</t>
  </si>
  <si>
    <t>ကချင်ရိုးရာဆန်အရက်(1 Liter)</t>
  </si>
  <si>
    <t>ကချင်ရိုးရာဆန်အရက်(0.6 Liter)</t>
  </si>
  <si>
    <t>ကချင်ရိုးရာဆန်အရက်</t>
  </si>
  <si>
    <t xml:space="preserve">Dagon Pineapple </t>
  </si>
  <si>
    <t>Cj-5</t>
  </si>
  <si>
    <t>Super Red</t>
  </si>
  <si>
    <t>Super Red (ပု)</t>
  </si>
  <si>
    <t>Super Liquor</t>
  </si>
  <si>
    <t>Super Vodka (1 Liter) - 38%</t>
  </si>
  <si>
    <t>ချယ်ရီ (Special)(1 Liter)မြန်မာ</t>
  </si>
  <si>
    <t>ချယ်ရီ (Special)(1 Liter)Eng</t>
  </si>
  <si>
    <t>ချယ်ရီအရက်သန့်(1 Liter)</t>
  </si>
  <si>
    <t>ချယ်ရီကော်ဘူး(0.6 Liter)</t>
  </si>
  <si>
    <t>ချယ်ရီအရက်သန့်</t>
  </si>
  <si>
    <t>ချယ်ရီသံပုရာ (1 Liter )</t>
  </si>
  <si>
    <t>ချယ်ရီသံပုရာ (0.6 Liter )</t>
  </si>
  <si>
    <t>ချယ်ရီသံပုရာ</t>
  </si>
  <si>
    <t>ရွှေမင်းသားခေါင်ရည်</t>
  </si>
  <si>
    <t>စပါး</t>
  </si>
  <si>
    <t>1* 24</t>
  </si>
  <si>
    <t>Paddyစပါး</t>
  </si>
  <si>
    <t>မန်းဘီအီး</t>
  </si>
  <si>
    <t>ပျားသံပုရာ</t>
  </si>
  <si>
    <t>Formula Rum 700ml</t>
  </si>
  <si>
    <t>Formula Rum 350ml</t>
  </si>
  <si>
    <t xml:space="preserve">Burma Gin (1 Liter) - 40% </t>
  </si>
  <si>
    <t>1 * 20</t>
  </si>
  <si>
    <t>ချယ်ရီသဘာဝအားဖြည့်ကောက်ညှင်း</t>
  </si>
  <si>
    <t xml:space="preserve">White Orange </t>
  </si>
  <si>
    <t xml:space="preserve">Dagon </t>
  </si>
  <si>
    <t>Black - Cat</t>
  </si>
  <si>
    <t>ကင်းမြီးကောက်</t>
  </si>
  <si>
    <t>"Zay" Super Vodka (ဆတိုး)</t>
  </si>
  <si>
    <t>Cj-5 - Super Vodka (ဆတိုး)</t>
  </si>
  <si>
    <t>ပျားရိုင်း</t>
  </si>
  <si>
    <t>ရုပ်ပျို</t>
  </si>
  <si>
    <t>ပုံးဘီအီး</t>
  </si>
  <si>
    <t>1*50</t>
  </si>
  <si>
    <t>Care+ အရက်ပြန် 700 ml</t>
  </si>
  <si>
    <t>Care+ အရက်ပြန် 20 Liter</t>
  </si>
  <si>
    <t>BE စုစုပေါင်း</t>
  </si>
  <si>
    <t>Columbus 700ml</t>
  </si>
  <si>
    <t>Columbus 350ml</t>
  </si>
  <si>
    <t>Columbus 175ml</t>
  </si>
  <si>
    <t>1 * 48</t>
  </si>
  <si>
    <t xml:space="preserve">SRS - Columbus 700ml </t>
  </si>
  <si>
    <t xml:space="preserve">SRS - Columbus 350ml </t>
  </si>
  <si>
    <t xml:space="preserve">SRS - Columbus 175ml </t>
  </si>
  <si>
    <t>Ngwe Taung 700ml</t>
  </si>
  <si>
    <t>Blended Whisky 700ml</t>
  </si>
  <si>
    <t>Blended Whisky 350ml</t>
  </si>
  <si>
    <t>Simple Whisky 700 ML</t>
  </si>
  <si>
    <t>Simple Whisky 350 ML</t>
  </si>
  <si>
    <t>Golden Triangle</t>
  </si>
  <si>
    <t>1*6</t>
  </si>
  <si>
    <t>Columbus 700ml X'Mass</t>
  </si>
  <si>
    <t>Columbus Steel ပဲ့ထိန်း 350ml</t>
  </si>
  <si>
    <t>Columbus Steel ပဲ့ထိန်း 175ml</t>
  </si>
  <si>
    <t>Columbus Steel ရွက်လှေ 175ml</t>
  </si>
  <si>
    <t>Whisky စုစုပေါင်း</t>
  </si>
  <si>
    <t>All Total</t>
  </si>
  <si>
    <t>ရွှေမင်းသားမန်ကျည်းခေါင်ရည်</t>
  </si>
  <si>
    <t>ကော်ဘူး</t>
  </si>
  <si>
    <t>1 *14</t>
  </si>
  <si>
    <t>Three Lions OP - 55% Alc</t>
  </si>
  <si>
    <t>1*20</t>
  </si>
  <si>
    <t>ရွှေမန်း -  Rum</t>
  </si>
  <si>
    <t>1* 12</t>
  </si>
  <si>
    <t>Ngwe Taung 700ml (New)</t>
  </si>
  <si>
    <t>Ngwe Taung 700ml (ဂါလံ)</t>
  </si>
  <si>
    <t>Three Lions OP - 35% Alc</t>
  </si>
  <si>
    <t>1* 14</t>
  </si>
  <si>
    <t xml:space="preserve"> Dagon ကော်ဘူး 1-Ltr</t>
  </si>
  <si>
    <t>114-Care+ လက်သန့်ဆေးရည် 500 ml</t>
  </si>
  <si>
    <t>2026 Total</t>
  </si>
  <si>
    <t>ဆန်ပုံး (ဝါ)</t>
  </si>
  <si>
    <t>ဆန်ပုံး (ပြာ)</t>
  </si>
  <si>
    <t xml:space="preserve"> OP - 87% Alc (red)</t>
  </si>
  <si>
    <t>OP - 69% Alc (green)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</si>
</sst>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10000455]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0000"/>
      <name val="Pyidaungsu"/>
      <family val="2"/>
    </font>
    <font>
      <b/>
      <sz val="10"/>
      <color theme="1"/>
      <name val="Pyidaungsu"/>
      <family val="2"/>
    </font>
    <font>
      <sz val="10"/>
      <color theme="1"/>
      <name val="Pyidaungsu"/>
      <family val="2"/>
    </font>
    <font>
      <b/>
      <sz val="10"/>
      <name val="Pyidaungsu"/>
      <family val="2"/>
    </font>
    <font>
      <sz val="11"/>
      <color theme="1"/>
      <name val="Zawgyi-One"/>
      <family val="2"/>
    </font>
    <font>
      <sz val="10"/>
      <name val="Pyidaungsu"/>
      <family val="2"/>
    </font>
    <font>
      <sz val="10"/>
      <color rgb="FFFF0000"/>
      <name val="Pyidaungsu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2" xfId="1" applyFont="1" applyBorder="1" applyAlignment="1">
      <alignment horizontal="center" vertical="center"/>
    </xf>
    <xf numFmtId="0" fontId="4" fillId="0" borderId="0" xfId="1" applyFont="1"/>
    <xf numFmtId="17" fontId="3" fillId="0" borderId="5" xfId="1" applyNumberFormat="1" applyFont="1" applyBorder="1" applyAlignment="1">
      <alignment horizontal="center"/>
    </xf>
    <xf numFmtId="17" fontId="3" fillId="2" borderId="5" xfId="1" applyNumberFormat="1" applyFont="1" applyFill="1" applyBorder="1" applyAlignment="1">
      <alignment horizontal="center"/>
    </xf>
    <xf numFmtId="17" fontId="2" fillId="0" borderId="5" xfId="1" applyNumberFormat="1" applyFont="1" applyBorder="1" applyAlignment="1">
      <alignment horizontal="center"/>
    </xf>
    <xf numFmtId="17" fontId="2" fillId="2" borderId="5" xfId="1" applyNumberFormat="1" applyFont="1" applyFill="1" applyBorder="1" applyAlignment="1">
      <alignment horizontal="center"/>
    </xf>
    <xf numFmtId="164" fontId="3" fillId="0" borderId="5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164" fontId="2" fillId="0" borderId="5" xfId="3" applyNumberFormat="1" applyFont="1" applyFill="1" applyBorder="1" applyAlignment="1">
      <alignment horizontal="center"/>
    </xf>
    <xf numFmtId="0" fontId="7" fillId="0" borderId="5" xfId="2" applyFont="1" applyBorder="1" applyAlignment="1">
      <alignment horizontal="center" vertical="center"/>
    </xf>
    <xf numFmtId="0" fontId="7" fillId="0" borderId="5" xfId="2" applyFont="1" applyBorder="1" applyAlignment="1">
      <alignment horizontal="left" vertical="center"/>
    </xf>
    <xf numFmtId="164" fontId="4" fillId="0" borderId="5" xfId="3" applyNumberFormat="1" applyFont="1" applyFill="1" applyBorder="1"/>
    <xf numFmtId="164" fontId="8" fillId="0" borderId="5" xfId="3" applyNumberFormat="1" applyFont="1" applyFill="1" applyBorder="1"/>
    <xf numFmtId="164" fontId="4" fillId="2" borderId="5" xfId="3" applyNumberFormat="1" applyFont="1" applyFill="1" applyBorder="1"/>
    <xf numFmtId="164" fontId="8" fillId="2" borderId="5" xfId="3" applyNumberFormat="1" applyFont="1" applyFill="1" applyBorder="1"/>
    <xf numFmtId="0" fontId="4" fillId="0" borderId="5" xfId="1" applyFont="1" applyBorder="1" applyAlignment="1">
      <alignment vertical="center"/>
    </xf>
    <xf numFmtId="164" fontId="4" fillId="0" borderId="5" xfId="3" applyNumberFormat="1" applyFont="1" applyBorder="1"/>
    <xf numFmtId="164" fontId="4" fillId="3" borderId="5" xfId="3" applyNumberFormat="1" applyFont="1" applyFill="1" applyBorder="1"/>
    <xf numFmtId="164" fontId="7" fillId="3" borderId="5" xfId="3" applyNumberFormat="1" applyFont="1" applyFill="1" applyBorder="1" applyAlignment="1">
      <alignment vertical="center"/>
    </xf>
    <xf numFmtId="164" fontId="7" fillId="3" borderId="5" xfId="3" applyNumberFormat="1" applyFont="1" applyFill="1" applyBorder="1"/>
    <xf numFmtId="0" fontId="7" fillId="3" borderId="5" xfId="1" applyFont="1" applyFill="1" applyBorder="1" applyAlignment="1">
      <alignment horizontal="center" vertical="center"/>
    </xf>
    <xf numFmtId="164" fontId="7" fillId="3" borderId="5" xfId="3" applyNumberFormat="1" applyFont="1" applyFill="1" applyBorder="1" applyAlignment="1">
      <alignment horizontal="center" vertical="center"/>
    </xf>
    <xf numFmtId="164" fontId="7" fillId="3" borderId="5" xfId="3" applyNumberFormat="1" applyFont="1" applyFill="1" applyBorder="1" applyAlignment="1">
      <alignment horizontal="center"/>
    </xf>
    <xf numFmtId="164" fontId="7" fillId="0" borderId="5" xfId="3" applyNumberFormat="1" applyFont="1" applyFill="1" applyBorder="1"/>
    <xf numFmtId="3" fontId="10" fillId="4" borderId="8" xfId="1" applyNumberFormat="1" applyFont="1" applyFill="1" applyBorder="1" applyAlignment="1">
      <alignment horizontal="center" vertical="center"/>
    </xf>
    <xf numFmtId="3" fontId="9" fillId="4" borderId="8" xfId="1" applyNumberFormat="1" applyFont="1" applyFill="1" applyBorder="1" applyAlignment="1">
      <alignment horizontal="center" vertical="center"/>
    </xf>
    <xf numFmtId="164" fontId="4" fillId="3" borderId="9" xfId="3" applyNumberFormat="1" applyFont="1" applyFill="1" applyBorder="1" applyAlignment="1">
      <alignment horizontal="center"/>
    </xf>
    <xf numFmtId="4" fontId="10" fillId="4" borderId="8" xfId="1" applyNumberFormat="1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left" vertical="center"/>
    </xf>
    <xf numFmtId="164" fontId="4" fillId="3" borderId="10" xfId="3" applyNumberFormat="1" applyFont="1" applyFill="1" applyBorder="1" applyAlignment="1">
      <alignment horizontal="center"/>
    </xf>
    <xf numFmtId="164" fontId="4" fillId="0" borderId="5" xfId="3" applyNumberFormat="1" applyFont="1" applyFill="1" applyBorder="1" applyAlignment="1">
      <alignment vertical="center"/>
    </xf>
    <xf numFmtId="0" fontId="4" fillId="3" borderId="9" xfId="1" applyFont="1" applyFill="1" applyBorder="1" applyAlignment="1">
      <alignment horizontal="center"/>
    </xf>
    <xf numFmtId="43" fontId="4" fillId="0" borderId="5" xfId="4" applyFont="1" applyFill="1" applyBorder="1" applyAlignment="1">
      <alignment horizontal="center" vertical="center"/>
    </xf>
    <xf numFmtId="165" fontId="5" fillId="5" borderId="5" xfId="2" applyNumberFormat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vertical="center"/>
    </xf>
    <xf numFmtId="0" fontId="2" fillId="5" borderId="5" xfId="2" applyFont="1" applyFill="1" applyBorder="1" applyAlignment="1">
      <alignment vertical="center" wrapText="1"/>
    </xf>
    <xf numFmtId="43" fontId="3" fillId="5" borderId="5" xfId="4" applyFont="1" applyFill="1" applyBorder="1" applyAlignment="1">
      <alignment horizontal="center" vertical="center"/>
    </xf>
    <xf numFmtId="164" fontId="5" fillId="5" borderId="5" xfId="3" applyNumberFormat="1" applyFont="1" applyFill="1" applyBorder="1"/>
    <xf numFmtId="164" fontId="2" fillId="5" borderId="5" xfId="3" applyNumberFormat="1" applyFont="1" applyFill="1" applyBorder="1"/>
    <xf numFmtId="164" fontId="5" fillId="2" borderId="5" xfId="3" applyNumberFormat="1" applyFont="1" applyFill="1" applyBorder="1"/>
    <xf numFmtId="164" fontId="2" fillId="2" borderId="5" xfId="3" applyNumberFormat="1" applyFont="1" applyFill="1" applyBorder="1"/>
    <xf numFmtId="43" fontId="4" fillId="0" borderId="5" xfId="5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2" fillId="6" borderId="5" xfId="2" applyFont="1" applyFill="1" applyBorder="1" applyAlignment="1">
      <alignment vertical="center"/>
    </xf>
    <xf numFmtId="0" fontId="2" fillId="6" borderId="5" xfId="2" applyFont="1" applyFill="1" applyBorder="1" applyAlignment="1">
      <alignment vertical="center" wrapText="1"/>
    </xf>
    <xf numFmtId="0" fontId="2" fillId="7" borderId="5" xfId="2" applyFont="1" applyFill="1" applyBorder="1" applyAlignment="1">
      <alignment vertical="center" wrapText="1"/>
    </xf>
    <xf numFmtId="164" fontId="3" fillId="7" borderId="5" xfId="3" applyNumberFormat="1" applyFont="1" applyFill="1" applyBorder="1"/>
    <xf numFmtId="164" fontId="2" fillId="7" borderId="5" xfId="3" applyNumberFormat="1" applyFont="1" applyFill="1" applyBorder="1"/>
    <xf numFmtId="164" fontId="3" fillId="2" borderId="5" xfId="3" applyNumberFormat="1" applyFont="1" applyFill="1" applyBorder="1"/>
    <xf numFmtId="164" fontId="3" fillId="8" borderId="5" xfId="3" applyNumberFormat="1" applyFont="1" applyFill="1" applyBorder="1"/>
    <xf numFmtId="0" fontId="4" fillId="0" borderId="0" xfId="1" applyFont="1" applyAlignment="1">
      <alignment horizontal="left" vertical="center"/>
    </xf>
    <xf numFmtId="0" fontId="8" fillId="0" borderId="0" xfId="1" applyFont="1"/>
    <xf numFmtId="164" fontId="4" fillId="0" borderId="0" xfId="1" applyNumberFormat="1" applyFont="1"/>
    <xf numFmtId="164" fontId="8" fillId="0" borderId="0" xfId="1" applyNumberFormat="1" applyFont="1"/>
    <xf numFmtId="165" fontId="4" fillId="0" borderId="0" xfId="1" applyNumberFormat="1" applyFont="1"/>
    <xf numFmtId="165" fontId="8" fillId="0" borderId="0" xfId="1" applyNumberFormat="1" applyFont="1"/>
    <xf numFmtId="164" fontId="8" fillId="3" borderId="5" xfId="3" applyNumberFormat="1" applyFont="1" applyFill="1" applyBorder="1"/>
    <xf numFmtId="164" fontId="4" fillId="3" borderId="5" xfId="3" applyNumberFormat="1" applyFont="1" applyFill="1" applyBorder="1" applyAlignment="1">
      <alignment horizontal="center"/>
    </xf>
    <xf numFmtId="3" fontId="9" fillId="9" borderId="7" xfId="1" applyNumberFormat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164" fontId="4" fillId="0" borderId="5" xfId="4" applyNumberFormat="1" applyFont="1" applyFill="1" applyBorder="1" applyAlignment="1">
      <alignment horizontal="center" vertical="center"/>
    </xf>
    <xf numFmtId="164" fontId="3" fillId="2" borderId="5" xfId="3" applyNumberFormat="1" applyFont="1" applyFill="1" applyBorder="1" applyAlignment="1">
      <alignment horizontal="center"/>
    </xf>
    <xf numFmtId="164" fontId="2" fillId="2" borderId="5" xfId="3" applyNumberFormat="1" applyFont="1" applyFill="1" applyBorder="1" applyAlignment="1">
      <alignment horizontal="center"/>
    </xf>
    <xf numFmtId="164" fontId="7" fillId="2" borderId="5" xfId="3" applyNumberFormat="1" applyFont="1" applyFill="1" applyBorder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5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17" fontId="3" fillId="2" borderId="5" xfId="1" applyNumberFormat="1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/>
    </xf>
  </cellXfs>
  <cellStyles count="6">
    <cellStyle name="Comma 2" xfId="3" xr:uid="{E2572D27-0100-491D-911A-1F7A2F7F3046}"/>
    <cellStyle name="Comma 2 2" xfId="4" xr:uid="{720E94FA-AD6E-43F2-AF0E-40DD6A63FCB9}"/>
    <cellStyle name="Comma 2 2 2" xfId="5" xr:uid="{C994315B-3493-4194-B6E1-1C096BC9E6A7}"/>
    <cellStyle name="Normal" xfId="0" builtinId="0"/>
    <cellStyle name="Normal 19" xfId="1" xr:uid="{35783FDD-2A19-4762-9B17-AA14F2B744F6}"/>
    <cellStyle name="Normal 2" xfId="2" xr:uid="{DB4BB92F-45FE-4DB8-A893-4D3C9E016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AB7D-2475-4C0C-A134-5C4AFB2B0DDD}">
  <sheetPr>
    <tabColor rgb="FF00B0F0"/>
  </sheetPr>
  <dimension ref="A1:EG175"/>
  <sheetViews>
    <sheetView tabSelected="1" zoomScale="110" zoomScaleNormal="110" workbookViewId="0">
      <pane xSplit="7" ySplit="4" topLeftCell="DJ5" activePane="bottomRight" state="frozen"/>
      <selection activeCell="B150" sqref="B150"/>
      <selection pane="topRight" activeCell="B150" sqref="B150"/>
      <selection pane="bottomLeft" activeCell="B150" sqref="B150"/>
      <selection pane="bottomRight" activeCell="A74" sqref="A74:XFD74"/>
    </sheetView>
  </sheetViews>
  <sheetFormatPr defaultColWidth="10.5703125" defaultRowHeight="21.75" customHeight="1" x14ac:dyDescent="0.5"/>
  <cols>
    <col min="1" max="1" width="4.42578125" style="51" bestFit="1" customWidth="1"/>
    <col min="2" max="2" width="30" style="51" bestFit="1" customWidth="1"/>
    <col min="3" max="3" width="7.42578125" style="51" bestFit="1" customWidth="1"/>
    <col min="4" max="4" width="7.42578125" style="51" customWidth="1"/>
    <col min="5" max="5" width="5.28515625" style="51" bestFit="1" customWidth="1"/>
    <col min="6" max="6" width="7.7109375" style="51" customWidth="1"/>
    <col min="7" max="7" width="9.42578125" style="51" customWidth="1"/>
    <col min="8" max="33" width="8" style="51" customWidth="1"/>
    <col min="34" max="57" width="8" style="51" hidden="1" customWidth="1"/>
    <col min="58" max="59" width="8" style="51" bestFit="1" customWidth="1"/>
    <col min="60" max="73" width="8" style="51" hidden="1" customWidth="1"/>
    <col min="74" max="74" width="9.140625" style="51" hidden="1" customWidth="1"/>
    <col min="75" max="83" width="8" style="51" hidden="1" customWidth="1"/>
    <col min="84" max="85" width="8" style="51" bestFit="1" customWidth="1"/>
    <col min="86" max="86" width="10.140625" style="2" hidden="1" customWidth="1"/>
    <col min="87" max="87" width="10.140625" style="52" hidden="1" customWidth="1"/>
    <col min="88" max="88" width="10.140625" style="2" hidden="1" customWidth="1"/>
    <col min="89" max="89" width="10.140625" style="52" hidden="1" customWidth="1"/>
    <col min="90" max="90" width="10.140625" style="2" hidden="1" customWidth="1"/>
    <col min="91" max="91" width="10.140625" style="52" hidden="1" customWidth="1"/>
    <col min="92" max="92" width="8.28515625" style="2" hidden="1" customWidth="1"/>
    <col min="93" max="93" width="8.42578125" style="52" hidden="1" customWidth="1"/>
    <col min="94" max="94" width="8" style="2" hidden="1" customWidth="1"/>
    <col min="95" max="95" width="8" style="52" hidden="1" customWidth="1"/>
    <col min="96" max="96" width="8.28515625" style="2" hidden="1" customWidth="1"/>
    <col min="97" max="97" width="8.28515625" style="52" hidden="1" customWidth="1"/>
    <col min="98" max="98" width="8.7109375" style="2" hidden="1" customWidth="1"/>
    <col min="99" max="99" width="8" style="52" hidden="1" customWidth="1"/>
    <col min="100" max="100" width="8" style="2" hidden="1" customWidth="1"/>
    <col min="101" max="101" width="8" style="52" hidden="1" customWidth="1"/>
    <col min="102" max="102" width="8" style="2" hidden="1" customWidth="1"/>
    <col min="103" max="103" width="8" style="52" hidden="1" customWidth="1"/>
    <col min="104" max="104" width="8.140625" style="2" hidden="1" customWidth="1"/>
    <col min="105" max="105" width="8.140625" style="52" hidden="1" customWidth="1"/>
    <col min="106" max="106" width="9.28515625" style="2" hidden="1" customWidth="1"/>
    <col min="107" max="107" width="9.85546875" style="52" hidden="1" customWidth="1"/>
    <col min="108" max="108" width="8.85546875" style="2" hidden="1" customWidth="1"/>
    <col min="109" max="109" width="8.85546875" style="52" hidden="1" customWidth="1"/>
    <col min="110" max="110" width="10.28515625" style="2" customWidth="1"/>
    <col min="111" max="111" width="10.140625" style="52" customWidth="1"/>
    <col min="112" max="112" width="10.140625" style="2" bestFit="1" customWidth="1"/>
    <col min="113" max="113" width="10.140625" style="52" bestFit="1" customWidth="1"/>
    <col min="114" max="114" width="10.140625" style="2" customWidth="1"/>
    <col min="115" max="115" width="10.140625" style="52" customWidth="1"/>
    <col min="116" max="116" width="10.140625" style="2" customWidth="1"/>
    <col min="117" max="117" width="10.140625" style="52" customWidth="1"/>
    <col min="118" max="118" width="8.28515625" style="2" hidden="1" customWidth="1"/>
    <col min="119" max="119" width="8.42578125" style="52" hidden="1" customWidth="1"/>
    <col min="120" max="120" width="8" style="2" hidden="1" customWidth="1"/>
    <col min="121" max="121" width="8" style="52" hidden="1" customWidth="1"/>
    <col min="122" max="122" width="8.28515625" style="2" hidden="1" customWidth="1"/>
    <col min="123" max="123" width="8.28515625" style="52" hidden="1" customWidth="1"/>
    <col min="124" max="124" width="8.7109375" style="2" hidden="1" customWidth="1"/>
    <col min="125" max="125" width="8" style="52" hidden="1" customWidth="1"/>
    <col min="126" max="126" width="8" style="2" hidden="1" customWidth="1"/>
    <col min="127" max="127" width="8" style="52" hidden="1" customWidth="1"/>
    <col min="128" max="128" width="8" style="2" hidden="1" customWidth="1"/>
    <col min="129" max="129" width="8" style="52" hidden="1" customWidth="1"/>
    <col min="130" max="130" width="8.140625" style="2" hidden="1" customWidth="1"/>
    <col min="131" max="131" width="8.140625" style="52" hidden="1" customWidth="1"/>
    <col min="132" max="132" width="9.28515625" style="2" hidden="1" customWidth="1"/>
    <col min="133" max="133" width="9.85546875" style="52" hidden="1" customWidth="1"/>
    <col min="134" max="134" width="8.85546875" style="2" hidden="1" customWidth="1"/>
    <col min="135" max="135" width="8.85546875" style="52" hidden="1" customWidth="1"/>
    <col min="136" max="136" width="10.28515625" style="2" customWidth="1"/>
    <col min="137" max="137" width="10.140625" style="52" customWidth="1"/>
    <col min="138" max="16384" width="10.5703125" style="2"/>
  </cols>
  <sheetData>
    <row r="1" spans="1:137" ht="18" x14ac:dyDescent="0.5">
      <c r="A1" s="71" t="s">
        <v>0</v>
      </c>
      <c r="B1" s="72"/>
      <c r="C1" s="72"/>
      <c r="D1" s="72"/>
      <c r="E1" s="72"/>
      <c r="F1" s="72"/>
      <c r="G1" s="7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65">
        <v>2025</v>
      </c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5">
        <v>2026</v>
      </c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</row>
    <row r="2" spans="1:137" ht="18.75" customHeight="1" x14ac:dyDescent="0.5">
      <c r="A2" s="74" t="s">
        <v>1</v>
      </c>
      <c r="B2" s="76" t="s">
        <v>2</v>
      </c>
      <c r="C2" s="76"/>
      <c r="D2" s="77" t="s">
        <v>3</v>
      </c>
      <c r="E2" s="77" t="s">
        <v>4</v>
      </c>
      <c r="F2" s="77" t="s">
        <v>5</v>
      </c>
      <c r="G2" s="77" t="s">
        <v>6</v>
      </c>
      <c r="H2" s="67">
        <v>44562</v>
      </c>
      <c r="I2" s="67"/>
      <c r="J2" s="67">
        <v>44593</v>
      </c>
      <c r="K2" s="67"/>
      <c r="L2" s="67">
        <v>44621</v>
      </c>
      <c r="M2" s="67"/>
      <c r="N2" s="67">
        <v>44652</v>
      </c>
      <c r="O2" s="67"/>
      <c r="P2" s="67">
        <v>44682</v>
      </c>
      <c r="Q2" s="67"/>
      <c r="R2" s="67">
        <v>44713</v>
      </c>
      <c r="S2" s="67"/>
      <c r="T2" s="67">
        <v>44743</v>
      </c>
      <c r="U2" s="67"/>
      <c r="V2" s="67">
        <v>44774</v>
      </c>
      <c r="W2" s="67"/>
      <c r="X2" s="67">
        <v>44805</v>
      </c>
      <c r="Y2" s="67"/>
      <c r="Z2" s="67">
        <v>44835</v>
      </c>
      <c r="AA2" s="67"/>
      <c r="AB2" s="67">
        <v>44866</v>
      </c>
      <c r="AC2" s="67"/>
      <c r="AD2" s="67">
        <v>44896</v>
      </c>
      <c r="AE2" s="67"/>
      <c r="AF2" s="70" t="s">
        <v>7</v>
      </c>
      <c r="AG2" s="70"/>
      <c r="AH2" s="67">
        <v>44927</v>
      </c>
      <c r="AI2" s="67"/>
      <c r="AJ2" s="67">
        <v>44958</v>
      </c>
      <c r="AK2" s="67"/>
      <c r="AL2" s="67">
        <v>44986</v>
      </c>
      <c r="AM2" s="67"/>
      <c r="AN2" s="67">
        <v>45017</v>
      </c>
      <c r="AO2" s="67"/>
      <c r="AP2" s="67">
        <v>45047</v>
      </c>
      <c r="AQ2" s="67"/>
      <c r="AR2" s="67">
        <v>45078</v>
      </c>
      <c r="AS2" s="67"/>
      <c r="AT2" s="67">
        <v>45108</v>
      </c>
      <c r="AU2" s="67"/>
      <c r="AV2" s="67">
        <v>45139</v>
      </c>
      <c r="AW2" s="67"/>
      <c r="AX2" s="67">
        <v>45170</v>
      </c>
      <c r="AY2" s="67"/>
      <c r="AZ2" s="67">
        <v>45200</v>
      </c>
      <c r="BA2" s="67"/>
      <c r="BB2" s="67">
        <v>45231</v>
      </c>
      <c r="BC2" s="67"/>
      <c r="BD2" s="67">
        <v>45261</v>
      </c>
      <c r="BE2" s="67"/>
      <c r="BF2" s="70" t="s">
        <v>8</v>
      </c>
      <c r="BG2" s="70"/>
      <c r="BH2" s="67">
        <v>45292</v>
      </c>
      <c r="BI2" s="67"/>
      <c r="BJ2" s="67">
        <v>45323</v>
      </c>
      <c r="BK2" s="67"/>
      <c r="BL2" s="67">
        <v>45352</v>
      </c>
      <c r="BM2" s="67"/>
      <c r="BN2" s="67">
        <v>45383</v>
      </c>
      <c r="BO2" s="67"/>
      <c r="BP2" s="67">
        <v>45413</v>
      </c>
      <c r="BQ2" s="67"/>
      <c r="BR2" s="67">
        <v>45444</v>
      </c>
      <c r="BS2" s="67"/>
      <c r="BT2" s="67">
        <v>45474</v>
      </c>
      <c r="BU2" s="67"/>
      <c r="BV2" s="67">
        <v>45505</v>
      </c>
      <c r="BW2" s="67"/>
      <c r="BX2" s="67">
        <v>45536</v>
      </c>
      <c r="BY2" s="67"/>
      <c r="BZ2" s="67">
        <v>45566</v>
      </c>
      <c r="CA2" s="67"/>
      <c r="CB2" s="67">
        <v>45597</v>
      </c>
      <c r="CC2" s="67"/>
      <c r="CD2" s="67">
        <v>45627</v>
      </c>
      <c r="CE2" s="67"/>
      <c r="CF2" s="70" t="s">
        <v>9</v>
      </c>
      <c r="CG2" s="70"/>
      <c r="CH2" s="67">
        <v>45658</v>
      </c>
      <c r="CI2" s="67"/>
      <c r="CJ2" s="67">
        <v>45689</v>
      </c>
      <c r="CK2" s="67"/>
      <c r="CL2" s="67">
        <v>45717</v>
      </c>
      <c r="CM2" s="67"/>
      <c r="CN2" s="67">
        <v>45748</v>
      </c>
      <c r="CO2" s="67"/>
      <c r="CP2" s="67">
        <v>45778</v>
      </c>
      <c r="CQ2" s="67"/>
      <c r="CR2" s="67">
        <v>45809</v>
      </c>
      <c r="CS2" s="67"/>
      <c r="CT2" s="67">
        <v>45839</v>
      </c>
      <c r="CU2" s="67"/>
      <c r="CV2" s="67">
        <v>45870</v>
      </c>
      <c r="CW2" s="67"/>
      <c r="CX2" s="67">
        <v>45901</v>
      </c>
      <c r="CY2" s="67"/>
      <c r="CZ2" s="67">
        <v>45931</v>
      </c>
      <c r="DA2" s="67"/>
      <c r="DB2" s="67">
        <v>45962</v>
      </c>
      <c r="DC2" s="67"/>
      <c r="DD2" s="67">
        <v>45992</v>
      </c>
      <c r="DE2" s="67"/>
      <c r="DF2" s="69" t="s">
        <v>10</v>
      </c>
      <c r="DG2" s="69"/>
      <c r="DH2" s="67">
        <v>46023</v>
      </c>
      <c r="DI2" s="67"/>
      <c r="DJ2" s="67">
        <v>46054</v>
      </c>
      <c r="DK2" s="67"/>
      <c r="DL2" s="67">
        <v>46082</v>
      </c>
      <c r="DM2" s="67"/>
      <c r="DN2" s="67">
        <v>46113</v>
      </c>
      <c r="DO2" s="67"/>
      <c r="DP2" s="67">
        <v>46143</v>
      </c>
      <c r="DQ2" s="67"/>
      <c r="DR2" s="67">
        <v>46174</v>
      </c>
      <c r="DS2" s="67"/>
      <c r="DT2" s="67">
        <v>46204</v>
      </c>
      <c r="DU2" s="67"/>
      <c r="DV2" s="67">
        <v>46235</v>
      </c>
      <c r="DW2" s="67"/>
      <c r="DX2" s="67">
        <v>46266</v>
      </c>
      <c r="DY2" s="67"/>
      <c r="DZ2" s="67">
        <v>46296</v>
      </c>
      <c r="EA2" s="67"/>
      <c r="EB2" s="67">
        <v>46327</v>
      </c>
      <c r="EC2" s="67"/>
      <c r="ED2" s="67">
        <v>46357</v>
      </c>
      <c r="EE2" s="67"/>
      <c r="EF2" s="68" t="s">
        <v>139</v>
      </c>
      <c r="EG2" s="68"/>
    </row>
    <row r="3" spans="1:137" ht="18.75" customHeight="1" x14ac:dyDescent="0.5">
      <c r="A3" s="75"/>
      <c r="B3" s="76"/>
      <c r="C3" s="76"/>
      <c r="D3" s="77"/>
      <c r="E3" s="77"/>
      <c r="F3" s="77"/>
      <c r="G3" s="77"/>
      <c r="H3" s="3" t="s">
        <v>11</v>
      </c>
      <c r="I3" s="5" t="s">
        <v>12</v>
      </c>
      <c r="J3" s="3" t="s">
        <v>11</v>
      </c>
      <c r="K3" s="5" t="s">
        <v>12</v>
      </c>
      <c r="L3" s="3" t="s">
        <v>11</v>
      </c>
      <c r="M3" s="5" t="s">
        <v>12</v>
      </c>
      <c r="N3" s="3" t="s">
        <v>11</v>
      </c>
      <c r="O3" s="5" t="s">
        <v>12</v>
      </c>
      <c r="P3" s="3" t="s">
        <v>11</v>
      </c>
      <c r="Q3" s="5" t="s">
        <v>12</v>
      </c>
      <c r="R3" s="3" t="s">
        <v>11</v>
      </c>
      <c r="S3" s="5" t="s">
        <v>12</v>
      </c>
      <c r="T3" s="3" t="s">
        <v>11</v>
      </c>
      <c r="U3" s="5" t="s">
        <v>12</v>
      </c>
      <c r="V3" s="3" t="s">
        <v>11</v>
      </c>
      <c r="W3" s="5" t="s">
        <v>12</v>
      </c>
      <c r="X3" s="3" t="s">
        <v>11</v>
      </c>
      <c r="Y3" s="5" t="s">
        <v>12</v>
      </c>
      <c r="Z3" s="3" t="s">
        <v>11</v>
      </c>
      <c r="AA3" s="5" t="s">
        <v>12</v>
      </c>
      <c r="AB3" s="3" t="s">
        <v>11</v>
      </c>
      <c r="AC3" s="5" t="s">
        <v>12</v>
      </c>
      <c r="AD3" s="3" t="s">
        <v>11</v>
      </c>
      <c r="AE3" s="5" t="s">
        <v>12</v>
      </c>
      <c r="AF3" s="4" t="s">
        <v>11</v>
      </c>
      <c r="AG3" s="6" t="s">
        <v>12</v>
      </c>
      <c r="AH3" s="3" t="s">
        <v>11</v>
      </c>
      <c r="AI3" s="5" t="s">
        <v>12</v>
      </c>
      <c r="AJ3" s="3" t="s">
        <v>11</v>
      </c>
      <c r="AK3" s="5" t="s">
        <v>12</v>
      </c>
      <c r="AL3" s="3" t="s">
        <v>11</v>
      </c>
      <c r="AM3" s="5" t="s">
        <v>12</v>
      </c>
      <c r="AN3" s="3" t="s">
        <v>11</v>
      </c>
      <c r="AO3" s="5" t="s">
        <v>12</v>
      </c>
      <c r="AP3" s="3" t="s">
        <v>11</v>
      </c>
      <c r="AQ3" s="5" t="s">
        <v>12</v>
      </c>
      <c r="AR3" s="3" t="s">
        <v>11</v>
      </c>
      <c r="AS3" s="5" t="s">
        <v>12</v>
      </c>
      <c r="AT3" s="3" t="s">
        <v>11</v>
      </c>
      <c r="AU3" s="5" t="s">
        <v>12</v>
      </c>
      <c r="AV3" s="3" t="s">
        <v>11</v>
      </c>
      <c r="AW3" s="5" t="s">
        <v>12</v>
      </c>
      <c r="AX3" s="3" t="s">
        <v>11</v>
      </c>
      <c r="AY3" s="5" t="s">
        <v>12</v>
      </c>
      <c r="AZ3" s="3" t="s">
        <v>11</v>
      </c>
      <c r="BA3" s="5" t="s">
        <v>12</v>
      </c>
      <c r="BB3" s="3" t="s">
        <v>11</v>
      </c>
      <c r="BC3" s="5" t="s">
        <v>12</v>
      </c>
      <c r="BD3" s="3" t="s">
        <v>11</v>
      </c>
      <c r="BE3" s="5" t="s">
        <v>12</v>
      </c>
      <c r="BF3" s="4" t="s">
        <v>11</v>
      </c>
      <c r="BG3" s="6" t="s">
        <v>12</v>
      </c>
      <c r="BH3" s="3" t="s">
        <v>11</v>
      </c>
      <c r="BI3" s="5" t="s">
        <v>12</v>
      </c>
      <c r="BJ3" s="3" t="s">
        <v>11</v>
      </c>
      <c r="BK3" s="5" t="s">
        <v>12</v>
      </c>
      <c r="BL3" s="3" t="s">
        <v>11</v>
      </c>
      <c r="BM3" s="5" t="s">
        <v>12</v>
      </c>
      <c r="BN3" s="3" t="s">
        <v>11</v>
      </c>
      <c r="BO3" s="5" t="s">
        <v>12</v>
      </c>
      <c r="BP3" s="3" t="s">
        <v>11</v>
      </c>
      <c r="BQ3" s="5" t="s">
        <v>12</v>
      </c>
      <c r="BR3" s="3" t="s">
        <v>11</v>
      </c>
      <c r="BS3" s="5" t="s">
        <v>12</v>
      </c>
      <c r="BT3" s="3" t="s">
        <v>11</v>
      </c>
      <c r="BU3" s="5" t="s">
        <v>12</v>
      </c>
      <c r="BV3" s="3" t="s">
        <v>11</v>
      </c>
      <c r="BW3" s="5" t="s">
        <v>12</v>
      </c>
      <c r="BX3" s="3" t="s">
        <v>11</v>
      </c>
      <c r="BY3" s="5" t="s">
        <v>12</v>
      </c>
      <c r="BZ3" s="3" t="s">
        <v>11</v>
      </c>
      <c r="CA3" s="5" t="s">
        <v>12</v>
      </c>
      <c r="CB3" s="3" t="s">
        <v>11</v>
      </c>
      <c r="CC3" s="5" t="s">
        <v>12</v>
      </c>
      <c r="CD3" s="3" t="s">
        <v>11</v>
      </c>
      <c r="CE3" s="5" t="s">
        <v>12</v>
      </c>
      <c r="CF3" s="4" t="s">
        <v>11</v>
      </c>
      <c r="CG3" s="6" t="s">
        <v>12</v>
      </c>
      <c r="CH3" s="7" t="s">
        <v>11</v>
      </c>
      <c r="CI3" s="8" t="s">
        <v>12</v>
      </c>
      <c r="CJ3" s="7" t="s">
        <v>11</v>
      </c>
      <c r="CK3" s="8" t="s">
        <v>12</v>
      </c>
      <c r="CL3" s="7" t="s">
        <v>11</v>
      </c>
      <c r="CM3" s="8" t="s">
        <v>12</v>
      </c>
      <c r="CN3" s="7" t="s">
        <v>11</v>
      </c>
      <c r="CO3" s="8" t="s">
        <v>12</v>
      </c>
      <c r="CP3" s="7" t="s">
        <v>11</v>
      </c>
      <c r="CQ3" s="8" t="s">
        <v>12</v>
      </c>
      <c r="CR3" s="7" t="s">
        <v>11</v>
      </c>
      <c r="CS3" s="8" t="s">
        <v>12</v>
      </c>
      <c r="CT3" s="7"/>
      <c r="CU3" s="8" t="s">
        <v>12</v>
      </c>
      <c r="CV3" s="7" t="s">
        <v>11</v>
      </c>
      <c r="CW3" s="8" t="s">
        <v>12</v>
      </c>
      <c r="CX3" s="7" t="s">
        <v>11</v>
      </c>
      <c r="CY3" s="8" t="s">
        <v>12</v>
      </c>
      <c r="CZ3" s="7" t="s">
        <v>11</v>
      </c>
      <c r="DA3" s="8" t="s">
        <v>12</v>
      </c>
      <c r="DB3" s="7" t="s">
        <v>11</v>
      </c>
      <c r="DC3" s="8" t="s">
        <v>12</v>
      </c>
      <c r="DD3" s="7" t="s">
        <v>11</v>
      </c>
      <c r="DE3" s="8" t="s">
        <v>12</v>
      </c>
      <c r="DF3" s="62" t="s">
        <v>11</v>
      </c>
      <c r="DG3" s="63" t="s">
        <v>12</v>
      </c>
      <c r="DH3" s="7" t="s">
        <v>11</v>
      </c>
      <c r="DI3" s="8" t="s">
        <v>12</v>
      </c>
      <c r="DJ3" s="7" t="s">
        <v>11</v>
      </c>
      <c r="DK3" s="8" t="s">
        <v>12</v>
      </c>
      <c r="DL3" s="7" t="s">
        <v>11</v>
      </c>
      <c r="DM3" s="8" t="s">
        <v>12</v>
      </c>
      <c r="DN3" s="7" t="s">
        <v>11</v>
      </c>
      <c r="DO3" s="8" t="s">
        <v>12</v>
      </c>
      <c r="DP3" s="7" t="s">
        <v>11</v>
      </c>
      <c r="DQ3" s="8" t="s">
        <v>12</v>
      </c>
      <c r="DR3" s="7" t="s">
        <v>11</v>
      </c>
      <c r="DS3" s="8" t="s">
        <v>12</v>
      </c>
      <c r="DT3" s="7"/>
      <c r="DU3" s="8" t="s">
        <v>12</v>
      </c>
      <c r="DV3" s="7" t="s">
        <v>11</v>
      </c>
      <c r="DW3" s="8" t="s">
        <v>12</v>
      </c>
      <c r="DX3" s="7" t="s">
        <v>11</v>
      </c>
      <c r="DY3" s="8" t="s">
        <v>12</v>
      </c>
      <c r="DZ3" s="7" t="s">
        <v>11</v>
      </c>
      <c r="EA3" s="8" t="s">
        <v>12</v>
      </c>
      <c r="EB3" s="7" t="s">
        <v>11</v>
      </c>
      <c r="EC3" s="8" t="s">
        <v>12</v>
      </c>
      <c r="ED3" s="7" t="s">
        <v>11</v>
      </c>
      <c r="EE3" s="8" t="s">
        <v>12</v>
      </c>
      <c r="EF3" s="7" t="s">
        <v>11</v>
      </c>
      <c r="EG3" s="9" t="s">
        <v>12</v>
      </c>
    </row>
    <row r="4" spans="1:137" ht="18" customHeight="1" x14ac:dyDescent="0.5">
      <c r="A4" s="10">
        <v>1</v>
      </c>
      <c r="B4" s="11" t="s">
        <v>13</v>
      </c>
      <c r="C4" s="11" t="s">
        <v>14</v>
      </c>
      <c r="D4" s="10">
        <f>RANK(DF4,$DF$4:$DF$147)</f>
        <v>9</v>
      </c>
      <c r="E4" s="10">
        <v>0.7</v>
      </c>
      <c r="F4" s="10" t="s">
        <v>15</v>
      </c>
      <c r="G4" s="10">
        <v>2220</v>
      </c>
      <c r="H4" s="12">
        <v>7044</v>
      </c>
      <c r="I4" s="13">
        <f>H4*$E4</f>
        <v>4930.7999999999993</v>
      </c>
      <c r="J4" s="12">
        <v>29058</v>
      </c>
      <c r="K4" s="13">
        <f>J4*$E4</f>
        <v>20340.599999999999</v>
      </c>
      <c r="L4" s="12">
        <v>9060</v>
      </c>
      <c r="M4" s="13">
        <f>L4*$E4</f>
        <v>6342</v>
      </c>
      <c r="N4" s="12">
        <f>480+9348</f>
        <v>9828</v>
      </c>
      <c r="O4" s="13">
        <f>N4*$E4</f>
        <v>6879.5999999999995</v>
      </c>
      <c r="P4" s="12">
        <v>3240</v>
      </c>
      <c r="Q4" s="13">
        <f>P4*$E4</f>
        <v>2268</v>
      </c>
      <c r="R4" s="12">
        <v>7611</v>
      </c>
      <c r="S4" s="13">
        <f>R4*$E4</f>
        <v>5327.7</v>
      </c>
      <c r="T4" s="12">
        <v>4356</v>
      </c>
      <c r="U4" s="13">
        <f>T4*$E4</f>
        <v>3049.2</v>
      </c>
      <c r="V4" s="12">
        <v>6353</v>
      </c>
      <c r="W4" s="13">
        <f>V4*$E4</f>
        <v>4447.0999999999995</v>
      </c>
      <c r="X4" s="12">
        <v>3384</v>
      </c>
      <c r="Y4" s="13">
        <f>X4*$E4</f>
        <v>2368.7999999999997</v>
      </c>
      <c r="Z4" s="12">
        <v>2831</v>
      </c>
      <c r="AA4" s="13">
        <f>Z4*$E4</f>
        <v>1981.6999999999998</v>
      </c>
      <c r="AB4" s="12">
        <v>5556</v>
      </c>
      <c r="AC4" s="13">
        <f>AB4*$E4</f>
        <v>3889.2</v>
      </c>
      <c r="AD4" s="12">
        <v>4176</v>
      </c>
      <c r="AE4" s="13">
        <f>AD4*$E4</f>
        <v>2923.2</v>
      </c>
      <c r="AF4" s="14">
        <f>(AD4+AB4+Z4+X4+V4+T4+R4+P4+N4+L4+J4+H4)/12</f>
        <v>7708.083333333333</v>
      </c>
      <c r="AG4" s="15">
        <f>AF4*$E4</f>
        <v>5395.6583333333328</v>
      </c>
      <c r="AH4" s="16">
        <v>5472</v>
      </c>
      <c r="AI4" s="13">
        <f>AH4*$E4</f>
        <v>3830.3999999999996</v>
      </c>
      <c r="AJ4" s="17">
        <v>1265</v>
      </c>
      <c r="AK4" s="13">
        <f>AJ4*$E4</f>
        <v>885.5</v>
      </c>
      <c r="AL4" s="17">
        <v>3960</v>
      </c>
      <c r="AM4" s="13">
        <f>AL4*$E4</f>
        <v>2772</v>
      </c>
      <c r="AN4" s="18">
        <v>6888</v>
      </c>
      <c r="AO4" s="13">
        <f>AN4*$E4</f>
        <v>4821.5999999999995</v>
      </c>
      <c r="AP4" s="17">
        <v>3792</v>
      </c>
      <c r="AQ4" s="13">
        <f>AP4*$E4</f>
        <v>2654.3999999999996</v>
      </c>
      <c r="AR4" s="17">
        <v>1872</v>
      </c>
      <c r="AS4" s="13">
        <f>AR4*$E4</f>
        <v>1310.3999999999999</v>
      </c>
      <c r="AT4" s="19">
        <v>1500</v>
      </c>
      <c r="AU4" s="13">
        <f>AT4*$E4</f>
        <v>1050</v>
      </c>
      <c r="AV4" s="17">
        <v>3600</v>
      </c>
      <c r="AW4" s="13">
        <f>AV4*$E4</f>
        <v>2520</v>
      </c>
      <c r="AX4" s="17">
        <v>1896</v>
      </c>
      <c r="AY4" s="13">
        <f>AX4*$E4</f>
        <v>1327.1999999999998</v>
      </c>
      <c r="AZ4" s="19">
        <v>3168</v>
      </c>
      <c r="BA4" s="13">
        <f>AZ4*$E4</f>
        <v>2217.6</v>
      </c>
      <c r="BB4" s="20">
        <v>3168</v>
      </c>
      <c r="BC4" s="13">
        <f>BB4*$E4</f>
        <v>2217.6</v>
      </c>
      <c r="BD4" s="20">
        <v>3168</v>
      </c>
      <c r="BE4" s="13">
        <f>BD4*$E4</f>
        <v>2217.6</v>
      </c>
      <c r="BF4" s="14">
        <f>(BD4+BB4+AZ4+AX4+AV4+AT4+AR4+AP4+AN4+AL4+AJ4+AH4)/12</f>
        <v>3312.4166666666665</v>
      </c>
      <c r="BG4" s="15">
        <f>BF4*$E4</f>
        <v>2318.6916666666666</v>
      </c>
      <c r="BH4" s="23">
        <v>3696</v>
      </c>
      <c r="BI4" s="57">
        <f>BH4*$E4</f>
        <v>2587.1999999999998</v>
      </c>
      <c r="BJ4" s="23">
        <v>2892</v>
      </c>
      <c r="BK4" s="57">
        <f>BJ4*$E4</f>
        <v>2024.3999999999999</v>
      </c>
      <c r="BL4" s="23">
        <v>2748</v>
      </c>
      <c r="BM4" s="57">
        <f>BL4*$E4</f>
        <v>1923.6</v>
      </c>
      <c r="BN4" s="23">
        <v>3288</v>
      </c>
      <c r="BO4" s="57">
        <f>BN4*$E4</f>
        <v>2301.6</v>
      </c>
      <c r="BP4" s="23">
        <v>1764</v>
      </c>
      <c r="BQ4" s="57">
        <f>BP4*$E4</f>
        <v>1234.8</v>
      </c>
      <c r="BR4" s="21">
        <v>3144</v>
      </c>
      <c r="BS4" s="57">
        <f>BR4*$E4</f>
        <v>2200.7999999999997</v>
      </c>
      <c r="BT4" s="21">
        <v>3696</v>
      </c>
      <c r="BU4" s="57">
        <f>BT4*$E4</f>
        <v>2587.1999999999998</v>
      </c>
      <c r="BV4" s="22">
        <v>3840</v>
      </c>
      <c r="BW4" s="57">
        <f>BV4*$E4</f>
        <v>2688</v>
      </c>
      <c r="BX4" s="58">
        <v>756</v>
      </c>
      <c r="BY4" s="57">
        <f>BX4*$E4</f>
        <v>529.19999999999993</v>
      </c>
      <c r="BZ4" s="59">
        <v>3636</v>
      </c>
      <c r="CA4" s="57">
        <f>BZ4*$E4</f>
        <v>2545.1999999999998</v>
      </c>
      <c r="CB4" s="23">
        <v>2556</v>
      </c>
      <c r="CC4" s="57">
        <f>CB4*$E4</f>
        <v>1789.1999999999998</v>
      </c>
      <c r="CD4" s="23">
        <v>4626</v>
      </c>
      <c r="CE4" s="57">
        <f>CD4*$E4</f>
        <v>3238.2</v>
      </c>
      <c r="CF4" s="14">
        <f>(CD4+CB4+BZ4+BX4+BV4+BT4+BR4+BP4+BN4+BL4+BJ4+BH4)/12</f>
        <v>3053.5</v>
      </c>
      <c r="CG4" s="15">
        <f>CF4*$E4</f>
        <v>2137.4499999999998</v>
      </c>
      <c r="CH4" s="18">
        <v>528</v>
      </c>
      <c r="CI4" s="13">
        <f>CH4*$E4</f>
        <v>369.59999999999997</v>
      </c>
      <c r="CJ4" s="12">
        <v>1716</v>
      </c>
      <c r="CK4" s="13">
        <f>CJ4*$E4</f>
        <v>1201.1999999999998</v>
      </c>
      <c r="CL4" s="12">
        <v>2772</v>
      </c>
      <c r="CM4" s="13">
        <f>CL4*$E4</f>
        <v>1940.3999999999999</v>
      </c>
      <c r="CN4" s="12">
        <v>3960</v>
      </c>
      <c r="CO4" s="13">
        <v>2772</v>
      </c>
      <c r="CP4" s="12">
        <v>1632</v>
      </c>
      <c r="CQ4" s="13">
        <f>CP4*E4</f>
        <v>1142.3999999999999</v>
      </c>
      <c r="CR4" s="12">
        <v>1092</v>
      </c>
      <c r="CS4" s="13">
        <f>CR4*$E4</f>
        <v>764.4</v>
      </c>
      <c r="CT4" s="12">
        <v>1764</v>
      </c>
      <c r="CU4" s="13">
        <f>CT4*$E4</f>
        <v>1234.8</v>
      </c>
      <c r="CV4" s="12">
        <v>3096</v>
      </c>
      <c r="CW4" s="13">
        <f>CV4*$E4</f>
        <v>2167.1999999999998</v>
      </c>
      <c r="CX4" s="12">
        <v>1392</v>
      </c>
      <c r="CY4" s="13">
        <f>CX4*$E4</f>
        <v>974.4</v>
      </c>
      <c r="CZ4" s="12">
        <v>588</v>
      </c>
      <c r="DA4" s="13">
        <f>CZ4*$E4</f>
        <v>411.59999999999997</v>
      </c>
      <c r="DB4" s="12">
        <v>3996</v>
      </c>
      <c r="DC4" s="13">
        <f>DB4*$E4</f>
        <v>2797.2</v>
      </c>
      <c r="DD4" s="12">
        <v>24</v>
      </c>
      <c r="DE4" s="13">
        <f t="shared" ref="DC4:DE68" si="0">DD4*$E4</f>
        <v>16.799999999999997</v>
      </c>
      <c r="DF4" s="64">
        <f>SUM(CH4,CJ4,CL4,CN4,CP4,CR4,CT4,CV4,CX4,CZ4,DB4,DD4)</f>
        <v>22560</v>
      </c>
      <c r="DG4" s="15">
        <f>DF4*$E4</f>
        <v>15791.999999999998</v>
      </c>
      <c r="DH4" s="18">
        <v>3516</v>
      </c>
      <c r="DI4" s="13">
        <f>DH4*$E4</f>
        <v>2461.1999999999998</v>
      </c>
      <c r="DJ4" s="12">
        <v>1392</v>
      </c>
      <c r="DK4" s="13">
        <f t="shared" ref="DK4:DK68" si="1">DJ4*$E4</f>
        <v>974.4</v>
      </c>
      <c r="DL4" s="12">
        <v>1236</v>
      </c>
      <c r="DM4" s="13">
        <f>DL4*$E4</f>
        <v>865.19999999999993</v>
      </c>
      <c r="DN4" s="12"/>
      <c r="DO4" s="13">
        <f t="shared" ref="DO4:DO63" si="2">DN4*$E4</f>
        <v>0</v>
      </c>
      <c r="DP4" s="12"/>
      <c r="DQ4" s="13">
        <f>DP4*AE4</f>
        <v>0</v>
      </c>
      <c r="DR4" s="12"/>
      <c r="DS4" s="13">
        <f>DR4*$E4</f>
        <v>0</v>
      </c>
      <c r="DT4" s="12"/>
      <c r="DU4" s="13">
        <f>DT4*$E4</f>
        <v>0</v>
      </c>
      <c r="DV4" s="12"/>
      <c r="DW4" s="13">
        <f>DV4*$E4</f>
        <v>0</v>
      </c>
      <c r="DX4" s="12"/>
      <c r="DY4" s="13">
        <f>DX4*$E4</f>
        <v>0</v>
      </c>
      <c r="DZ4" s="12"/>
      <c r="EA4" s="13">
        <f>DZ4*$E4</f>
        <v>0</v>
      </c>
      <c r="EB4" s="12"/>
      <c r="EC4" s="13">
        <f>EB4*$E4</f>
        <v>0</v>
      </c>
      <c r="ED4" s="12"/>
      <c r="EE4" s="13">
        <f t="shared" ref="EE4:EE68" si="3">ED4*$E4</f>
        <v>0</v>
      </c>
      <c r="EF4" s="24">
        <f>SUM(DH4,DJ4,DL4,DN4,DP4,DR4,DT4,DV4,DX4,DZ4,EB4,ED4)</f>
        <v>6144</v>
      </c>
      <c r="EG4" s="13">
        <f>EF4*$E4</f>
        <v>4300.7999999999993</v>
      </c>
    </row>
    <row r="5" spans="1:137" ht="18" customHeight="1" x14ac:dyDescent="0.5">
      <c r="A5" s="10"/>
      <c r="B5" s="11"/>
      <c r="C5" s="11"/>
      <c r="D5" s="10"/>
      <c r="E5" s="10"/>
      <c r="F5" s="10"/>
      <c r="G5" s="10"/>
      <c r="H5" s="12"/>
      <c r="I5" s="13">
        <f t="shared" ref="I5:I73" si="4">H5*$E5</f>
        <v>0</v>
      </c>
      <c r="J5" s="12"/>
      <c r="K5" s="13">
        <f t="shared" ref="K5:K73" si="5">J5*$E5</f>
        <v>0</v>
      </c>
      <c r="L5" s="12"/>
      <c r="M5" s="13">
        <f t="shared" ref="M5:M73" si="6">L5*$E5</f>
        <v>0</v>
      </c>
      <c r="N5" s="12"/>
      <c r="O5" s="13">
        <f t="shared" ref="O5:O73" si="7">N5*$E5</f>
        <v>0</v>
      </c>
      <c r="P5" s="12"/>
      <c r="Q5" s="13">
        <f t="shared" ref="Q5:Q73" si="8">P5*$E5</f>
        <v>0</v>
      </c>
      <c r="R5" s="12"/>
      <c r="S5" s="13">
        <f t="shared" ref="S5:S73" si="9">R5*$E5</f>
        <v>0</v>
      </c>
      <c r="T5" s="12"/>
      <c r="U5" s="13">
        <f t="shared" ref="U5:U73" si="10">T5*$E5</f>
        <v>0</v>
      </c>
      <c r="V5" s="12"/>
      <c r="W5" s="13">
        <f t="shared" ref="W5:W73" si="11">V5*$E5</f>
        <v>0</v>
      </c>
      <c r="X5" s="12"/>
      <c r="Y5" s="13">
        <f t="shared" ref="Y5:Y73" si="12">X5*$E5</f>
        <v>0</v>
      </c>
      <c r="Z5" s="12"/>
      <c r="AA5" s="13">
        <f t="shared" ref="AA5:AA73" si="13">Z5*$E5</f>
        <v>0</v>
      </c>
      <c r="AB5" s="12"/>
      <c r="AC5" s="13">
        <f t="shared" ref="AC5:AC73" si="14">AB5*$E5</f>
        <v>0</v>
      </c>
      <c r="AD5" s="12"/>
      <c r="AE5" s="13">
        <f t="shared" ref="AE5:AE73" si="15">AD5*$E5</f>
        <v>0</v>
      </c>
      <c r="AF5" s="14">
        <f t="shared" ref="AF5:AF70" si="16">(AD5+AB5+Z5+X5+V5+T5+R5+P5+N5+L5+J5+H5)/12</f>
        <v>0</v>
      </c>
      <c r="AG5" s="15">
        <f t="shared" ref="AG5:AG73" si="17">AF5*$E5</f>
        <v>0</v>
      </c>
      <c r="AH5" s="16"/>
      <c r="AI5" s="13">
        <f t="shared" ref="AI5:AI73" si="18">AH5*$E5</f>
        <v>0</v>
      </c>
      <c r="AJ5" s="17"/>
      <c r="AK5" s="13">
        <f t="shared" ref="AK5:AK73" si="19">AJ5*$E5</f>
        <v>0</v>
      </c>
      <c r="AL5" s="17"/>
      <c r="AM5" s="13">
        <f t="shared" ref="AM5:AM73" si="20">AL5*$E5</f>
        <v>0</v>
      </c>
      <c r="AN5" s="18"/>
      <c r="AO5" s="13">
        <f t="shared" ref="AO5:AO73" si="21">AN5*$E5</f>
        <v>0</v>
      </c>
      <c r="AP5" s="17"/>
      <c r="AQ5" s="13">
        <f t="shared" ref="AQ5:AQ73" si="22">AP5*$E5</f>
        <v>0</v>
      </c>
      <c r="AR5" s="17"/>
      <c r="AS5" s="13">
        <f t="shared" ref="AS5:AS73" si="23">AR5*$E5</f>
        <v>0</v>
      </c>
      <c r="AT5" s="19"/>
      <c r="AU5" s="13">
        <f t="shared" ref="AU5:AU73" si="24">AT5*$E5</f>
        <v>0</v>
      </c>
      <c r="AV5" s="17"/>
      <c r="AW5" s="13">
        <f t="shared" ref="AW5:AW73" si="25">AV5*$E5</f>
        <v>0</v>
      </c>
      <c r="AX5" s="17"/>
      <c r="AY5" s="13">
        <f t="shared" ref="AY5:AY73" si="26">AX5*$E5</f>
        <v>0</v>
      </c>
      <c r="AZ5" s="19"/>
      <c r="BA5" s="13">
        <f t="shared" ref="BA5:BA73" si="27">AZ5*$E5</f>
        <v>0</v>
      </c>
      <c r="BB5" s="20"/>
      <c r="BC5" s="13">
        <f t="shared" ref="BC5:BC73" si="28">BB5*$E5</f>
        <v>0</v>
      </c>
      <c r="BD5" s="20"/>
      <c r="BE5" s="13">
        <f t="shared" ref="BE5:BE73" si="29">BD5*$E5</f>
        <v>0</v>
      </c>
      <c r="BF5" s="14">
        <f t="shared" ref="BF5:BF70" si="30">(BD5+BB5+AZ5+AX5+AV5+AT5+AR5+AP5+AN5+AL5+AJ5+AH5)/12</f>
        <v>0</v>
      </c>
      <c r="BG5" s="15">
        <f t="shared" ref="BG5:BG73" si="31">BF5*$E5</f>
        <v>0</v>
      </c>
      <c r="BH5" s="18"/>
      <c r="BI5" s="57">
        <f t="shared" ref="BI5:BI73" si="32">BH5*$E5</f>
        <v>0</v>
      </c>
      <c r="BJ5" s="18"/>
      <c r="BK5" s="57">
        <f t="shared" ref="BK5:BK73" si="33">BJ5*$E5</f>
        <v>0</v>
      </c>
      <c r="BL5" s="18"/>
      <c r="BM5" s="57">
        <f t="shared" ref="BM5:BM73" si="34">BL5*$E5</f>
        <v>0</v>
      </c>
      <c r="BN5" s="18"/>
      <c r="BO5" s="57">
        <f t="shared" ref="BO5:BO73" si="35">BN5*$E5</f>
        <v>0</v>
      </c>
      <c r="BP5" s="18"/>
      <c r="BQ5" s="57">
        <f t="shared" ref="BQ5:BQ73" si="36">BP5*$E5</f>
        <v>0</v>
      </c>
      <c r="BR5" s="18"/>
      <c r="BS5" s="57">
        <f t="shared" ref="BS5:BS73" si="37">BR5*$E5</f>
        <v>0</v>
      </c>
      <c r="BT5" s="18"/>
      <c r="BU5" s="57">
        <f t="shared" ref="BU5:BU73" si="38">BT5*$E5</f>
        <v>0</v>
      </c>
      <c r="BV5" s="18"/>
      <c r="BW5" s="57">
        <f t="shared" ref="BW5:BW73" si="39">BV5*$E5</f>
        <v>0</v>
      </c>
      <c r="BX5" s="18"/>
      <c r="BY5" s="57">
        <f t="shared" ref="BY5:BY73" si="40">BX5*$E5</f>
        <v>0</v>
      </c>
      <c r="BZ5" s="18"/>
      <c r="CA5" s="57">
        <f t="shared" ref="CA5:CA73" si="41">BZ5*$E5</f>
        <v>0</v>
      </c>
      <c r="CB5" s="18"/>
      <c r="CC5" s="57">
        <f t="shared" ref="CC5:CC73" si="42">CB5*$E5</f>
        <v>0</v>
      </c>
      <c r="CD5" s="18"/>
      <c r="CE5" s="57">
        <f t="shared" ref="CE5:CE73" si="43">CD5*$E5</f>
        <v>0</v>
      </c>
      <c r="CF5" s="14">
        <f t="shared" ref="CF5:CF70" si="44">(CD5+CB5+BZ5+BX5+BV5+BT5+BR5+BP5+BN5+BL5+BJ5+BH5)/12</f>
        <v>0</v>
      </c>
      <c r="CG5" s="15">
        <f t="shared" ref="CG5:CG73" si="45">CF5*$E5</f>
        <v>0</v>
      </c>
      <c r="CH5" s="18"/>
      <c r="CI5" s="13">
        <f t="shared" ref="CI5:CI68" si="46">CH5*$E5</f>
        <v>0</v>
      </c>
      <c r="CJ5" s="12"/>
      <c r="CK5" s="13">
        <f t="shared" ref="CK5:CK68" si="47">CJ5*$E5</f>
        <v>0</v>
      </c>
      <c r="CL5" s="12"/>
      <c r="CM5" s="13">
        <f t="shared" ref="CM5:CM68" si="48">CL5*$E5</f>
        <v>0</v>
      </c>
      <c r="CN5" s="12"/>
      <c r="CO5" s="13">
        <f t="shared" ref="CO5:CO68" si="49">CN5*$E5</f>
        <v>0</v>
      </c>
      <c r="CP5" s="12"/>
      <c r="CQ5" s="13">
        <f t="shared" ref="CQ5:CQ68" si="50">CP5*E5</f>
        <v>0</v>
      </c>
      <c r="CR5" s="12"/>
      <c r="CS5" s="13">
        <f t="shared" ref="CS5:CS68" si="51">CR5*$E5</f>
        <v>0</v>
      </c>
      <c r="CT5" s="12"/>
      <c r="CU5" s="13">
        <f t="shared" ref="CU5:CU68" si="52">CT5*$E5</f>
        <v>0</v>
      </c>
      <c r="CV5" s="12"/>
      <c r="CW5" s="13">
        <f t="shared" ref="CW5:CW68" si="53">CV5*$E5</f>
        <v>0</v>
      </c>
      <c r="CX5" s="12"/>
      <c r="CY5" s="13">
        <f t="shared" ref="CY5:CY68" si="54">CX5*$E5</f>
        <v>0</v>
      </c>
      <c r="CZ5" s="12"/>
      <c r="DA5" s="13">
        <f t="shared" ref="DA5:DA68" si="55">CZ5*$E5</f>
        <v>0</v>
      </c>
      <c r="DB5" s="12"/>
      <c r="DC5" s="13">
        <f t="shared" si="0"/>
        <v>0</v>
      </c>
      <c r="DD5" s="12"/>
      <c r="DE5" s="13">
        <f t="shared" si="0"/>
        <v>0</v>
      </c>
      <c r="DF5" s="64">
        <f t="shared" ref="DF5:DF68" si="56">SUM(CH5,CJ5,CL5,CN5,CP5,CR5,CT5,CV5,CX5,CZ5,DB5,DD5)</f>
        <v>0</v>
      </c>
      <c r="DG5" s="15">
        <f t="shared" ref="DG5:DG68" si="57">DF5*$E5</f>
        <v>0</v>
      </c>
      <c r="DH5" s="18"/>
      <c r="DI5" s="13">
        <f t="shared" ref="DI5:DI68" si="58">DH5*$E5</f>
        <v>0</v>
      </c>
      <c r="DJ5" s="12"/>
      <c r="DK5" s="13">
        <f t="shared" si="1"/>
        <v>0</v>
      </c>
      <c r="DL5" s="12"/>
      <c r="DM5" s="13">
        <f t="shared" ref="DM5:DM39" si="59">DL5*$E5</f>
        <v>0</v>
      </c>
      <c r="DN5" s="12"/>
      <c r="DO5" s="13">
        <f t="shared" si="2"/>
        <v>0</v>
      </c>
      <c r="DP5" s="12"/>
      <c r="DQ5" s="13">
        <f t="shared" ref="DQ5:DQ68" si="60">DP5*AE5</f>
        <v>0</v>
      </c>
      <c r="DR5" s="12"/>
      <c r="DS5" s="13">
        <f t="shared" ref="DS5:DS68" si="61">DR5*$E5</f>
        <v>0</v>
      </c>
      <c r="DT5" s="12"/>
      <c r="DU5" s="13">
        <f t="shared" ref="DU5:DU61" si="62">DT5*$E5</f>
        <v>0</v>
      </c>
      <c r="DV5" s="12"/>
      <c r="DW5" s="13">
        <f t="shared" ref="DW5:DW68" si="63">DV5*$E5</f>
        <v>0</v>
      </c>
      <c r="DX5" s="12"/>
      <c r="DY5" s="13">
        <f t="shared" ref="DY5:DY68" si="64">DX5*$E5</f>
        <v>0</v>
      </c>
      <c r="DZ5" s="12"/>
      <c r="EA5" s="13">
        <f t="shared" ref="EA5:EA68" si="65">DZ5*$E5</f>
        <v>0</v>
      </c>
      <c r="EB5" s="12"/>
      <c r="EC5" s="13">
        <f t="shared" ref="EC5:EC69" si="66">EB5*$E5</f>
        <v>0</v>
      </c>
      <c r="ED5" s="12"/>
      <c r="EE5" s="13">
        <f t="shared" si="3"/>
        <v>0</v>
      </c>
      <c r="EF5" s="24">
        <f t="shared" ref="EF5:EF68" si="67">SUM(DH5,DJ5,DL5,DN5,DP5,DR5,DT5,DV5,DX5,DZ5,EB5,ED5)</f>
        <v>0</v>
      </c>
      <c r="EG5" s="13">
        <f t="shared" ref="EG5:EG68" si="68">EF5*$E5</f>
        <v>0</v>
      </c>
    </row>
    <row r="6" spans="1:137" ht="18" customHeight="1" x14ac:dyDescent="0.5">
      <c r="A6" s="10">
        <v>2</v>
      </c>
      <c r="B6" s="11" t="s">
        <v>16</v>
      </c>
      <c r="C6" s="11" t="s">
        <v>17</v>
      </c>
      <c r="D6" s="10">
        <f t="shared" ref="D6:D14" si="69">RANK(DF6,$DF$4:$DF$147)</f>
        <v>21</v>
      </c>
      <c r="E6" s="10">
        <v>1</v>
      </c>
      <c r="F6" s="10" t="s">
        <v>15</v>
      </c>
      <c r="G6" s="10"/>
      <c r="H6" s="12"/>
      <c r="I6" s="13">
        <f t="shared" si="4"/>
        <v>0</v>
      </c>
      <c r="J6" s="12"/>
      <c r="K6" s="13">
        <f t="shared" si="5"/>
        <v>0</v>
      </c>
      <c r="L6" s="12"/>
      <c r="M6" s="13">
        <f t="shared" si="6"/>
        <v>0</v>
      </c>
      <c r="N6" s="12"/>
      <c r="O6" s="13">
        <f t="shared" si="7"/>
        <v>0</v>
      </c>
      <c r="P6" s="12"/>
      <c r="Q6" s="13">
        <f t="shared" si="8"/>
        <v>0</v>
      </c>
      <c r="R6" s="12"/>
      <c r="S6" s="13">
        <f t="shared" si="9"/>
        <v>0</v>
      </c>
      <c r="T6" s="12"/>
      <c r="U6" s="13">
        <f t="shared" si="10"/>
        <v>0</v>
      </c>
      <c r="V6" s="12"/>
      <c r="W6" s="13">
        <f t="shared" si="11"/>
        <v>0</v>
      </c>
      <c r="X6" s="12"/>
      <c r="Y6" s="13">
        <f t="shared" si="12"/>
        <v>0</v>
      </c>
      <c r="Z6" s="12"/>
      <c r="AA6" s="13">
        <f t="shared" si="13"/>
        <v>0</v>
      </c>
      <c r="AB6" s="12"/>
      <c r="AC6" s="13">
        <f t="shared" si="14"/>
        <v>0</v>
      </c>
      <c r="AD6" s="12"/>
      <c r="AE6" s="13">
        <f t="shared" si="15"/>
        <v>0</v>
      </c>
      <c r="AF6" s="14">
        <f t="shared" si="16"/>
        <v>0</v>
      </c>
      <c r="AG6" s="15">
        <f t="shared" si="17"/>
        <v>0</v>
      </c>
      <c r="AH6" s="16"/>
      <c r="AI6" s="13">
        <f t="shared" si="18"/>
        <v>0</v>
      </c>
      <c r="AJ6" s="17"/>
      <c r="AK6" s="13">
        <f t="shared" si="19"/>
        <v>0</v>
      </c>
      <c r="AL6" s="17"/>
      <c r="AM6" s="13">
        <f t="shared" si="20"/>
        <v>0</v>
      </c>
      <c r="AN6" s="18"/>
      <c r="AO6" s="13">
        <f t="shared" si="21"/>
        <v>0</v>
      </c>
      <c r="AP6" s="17"/>
      <c r="AQ6" s="13">
        <f t="shared" si="22"/>
        <v>0</v>
      </c>
      <c r="AR6" s="17"/>
      <c r="AS6" s="13">
        <f t="shared" si="23"/>
        <v>0</v>
      </c>
      <c r="AT6" s="19"/>
      <c r="AU6" s="13">
        <f t="shared" si="24"/>
        <v>0</v>
      </c>
      <c r="AV6" s="17"/>
      <c r="AW6" s="13">
        <f t="shared" si="25"/>
        <v>0</v>
      </c>
      <c r="AX6" s="17"/>
      <c r="AY6" s="13">
        <f t="shared" si="26"/>
        <v>0</v>
      </c>
      <c r="AZ6" s="19"/>
      <c r="BA6" s="13">
        <f t="shared" si="27"/>
        <v>0</v>
      </c>
      <c r="BB6" s="20"/>
      <c r="BC6" s="13">
        <f t="shared" si="28"/>
        <v>0</v>
      </c>
      <c r="BD6" s="20"/>
      <c r="BE6" s="13">
        <f t="shared" si="29"/>
        <v>0</v>
      </c>
      <c r="BF6" s="14">
        <f t="shared" si="30"/>
        <v>0</v>
      </c>
      <c r="BG6" s="15">
        <f t="shared" si="31"/>
        <v>0</v>
      </c>
      <c r="BH6" s="18"/>
      <c r="BI6" s="57">
        <f t="shared" si="32"/>
        <v>0</v>
      </c>
      <c r="BJ6" s="18"/>
      <c r="BK6" s="57">
        <f t="shared" si="33"/>
        <v>0</v>
      </c>
      <c r="BL6" s="18"/>
      <c r="BM6" s="57">
        <f t="shared" si="34"/>
        <v>0</v>
      </c>
      <c r="BN6" s="18"/>
      <c r="BO6" s="57">
        <f t="shared" si="35"/>
        <v>0</v>
      </c>
      <c r="BP6" s="18"/>
      <c r="BQ6" s="57">
        <f t="shared" si="36"/>
        <v>0</v>
      </c>
      <c r="BR6" s="18"/>
      <c r="BS6" s="57">
        <f t="shared" si="37"/>
        <v>0</v>
      </c>
      <c r="BT6" s="18"/>
      <c r="BU6" s="57">
        <f t="shared" si="38"/>
        <v>0</v>
      </c>
      <c r="BV6" s="18"/>
      <c r="BW6" s="57">
        <f t="shared" si="39"/>
        <v>0</v>
      </c>
      <c r="BX6" s="18"/>
      <c r="BY6" s="57">
        <f t="shared" si="40"/>
        <v>0</v>
      </c>
      <c r="BZ6" s="18"/>
      <c r="CA6" s="57">
        <f t="shared" si="41"/>
        <v>0</v>
      </c>
      <c r="CB6" s="18"/>
      <c r="CC6" s="57">
        <f t="shared" si="42"/>
        <v>0</v>
      </c>
      <c r="CD6" s="18"/>
      <c r="CE6" s="57">
        <f t="shared" si="43"/>
        <v>0</v>
      </c>
      <c r="CF6" s="14">
        <f t="shared" si="44"/>
        <v>0</v>
      </c>
      <c r="CG6" s="15">
        <f t="shared" si="45"/>
        <v>0</v>
      </c>
      <c r="CH6" s="18"/>
      <c r="CI6" s="13">
        <f t="shared" si="46"/>
        <v>0</v>
      </c>
      <c r="CJ6" s="12"/>
      <c r="CK6" s="13">
        <f t="shared" si="47"/>
        <v>0</v>
      </c>
      <c r="CL6" s="12"/>
      <c r="CM6" s="13">
        <f t="shared" si="48"/>
        <v>0</v>
      </c>
      <c r="CN6" s="12"/>
      <c r="CO6" s="13">
        <f t="shared" si="49"/>
        <v>0</v>
      </c>
      <c r="CP6" s="12"/>
      <c r="CQ6" s="13">
        <f t="shared" si="50"/>
        <v>0</v>
      </c>
      <c r="CR6" s="12"/>
      <c r="CS6" s="13">
        <f t="shared" si="51"/>
        <v>0</v>
      </c>
      <c r="CT6" s="12"/>
      <c r="CU6" s="13">
        <f t="shared" si="52"/>
        <v>0</v>
      </c>
      <c r="CV6" s="12"/>
      <c r="CW6" s="13">
        <f t="shared" si="53"/>
        <v>0</v>
      </c>
      <c r="CX6" s="12"/>
      <c r="CY6" s="13">
        <f t="shared" si="54"/>
        <v>0</v>
      </c>
      <c r="CZ6" s="12"/>
      <c r="DA6" s="13">
        <f t="shared" si="55"/>
        <v>0</v>
      </c>
      <c r="DB6" s="12"/>
      <c r="DC6" s="13">
        <f t="shared" si="0"/>
        <v>0</v>
      </c>
      <c r="DD6" s="12"/>
      <c r="DE6" s="13">
        <f t="shared" si="0"/>
        <v>0</v>
      </c>
      <c r="DF6" s="64">
        <f t="shared" si="56"/>
        <v>0</v>
      </c>
      <c r="DG6" s="15">
        <f t="shared" si="57"/>
        <v>0</v>
      </c>
      <c r="DH6" s="18"/>
      <c r="DI6" s="13">
        <f t="shared" si="58"/>
        <v>0</v>
      </c>
      <c r="DJ6" s="12"/>
      <c r="DK6" s="13">
        <f t="shared" si="1"/>
        <v>0</v>
      </c>
      <c r="DL6" s="12"/>
      <c r="DM6" s="13">
        <f t="shared" si="59"/>
        <v>0</v>
      </c>
      <c r="DN6" s="12"/>
      <c r="DO6" s="13">
        <f t="shared" si="2"/>
        <v>0</v>
      </c>
      <c r="DP6" s="12"/>
      <c r="DQ6" s="13">
        <f t="shared" si="60"/>
        <v>0</v>
      </c>
      <c r="DR6" s="12"/>
      <c r="DS6" s="13">
        <f t="shared" si="61"/>
        <v>0</v>
      </c>
      <c r="DT6" s="12"/>
      <c r="DU6" s="13">
        <f t="shared" si="62"/>
        <v>0</v>
      </c>
      <c r="DV6" s="12"/>
      <c r="DW6" s="13">
        <f t="shared" si="63"/>
        <v>0</v>
      </c>
      <c r="DX6" s="12"/>
      <c r="DY6" s="13">
        <f t="shared" si="64"/>
        <v>0</v>
      </c>
      <c r="DZ6" s="12"/>
      <c r="EA6" s="13">
        <f t="shared" si="65"/>
        <v>0</v>
      </c>
      <c r="EB6" s="12"/>
      <c r="EC6" s="13">
        <f t="shared" si="66"/>
        <v>0</v>
      </c>
      <c r="ED6" s="12"/>
      <c r="EE6" s="13">
        <f t="shared" si="3"/>
        <v>0</v>
      </c>
      <c r="EF6" s="24">
        <f t="shared" si="67"/>
        <v>0</v>
      </c>
      <c r="EG6" s="13">
        <f t="shared" si="68"/>
        <v>0</v>
      </c>
    </row>
    <row r="7" spans="1:137" ht="18" customHeight="1" x14ac:dyDescent="0.5">
      <c r="A7" s="10">
        <v>3</v>
      </c>
      <c r="B7" s="11" t="s">
        <v>18</v>
      </c>
      <c r="C7" s="11" t="s">
        <v>17</v>
      </c>
      <c r="D7" s="10">
        <f t="shared" si="69"/>
        <v>6</v>
      </c>
      <c r="E7" s="10">
        <v>1</v>
      </c>
      <c r="F7" s="10" t="s">
        <v>15</v>
      </c>
      <c r="G7" s="10">
        <v>1795</v>
      </c>
      <c r="H7" s="12">
        <v>1176</v>
      </c>
      <c r="I7" s="13">
        <f t="shared" si="4"/>
        <v>1176</v>
      </c>
      <c r="J7" s="12">
        <v>1380</v>
      </c>
      <c r="K7" s="13">
        <f t="shared" si="5"/>
        <v>1380</v>
      </c>
      <c r="L7" s="12">
        <v>1716</v>
      </c>
      <c r="M7" s="13">
        <f t="shared" si="6"/>
        <v>1716</v>
      </c>
      <c r="N7" s="12">
        <v>2796</v>
      </c>
      <c r="O7" s="13">
        <f t="shared" si="7"/>
        <v>2796</v>
      </c>
      <c r="P7" s="12">
        <v>1416</v>
      </c>
      <c r="Q7" s="13">
        <f t="shared" si="8"/>
        <v>1416</v>
      </c>
      <c r="R7" s="12">
        <v>1740</v>
      </c>
      <c r="S7" s="13">
        <f t="shared" si="9"/>
        <v>1740</v>
      </c>
      <c r="T7" s="12">
        <v>1308</v>
      </c>
      <c r="U7" s="13">
        <f t="shared" si="10"/>
        <v>1308</v>
      </c>
      <c r="V7" s="12">
        <v>1476</v>
      </c>
      <c r="W7" s="13">
        <f t="shared" si="11"/>
        <v>1476</v>
      </c>
      <c r="X7" s="12">
        <v>1260</v>
      </c>
      <c r="Y7" s="13">
        <f t="shared" si="12"/>
        <v>1260</v>
      </c>
      <c r="Z7" s="12">
        <v>2148</v>
      </c>
      <c r="AA7" s="13">
        <f t="shared" si="13"/>
        <v>2148</v>
      </c>
      <c r="AB7" s="12">
        <v>1620</v>
      </c>
      <c r="AC7" s="13">
        <f t="shared" si="14"/>
        <v>1620</v>
      </c>
      <c r="AD7" s="12">
        <v>3258</v>
      </c>
      <c r="AE7" s="13">
        <f t="shared" si="15"/>
        <v>3258</v>
      </c>
      <c r="AF7" s="14">
        <f t="shared" si="16"/>
        <v>1774.5</v>
      </c>
      <c r="AG7" s="15">
        <f t="shared" si="17"/>
        <v>1774.5</v>
      </c>
      <c r="AH7" s="16">
        <v>4020</v>
      </c>
      <c r="AI7" s="13">
        <f t="shared" si="18"/>
        <v>4020</v>
      </c>
      <c r="AJ7" s="17">
        <v>2580</v>
      </c>
      <c r="AK7" s="13">
        <f t="shared" si="19"/>
        <v>2580</v>
      </c>
      <c r="AL7" s="17">
        <v>4392</v>
      </c>
      <c r="AM7" s="13">
        <f t="shared" si="20"/>
        <v>4392</v>
      </c>
      <c r="AN7" s="18">
        <v>1884</v>
      </c>
      <c r="AO7" s="13">
        <f t="shared" si="21"/>
        <v>1884</v>
      </c>
      <c r="AP7" s="17">
        <v>2868</v>
      </c>
      <c r="AQ7" s="13">
        <f t="shared" si="22"/>
        <v>2868</v>
      </c>
      <c r="AR7" s="17">
        <v>2052</v>
      </c>
      <c r="AS7" s="13">
        <f t="shared" si="23"/>
        <v>2052</v>
      </c>
      <c r="AT7" s="19">
        <v>3672</v>
      </c>
      <c r="AU7" s="13">
        <f t="shared" si="24"/>
        <v>3672</v>
      </c>
      <c r="AV7" s="17">
        <v>3984</v>
      </c>
      <c r="AW7" s="13">
        <f t="shared" si="25"/>
        <v>3984</v>
      </c>
      <c r="AX7" s="17">
        <v>1404</v>
      </c>
      <c r="AY7" s="13">
        <f t="shared" si="26"/>
        <v>1404</v>
      </c>
      <c r="AZ7" s="19">
        <v>2760</v>
      </c>
      <c r="BA7" s="13">
        <f t="shared" si="27"/>
        <v>2760</v>
      </c>
      <c r="BB7" s="20">
        <v>3305</v>
      </c>
      <c r="BC7" s="13">
        <f t="shared" si="28"/>
        <v>3305</v>
      </c>
      <c r="BD7" s="20">
        <v>3144</v>
      </c>
      <c r="BE7" s="13">
        <f t="shared" si="29"/>
        <v>3144</v>
      </c>
      <c r="BF7" s="14">
        <f t="shared" si="30"/>
        <v>3005.4166666666665</v>
      </c>
      <c r="BG7" s="15">
        <f t="shared" si="31"/>
        <v>3005.4166666666665</v>
      </c>
      <c r="BH7" s="23">
        <v>4680</v>
      </c>
      <c r="BI7" s="57">
        <f t="shared" si="32"/>
        <v>4680</v>
      </c>
      <c r="BJ7" s="23">
        <v>2868</v>
      </c>
      <c r="BK7" s="57">
        <f t="shared" si="33"/>
        <v>2868</v>
      </c>
      <c r="BL7" s="23">
        <v>4572</v>
      </c>
      <c r="BM7" s="57">
        <f t="shared" si="34"/>
        <v>4572</v>
      </c>
      <c r="BN7" s="23">
        <v>4032</v>
      </c>
      <c r="BO7" s="57">
        <f t="shared" si="35"/>
        <v>4032</v>
      </c>
      <c r="BP7" s="23">
        <v>2760</v>
      </c>
      <c r="BQ7" s="57">
        <f t="shared" si="36"/>
        <v>2760</v>
      </c>
      <c r="BR7" s="21">
        <v>4632</v>
      </c>
      <c r="BS7" s="57">
        <f t="shared" si="37"/>
        <v>4632</v>
      </c>
      <c r="BT7" s="23">
        <v>5772</v>
      </c>
      <c r="BU7" s="57">
        <f t="shared" si="38"/>
        <v>5772</v>
      </c>
      <c r="BV7" s="25">
        <v>4980</v>
      </c>
      <c r="BW7" s="57">
        <f t="shared" si="39"/>
        <v>4980</v>
      </c>
      <c r="BX7" s="58">
        <v>4320</v>
      </c>
      <c r="BY7" s="57">
        <f t="shared" si="40"/>
        <v>4320</v>
      </c>
      <c r="BZ7" s="58">
        <v>4980</v>
      </c>
      <c r="CA7" s="57">
        <f t="shared" si="41"/>
        <v>4980</v>
      </c>
      <c r="CB7" s="23">
        <v>5388</v>
      </c>
      <c r="CC7" s="57">
        <f t="shared" si="42"/>
        <v>5388</v>
      </c>
      <c r="CD7" s="18">
        <v>2832</v>
      </c>
      <c r="CE7" s="57">
        <f t="shared" si="43"/>
        <v>2832</v>
      </c>
      <c r="CF7" s="14">
        <f t="shared" si="44"/>
        <v>4318</v>
      </c>
      <c r="CG7" s="15">
        <f t="shared" si="45"/>
        <v>4318</v>
      </c>
      <c r="CH7" s="18">
        <v>6672</v>
      </c>
      <c r="CI7" s="13">
        <f t="shared" si="46"/>
        <v>6672</v>
      </c>
      <c r="CJ7" s="12">
        <v>4896</v>
      </c>
      <c r="CK7" s="13">
        <f t="shared" si="47"/>
        <v>4896</v>
      </c>
      <c r="CL7" s="12">
        <v>10248</v>
      </c>
      <c r="CM7" s="13">
        <f t="shared" si="48"/>
        <v>10248</v>
      </c>
      <c r="CN7" s="12">
        <v>5028</v>
      </c>
      <c r="CO7" s="13">
        <v>5028</v>
      </c>
      <c r="CP7" s="12">
        <v>3492</v>
      </c>
      <c r="CQ7" s="13">
        <f t="shared" si="50"/>
        <v>3492</v>
      </c>
      <c r="CR7" s="12">
        <v>10224</v>
      </c>
      <c r="CS7" s="13">
        <f t="shared" si="51"/>
        <v>10224</v>
      </c>
      <c r="CT7" s="12">
        <v>8388</v>
      </c>
      <c r="CU7" s="13">
        <f t="shared" si="52"/>
        <v>8388</v>
      </c>
      <c r="CV7" s="12">
        <v>6667</v>
      </c>
      <c r="CW7" s="13">
        <f t="shared" si="53"/>
        <v>6667</v>
      </c>
      <c r="CX7" s="12">
        <v>5072</v>
      </c>
      <c r="CY7" s="13">
        <f t="shared" si="54"/>
        <v>5072</v>
      </c>
      <c r="CZ7" s="18">
        <v>6852</v>
      </c>
      <c r="DA7" s="13">
        <f t="shared" si="55"/>
        <v>6852</v>
      </c>
      <c r="DB7" s="12">
        <v>8076</v>
      </c>
      <c r="DC7" s="13">
        <f t="shared" si="0"/>
        <v>8076</v>
      </c>
      <c r="DD7" s="12">
        <v>11868</v>
      </c>
      <c r="DE7" s="13">
        <f t="shared" si="0"/>
        <v>11868</v>
      </c>
      <c r="DF7" s="64">
        <f t="shared" si="56"/>
        <v>87483</v>
      </c>
      <c r="DG7" s="15">
        <f t="shared" si="57"/>
        <v>87483</v>
      </c>
      <c r="DH7" s="18">
        <v>7308</v>
      </c>
      <c r="DI7" s="13">
        <f t="shared" si="58"/>
        <v>7308</v>
      </c>
      <c r="DJ7" s="12">
        <v>9396</v>
      </c>
      <c r="DK7" s="13">
        <f t="shared" si="1"/>
        <v>9396</v>
      </c>
      <c r="DL7" s="12">
        <v>2388</v>
      </c>
      <c r="DM7" s="13">
        <f t="shared" si="59"/>
        <v>2388</v>
      </c>
      <c r="DN7" s="12"/>
      <c r="DO7" s="13">
        <f t="shared" si="2"/>
        <v>0</v>
      </c>
      <c r="DP7" s="12"/>
      <c r="DQ7" s="13">
        <f t="shared" si="60"/>
        <v>0</v>
      </c>
      <c r="DR7" s="12"/>
      <c r="DS7" s="13">
        <f t="shared" si="61"/>
        <v>0</v>
      </c>
      <c r="DT7" s="12"/>
      <c r="DU7" s="13">
        <f t="shared" si="62"/>
        <v>0</v>
      </c>
      <c r="DV7" s="12"/>
      <c r="DW7" s="13">
        <f t="shared" si="63"/>
        <v>0</v>
      </c>
      <c r="DX7" s="12"/>
      <c r="DY7" s="13">
        <f t="shared" si="64"/>
        <v>0</v>
      </c>
      <c r="DZ7" s="18"/>
      <c r="EA7" s="13">
        <f t="shared" si="65"/>
        <v>0</v>
      </c>
      <c r="EB7" s="12"/>
      <c r="EC7" s="13">
        <f t="shared" si="66"/>
        <v>0</v>
      </c>
      <c r="ED7" s="12"/>
      <c r="EE7" s="13">
        <f t="shared" si="3"/>
        <v>0</v>
      </c>
      <c r="EF7" s="24">
        <f t="shared" si="67"/>
        <v>19092</v>
      </c>
      <c r="EG7" s="13">
        <f t="shared" si="68"/>
        <v>19092</v>
      </c>
    </row>
    <row r="8" spans="1:137" ht="18" customHeight="1" x14ac:dyDescent="0.5">
      <c r="A8" s="10">
        <v>4</v>
      </c>
      <c r="B8" s="11" t="s">
        <v>19</v>
      </c>
      <c r="C8" s="11" t="s">
        <v>17</v>
      </c>
      <c r="D8" s="10">
        <f t="shared" si="69"/>
        <v>16</v>
      </c>
      <c r="E8" s="10">
        <v>0.6</v>
      </c>
      <c r="F8" s="10" t="s">
        <v>15</v>
      </c>
      <c r="G8" s="10">
        <v>1230</v>
      </c>
      <c r="H8" s="12"/>
      <c r="I8" s="13">
        <f t="shared" si="4"/>
        <v>0</v>
      </c>
      <c r="J8" s="12"/>
      <c r="K8" s="13">
        <f t="shared" si="5"/>
        <v>0</v>
      </c>
      <c r="L8" s="12"/>
      <c r="M8" s="13">
        <f t="shared" si="6"/>
        <v>0</v>
      </c>
      <c r="N8" s="12"/>
      <c r="O8" s="13">
        <f t="shared" si="7"/>
        <v>0</v>
      </c>
      <c r="P8" s="12"/>
      <c r="Q8" s="13">
        <f t="shared" si="8"/>
        <v>0</v>
      </c>
      <c r="R8" s="12"/>
      <c r="S8" s="13">
        <f t="shared" si="9"/>
        <v>0</v>
      </c>
      <c r="T8" s="12"/>
      <c r="U8" s="13">
        <f t="shared" si="10"/>
        <v>0</v>
      </c>
      <c r="V8" s="12"/>
      <c r="W8" s="13">
        <f t="shared" si="11"/>
        <v>0</v>
      </c>
      <c r="X8" s="12"/>
      <c r="Y8" s="13">
        <f t="shared" si="12"/>
        <v>0</v>
      </c>
      <c r="Z8" s="12"/>
      <c r="AA8" s="13">
        <f t="shared" si="13"/>
        <v>0</v>
      </c>
      <c r="AB8" s="12"/>
      <c r="AC8" s="13">
        <f t="shared" si="14"/>
        <v>0</v>
      </c>
      <c r="AD8" s="12"/>
      <c r="AE8" s="13">
        <f t="shared" si="15"/>
        <v>0</v>
      </c>
      <c r="AF8" s="14">
        <f t="shared" si="16"/>
        <v>0</v>
      </c>
      <c r="AG8" s="15">
        <f t="shared" si="17"/>
        <v>0</v>
      </c>
      <c r="AH8" s="16">
        <v>612</v>
      </c>
      <c r="AI8" s="13">
        <f t="shared" si="18"/>
        <v>367.2</v>
      </c>
      <c r="AJ8" s="17">
        <v>444</v>
      </c>
      <c r="AK8" s="13">
        <f t="shared" si="19"/>
        <v>266.39999999999998</v>
      </c>
      <c r="AL8" s="17">
        <v>120</v>
      </c>
      <c r="AM8" s="13">
        <f t="shared" si="20"/>
        <v>72</v>
      </c>
      <c r="AN8" s="18">
        <v>216</v>
      </c>
      <c r="AO8" s="13">
        <f t="shared" si="21"/>
        <v>129.6</v>
      </c>
      <c r="AP8" s="17">
        <v>480</v>
      </c>
      <c r="AQ8" s="13">
        <f t="shared" si="22"/>
        <v>288</v>
      </c>
      <c r="AR8" s="17">
        <v>156</v>
      </c>
      <c r="AS8" s="13">
        <f t="shared" si="23"/>
        <v>93.6</v>
      </c>
      <c r="AT8" s="19">
        <v>276</v>
      </c>
      <c r="AU8" s="13">
        <f t="shared" si="24"/>
        <v>165.6</v>
      </c>
      <c r="AV8" s="17">
        <v>420</v>
      </c>
      <c r="AW8" s="13">
        <f t="shared" si="25"/>
        <v>252</v>
      </c>
      <c r="AX8" s="17">
        <v>12</v>
      </c>
      <c r="AY8" s="13">
        <f t="shared" si="26"/>
        <v>7.1999999999999993</v>
      </c>
      <c r="AZ8" s="19"/>
      <c r="BA8" s="13">
        <f t="shared" si="27"/>
        <v>0</v>
      </c>
      <c r="BB8" s="20">
        <v>48</v>
      </c>
      <c r="BC8" s="13">
        <f t="shared" si="28"/>
        <v>28.799999999999997</v>
      </c>
      <c r="BD8" s="20"/>
      <c r="BE8" s="13">
        <f t="shared" si="29"/>
        <v>0</v>
      </c>
      <c r="BF8" s="14">
        <f t="shared" si="30"/>
        <v>232</v>
      </c>
      <c r="BG8" s="15">
        <f t="shared" si="31"/>
        <v>139.19999999999999</v>
      </c>
      <c r="BH8" s="60"/>
      <c r="BI8" s="57">
        <f t="shared" si="32"/>
        <v>0</v>
      </c>
      <c r="BJ8" s="58"/>
      <c r="BK8" s="57">
        <f t="shared" si="33"/>
        <v>0</v>
      </c>
      <c r="BL8" s="58"/>
      <c r="BM8" s="57">
        <f t="shared" si="34"/>
        <v>0</v>
      </c>
      <c r="BN8" s="58"/>
      <c r="BO8" s="57">
        <f t="shared" si="35"/>
        <v>0</v>
      </c>
      <c r="BP8" s="58">
        <v>60</v>
      </c>
      <c r="BQ8" s="57">
        <f t="shared" si="36"/>
        <v>36</v>
      </c>
      <c r="BR8" s="21"/>
      <c r="BS8" s="57">
        <f t="shared" si="37"/>
        <v>0</v>
      </c>
      <c r="BT8" s="58"/>
      <c r="BU8" s="57">
        <f t="shared" si="38"/>
        <v>0</v>
      </c>
      <c r="BV8" s="58">
        <v>36</v>
      </c>
      <c r="BW8" s="57">
        <f t="shared" si="39"/>
        <v>21.599999999999998</v>
      </c>
      <c r="BX8" s="58"/>
      <c r="BY8" s="57">
        <f t="shared" si="40"/>
        <v>0</v>
      </c>
      <c r="BZ8" s="58"/>
      <c r="CA8" s="57">
        <f t="shared" si="41"/>
        <v>0</v>
      </c>
      <c r="CB8" s="58"/>
      <c r="CC8" s="57">
        <f t="shared" si="42"/>
        <v>0</v>
      </c>
      <c r="CD8" s="58"/>
      <c r="CE8" s="57">
        <f t="shared" si="43"/>
        <v>0</v>
      </c>
      <c r="CF8" s="14">
        <f t="shared" si="44"/>
        <v>8</v>
      </c>
      <c r="CG8" s="15">
        <f t="shared" si="45"/>
        <v>4.8</v>
      </c>
      <c r="CH8" s="12"/>
      <c r="CI8" s="13">
        <f t="shared" si="46"/>
        <v>0</v>
      </c>
      <c r="CJ8" s="12"/>
      <c r="CK8" s="13">
        <f t="shared" si="47"/>
        <v>0</v>
      </c>
      <c r="CL8" s="12"/>
      <c r="CM8" s="13">
        <f t="shared" si="48"/>
        <v>0</v>
      </c>
      <c r="CN8" s="12"/>
      <c r="CO8" s="13">
        <f t="shared" si="49"/>
        <v>0</v>
      </c>
      <c r="CP8" s="12"/>
      <c r="CQ8" s="13">
        <f t="shared" si="50"/>
        <v>0</v>
      </c>
      <c r="CR8" s="12">
        <v>480</v>
      </c>
      <c r="CS8" s="13">
        <f t="shared" si="51"/>
        <v>288</v>
      </c>
      <c r="CT8" s="12"/>
      <c r="CU8" s="13">
        <f t="shared" si="52"/>
        <v>0</v>
      </c>
      <c r="CV8" s="12"/>
      <c r="CW8" s="13">
        <f t="shared" si="53"/>
        <v>0</v>
      </c>
      <c r="CX8" s="12"/>
      <c r="CY8" s="13">
        <f t="shared" si="54"/>
        <v>0</v>
      </c>
      <c r="CZ8" s="12"/>
      <c r="DA8" s="13">
        <f t="shared" si="55"/>
        <v>0</v>
      </c>
      <c r="DB8" s="12"/>
      <c r="DC8" s="13">
        <f t="shared" si="0"/>
        <v>0</v>
      </c>
      <c r="DD8" s="12"/>
      <c r="DE8" s="13">
        <f t="shared" si="0"/>
        <v>0</v>
      </c>
      <c r="DF8" s="64">
        <f t="shared" si="56"/>
        <v>480</v>
      </c>
      <c r="DG8" s="15">
        <f t="shared" si="57"/>
        <v>288</v>
      </c>
      <c r="DH8" s="12"/>
      <c r="DI8" s="13">
        <f t="shared" si="58"/>
        <v>0</v>
      </c>
      <c r="DJ8" s="12"/>
      <c r="DK8" s="13">
        <f t="shared" si="1"/>
        <v>0</v>
      </c>
      <c r="DL8" s="12"/>
      <c r="DM8" s="13">
        <f t="shared" si="59"/>
        <v>0</v>
      </c>
      <c r="DN8" s="12"/>
      <c r="DO8" s="13">
        <f t="shared" si="2"/>
        <v>0</v>
      </c>
      <c r="DP8" s="12"/>
      <c r="DQ8" s="13">
        <f t="shared" si="60"/>
        <v>0</v>
      </c>
      <c r="DR8" s="12"/>
      <c r="DS8" s="13">
        <f t="shared" si="61"/>
        <v>0</v>
      </c>
      <c r="DT8" s="12"/>
      <c r="DU8" s="13">
        <f t="shared" si="62"/>
        <v>0</v>
      </c>
      <c r="DV8" s="12"/>
      <c r="DW8" s="13">
        <f t="shared" si="63"/>
        <v>0</v>
      </c>
      <c r="DX8" s="12"/>
      <c r="DY8" s="13">
        <f t="shared" si="64"/>
        <v>0</v>
      </c>
      <c r="DZ8" s="12"/>
      <c r="EA8" s="13">
        <f t="shared" si="65"/>
        <v>0</v>
      </c>
      <c r="EB8" s="12"/>
      <c r="EC8" s="13">
        <f t="shared" si="66"/>
        <v>0</v>
      </c>
      <c r="ED8" s="12"/>
      <c r="EE8" s="13">
        <f t="shared" si="3"/>
        <v>0</v>
      </c>
      <c r="EF8" s="24">
        <f t="shared" si="67"/>
        <v>0</v>
      </c>
      <c r="EG8" s="13">
        <f t="shared" si="68"/>
        <v>0</v>
      </c>
    </row>
    <row r="9" spans="1:137" ht="18" customHeight="1" x14ac:dyDescent="0.5">
      <c r="A9" s="10">
        <v>5</v>
      </c>
      <c r="B9" s="11" t="s">
        <v>20</v>
      </c>
      <c r="C9" s="11" t="s">
        <v>17</v>
      </c>
      <c r="D9" s="10">
        <f t="shared" si="69"/>
        <v>11</v>
      </c>
      <c r="E9" s="10">
        <v>0.35</v>
      </c>
      <c r="F9" s="10" t="s">
        <v>21</v>
      </c>
      <c r="G9" s="10">
        <v>830</v>
      </c>
      <c r="H9" s="12"/>
      <c r="I9" s="13">
        <f t="shared" si="4"/>
        <v>0</v>
      </c>
      <c r="J9" s="12"/>
      <c r="K9" s="13">
        <f t="shared" si="5"/>
        <v>0</v>
      </c>
      <c r="L9" s="12"/>
      <c r="M9" s="13">
        <f t="shared" si="6"/>
        <v>0</v>
      </c>
      <c r="N9" s="12"/>
      <c r="O9" s="13">
        <f t="shared" si="7"/>
        <v>0</v>
      </c>
      <c r="P9" s="12"/>
      <c r="Q9" s="13">
        <f t="shared" si="8"/>
        <v>0</v>
      </c>
      <c r="R9" s="12"/>
      <c r="S9" s="13">
        <f t="shared" si="9"/>
        <v>0</v>
      </c>
      <c r="T9" s="12"/>
      <c r="U9" s="13">
        <f t="shared" si="10"/>
        <v>0</v>
      </c>
      <c r="V9" s="12"/>
      <c r="W9" s="13">
        <f t="shared" si="11"/>
        <v>0</v>
      </c>
      <c r="X9" s="12"/>
      <c r="Y9" s="13">
        <f t="shared" si="12"/>
        <v>0</v>
      </c>
      <c r="Z9" s="12"/>
      <c r="AA9" s="13">
        <f t="shared" si="13"/>
        <v>0</v>
      </c>
      <c r="AB9" s="12"/>
      <c r="AC9" s="13">
        <f t="shared" si="14"/>
        <v>0</v>
      </c>
      <c r="AD9" s="12"/>
      <c r="AE9" s="13">
        <f t="shared" si="15"/>
        <v>0</v>
      </c>
      <c r="AF9" s="14">
        <f t="shared" si="16"/>
        <v>0</v>
      </c>
      <c r="AG9" s="15">
        <f t="shared" si="17"/>
        <v>0</v>
      </c>
      <c r="AH9" s="16"/>
      <c r="AI9" s="13">
        <f t="shared" si="18"/>
        <v>0</v>
      </c>
      <c r="AJ9" s="17"/>
      <c r="AK9" s="13">
        <f t="shared" si="19"/>
        <v>0</v>
      </c>
      <c r="AL9" s="17"/>
      <c r="AM9" s="13">
        <f t="shared" si="20"/>
        <v>0</v>
      </c>
      <c r="AN9" s="18"/>
      <c r="AO9" s="13">
        <f t="shared" si="21"/>
        <v>0</v>
      </c>
      <c r="AP9" s="17"/>
      <c r="AQ9" s="13">
        <f t="shared" si="22"/>
        <v>0</v>
      </c>
      <c r="AR9" s="17"/>
      <c r="AS9" s="13">
        <f t="shared" si="23"/>
        <v>0</v>
      </c>
      <c r="AT9" s="19">
        <v>240</v>
      </c>
      <c r="AU9" s="13">
        <f t="shared" si="24"/>
        <v>84</v>
      </c>
      <c r="AV9" s="17">
        <v>2600</v>
      </c>
      <c r="AW9" s="13">
        <f t="shared" si="25"/>
        <v>909.99999999999989</v>
      </c>
      <c r="AX9" s="17">
        <v>200</v>
      </c>
      <c r="AY9" s="13">
        <f t="shared" si="26"/>
        <v>70</v>
      </c>
      <c r="AZ9" s="19"/>
      <c r="BA9" s="13">
        <f t="shared" si="27"/>
        <v>0</v>
      </c>
      <c r="BB9" s="20">
        <v>1200</v>
      </c>
      <c r="BC9" s="13">
        <f t="shared" si="28"/>
        <v>420</v>
      </c>
      <c r="BD9" s="20"/>
      <c r="BE9" s="13">
        <f t="shared" si="29"/>
        <v>0</v>
      </c>
      <c r="BF9" s="14">
        <f t="shared" si="30"/>
        <v>353.33333333333331</v>
      </c>
      <c r="BG9" s="15">
        <f t="shared" si="31"/>
        <v>123.66666666666666</v>
      </c>
      <c r="BH9" s="23">
        <v>280</v>
      </c>
      <c r="BI9" s="57">
        <f t="shared" si="32"/>
        <v>98</v>
      </c>
      <c r="BJ9" s="23"/>
      <c r="BK9" s="57">
        <f t="shared" si="33"/>
        <v>0</v>
      </c>
      <c r="BL9" s="23">
        <v>200</v>
      </c>
      <c r="BM9" s="57">
        <f t="shared" si="34"/>
        <v>70</v>
      </c>
      <c r="BN9" s="23">
        <v>400</v>
      </c>
      <c r="BO9" s="57">
        <f t="shared" si="35"/>
        <v>140</v>
      </c>
      <c r="BP9" s="58"/>
      <c r="BQ9" s="57">
        <f t="shared" si="36"/>
        <v>0</v>
      </c>
      <c r="BR9" s="21">
        <v>1000</v>
      </c>
      <c r="BS9" s="57">
        <f t="shared" si="37"/>
        <v>350</v>
      </c>
      <c r="BT9" s="23">
        <v>1000</v>
      </c>
      <c r="BU9" s="57">
        <f t="shared" si="38"/>
        <v>350</v>
      </c>
      <c r="BV9" s="58">
        <v>200</v>
      </c>
      <c r="BW9" s="57">
        <f t="shared" si="39"/>
        <v>70</v>
      </c>
      <c r="BX9" s="26">
        <v>200</v>
      </c>
      <c r="BY9" s="57">
        <f t="shared" si="40"/>
        <v>70</v>
      </c>
      <c r="BZ9" s="58">
        <v>400</v>
      </c>
      <c r="CA9" s="57">
        <f t="shared" si="41"/>
        <v>140</v>
      </c>
      <c r="CB9" s="58"/>
      <c r="CC9" s="57">
        <f t="shared" si="42"/>
        <v>0</v>
      </c>
      <c r="CD9" s="58">
        <v>800</v>
      </c>
      <c r="CE9" s="57">
        <f t="shared" si="43"/>
        <v>280</v>
      </c>
      <c r="CF9" s="14">
        <f t="shared" si="44"/>
        <v>373.33333333333331</v>
      </c>
      <c r="CG9" s="15">
        <f t="shared" si="45"/>
        <v>130.66666666666666</v>
      </c>
      <c r="CH9" s="12">
        <v>600</v>
      </c>
      <c r="CI9" s="13">
        <f t="shared" si="46"/>
        <v>210</v>
      </c>
      <c r="CJ9" s="12"/>
      <c r="CK9" s="13">
        <f t="shared" si="47"/>
        <v>0</v>
      </c>
      <c r="CL9" s="18">
        <v>1000</v>
      </c>
      <c r="CM9" s="13">
        <f t="shared" si="48"/>
        <v>350</v>
      </c>
      <c r="CN9" s="12"/>
      <c r="CO9" s="13">
        <f t="shared" si="49"/>
        <v>0</v>
      </c>
      <c r="CP9" s="12">
        <v>800</v>
      </c>
      <c r="CQ9" s="13">
        <f t="shared" si="50"/>
        <v>280</v>
      </c>
      <c r="CR9" s="12">
        <v>1400</v>
      </c>
      <c r="CS9" s="13">
        <f t="shared" si="51"/>
        <v>489.99999999999994</v>
      </c>
      <c r="CT9" s="12">
        <v>1000</v>
      </c>
      <c r="CU9" s="13">
        <f t="shared" si="52"/>
        <v>350</v>
      </c>
      <c r="CV9" s="12">
        <v>200</v>
      </c>
      <c r="CW9" s="13">
        <f t="shared" si="53"/>
        <v>70</v>
      </c>
      <c r="CX9" s="12">
        <v>400</v>
      </c>
      <c r="CY9" s="13">
        <f t="shared" si="54"/>
        <v>140</v>
      </c>
      <c r="CZ9" s="12">
        <v>400</v>
      </c>
      <c r="DA9" s="13">
        <f t="shared" si="55"/>
        <v>140</v>
      </c>
      <c r="DB9" s="12">
        <v>600</v>
      </c>
      <c r="DC9" s="13">
        <f t="shared" si="0"/>
        <v>210</v>
      </c>
      <c r="DD9" s="12">
        <v>400</v>
      </c>
      <c r="DE9" s="13">
        <f t="shared" si="0"/>
        <v>140</v>
      </c>
      <c r="DF9" s="64">
        <f t="shared" si="56"/>
        <v>6800</v>
      </c>
      <c r="DG9" s="15">
        <f t="shared" si="57"/>
        <v>2380</v>
      </c>
      <c r="DH9" s="12">
        <v>840</v>
      </c>
      <c r="DI9" s="13">
        <f t="shared" si="58"/>
        <v>294</v>
      </c>
      <c r="DJ9" s="12">
        <v>400</v>
      </c>
      <c r="DK9" s="13">
        <f t="shared" si="1"/>
        <v>140</v>
      </c>
      <c r="DL9" s="18"/>
      <c r="DM9" s="13">
        <f t="shared" si="59"/>
        <v>0</v>
      </c>
      <c r="DN9" s="12"/>
      <c r="DO9" s="13">
        <f t="shared" si="2"/>
        <v>0</v>
      </c>
      <c r="DP9" s="12"/>
      <c r="DQ9" s="13">
        <f t="shared" si="60"/>
        <v>0</v>
      </c>
      <c r="DR9" s="12"/>
      <c r="DS9" s="13">
        <f t="shared" si="61"/>
        <v>0</v>
      </c>
      <c r="DT9" s="12"/>
      <c r="DU9" s="13">
        <f t="shared" si="62"/>
        <v>0</v>
      </c>
      <c r="DV9" s="12"/>
      <c r="DW9" s="13">
        <f t="shared" si="63"/>
        <v>0</v>
      </c>
      <c r="DX9" s="12"/>
      <c r="DY9" s="13">
        <f t="shared" si="64"/>
        <v>0</v>
      </c>
      <c r="DZ9" s="12"/>
      <c r="EA9" s="13">
        <f t="shared" si="65"/>
        <v>0</v>
      </c>
      <c r="EB9" s="12"/>
      <c r="EC9" s="13">
        <f t="shared" si="66"/>
        <v>0</v>
      </c>
      <c r="ED9" s="12"/>
      <c r="EE9" s="13">
        <f t="shared" si="3"/>
        <v>0</v>
      </c>
      <c r="EF9" s="24">
        <f t="shared" si="67"/>
        <v>1240</v>
      </c>
      <c r="EG9" s="13">
        <f t="shared" si="68"/>
        <v>434</v>
      </c>
    </row>
    <row r="10" spans="1:137" ht="18" customHeight="1" x14ac:dyDescent="0.5">
      <c r="A10" s="10">
        <v>6</v>
      </c>
      <c r="B10" s="11" t="s">
        <v>22</v>
      </c>
      <c r="C10" s="11" t="s">
        <v>14</v>
      </c>
      <c r="D10" s="10">
        <f t="shared" si="69"/>
        <v>21</v>
      </c>
      <c r="E10" s="10">
        <v>0.7</v>
      </c>
      <c r="F10" s="10" t="s">
        <v>23</v>
      </c>
      <c r="G10" s="10"/>
      <c r="H10" s="12"/>
      <c r="I10" s="13">
        <f t="shared" si="4"/>
        <v>0</v>
      </c>
      <c r="J10" s="12"/>
      <c r="K10" s="13">
        <f t="shared" si="5"/>
        <v>0</v>
      </c>
      <c r="L10" s="12"/>
      <c r="M10" s="13">
        <f t="shared" si="6"/>
        <v>0</v>
      </c>
      <c r="N10" s="12"/>
      <c r="O10" s="13">
        <f t="shared" si="7"/>
        <v>0</v>
      </c>
      <c r="P10" s="12"/>
      <c r="Q10" s="13">
        <f t="shared" si="8"/>
        <v>0</v>
      </c>
      <c r="R10" s="12"/>
      <c r="S10" s="13">
        <f t="shared" si="9"/>
        <v>0</v>
      </c>
      <c r="T10" s="12"/>
      <c r="U10" s="13">
        <f t="shared" si="10"/>
        <v>0</v>
      </c>
      <c r="V10" s="12"/>
      <c r="W10" s="13">
        <f t="shared" si="11"/>
        <v>0</v>
      </c>
      <c r="X10" s="12"/>
      <c r="Y10" s="13">
        <f t="shared" si="12"/>
        <v>0</v>
      </c>
      <c r="Z10" s="12"/>
      <c r="AA10" s="13">
        <f t="shared" si="13"/>
        <v>0</v>
      </c>
      <c r="AB10" s="12"/>
      <c r="AC10" s="13">
        <f t="shared" si="14"/>
        <v>0</v>
      </c>
      <c r="AD10" s="12"/>
      <c r="AE10" s="13">
        <f t="shared" si="15"/>
        <v>0</v>
      </c>
      <c r="AF10" s="14">
        <f t="shared" si="16"/>
        <v>0</v>
      </c>
      <c r="AG10" s="15">
        <f t="shared" si="17"/>
        <v>0</v>
      </c>
      <c r="AH10" s="16"/>
      <c r="AI10" s="13">
        <f t="shared" si="18"/>
        <v>0</v>
      </c>
      <c r="AJ10" s="17"/>
      <c r="AK10" s="13">
        <f t="shared" si="19"/>
        <v>0</v>
      </c>
      <c r="AL10" s="17"/>
      <c r="AM10" s="13">
        <f t="shared" si="20"/>
        <v>0</v>
      </c>
      <c r="AN10" s="18"/>
      <c r="AO10" s="13">
        <f t="shared" si="21"/>
        <v>0</v>
      </c>
      <c r="AP10" s="17"/>
      <c r="AQ10" s="13">
        <f t="shared" si="22"/>
        <v>0</v>
      </c>
      <c r="AR10" s="17"/>
      <c r="AS10" s="13">
        <f t="shared" si="23"/>
        <v>0</v>
      </c>
      <c r="AT10" s="19"/>
      <c r="AU10" s="13">
        <f t="shared" si="24"/>
        <v>0</v>
      </c>
      <c r="AV10" s="17"/>
      <c r="AW10" s="13">
        <f t="shared" si="25"/>
        <v>0</v>
      </c>
      <c r="AX10" s="17"/>
      <c r="AY10" s="13">
        <f t="shared" si="26"/>
        <v>0</v>
      </c>
      <c r="AZ10" s="19"/>
      <c r="BA10" s="13">
        <f t="shared" si="27"/>
        <v>0</v>
      </c>
      <c r="BB10" s="20"/>
      <c r="BC10" s="13">
        <f t="shared" si="28"/>
        <v>0</v>
      </c>
      <c r="BD10" s="20"/>
      <c r="BE10" s="13">
        <f t="shared" si="29"/>
        <v>0</v>
      </c>
      <c r="BF10" s="14">
        <f t="shared" si="30"/>
        <v>0</v>
      </c>
      <c r="BG10" s="15">
        <f t="shared" si="31"/>
        <v>0</v>
      </c>
      <c r="BH10" s="18"/>
      <c r="BI10" s="57">
        <f t="shared" si="32"/>
        <v>0</v>
      </c>
      <c r="BJ10" s="18"/>
      <c r="BK10" s="57">
        <f t="shared" si="33"/>
        <v>0</v>
      </c>
      <c r="BL10" s="18"/>
      <c r="BM10" s="57">
        <f t="shared" si="34"/>
        <v>0</v>
      </c>
      <c r="BN10" s="18"/>
      <c r="BO10" s="57">
        <f t="shared" si="35"/>
        <v>0</v>
      </c>
      <c r="BP10" s="18"/>
      <c r="BQ10" s="57">
        <f t="shared" si="36"/>
        <v>0</v>
      </c>
      <c r="BR10" s="18"/>
      <c r="BS10" s="57">
        <f t="shared" si="37"/>
        <v>0</v>
      </c>
      <c r="BT10" s="18"/>
      <c r="BU10" s="57">
        <f t="shared" si="38"/>
        <v>0</v>
      </c>
      <c r="BV10" s="18"/>
      <c r="BW10" s="57">
        <f t="shared" si="39"/>
        <v>0</v>
      </c>
      <c r="BX10" s="18"/>
      <c r="BY10" s="57">
        <f t="shared" si="40"/>
        <v>0</v>
      </c>
      <c r="BZ10" s="18"/>
      <c r="CA10" s="57">
        <f t="shared" si="41"/>
        <v>0</v>
      </c>
      <c r="CB10" s="18"/>
      <c r="CC10" s="57">
        <f t="shared" si="42"/>
        <v>0</v>
      </c>
      <c r="CD10" s="18"/>
      <c r="CE10" s="57">
        <f t="shared" si="43"/>
        <v>0</v>
      </c>
      <c r="CF10" s="14">
        <f t="shared" si="44"/>
        <v>0</v>
      </c>
      <c r="CG10" s="15">
        <f t="shared" si="45"/>
        <v>0</v>
      </c>
      <c r="CH10" s="12"/>
      <c r="CI10" s="13">
        <f t="shared" si="46"/>
        <v>0</v>
      </c>
      <c r="CJ10" s="12"/>
      <c r="CK10" s="13">
        <f t="shared" si="47"/>
        <v>0</v>
      </c>
      <c r="CL10" s="12"/>
      <c r="CM10" s="13">
        <f t="shared" si="48"/>
        <v>0</v>
      </c>
      <c r="CN10" s="12"/>
      <c r="CO10" s="13">
        <f t="shared" si="49"/>
        <v>0</v>
      </c>
      <c r="CP10" s="12"/>
      <c r="CQ10" s="13">
        <f t="shared" si="50"/>
        <v>0</v>
      </c>
      <c r="CR10" s="12"/>
      <c r="CS10" s="13">
        <f t="shared" si="51"/>
        <v>0</v>
      </c>
      <c r="CT10" s="12"/>
      <c r="CU10" s="13">
        <f t="shared" si="52"/>
        <v>0</v>
      </c>
      <c r="CV10" s="12"/>
      <c r="CW10" s="13">
        <f t="shared" si="53"/>
        <v>0</v>
      </c>
      <c r="CX10" s="12"/>
      <c r="CY10" s="13">
        <f t="shared" si="54"/>
        <v>0</v>
      </c>
      <c r="CZ10" s="12"/>
      <c r="DA10" s="13">
        <f t="shared" si="55"/>
        <v>0</v>
      </c>
      <c r="DB10" s="12"/>
      <c r="DC10" s="13">
        <f t="shared" si="0"/>
        <v>0</v>
      </c>
      <c r="DD10" s="12"/>
      <c r="DE10" s="13">
        <f t="shared" si="0"/>
        <v>0</v>
      </c>
      <c r="DF10" s="64">
        <f t="shared" si="56"/>
        <v>0</v>
      </c>
      <c r="DG10" s="15">
        <f t="shared" si="57"/>
        <v>0</v>
      </c>
      <c r="DH10" s="12"/>
      <c r="DI10" s="13">
        <f t="shared" si="58"/>
        <v>0</v>
      </c>
      <c r="DJ10" s="12"/>
      <c r="DK10" s="13">
        <f t="shared" si="1"/>
        <v>0</v>
      </c>
      <c r="DL10" s="12"/>
      <c r="DM10" s="13">
        <f t="shared" si="59"/>
        <v>0</v>
      </c>
      <c r="DN10" s="12"/>
      <c r="DO10" s="13">
        <f t="shared" si="2"/>
        <v>0</v>
      </c>
      <c r="DP10" s="12"/>
      <c r="DQ10" s="13">
        <f t="shared" si="60"/>
        <v>0</v>
      </c>
      <c r="DR10" s="12"/>
      <c r="DS10" s="13">
        <f t="shared" si="61"/>
        <v>0</v>
      </c>
      <c r="DT10" s="12"/>
      <c r="DU10" s="13">
        <f t="shared" si="62"/>
        <v>0</v>
      </c>
      <c r="DV10" s="12"/>
      <c r="DW10" s="13">
        <f t="shared" si="63"/>
        <v>0</v>
      </c>
      <c r="DX10" s="12"/>
      <c r="DY10" s="13">
        <f t="shared" si="64"/>
        <v>0</v>
      </c>
      <c r="DZ10" s="12"/>
      <c r="EA10" s="13">
        <f t="shared" si="65"/>
        <v>0</v>
      </c>
      <c r="EB10" s="12"/>
      <c r="EC10" s="13">
        <f t="shared" si="66"/>
        <v>0</v>
      </c>
      <c r="ED10" s="12"/>
      <c r="EE10" s="13">
        <f t="shared" si="3"/>
        <v>0</v>
      </c>
      <c r="EF10" s="24">
        <f t="shared" si="67"/>
        <v>0</v>
      </c>
      <c r="EG10" s="13">
        <f t="shared" si="68"/>
        <v>0</v>
      </c>
    </row>
    <row r="11" spans="1:137" ht="18" customHeight="1" x14ac:dyDescent="0.5">
      <c r="A11" s="10">
        <v>7</v>
      </c>
      <c r="B11" s="11" t="s">
        <v>24</v>
      </c>
      <c r="C11" s="11" t="s">
        <v>14</v>
      </c>
      <c r="D11" s="10">
        <f t="shared" si="69"/>
        <v>21</v>
      </c>
      <c r="E11" s="10">
        <v>0.64</v>
      </c>
      <c r="F11" s="10" t="s">
        <v>23</v>
      </c>
      <c r="G11" s="10"/>
      <c r="H11" s="12"/>
      <c r="I11" s="13">
        <f t="shared" si="4"/>
        <v>0</v>
      </c>
      <c r="J11" s="12"/>
      <c r="K11" s="13">
        <f t="shared" si="5"/>
        <v>0</v>
      </c>
      <c r="L11" s="12"/>
      <c r="M11" s="13">
        <f t="shared" si="6"/>
        <v>0</v>
      </c>
      <c r="N11" s="12"/>
      <c r="O11" s="13">
        <f t="shared" si="7"/>
        <v>0</v>
      </c>
      <c r="P11" s="12"/>
      <c r="Q11" s="13">
        <f t="shared" si="8"/>
        <v>0</v>
      </c>
      <c r="R11" s="12"/>
      <c r="S11" s="13">
        <f t="shared" si="9"/>
        <v>0</v>
      </c>
      <c r="T11" s="12"/>
      <c r="U11" s="13">
        <f t="shared" si="10"/>
        <v>0</v>
      </c>
      <c r="V11" s="12"/>
      <c r="W11" s="13">
        <f t="shared" si="11"/>
        <v>0</v>
      </c>
      <c r="X11" s="12"/>
      <c r="Y11" s="13">
        <f t="shared" si="12"/>
        <v>0</v>
      </c>
      <c r="Z11" s="12"/>
      <c r="AA11" s="13">
        <f t="shared" si="13"/>
        <v>0</v>
      </c>
      <c r="AB11" s="12"/>
      <c r="AC11" s="13">
        <f t="shared" si="14"/>
        <v>0</v>
      </c>
      <c r="AD11" s="12"/>
      <c r="AE11" s="13">
        <f t="shared" si="15"/>
        <v>0</v>
      </c>
      <c r="AF11" s="14">
        <f t="shared" si="16"/>
        <v>0</v>
      </c>
      <c r="AG11" s="15">
        <f t="shared" si="17"/>
        <v>0</v>
      </c>
      <c r="AH11" s="16"/>
      <c r="AI11" s="13">
        <f t="shared" si="18"/>
        <v>0</v>
      </c>
      <c r="AJ11" s="17"/>
      <c r="AK11" s="13">
        <f t="shared" si="19"/>
        <v>0</v>
      </c>
      <c r="AL11" s="17"/>
      <c r="AM11" s="13">
        <f t="shared" si="20"/>
        <v>0</v>
      </c>
      <c r="AN11" s="18"/>
      <c r="AO11" s="13">
        <f t="shared" si="21"/>
        <v>0</v>
      </c>
      <c r="AP11" s="17"/>
      <c r="AQ11" s="13">
        <f t="shared" si="22"/>
        <v>0</v>
      </c>
      <c r="AR11" s="17"/>
      <c r="AS11" s="13">
        <f t="shared" si="23"/>
        <v>0</v>
      </c>
      <c r="AT11" s="19"/>
      <c r="AU11" s="13">
        <f t="shared" si="24"/>
        <v>0</v>
      </c>
      <c r="AV11" s="17"/>
      <c r="AW11" s="13">
        <f t="shared" si="25"/>
        <v>0</v>
      </c>
      <c r="AX11" s="17"/>
      <c r="AY11" s="13">
        <f t="shared" si="26"/>
        <v>0</v>
      </c>
      <c r="AZ11" s="19"/>
      <c r="BA11" s="13">
        <f t="shared" si="27"/>
        <v>0</v>
      </c>
      <c r="BB11" s="20"/>
      <c r="BC11" s="13">
        <f t="shared" si="28"/>
        <v>0</v>
      </c>
      <c r="BD11" s="20"/>
      <c r="BE11" s="13">
        <f t="shared" si="29"/>
        <v>0</v>
      </c>
      <c r="BF11" s="14">
        <f t="shared" si="30"/>
        <v>0</v>
      </c>
      <c r="BG11" s="15">
        <f t="shared" si="31"/>
        <v>0</v>
      </c>
      <c r="BH11" s="18"/>
      <c r="BI11" s="57">
        <f t="shared" si="32"/>
        <v>0</v>
      </c>
      <c r="BJ11" s="18"/>
      <c r="BK11" s="57">
        <f t="shared" si="33"/>
        <v>0</v>
      </c>
      <c r="BL11" s="18"/>
      <c r="BM11" s="57">
        <f t="shared" si="34"/>
        <v>0</v>
      </c>
      <c r="BN11" s="18"/>
      <c r="BO11" s="57">
        <f t="shared" si="35"/>
        <v>0</v>
      </c>
      <c r="BP11" s="18"/>
      <c r="BQ11" s="57">
        <f t="shared" si="36"/>
        <v>0</v>
      </c>
      <c r="BR11" s="18"/>
      <c r="BS11" s="57">
        <f t="shared" si="37"/>
        <v>0</v>
      </c>
      <c r="BT11" s="18"/>
      <c r="BU11" s="57">
        <f t="shared" si="38"/>
        <v>0</v>
      </c>
      <c r="BV11" s="18"/>
      <c r="BW11" s="57">
        <f t="shared" si="39"/>
        <v>0</v>
      </c>
      <c r="BX11" s="18"/>
      <c r="BY11" s="57">
        <f t="shared" si="40"/>
        <v>0</v>
      </c>
      <c r="BZ11" s="18"/>
      <c r="CA11" s="57">
        <f t="shared" si="41"/>
        <v>0</v>
      </c>
      <c r="CB11" s="18"/>
      <c r="CC11" s="57">
        <f t="shared" si="42"/>
        <v>0</v>
      </c>
      <c r="CD11" s="18"/>
      <c r="CE11" s="57">
        <f t="shared" si="43"/>
        <v>0</v>
      </c>
      <c r="CF11" s="14">
        <f t="shared" si="44"/>
        <v>0</v>
      </c>
      <c r="CG11" s="15">
        <f t="shared" si="45"/>
        <v>0</v>
      </c>
      <c r="CH11" s="12"/>
      <c r="CI11" s="13">
        <f t="shared" si="46"/>
        <v>0</v>
      </c>
      <c r="CJ11" s="12"/>
      <c r="CK11" s="13">
        <f t="shared" si="47"/>
        <v>0</v>
      </c>
      <c r="CL11" s="12"/>
      <c r="CM11" s="13">
        <f t="shared" si="48"/>
        <v>0</v>
      </c>
      <c r="CN11" s="12"/>
      <c r="CO11" s="13">
        <f t="shared" si="49"/>
        <v>0</v>
      </c>
      <c r="CP11" s="12"/>
      <c r="CQ11" s="13">
        <f t="shared" si="50"/>
        <v>0</v>
      </c>
      <c r="CR11" s="12"/>
      <c r="CS11" s="13">
        <f t="shared" si="51"/>
        <v>0</v>
      </c>
      <c r="CT11" s="12"/>
      <c r="CU11" s="13">
        <f t="shared" si="52"/>
        <v>0</v>
      </c>
      <c r="CV11" s="12"/>
      <c r="CW11" s="13">
        <f t="shared" si="53"/>
        <v>0</v>
      </c>
      <c r="CX11" s="12"/>
      <c r="CY11" s="13">
        <f t="shared" si="54"/>
        <v>0</v>
      </c>
      <c r="CZ11" s="12"/>
      <c r="DA11" s="13">
        <f t="shared" si="55"/>
        <v>0</v>
      </c>
      <c r="DB11" s="12"/>
      <c r="DC11" s="13">
        <f t="shared" si="0"/>
        <v>0</v>
      </c>
      <c r="DD11" s="12"/>
      <c r="DE11" s="13">
        <f t="shared" si="0"/>
        <v>0</v>
      </c>
      <c r="DF11" s="64">
        <f t="shared" si="56"/>
        <v>0</v>
      </c>
      <c r="DG11" s="15">
        <f t="shared" si="57"/>
        <v>0</v>
      </c>
      <c r="DH11" s="12"/>
      <c r="DI11" s="13">
        <f t="shared" si="58"/>
        <v>0</v>
      </c>
      <c r="DJ11" s="12"/>
      <c r="DK11" s="13">
        <f t="shared" si="1"/>
        <v>0</v>
      </c>
      <c r="DL11" s="12"/>
      <c r="DM11" s="13">
        <f t="shared" si="59"/>
        <v>0</v>
      </c>
      <c r="DN11" s="12"/>
      <c r="DO11" s="13">
        <f t="shared" si="2"/>
        <v>0</v>
      </c>
      <c r="DP11" s="12"/>
      <c r="DQ11" s="13">
        <f t="shared" si="60"/>
        <v>0</v>
      </c>
      <c r="DR11" s="12"/>
      <c r="DS11" s="13">
        <f t="shared" si="61"/>
        <v>0</v>
      </c>
      <c r="DT11" s="12"/>
      <c r="DU11" s="13">
        <f t="shared" si="62"/>
        <v>0</v>
      </c>
      <c r="DV11" s="12"/>
      <c r="DW11" s="13">
        <f t="shared" si="63"/>
        <v>0</v>
      </c>
      <c r="DX11" s="12"/>
      <c r="DY11" s="13">
        <f t="shared" si="64"/>
        <v>0</v>
      </c>
      <c r="DZ11" s="12"/>
      <c r="EA11" s="13">
        <f t="shared" si="65"/>
        <v>0</v>
      </c>
      <c r="EB11" s="12"/>
      <c r="EC11" s="13">
        <f t="shared" si="66"/>
        <v>0</v>
      </c>
      <c r="ED11" s="12"/>
      <c r="EE11" s="13">
        <f t="shared" si="3"/>
        <v>0</v>
      </c>
      <c r="EF11" s="24">
        <f t="shared" si="67"/>
        <v>0</v>
      </c>
      <c r="EG11" s="13">
        <f t="shared" si="68"/>
        <v>0</v>
      </c>
    </row>
    <row r="12" spans="1:137" ht="18" customHeight="1" x14ac:dyDescent="0.5">
      <c r="A12" s="10">
        <v>8</v>
      </c>
      <c r="B12" s="11" t="s">
        <v>24</v>
      </c>
      <c r="C12" s="11" t="s">
        <v>14</v>
      </c>
      <c r="D12" s="10">
        <f t="shared" si="69"/>
        <v>3</v>
      </c>
      <c r="E12" s="10">
        <v>0.64</v>
      </c>
      <c r="F12" s="10" t="s">
        <v>25</v>
      </c>
      <c r="G12" s="10">
        <v>1500</v>
      </c>
      <c r="H12" s="12">
        <v>31336</v>
      </c>
      <c r="I12" s="13">
        <f t="shared" si="4"/>
        <v>20055.04</v>
      </c>
      <c r="J12" s="12"/>
      <c r="K12" s="13">
        <f t="shared" si="5"/>
        <v>0</v>
      </c>
      <c r="L12" s="12">
        <v>41174</v>
      </c>
      <c r="M12" s="13">
        <f t="shared" si="6"/>
        <v>26351.360000000001</v>
      </c>
      <c r="N12" s="12">
        <v>37772</v>
      </c>
      <c r="O12" s="13">
        <f t="shared" si="7"/>
        <v>24174.080000000002</v>
      </c>
      <c r="P12" s="12">
        <v>47936</v>
      </c>
      <c r="Q12" s="13">
        <f t="shared" si="8"/>
        <v>30679.040000000001</v>
      </c>
      <c r="R12" s="12">
        <v>35826</v>
      </c>
      <c r="S12" s="13">
        <f t="shared" si="9"/>
        <v>22928.639999999999</v>
      </c>
      <c r="T12" s="12">
        <v>37100</v>
      </c>
      <c r="U12" s="13">
        <f t="shared" si="10"/>
        <v>23744</v>
      </c>
      <c r="V12" s="12">
        <v>51772</v>
      </c>
      <c r="W12" s="13">
        <f t="shared" si="11"/>
        <v>33134.080000000002</v>
      </c>
      <c r="X12" s="12">
        <v>34496</v>
      </c>
      <c r="Y12" s="13">
        <f t="shared" si="12"/>
        <v>22077.439999999999</v>
      </c>
      <c r="Z12" s="12">
        <v>21462</v>
      </c>
      <c r="AA12" s="13">
        <f t="shared" si="13"/>
        <v>13735.68</v>
      </c>
      <c r="AB12" s="12">
        <v>26740</v>
      </c>
      <c r="AC12" s="13">
        <f t="shared" si="14"/>
        <v>17113.599999999999</v>
      </c>
      <c r="AD12" s="12">
        <v>42784</v>
      </c>
      <c r="AE12" s="13">
        <f t="shared" si="15"/>
        <v>27381.760000000002</v>
      </c>
      <c r="AF12" s="14">
        <f t="shared" si="16"/>
        <v>34033.166666666664</v>
      </c>
      <c r="AG12" s="15">
        <f t="shared" si="17"/>
        <v>21781.226666666666</v>
      </c>
      <c r="AH12" s="16">
        <v>47815</v>
      </c>
      <c r="AI12" s="13">
        <f t="shared" si="18"/>
        <v>30601.600000000002</v>
      </c>
      <c r="AJ12" s="17">
        <v>33572</v>
      </c>
      <c r="AK12" s="13">
        <f t="shared" si="19"/>
        <v>21486.080000000002</v>
      </c>
      <c r="AL12" s="17">
        <v>43638</v>
      </c>
      <c r="AM12" s="13">
        <f t="shared" si="20"/>
        <v>27928.32</v>
      </c>
      <c r="AN12" s="18">
        <v>40964</v>
      </c>
      <c r="AO12" s="13">
        <f t="shared" si="21"/>
        <v>26216.959999999999</v>
      </c>
      <c r="AP12" s="17">
        <v>38962</v>
      </c>
      <c r="AQ12" s="13">
        <f t="shared" si="22"/>
        <v>24935.68</v>
      </c>
      <c r="AR12" s="17">
        <v>38066</v>
      </c>
      <c r="AS12" s="13">
        <f t="shared" si="23"/>
        <v>24362.240000000002</v>
      </c>
      <c r="AT12" s="19">
        <v>34216</v>
      </c>
      <c r="AU12" s="13">
        <f t="shared" si="24"/>
        <v>21898.240000000002</v>
      </c>
      <c r="AV12" s="17">
        <v>63504</v>
      </c>
      <c r="AW12" s="13">
        <f t="shared" si="25"/>
        <v>40642.559999999998</v>
      </c>
      <c r="AX12" s="17">
        <v>29414</v>
      </c>
      <c r="AY12" s="13">
        <f t="shared" si="26"/>
        <v>18824.96</v>
      </c>
      <c r="AZ12" s="19">
        <v>29232</v>
      </c>
      <c r="BA12" s="13">
        <f t="shared" si="27"/>
        <v>18708.48</v>
      </c>
      <c r="BB12" s="20">
        <v>30534</v>
      </c>
      <c r="BC12" s="13">
        <f t="shared" si="28"/>
        <v>19541.760000000002</v>
      </c>
      <c r="BD12" s="20">
        <v>32956</v>
      </c>
      <c r="BE12" s="13">
        <f t="shared" si="29"/>
        <v>21091.84</v>
      </c>
      <c r="BF12" s="14">
        <f t="shared" si="30"/>
        <v>38572.75</v>
      </c>
      <c r="BG12" s="15">
        <f t="shared" si="31"/>
        <v>24686.560000000001</v>
      </c>
      <c r="BH12" s="23">
        <v>36036</v>
      </c>
      <c r="BI12" s="57">
        <f t="shared" si="32"/>
        <v>23063.040000000001</v>
      </c>
      <c r="BJ12" s="23">
        <v>30366</v>
      </c>
      <c r="BK12" s="57">
        <f t="shared" si="33"/>
        <v>19434.240000000002</v>
      </c>
      <c r="BL12" s="23">
        <v>36890</v>
      </c>
      <c r="BM12" s="57">
        <f t="shared" si="34"/>
        <v>23609.600000000002</v>
      </c>
      <c r="BN12" s="23">
        <v>40880</v>
      </c>
      <c r="BO12" s="57">
        <f t="shared" si="35"/>
        <v>26163.200000000001</v>
      </c>
      <c r="BP12" s="23">
        <v>39648</v>
      </c>
      <c r="BQ12" s="57">
        <f t="shared" si="36"/>
        <v>25374.720000000001</v>
      </c>
      <c r="BR12" s="21">
        <v>37646</v>
      </c>
      <c r="BS12" s="57">
        <f t="shared" si="37"/>
        <v>24093.439999999999</v>
      </c>
      <c r="BT12" s="58">
        <v>44604</v>
      </c>
      <c r="BU12" s="57">
        <f t="shared" si="38"/>
        <v>28546.560000000001</v>
      </c>
      <c r="BV12" s="22">
        <v>43442</v>
      </c>
      <c r="BW12" s="57">
        <f t="shared" si="39"/>
        <v>27802.880000000001</v>
      </c>
      <c r="BX12" s="22">
        <v>27664</v>
      </c>
      <c r="BY12" s="57">
        <f t="shared" si="40"/>
        <v>17704.96</v>
      </c>
      <c r="BZ12" s="22">
        <v>47852</v>
      </c>
      <c r="CA12" s="57">
        <f t="shared" si="41"/>
        <v>30625.279999999999</v>
      </c>
      <c r="CB12" s="23">
        <v>31528</v>
      </c>
      <c r="CC12" s="57">
        <f t="shared" si="42"/>
        <v>20177.920000000002</v>
      </c>
      <c r="CD12" s="23">
        <v>35280</v>
      </c>
      <c r="CE12" s="57">
        <f t="shared" si="43"/>
        <v>22579.200000000001</v>
      </c>
      <c r="CF12" s="14">
        <f t="shared" si="44"/>
        <v>37653</v>
      </c>
      <c r="CG12" s="15">
        <f t="shared" si="45"/>
        <v>24097.920000000002</v>
      </c>
      <c r="CH12" s="12">
        <v>33824</v>
      </c>
      <c r="CI12" s="13">
        <f t="shared" si="46"/>
        <v>21647.360000000001</v>
      </c>
      <c r="CJ12" s="12">
        <v>38360</v>
      </c>
      <c r="CK12" s="13">
        <f t="shared" si="47"/>
        <v>24550.400000000001</v>
      </c>
      <c r="CL12" s="12">
        <v>49336</v>
      </c>
      <c r="CM12" s="13">
        <f t="shared" si="48"/>
        <v>31575.040000000001</v>
      </c>
      <c r="CN12" s="12">
        <v>30996</v>
      </c>
      <c r="CO12" s="13">
        <v>19837.439999999995</v>
      </c>
      <c r="CP12" s="12">
        <v>42126</v>
      </c>
      <c r="CQ12" s="13">
        <f t="shared" si="50"/>
        <v>26960.639999999999</v>
      </c>
      <c r="CR12" s="12">
        <v>28644</v>
      </c>
      <c r="CS12" s="13">
        <f t="shared" si="51"/>
        <v>18332.16</v>
      </c>
      <c r="CT12" s="12">
        <v>42588</v>
      </c>
      <c r="CU12" s="13">
        <f t="shared" si="52"/>
        <v>27256.32</v>
      </c>
      <c r="CV12" s="12">
        <v>33698</v>
      </c>
      <c r="CW12" s="13">
        <f t="shared" si="53"/>
        <v>21566.720000000001</v>
      </c>
      <c r="CX12" s="12">
        <v>32466</v>
      </c>
      <c r="CY12" s="13">
        <f t="shared" si="54"/>
        <v>20778.240000000002</v>
      </c>
      <c r="CZ12" s="12">
        <v>29624</v>
      </c>
      <c r="DA12" s="13">
        <f t="shared" si="55"/>
        <v>18959.36</v>
      </c>
      <c r="DB12" s="12">
        <v>28448</v>
      </c>
      <c r="DC12" s="13">
        <f t="shared" si="0"/>
        <v>18206.72</v>
      </c>
      <c r="DD12" s="12">
        <v>29554</v>
      </c>
      <c r="DE12" s="13">
        <f t="shared" si="0"/>
        <v>18914.560000000001</v>
      </c>
      <c r="DF12" s="64">
        <f t="shared" si="56"/>
        <v>419664</v>
      </c>
      <c r="DG12" s="15">
        <f t="shared" si="57"/>
        <v>268584.96000000002</v>
      </c>
      <c r="DH12" s="12">
        <v>23968</v>
      </c>
      <c r="DI12" s="13">
        <f t="shared" si="58"/>
        <v>15339.52</v>
      </c>
      <c r="DJ12" s="12">
        <v>24696</v>
      </c>
      <c r="DK12" s="13">
        <f t="shared" si="1"/>
        <v>15805.44</v>
      </c>
      <c r="DL12" s="12">
        <v>14504</v>
      </c>
      <c r="DM12" s="13">
        <f t="shared" si="59"/>
        <v>9282.56</v>
      </c>
      <c r="DN12" s="12"/>
      <c r="DO12" s="13">
        <f t="shared" si="2"/>
        <v>0</v>
      </c>
      <c r="DP12" s="12"/>
      <c r="DQ12" s="13">
        <f t="shared" si="60"/>
        <v>0</v>
      </c>
      <c r="DR12" s="12"/>
      <c r="DS12" s="13">
        <f t="shared" si="61"/>
        <v>0</v>
      </c>
      <c r="DT12" s="12"/>
      <c r="DU12" s="13">
        <f t="shared" si="62"/>
        <v>0</v>
      </c>
      <c r="DV12" s="12"/>
      <c r="DW12" s="13">
        <f t="shared" si="63"/>
        <v>0</v>
      </c>
      <c r="DX12" s="12"/>
      <c r="DY12" s="13">
        <f t="shared" si="64"/>
        <v>0</v>
      </c>
      <c r="DZ12" s="12"/>
      <c r="EA12" s="13">
        <f t="shared" si="65"/>
        <v>0</v>
      </c>
      <c r="EB12" s="12"/>
      <c r="EC12" s="13">
        <f t="shared" si="66"/>
        <v>0</v>
      </c>
      <c r="ED12" s="12"/>
      <c r="EE12" s="13">
        <f t="shared" si="3"/>
        <v>0</v>
      </c>
      <c r="EF12" s="24">
        <f t="shared" si="67"/>
        <v>63168</v>
      </c>
      <c r="EG12" s="13">
        <f t="shared" si="68"/>
        <v>40427.520000000004</v>
      </c>
    </row>
    <row r="13" spans="1:137" ht="18" customHeight="1" x14ac:dyDescent="0.5">
      <c r="A13" s="10">
        <v>9</v>
      </c>
      <c r="B13" s="11" t="s">
        <v>24</v>
      </c>
      <c r="C13" s="11" t="s">
        <v>14</v>
      </c>
      <c r="D13" s="10">
        <f t="shared" si="69"/>
        <v>21</v>
      </c>
      <c r="E13" s="10">
        <v>0.64</v>
      </c>
      <c r="F13" s="10" t="s">
        <v>15</v>
      </c>
      <c r="G13" s="10"/>
      <c r="H13" s="12"/>
      <c r="I13" s="13">
        <f t="shared" si="4"/>
        <v>0</v>
      </c>
      <c r="J13" s="12"/>
      <c r="K13" s="13">
        <f t="shared" si="5"/>
        <v>0</v>
      </c>
      <c r="L13" s="12"/>
      <c r="M13" s="13">
        <f t="shared" si="6"/>
        <v>0</v>
      </c>
      <c r="N13" s="12"/>
      <c r="O13" s="13">
        <f t="shared" si="7"/>
        <v>0</v>
      </c>
      <c r="P13" s="12"/>
      <c r="Q13" s="13">
        <f t="shared" si="8"/>
        <v>0</v>
      </c>
      <c r="R13" s="12"/>
      <c r="S13" s="13">
        <f t="shared" si="9"/>
        <v>0</v>
      </c>
      <c r="T13" s="12"/>
      <c r="U13" s="13">
        <f t="shared" si="10"/>
        <v>0</v>
      </c>
      <c r="V13" s="12"/>
      <c r="W13" s="13">
        <f t="shared" si="11"/>
        <v>0</v>
      </c>
      <c r="X13" s="12"/>
      <c r="Y13" s="13">
        <f t="shared" si="12"/>
        <v>0</v>
      </c>
      <c r="Z13" s="12"/>
      <c r="AA13" s="13">
        <f t="shared" si="13"/>
        <v>0</v>
      </c>
      <c r="AB13" s="12"/>
      <c r="AC13" s="13">
        <f t="shared" si="14"/>
        <v>0</v>
      </c>
      <c r="AD13" s="12"/>
      <c r="AE13" s="13">
        <f t="shared" si="15"/>
        <v>0</v>
      </c>
      <c r="AF13" s="14">
        <f t="shared" si="16"/>
        <v>0</v>
      </c>
      <c r="AG13" s="15">
        <f t="shared" si="17"/>
        <v>0</v>
      </c>
      <c r="AH13" s="16"/>
      <c r="AI13" s="13">
        <f t="shared" si="18"/>
        <v>0</v>
      </c>
      <c r="AJ13" s="17"/>
      <c r="AK13" s="13">
        <f t="shared" si="19"/>
        <v>0</v>
      </c>
      <c r="AL13" s="17"/>
      <c r="AM13" s="13">
        <f t="shared" si="20"/>
        <v>0</v>
      </c>
      <c r="AN13" s="18"/>
      <c r="AO13" s="13">
        <f t="shared" si="21"/>
        <v>0</v>
      </c>
      <c r="AP13" s="17"/>
      <c r="AQ13" s="13">
        <f t="shared" si="22"/>
        <v>0</v>
      </c>
      <c r="AR13" s="17"/>
      <c r="AS13" s="13">
        <f t="shared" si="23"/>
        <v>0</v>
      </c>
      <c r="AT13" s="19"/>
      <c r="AU13" s="13">
        <f t="shared" si="24"/>
        <v>0</v>
      </c>
      <c r="AV13" s="17"/>
      <c r="AW13" s="13">
        <f t="shared" si="25"/>
        <v>0</v>
      </c>
      <c r="AX13" s="17"/>
      <c r="AY13" s="13">
        <f t="shared" si="26"/>
        <v>0</v>
      </c>
      <c r="AZ13" s="19"/>
      <c r="BA13" s="13">
        <f t="shared" si="27"/>
        <v>0</v>
      </c>
      <c r="BB13" s="20"/>
      <c r="BC13" s="13">
        <f t="shared" si="28"/>
        <v>0</v>
      </c>
      <c r="BD13" s="20"/>
      <c r="BE13" s="13">
        <f t="shared" si="29"/>
        <v>0</v>
      </c>
      <c r="BF13" s="14">
        <f t="shared" si="30"/>
        <v>0</v>
      </c>
      <c r="BG13" s="15">
        <f t="shared" si="31"/>
        <v>0</v>
      </c>
      <c r="BH13" s="18"/>
      <c r="BI13" s="57">
        <f t="shared" si="32"/>
        <v>0</v>
      </c>
      <c r="BJ13" s="18"/>
      <c r="BK13" s="57">
        <f t="shared" si="33"/>
        <v>0</v>
      </c>
      <c r="BL13" s="18"/>
      <c r="BM13" s="57">
        <f t="shared" si="34"/>
        <v>0</v>
      </c>
      <c r="BN13" s="18"/>
      <c r="BO13" s="57">
        <f t="shared" si="35"/>
        <v>0</v>
      </c>
      <c r="BP13" s="18"/>
      <c r="BQ13" s="57">
        <f t="shared" si="36"/>
        <v>0</v>
      </c>
      <c r="BR13" s="18"/>
      <c r="BS13" s="57">
        <f t="shared" si="37"/>
        <v>0</v>
      </c>
      <c r="BT13" s="18"/>
      <c r="BU13" s="57">
        <f t="shared" si="38"/>
        <v>0</v>
      </c>
      <c r="BV13" s="18"/>
      <c r="BW13" s="57">
        <f t="shared" si="39"/>
        <v>0</v>
      </c>
      <c r="BX13" s="18"/>
      <c r="BY13" s="57">
        <f t="shared" si="40"/>
        <v>0</v>
      </c>
      <c r="BZ13" s="18"/>
      <c r="CA13" s="57">
        <f t="shared" si="41"/>
        <v>0</v>
      </c>
      <c r="CB13" s="18"/>
      <c r="CC13" s="57">
        <f t="shared" si="42"/>
        <v>0</v>
      </c>
      <c r="CD13" s="18"/>
      <c r="CE13" s="57">
        <f t="shared" si="43"/>
        <v>0</v>
      </c>
      <c r="CF13" s="14">
        <f t="shared" si="44"/>
        <v>0</v>
      </c>
      <c r="CG13" s="15">
        <f t="shared" si="45"/>
        <v>0</v>
      </c>
      <c r="CH13" s="12"/>
      <c r="CI13" s="13">
        <f t="shared" si="46"/>
        <v>0</v>
      </c>
      <c r="CJ13" s="12"/>
      <c r="CK13" s="13">
        <f t="shared" si="47"/>
        <v>0</v>
      </c>
      <c r="CL13" s="12"/>
      <c r="CM13" s="13">
        <f t="shared" si="48"/>
        <v>0</v>
      </c>
      <c r="CN13" s="12"/>
      <c r="CO13" s="13">
        <f t="shared" si="49"/>
        <v>0</v>
      </c>
      <c r="CP13" s="12"/>
      <c r="CQ13" s="13">
        <f t="shared" si="50"/>
        <v>0</v>
      </c>
      <c r="CR13" s="12"/>
      <c r="CS13" s="13">
        <f t="shared" si="51"/>
        <v>0</v>
      </c>
      <c r="CT13" s="12"/>
      <c r="CU13" s="13">
        <f t="shared" si="52"/>
        <v>0</v>
      </c>
      <c r="CV13" s="12"/>
      <c r="CW13" s="13">
        <f t="shared" si="53"/>
        <v>0</v>
      </c>
      <c r="CX13" s="12"/>
      <c r="CY13" s="13">
        <f t="shared" si="54"/>
        <v>0</v>
      </c>
      <c r="CZ13" s="12"/>
      <c r="DA13" s="13">
        <f t="shared" si="55"/>
        <v>0</v>
      </c>
      <c r="DB13" s="12"/>
      <c r="DC13" s="13">
        <f t="shared" si="0"/>
        <v>0</v>
      </c>
      <c r="DD13" s="12"/>
      <c r="DE13" s="13">
        <f t="shared" si="0"/>
        <v>0</v>
      </c>
      <c r="DF13" s="64">
        <f t="shared" si="56"/>
        <v>0</v>
      </c>
      <c r="DG13" s="15">
        <f t="shared" si="57"/>
        <v>0</v>
      </c>
      <c r="DH13" s="12"/>
      <c r="DI13" s="13">
        <f t="shared" si="58"/>
        <v>0</v>
      </c>
      <c r="DJ13" s="12"/>
      <c r="DK13" s="13">
        <f t="shared" si="1"/>
        <v>0</v>
      </c>
      <c r="DL13" s="12"/>
      <c r="DM13" s="13">
        <f t="shared" si="59"/>
        <v>0</v>
      </c>
      <c r="DN13" s="12"/>
      <c r="DO13" s="13">
        <f t="shared" si="2"/>
        <v>0</v>
      </c>
      <c r="DP13" s="12"/>
      <c r="DQ13" s="13">
        <f t="shared" si="60"/>
        <v>0</v>
      </c>
      <c r="DR13" s="12"/>
      <c r="DS13" s="13">
        <f t="shared" si="61"/>
        <v>0</v>
      </c>
      <c r="DT13" s="12"/>
      <c r="DU13" s="13">
        <f t="shared" si="62"/>
        <v>0</v>
      </c>
      <c r="DV13" s="12"/>
      <c r="DW13" s="13">
        <f t="shared" si="63"/>
        <v>0</v>
      </c>
      <c r="DX13" s="12"/>
      <c r="DY13" s="13">
        <f t="shared" si="64"/>
        <v>0</v>
      </c>
      <c r="DZ13" s="12"/>
      <c r="EA13" s="13">
        <f t="shared" si="65"/>
        <v>0</v>
      </c>
      <c r="EB13" s="12"/>
      <c r="EC13" s="13">
        <f t="shared" si="66"/>
        <v>0</v>
      </c>
      <c r="ED13" s="12"/>
      <c r="EE13" s="13">
        <f t="shared" si="3"/>
        <v>0</v>
      </c>
      <c r="EF13" s="24">
        <f t="shared" si="67"/>
        <v>0</v>
      </c>
      <c r="EG13" s="13">
        <f t="shared" si="68"/>
        <v>0</v>
      </c>
    </row>
    <row r="14" spans="1:137" ht="18" customHeight="1" x14ac:dyDescent="0.5">
      <c r="A14" s="10">
        <v>10</v>
      </c>
      <c r="B14" s="11" t="s">
        <v>26</v>
      </c>
      <c r="C14" s="11" t="s">
        <v>14</v>
      </c>
      <c r="D14" s="10">
        <f t="shared" si="69"/>
        <v>21</v>
      </c>
      <c r="E14" s="10">
        <v>0.64</v>
      </c>
      <c r="F14" s="10" t="s">
        <v>25</v>
      </c>
      <c r="G14" s="10"/>
      <c r="H14" s="12"/>
      <c r="I14" s="13">
        <f t="shared" si="4"/>
        <v>0</v>
      </c>
      <c r="J14" s="12"/>
      <c r="K14" s="13">
        <f t="shared" si="5"/>
        <v>0</v>
      </c>
      <c r="L14" s="12"/>
      <c r="M14" s="13">
        <f t="shared" si="6"/>
        <v>0</v>
      </c>
      <c r="N14" s="12"/>
      <c r="O14" s="13">
        <f t="shared" si="7"/>
        <v>0</v>
      </c>
      <c r="P14" s="12"/>
      <c r="Q14" s="13">
        <f t="shared" si="8"/>
        <v>0</v>
      </c>
      <c r="R14" s="12"/>
      <c r="S14" s="13">
        <f t="shared" si="9"/>
        <v>0</v>
      </c>
      <c r="T14" s="12"/>
      <c r="U14" s="13">
        <f t="shared" si="10"/>
        <v>0</v>
      </c>
      <c r="V14" s="12"/>
      <c r="W14" s="13">
        <f t="shared" si="11"/>
        <v>0</v>
      </c>
      <c r="X14" s="12"/>
      <c r="Y14" s="13">
        <f t="shared" si="12"/>
        <v>0</v>
      </c>
      <c r="Z14" s="12"/>
      <c r="AA14" s="13">
        <f t="shared" si="13"/>
        <v>0</v>
      </c>
      <c r="AB14" s="12"/>
      <c r="AC14" s="13">
        <f t="shared" si="14"/>
        <v>0</v>
      </c>
      <c r="AD14" s="12"/>
      <c r="AE14" s="13">
        <f t="shared" si="15"/>
        <v>0</v>
      </c>
      <c r="AF14" s="14">
        <f t="shared" si="16"/>
        <v>0</v>
      </c>
      <c r="AG14" s="15">
        <f t="shared" si="17"/>
        <v>0</v>
      </c>
      <c r="AH14" s="16"/>
      <c r="AI14" s="13">
        <f t="shared" si="18"/>
        <v>0</v>
      </c>
      <c r="AJ14" s="17"/>
      <c r="AK14" s="13">
        <f t="shared" si="19"/>
        <v>0</v>
      </c>
      <c r="AL14" s="17"/>
      <c r="AM14" s="13">
        <f t="shared" si="20"/>
        <v>0</v>
      </c>
      <c r="AN14" s="18"/>
      <c r="AO14" s="13">
        <f t="shared" si="21"/>
        <v>0</v>
      </c>
      <c r="AP14" s="17"/>
      <c r="AQ14" s="13">
        <f t="shared" si="22"/>
        <v>0</v>
      </c>
      <c r="AR14" s="17"/>
      <c r="AS14" s="13">
        <f t="shared" si="23"/>
        <v>0</v>
      </c>
      <c r="AT14" s="19"/>
      <c r="AU14" s="13">
        <f t="shared" si="24"/>
        <v>0</v>
      </c>
      <c r="AV14" s="17"/>
      <c r="AW14" s="13">
        <f t="shared" si="25"/>
        <v>0</v>
      </c>
      <c r="AX14" s="17"/>
      <c r="AY14" s="13">
        <f t="shared" si="26"/>
        <v>0</v>
      </c>
      <c r="AZ14" s="19"/>
      <c r="BA14" s="13">
        <f t="shared" si="27"/>
        <v>0</v>
      </c>
      <c r="BB14" s="20"/>
      <c r="BC14" s="13">
        <f t="shared" si="28"/>
        <v>0</v>
      </c>
      <c r="BD14" s="20"/>
      <c r="BE14" s="13">
        <f t="shared" si="29"/>
        <v>0</v>
      </c>
      <c r="BF14" s="14">
        <f t="shared" si="30"/>
        <v>0</v>
      </c>
      <c r="BG14" s="15">
        <f t="shared" si="31"/>
        <v>0</v>
      </c>
      <c r="BH14" s="18"/>
      <c r="BI14" s="57">
        <f t="shared" si="32"/>
        <v>0</v>
      </c>
      <c r="BJ14" s="18"/>
      <c r="BK14" s="57">
        <f t="shared" si="33"/>
        <v>0</v>
      </c>
      <c r="BL14" s="18"/>
      <c r="BM14" s="57">
        <f t="shared" si="34"/>
        <v>0</v>
      </c>
      <c r="BN14" s="18"/>
      <c r="BO14" s="57">
        <f t="shared" si="35"/>
        <v>0</v>
      </c>
      <c r="BP14" s="18"/>
      <c r="BQ14" s="57">
        <f t="shared" si="36"/>
        <v>0</v>
      </c>
      <c r="BR14" s="18"/>
      <c r="BS14" s="57">
        <f t="shared" si="37"/>
        <v>0</v>
      </c>
      <c r="BT14" s="18"/>
      <c r="BU14" s="57">
        <f t="shared" si="38"/>
        <v>0</v>
      </c>
      <c r="BV14" s="18"/>
      <c r="BW14" s="57">
        <f t="shared" si="39"/>
        <v>0</v>
      </c>
      <c r="BX14" s="18"/>
      <c r="BY14" s="57">
        <f t="shared" si="40"/>
        <v>0</v>
      </c>
      <c r="BZ14" s="18"/>
      <c r="CA14" s="57">
        <f t="shared" si="41"/>
        <v>0</v>
      </c>
      <c r="CB14" s="18"/>
      <c r="CC14" s="57">
        <f t="shared" si="42"/>
        <v>0</v>
      </c>
      <c r="CD14" s="18"/>
      <c r="CE14" s="57">
        <f t="shared" si="43"/>
        <v>0</v>
      </c>
      <c r="CF14" s="14">
        <f t="shared" si="44"/>
        <v>0</v>
      </c>
      <c r="CG14" s="15">
        <f t="shared" si="45"/>
        <v>0</v>
      </c>
      <c r="CH14" s="12"/>
      <c r="CI14" s="13">
        <f t="shared" si="46"/>
        <v>0</v>
      </c>
      <c r="CJ14" s="12"/>
      <c r="CK14" s="13">
        <f t="shared" si="47"/>
        <v>0</v>
      </c>
      <c r="CL14" s="12"/>
      <c r="CM14" s="13">
        <f t="shared" si="48"/>
        <v>0</v>
      </c>
      <c r="CN14" s="12"/>
      <c r="CO14" s="13">
        <f t="shared" si="49"/>
        <v>0</v>
      </c>
      <c r="CP14" s="12"/>
      <c r="CQ14" s="13">
        <f t="shared" si="50"/>
        <v>0</v>
      </c>
      <c r="CR14" s="12"/>
      <c r="CS14" s="13">
        <f t="shared" si="51"/>
        <v>0</v>
      </c>
      <c r="CT14" s="12"/>
      <c r="CU14" s="13">
        <f t="shared" si="52"/>
        <v>0</v>
      </c>
      <c r="CV14" s="12"/>
      <c r="CW14" s="13">
        <f t="shared" si="53"/>
        <v>0</v>
      </c>
      <c r="CX14" s="12"/>
      <c r="CY14" s="13">
        <f t="shared" si="54"/>
        <v>0</v>
      </c>
      <c r="CZ14" s="12"/>
      <c r="DA14" s="13">
        <f t="shared" si="55"/>
        <v>0</v>
      </c>
      <c r="DB14" s="12"/>
      <c r="DC14" s="13">
        <f t="shared" si="0"/>
        <v>0</v>
      </c>
      <c r="DD14" s="12"/>
      <c r="DE14" s="13">
        <f t="shared" si="0"/>
        <v>0</v>
      </c>
      <c r="DF14" s="64">
        <f t="shared" si="56"/>
        <v>0</v>
      </c>
      <c r="DG14" s="15">
        <f t="shared" si="57"/>
        <v>0</v>
      </c>
      <c r="DH14" s="12"/>
      <c r="DI14" s="13">
        <f t="shared" si="58"/>
        <v>0</v>
      </c>
      <c r="DJ14" s="12"/>
      <c r="DK14" s="13">
        <f t="shared" si="1"/>
        <v>0</v>
      </c>
      <c r="DL14" s="12"/>
      <c r="DM14" s="13">
        <f t="shared" si="59"/>
        <v>0</v>
      </c>
      <c r="DN14" s="12"/>
      <c r="DO14" s="13">
        <f t="shared" si="2"/>
        <v>0</v>
      </c>
      <c r="DP14" s="12"/>
      <c r="DQ14" s="13">
        <f t="shared" si="60"/>
        <v>0</v>
      </c>
      <c r="DR14" s="12"/>
      <c r="DS14" s="13">
        <f t="shared" si="61"/>
        <v>0</v>
      </c>
      <c r="DT14" s="12"/>
      <c r="DU14" s="13">
        <f t="shared" si="62"/>
        <v>0</v>
      </c>
      <c r="DV14" s="12"/>
      <c r="DW14" s="13">
        <f t="shared" si="63"/>
        <v>0</v>
      </c>
      <c r="DX14" s="12"/>
      <c r="DY14" s="13">
        <f t="shared" si="64"/>
        <v>0</v>
      </c>
      <c r="DZ14" s="12"/>
      <c r="EA14" s="13">
        <f t="shared" si="65"/>
        <v>0</v>
      </c>
      <c r="EB14" s="12"/>
      <c r="EC14" s="13">
        <f t="shared" si="66"/>
        <v>0</v>
      </c>
      <c r="ED14" s="12"/>
      <c r="EE14" s="13">
        <f t="shared" si="3"/>
        <v>0</v>
      </c>
      <c r="EF14" s="24">
        <f t="shared" si="67"/>
        <v>0</v>
      </c>
      <c r="EG14" s="13">
        <f t="shared" si="68"/>
        <v>0</v>
      </c>
    </row>
    <row r="15" spans="1:137" ht="22.5" customHeight="1" x14ac:dyDescent="0.5">
      <c r="A15" s="10"/>
      <c r="B15" s="11"/>
      <c r="C15" s="11"/>
      <c r="D15" s="10"/>
      <c r="E15" s="10"/>
      <c r="F15" s="10"/>
      <c r="G15" s="10"/>
      <c r="H15" s="12"/>
      <c r="I15" s="13">
        <f t="shared" si="4"/>
        <v>0</v>
      </c>
      <c r="J15" s="12"/>
      <c r="K15" s="13">
        <f t="shared" si="5"/>
        <v>0</v>
      </c>
      <c r="L15" s="12"/>
      <c r="M15" s="13">
        <f t="shared" si="6"/>
        <v>0</v>
      </c>
      <c r="N15" s="12"/>
      <c r="O15" s="13">
        <f t="shared" si="7"/>
        <v>0</v>
      </c>
      <c r="P15" s="12"/>
      <c r="Q15" s="13">
        <f t="shared" si="8"/>
        <v>0</v>
      </c>
      <c r="R15" s="12"/>
      <c r="S15" s="13">
        <f t="shared" si="9"/>
        <v>0</v>
      </c>
      <c r="T15" s="12"/>
      <c r="U15" s="13">
        <f t="shared" si="10"/>
        <v>0</v>
      </c>
      <c r="V15" s="12"/>
      <c r="W15" s="13">
        <f t="shared" si="11"/>
        <v>0</v>
      </c>
      <c r="X15" s="12"/>
      <c r="Y15" s="13">
        <f t="shared" si="12"/>
        <v>0</v>
      </c>
      <c r="Z15" s="12"/>
      <c r="AA15" s="13">
        <f t="shared" si="13"/>
        <v>0</v>
      </c>
      <c r="AB15" s="12"/>
      <c r="AC15" s="13">
        <f t="shared" si="14"/>
        <v>0</v>
      </c>
      <c r="AD15" s="12"/>
      <c r="AE15" s="13">
        <f t="shared" si="15"/>
        <v>0</v>
      </c>
      <c r="AF15" s="14">
        <f t="shared" si="16"/>
        <v>0</v>
      </c>
      <c r="AG15" s="15">
        <f t="shared" si="17"/>
        <v>0</v>
      </c>
      <c r="AH15" s="16"/>
      <c r="AI15" s="13">
        <f t="shared" si="18"/>
        <v>0</v>
      </c>
      <c r="AJ15" s="17"/>
      <c r="AK15" s="13">
        <f t="shared" si="19"/>
        <v>0</v>
      </c>
      <c r="AL15" s="17"/>
      <c r="AM15" s="13">
        <f t="shared" si="20"/>
        <v>0</v>
      </c>
      <c r="AN15" s="18"/>
      <c r="AO15" s="13">
        <f t="shared" si="21"/>
        <v>0</v>
      </c>
      <c r="AP15" s="17"/>
      <c r="AQ15" s="13">
        <f t="shared" si="22"/>
        <v>0</v>
      </c>
      <c r="AR15" s="17"/>
      <c r="AS15" s="13">
        <f t="shared" si="23"/>
        <v>0</v>
      </c>
      <c r="AT15" s="19"/>
      <c r="AU15" s="13">
        <f t="shared" si="24"/>
        <v>0</v>
      </c>
      <c r="AV15" s="17"/>
      <c r="AW15" s="13">
        <f t="shared" si="25"/>
        <v>0</v>
      </c>
      <c r="AX15" s="17"/>
      <c r="AY15" s="13">
        <f t="shared" si="26"/>
        <v>0</v>
      </c>
      <c r="AZ15" s="19"/>
      <c r="BA15" s="13">
        <f t="shared" si="27"/>
        <v>0</v>
      </c>
      <c r="BB15" s="20"/>
      <c r="BC15" s="13">
        <f t="shared" si="28"/>
        <v>0</v>
      </c>
      <c r="BD15" s="20"/>
      <c r="BE15" s="13">
        <f t="shared" si="29"/>
        <v>0</v>
      </c>
      <c r="BF15" s="14">
        <f t="shared" si="30"/>
        <v>0</v>
      </c>
      <c r="BG15" s="15">
        <f t="shared" si="31"/>
        <v>0</v>
      </c>
      <c r="BH15" s="18"/>
      <c r="BI15" s="57">
        <f t="shared" si="32"/>
        <v>0</v>
      </c>
      <c r="BJ15" s="18"/>
      <c r="BK15" s="57">
        <f t="shared" si="33"/>
        <v>0</v>
      </c>
      <c r="BL15" s="18"/>
      <c r="BM15" s="57">
        <f t="shared" si="34"/>
        <v>0</v>
      </c>
      <c r="BN15" s="18"/>
      <c r="BO15" s="57">
        <f t="shared" si="35"/>
        <v>0</v>
      </c>
      <c r="BP15" s="18"/>
      <c r="BQ15" s="57">
        <f t="shared" si="36"/>
        <v>0</v>
      </c>
      <c r="BR15" s="18"/>
      <c r="BS15" s="57">
        <f t="shared" si="37"/>
        <v>0</v>
      </c>
      <c r="BT15" s="18"/>
      <c r="BU15" s="57">
        <f t="shared" si="38"/>
        <v>0</v>
      </c>
      <c r="BV15" s="18"/>
      <c r="BW15" s="57">
        <f t="shared" si="39"/>
        <v>0</v>
      </c>
      <c r="BX15" s="18"/>
      <c r="BY15" s="57">
        <f t="shared" si="40"/>
        <v>0</v>
      </c>
      <c r="BZ15" s="18"/>
      <c r="CA15" s="57">
        <f t="shared" si="41"/>
        <v>0</v>
      </c>
      <c r="CB15" s="18"/>
      <c r="CC15" s="57">
        <f t="shared" si="42"/>
        <v>0</v>
      </c>
      <c r="CD15" s="18"/>
      <c r="CE15" s="57">
        <f t="shared" si="43"/>
        <v>0</v>
      </c>
      <c r="CF15" s="14">
        <f t="shared" si="44"/>
        <v>0</v>
      </c>
      <c r="CG15" s="15">
        <f t="shared" si="45"/>
        <v>0</v>
      </c>
      <c r="CH15" s="12"/>
      <c r="CI15" s="13">
        <f t="shared" si="46"/>
        <v>0</v>
      </c>
      <c r="CJ15" s="12"/>
      <c r="CK15" s="13">
        <f t="shared" si="47"/>
        <v>0</v>
      </c>
      <c r="CL15" s="12"/>
      <c r="CM15" s="13">
        <f t="shared" si="48"/>
        <v>0</v>
      </c>
      <c r="CN15" s="12"/>
      <c r="CO15" s="13">
        <f t="shared" si="49"/>
        <v>0</v>
      </c>
      <c r="CP15" s="12"/>
      <c r="CQ15" s="13">
        <f t="shared" si="50"/>
        <v>0</v>
      </c>
      <c r="CR15" s="12"/>
      <c r="CS15" s="13">
        <f t="shared" si="51"/>
        <v>0</v>
      </c>
      <c r="CT15" s="12"/>
      <c r="CU15" s="13">
        <f t="shared" si="52"/>
        <v>0</v>
      </c>
      <c r="CV15" s="12"/>
      <c r="CW15" s="13">
        <f t="shared" si="53"/>
        <v>0</v>
      </c>
      <c r="CX15" s="12"/>
      <c r="CY15" s="13">
        <f t="shared" si="54"/>
        <v>0</v>
      </c>
      <c r="CZ15" s="12"/>
      <c r="DA15" s="13">
        <f t="shared" si="55"/>
        <v>0</v>
      </c>
      <c r="DB15" s="12"/>
      <c r="DC15" s="13">
        <f t="shared" si="0"/>
        <v>0</v>
      </c>
      <c r="DD15" s="12"/>
      <c r="DE15" s="13">
        <f t="shared" si="0"/>
        <v>0</v>
      </c>
      <c r="DF15" s="64">
        <f t="shared" si="56"/>
        <v>0</v>
      </c>
      <c r="DG15" s="15">
        <f t="shared" si="57"/>
        <v>0</v>
      </c>
      <c r="DH15" s="12"/>
      <c r="DI15" s="13">
        <f t="shared" si="58"/>
        <v>0</v>
      </c>
      <c r="DJ15" s="12"/>
      <c r="DK15" s="13">
        <f t="shared" si="1"/>
        <v>0</v>
      </c>
      <c r="DL15" s="12"/>
      <c r="DM15" s="13">
        <f t="shared" si="59"/>
        <v>0</v>
      </c>
      <c r="DN15" s="12"/>
      <c r="DO15" s="13">
        <f t="shared" si="2"/>
        <v>0</v>
      </c>
      <c r="DP15" s="12"/>
      <c r="DQ15" s="13">
        <f t="shared" si="60"/>
        <v>0</v>
      </c>
      <c r="DR15" s="12"/>
      <c r="DS15" s="13">
        <f t="shared" si="61"/>
        <v>0</v>
      </c>
      <c r="DT15" s="12"/>
      <c r="DU15" s="13">
        <f t="shared" si="62"/>
        <v>0</v>
      </c>
      <c r="DV15" s="12"/>
      <c r="DW15" s="13">
        <f t="shared" si="63"/>
        <v>0</v>
      </c>
      <c r="DX15" s="12"/>
      <c r="DY15" s="13">
        <f t="shared" si="64"/>
        <v>0</v>
      </c>
      <c r="DZ15" s="12"/>
      <c r="EA15" s="13">
        <f t="shared" si="65"/>
        <v>0</v>
      </c>
      <c r="EB15" s="12"/>
      <c r="EC15" s="13">
        <f t="shared" si="66"/>
        <v>0</v>
      </c>
      <c r="ED15" s="12"/>
      <c r="EE15" s="13">
        <f t="shared" si="3"/>
        <v>0</v>
      </c>
      <c r="EF15" s="24">
        <f t="shared" si="67"/>
        <v>0</v>
      </c>
      <c r="EG15" s="13">
        <f t="shared" si="68"/>
        <v>0</v>
      </c>
    </row>
    <row r="16" spans="1:137" ht="18" customHeight="1" x14ac:dyDescent="0.5">
      <c r="A16" s="10">
        <v>11</v>
      </c>
      <c r="B16" s="11" t="s">
        <v>27</v>
      </c>
      <c r="C16" s="11" t="s">
        <v>17</v>
      </c>
      <c r="D16" s="10">
        <f t="shared" ref="D16:D24" si="70">RANK(DF16,$DF$4:$DF$147)</f>
        <v>18</v>
      </c>
      <c r="E16" s="10">
        <v>1</v>
      </c>
      <c r="F16" s="10" t="s">
        <v>15</v>
      </c>
      <c r="G16" s="10">
        <v>1620</v>
      </c>
      <c r="H16" s="12"/>
      <c r="I16" s="13">
        <f t="shared" si="4"/>
        <v>0</v>
      </c>
      <c r="J16" s="12"/>
      <c r="K16" s="13">
        <f t="shared" si="5"/>
        <v>0</v>
      </c>
      <c r="L16" s="12"/>
      <c r="M16" s="13">
        <f t="shared" si="6"/>
        <v>0</v>
      </c>
      <c r="N16" s="12"/>
      <c r="O16" s="13">
        <f t="shared" si="7"/>
        <v>0</v>
      </c>
      <c r="P16" s="12"/>
      <c r="Q16" s="13">
        <f t="shared" si="8"/>
        <v>0</v>
      </c>
      <c r="R16" s="12"/>
      <c r="S16" s="13">
        <f t="shared" si="9"/>
        <v>0</v>
      </c>
      <c r="T16" s="12"/>
      <c r="U16" s="13">
        <f t="shared" si="10"/>
        <v>0</v>
      </c>
      <c r="V16" s="12"/>
      <c r="W16" s="13">
        <f t="shared" si="11"/>
        <v>0</v>
      </c>
      <c r="X16" s="12"/>
      <c r="Y16" s="13">
        <f t="shared" si="12"/>
        <v>0</v>
      </c>
      <c r="Z16" s="12"/>
      <c r="AA16" s="13">
        <f t="shared" si="13"/>
        <v>0</v>
      </c>
      <c r="AB16" s="12"/>
      <c r="AC16" s="13">
        <f t="shared" si="14"/>
        <v>0</v>
      </c>
      <c r="AD16" s="12"/>
      <c r="AE16" s="13">
        <f t="shared" si="15"/>
        <v>0</v>
      </c>
      <c r="AF16" s="14">
        <f t="shared" si="16"/>
        <v>0</v>
      </c>
      <c r="AG16" s="15">
        <f t="shared" si="17"/>
        <v>0</v>
      </c>
      <c r="AH16" s="16"/>
      <c r="AI16" s="13">
        <f t="shared" si="18"/>
        <v>0</v>
      </c>
      <c r="AJ16" s="17"/>
      <c r="AK16" s="13">
        <f t="shared" si="19"/>
        <v>0</v>
      </c>
      <c r="AL16" s="17"/>
      <c r="AM16" s="13">
        <f t="shared" si="20"/>
        <v>0</v>
      </c>
      <c r="AN16" s="18"/>
      <c r="AO16" s="13">
        <f t="shared" si="21"/>
        <v>0</v>
      </c>
      <c r="AP16" s="17"/>
      <c r="AQ16" s="13">
        <f t="shared" si="22"/>
        <v>0</v>
      </c>
      <c r="AR16" s="17"/>
      <c r="AS16" s="13">
        <f t="shared" si="23"/>
        <v>0</v>
      </c>
      <c r="AT16" s="19"/>
      <c r="AU16" s="13">
        <f t="shared" si="24"/>
        <v>0</v>
      </c>
      <c r="AV16" s="17"/>
      <c r="AW16" s="13">
        <f t="shared" si="25"/>
        <v>0</v>
      </c>
      <c r="AX16" s="17"/>
      <c r="AY16" s="13">
        <f t="shared" si="26"/>
        <v>0</v>
      </c>
      <c r="AZ16" s="19"/>
      <c r="BA16" s="13">
        <f t="shared" si="27"/>
        <v>0</v>
      </c>
      <c r="BB16" s="20"/>
      <c r="BC16" s="13">
        <f t="shared" si="28"/>
        <v>0</v>
      </c>
      <c r="BD16" s="20"/>
      <c r="BE16" s="13">
        <f t="shared" si="29"/>
        <v>0</v>
      </c>
      <c r="BF16" s="14">
        <f t="shared" si="30"/>
        <v>0</v>
      </c>
      <c r="BG16" s="15">
        <f t="shared" si="31"/>
        <v>0</v>
      </c>
      <c r="BH16" s="18"/>
      <c r="BI16" s="57">
        <f t="shared" si="32"/>
        <v>0</v>
      </c>
      <c r="BJ16" s="18"/>
      <c r="BK16" s="57">
        <f t="shared" si="33"/>
        <v>0</v>
      </c>
      <c r="BL16" s="18"/>
      <c r="BM16" s="57">
        <f t="shared" si="34"/>
        <v>0</v>
      </c>
      <c r="BN16" s="18"/>
      <c r="BO16" s="57">
        <f t="shared" si="35"/>
        <v>0</v>
      </c>
      <c r="BP16" s="18"/>
      <c r="BQ16" s="57">
        <f t="shared" si="36"/>
        <v>0</v>
      </c>
      <c r="BR16" s="18"/>
      <c r="BS16" s="57">
        <f t="shared" si="37"/>
        <v>0</v>
      </c>
      <c r="BT16" s="18"/>
      <c r="BU16" s="57">
        <f t="shared" si="38"/>
        <v>0</v>
      </c>
      <c r="BV16" s="18"/>
      <c r="BW16" s="57">
        <f t="shared" si="39"/>
        <v>0</v>
      </c>
      <c r="BX16" s="18"/>
      <c r="BY16" s="57">
        <f t="shared" si="40"/>
        <v>0</v>
      </c>
      <c r="BZ16" s="18"/>
      <c r="CA16" s="57">
        <f t="shared" si="41"/>
        <v>0</v>
      </c>
      <c r="CB16" s="18"/>
      <c r="CC16" s="57">
        <f t="shared" si="42"/>
        <v>0</v>
      </c>
      <c r="CD16" s="18"/>
      <c r="CE16" s="57">
        <f t="shared" si="43"/>
        <v>0</v>
      </c>
      <c r="CF16" s="14">
        <f t="shared" si="44"/>
        <v>0</v>
      </c>
      <c r="CG16" s="15">
        <f t="shared" si="45"/>
        <v>0</v>
      </c>
      <c r="CH16" s="12">
        <v>24</v>
      </c>
      <c r="CI16" s="13">
        <f t="shared" si="46"/>
        <v>24</v>
      </c>
      <c r="CJ16" s="12"/>
      <c r="CK16" s="13">
        <f t="shared" si="47"/>
        <v>0</v>
      </c>
      <c r="CL16" s="12"/>
      <c r="CM16" s="13">
        <f t="shared" si="48"/>
        <v>0</v>
      </c>
      <c r="CN16" s="12"/>
      <c r="CO16" s="13">
        <f t="shared" si="49"/>
        <v>0</v>
      </c>
      <c r="CP16" s="12"/>
      <c r="CQ16" s="13">
        <f t="shared" si="50"/>
        <v>0</v>
      </c>
      <c r="CR16" s="12"/>
      <c r="CS16" s="13">
        <f t="shared" si="51"/>
        <v>0</v>
      </c>
      <c r="CT16" s="12">
        <v>192</v>
      </c>
      <c r="CU16" s="13">
        <f t="shared" si="52"/>
        <v>192</v>
      </c>
      <c r="CV16" s="12">
        <v>60</v>
      </c>
      <c r="CW16" s="13">
        <f t="shared" si="53"/>
        <v>60</v>
      </c>
      <c r="CX16" s="12"/>
      <c r="CY16" s="13">
        <f t="shared" si="54"/>
        <v>0</v>
      </c>
      <c r="CZ16" s="12"/>
      <c r="DA16" s="13">
        <f t="shared" si="55"/>
        <v>0</v>
      </c>
      <c r="DB16" s="12"/>
      <c r="DC16" s="13">
        <f t="shared" si="0"/>
        <v>0</v>
      </c>
      <c r="DD16" s="12"/>
      <c r="DE16" s="13">
        <f t="shared" si="0"/>
        <v>0</v>
      </c>
      <c r="DF16" s="64">
        <f t="shared" si="56"/>
        <v>276</v>
      </c>
      <c r="DG16" s="15">
        <f t="shared" si="57"/>
        <v>276</v>
      </c>
      <c r="DH16" s="12">
        <v>171</v>
      </c>
      <c r="DI16" s="13">
        <f>DH16*$E16</f>
        <v>171</v>
      </c>
      <c r="DJ16" s="12">
        <v>730</v>
      </c>
      <c r="DK16" s="13">
        <f t="shared" si="1"/>
        <v>730</v>
      </c>
      <c r="DL16" s="12">
        <v>657</v>
      </c>
      <c r="DM16" s="13">
        <f t="shared" si="59"/>
        <v>657</v>
      </c>
      <c r="DN16" s="12"/>
      <c r="DO16" s="13">
        <f t="shared" si="2"/>
        <v>0</v>
      </c>
      <c r="DP16" s="12"/>
      <c r="DQ16" s="13">
        <f t="shared" si="60"/>
        <v>0</v>
      </c>
      <c r="DR16" s="12"/>
      <c r="DS16" s="13">
        <f t="shared" si="61"/>
        <v>0</v>
      </c>
      <c r="DT16" s="12"/>
      <c r="DU16" s="13">
        <f t="shared" si="62"/>
        <v>0</v>
      </c>
      <c r="DV16" s="12"/>
      <c r="DW16" s="13">
        <f t="shared" si="63"/>
        <v>0</v>
      </c>
      <c r="DX16" s="12"/>
      <c r="DY16" s="13">
        <f t="shared" si="64"/>
        <v>0</v>
      </c>
      <c r="DZ16" s="12"/>
      <c r="EA16" s="13">
        <f t="shared" si="65"/>
        <v>0</v>
      </c>
      <c r="EB16" s="12"/>
      <c r="EC16" s="13">
        <f t="shared" si="66"/>
        <v>0</v>
      </c>
      <c r="ED16" s="12"/>
      <c r="EE16" s="13">
        <f t="shared" si="3"/>
        <v>0</v>
      </c>
      <c r="EF16" s="24">
        <f t="shared" si="67"/>
        <v>1558</v>
      </c>
      <c r="EG16" s="13">
        <f t="shared" si="68"/>
        <v>1558</v>
      </c>
    </row>
    <row r="17" spans="1:137" ht="18" customHeight="1" x14ac:dyDescent="0.5">
      <c r="A17" s="10">
        <v>12</v>
      </c>
      <c r="B17" s="11" t="s">
        <v>28</v>
      </c>
      <c r="C17" s="11" t="s">
        <v>17</v>
      </c>
      <c r="D17" s="10">
        <f t="shared" si="70"/>
        <v>14</v>
      </c>
      <c r="E17" s="10">
        <v>1</v>
      </c>
      <c r="F17" s="10" t="s">
        <v>15</v>
      </c>
      <c r="G17" s="10">
        <v>1970</v>
      </c>
      <c r="H17" s="12"/>
      <c r="I17" s="13">
        <f t="shared" si="4"/>
        <v>0</v>
      </c>
      <c r="J17" s="12"/>
      <c r="K17" s="13">
        <f t="shared" si="5"/>
        <v>0</v>
      </c>
      <c r="L17" s="12"/>
      <c r="M17" s="13">
        <f t="shared" si="6"/>
        <v>0</v>
      </c>
      <c r="N17" s="12"/>
      <c r="O17" s="13">
        <f t="shared" si="7"/>
        <v>0</v>
      </c>
      <c r="P17" s="12"/>
      <c r="Q17" s="13">
        <f t="shared" si="8"/>
        <v>0</v>
      </c>
      <c r="R17" s="12"/>
      <c r="S17" s="13">
        <f t="shared" si="9"/>
        <v>0</v>
      </c>
      <c r="T17" s="12"/>
      <c r="U17" s="13">
        <f t="shared" si="10"/>
        <v>0</v>
      </c>
      <c r="V17" s="12"/>
      <c r="W17" s="13">
        <f t="shared" si="11"/>
        <v>0</v>
      </c>
      <c r="X17" s="12"/>
      <c r="Y17" s="13">
        <f t="shared" si="12"/>
        <v>0</v>
      </c>
      <c r="Z17" s="12"/>
      <c r="AA17" s="13">
        <f t="shared" si="13"/>
        <v>0</v>
      </c>
      <c r="AB17" s="12"/>
      <c r="AC17" s="13">
        <f t="shared" si="14"/>
        <v>0</v>
      </c>
      <c r="AD17" s="12"/>
      <c r="AE17" s="13">
        <f t="shared" si="15"/>
        <v>0</v>
      </c>
      <c r="AF17" s="14">
        <f t="shared" si="16"/>
        <v>0</v>
      </c>
      <c r="AG17" s="15">
        <f t="shared" si="17"/>
        <v>0</v>
      </c>
      <c r="AH17" s="16"/>
      <c r="AI17" s="13">
        <f t="shared" si="18"/>
        <v>0</v>
      </c>
      <c r="AJ17" s="17"/>
      <c r="AK17" s="13">
        <f t="shared" si="19"/>
        <v>0</v>
      </c>
      <c r="AL17" s="17">
        <v>84</v>
      </c>
      <c r="AM17" s="13">
        <f t="shared" si="20"/>
        <v>84</v>
      </c>
      <c r="AN17" s="18">
        <v>336</v>
      </c>
      <c r="AO17" s="13">
        <f t="shared" si="21"/>
        <v>336</v>
      </c>
      <c r="AP17" s="17"/>
      <c r="AQ17" s="13">
        <f t="shared" si="22"/>
        <v>0</v>
      </c>
      <c r="AR17" s="17"/>
      <c r="AS17" s="13">
        <f t="shared" si="23"/>
        <v>0</v>
      </c>
      <c r="AT17" s="19">
        <v>72</v>
      </c>
      <c r="AU17" s="13">
        <f t="shared" si="24"/>
        <v>72</v>
      </c>
      <c r="AV17" s="17"/>
      <c r="AW17" s="13">
        <f t="shared" si="25"/>
        <v>0</v>
      </c>
      <c r="AX17" s="17"/>
      <c r="AY17" s="13">
        <f t="shared" si="26"/>
        <v>0</v>
      </c>
      <c r="AZ17" s="19"/>
      <c r="BA17" s="13">
        <f t="shared" si="27"/>
        <v>0</v>
      </c>
      <c r="BB17" s="20"/>
      <c r="BC17" s="13">
        <f t="shared" si="28"/>
        <v>0</v>
      </c>
      <c r="BD17" s="20"/>
      <c r="BE17" s="13">
        <f t="shared" si="29"/>
        <v>0</v>
      </c>
      <c r="BF17" s="14">
        <f t="shared" si="30"/>
        <v>41</v>
      </c>
      <c r="BG17" s="15">
        <f t="shared" si="31"/>
        <v>41</v>
      </c>
      <c r="BH17" s="18"/>
      <c r="BI17" s="57">
        <f t="shared" si="32"/>
        <v>0</v>
      </c>
      <c r="BJ17" s="18"/>
      <c r="BK17" s="57">
        <f t="shared" si="33"/>
        <v>0</v>
      </c>
      <c r="BL17" s="18"/>
      <c r="BM17" s="57">
        <f t="shared" si="34"/>
        <v>0</v>
      </c>
      <c r="BN17" s="18"/>
      <c r="BO17" s="57">
        <f t="shared" si="35"/>
        <v>0</v>
      </c>
      <c r="BP17" s="18"/>
      <c r="BQ17" s="57">
        <f t="shared" si="36"/>
        <v>0</v>
      </c>
      <c r="BR17" s="21"/>
      <c r="BS17" s="57">
        <f t="shared" si="37"/>
        <v>0</v>
      </c>
      <c r="BT17" s="18"/>
      <c r="BU17" s="57">
        <f t="shared" si="38"/>
        <v>0</v>
      </c>
      <c r="BV17" s="18"/>
      <c r="BW17" s="57">
        <f t="shared" si="39"/>
        <v>0</v>
      </c>
      <c r="BX17" s="18"/>
      <c r="BY17" s="57">
        <f t="shared" si="40"/>
        <v>0</v>
      </c>
      <c r="BZ17" s="18"/>
      <c r="CA17" s="57">
        <f t="shared" si="41"/>
        <v>0</v>
      </c>
      <c r="CB17" s="18"/>
      <c r="CC17" s="57">
        <f t="shared" si="42"/>
        <v>0</v>
      </c>
      <c r="CD17" s="18"/>
      <c r="CE17" s="57">
        <f t="shared" si="43"/>
        <v>0</v>
      </c>
      <c r="CF17" s="14">
        <f t="shared" si="44"/>
        <v>0</v>
      </c>
      <c r="CG17" s="15">
        <f t="shared" si="45"/>
        <v>0</v>
      </c>
      <c r="CH17" s="12"/>
      <c r="CI17" s="13">
        <f t="shared" si="46"/>
        <v>0</v>
      </c>
      <c r="CJ17" s="12"/>
      <c r="CK17" s="13">
        <f t="shared" si="47"/>
        <v>0</v>
      </c>
      <c r="CL17" s="12"/>
      <c r="CM17" s="13">
        <f t="shared" si="48"/>
        <v>0</v>
      </c>
      <c r="CN17" s="12"/>
      <c r="CO17" s="13">
        <f t="shared" si="49"/>
        <v>0</v>
      </c>
      <c r="CP17" s="12"/>
      <c r="CQ17" s="13">
        <f t="shared" si="50"/>
        <v>0</v>
      </c>
      <c r="CR17" s="12"/>
      <c r="CS17" s="13">
        <f t="shared" si="51"/>
        <v>0</v>
      </c>
      <c r="CT17" s="12">
        <v>206</v>
      </c>
      <c r="CU17" s="13">
        <f t="shared" si="52"/>
        <v>206</v>
      </c>
      <c r="CV17" s="12">
        <v>480</v>
      </c>
      <c r="CW17" s="13">
        <f t="shared" si="53"/>
        <v>480</v>
      </c>
      <c r="CX17" s="12">
        <v>468</v>
      </c>
      <c r="CY17" s="13">
        <f t="shared" si="54"/>
        <v>468</v>
      </c>
      <c r="CZ17" s="12">
        <v>300</v>
      </c>
      <c r="DA17" s="13">
        <f t="shared" si="55"/>
        <v>300</v>
      </c>
      <c r="DB17" s="12">
        <v>120</v>
      </c>
      <c r="DC17" s="13">
        <f t="shared" si="0"/>
        <v>120</v>
      </c>
      <c r="DD17" s="12">
        <v>360</v>
      </c>
      <c r="DE17" s="13">
        <f t="shared" si="0"/>
        <v>360</v>
      </c>
      <c r="DF17" s="64">
        <f t="shared" si="56"/>
        <v>1934</v>
      </c>
      <c r="DG17" s="15">
        <f t="shared" si="57"/>
        <v>1934</v>
      </c>
      <c r="DH17" s="12">
        <v>643</v>
      </c>
      <c r="DI17" s="13">
        <f>DH17*$E17</f>
        <v>643</v>
      </c>
      <c r="DJ17" s="12">
        <v>639</v>
      </c>
      <c r="DK17" s="13">
        <f t="shared" si="1"/>
        <v>639</v>
      </c>
      <c r="DL17" s="12">
        <v>885</v>
      </c>
      <c r="DM17" s="13">
        <f t="shared" si="59"/>
        <v>885</v>
      </c>
      <c r="DN17" s="12"/>
      <c r="DO17" s="13">
        <f t="shared" si="2"/>
        <v>0</v>
      </c>
      <c r="DP17" s="12"/>
      <c r="DQ17" s="13">
        <f t="shared" si="60"/>
        <v>0</v>
      </c>
      <c r="DR17" s="12"/>
      <c r="DS17" s="13">
        <f t="shared" si="61"/>
        <v>0</v>
      </c>
      <c r="DT17" s="12"/>
      <c r="DU17" s="13">
        <f t="shared" si="62"/>
        <v>0</v>
      </c>
      <c r="DV17" s="12"/>
      <c r="DW17" s="13">
        <f t="shared" si="63"/>
        <v>0</v>
      </c>
      <c r="DX17" s="12"/>
      <c r="DY17" s="13">
        <f t="shared" si="64"/>
        <v>0</v>
      </c>
      <c r="DZ17" s="12"/>
      <c r="EA17" s="13">
        <f t="shared" si="65"/>
        <v>0</v>
      </c>
      <c r="EB17" s="12"/>
      <c r="EC17" s="13">
        <f t="shared" si="66"/>
        <v>0</v>
      </c>
      <c r="ED17" s="12"/>
      <c r="EE17" s="13">
        <f t="shared" si="3"/>
        <v>0</v>
      </c>
      <c r="EF17" s="24">
        <f t="shared" si="67"/>
        <v>2167</v>
      </c>
      <c r="EG17" s="13">
        <f t="shared" si="68"/>
        <v>2167</v>
      </c>
    </row>
    <row r="18" spans="1:137" ht="18" customHeight="1" x14ac:dyDescent="0.5">
      <c r="A18" s="10">
        <v>13</v>
      </c>
      <c r="B18" s="11" t="s">
        <v>29</v>
      </c>
      <c r="C18" s="11" t="s">
        <v>17</v>
      </c>
      <c r="D18" s="10">
        <f t="shared" si="70"/>
        <v>21</v>
      </c>
      <c r="E18" s="10">
        <v>0.6</v>
      </c>
      <c r="F18" s="10" t="s">
        <v>15</v>
      </c>
      <c r="G18" s="10">
        <v>1165</v>
      </c>
      <c r="H18" s="12"/>
      <c r="I18" s="13">
        <f t="shared" si="4"/>
        <v>0</v>
      </c>
      <c r="J18" s="12"/>
      <c r="K18" s="13">
        <f t="shared" si="5"/>
        <v>0</v>
      </c>
      <c r="L18" s="12"/>
      <c r="M18" s="13">
        <f t="shared" si="6"/>
        <v>0</v>
      </c>
      <c r="N18" s="12"/>
      <c r="O18" s="13">
        <f t="shared" si="7"/>
        <v>0</v>
      </c>
      <c r="P18" s="12"/>
      <c r="Q18" s="13">
        <f t="shared" si="8"/>
        <v>0</v>
      </c>
      <c r="R18" s="12"/>
      <c r="S18" s="13">
        <f t="shared" si="9"/>
        <v>0</v>
      </c>
      <c r="T18" s="12"/>
      <c r="U18" s="13">
        <f t="shared" si="10"/>
        <v>0</v>
      </c>
      <c r="V18" s="12"/>
      <c r="W18" s="13">
        <f t="shared" si="11"/>
        <v>0</v>
      </c>
      <c r="X18" s="12"/>
      <c r="Y18" s="13">
        <f t="shared" si="12"/>
        <v>0</v>
      </c>
      <c r="Z18" s="12"/>
      <c r="AA18" s="13">
        <f t="shared" si="13"/>
        <v>0</v>
      </c>
      <c r="AB18" s="12"/>
      <c r="AC18" s="13">
        <f t="shared" si="14"/>
        <v>0</v>
      </c>
      <c r="AD18" s="12"/>
      <c r="AE18" s="13">
        <f t="shared" si="15"/>
        <v>0</v>
      </c>
      <c r="AF18" s="14">
        <f t="shared" si="16"/>
        <v>0</v>
      </c>
      <c r="AG18" s="15">
        <f t="shared" si="17"/>
        <v>0</v>
      </c>
      <c r="AH18" s="16"/>
      <c r="AI18" s="13">
        <f t="shared" si="18"/>
        <v>0</v>
      </c>
      <c r="AJ18" s="17"/>
      <c r="AK18" s="13">
        <f t="shared" si="19"/>
        <v>0</v>
      </c>
      <c r="AL18" s="17"/>
      <c r="AM18" s="13">
        <f t="shared" si="20"/>
        <v>0</v>
      </c>
      <c r="AN18" s="18"/>
      <c r="AO18" s="13">
        <f t="shared" si="21"/>
        <v>0</v>
      </c>
      <c r="AP18" s="17"/>
      <c r="AQ18" s="13">
        <f t="shared" si="22"/>
        <v>0</v>
      </c>
      <c r="AR18" s="17"/>
      <c r="AS18" s="13">
        <f t="shared" si="23"/>
        <v>0</v>
      </c>
      <c r="AT18" s="19"/>
      <c r="AU18" s="13">
        <f t="shared" si="24"/>
        <v>0</v>
      </c>
      <c r="AV18" s="17"/>
      <c r="AW18" s="13">
        <f t="shared" si="25"/>
        <v>0</v>
      </c>
      <c r="AX18" s="17"/>
      <c r="AY18" s="13">
        <f t="shared" si="26"/>
        <v>0</v>
      </c>
      <c r="AZ18" s="19"/>
      <c r="BA18" s="13">
        <f t="shared" si="27"/>
        <v>0</v>
      </c>
      <c r="BB18" s="20"/>
      <c r="BC18" s="13">
        <f t="shared" si="28"/>
        <v>0</v>
      </c>
      <c r="BD18" s="20"/>
      <c r="BE18" s="13">
        <f t="shared" si="29"/>
        <v>0</v>
      </c>
      <c r="BF18" s="14">
        <f t="shared" si="30"/>
        <v>0</v>
      </c>
      <c r="BG18" s="15">
        <f t="shared" si="31"/>
        <v>0</v>
      </c>
      <c r="BH18" s="18"/>
      <c r="BI18" s="57">
        <f t="shared" si="32"/>
        <v>0</v>
      </c>
      <c r="BJ18" s="18"/>
      <c r="BK18" s="57">
        <f t="shared" si="33"/>
        <v>0</v>
      </c>
      <c r="BL18" s="18"/>
      <c r="BM18" s="57">
        <f t="shared" si="34"/>
        <v>0</v>
      </c>
      <c r="BN18" s="18"/>
      <c r="BO18" s="57">
        <f t="shared" si="35"/>
        <v>0</v>
      </c>
      <c r="BP18" s="18"/>
      <c r="BQ18" s="57">
        <f t="shared" si="36"/>
        <v>0</v>
      </c>
      <c r="BR18" s="18"/>
      <c r="BS18" s="57">
        <f t="shared" si="37"/>
        <v>0</v>
      </c>
      <c r="BT18" s="18"/>
      <c r="BU18" s="57">
        <f t="shared" si="38"/>
        <v>0</v>
      </c>
      <c r="BV18" s="18"/>
      <c r="BW18" s="57">
        <f t="shared" si="39"/>
        <v>0</v>
      </c>
      <c r="BX18" s="18"/>
      <c r="BY18" s="57">
        <f t="shared" si="40"/>
        <v>0</v>
      </c>
      <c r="BZ18" s="18"/>
      <c r="CA18" s="57">
        <f t="shared" si="41"/>
        <v>0</v>
      </c>
      <c r="CB18" s="18"/>
      <c r="CC18" s="57">
        <f t="shared" si="42"/>
        <v>0</v>
      </c>
      <c r="CD18" s="18"/>
      <c r="CE18" s="57">
        <f t="shared" si="43"/>
        <v>0</v>
      </c>
      <c r="CF18" s="14">
        <f t="shared" si="44"/>
        <v>0</v>
      </c>
      <c r="CG18" s="15">
        <f t="shared" si="45"/>
        <v>0</v>
      </c>
      <c r="CH18" s="12"/>
      <c r="CI18" s="13">
        <f t="shared" si="46"/>
        <v>0</v>
      </c>
      <c r="CJ18" s="12"/>
      <c r="CK18" s="13">
        <f t="shared" si="47"/>
        <v>0</v>
      </c>
      <c r="CL18" s="12"/>
      <c r="CM18" s="13">
        <f t="shared" si="48"/>
        <v>0</v>
      </c>
      <c r="CN18" s="12"/>
      <c r="CO18" s="13">
        <f t="shared" si="49"/>
        <v>0</v>
      </c>
      <c r="CP18" s="12"/>
      <c r="CQ18" s="13">
        <f t="shared" si="50"/>
        <v>0</v>
      </c>
      <c r="CR18" s="12"/>
      <c r="CS18" s="13">
        <f t="shared" si="51"/>
        <v>0</v>
      </c>
      <c r="CT18" s="12"/>
      <c r="CU18" s="13">
        <f t="shared" si="52"/>
        <v>0</v>
      </c>
      <c r="CV18" s="12"/>
      <c r="CW18" s="13">
        <f t="shared" si="53"/>
        <v>0</v>
      </c>
      <c r="CX18" s="12"/>
      <c r="CY18" s="13">
        <f t="shared" si="54"/>
        <v>0</v>
      </c>
      <c r="CZ18" s="12"/>
      <c r="DA18" s="13">
        <f t="shared" si="55"/>
        <v>0</v>
      </c>
      <c r="DB18" s="12"/>
      <c r="DC18" s="13">
        <f t="shared" si="0"/>
        <v>0</v>
      </c>
      <c r="DD18" s="12"/>
      <c r="DE18" s="13">
        <f t="shared" si="0"/>
        <v>0</v>
      </c>
      <c r="DF18" s="64">
        <f t="shared" si="56"/>
        <v>0</v>
      </c>
      <c r="DG18" s="15">
        <f t="shared" si="57"/>
        <v>0</v>
      </c>
      <c r="DH18" s="12"/>
      <c r="DI18" s="13">
        <f t="shared" si="58"/>
        <v>0</v>
      </c>
      <c r="DJ18" s="12"/>
      <c r="DK18" s="13">
        <f t="shared" si="1"/>
        <v>0</v>
      </c>
      <c r="DL18" s="12"/>
      <c r="DM18" s="13">
        <f t="shared" si="59"/>
        <v>0</v>
      </c>
      <c r="DN18" s="12"/>
      <c r="DO18" s="13">
        <f t="shared" si="2"/>
        <v>0</v>
      </c>
      <c r="DP18" s="12"/>
      <c r="DQ18" s="13">
        <f t="shared" si="60"/>
        <v>0</v>
      </c>
      <c r="DR18" s="12"/>
      <c r="DS18" s="13">
        <f t="shared" si="61"/>
        <v>0</v>
      </c>
      <c r="DT18" s="12"/>
      <c r="DU18" s="13">
        <f t="shared" si="62"/>
        <v>0</v>
      </c>
      <c r="DV18" s="12"/>
      <c r="DW18" s="13">
        <f t="shared" si="63"/>
        <v>0</v>
      </c>
      <c r="DX18" s="12"/>
      <c r="DY18" s="13">
        <f t="shared" si="64"/>
        <v>0</v>
      </c>
      <c r="DZ18" s="12"/>
      <c r="EA18" s="13">
        <f t="shared" si="65"/>
        <v>0</v>
      </c>
      <c r="EB18" s="12"/>
      <c r="EC18" s="13">
        <f t="shared" si="66"/>
        <v>0</v>
      </c>
      <c r="ED18" s="12"/>
      <c r="EE18" s="13">
        <f t="shared" si="3"/>
        <v>0</v>
      </c>
      <c r="EF18" s="24">
        <f t="shared" si="67"/>
        <v>0</v>
      </c>
      <c r="EG18" s="13">
        <f t="shared" si="68"/>
        <v>0</v>
      </c>
    </row>
    <row r="19" spans="1:137" ht="18" customHeight="1" x14ac:dyDescent="0.5">
      <c r="A19" s="10">
        <v>14</v>
      </c>
      <c r="B19" s="11" t="s">
        <v>30</v>
      </c>
      <c r="C19" s="11" t="s">
        <v>17</v>
      </c>
      <c r="D19" s="10">
        <f t="shared" si="70"/>
        <v>21</v>
      </c>
      <c r="E19" s="10">
        <v>0.6</v>
      </c>
      <c r="F19" s="10" t="s">
        <v>15</v>
      </c>
      <c r="G19" s="10"/>
      <c r="H19" s="12"/>
      <c r="I19" s="13">
        <f t="shared" si="4"/>
        <v>0</v>
      </c>
      <c r="J19" s="12"/>
      <c r="K19" s="13">
        <f t="shared" si="5"/>
        <v>0</v>
      </c>
      <c r="L19" s="12"/>
      <c r="M19" s="13">
        <f t="shared" si="6"/>
        <v>0</v>
      </c>
      <c r="N19" s="12"/>
      <c r="O19" s="13">
        <f t="shared" si="7"/>
        <v>0</v>
      </c>
      <c r="P19" s="12"/>
      <c r="Q19" s="13">
        <f t="shared" si="8"/>
        <v>0</v>
      </c>
      <c r="R19" s="12"/>
      <c r="S19" s="13">
        <f t="shared" si="9"/>
        <v>0</v>
      </c>
      <c r="T19" s="12"/>
      <c r="U19" s="13">
        <f t="shared" si="10"/>
        <v>0</v>
      </c>
      <c r="V19" s="12"/>
      <c r="W19" s="13">
        <f t="shared" si="11"/>
        <v>0</v>
      </c>
      <c r="X19" s="12"/>
      <c r="Y19" s="13">
        <f t="shared" si="12"/>
        <v>0</v>
      </c>
      <c r="Z19" s="12"/>
      <c r="AA19" s="13">
        <f t="shared" si="13"/>
        <v>0</v>
      </c>
      <c r="AB19" s="12"/>
      <c r="AC19" s="13">
        <f t="shared" si="14"/>
        <v>0</v>
      </c>
      <c r="AD19" s="12"/>
      <c r="AE19" s="13">
        <f t="shared" si="15"/>
        <v>0</v>
      </c>
      <c r="AF19" s="14">
        <f t="shared" si="16"/>
        <v>0</v>
      </c>
      <c r="AG19" s="15">
        <f t="shared" si="17"/>
        <v>0</v>
      </c>
      <c r="AH19" s="16"/>
      <c r="AI19" s="13">
        <f t="shared" si="18"/>
        <v>0</v>
      </c>
      <c r="AJ19" s="17"/>
      <c r="AK19" s="13">
        <f t="shared" si="19"/>
        <v>0</v>
      </c>
      <c r="AL19" s="17"/>
      <c r="AM19" s="13">
        <f t="shared" si="20"/>
        <v>0</v>
      </c>
      <c r="AN19" s="18"/>
      <c r="AO19" s="13">
        <f t="shared" si="21"/>
        <v>0</v>
      </c>
      <c r="AP19" s="17"/>
      <c r="AQ19" s="13">
        <f t="shared" si="22"/>
        <v>0</v>
      </c>
      <c r="AR19" s="17"/>
      <c r="AS19" s="13">
        <f t="shared" si="23"/>
        <v>0</v>
      </c>
      <c r="AT19" s="19"/>
      <c r="AU19" s="13">
        <f t="shared" si="24"/>
        <v>0</v>
      </c>
      <c r="AV19" s="17"/>
      <c r="AW19" s="13">
        <f t="shared" si="25"/>
        <v>0</v>
      </c>
      <c r="AX19" s="17"/>
      <c r="AY19" s="13">
        <f t="shared" si="26"/>
        <v>0</v>
      </c>
      <c r="AZ19" s="19"/>
      <c r="BA19" s="13">
        <f t="shared" si="27"/>
        <v>0</v>
      </c>
      <c r="BB19" s="20"/>
      <c r="BC19" s="13">
        <f t="shared" si="28"/>
        <v>0</v>
      </c>
      <c r="BD19" s="20"/>
      <c r="BE19" s="13">
        <f t="shared" si="29"/>
        <v>0</v>
      </c>
      <c r="BF19" s="14">
        <f t="shared" si="30"/>
        <v>0</v>
      </c>
      <c r="BG19" s="15">
        <f t="shared" si="31"/>
        <v>0</v>
      </c>
      <c r="BH19" s="18"/>
      <c r="BI19" s="57">
        <f t="shared" si="32"/>
        <v>0</v>
      </c>
      <c r="BJ19" s="18"/>
      <c r="BK19" s="57">
        <f t="shared" si="33"/>
        <v>0</v>
      </c>
      <c r="BL19" s="18"/>
      <c r="BM19" s="57">
        <f t="shared" si="34"/>
        <v>0</v>
      </c>
      <c r="BN19" s="18"/>
      <c r="BO19" s="57">
        <f t="shared" si="35"/>
        <v>0</v>
      </c>
      <c r="BP19" s="18"/>
      <c r="BQ19" s="57">
        <f t="shared" si="36"/>
        <v>0</v>
      </c>
      <c r="BR19" s="18"/>
      <c r="BS19" s="57">
        <f t="shared" si="37"/>
        <v>0</v>
      </c>
      <c r="BT19" s="18"/>
      <c r="BU19" s="57">
        <f t="shared" si="38"/>
        <v>0</v>
      </c>
      <c r="BV19" s="18"/>
      <c r="BW19" s="57">
        <f t="shared" si="39"/>
        <v>0</v>
      </c>
      <c r="BX19" s="18"/>
      <c r="BY19" s="57">
        <f t="shared" si="40"/>
        <v>0</v>
      </c>
      <c r="BZ19" s="18"/>
      <c r="CA19" s="57">
        <f t="shared" si="41"/>
        <v>0</v>
      </c>
      <c r="CB19" s="18"/>
      <c r="CC19" s="57">
        <f t="shared" si="42"/>
        <v>0</v>
      </c>
      <c r="CD19" s="18"/>
      <c r="CE19" s="57">
        <f t="shared" si="43"/>
        <v>0</v>
      </c>
      <c r="CF19" s="14">
        <f t="shared" si="44"/>
        <v>0</v>
      </c>
      <c r="CG19" s="15">
        <f t="shared" si="45"/>
        <v>0</v>
      </c>
      <c r="CH19" s="12"/>
      <c r="CI19" s="13">
        <f t="shared" si="46"/>
        <v>0</v>
      </c>
      <c r="CJ19" s="12"/>
      <c r="CK19" s="13">
        <f t="shared" si="47"/>
        <v>0</v>
      </c>
      <c r="CL19" s="12"/>
      <c r="CM19" s="13">
        <f t="shared" si="48"/>
        <v>0</v>
      </c>
      <c r="CN19" s="12"/>
      <c r="CO19" s="13">
        <f t="shared" si="49"/>
        <v>0</v>
      </c>
      <c r="CP19" s="12"/>
      <c r="CQ19" s="13">
        <f t="shared" si="50"/>
        <v>0</v>
      </c>
      <c r="CR19" s="12"/>
      <c r="CS19" s="13">
        <f t="shared" si="51"/>
        <v>0</v>
      </c>
      <c r="CT19" s="12"/>
      <c r="CU19" s="13">
        <f t="shared" si="52"/>
        <v>0</v>
      </c>
      <c r="CV19" s="12"/>
      <c r="CW19" s="13">
        <f t="shared" si="53"/>
        <v>0</v>
      </c>
      <c r="CX19" s="12"/>
      <c r="CY19" s="13">
        <f t="shared" si="54"/>
        <v>0</v>
      </c>
      <c r="CZ19" s="12"/>
      <c r="DA19" s="13">
        <f t="shared" si="55"/>
        <v>0</v>
      </c>
      <c r="DB19" s="12"/>
      <c r="DC19" s="13">
        <f t="shared" si="0"/>
        <v>0</v>
      </c>
      <c r="DD19" s="12"/>
      <c r="DE19" s="13">
        <f t="shared" si="0"/>
        <v>0</v>
      </c>
      <c r="DF19" s="64">
        <f t="shared" si="56"/>
        <v>0</v>
      </c>
      <c r="DG19" s="15">
        <f t="shared" si="57"/>
        <v>0</v>
      </c>
      <c r="DH19" s="12"/>
      <c r="DI19" s="13">
        <f t="shared" si="58"/>
        <v>0</v>
      </c>
      <c r="DJ19" s="12"/>
      <c r="DK19" s="13">
        <f t="shared" si="1"/>
        <v>0</v>
      </c>
      <c r="DL19" s="12"/>
      <c r="DM19" s="13">
        <f t="shared" si="59"/>
        <v>0</v>
      </c>
      <c r="DN19" s="12"/>
      <c r="DO19" s="13">
        <f t="shared" si="2"/>
        <v>0</v>
      </c>
      <c r="DP19" s="12"/>
      <c r="DQ19" s="13">
        <f t="shared" si="60"/>
        <v>0</v>
      </c>
      <c r="DR19" s="12"/>
      <c r="DS19" s="13">
        <f t="shared" si="61"/>
        <v>0</v>
      </c>
      <c r="DT19" s="12"/>
      <c r="DU19" s="13">
        <f t="shared" si="62"/>
        <v>0</v>
      </c>
      <c r="DV19" s="12"/>
      <c r="DW19" s="13">
        <f t="shared" si="63"/>
        <v>0</v>
      </c>
      <c r="DX19" s="12"/>
      <c r="DY19" s="13">
        <f t="shared" si="64"/>
        <v>0</v>
      </c>
      <c r="DZ19" s="12"/>
      <c r="EA19" s="13">
        <f t="shared" si="65"/>
        <v>0</v>
      </c>
      <c r="EB19" s="12"/>
      <c r="EC19" s="13">
        <f t="shared" si="66"/>
        <v>0</v>
      </c>
      <c r="ED19" s="12"/>
      <c r="EE19" s="13">
        <f t="shared" si="3"/>
        <v>0</v>
      </c>
      <c r="EF19" s="24">
        <f t="shared" si="67"/>
        <v>0</v>
      </c>
      <c r="EG19" s="13">
        <f t="shared" si="68"/>
        <v>0</v>
      </c>
    </row>
    <row r="20" spans="1:137" ht="18" customHeight="1" x14ac:dyDescent="0.5">
      <c r="A20" s="10">
        <v>15</v>
      </c>
      <c r="B20" s="11" t="s">
        <v>31</v>
      </c>
      <c r="C20" s="11" t="s">
        <v>17</v>
      </c>
      <c r="D20" s="10">
        <f t="shared" si="70"/>
        <v>21</v>
      </c>
      <c r="E20" s="10">
        <v>0.35</v>
      </c>
      <c r="F20" s="10" t="s">
        <v>21</v>
      </c>
      <c r="G20" s="10"/>
      <c r="H20" s="12"/>
      <c r="I20" s="13">
        <f t="shared" si="4"/>
        <v>0</v>
      </c>
      <c r="J20" s="12"/>
      <c r="K20" s="13">
        <f t="shared" si="5"/>
        <v>0</v>
      </c>
      <c r="L20" s="12"/>
      <c r="M20" s="13">
        <f t="shared" si="6"/>
        <v>0</v>
      </c>
      <c r="N20" s="12"/>
      <c r="O20" s="13">
        <f t="shared" si="7"/>
        <v>0</v>
      </c>
      <c r="P20" s="12"/>
      <c r="Q20" s="13">
        <f t="shared" si="8"/>
        <v>0</v>
      </c>
      <c r="R20" s="12"/>
      <c r="S20" s="13">
        <f t="shared" si="9"/>
        <v>0</v>
      </c>
      <c r="T20" s="12"/>
      <c r="U20" s="13">
        <f t="shared" si="10"/>
        <v>0</v>
      </c>
      <c r="V20" s="12"/>
      <c r="W20" s="13">
        <f t="shared" si="11"/>
        <v>0</v>
      </c>
      <c r="X20" s="12"/>
      <c r="Y20" s="13">
        <f t="shared" si="12"/>
        <v>0</v>
      </c>
      <c r="Z20" s="12"/>
      <c r="AA20" s="13">
        <f t="shared" si="13"/>
        <v>0</v>
      </c>
      <c r="AB20" s="12"/>
      <c r="AC20" s="13">
        <f t="shared" si="14"/>
        <v>0</v>
      </c>
      <c r="AD20" s="12"/>
      <c r="AE20" s="13">
        <f t="shared" si="15"/>
        <v>0</v>
      </c>
      <c r="AF20" s="14">
        <f t="shared" si="16"/>
        <v>0</v>
      </c>
      <c r="AG20" s="15">
        <f t="shared" si="17"/>
        <v>0</v>
      </c>
      <c r="AH20" s="16"/>
      <c r="AI20" s="13">
        <f t="shared" si="18"/>
        <v>0</v>
      </c>
      <c r="AJ20" s="17"/>
      <c r="AK20" s="13">
        <f t="shared" si="19"/>
        <v>0</v>
      </c>
      <c r="AL20" s="17"/>
      <c r="AM20" s="13">
        <f t="shared" si="20"/>
        <v>0</v>
      </c>
      <c r="AN20" s="18"/>
      <c r="AO20" s="13">
        <f t="shared" si="21"/>
        <v>0</v>
      </c>
      <c r="AP20" s="17"/>
      <c r="AQ20" s="13">
        <f t="shared" si="22"/>
        <v>0</v>
      </c>
      <c r="AR20" s="17"/>
      <c r="AS20" s="13">
        <f t="shared" si="23"/>
        <v>0</v>
      </c>
      <c r="AT20" s="19"/>
      <c r="AU20" s="13">
        <f t="shared" si="24"/>
        <v>0</v>
      </c>
      <c r="AV20" s="17"/>
      <c r="AW20" s="13">
        <f t="shared" si="25"/>
        <v>0</v>
      </c>
      <c r="AX20" s="17"/>
      <c r="AY20" s="13">
        <f t="shared" si="26"/>
        <v>0</v>
      </c>
      <c r="AZ20" s="19"/>
      <c r="BA20" s="13">
        <f t="shared" si="27"/>
        <v>0</v>
      </c>
      <c r="BB20" s="20"/>
      <c r="BC20" s="13">
        <f t="shared" si="28"/>
        <v>0</v>
      </c>
      <c r="BD20" s="20"/>
      <c r="BE20" s="13">
        <f t="shared" si="29"/>
        <v>0</v>
      </c>
      <c r="BF20" s="14">
        <f t="shared" si="30"/>
        <v>0</v>
      </c>
      <c r="BG20" s="15">
        <f t="shared" si="31"/>
        <v>0</v>
      </c>
      <c r="BH20" s="18"/>
      <c r="BI20" s="57">
        <f t="shared" si="32"/>
        <v>0</v>
      </c>
      <c r="BJ20" s="18"/>
      <c r="BK20" s="57">
        <f t="shared" si="33"/>
        <v>0</v>
      </c>
      <c r="BL20" s="18"/>
      <c r="BM20" s="57">
        <f t="shared" si="34"/>
        <v>0</v>
      </c>
      <c r="BN20" s="18"/>
      <c r="BO20" s="57">
        <f t="shared" si="35"/>
        <v>0</v>
      </c>
      <c r="BP20" s="18"/>
      <c r="BQ20" s="57">
        <f t="shared" si="36"/>
        <v>0</v>
      </c>
      <c r="BR20" s="18"/>
      <c r="BS20" s="57">
        <f t="shared" si="37"/>
        <v>0</v>
      </c>
      <c r="BT20" s="18"/>
      <c r="BU20" s="57">
        <f t="shared" si="38"/>
        <v>0</v>
      </c>
      <c r="BV20" s="18"/>
      <c r="BW20" s="57">
        <f t="shared" si="39"/>
        <v>0</v>
      </c>
      <c r="BX20" s="18"/>
      <c r="BY20" s="57">
        <f t="shared" si="40"/>
        <v>0</v>
      </c>
      <c r="BZ20" s="18"/>
      <c r="CA20" s="57">
        <f t="shared" si="41"/>
        <v>0</v>
      </c>
      <c r="CB20" s="18"/>
      <c r="CC20" s="57">
        <f t="shared" si="42"/>
        <v>0</v>
      </c>
      <c r="CD20" s="18"/>
      <c r="CE20" s="57">
        <f t="shared" si="43"/>
        <v>0</v>
      </c>
      <c r="CF20" s="14">
        <f t="shared" si="44"/>
        <v>0</v>
      </c>
      <c r="CG20" s="15">
        <f t="shared" si="45"/>
        <v>0</v>
      </c>
      <c r="CH20" s="12"/>
      <c r="CI20" s="13">
        <f t="shared" si="46"/>
        <v>0</v>
      </c>
      <c r="CJ20" s="12"/>
      <c r="CK20" s="13">
        <f t="shared" si="47"/>
        <v>0</v>
      </c>
      <c r="CL20" s="12"/>
      <c r="CM20" s="13">
        <f t="shared" si="48"/>
        <v>0</v>
      </c>
      <c r="CN20" s="12"/>
      <c r="CO20" s="13">
        <f t="shared" si="49"/>
        <v>0</v>
      </c>
      <c r="CP20" s="12"/>
      <c r="CQ20" s="13">
        <f t="shared" si="50"/>
        <v>0</v>
      </c>
      <c r="CR20" s="12"/>
      <c r="CS20" s="13">
        <f t="shared" si="51"/>
        <v>0</v>
      </c>
      <c r="CT20" s="12"/>
      <c r="CU20" s="13">
        <f t="shared" si="52"/>
        <v>0</v>
      </c>
      <c r="CV20" s="12"/>
      <c r="CW20" s="13">
        <f t="shared" si="53"/>
        <v>0</v>
      </c>
      <c r="CX20" s="12"/>
      <c r="CY20" s="13">
        <f t="shared" si="54"/>
        <v>0</v>
      </c>
      <c r="CZ20" s="12"/>
      <c r="DA20" s="13">
        <f t="shared" si="55"/>
        <v>0</v>
      </c>
      <c r="DB20" s="12"/>
      <c r="DC20" s="13">
        <f t="shared" si="0"/>
        <v>0</v>
      </c>
      <c r="DD20" s="12"/>
      <c r="DE20" s="13">
        <f t="shared" si="0"/>
        <v>0</v>
      </c>
      <c r="DF20" s="64">
        <f t="shared" si="56"/>
        <v>0</v>
      </c>
      <c r="DG20" s="15">
        <f t="shared" si="57"/>
        <v>0</v>
      </c>
      <c r="DH20" s="12"/>
      <c r="DI20" s="13">
        <f t="shared" si="58"/>
        <v>0</v>
      </c>
      <c r="DJ20" s="12"/>
      <c r="DK20" s="13">
        <f t="shared" si="1"/>
        <v>0</v>
      </c>
      <c r="DL20" s="12"/>
      <c r="DM20" s="13">
        <f t="shared" si="59"/>
        <v>0</v>
      </c>
      <c r="DN20" s="12"/>
      <c r="DO20" s="13">
        <f t="shared" si="2"/>
        <v>0</v>
      </c>
      <c r="DP20" s="12"/>
      <c r="DQ20" s="13">
        <f t="shared" si="60"/>
        <v>0</v>
      </c>
      <c r="DR20" s="12"/>
      <c r="DS20" s="13">
        <f t="shared" si="61"/>
        <v>0</v>
      </c>
      <c r="DT20" s="12"/>
      <c r="DU20" s="13">
        <f t="shared" si="62"/>
        <v>0</v>
      </c>
      <c r="DV20" s="12"/>
      <c r="DW20" s="13">
        <f t="shared" si="63"/>
        <v>0</v>
      </c>
      <c r="DX20" s="12"/>
      <c r="DY20" s="13">
        <f t="shared" si="64"/>
        <v>0</v>
      </c>
      <c r="DZ20" s="12"/>
      <c r="EA20" s="13">
        <f t="shared" si="65"/>
        <v>0</v>
      </c>
      <c r="EB20" s="12"/>
      <c r="EC20" s="13">
        <f t="shared" si="66"/>
        <v>0</v>
      </c>
      <c r="ED20" s="12"/>
      <c r="EE20" s="13">
        <f t="shared" si="3"/>
        <v>0</v>
      </c>
      <c r="EF20" s="24">
        <f t="shared" si="67"/>
        <v>0</v>
      </c>
      <c r="EG20" s="13">
        <f t="shared" si="68"/>
        <v>0</v>
      </c>
    </row>
    <row r="21" spans="1:137" ht="18" customHeight="1" x14ac:dyDescent="0.5">
      <c r="A21" s="10">
        <v>16</v>
      </c>
      <c r="B21" s="11" t="s">
        <v>32</v>
      </c>
      <c r="C21" s="11" t="s">
        <v>17</v>
      </c>
      <c r="D21" s="10">
        <f t="shared" si="70"/>
        <v>21</v>
      </c>
      <c r="E21" s="10">
        <v>0.35</v>
      </c>
      <c r="F21" s="10" t="s">
        <v>21</v>
      </c>
      <c r="G21" s="10"/>
      <c r="H21" s="12"/>
      <c r="I21" s="13">
        <f t="shared" si="4"/>
        <v>0</v>
      </c>
      <c r="J21" s="12"/>
      <c r="K21" s="13">
        <f t="shared" si="5"/>
        <v>0</v>
      </c>
      <c r="L21" s="12"/>
      <c r="M21" s="13">
        <f t="shared" si="6"/>
        <v>0</v>
      </c>
      <c r="N21" s="12"/>
      <c r="O21" s="13">
        <f t="shared" si="7"/>
        <v>0</v>
      </c>
      <c r="P21" s="12"/>
      <c r="Q21" s="13">
        <f t="shared" si="8"/>
        <v>0</v>
      </c>
      <c r="R21" s="12"/>
      <c r="S21" s="13">
        <f t="shared" si="9"/>
        <v>0</v>
      </c>
      <c r="T21" s="12"/>
      <c r="U21" s="13">
        <f t="shared" si="10"/>
        <v>0</v>
      </c>
      <c r="V21" s="12"/>
      <c r="W21" s="13">
        <f t="shared" si="11"/>
        <v>0</v>
      </c>
      <c r="X21" s="12"/>
      <c r="Y21" s="13">
        <f t="shared" si="12"/>
        <v>0</v>
      </c>
      <c r="Z21" s="12"/>
      <c r="AA21" s="13">
        <f t="shared" si="13"/>
        <v>0</v>
      </c>
      <c r="AB21" s="12"/>
      <c r="AC21" s="13">
        <f t="shared" si="14"/>
        <v>0</v>
      </c>
      <c r="AD21" s="12"/>
      <c r="AE21" s="13">
        <f t="shared" si="15"/>
        <v>0</v>
      </c>
      <c r="AF21" s="14">
        <f t="shared" si="16"/>
        <v>0</v>
      </c>
      <c r="AG21" s="15">
        <f t="shared" si="17"/>
        <v>0</v>
      </c>
      <c r="AH21" s="16"/>
      <c r="AI21" s="13">
        <f t="shared" si="18"/>
        <v>0</v>
      </c>
      <c r="AJ21" s="17"/>
      <c r="AK21" s="13">
        <f t="shared" si="19"/>
        <v>0</v>
      </c>
      <c r="AL21" s="17"/>
      <c r="AM21" s="13">
        <f t="shared" si="20"/>
        <v>0</v>
      </c>
      <c r="AN21" s="18"/>
      <c r="AO21" s="13">
        <f t="shared" si="21"/>
        <v>0</v>
      </c>
      <c r="AP21" s="17"/>
      <c r="AQ21" s="13">
        <f t="shared" si="22"/>
        <v>0</v>
      </c>
      <c r="AR21" s="17"/>
      <c r="AS21" s="13">
        <f t="shared" si="23"/>
        <v>0</v>
      </c>
      <c r="AT21" s="19"/>
      <c r="AU21" s="13">
        <f t="shared" si="24"/>
        <v>0</v>
      </c>
      <c r="AV21" s="17"/>
      <c r="AW21" s="13">
        <f t="shared" si="25"/>
        <v>0</v>
      </c>
      <c r="AX21" s="17"/>
      <c r="AY21" s="13">
        <f t="shared" si="26"/>
        <v>0</v>
      </c>
      <c r="AZ21" s="19"/>
      <c r="BA21" s="13">
        <f t="shared" si="27"/>
        <v>0</v>
      </c>
      <c r="BB21" s="20"/>
      <c r="BC21" s="13">
        <f t="shared" si="28"/>
        <v>0</v>
      </c>
      <c r="BD21" s="20"/>
      <c r="BE21" s="13">
        <f t="shared" si="29"/>
        <v>0</v>
      </c>
      <c r="BF21" s="14">
        <f t="shared" si="30"/>
        <v>0</v>
      </c>
      <c r="BG21" s="15">
        <f t="shared" si="31"/>
        <v>0</v>
      </c>
      <c r="BH21" s="18"/>
      <c r="BI21" s="57">
        <f t="shared" si="32"/>
        <v>0</v>
      </c>
      <c r="BJ21" s="18"/>
      <c r="BK21" s="57">
        <f t="shared" si="33"/>
        <v>0</v>
      </c>
      <c r="BL21" s="18"/>
      <c r="BM21" s="57">
        <f t="shared" si="34"/>
        <v>0</v>
      </c>
      <c r="BN21" s="18"/>
      <c r="BO21" s="57">
        <f t="shared" si="35"/>
        <v>0</v>
      </c>
      <c r="BP21" s="18"/>
      <c r="BQ21" s="57">
        <f t="shared" si="36"/>
        <v>0</v>
      </c>
      <c r="BR21" s="18"/>
      <c r="BS21" s="57">
        <f t="shared" si="37"/>
        <v>0</v>
      </c>
      <c r="BT21" s="18"/>
      <c r="BU21" s="57">
        <f t="shared" si="38"/>
        <v>0</v>
      </c>
      <c r="BV21" s="18"/>
      <c r="BW21" s="57">
        <f t="shared" si="39"/>
        <v>0</v>
      </c>
      <c r="BX21" s="18"/>
      <c r="BY21" s="57">
        <f t="shared" si="40"/>
        <v>0</v>
      </c>
      <c r="BZ21" s="18"/>
      <c r="CA21" s="57">
        <f t="shared" si="41"/>
        <v>0</v>
      </c>
      <c r="CB21" s="18"/>
      <c r="CC21" s="57">
        <f t="shared" si="42"/>
        <v>0</v>
      </c>
      <c r="CD21" s="18"/>
      <c r="CE21" s="57">
        <f t="shared" si="43"/>
        <v>0</v>
      </c>
      <c r="CF21" s="14">
        <f t="shared" si="44"/>
        <v>0</v>
      </c>
      <c r="CG21" s="15">
        <f t="shared" si="45"/>
        <v>0</v>
      </c>
      <c r="CH21" s="12"/>
      <c r="CI21" s="13">
        <f t="shared" si="46"/>
        <v>0</v>
      </c>
      <c r="CJ21" s="12"/>
      <c r="CK21" s="13">
        <f t="shared" si="47"/>
        <v>0</v>
      </c>
      <c r="CL21" s="12"/>
      <c r="CM21" s="13">
        <f t="shared" si="48"/>
        <v>0</v>
      </c>
      <c r="CN21" s="12"/>
      <c r="CO21" s="13">
        <f t="shared" si="49"/>
        <v>0</v>
      </c>
      <c r="CP21" s="12"/>
      <c r="CQ21" s="13">
        <f t="shared" si="50"/>
        <v>0</v>
      </c>
      <c r="CR21" s="12"/>
      <c r="CS21" s="13">
        <f t="shared" si="51"/>
        <v>0</v>
      </c>
      <c r="CT21" s="12"/>
      <c r="CU21" s="13">
        <f t="shared" si="52"/>
        <v>0</v>
      </c>
      <c r="CV21" s="12"/>
      <c r="CW21" s="13">
        <f t="shared" si="53"/>
        <v>0</v>
      </c>
      <c r="CX21" s="12"/>
      <c r="CY21" s="13">
        <f t="shared" si="54"/>
        <v>0</v>
      </c>
      <c r="CZ21" s="12"/>
      <c r="DA21" s="13">
        <f t="shared" si="55"/>
        <v>0</v>
      </c>
      <c r="DB21" s="12"/>
      <c r="DC21" s="13">
        <f t="shared" si="0"/>
        <v>0</v>
      </c>
      <c r="DD21" s="12"/>
      <c r="DE21" s="13">
        <f t="shared" si="0"/>
        <v>0</v>
      </c>
      <c r="DF21" s="64">
        <f t="shared" si="56"/>
        <v>0</v>
      </c>
      <c r="DG21" s="15">
        <f t="shared" si="57"/>
        <v>0</v>
      </c>
      <c r="DH21" s="12"/>
      <c r="DI21" s="13">
        <f t="shared" si="58"/>
        <v>0</v>
      </c>
      <c r="DJ21" s="12"/>
      <c r="DK21" s="13">
        <f t="shared" si="1"/>
        <v>0</v>
      </c>
      <c r="DL21" s="12"/>
      <c r="DM21" s="13">
        <f t="shared" si="59"/>
        <v>0</v>
      </c>
      <c r="DN21" s="12"/>
      <c r="DO21" s="13">
        <f t="shared" si="2"/>
        <v>0</v>
      </c>
      <c r="DP21" s="12"/>
      <c r="DQ21" s="13">
        <f t="shared" si="60"/>
        <v>0</v>
      </c>
      <c r="DR21" s="12"/>
      <c r="DS21" s="13">
        <f t="shared" si="61"/>
        <v>0</v>
      </c>
      <c r="DT21" s="12"/>
      <c r="DU21" s="13">
        <f t="shared" si="62"/>
        <v>0</v>
      </c>
      <c r="DV21" s="12"/>
      <c r="DW21" s="13">
        <f t="shared" si="63"/>
        <v>0</v>
      </c>
      <c r="DX21" s="12"/>
      <c r="DY21" s="13">
        <f t="shared" si="64"/>
        <v>0</v>
      </c>
      <c r="DZ21" s="12"/>
      <c r="EA21" s="13">
        <f t="shared" si="65"/>
        <v>0</v>
      </c>
      <c r="EB21" s="12"/>
      <c r="EC21" s="13">
        <f t="shared" si="66"/>
        <v>0</v>
      </c>
      <c r="ED21" s="12"/>
      <c r="EE21" s="13">
        <f t="shared" si="3"/>
        <v>0</v>
      </c>
      <c r="EF21" s="24">
        <f t="shared" si="67"/>
        <v>0</v>
      </c>
      <c r="EG21" s="13">
        <f t="shared" si="68"/>
        <v>0</v>
      </c>
    </row>
    <row r="22" spans="1:137" ht="18" customHeight="1" x14ac:dyDescent="0.5">
      <c r="A22" s="10">
        <v>17</v>
      </c>
      <c r="B22" s="11" t="s">
        <v>33</v>
      </c>
      <c r="C22" s="11" t="s">
        <v>14</v>
      </c>
      <c r="D22" s="10">
        <f t="shared" si="70"/>
        <v>8</v>
      </c>
      <c r="E22" s="10">
        <v>0.64</v>
      </c>
      <c r="F22" s="10" t="s">
        <v>25</v>
      </c>
      <c r="G22" s="10">
        <v>1350</v>
      </c>
      <c r="H22" s="12">
        <v>2660</v>
      </c>
      <c r="I22" s="13">
        <f t="shared" si="4"/>
        <v>1702.4</v>
      </c>
      <c r="J22" s="12">
        <v>700</v>
      </c>
      <c r="K22" s="13">
        <f t="shared" si="5"/>
        <v>448</v>
      </c>
      <c r="L22" s="12">
        <v>3654</v>
      </c>
      <c r="M22" s="13">
        <f t="shared" si="6"/>
        <v>2338.56</v>
      </c>
      <c r="N22" s="12">
        <v>4046</v>
      </c>
      <c r="O22" s="13">
        <f t="shared" si="7"/>
        <v>2589.44</v>
      </c>
      <c r="P22" s="12">
        <v>1540</v>
      </c>
      <c r="Q22" s="13">
        <f t="shared" si="8"/>
        <v>985.6</v>
      </c>
      <c r="R22" s="12">
        <v>3122</v>
      </c>
      <c r="S22" s="13">
        <f t="shared" si="9"/>
        <v>1998.0800000000002</v>
      </c>
      <c r="T22" s="12">
        <v>3906</v>
      </c>
      <c r="U22" s="13">
        <f t="shared" si="10"/>
        <v>2499.84</v>
      </c>
      <c r="V22" s="12">
        <v>3094</v>
      </c>
      <c r="W22" s="13">
        <f t="shared" si="11"/>
        <v>1980.16</v>
      </c>
      <c r="X22" s="12">
        <v>574</v>
      </c>
      <c r="Y22" s="13">
        <f t="shared" si="12"/>
        <v>367.36</v>
      </c>
      <c r="Z22" s="12">
        <v>1746</v>
      </c>
      <c r="AA22" s="13">
        <f t="shared" si="13"/>
        <v>1117.44</v>
      </c>
      <c r="AB22" s="12">
        <v>1344</v>
      </c>
      <c r="AC22" s="13">
        <f t="shared" si="14"/>
        <v>860.16</v>
      </c>
      <c r="AD22" s="12">
        <v>2758</v>
      </c>
      <c r="AE22" s="13">
        <f t="shared" si="15"/>
        <v>1765.1200000000001</v>
      </c>
      <c r="AF22" s="14">
        <f t="shared" si="16"/>
        <v>2428.6666666666665</v>
      </c>
      <c r="AG22" s="15">
        <f t="shared" si="17"/>
        <v>1554.3466666666666</v>
      </c>
      <c r="AH22" s="16"/>
      <c r="AI22" s="13">
        <f t="shared" si="18"/>
        <v>0</v>
      </c>
      <c r="AJ22" s="17">
        <v>1778</v>
      </c>
      <c r="AK22" s="13">
        <f t="shared" si="19"/>
        <v>1137.92</v>
      </c>
      <c r="AL22" s="17">
        <v>3640</v>
      </c>
      <c r="AM22" s="13">
        <f t="shared" si="20"/>
        <v>2329.6</v>
      </c>
      <c r="AN22" s="18">
        <v>2212</v>
      </c>
      <c r="AO22" s="13">
        <f t="shared" si="21"/>
        <v>1415.68</v>
      </c>
      <c r="AP22" s="17">
        <v>3696</v>
      </c>
      <c r="AQ22" s="13">
        <f t="shared" si="22"/>
        <v>2365.44</v>
      </c>
      <c r="AR22" s="17">
        <v>2394</v>
      </c>
      <c r="AS22" s="13">
        <f t="shared" si="23"/>
        <v>1532.16</v>
      </c>
      <c r="AT22" s="19">
        <v>3514</v>
      </c>
      <c r="AU22" s="13">
        <f t="shared" si="24"/>
        <v>2248.96</v>
      </c>
      <c r="AV22" s="17">
        <v>5068</v>
      </c>
      <c r="AW22" s="13">
        <f t="shared" si="25"/>
        <v>3243.52</v>
      </c>
      <c r="AX22" s="17">
        <v>602</v>
      </c>
      <c r="AY22" s="13">
        <f t="shared" si="26"/>
        <v>385.28000000000003</v>
      </c>
      <c r="AZ22" s="19">
        <v>1498</v>
      </c>
      <c r="BA22" s="13">
        <f t="shared" si="27"/>
        <v>958.72</v>
      </c>
      <c r="BB22" s="20">
        <v>2100</v>
      </c>
      <c r="BC22" s="13">
        <f t="shared" si="28"/>
        <v>1344</v>
      </c>
      <c r="BD22" s="20">
        <v>1470</v>
      </c>
      <c r="BE22" s="13">
        <f t="shared" si="29"/>
        <v>940.80000000000007</v>
      </c>
      <c r="BF22" s="14">
        <f t="shared" si="30"/>
        <v>2331</v>
      </c>
      <c r="BG22" s="15">
        <f t="shared" si="31"/>
        <v>1491.84</v>
      </c>
      <c r="BH22" s="23">
        <v>1400</v>
      </c>
      <c r="BI22" s="57">
        <f t="shared" si="32"/>
        <v>896</v>
      </c>
      <c r="BJ22" s="23">
        <v>1960</v>
      </c>
      <c r="BK22" s="57">
        <f t="shared" si="33"/>
        <v>1254.4000000000001</v>
      </c>
      <c r="BL22" s="23">
        <v>2800</v>
      </c>
      <c r="BM22" s="57">
        <f t="shared" si="34"/>
        <v>1792</v>
      </c>
      <c r="BN22" s="23">
        <v>3500</v>
      </c>
      <c r="BO22" s="57">
        <f t="shared" si="35"/>
        <v>2240</v>
      </c>
      <c r="BP22" s="23">
        <v>2100</v>
      </c>
      <c r="BQ22" s="57">
        <f t="shared" si="36"/>
        <v>1344</v>
      </c>
      <c r="BR22" s="21">
        <v>4200</v>
      </c>
      <c r="BS22" s="57">
        <f t="shared" si="37"/>
        <v>2688</v>
      </c>
      <c r="BT22" s="58">
        <v>3500</v>
      </c>
      <c r="BU22" s="57">
        <f t="shared" si="38"/>
        <v>2240</v>
      </c>
      <c r="BV22" s="58">
        <v>3500</v>
      </c>
      <c r="BW22" s="57">
        <f t="shared" si="39"/>
        <v>2240</v>
      </c>
      <c r="BX22" s="58">
        <v>2800</v>
      </c>
      <c r="BY22" s="57">
        <f t="shared" si="40"/>
        <v>1792</v>
      </c>
      <c r="BZ22" s="58">
        <v>3500</v>
      </c>
      <c r="CA22" s="57">
        <f t="shared" si="41"/>
        <v>2240</v>
      </c>
      <c r="CB22" s="58">
        <v>4200</v>
      </c>
      <c r="CC22" s="57">
        <f t="shared" si="42"/>
        <v>2688</v>
      </c>
      <c r="CD22" s="58">
        <v>2800</v>
      </c>
      <c r="CE22" s="57">
        <f t="shared" si="43"/>
        <v>1792</v>
      </c>
      <c r="CF22" s="14">
        <f t="shared" si="44"/>
        <v>3021.6666666666665</v>
      </c>
      <c r="CG22" s="15">
        <f t="shared" si="45"/>
        <v>1933.8666666666666</v>
      </c>
      <c r="CH22" s="12">
        <v>2800</v>
      </c>
      <c r="CI22" s="13">
        <f t="shared" si="46"/>
        <v>1792</v>
      </c>
      <c r="CJ22" s="12">
        <v>1400</v>
      </c>
      <c r="CK22" s="13">
        <f t="shared" si="47"/>
        <v>896</v>
      </c>
      <c r="CL22" s="12">
        <v>2800</v>
      </c>
      <c r="CM22" s="13">
        <f t="shared" si="48"/>
        <v>1792</v>
      </c>
      <c r="CN22" s="12">
        <v>4200</v>
      </c>
      <c r="CO22" s="13">
        <v>2688</v>
      </c>
      <c r="CP22" s="12">
        <v>1400</v>
      </c>
      <c r="CQ22" s="13">
        <f t="shared" si="50"/>
        <v>896</v>
      </c>
      <c r="CR22" s="12">
        <v>2800</v>
      </c>
      <c r="CS22" s="13">
        <f t="shared" si="51"/>
        <v>1792</v>
      </c>
      <c r="CT22" s="12">
        <v>4200</v>
      </c>
      <c r="CU22" s="13">
        <f t="shared" si="52"/>
        <v>2688</v>
      </c>
      <c r="CV22" s="12">
        <v>1400</v>
      </c>
      <c r="CW22" s="13">
        <f t="shared" si="53"/>
        <v>896</v>
      </c>
      <c r="CX22" s="12">
        <v>2800</v>
      </c>
      <c r="CY22" s="13">
        <f t="shared" si="54"/>
        <v>1792</v>
      </c>
      <c r="CZ22" s="12">
        <v>2800</v>
      </c>
      <c r="DA22" s="13">
        <f t="shared" si="55"/>
        <v>1792</v>
      </c>
      <c r="DB22" s="12">
        <v>4200</v>
      </c>
      <c r="DC22" s="13">
        <f t="shared" si="0"/>
        <v>2688</v>
      </c>
      <c r="DD22" s="12"/>
      <c r="DE22" s="13">
        <f t="shared" si="0"/>
        <v>0</v>
      </c>
      <c r="DF22" s="64">
        <f t="shared" si="56"/>
        <v>30800</v>
      </c>
      <c r="DG22" s="15">
        <f t="shared" si="57"/>
        <v>19712</v>
      </c>
      <c r="DH22" s="12">
        <v>2842</v>
      </c>
      <c r="DI22" s="13">
        <f t="shared" si="58"/>
        <v>1818.88</v>
      </c>
      <c r="DJ22" s="12">
        <v>4200</v>
      </c>
      <c r="DK22" s="13">
        <f t="shared" si="1"/>
        <v>2688</v>
      </c>
      <c r="DL22" s="12"/>
      <c r="DM22" s="13">
        <f t="shared" si="59"/>
        <v>0</v>
      </c>
      <c r="DN22" s="12"/>
      <c r="DO22" s="13">
        <f t="shared" si="2"/>
        <v>0</v>
      </c>
      <c r="DP22" s="12"/>
      <c r="DQ22" s="13">
        <f t="shared" si="60"/>
        <v>0</v>
      </c>
      <c r="DR22" s="12"/>
      <c r="DS22" s="13">
        <f t="shared" si="61"/>
        <v>0</v>
      </c>
      <c r="DT22" s="12"/>
      <c r="DU22" s="13">
        <f t="shared" si="62"/>
        <v>0</v>
      </c>
      <c r="DV22" s="12"/>
      <c r="DW22" s="13">
        <f t="shared" si="63"/>
        <v>0</v>
      </c>
      <c r="DX22" s="12"/>
      <c r="DY22" s="13">
        <f t="shared" si="64"/>
        <v>0</v>
      </c>
      <c r="DZ22" s="12"/>
      <c r="EA22" s="13">
        <f t="shared" si="65"/>
        <v>0</v>
      </c>
      <c r="EB22" s="12"/>
      <c r="EC22" s="13">
        <f t="shared" si="66"/>
        <v>0</v>
      </c>
      <c r="ED22" s="12"/>
      <c r="EE22" s="13">
        <f t="shared" si="3"/>
        <v>0</v>
      </c>
      <c r="EF22" s="24">
        <f t="shared" si="67"/>
        <v>7042</v>
      </c>
      <c r="EG22" s="13">
        <f t="shared" si="68"/>
        <v>4506.88</v>
      </c>
    </row>
    <row r="23" spans="1:137" ht="18" customHeight="1" x14ac:dyDescent="0.5">
      <c r="A23" s="10">
        <v>18</v>
      </c>
      <c r="B23" s="11" t="s">
        <v>34</v>
      </c>
      <c r="C23" s="11" t="s">
        <v>14</v>
      </c>
      <c r="D23" s="10">
        <f t="shared" si="70"/>
        <v>21</v>
      </c>
      <c r="E23" s="10">
        <v>0.64</v>
      </c>
      <c r="F23" s="10" t="s">
        <v>25</v>
      </c>
      <c r="G23" s="10"/>
      <c r="H23" s="12"/>
      <c r="I23" s="13">
        <f t="shared" si="4"/>
        <v>0</v>
      </c>
      <c r="J23" s="12"/>
      <c r="K23" s="13">
        <f t="shared" si="5"/>
        <v>0</v>
      </c>
      <c r="L23" s="12"/>
      <c r="M23" s="13">
        <f t="shared" si="6"/>
        <v>0</v>
      </c>
      <c r="N23" s="12"/>
      <c r="O23" s="13">
        <f t="shared" si="7"/>
        <v>0</v>
      </c>
      <c r="P23" s="12"/>
      <c r="Q23" s="13">
        <f t="shared" si="8"/>
        <v>0</v>
      </c>
      <c r="R23" s="12"/>
      <c r="S23" s="13">
        <f t="shared" si="9"/>
        <v>0</v>
      </c>
      <c r="T23" s="12"/>
      <c r="U23" s="13">
        <f t="shared" si="10"/>
        <v>0</v>
      </c>
      <c r="V23" s="12"/>
      <c r="W23" s="13">
        <f t="shared" si="11"/>
        <v>0</v>
      </c>
      <c r="X23" s="12"/>
      <c r="Y23" s="13">
        <f t="shared" si="12"/>
        <v>0</v>
      </c>
      <c r="Z23" s="12"/>
      <c r="AA23" s="13">
        <f t="shared" si="13"/>
        <v>0</v>
      </c>
      <c r="AB23" s="12"/>
      <c r="AC23" s="13">
        <f t="shared" si="14"/>
        <v>0</v>
      </c>
      <c r="AD23" s="12"/>
      <c r="AE23" s="13">
        <f t="shared" si="15"/>
        <v>0</v>
      </c>
      <c r="AF23" s="14">
        <f t="shared" si="16"/>
        <v>0</v>
      </c>
      <c r="AG23" s="15">
        <f t="shared" si="17"/>
        <v>0</v>
      </c>
      <c r="AH23" s="16"/>
      <c r="AI23" s="13">
        <f t="shared" si="18"/>
        <v>0</v>
      </c>
      <c r="AJ23" s="17"/>
      <c r="AK23" s="13">
        <f t="shared" si="19"/>
        <v>0</v>
      </c>
      <c r="AL23" s="17"/>
      <c r="AM23" s="13">
        <f t="shared" si="20"/>
        <v>0</v>
      </c>
      <c r="AN23" s="18"/>
      <c r="AO23" s="13">
        <f t="shared" si="21"/>
        <v>0</v>
      </c>
      <c r="AP23" s="17"/>
      <c r="AQ23" s="13">
        <f t="shared" si="22"/>
        <v>0</v>
      </c>
      <c r="AR23" s="17"/>
      <c r="AS23" s="13">
        <f t="shared" si="23"/>
        <v>0</v>
      </c>
      <c r="AT23" s="19"/>
      <c r="AU23" s="13">
        <f t="shared" si="24"/>
        <v>0</v>
      </c>
      <c r="AV23" s="17"/>
      <c r="AW23" s="13">
        <f t="shared" si="25"/>
        <v>0</v>
      </c>
      <c r="AX23" s="17"/>
      <c r="AY23" s="13">
        <f t="shared" si="26"/>
        <v>0</v>
      </c>
      <c r="AZ23" s="19"/>
      <c r="BA23" s="13">
        <f t="shared" si="27"/>
        <v>0</v>
      </c>
      <c r="BB23" s="20"/>
      <c r="BC23" s="13">
        <f t="shared" si="28"/>
        <v>0</v>
      </c>
      <c r="BD23" s="20"/>
      <c r="BE23" s="13">
        <f t="shared" si="29"/>
        <v>0</v>
      </c>
      <c r="BF23" s="14">
        <f t="shared" si="30"/>
        <v>0</v>
      </c>
      <c r="BG23" s="15">
        <f t="shared" si="31"/>
        <v>0</v>
      </c>
      <c r="BH23" s="18"/>
      <c r="BI23" s="57">
        <f t="shared" si="32"/>
        <v>0</v>
      </c>
      <c r="BJ23" s="18"/>
      <c r="BK23" s="57">
        <f t="shared" si="33"/>
        <v>0</v>
      </c>
      <c r="BL23" s="18"/>
      <c r="BM23" s="57">
        <f t="shared" si="34"/>
        <v>0</v>
      </c>
      <c r="BN23" s="18"/>
      <c r="BO23" s="57">
        <f t="shared" si="35"/>
        <v>0</v>
      </c>
      <c r="BP23" s="18"/>
      <c r="BQ23" s="57">
        <f t="shared" si="36"/>
        <v>0</v>
      </c>
      <c r="BR23" s="18"/>
      <c r="BS23" s="57">
        <f t="shared" si="37"/>
        <v>0</v>
      </c>
      <c r="BT23" s="18"/>
      <c r="BU23" s="57">
        <f t="shared" si="38"/>
        <v>0</v>
      </c>
      <c r="BV23" s="18"/>
      <c r="BW23" s="57">
        <f t="shared" si="39"/>
        <v>0</v>
      </c>
      <c r="BX23" s="18"/>
      <c r="BY23" s="57">
        <f t="shared" si="40"/>
        <v>0</v>
      </c>
      <c r="BZ23" s="18"/>
      <c r="CA23" s="57">
        <f t="shared" si="41"/>
        <v>0</v>
      </c>
      <c r="CB23" s="18"/>
      <c r="CC23" s="57">
        <f t="shared" si="42"/>
        <v>0</v>
      </c>
      <c r="CD23" s="18"/>
      <c r="CE23" s="57">
        <f t="shared" si="43"/>
        <v>0</v>
      </c>
      <c r="CF23" s="14">
        <f t="shared" si="44"/>
        <v>0</v>
      </c>
      <c r="CG23" s="15">
        <f t="shared" si="45"/>
        <v>0</v>
      </c>
      <c r="CH23" s="12"/>
      <c r="CI23" s="13">
        <f t="shared" si="46"/>
        <v>0</v>
      </c>
      <c r="CJ23" s="12"/>
      <c r="CK23" s="13">
        <f t="shared" si="47"/>
        <v>0</v>
      </c>
      <c r="CL23" s="12"/>
      <c r="CM23" s="13">
        <f t="shared" si="48"/>
        <v>0</v>
      </c>
      <c r="CN23" s="12"/>
      <c r="CO23" s="13">
        <f t="shared" si="49"/>
        <v>0</v>
      </c>
      <c r="CP23" s="12"/>
      <c r="CQ23" s="13">
        <f t="shared" si="50"/>
        <v>0</v>
      </c>
      <c r="CR23" s="12"/>
      <c r="CS23" s="13">
        <f t="shared" si="51"/>
        <v>0</v>
      </c>
      <c r="CT23" s="12"/>
      <c r="CU23" s="13">
        <f t="shared" si="52"/>
        <v>0</v>
      </c>
      <c r="CV23" s="12"/>
      <c r="CW23" s="13">
        <f t="shared" si="53"/>
        <v>0</v>
      </c>
      <c r="CX23" s="12"/>
      <c r="CY23" s="13">
        <f t="shared" si="54"/>
        <v>0</v>
      </c>
      <c r="CZ23" s="12"/>
      <c r="DA23" s="13">
        <f t="shared" si="55"/>
        <v>0</v>
      </c>
      <c r="DB23" s="12"/>
      <c r="DC23" s="13">
        <f t="shared" si="0"/>
        <v>0</v>
      </c>
      <c r="DD23" s="12"/>
      <c r="DE23" s="13">
        <f t="shared" si="0"/>
        <v>0</v>
      </c>
      <c r="DF23" s="64">
        <f t="shared" si="56"/>
        <v>0</v>
      </c>
      <c r="DG23" s="15">
        <f t="shared" si="57"/>
        <v>0</v>
      </c>
      <c r="DH23" s="12"/>
      <c r="DI23" s="13">
        <f t="shared" si="58"/>
        <v>0</v>
      </c>
      <c r="DJ23" s="12"/>
      <c r="DK23" s="13">
        <f t="shared" si="1"/>
        <v>0</v>
      </c>
      <c r="DL23" s="12"/>
      <c r="DM23" s="13">
        <f t="shared" si="59"/>
        <v>0</v>
      </c>
      <c r="DN23" s="12"/>
      <c r="DO23" s="13">
        <f t="shared" si="2"/>
        <v>0</v>
      </c>
      <c r="DP23" s="12"/>
      <c r="DQ23" s="13">
        <f t="shared" si="60"/>
        <v>0</v>
      </c>
      <c r="DR23" s="12"/>
      <c r="DS23" s="13">
        <f t="shared" si="61"/>
        <v>0</v>
      </c>
      <c r="DT23" s="12"/>
      <c r="DU23" s="13">
        <f t="shared" si="62"/>
        <v>0</v>
      </c>
      <c r="DV23" s="12"/>
      <c r="DW23" s="13">
        <f t="shared" si="63"/>
        <v>0</v>
      </c>
      <c r="DX23" s="12"/>
      <c r="DY23" s="13">
        <f t="shared" si="64"/>
        <v>0</v>
      </c>
      <c r="DZ23" s="12"/>
      <c r="EA23" s="13">
        <f t="shared" si="65"/>
        <v>0</v>
      </c>
      <c r="EB23" s="12"/>
      <c r="EC23" s="13">
        <f t="shared" si="66"/>
        <v>0</v>
      </c>
      <c r="ED23" s="12"/>
      <c r="EE23" s="13">
        <f t="shared" si="3"/>
        <v>0</v>
      </c>
      <c r="EF23" s="24">
        <f t="shared" si="67"/>
        <v>0</v>
      </c>
      <c r="EG23" s="13">
        <f t="shared" si="68"/>
        <v>0</v>
      </c>
    </row>
    <row r="24" spans="1:137" ht="18" customHeight="1" x14ac:dyDescent="0.5">
      <c r="A24" s="10">
        <v>19</v>
      </c>
      <c r="B24" s="11" t="s">
        <v>35</v>
      </c>
      <c r="C24" s="11" t="s">
        <v>14</v>
      </c>
      <c r="D24" s="10">
        <f t="shared" si="70"/>
        <v>21</v>
      </c>
      <c r="E24" s="10">
        <v>0.64</v>
      </c>
      <c r="F24" s="10" t="s">
        <v>25</v>
      </c>
      <c r="G24" s="10"/>
      <c r="H24" s="12"/>
      <c r="I24" s="13">
        <f t="shared" si="4"/>
        <v>0</v>
      </c>
      <c r="J24" s="12"/>
      <c r="K24" s="13">
        <f t="shared" si="5"/>
        <v>0</v>
      </c>
      <c r="L24" s="12"/>
      <c r="M24" s="13">
        <f t="shared" si="6"/>
        <v>0</v>
      </c>
      <c r="N24" s="12"/>
      <c r="O24" s="13">
        <f t="shared" si="7"/>
        <v>0</v>
      </c>
      <c r="P24" s="12"/>
      <c r="Q24" s="13">
        <f t="shared" si="8"/>
        <v>0</v>
      </c>
      <c r="R24" s="12"/>
      <c r="S24" s="13">
        <f t="shared" si="9"/>
        <v>0</v>
      </c>
      <c r="T24" s="12"/>
      <c r="U24" s="13">
        <f t="shared" si="10"/>
        <v>0</v>
      </c>
      <c r="V24" s="12"/>
      <c r="W24" s="13">
        <f t="shared" si="11"/>
        <v>0</v>
      </c>
      <c r="X24" s="12"/>
      <c r="Y24" s="13">
        <f t="shared" si="12"/>
        <v>0</v>
      </c>
      <c r="Z24" s="12"/>
      <c r="AA24" s="13">
        <f t="shared" si="13"/>
        <v>0</v>
      </c>
      <c r="AB24" s="12"/>
      <c r="AC24" s="13">
        <f t="shared" si="14"/>
        <v>0</v>
      </c>
      <c r="AD24" s="12"/>
      <c r="AE24" s="13">
        <f t="shared" si="15"/>
        <v>0</v>
      </c>
      <c r="AF24" s="14">
        <f t="shared" si="16"/>
        <v>0</v>
      </c>
      <c r="AG24" s="15">
        <f t="shared" si="17"/>
        <v>0</v>
      </c>
      <c r="AH24" s="16"/>
      <c r="AI24" s="13">
        <f t="shared" si="18"/>
        <v>0</v>
      </c>
      <c r="AJ24" s="17"/>
      <c r="AK24" s="13">
        <f t="shared" si="19"/>
        <v>0</v>
      </c>
      <c r="AL24" s="17"/>
      <c r="AM24" s="13">
        <f t="shared" si="20"/>
        <v>0</v>
      </c>
      <c r="AN24" s="18"/>
      <c r="AO24" s="13">
        <f t="shared" si="21"/>
        <v>0</v>
      </c>
      <c r="AP24" s="17"/>
      <c r="AQ24" s="13">
        <f t="shared" si="22"/>
        <v>0</v>
      </c>
      <c r="AR24" s="17"/>
      <c r="AS24" s="13">
        <f t="shared" si="23"/>
        <v>0</v>
      </c>
      <c r="AT24" s="19"/>
      <c r="AU24" s="13">
        <f t="shared" si="24"/>
        <v>0</v>
      </c>
      <c r="AV24" s="17"/>
      <c r="AW24" s="13">
        <f t="shared" si="25"/>
        <v>0</v>
      </c>
      <c r="AX24" s="17"/>
      <c r="AY24" s="13">
        <f t="shared" si="26"/>
        <v>0</v>
      </c>
      <c r="AZ24" s="19"/>
      <c r="BA24" s="13">
        <f t="shared" si="27"/>
        <v>0</v>
      </c>
      <c r="BB24" s="20"/>
      <c r="BC24" s="13">
        <f t="shared" si="28"/>
        <v>0</v>
      </c>
      <c r="BD24" s="20"/>
      <c r="BE24" s="13">
        <f t="shared" si="29"/>
        <v>0</v>
      </c>
      <c r="BF24" s="14">
        <f t="shared" si="30"/>
        <v>0</v>
      </c>
      <c r="BG24" s="15">
        <f t="shared" si="31"/>
        <v>0</v>
      </c>
      <c r="BH24" s="18"/>
      <c r="BI24" s="57">
        <f t="shared" si="32"/>
        <v>0</v>
      </c>
      <c r="BJ24" s="18"/>
      <c r="BK24" s="57">
        <f t="shared" si="33"/>
        <v>0</v>
      </c>
      <c r="BL24" s="18"/>
      <c r="BM24" s="57">
        <f t="shared" si="34"/>
        <v>0</v>
      </c>
      <c r="BN24" s="18"/>
      <c r="BO24" s="57">
        <f t="shared" si="35"/>
        <v>0</v>
      </c>
      <c r="BP24" s="18"/>
      <c r="BQ24" s="57">
        <f t="shared" si="36"/>
        <v>0</v>
      </c>
      <c r="BR24" s="18"/>
      <c r="BS24" s="57">
        <f t="shared" si="37"/>
        <v>0</v>
      </c>
      <c r="BT24" s="18"/>
      <c r="BU24" s="57">
        <f t="shared" si="38"/>
        <v>0</v>
      </c>
      <c r="BV24" s="18"/>
      <c r="BW24" s="57">
        <f t="shared" si="39"/>
        <v>0</v>
      </c>
      <c r="BX24" s="18"/>
      <c r="BY24" s="57">
        <f t="shared" si="40"/>
        <v>0</v>
      </c>
      <c r="BZ24" s="18"/>
      <c r="CA24" s="57">
        <f t="shared" si="41"/>
        <v>0</v>
      </c>
      <c r="CB24" s="18"/>
      <c r="CC24" s="57">
        <f t="shared" si="42"/>
        <v>0</v>
      </c>
      <c r="CD24" s="18"/>
      <c r="CE24" s="57">
        <f t="shared" si="43"/>
        <v>0</v>
      </c>
      <c r="CF24" s="14">
        <f t="shared" si="44"/>
        <v>0</v>
      </c>
      <c r="CG24" s="15">
        <f t="shared" si="45"/>
        <v>0</v>
      </c>
      <c r="CH24" s="12"/>
      <c r="CI24" s="13">
        <f t="shared" si="46"/>
        <v>0</v>
      </c>
      <c r="CJ24" s="12"/>
      <c r="CK24" s="13">
        <f t="shared" si="47"/>
        <v>0</v>
      </c>
      <c r="CL24" s="12"/>
      <c r="CM24" s="13">
        <f t="shared" si="48"/>
        <v>0</v>
      </c>
      <c r="CN24" s="12"/>
      <c r="CO24" s="13">
        <f t="shared" si="49"/>
        <v>0</v>
      </c>
      <c r="CP24" s="12"/>
      <c r="CQ24" s="13">
        <f t="shared" si="50"/>
        <v>0</v>
      </c>
      <c r="CR24" s="12"/>
      <c r="CS24" s="13">
        <f t="shared" si="51"/>
        <v>0</v>
      </c>
      <c r="CT24" s="12"/>
      <c r="CU24" s="13">
        <f t="shared" si="52"/>
        <v>0</v>
      </c>
      <c r="CV24" s="12"/>
      <c r="CW24" s="13">
        <f t="shared" si="53"/>
        <v>0</v>
      </c>
      <c r="CX24" s="12"/>
      <c r="CY24" s="13">
        <f t="shared" si="54"/>
        <v>0</v>
      </c>
      <c r="CZ24" s="12"/>
      <c r="DA24" s="13">
        <f t="shared" si="55"/>
        <v>0</v>
      </c>
      <c r="DB24" s="12"/>
      <c r="DC24" s="13">
        <f t="shared" si="0"/>
        <v>0</v>
      </c>
      <c r="DD24" s="12"/>
      <c r="DE24" s="13">
        <f t="shared" si="0"/>
        <v>0</v>
      </c>
      <c r="DF24" s="64">
        <f t="shared" si="56"/>
        <v>0</v>
      </c>
      <c r="DG24" s="15">
        <f t="shared" si="57"/>
        <v>0</v>
      </c>
      <c r="DH24" s="12"/>
      <c r="DI24" s="13">
        <f t="shared" si="58"/>
        <v>0</v>
      </c>
      <c r="DJ24" s="12"/>
      <c r="DK24" s="13">
        <f t="shared" si="1"/>
        <v>0</v>
      </c>
      <c r="DL24" s="12"/>
      <c r="DM24" s="13">
        <f t="shared" si="59"/>
        <v>0</v>
      </c>
      <c r="DN24" s="12"/>
      <c r="DO24" s="13">
        <f t="shared" si="2"/>
        <v>0</v>
      </c>
      <c r="DP24" s="12"/>
      <c r="DQ24" s="13">
        <f t="shared" si="60"/>
        <v>0</v>
      </c>
      <c r="DR24" s="12"/>
      <c r="DS24" s="13">
        <f t="shared" si="61"/>
        <v>0</v>
      </c>
      <c r="DT24" s="12"/>
      <c r="DU24" s="13">
        <f t="shared" si="62"/>
        <v>0</v>
      </c>
      <c r="DV24" s="12"/>
      <c r="DW24" s="13">
        <f t="shared" si="63"/>
        <v>0</v>
      </c>
      <c r="DX24" s="12"/>
      <c r="DY24" s="13">
        <f t="shared" si="64"/>
        <v>0</v>
      </c>
      <c r="DZ24" s="12"/>
      <c r="EA24" s="13">
        <f t="shared" si="65"/>
        <v>0</v>
      </c>
      <c r="EB24" s="12"/>
      <c r="EC24" s="13">
        <f t="shared" si="66"/>
        <v>0</v>
      </c>
      <c r="ED24" s="12"/>
      <c r="EE24" s="13">
        <f t="shared" si="3"/>
        <v>0</v>
      </c>
      <c r="EF24" s="24">
        <f t="shared" si="67"/>
        <v>0</v>
      </c>
      <c r="EG24" s="13">
        <f t="shared" si="68"/>
        <v>0</v>
      </c>
    </row>
    <row r="25" spans="1:137" ht="18" customHeight="1" x14ac:dyDescent="0.5">
      <c r="A25" s="10"/>
      <c r="B25" s="11"/>
      <c r="C25" s="11"/>
      <c r="D25" s="10"/>
      <c r="E25" s="10"/>
      <c r="F25" s="10"/>
      <c r="G25" s="10"/>
      <c r="H25" s="12"/>
      <c r="I25" s="13">
        <f t="shared" si="4"/>
        <v>0</v>
      </c>
      <c r="J25" s="12"/>
      <c r="K25" s="13">
        <f t="shared" si="5"/>
        <v>0</v>
      </c>
      <c r="L25" s="12"/>
      <c r="M25" s="13">
        <f t="shared" si="6"/>
        <v>0</v>
      </c>
      <c r="N25" s="12"/>
      <c r="O25" s="13">
        <f t="shared" si="7"/>
        <v>0</v>
      </c>
      <c r="P25" s="12"/>
      <c r="Q25" s="13">
        <f t="shared" si="8"/>
        <v>0</v>
      </c>
      <c r="R25" s="12"/>
      <c r="S25" s="13">
        <f t="shared" si="9"/>
        <v>0</v>
      </c>
      <c r="T25" s="12"/>
      <c r="U25" s="13">
        <f t="shared" si="10"/>
        <v>0</v>
      </c>
      <c r="V25" s="12"/>
      <c r="W25" s="13">
        <f t="shared" si="11"/>
        <v>0</v>
      </c>
      <c r="X25" s="12"/>
      <c r="Y25" s="13">
        <f t="shared" si="12"/>
        <v>0</v>
      </c>
      <c r="Z25" s="12"/>
      <c r="AA25" s="13">
        <f t="shared" si="13"/>
        <v>0</v>
      </c>
      <c r="AB25" s="12"/>
      <c r="AC25" s="13">
        <f t="shared" si="14"/>
        <v>0</v>
      </c>
      <c r="AD25" s="12"/>
      <c r="AE25" s="13">
        <f t="shared" si="15"/>
        <v>0</v>
      </c>
      <c r="AF25" s="14">
        <f t="shared" si="16"/>
        <v>0</v>
      </c>
      <c r="AG25" s="15">
        <f t="shared" si="17"/>
        <v>0</v>
      </c>
      <c r="AH25" s="16"/>
      <c r="AI25" s="13">
        <f t="shared" si="18"/>
        <v>0</v>
      </c>
      <c r="AJ25" s="17"/>
      <c r="AK25" s="13">
        <f t="shared" si="19"/>
        <v>0</v>
      </c>
      <c r="AL25" s="17"/>
      <c r="AM25" s="13">
        <f t="shared" si="20"/>
        <v>0</v>
      </c>
      <c r="AN25" s="18"/>
      <c r="AO25" s="13">
        <f t="shared" si="21"/>
        <v>0</v>
      </c>
      <c r="AP25" s="17"/>
      <c r="AQ25" s="13">
        <f t="shared" si="22"/>
        <v>0</v>
      </c>
      <c r="AR25" s="17"/>
      <c r="AS25" s="13">
        <f t="shared" si="23"/>
        <v>0</v>
      </c>
      <c r="AT25" s="19"/>
      <c r="AU25" s="13">
        <f t="shared" si="24"/>
        <v>0</v>
      </c>
      <c r="AV25" s="17"/>
      <c r="AW25" s="13">
        <f t="shared" si="25"/>
        <v>0</v>
      </c>
      <c r="AX25" s="17"/>
      <c r="AY25" s="13">
        <f t="shared" si="26"/>
        <v>0</v>
      </c>
      <c r="AZ25" s="19"/>
      <c r="BA25" s="13">
        <f t="shared" si="27"/>
        <v>0</v>
      </c>
      <c r="BB25" s="20"/>
      <c r="BC25" s="13">
        <f t="shared" si="28"/>
        <v>0</v>
      </c>
      <c r="BD25" s="20"/>
      <c r="BE25" s="13">
        <f t="shared" si="29"/>
        <v>0</v>
      </c>
      <c r="BF25" s="14">
        <f t="shared" si="30"/>
        <v>0</v>
      </c>
      <c r="BG25" s="15">
        <f t="shared" si="31"/>
        <v>0</v>
      </c>
      <c r="BH25" s="18"/>
      <c r="BI25" s="57">
        <f t="shared" si="32"/>
        <v>0</v>
      </c>
      <c r="BJ25" s="18"/>
      <c r="BK25" s="57">
        <f t="shared" si="33"/>
        <v>0</v>
      </c>
      <c r="BL25" s="18"/>
      <c r="BM25" s="57">
        <f t="shared" si="34"/>
        <v>0</v>
      </c>
      <c r="BN25" s="18"/>
      <c r="BO25" s="57">
        <f t="shared" si="35"/>
        <v>0</v>
      </c>
      <c r="BP25" s="18"/>
      <c r="BQ25" s="57">
        <f t="shared" si="36"/>
        <v>0</v>
      </c>
      <c r="BR25" s="18"/>
      <c r="BS25" s="57">
        <f t="shared" si="37"/>
        <v>0</v>
      </c>
      <c r="BT25" s="18"/>
      <c r="BU25" s="57">
        <f t="shared" si="38"/>
        <v>0</v>
      </c>
      <c r="BV25" s="18"/>
      <c r="BW25" s="57">
        <f t="shared" si="39"/>
        <v>0</v>
      </c>
      <c r="BX25" s="18"/>
      <c r="BY25" s="57">
        <f t="shared" si="40"/>
        <v>0</v>
      </c>
      <c r="BZ25" s="18"/>
      <c r="CA25" s="57">
        <f t="shared" si="41"/>
        <v>0</v>
      </c>
      <c r="CB25" s="18"/>
      <c r="CC25" s="57">
        <f t="shared" si="42"/>
        <v>0</v>
      </c>
      <c r="CD25" s="18"/>
      <c r="CE25" s="57">
        <f t="shared" si="43"/>
        <v>0</v>
      </c>
      <c r="CF25" s="14">
        <f t="shared" si="44"/>
        <v>0</v>
      </c>
      <c r="CG25" s="15">
        <f t="shared" si="45"/>
        <v>0</v>
      </c>
      <c r="CH25" s="12"/>
      <c r="CI25" s="13">
        <f t="shared" si="46"/>
        <v>0</v>
      </c>
      <c r="CJ25" s="12"/>
      <c r="CK25" s="13">
        <f t="shared" si="47"/>
        <v>0</v>
      </c>
      <c r="CL25" s="12"/>
      <c r="CM25" s="13">
        <f t="shared" si="48"/>
        <v>0</v>
      </c>
      <c r="CN25" s="12"/>
      <c r="CO25" s="13">
        <f t="shared" si="49"/>
        <v>0</v>
      </c>
      <c r="CP25" s="12"/>
      <c r="CQ25" s="13">
        <f t="shared" si="50"/>
        <v>0</v>
      </c>
      <c r="CR25" s="12"/>
      <c r="CS25" s="13">
        <f t="shared" si="51"/>
        <v>0</v>
      </c>
      <c r="CT25" s="12"/>
      <c r="CU25" s="13">
        <f t="shared" si="52"/>
        <v>0</v>
      </c>
      <c r="CV25" s="12"/>
      <c r="CW25" s="13">
        <f t="shared" si="53"/>
        <v>0</v>
      </c>
      <c r="CX25" s="12"/>
      <c r="CY25" s="13">
        <f t="shared" si="54"/>
        <v>0</v>
      </c>
      <c r="CZ25" s="12"/>
      <c r="DA25" s="13">
        <f t="shared" si="55"/>
        <v>0</v>
      </c>
      <c r="DB25" s="12"/>
      <c r="DC25" s="13">
        <f t="shared" si="0"/>
        <v>0</v>
      </c>
      <c r="DD25" s="12"/>
      <c r="DE25" s="13">
        <f t="shared" si="0"/>
        <v>0</v>
      </c>
      <c r="DF25" s="64">
        <f t="shared" si="56"/>
        <v>0</v>
      </c>
      <c r="DG25" s="15">
        <f t="shared" si="57"/>
        <v>0</v>
      </c>
      <c r="DH25" s="12"/>
      <c r="DI25" s="13">
        <f t="shared" si="58"/>
        <v>0</v>
      </c>
      <c r="DJ25" s="12"/>
      <c r="DK25" s="13">
        <f t="shared" si="1"/>
        <v>0</v>
      </c>
      <c r="DL25" s="12"/>
      <c r="DM25" s="13">
        <f t="shared" si="59"/>
        <v>0</v>
      </c>
      <c r="DN25" s="12"/>
      <c r="DO25" s="13">
        <f t="shared" si="2"/>
        <v>0</v>
      </c>
      <c r="DP25" s="12"/>
      <c r="DQ25" s="13">
        <f t="shared" si="60"/>
        <v>0</v>
      </c>
      <c r="DR25" s="12"/>
      <c r="DS25" s="13">
        <f t="shared" si="61"/>
        <v>0</v>
      </c>
      <c r="DT25" s="12"/>
      <c r="DU25" s="13">
        <f t="shared" si="62"/>
        <v>0</v>
      </c>
      <c r="DV25" s="12"/>
      <c r="DW25" s="13">
        <f t="shared" si="63"/>
        <v>0</v>
      </c>
      <c r="DX25" s="12"/>
      <c r="DY25" s="13">
        <f t="shared" si="64"/>
        <v>0</v>
      </c>
      <c r="DZ25" s="12"/>
      <c r="EA25" s="13">
        <f t="shared" si="65"/>
        <v>0</v>
      </c>
      <c r="EB25" s="12"/>
      <c r="EC25" s="13">
        <f t="shared" si="66"/>
        <v>0</v>
      </c>
      <c r="ED25" s="12"/>
      <c r="EE25" s="13">
        <f t="shared" si="3"/>
        <v>0</v>
      </c>
      <c r="EF25" s="24">
        <f t="shared" si="67"/>
        <v>0</v>
      </c>
      <c r="EG25" s="13">
        <f t="shared" si="68"/>
        <v>0</v>
      </c>
    </row>
    <row r="26" spans="1:137" ht="18" customHeight="1" x14ac:dyDescent="0.5">
      <c r="A26" s="10">
        <v>20</v>
      </c>
      <c r="B26" s="11" t="s">
        <v>36</v>
      </c>
      <c r="C26" s="11" t="s">
        <v>17</v>
      </c>
      <c r="D26" s="10">
        <f>RANK(DF26,$DF$4:$DF$147)</f>
        <v>21</v>
      </c>
      <c r="E26" s="10">
        <v>1</v>
      </c>
      <c r="F26" s="10" t="s">
        <v>15</v>
      </c>
      <c r="G26" s="10"/>
      <c r="H26" s="12"/>
      <c r="I26" s="13">
        <f t="shared" si="4"/>
        <v>0</v>
      </c>
      <c r="J26" s="12"/>
      <c r="K26" s="13">
        <f t="shared" si="5"/>
        <v>0</v>
      </c>
      <c r="L26" s="12"/>
      <c r="M26" s="13">
        <f t="shared" si="6"/>
        <v>0</v>
      </c>
      <c r="N26" s="12"/>
      <c r="O26" s="13">
        <f t="shared" si="7"/>
        <v>0</v>
      </c>
      <c r="P26" s="12"/>
      <c r="Q26" s="13">
        <f t="shared" si="8"/>
        <v>0</v>
      </c>
      <c r="R26" s="12"/>
      <c r="S26" s="13">
        <f t="shared" si="9"/>
        <v>0</v>
      </c>
      <c r="T26" s="12"/>
      <c r="U26" s="13">
        <f t="shared" si="10"/>
        <v>0</v>
      </c>
      <c r="V26" s="12"/>
      <c r="W26" s="13">
        <f t="shared" si="11"/>
        <v>0</v>
      </c>
      <c r="X26" s="12"/>
      <c r="Y26" s="13">
        <f t="shared" si="12"/>
        <v>0</v>
      </c>
      <c r="Z26" s="12"/>
      <c r="AA26" s="13">
        <f t="shared" si="13"/>
        <v>0</v>
      </c>
      <c r="AB26" s="12"/>
      <c r="AC26" s="13">
        <f t="shared" si="14"/>
        <v>0</v>
      </c>
      <c r="AD26" s="12"/>
      <c r="AE26" s="13">
        <f t="shared" si="15"/>
        <v>0</v>
      </c>
      <c r="AF26" s="14">
        <f t="shared" si="16"/>
        <v>0</v>
      </c>
      <c r="AG26" s="15">
        <f t="shared" si="17"/>
        <v>0</v>
      </c>
      <c r="AH26" s="16"/>
      <c r="AI26" s="13">
        <f t="shared" si="18"/>
        <v>0</v>
      </c>
      <c r="AJ26" s="17"/>
      <c r="AK26" s="13">
        <f t="shared" si="19"/>
        <v>0</v>
      </c>
      <c r="AL26" s="17"/>
      <c r="AM26" s="13">
        <f t="shared" si="20"/>
        <v>0</v>
      </c>
      <c r="AN26" s="18"/>
      <c r="AO26" s="13">
        <f t="shared" si="21"/>
        <v>0</v>
      </c>
      <c r="AP26" s="17"/>
      <c r="AQ26" s="13">
        <f t="shared" si="22"/>
        <v>0</v>
      </c>
      <c r="AR26" s="17"/>
      <c r="AS26" s="13">
        <f t="shared" si="23"/>
        <v>0</v>
      </c>
      <c r="AT26" s="19"/>
      <c r="AU26" s="13">
        <f t="shared" si="24"/>
        <v>0</v>
      </c>
      <c r="AV26" s="17"/>
      <c r="AW26" s="13">
        <f t="shared" si="25"/>
        <v>0</v>
      </c>
      <c r="AX26" s="17"/>
      <c r="AY26" s="13">
        <f t="shared" si="26"/>
        <v>0</v>
      </c>
      <c r="AZ26" s="19"/>
      <c r="BA26" s="13">
        <f t="shared" si="27"/>
        <v>0</v>
      </c>
      <c r="BB26" s="20"/>
      <c r="BC26" s="13">
        <f t="shared" si="28"/>
        <v>0</v>
      </c>
      <c r="BD26" s="20"/>
      <c r="BE26" s="13">
        <f t="shared" si="29"/>
        <v>0</v>
      </c>
      <c r="BF26" s="14">
        <f t="shared" si="30"/>
        <v>0</v>
      </c>
      <c r="BG26" s="15">
        <f t="shared" si="31"/>
        <v>0</v>
      </c>
      <c r="BH26" s="18"/>
      <c r="BI26" s="57">
        <f t="shared" si="32"/>
        <v>0</v>
      </c>
      <c r="BJ26" s="18"/>
      <c r="BK26" s="57">
        <f t="shared" si="33"/>
        <v>0</v>
      </c>
      <c r="BL26" s="18"/>
      <c r="BM26" s="57">
        <f t="shared" si="34"/>
        <v>0</v>
      </c>
      <c r="BN26" s="18"/>
      <c r="BO26" s="57">
        <f t="shared" si="35"/>
        <v>0</v>
      </c>
      <c r="BP26" s="18"/>
      <c r="BQ26" s="57">
        <f t="shared" si="36"/>
        <v>0</v>
      </c>
      <c r="BR26" s="18"/>
      <c r="BS26" s="57">
        <f t="shared" si="37"/>
        <v>0</v>
      </c>
      <c r="BT26" s="18"/>
      <c r="BU26" s="57">
        <f t="shared" si="38"/>
        <v>0</v>
      </c>
      <c r="BV26" s="18"/>
      <c r="BW26" s="57">
        <f t="shared" si="39"/>
        <v>0</v>
      </c>
      <c r="BX26" s="18"/>
      <c r="BY26" s="57">
        <f t="shared" si="40"/>
        <v>0</v>
      </c>
      <c r="BZ26" s="18"/>
      <c r="CA26" s="57">
        <f t="shared" si="41"/>
        <v>0</v>
      </c>
      <c r="CB26" s="18"/>
      <c r="CC26" s="57">
        <f t="shared" si="42"/>
        <v>0</v>
      </c>
      <c r="CD26" s="18"/>
      <c r="CE26" s="57">
        <f t="shared" si="43"/>
        <v>0</v>
      </c>
      <c r="CF26" s="14">
        <f t="shared" si="44"/>
        <v>0</v>
      </c>
      <c r="CG26" s="15">
        <f t="shared" si="45"/>
        <v>0</v>
      </c>
      <c r="CH26" s="12"/>
      <c r="CI26" s="13">
        <f t="shared" si="46"/>
        <v>0</v>
      </c>
      <c r="CJ26" s="12"/>
      <c r="CK26" s="13">
        <f t="shared" si="47"/>
        <v>0</v>
      </c>
      <c r="CL26" s="12"/>
      <c r="CM26" s="13">
        <f t="shared" si="48"/>
        <v>0</v>
      </c>
      <c r="CN26" s="12"/>
      <c r="CO26" s="13">
        <f t="shared" si="49"/>
        <v>0</v>
      </c>
      <c r="CP26" s="12"/>
      <c r="CQ26" s="13">
        <f t="shared" si="50"/>
        <v>0</v>
      </c>
      <c r="CR26" s="12"/>
      <c r="CS26" s="13">
        <f t="shared" si="51"/>
        <v>0</v>
      </c>
      <c r="CT26" s="12"/>
      <c r="CU26" s="13">
        <f t="shared" si="52"/>
        <v>0</v>
      </c>
      <c r="CV26" s="12"/>
      <c r="CW26" s="13">
        <f t="shared" si="53"/>
        <v>0</v>
      </c>
      <c r="CX26" s="12"/>
      <c r="CY26" s="13">
        <f t="shared" si="54"/>
        <v>0</v>
      </c>
      <c r="CZ26" s="12"/>
      <c r="DA26" s="13">
        <f t="shared" si="55"/>
        <v>0</v>
      </c>
      <c r="DB26" s="12"/>
      <c r="DC26" s="13">
        <f t="shared" si="0"/>
        <v>0</v>
      </c>
      <c r="DD26" s="12"/>
      <c r="DE26" s="13">
        <f t="shared" si="0"/>
        <v>0</v>
      </c>
      <c r="DF26" s="64">
        <f t="shared" si="56"/>
        <v>0</v>
      </c>
      <c r="DG26" s="15">
        <f t="shared" si="57"/>
        <v>0</v>
      </c>
      <c r="DH26" s="12"/>
      <c r="DI26" s="13">
        <f t="shared" si="58"/>
        <v>0</v>
      </c>
      <c r="DJ26" s="12"/>
      <c r="DK26" s="13">
        <f t="shared" si="1"/>
        <v>0</v>
      </c>
      <c r="DL26" s="12"/>
      <c r="DM26" s="13">
        <f t="shared" si="59"/>
        <v>0</v>
      </c>
      <c r="DN26" s="12"/>
      <c r="DO26" s="13">
        <f t="shared" si="2"/>
        <v>0</v>
      </c>
      <c r="DP26" s="12"/>
      <c r="DQ26" s="13">
        <f t="shared" si="60"/>
        <v>0</v>
      </c>
      <c r="DR26" s="12"/>
      <c r="DS26" s="13">
        <f t="shared" si="61"/>
        <v>0</v>
      </c>
      <c r="DT26" s="12"/>
      <c r="DU26" s="13">
        <f t="shared" si="62"/>
        <v>0</v>
      </c>
      <c r="DV26" s="12"/>
      <c r="DW26" s="13">
        <f t="shared" si="63"/>
        <v>0</v>
      </c>
      <c r="DX26" s="12"/>
      <c r="DY26" s="13">
        <f t="shared" si="64"/>
        <v>0</v>
      </c>
      <c r="DZ26" s="12"/>
      <c r="EA26" s="13">
        <f t="shared" si="65"/>
        <v>0</v>
      </c>
      <c r="EB26" s="12"/>
      <c r="EC26" s="13">
        <f t="shared" si="66"/>
        <v>0</v>
      </c>
      <c r="ED26" s="12"/>
      <c r="EE26" s="13">
        <f t="shared" si="3"/>
        <v>0</v>
      </c>
      <c r="EF26" s="24">
        <f t="shared" si="67"/>
        <v>0</v>
      </c>
      <c r="EG26" s="13">
        <f t="shared" si="68"/>
        <v>0</v>
      </c>
    </row>
    <row r="27" spans="1:137" ht="18" customHeight="1" x14ac:dyDescent="0.5">
      <c r="A27" s="10">
        <v>21</v>
      </c>
      <c r="B27" s="11" t="s">
        <v>37</v>
      </c>
      <c r="C27" s="11" t="s">
        <v>17</v>
      </c>
      <c r="D27" s="10">
        <f>RANK(DF27,$DF$4:$DF$147)</f>
        <v>21</v>
      </c>
      <c r="E27" s="10">
        <v>0.6</v>
      </c>
      <c r="F27" s="10" t="s">
        <v>38</v>
      </c>
      <c r="G27" s="10"/>
      <c r="H27" s="12"/>
      <c r="I27" s="13">
        <f t="shared" si="4"/>
        <v>0</v>
      </c>
      <c r="J27" s="12"/>
      <c r="K27" s="13">
        <f t="shared" si="5"/>
        <v>0</v>
      </c>
      <c r="L27" s="12"/>
      <c r="M27" s="13">
        <f t="shared" si="6"/>
        <v>0</v>
      </c>
      <c r="N27" s="12"/>
      <c r="O27" s="13">
        <f t="shared" si="7"/>
        <v>0</v>
      </c>
      <c r="P27" s="12"/>
      <c r="Q27" s="13">
        <f t="shared" si="8"/>
        <v>0</v>
      </c>
      <c r="R27" s="12"/>
      <c r="S27" s="13">
        <f t="shared" si="9"/>
        <v>0</v>
      </c>
      <c r="T27" s="12"/>
      <c r="U27" s="13">
        <f t="shared" si="10"/>
        <v>0</v>
      </c>
      <c r="V27" s="12"/>
      <c r="W27" s="13">
        <f t="shared" si="11"/>
        <v>0</v>
      </c>
      <c r="X27" s="12"/>
      <c r="Y27" s="13">
        <f t="shared" si="12"/>
        <v>0</v>
      </c>
      <c r="Z27" s="12"/>
      <c r="AA27" s="13">
        <f t="shared" si="13"/>
        <v>0</v>
      </c>
      <c r="AB27" s="12"/>
      <c r="AC27" s="13">
        <f t="shared" si="14"/>
        <v>0</v>
      </c>
      <c r="AD27" s="12"/>
      <c r="AE27" s="13">
        <f t="shared" si="15"/>
        <v>0</v>
      </c>
      <c r="AF27" s="14">
        <f t="shared" si="16"/>
        <v>0</v>
      </c>
      <c r="AG27" s="15">
        <f t="shared" si="17"/>
        <v>0</v>
      </c>
      <c r="AH27" s="16"/>
      <c r="AI27" s="13">
        <f t="shared" si="18"/>
        <v>0</v>
      </c>
      <c r="AJ27" s="17"/>
      <c r="AK27" s="13">
        <f t="shared" si="19"/>
        <v>0</v>
      </c>
      <c r="AL27" s="17"/>
      <c r="AM27" s="13">
        <f t="shared" si="20"/>
        <v>0</v>
      </c>
      <c r="AN27" s="18"/>
      <c r="AO27" s="13">
        <f t="shared" si="21"/>
        <v>0</v>
      </c>
      <c r="AP27" s="17"/>
      <c r="AQ27" s="13">
        <f t="shared" si="22"/>
        <v>0</v>
      </c>
      <c r="AR27" s="17"/>
      <c r="AS27" s="13">
        <f t="shared" si="23"/>
        <v>0</v>
      </c>
      <c r="AT27" s="19"/>
      <c r="AU27" s="13">
        <f t="shared" si="24"/>
        <v>0</v>
      </c>
      <c r="AV27" s="17"/>
      <c r="AW27" s="13">
        <f t="shared" si="25"/>
        <v>0</v>
      </c>
      <c r="AX27" s="17"/>
      <c r="AY27" s="13">
        <f t="shared" si="26"/>
        <v>0</v>
      </c>
      <c r="AZ27" s="19"/>
      <c r="BA27" s="13">
        <f t="shared" si="27"/>
        <v>0</v>
      </c>
      <c r="BB27" s="20"/>
      <c r="BC27" s="13">
        <f t="shared" si="28"/>
        <v>0</v>
      </c>
      <c r="BD27" s="20"/>
      <c r="BE27" s="13">
        <f t="shared" si="29"/>
        <v>0</v>
      </c>
      <c r="BF27" s="14">
        <f t="shared" si="30"/>
        <v>0</v>
      </c>
      <c r="BG27" s="15">
        <f t="shared" si="31"/>
        <v>0</v>
      </c>
      <c r="BH27" s="18"/>
      <c r="BI27" s="57">
        <f t="shared" si="32"/>
        <v>0</v>
      </c>
      <c r="BJ27" s="18"/>
      <c r="BK27" s="57">
        <f t="shared" si="33"/>
        <v>0</v>
      </c>
      <c r="BL27" s="18"/>
      <c r="BM27" s="57">
        <f t="shared" si="34"/>
        <v>0</v>
      </c>
      <c r="BN27" s="18"/>
      <c r="BO27" s="57">
        <f t="shared" si="35"/>
        <v>0</v>
      </c>
      <c r="BP27" s="18"/>
      <c r="BQ27" s="57">
        <f t="shared" si="36"/>
        <v>0</v>
      </c>
      <c r="BR27" s="18"/>
      <c r="BS27" s="57">
        <f t="shared" si="37"/>
        <v>0</v>
      </c>
      <c r="BT27" s="18"/>
      <c r="BU27" s="57">
        <f t="shared" si="38"/>
        <v>0</v>
      </c>
      <c r="BV27" s="18"/>
      <c r="BW27" s="57">
        <f t="shared" si="39"/>
        <v>0</v>
      </c>
      <c r="BX27" s="18"/>
      <c r="BY27" s="57">
        <f t="shared" si="40"/>
        <v>0</v>
      </c>
      <c r="BZ27" s="18"/>
      <c r="CA27" s="57">
        <f t="shared" si="41"/>
        <v>0</v>
      </c>
      <c r="CB27" s="18"/>
      <c r="CC27" s="57">
        <f t="shared" si="42"/>
        <v>0</v>
      </c>
      <c r="CD27" s="18"/>
      <c r="CE27" s="57">
        <f t="shared" si="43"/>
        <v>0</v>
      </c>
      <c r="CF27" s="14">
        <f t="shared" si="44"/>
        <v>0</v>
      </c>
      <c r="CG27" s="15">
        <f t="shared" si="45"/>
        <v>0</v>
      </c>
      <c r="CH27" s="12"/>
      <c r="CI27" s="13">
        <f t="shared" si="46"/>
        <v>0</v>
      </c>
      <c r="CJ27" s="12"/>
      <c r="CK27" s="13">
        <f t="shared" si="47"/>
        <v>0</v>
      </c>
      <c r="CL27" s="12"/>
      <c r="CM27" s="13">
        <f t="shared" si="48"/>
        <v>0</v>
      </c>
      <c r="CN27" s="12"/>
      <c r="CO27" s="13">
        <f t="shared" si="49"/>
        <v>0</v>
      </c>
      <c r="CP27" s="12"/>
      <c r="CQ27" s="13">
        <f t="shared" si="50"/>
        <v>0</v>
      </c>
      <c r="CR27" s="12"/>
      <c r="CS27" s="13">
        <f t="shared" si="51"/>
        <v>0</v>
      </c>
      <c r="CT27" s="12"/>
      <c r="CU27" s="13">
        <f t="shared" si="52"/>
        <v>0</v>
      </c>
      <c r="CV27" s="12"/>
      <c r="CW27" s="13">
        <f t="shared" si="53"/>
        <v>0</v>
      </c>
      <c r="CX27" s="12"/>
      <c r="CY27" s="13">
        <f t="shared" si="54"/>
        <v>0</v>
      </c>
      <c r="CZ27" s="12"/>
      <c r="DA27" s="13">
        <f t="shared" si="55"/>
        <v>0</v>
      </c>
      <c r="DB27" s="12"/>
      <c r="DC27" s="13">
        <f t="shared" si="0"/>
        <v>0</v>
      </c>
      <c r="DD27" s="12"/>
      <c r="DE27" s="13">
        <f t="shared" si="0"/>
        <v>0</v>
      </c>
      <c r="DF27" s="64">
        <f t="shared" si="56"/>
        <v>0</v>
      </c>
      <c r="DG27" s="15">
        <f t="shared" si="57"/>
        <v>0</v>
      </c>
      <c r="DH27" s="12"/>
      <c r="DI27" s="13">
        <f t="shared" si="58"/>
        <v>0</v>
      </c>
      <c r="DJ27" s="12"/>
      <c r="DK27" s="13">
        <f t="shared" si="1"/>
        <v>0</v>
      </c>
      <c r="DL27" s="12"/>
      <c r="DM27" s="13">
        <f t="shared" si="59"/>
        <v>0</v>
      </c>
      <c r="DN27" s="12"/>
      <c r="DO27" s="13">
        <f t="shared" si="2"/>
        <v>0</v>
      </c>
      <c r="DP27" s="12"/>
      <c r="DQ27" s="13">
        <f t="shared" si="60"/>
        <v>0</v>
      </c>
      <c r="DR27" s="12"/>
      <c r="DS27" s="13">
        <f t="shared" si="61"/>
        <v>0</v>
      </c>
      <c r="DT27" s="12"/>
      <c r="DU27" s="13">
        <f t="shared" si="62"/>
        <v>0</v>
      </c>
      <c r="DV27" s="12"/>
      <c r="DW27" s="13">
        <f t="shared" si="63"/>
        <v>0</v>
      </c>
      <c r="DX27" s="12"/>
      <c r="DY27" s="13">
        <f t="shared" si="64"/>
        <v>0</v>
      </c>
      <c r="DZ27" s="12"/>
      <c r="EA27" s="13">
        <f t="shared" si="65"/>
        <v>0</v>
      </c>
      <c r="EB27" s="12"/>
      <c r="EC27" s="13">
        <f t="shared" si="66"/>
        <v>0</v>
      </c>
      <c r="ED27" s="12"/>
      <c r="EE27" s="13">
        <f t="shared" si="3"/>
        <v>0</v>
      </c>
      <c r="EF27" s="24">
        <f t="shared" si="67"/>
        <v>0</v>
      </c>
      <c r="EG27" s="13">
        <f t="shared" si="68"/>
        <v>0</v>
      </c>
    </row>
    <row r="28" spans="1:137" ht="18" customHeight="1" x14ac:dyDescent="0.5">
      <c r="A28" s="10">
        <v>22</v>
      </c>
      <c r="B28" s="11" t="s">
        <v>39</v>
      </c>
      <c r="C28" s="11" t="s">
        <v>14</v>
      </c>
      <c r="D28" s="10">
        <f>RANK(DF28,$DF$4:$DF$147)</f>
        <v>12</v>
      </c>
      <c r="E28" s="10">
        <v>0.64</v>
      </c>
      <c r="F28" s="10" t="s">
        <v>25</v>
      </c>
      <c r="G28" s="10"/>
      <c r="H28" s="12"/>
      <c r="I28" s="13">
        <f t="shared" si="4"/>
        <v>0</v>
      </c>
      <c r="J28" s="12"/>
      <c r="K28" s="13">
        <f t="shared" si="5"/>
        <v>0</v>
      </c>
      <c r="L28" s="12"/>
      <c r="M28" s="13">
        <f t="shared" si="6"/>
        <v>0</v>
      </c>
      <c r="N28" s="12"/>
      <c r="O28" s="13">
        <f t="shared" si="7"/>
        <v>0</v>
      </c>
      <c r="P28" s="12"/>
      <c r="Q28" s="13">
        <f t="shared" si="8"/>
        <v>0</v>
      </c>
      <c r="R28" s="12"/>
      <c r="S28" s="13">
        <f t="shared" si="9"/>
        <v>0</v>
      </c>
      <c r="T28" s="12"/>
      <c r="U28" s="13">
        <f t="shared" si="10"/>
        <v>0</v>
      </c>
      <c r="V28" s="12"/>
      <c r="W28" s="13">
        <f t="shared" si="11"/>
        <v>0</v>
      </c>
      <c r="X28" s="12"/>
      <c r="Y28" s="13">
        <f t="shared" si="12"/>
        <v>0</v>
      </c>
      <c r="Z28" s="12"/>
      <c r="AA28" s="13">
        <f t="shared" si="13"/>
        <v>0</v>
      </c>
      <c r="AB28" s="12"/>
      <c r="AC28" s="13">
        <f t="shared" si="14"/>
        <v>0</v>
      </c>
      <c r="AD28" s="12"/>
      <c r="AE28" s="13">
        <f t="shared" si="15"/>
        <v>0</v>
      </c>
      <c r="AF28" s="14">
        <f t="shared" si="16"/>
        <v>0</v>
      </c>
      <c r="AG28" s="15">
        <f t="shared" si="17"/>
        <v>0</v>
      </c>
      <c r="AH28" s="16"/>
      <c r="AI28" s="13">
        <f t="shared" si="18"/>
        <v>0</v>
      </c>
      <c r="AJ28" s="17"/>
      <c r="AK28" s="13">
        <f t="shared" si="19"/>
        <v>0</v>
      </c>
      <c r="AL28" s="17"/>
      <c r="AM28" s="13">
        <f t="shared" si="20"/>
        <v>0</v>
      </c>
      <c r="AN28" s="18"/>
      <c r="AO28" s="13">
        <f t="shared" si="21"/>
        <v>0</v>
      </c>
      <c r="AP28" s="17"/>
      <c r="AQ28" s="13">
        <f t="shared" si="22"/>
        <v>0</v>
      </c>
      <c r="AR28" s="17"/>
      <c r="AS28" s="13">
        <f t="shared" si="23"/>
        <v>0</v>
      </c>
      <c r="AT28" s="19"/>
      <c r="AU28" s="13">
        <f t="shared" si="24"/>
        <v>0</v>
      </c>
      <c r="AV28" s="17"/>
      <c r="AW28" s="13">
        <f t="shared" si="25"/>
        <v>0</v>
      </c>
      <c r="AX28" s="17"/>
      <c r="AY28" s="13">
        <f t="shared" si="26"/>
        <v>0</v>
      </c>
      <c r="AZ28" s="19"/>
      <c r="BA28" s="13">
        <f t="shared" si="27"/>
        <v>0</v>
      </c>
      <c r="BB28" s="20"/>
      <c r="BC28" s="13">
        <f t="shared" si="28"/>
        <v>0</v>
      </c>
      <c r="BD28" s="20"/>
      <c r="BE28" s="13">
        <f t="shared" si="29"/>
        <v>0</v>
      </c>
      <c r="BF28" s="14">
        <f t="shared" si="30"/>
        <v>0</v>
      </c>
      <c r="BG28" s="15">
        <f t="shared" si="31"/>
        <v>0</v>
      </c>
      <c r="BH28" s="18"/>
      <c r="BI28" s="57">
        <f t="shared" si="32"/>
        <v>0</v>
      </c>
      <c r="BJ28" s="18"/>
      <c r="BK28" s="57">
        <f t="shared" si="33"/>
        <v>0</v>
      </c>
      <c r="BL28" s="18"/>
      <c r="BM28" s="57">
        <f t="shared" si="34"/>
        <v>0</v>
      </c>
      <c r="BN28" s="18"/>
      <c r="BO28" s="57">
        <f t="shared" si="35"/>
        <v>0</v>
      </c>
      <c r="BP28" s="18"/>
      <c r="BQ28" s="57">
        <f t="shared" si="36"/>
        <v>0</v>
      </c>
      <c r="BR28" s="18"/>
      <c r="BS28" s="57">
        <f t="shared" si="37"/>
        <v>0</v>
      </c>
      <c r="BT28" s="18"/>
      <c r="BU28" s="57">
        <f t="shared" si="38"/>
        <v>0</v>
      </c>
      <c r="BV28" s="18"/>
      <c r="BW28" s="57">
        <f t="shared" si="39"/>
        <v>0</v>
      </c>
      <c r="BX28" s="18"/>
      <c r="BY28" s="57">
        <f t="shared" si="40"/>
        <v>0</v>
      </c>
      <c r="BZ28" s="18"/>
      <c r="CA28" s="57">
        <f t="shared" si="41"/>
        <v>0</v>
      </c>
      <c r="CB28" s="18"/>
      <c r="CC28" s="57">
        <f t="shared" si="42"/>
        <v>0</v>
      </c>
      <c r="CD28" s="18"/>
      <c r="CE28" s="57">
        <f t="shared" si="43"/>
        <v>0</v>
      </c>
      <c r="CF28" s="14">
        <f t="shared" si="44"/>
        <v>0</v>
      </c>
      <c r="CG28" s="15">
        <f t="shared" si="45"/>
        <v>0</v>
      </c>
      <c r="CH28" s="12"/>
      <c r="CI28" s="13">
        <f t="shared" si="46"/>
        <v>0</v>
      </c>
      <c r="CJ28" s="12"/>
      <c r="CK28" s="13">
        <f t="shared" si="47"/>
        <v>0</v>
      </c>
      <c r="CL28" s="12"/>
      <c r="CM28" s="13">
        <f t="shared" si="48"/>
        <v>0</v>
      </c>
      <c r="CN28" s="12"/>
      <c r="CO28" s="13">
        <f t="shared" si="49"/>
        <v>0</v>
      </c>
      <c r="CP28" s="12"/>
      <c r="CQ28" s="13">
        <f t="shared" si="50"/>
        <v>0</v>
      </c>
      <c r="CR28" s="12"/>
      <c r="CS28" s="13">
        <f t="shared" si="51"/>
        <v>0</v>
      </c>
      <c r="CT28" s="12">
        <v>700</v>
      </c>
      <c r="CU28" s="13">
        <f t="shared" si="52"/>
        <v>448</v>
      </c>
      <c r="CV28" s="12"/>
      <c r="CW28" s="13">
        <f t="shared" si="53"/>
        <v>0</v>
      </c>
      <c r="CX28" s="12">
        <v>700</v>
      </c>
      <c r="CY28" s="13">
        <f t="shared" si="54"/>
        <v>448</v>
      </c>
      <c r="CZ28" s="12"/>
      <c r="DA28" s="13">
        <f t="shared" si="55"/>
        <v>0</v>
      </c>
      <c r="DB28" s="12">
        <v>700</v>
      </c>
      <c r="DC28" s="13">
        <f t="shared" si="0"/>
        <v>448</v>
      </c>
      <c r="DD28" s="12">
        <v>700</v>
      </c>
      <c r="DE28" s="13">
        <f t="shared" si="0"/>
        <v>448</v>
      </c>
      <c r="DF28" s="64">
        <f t="shared" si="56"/>
        <v>2800</v>
      </c>
      <c r="DG28" s="15">
        <f t="shared" si="57"/>
        <v>1792</v>
      </c>
      <c r="DH28" s="12">
        <v>1400</v>
      </c>
      <c r="DI28" s="13">
        <f t="shared" si="58"/>
        <v>896</v>
      </c>
      <c r="DJ28" s="12"/>
      <c r="DK28" s="13">
        <f t="shared" si="1"/>
        <v>0</v>
      </c>
      <c r="DL28" s="12"/>
      <c r="DM28" s="13">
        <f t="shared" si="59"/>
        <v>0</v>
      </c>
      <c r="DN28" s="12"/>
      <c r="DO28" s="13">
        <f t="shared" si="2"/>
        <v>0</v>
      </c>
      <c r="DP28" s="12"/>
      <c r="DQ28" s="13">
        <f t="shared" si="60"/>
        <v>0</v>
      </c>
      <c r="DR28" s="12"/>
      <c r="DS28" s="13">
        <f t="shared" si="61"/>
        <v>0</v>
      </c>
      <c r="DT28" s="12"/>
      <c r="DU28" s="13">
        <f t="shared" si="62"/>
        <v>0</v>
      </c>
      <c r="DV28" s="12"/>
      <c r="DW28" s="13">
        <f t="shared" si="63"/>
        <v>0</v>
      </c>
      <c r="DX28" s="12"/>
      <c r="DY28" s="13">
        <f t="shared" si="64"/>
        <v>0</v>
      </c>
      <c r="DZ28" s="12"/>
      <c r="EA28" s="13">
        <f t="shared" si="65"/>
        <v>0</v>
      </c>
      <c r="EB28" s="12"/>
      <c r="EC28" s="13">
        <f t="shared" si="66"/>
        <v>0</v>
      </c>
      <c r="ED28" s="12"/>
      <c r="EE28" s="13">
        <f t="shared" si="3"/>
        <v>0</v>
      </c>
      <c r="EF28" s="24">
        <f t="shared" si="67"/>
        <v>1400</v>
      </c>
      <c r="EG28" s="13">
        <f t="shared" si="68"/>
        <v>896</v>
      </c>
    </row>
    <row r="29" spans="1:137" ht="18" customHeight="1" x14ac:dyDescent="0.5">
      <c r="A29" s="10">
        <v>23</v>
      </c>
      <c r="B29" s="11" t="s">
        <v>40</v>
      </c>
      <c r="C29" s="11" t="s">
        <v>14</v>
      </c>
      <c r="D29" s="10">
        <f>RANK(DF29,$DF$4:$DF$147)</f>
        <v>21</v>
      </c>
      <c r="E29" s="10">
        <v>0.64</v>
      </c>
      <c r="F29" s="10" t="s">
        <v>25</v>
      </c>
      <c r="G29" s="10"/>
      <c r="H29" s="12"/>
      <c r="I29" s="13">
        <f t="shared" si="4"/>
        <v>0</v>
      </c>
      <c r="J29" s="12"/>
      <c r="K29" s="13">
        <f t="shared" si="5"/>
        <v>0</v>
      </c>
      <c r="L29" s="12"/>
      <c r="M29" s="13">
        <f t="shared" si="6"/>
        <v>0</v>
      </c>
      <c r="N29" s="12"/>
      <c r="O29" s="13">
        <f t="shared" si="7"/>
        <v>0</v>
      </c>
      <c r="P29" s="12"/>
      <c r="Q29" s="13">
        <f t="shared" si="8"/>
        <v>0</v>
      </c>
      <c r="R29" s="12"/>
      <c r="S29" s="13">
        <f t="shared" si="9"/>
        <v>0</v>
      </c>
      <c r="T29" s="12"/>
      <c r="U29" s="13">
        <f t="shared" si="10"/>
        <v>0</v>
      </c>
      <c r="V29" s="12"/>
      <c r="W29" s="13">
        <f t="shared" si="11"/>
        <v>0</v>
      </c>
      <c r="X29" s="12"/>
      <c r="Y29" s="13">
        <f t="shared" si="12"/>
        <v>0</v>
      </c>
      <c r="Z29" s="12"/>
      <c r="AA29" s="13">
        <f t="shared" si="13"/>
        <v>0</v>
      </c>
      <c r="AB29" s="12"/>
      <c r="AC29" s="13">
        <f t="shared" si="14"/>
        <v>0</v>
      </c>
      <c r="AD29" s="12"/>
      <c r="AE29" s="13">
        <f t="shared" si="15"/>
        <v>0</v>
      </c>
      <c r="AF29" s="14">
        <f t="shared" si="16"/>
        <v>0</v>
      </c>
      <c r="AG29" s="15">
        <f t="shared" si="17"/>
        <v>0</v>
      </c>
      <c r="AH29" s="16"/>
      <c r="AI29" s="13">
        <f t="shared" si="18"/>
        <v>0</v>
      </c>
      <c r="AJ29" s="17"/>
      <c r="AK29" s="13">
        <f t="shared" si="19"/>
        <v>0</v>
      </c>
      <c r="AL29" s="17"/>
      <c r="AM29" s="13">
        <f t="shared" si="20"/>
        <v>0</v>
      </c>
      <c r="AN29" s="18"/>
      <c r="AO29" s="13">
        <f t="shared" si="21"/>
        <v>0</v>
      </c>
      <c r="AP29" s="17"/>
      <c r="AQ29" s="13">
        <f t="shared" si="22"/>
        <v>0</v>
      </c>
      <c r="AR29" s="17"/>
      <c r="AS29" s="13">
        <f t="shared" si="23"/>
        <v>0</v>
      </c>
      <c r="AT29" s="19"/>
      <c r="AU29" s="13">
        <f t="shared" si="24"/>
        <v>0</v>
      </c>
      <c r="AV29" s="17"/>
      <c r="AW29" s="13">
        <f t="shared" si="25"/>
        <v>0</v>
      </c>
      <c r="AX29" s="17"/>
      <c r="AY29" s="13">
        <f t="shared" si="26"/>
        <v>0</v>
      </c>
      <c r="AZ29" s="19"/>
      <c r="BA29" s="13">
        <f t="shared" si="27"/>
        <v>0</v>
      </c>
      <c r="BB29" s="20"/>
      <c r="BC29" s="13">
        <f t="shared" si="28"/>
        <v>0</v>
      </c>
      <c r="BD29" s="20"/>
      <c r="BE29" s="13">
        <f t="shared" si="29"/>
        <v>0</v>
      </c>
      <c r="BF29" s="14">
        <f t="shared" si="30"/>
        <v>0</v>
      </c>
      <c r="BG29" s="15">
        <f t="shared" si="31"/>
        <v>0</v>
      </c>
      <c r="BH29" s="18"/>
      <c r="BI29" s="57">
        <f t="shared" si="32"/>
        <v>0</v>
      </c>
      <c r="BJ29" s="18"/>
      <c r="BK29" s="57">
        <f t="shared" si="33"/>
        <v>0</v>
      </c>
      <c r="BL29" s="18"/>
      <c r="BM29" s="57">
        <f t="shared" si="34"/>
        <v>0</v>
      </c>
      <c r="BN29" s="18"/>
      <c r="BO29" s="57">
        <f t="shared" si="35"/>
        <v>0</v>
      </c>
      <c r="BP29" s="18"/>
      <c r="BQ29" s="57">
        <f t="shared" si="36"/>
        <v>0</v>
      </c>
      <c r="BR29" s="18"/>
      <c r="BS29" s="57">
        <f t="shared" si="37"/>
        <v>0</v>
      </c>
      <c r="BT29" s="18"/>
      <c r="BU29" s="57">
        <f t="shared" si="38"/>
        <v>0</v>
      </c>
      <c r="BV29" s="18"/>
      <c r="BW29" s="57">
        <f t="shared" si="39"/>
        <v>0</v>
      </c>
      <c r="BX29" s="18"/>
      <c r="BY29" s="57">
        <f t="shared" si="40"/>
        <v>0</v>
      </c>
      <c r="BZ29" s="18"/>
      <c r="CA29" s="57">
        <f t="shared" si="41"/>
        <v>0</v>
      </c>
      <c r="CB29" s="18"/>
      <c r="CC29" s="57">
        <f t="shared" si="42"/>
        <v>0</v>
      </c>
      <c r="CD29" s="18"/>
      <c r="CE29" s="57">
        <f t="shared" si="43"/>
        <v>0</v>
      </c>
      <c r="CF29" s="14">
        <f t="shared" si="44"/>
        <v>0</v>
      </c>
      <c r="CG29" s="15">
        <f t="shared" si="45"/>
        <v>0</v>
      </c>
      <c r="CH29" s="12"/>
      <c r="CI29" s="13">
        <f t="shared" si="46"/>
        <v>0</v>
      </c>
      <c r="CJ29" s="12"/>
      <c r="CK29" s="13">
        <f t="shared" si="47"/>
        <v>0</v>
      </c>
      <c r="CL29" s="12"/>
      <c r="CM29" s="13">
        <f t="shared" si="48"/>
        <v>0</v>
      </c>
      <c r="CN29" s="12"/>
      <c r="CO29" s="13">
        <f t="shared" si="49"/>
        <v>0</v>
      </c>
      <c r="CP29" s="12"/>
      <c r="CQ29" s="13">
        <f t="shared" si="50"/>
        <v>0</v>
      </c>
      <c r="CR29" s="12"/>
      <c r="CS29" s="13">
        <f t="shared" si="51"/>
        <v>0</v>
      </c>
      <c r="CT29" s="12"/>
      <c r="CU29" s="13">
        <f t="shared" si="52"/>
        <v>0</v>
      </c>
      <c r="CV29" s="12"/>
      <c r="CW29" s="13">
        <f t="shared" si="53"/>
        <v>0</v>
      </c>
      <c r="CX29" s="12"/>
      <c r="CY29" s="13">
        <f t="shared" si="54"/>
        <v>0</v>
      </c>
      <c r="CZ29" s="12"/>
      <c r="DA29" s="13">
        <f t="shared" si="55"/>
        <v>0</v>
      </c>
      <c r="DB29" s="12"/>
      <c r="DC29" s="13">
        <f t="shared" si="0"/>
        <v>0</v>
      </c>
      <c r="DD29" s="12"/>
      <c r="DE29" s="13">
        <f t="shared" si="0"/>
        <v>0</v>
      </c>
      <c r="DF29" s="64">
        <f t="shared" si="56"/>
        <v>0</v>
      </c>
      <c r="DG29" s="15">
        <f t="shared" si="57"/>
        <v>0</v>
      </c>
      <c r="DH29" s="12"/>
      <c r="DI29" s="13">
        <f t="shared" si="58"/>
        <v>0</v>
      </c>
      <c r="DJ29" s="12"/>
      <c r="DK29" s="13">
        <f t="shared" si="1"/>
        <v>0</v>
      </c>
      <c r="DL29" s="12"/>
      <c r="DM29" s="13">
        <f t="shared" si="59"/>
        <v>0</v>
      </c>
      <c r="DN29" s="12"/>
      <c r="DO29" s="13">
        <f t="shared" si="2"/>
        <v>0</v>
      </c>
      <c r="DP29" s="12"/>
      <c r="DQ29" s="13">
        <f t="shared" si="60"/>
        <v>0</v>
      </c>
      <c r="DR29" s="12"/>
      <c r="DS29" s="13">
        <f t="shared" si="61"/>
        <v>0</v>
      </c>
      <c r="DT29" s="12"/>
      <c r="DU29" s="13">
        <f t="shared" si="62"/>
        <v>0</v>
      </c>
      <c r="DV29" s="12"/>
      <c r="DW29" s="13">
        <f t="shared" si="63"/>
        <v>0</v>
      </c>
      <c r="DX29" s="12"/>
      <c r="DY29" s="13">
        <f t="shared" si="64"/>
        <v>0</v>
      </c>
      <c r="DZ29" s="12"/>
      <c r="EA29" s="13">
        <f t="shared" si="65"/>
        <v>0</v>
      </c>
      <c r="EB29" s="12"/>
      <c r="EC29" s="13">
        <f t="shared" si="66"/>
        <v>0</v>
      </c>
      <c r="ED29" s="12"/>
      <c r="EE29" s="13">
        <f t="shared" si="3"/>
        <v>0</v>
      </c>
      <c r="EF29" s="24">
        <f t="shared" si="67"/>
        <v>0</v>
      </c>
      <c r="EG29" s="13">
        <f t="shared" si="68"/>
        <v>0</v>
      </c>
    </row>
    <row r="30" spans="1:137" ht="18" customHeight="1" x14ac:dyDescent="0.5">
      <c r="A30" s="10"/>
      <c r="B30" s="11"/>
      <c r="C30" s="11"/>
      <c r="D30" s="10"/>
      <c r="E30" s="10"/>
      <c r="F30" s="10"/>
      <c r="G30" s="10"/>
      <c r="H30" s="12"/>
      <c r="I30" s="13">
        <f t="shared" si="4"/>
        <v>0</v>
      </c>
      <c r="J30" s="12"/>
      <c r="K30" s="13">
        <f t="shared" si="5"/>
        <v>0</v>
      </c>
      <c r="L30" s="12"/>
      <c r="M30" s="13">
        <f t="shared" si="6"/>
        <v>0</v>
      </c>
      <c r="N30" s="12"/>
      <c r="O30" s="13">
        <f t="shared" si="7"/>
        <v>0</v>
      </c>
      <c r="P30" s="12"/>
      <c r="Q30" s="13">
        <f t="shared" si="8"/>
        <v>0</v>
      </c>
      <c r="R30" s="12"/>
      <c r="S30" s="13">
        <f t="shared" si="9"/>
        <v>0</v>
      </c>
      <c r="T30" s="12"/>
      <c r="U30" s="13">
        <f t="shared" si="10"/>
        <v>0</v>
      </c>
      <c r="V30" s="12"/>
      <c r="W30" s="13">
        <f t="shared" si="11"/>
        <v>0</v>
      </c>
      <c r="X30" s="12"/>
      <c r="Y30" s="13">
        <f t="shared" si="12"/>
        <v>0</v>
      </c>
      <c r="Z30" s="12"/>
      <c r="AA30" s="13">
        <f t="shared" si="13"/>
        <v>0</v>
      </c>
      <c r="AB30" s="12"/>
      <c r="AC30" s="13">
        <f t="shared" si="14"/>
        <v>0</v>
      </c>
      <c r="AD30" s="12"/>
      <c r="AE30" s="13">
        <f t="shared" si="15"/>
        <v>0</v>
      </c>
      <c r="AF30" s="14">
        <f t="shared" si="16"/>
        <v>0</v>
      </c>
      <c r="AG30" s="15">
        <f t="shared" si="17"/>
        <v>0</v>
      </c>
      <c r="AH30" s="16"/>
      <c r="AI30" s="13">
        <f t="shared" si="18"/>
        <v>0</v>
      </c>
      <c r="AJ30" s="17"/>
      <c r="AK30" s="13">
        <f t="shared" si="19"/>
        <v>0</v>
      </c>
      <c r="AL30" s="17"/>
      <c r="AM30" s="13">
        <f t="shared" si="20"/>
        <v>0</v>
      </c>
      <c r="AN30" s="18"/>
      <c r="AO30" s="13">
        <f t="shared" si="21"/>
        <v>0</v>
      </c>
      <c r="AP30" s="17"/>
      <c r="AQ30" s="13">
        <f t="shared" si="22"/>
        <v>0</v>
      </c>
      <c r="AR30" s="17"/>
      <c r="AS30" s="13">
        <f t="shared" si="23"/>
        <v>0</v>
      </c>
      <c r="AT30" s="19"/>
      <c r="AU30" s="13">
        <f t="shared" si="24"/>
        <v>0</v>
      </c>
      <c r="AV30" s="17"/>
      <c r="AW30" s="13">
        <f t="shared" si="25"/>
        <v>0</v>
      </c>
      <c r="AX30" s="17"/>
      <c r="AY30" s="13">
        <f t="shared" si="26"/>
        <v>0</v>
      </c>
      <c r="AZ30" s="19"/>
      <c r="BA30" s="13">
        <f t="shared" si="27"/>
        <v>0</v>
      </c>
      <c r="BB30" s="20"/>
      <c r="BC30" s="13">
        <f t="shared" si="28"/>
        <v>0</v>
      </c>
      <c r="BD30" s="20"/>
      <c r="BE30" s="13">
        <f t="shared" si="29"/>
        <v>0</v>
      </c>
      <c r="BF30" s="14">
        <f t="shared" si="30"/>
        <v>0</v>
      </c>
      <c r="BG30" s="15">
        <f t="shared" si="31"/>
        <v>0</v>
      </c>
      <c r="BH30" s="18"/>
      <c r="BI30" s="57">
        <f t="shared" si="32"/>
        <v>0</v>
      </c>
      <c r="BJ30" s="18"/>
      <c r="BK30" s="57">
        <f t="shared" si="33"/>
        <v>0</v>
      </c>
      <c r="BL30" s="18"/>
      <c r="BM30" s="57">
        <f t="shared" si="34"/>
        <v>0</v>
      </c>
      <c r="BN30" s="18"/>
      <c r="BO30" s="57">
        <f t="shared" si="35"/>
        <v>0</v>
      </c>
      <c r="BP30" s="18"/>
      <c r="BQ30" s="57">
        <f t="shared" si="36"/>
        <v>0</v>
      </c>
      <c r="BR30" s="18"/>
      <c r="BS30" s="57">
        <f t="shared" si="37"/>
        <v>0</v>
      </c>
      <c r="BT30" s="18"/>
      <c r="BU30" s="57">
        <f t="shared" si="38"/>
        <v>0</v>
      </c>
      <c r="BV30" s="18"/>
      <c r="BW30" s="57">
        <f t="shared" si="39"/>
        <v>0</v>
      </c>
      <c r="BX30" s="18"/>
      <c r="BY30" s="57">
        <f t="shared" si="40"/>
        <v>0</v>
      </c>
      <c r="BZ30" s="18"/>
      <c r="CA30" s="57">
        <f t="shared" si="41"/>
        <v>0</v>
      </c>
      <c r="CB30" s="18"/>
      <c r="CC30" s="57">
        <f t="shared" si="42"/>
        <v>0</v>
      </c>
      <c r="CD30" s="18"/>
      <c r="CE30" s="57">
        <f t="shared" si="43"/>
        <v>0</v>
      </c>
      <c r="CF30" s="14">
        <f t="shared" si="44"/>
        <v>0</v>
      </c>
      <c r="CG30" s="15">
        <f t="shared" si="45"/>
        <v>0</v>
      </c>
      <c r="CH30" s="12"/>
      <c r="CI30" s="13">
        <f t="shared" si="46"/>
        <v>0</v>
      </c>
      <c r="CJ30" s="12"/>
      <c r="CK30" s="13">
        <f t="shared" si="47"/>
        <v>0</v>
      </c>
      <c r="CL30" s="12"/>
      <c r="CM30" s="13">
        <f t="shared" si="48"/>
        <v>0</v>
      </c>
      <c r="CN30" s="12"/>
      <c r="CO30" s="13">
        <f t="shared" si="49"/>
        <v>0</v>
      </c>
      <c r="CP30" s="12"/>
      <c r="CQ30" s="13">
        <f t="shared" si="50"/>
        <v>0</v>
      </c>
      <c r="CR30" s="12"/>
      <c r="CS30" s="13">
        <f t="shared" si="51"/>
        <v>0</v>
      </c>
      <c r="CT30" s="12"/>
      <c r="CU30" s="13">
        <f t="shared" si="52"/>
        <v>0</v>
      </c>
      <c r="CV30" s="12"/>
      <c r="CW30" s="13">
        <f t="shared" si="53"/>
        <v>0</v>
      </c>
      <c r="CX30" s="12"/>
      <c r="CY30" s="13">
        <f t="shared" si="54"/>
        <v>0</v>
      </c>
      <c r="CZ30" s="12"/>
      <c r="DA30" s="13">
        <f t="shared" si="55"/>
        <v>0</v>
      </c>
      <c r="DB30" s="12"/>
      <c r="DC30" s="13">
        <f t="shared" si="0"/>
        <v>0</v>
      </c>
      <c r="DD30" s="12"/>
      <c r="DE30" s="13">
        <f t="shared" si="0"/>
        <v>0</v>
      </c>
      <c r="DF30" s="64">
        <f t="shared" si="56"/>
        <v>0</v>
      </c>
      <c r="DG30" s="15">
        <f t="shared" si="57"/>
        <v>0</v>
      </c>
      <c r="DH30" s="12"/>
      <c r="DI30" s="13">
        <f t="shared" si="58"/>
        <v>0</v>
      </c>
      <c r="DJ30" s="12"/>
      <c r="DK30" s="13">
        <f t="shared" si="1"/>
        <v>0</v>
      </c>
      <c r="DL30" s="12"/>
      <c r="DM30" s="13">
        <f t="shared" si="59"/>
        <v>0</v>
      </c>
      <c r="DN30" s="12"/>
      <c r="DO30" s="13">
        <f t="shared" si="2"/>
        <v>0</v>
      </c>
      <c r="DP30" s="12"/>
      <c r="DQ30" s="13">
        <f t="shared" si="60"/>
        <v>0</v>
      </c>
      <c r="DR30" s="12"/>
      <c r="DS30" s="13">
        <f t="shared" si="61"/>
        <v>0</v>
      </c>
      <c r="DT30" s="12"/>
      <c r="DU30" s="13">
        <f t="shared" si="62"/>
        <v>0</v>
      </c>
      <c r="DV30" s="12"/>
      <c r="DW30" s="13">
        <f t="shared" si="63"/>
        <v>0</v>
      </c>
      <c r="DX30" s="12"/>
      <c r="DY30" s="13">
        <f t="shared" si="64"/>
        <v>0</v>
      </c>
      <c r="DZ30" s="12"/>
      <c r="EA30" s="13">
        <f t="shared" si="65"/>
        <v>0</v>
      </c>
      <c r="EB30" s="12"/>
      <c r="EC30" s="13">
        <f t="shared" si="66"/>
        <v>0</v>
      </c>
      <c r="ED30" s="12"/>
      <c r="EE30" s="13">
        <f t="shared" si="3"/>
        <v>0</v>
      </c>
      <c r="EF30" s="24">
        <f t="shared" si="67"/>
        <v>0</v>
      </c>
      <c r="EG30" s="13">
        <f t="shared" si="68"/>
        <v>0</v>
      </c>
    </row>
    <row r="31" spans="1:137" ht="18" customHeight="1" x14ac:dyDescent="0.5">
      <c r="A31" s="10">
        <v>24</v>
      </c>
      <c r="B31" s="11" t="s">
        <v>41</v>
      </c>
      <c r="C31" s="11" t="s">
        <v>17</v>
      </c>
      <c r="D31" s="10">
        <f t="shared" ref="D31:D47" si="71">RANK(DF31,$DF$4:$DF$147)</f>
        <v>2</v>
      </c>
      <c r="E31" s="10">
        <v>1</v>
      </c>
      <c r="F31" s="10" t="s">
        <v>15</v>
      </c>
      <c r="G31" s="10">
        <v>1830</v>
      </c>
      <c r="H31" s="12">
        <v>4800</v>
      </c>
      <c r="I31" s="13">
        <f t="shared" si="4"/>
        <v>4800</v>
      </c>
      <c r="J31" s="12">
        <v>3162</v>
      </c>
      <c r="K31" s="13">
        <f t="shared" si="5"/>
        <v>3162</v>
      </c>
      <c r="L31" s="12">
        <v>6744</v>
      </c>
      <c r="M31" s="13">
        <f t="shared" si="6"/>
        <v>6744</v>
      </c>
      <c r="N31" s="12">
        <v>5520</v>
      </c>
      <c r="O31" s="13">
        <f t="shared" si="7"/>
        <v>5520</v>
      </c>
      <c r="P31" s="12">
        <v>7056</v>
      </c>
      <c r="Q31" s="13">
        <f t="shared" si="8"/>
        <v>7056</v>
      </c>
      <c r="R31" s="12">
        <v>11280</v>
      </c>
      <c r="S31" s="13">
        <f t="shared" si="9"/>
        <v>11280</v>
      </c>
      <c r="T31" s="12">
        <v>8580</v>
      </c>
      <c r="U31" s="13">
        <f t="shared" si="10"/>
        <v>8580</v>
      </c>
      <c r="V31" s="12">
        <v>11088</v>
      </c>
      <c r="W31" s="13">
        <f t="shared" si="11"/>
        <v>11088</v>
      </c>
      <c r="X31" s="12">
        <v>16800</v>
      </c>
      <c r="Y31" s="13">
        <f t="shared" si="12"/>
        <v>16800</v>
      </c>
      <c r="Z31" s="12">
        <v>19092</v>
      </c>
      <c r="AA31" s="13">
        <f t="shared" si="13"/>
        <v>19092</v>
      </c>
      <c r="AB31" s="12">
        <v>14400</v>
      </c>
      <c r="AC31" s="13">
        <f t="shared" si="14"/>
        <v>14400</v>
      </c>
      <c r="AD31" s="12">
        <v>26640</v>
      </c>
      <c r="AE31" s="13">
        <f t="shared" si="15"/>
        <v>26640</v>
      </c>
      <c r="AF31" s="14">
        <f t="shared" si="16"/>
        <v>11263.5</v>
      </c>
      <c r="AG31" s="15">
        <f t="shared" si="17"/>
        <v>11263.5</v>
      </c>
      <c r="AH31" s="16">
        <v>31037</v>
      </c>
      <c r="AI31" s="13">
        <f t="shared" si="18"/>
        <v>31037</v>
      </c>
      <c r="AJ31" s="17">
        <v>19320</v>
      </c>
      <c r="AK31" s="13">
        <f t="shared" si="19"/>
        <v>19320</v>
      </c>
      <c r="AL31" s="17">
        <v>34224</v>
      </c>
      <c r="AM31" s="13">
        <f t="shared" si="20"/>
        <v>34224</v>
      </c>
      <c r="AN31" s="18">
        <v>33420</v>
      </c>
      <c r="AO31" s="13">
        <f t="shared" si="21"/>
        <v>33420</v>
      </c>
      <c r="AP31" s="17">
        <v>38700</v>
      </c>
      <c r="AQ31" s="13">
        <f t="shared" si="22"/>
        <v>38700</v>
      </c>
      <c r="AR31" s="17">
        <v>37776</v>
      </c>
      <c r="AS31" s="13">
        <f t="shared" si="23"/>
        <v>37776</v>
      </c>
      <c r="AT31" s="19">
        <v>33720</v>
      </c>
      <c r="AU31" s="13">
        <f t="shared" si="24"/>
        <v>33720</v>
      </c>
      <c r="AV31" s="17">
        <v>31248</v>
      </c>
      <c r="AW31" s="13">
        <f t="shared" si="25"/>
        <v>31248</v>
      </c>
      <c r="AX31" s="17">
        <v>32604</v>
      </c>
      <c r="AY31" s="13">
        <f t="shared" si="26"/>
        <v>32604</v>
      </c>
      <c r="AZ31" s="19">
        <v>28584</v>
      </c>
      <c r="BA31" s="13">
        <f t="shared" si="27"/>
        <v>28584</v>
      </c>
      <c r="BB31" s="20">
        <v>35292</v>
      </c>
      <c r="BC31" s="13">
        <f t="shared" si="28"/>
        <v>35292</v>
      </c>
      <c r="BD31" s="20">
        <v>43020</v>
      </c>
      <c r="BE31" s="13">
        <f t="shared" si="29"/>
        <v>43020</v>
      </c>
      <c r="BF31" s="14">
        <f t="shared" si="30"/>
        <v>33245.416666666664</v>
      </c>
      <c r="BG31" s="15">
        <f t="shared" si="31"/>
        <v>33245.416666666664</v>
      </c>
      <c r="BH31" s="23">
        <v>45624</v>
      </c>
      <c r="BI31" s="57">
        <f t="shared" si="32"/>
        <v>45624</v>
      </c>
      <c r="BJ31" s="58">
        <v>38316</v>
      </c>
      <c r="BK31" s="57">
        <f t="shared" si="33"/>
        <v>38316</v>
      </c>
      <c r="BL31" s="23">
        <v>51060</v>
      </c>
      <c r="BM31" s="57">
        <f t="shared" si="34"/>
        <v>51060</v>
      </c>
      <c r="BN31" s="23">
        <v>50352</v>
      </c>
      <c r="BO31" s="57">
        <f t="shared" si="35"/>
        <v>50352</v>
      </c>
      <c r="BP31" s="23">
        <v>42816</v>
      </c>
      <c r="BQ31" s="57">
        <f t="shared" si="36"/>
        <v>42816</v>
      </c>
      <c r="BR31" s="21">
        <v>58200</v>
      </c>
      <c r="BS31" s="57">
        <f t="shared" si="37"/>
        <v>58200</v>
      </c>
      <c r="BT31" s="58">
        <v>55260</v>
      </c>
      <c r="BU31" s="57">
        <f t="shared" si="38"/>
        <v>55260</v>
      </c>
      <c r="BV31" s="58">
        <v>72780</v>
      </c>
      <c r="BW31" s="57">
        <f t="shared" si="39"/>
        <v>72780</v>
      </c>
      <c r="BX31" s="58">
        <v>68988</v>
      </c>
      <c r="BY31" s="57">
        <f t="shared" si="40"/>
        <v>68988</v>
      </c>
      <c r="BZ31" s="58">
        <v>72912</v>
      </c>
      <c r="CA31" s="57">
        <f t="shared" si="41"/>
        <v>72912</v>
      </c>
      <c r="CB31" s="58">
        <v>50760</v>
      </c>
      <c r="CC31" s="57">
        <f t="shared" si="42"/>
        <v>50760</v>
      </c>
      <c r="CD31" s="58">
        <v>78252</v>
      </c>
      <c r="CE31" s="57">
        <f t="shared" si="43"/>
        <v>78252</v>
      </c>
      <c r="CF31" s="14">
        <f t="shared" si="44"/>
        <v>57110</v>
      </c>
      <c r="CG31" s="15">
        <f t="shared" si="45"/>
        <v>57110</v>
      </c>
      <c r="CH31" s="12">
        <v>77256</v>
      </c>
      <c r="CI31" s="13">
        <f t="shared" si="46"/>
        <v>77256</v>
      </c>
      <c r="CJ31" s="12">
        <v>72468</v>
      </c>
      <c r="CK31" s="13">
        <f t="shared" si="47"/>
        <v>72468</v>
      </c>
      <c r="CL31" s="12">
        <v>73320</v>
      </c>
      <c r="CM31" s="13">
        <f t="shared" si="48"/>
        <v>73320</v>
      </c>
      <c r="CN31" s="12">
        <v>36480</v>
      </c>
      <c r="CO31" s="13">
        <v>36480</v>
      </c>
      <c r="CP31" s="12">
        <v>101580</v>
      </c>
      <c r="CQ31" s="13">
        <f t="shared" si="50"/>
        <v>101580</v>
      </c>
      <c r="CR31" s="12">
        <v>92916</v>
      </c>
      <c r="CS31" s="13">
        <f t="shared" si="51"/>
        <v>92916</v>
      </c>
      <c r="CT31" s="12">
        <v>82320</v>
      </c>
      <c r="CU31" s="13">
        <f t="shared" si="52"/>
        <v>82320</v>
      </c>
      <c r="CV31" s="12">
        <v>99240</v>
      </c>
      <c r="CW31" s="13">
        <f t="shared" si="53"/>
        <v>99240</v>
      </c>
      <c r="CX31" s="12">
        <v>101928</v>
      </c>
      <c r="CY31" s="13">
        <f t="shared" si="54"/>
        <v>101928</v>
      </c>
      <c r="CZ31" s="12">
        <v>86100</v>
      </c>
      <c r="DA31" s="13">
        <f t="shared" si="55"/>
        <v>86100</v>
      </c>
      <c r="DB31" s="12">
        <v>88980</v>
      </c>
      <c r="DC31" s="13">
        <f t="shared" si="0"/>
        <v>88980</v>
      </c>
      <c r="DD31" s="12">
        <v>104400</v>
      </c>
      <c r="DE31" s="13">
        <f t="shared" si="0"/>
        <v>104400</v>
      </c>
      <c r="DF31" s="64">
        <f t="shared" si="56"/>
        <v>1016988</v>
      </c>
      <c r="DG31" s="15">
        <f t="shared" si="57"/>
        <v>1016988</v>
      </c>
      <c r="DH31" s="12">
        <v>106800</v>
      </c>
      <c r="DI31" s="13">
        <f t="shared" si="58"/>
        <v>106800</v>
      </c>
      <c r="DJ31" s="12">
        <v>95340</v>
      </c>
      <c r="DK31" s="13">
        <f t="shared" si="1"/>
        <v>95340</v>
      </c>
      <c r="DL31" s="12">
        <v>78600</v>
      </c>
      <c r="DM31" s="13">
        <f t="shared" si="59"/>
        <v>78600</v>
      </c>
      <c r="DN31" s="12"/>
      <c r="DO31" s="13">
        <f t="shared" si="2"/>
        <v>0</v>
      </c>
      <c r="DP31" s="12"/>
      <c r="DQ31" s="13">
        <f t="shared" si="60"/>
        <v>0</v>
      </c>
      <c r="DR31" s="12"/>
      <c r="DS31" s="13">
        <f t="shared" si="61"/>
        <v>0</v>
      </c>
      <c r="DT31" s="12"/>
      <c r="DU31" s="13">
        <f t="shared" si="62"/>
        <v>0</v>
      </c>
      <c r="DV31" s="12"/>
      <c r="DW31" s="13">
        <f t="shared" si="63"/>
        <v>0</v>
      </c>
      <c r="DX31" s="12"/>
      <c r="DY31" s="13">
        <f t="shared" si="64"/>
        <v>0</v>
      </c>
      <c r="DZ31" s="12"/>
      <c r="EA31" s="13">
        <f t="shared" si="65"/>
        <v>0</v>
      </c>
      <c r="EB31" s="12"/>
      <c r="EC31" s="13">
        <f t="shared" si="66"/>
        <v>0</v>
      </c>
      <c r="ED31" s="12"/>
      <c r="EE31" s="13">
        <f t="shared" si="3"/>
        <v>0</v>
      </c>
      <c r="EF31" s="24">
        <f t="shared" si="67"/>
        <v>280740</v>
      </c>
      <c r="EG31" s="13">
        <f t="shared" si="68"/>
        <v>280740</v>
      </c>
    </row>
    <row r="32" spans="1:137" ht="18" customHeight="1" x14ac:dyDescent="0.5">
      <c r="A32" s="10">
        <v>25</v>
      </c>
      <c r="B32" s="11" t="s">
        <v>42</v>
      </c>
      <c r="C32" s="11" t="s">
        <v>17</v>
      </c>
      <c r="D32" s="10">
        <f t="shared" si="71"/>
        <v>21</v>
      </c>
      <c r="E32" s="10">
        <v>1</v>
      </c>
      <c r="F32" s="10" t="s">
        <v>15</v>
      </c>
      <c r="G32" s="10"/>
      <c r="H32" s="12"/>
      <c r="I32" s="13">
        <f t="shared" si="4"/>
        <v>0</v>
      </c>
      <c r="J32" s="12"/>
      <c r="K32" s="13">
        <f t="shared" si="5"/>
        <v>0</v>
      </c>
      <c r="L32" s="12"/>
      <c r="M32" s="13">
        <f t="shared" si="6"/>
        <v>0</v>
      </c>
      <c r="N32" s="12"/>
      <c r="O32" s="13">
        <f t="shared" si="7"/>
        <v>0</v>
      </c>
      <c r="P32" s="12"/>
      <c r="Q32" s="13">
        <f t="shared" si="8"/>
        <v>0</v>
      </c>
      <c r="R32" s="12"/>
      <c r="S32" s="13">
        <f t="shared" si="9"/>
        <v>0</v>
      </c>
      <c r="T32" s="12"/>
      <c r="U32" s="13">
        <f t="shared" si="10"/>
        <v>0</v>
      </c>
      <c r="V32" s="12"/>
      <c r="W32" s="13">
        <f t="shared" si="11"/>
        <v>0</v>
      </c>
      <c r="X32" s="12"/>
      <c r="Y32" s="13">
        <f t="shared" si="12"/>
        <v>0</v>
      </c>
      <c r="Z32" s="12"/>
      <c r="AA32" s="13">
        <f t="shared" si="13"/>
        <v>0</v>
      </c>
      <c r="AB32" s="12"/>
      <c r="AC32" s="13">
        <f t="shared" si="14"/>
        <v>0</v>
      </c>
      <c r="AD32" s="12"/>
      <c r="AE32" s="13">
        <f t="shared" si="15"/>
        <v>0</v>
      </c>
      <c r="AF32" s="14">
        <f t="shared" si="16"/>
        <v>0</v>
      </c>
      <c r="AG32" s="15">
        <f t="shared" si="17"/>
        <v>0</v>
      </c>
      <c r="AH32" s="16"/>
      <c r="AI32" s="13">
        <f t="shared" si="18"/>
        <v>0</v>
      </c>
      <c r="AJ32" s="17"/>
      <c r="AK32" s="13">
        <f t="shared" si="19"/>
        <v>0</v>
      </c>
      <c r="AL32" s="17"/>
      <c r="AM32" s="13">
        <f t="shared" si="20"/>
        <v>0</v>
      </c>
      <c r="AN32" s="18"/>
      <c r="AO32" s="13">
        <f t="shared" si="21"/>
        <v>0</v>
      </c>
      <c r="AP32" s="17"/>
      <c r="AQ32" s="13">
        <f t="shared" si="22"/>
        <v>0</v>
      </c>
      <c r="AR32" s="17"/>
      <c r="AS32" s="13">
        <f t="shared" si="23"/>
        <v>0</v>
      </c>
      <c r="AT32" s="19"/>
      <c r="AU32" s="13">
        <f t="shared" si="24"/>
        <v>0</v>
      </c>
      <c r="AV32" s="17"/>
      <c r="AW32" s="13">
        <f t="shared" si="25"/>
        <v>0</v>
      </c>
      <c r="AX32" s="17"/>
      <c r="AY32" s="13">
        <f t="shared" si="26"/>
        <v>0</v>
      </c>
      <c r="AZ32" s="19"/>
      <c r="BA32" s="13">
        <f t="shared" si="27"/>
        <v>0</v>
      </c>
      <c r="BB32" s="20"/>
      <c r="BC32" s="13">
        <f t="shared" si="28"/>
        <v>0</v>
      </c>
      <c r="BD32" s="20"/>
      <c r="BE32" s="13">
        <f t="shared" si="29"/>
        <v>0</v>
      </c>
      <c r="BF32" s="14">
        <f t="shared" si="30"/>
        <v>0</v>
      </c>
      <c r="BG32" s="15">
        <f t="shared" si="31"/>
        <v>0</v>
      </c>
      <c r="BH32" s="18"/>
      <c r="BI32" s="57">
        <f t="shared" si="32"/>
        <v>0</v>
      </c>
      <c r="BJ32" s="18"/>
      <c r="BK32" s="57">
        <f t="shared" si="33"/>
        <v>0</v>
      </c>
      <c r="BL32" s="18"/>
      <c r="BM32" s="57">
        <f t="shared" si="34"/>
        <v>0</v>
      </c>
      <c r="BN32" s="18"/>
      <c r="BO32" s="57">
        <f t="shared" si="35"/>
        <v>0</v>
      </c>
      <c r="BP32" s="18"/>
      <c r="BQ32" s="57">
        <f t="shared" si="36"/>
        <v>0</v>
      </c>
      <c r="BR32" s="21"/>
      <c r="BS32" s="57">
        <f t="shared" si="37"/>
        <v>0</v>
      </c>
      <c r="BT32" s="18"/>
      <c r="BU32" s="57">
        <f t="shared" si="38"/>
        <v>0</v>
      </c>
      <c r="BV32" s="18"/>
      <c r="BW32" s="57">
        <f t="shared" si="39"/>
        <v>0</v>
      </c>
      <c r="BX32" s="18"/>
      <c r="BY32" s="57">
        <f t="shared" si="40"/>
        <v>0</v>
      </c>
      <c r="BZ32" s="18"/>
      <c r="CA32" s="57">
        <f t="shared" si="41"/>
        <v>0</v>
      </c>
      <c r="CB32" s="18"/>
      <c r="CC32" s="57">
        <f t="shared" si="42"/>
        <v>0</v>
      </c>
      <c r="CD32" s="18"/>
      <c r="CE32" s="57">
        <f t="shared" si="43"/>
        <v>0</v>
      </c>
      <c r="CF32" s="14">
        <f t="shared" si="44"/>
        <v>0</v>
      </c>
      <c r="CG32" s="15">
        <f t="shared" si="45"/>
        <v>0</v>
      </c>
      <c r="CH32" s="12"/>
      <c r="CI32" s="13">
        <f t="shared" si="46"/>
        <v>0</v>
      </c>
      <c r="CJ32" s="12"/>
      <c r="CK32" s="13">
        <f t="shared" si="47"/>
        <v>0</v>
      </c>
      <c r="CL32" s="12"/>
      <c r="CM32" s="13">
        <f t="shared" si="48"/>
        <v>0</v>
      </c>
      <c r="CN32" s="12"/>
      <c r="CO32" s="13">
        <f t="shared" si="49"/>
        <v>0</v>
      </c>
      <c r="CP32" s="12"/>
      <c r="CQ32" s="13">
        <f t="shared" si="50"/>
        <v>0</v>
      </c>
      <c r="CR32" s="12"/>
      <c r="CS32" s="13">
        <f t="shared" si="51"/>
        <v>0</v>
      </c>
      <c r="CT32" s="12"/>
      <c r="CU32" s="13">
        <f t="shared" si="52"/>
        <v>0</v>
      </c>
      <c r="CV32" s="12"/>
      <c r="CW32" s="13">
        <f t="shared" si="53"/>
        <v>0</v>
      </c>
      <c r="CX32" s="12"/>
      <c r="CY32" s="13">
        <f t="shared" si="54"/>
        <v>0</v>
      </c>
      <c r="CZ32" s="12"/>
      <c r="DA32" s="13">
        <f t="shared" si="55"/>
        <v>0</v>
      </c>
      <c r="DB32" s="12"/>
      <c r="DC32" s="13">
        <f t="shared" si="0"/>
        <v>0</v>
      </c>
      <c r="DD32" s="12"/>
      <c r="DE32" s="13">
        <f t="shared" si="0"/>
        <v>0</v>
      </c>
      <c r="DF32" s="64">
        <f t="shared" si="56"/>
        <v>0</v>
      </c>
      <c r="DG32" s="15">
        <f t="shared" si="57"/>
        <v>0</v>
      </c>
      <c r="DH32" s="12"/>
      <c r="DI32" s="13">
        <f t="shared" si="58"/>
        <v>0</v>
      </c>
      <c r="DJ32" s="12"/>
      <c r="DK32" s="13">
        <f t="shared" si="1"/>
        <v>0</v>
      </c>
      <c r="DL32" s="12"/>
      <c r="DM32" s="13">
        <f t="shared" si="59"/>
        <v>0</v>
      </c>
      <c r="DN32" s="12"/>
      <c r="DO32" s="13">
        <f t="shared" si="2"/>
        <v>0</v>
      </c>
      <c r="DP32" s="12"/>
      <c r="DQ32" s="13">
        <f t="shared" si="60"/>
        <v>0</v>
      </c>
      <c r="DR32" s="12"/>
      <c r="DS32" s="13">
        <f t="shared" si="61"/>
        <v>0</v>
      </c>
      <c r="DT32" s="12"/>
      <c r="DU32" s="13">
        <f t="shared" si="62"/>
        <v>0</v>
      </c>
      <c r="DV32" s="12"/>
      <c r="DW32" s="13">
        <f t="shared" si="63"/>
        <v>0</v>
      </c>
      <c r="DX32" s="12"/>
      <c r="DY32" s="13">
        <f t="shared" si="64"/>
        <v>0</v>
      </c>
      <c r="DZ32" s="12"/>
      <c r="EA32" s="13">
        <f t="shared" si="65"/>
        <v>0</v>
      </c>
      <c r="EB32" s="12"/>
      <c r="EC32" s="13">
        <f t="shared" si="66"/>
        <v>0</v>
      </c>
      <c r="ED32" s="12"/>
      <c r="EE32" s="13">
        <f t="shared" si="3"/>
        <v>0</v>
      </c>
      <c r="EF32" s="24">
        <f t="shared" si="67"/>
        <v>0</v>
      </c>
      <c r="EG32" s="13">
        <f t="shared" si="68"/>
        <v>0</v>
      </c>
    </row>
    <row r="33" spans="1:137" ht="18" customHeight="1" x14ac:dyDescent="0.5">
      <c r="A33" s="10">
        <v>26</v>
      </c>
      <c r="B33" s="11" t="s">
        <v>43</v>
      </c>
      <c r="C33" s="11" t="s">
        <v>17</v>
      </c>
      <c r="D33" s="10">
        <f t="shared" si="71"/>
        <v>21</v>
      </c>
      <c r="E33" s="10">
        <v>0.6</v>
      </c>
      <c r="F33" s="10" t="s">
        <v>15</v>
      </c>
      <c r="G33" s="10"/>
      <c r="H33" s="12"/>
      <c r="I33" s="13">
        <f t="shared" si="4"/>
        <v>0</v>
      </c>
      <c r="J33" s="12"/>
      <c r="K33" s="13">
        <f t="shared" si="5"/>
        <v>0</v>
      </c>
      <c r="L33" s="12"/>
      <c r="M33" s="13">
        <f t="shared" si="6"/>
        <v>0</v>
      </c>
      <c r="N33" s="12"/>
      <c r="O33" s="13">
        <f t="shared" si="7"/>
        <v>0</v>
      </c>
      <c r="P33" s="12"/>
      <c r="Q33" s="13">
        <f t="shared" si="8"/>
        <v>0</v>
      </c>
      <c r="R33" s="12"/>
      <c r="S33" s="13">
        <f t="shared" si="9"/>
        <v>0</v>
      </c>
      <c r="T33" s="12"/>
      <c r="U33" s="13">
        <f t="shared" si="10"/>
        <v>0</v>
      </c>
      <c r="V33" s="12"/>
      <c r="W33" s="13">
        <f t="shared" si="11"/>
        <v>0</v>
      </c>
      <c r="X33" s="12"/>
      <c r="Y33" s="13">
        <f t="shared" si="12"/>
        <v>0</v>
      </c>
      <c r="Z33" s="12"/>
      <c r="AA33" s="13">
        <f t="shared" si="13"/>
        <v>0</v>
      </c>
      <c r="AB33" s="12"/>
      <c r="AC33" s="13">
        <f t="shared" si="14"/>
        <v>0</v>
      </c>
      <c r="AD33" s="12"/>
      <c r="AE33" s="13">
        <f t="shared" si="15"/>
        <v>0</v>
      </c>
      <c r="AF33" s="14">
        <f t="shared" si="16"/>
        <v>0</v>
      </c>
      <c r="AG33" s="15">
        <f t="shared" si="17"/>
        <v>0</v>
      </c>
      <c r="AH33" s="16"/>
      <c r="AI33" s="13">
        <f t="shared" si="18"/>
        <v>0</v>
      </c>
      <c r="AJ33" s="17"/>
      <c r="AK33" s="13">
        <f t="shared" si="19"/>
        <v>0</v>
      </c>
      <c r="AL33" s="17"/>
      <c r="AM33" s="13">
        <f t="shared" si="20"/>
        <v>0</v>
      </c>
      <c r="AN33" s="18"/>
      <c r="AO33" s="13">
        <f t="shared" si="21"/>
        <v>0</v>
      </c>
      <c r="AP33" s="17"/>
      <c r="AQ33" s="13">
        <f t="shared" si="22"/>
        <v>0</v>
      </c>
      <c r="AR33" s="17"/>
      <c r="AS33" s="13">
        <f t="shared" si="23"/>
        <v>0</v>
      </c>
      <c r="AT33" s="19"/>
      <c r="AU33" s="13">
        <f t="shared" si="24"/>
        <v>0</v>
      </c>
      <c r="AV33" s="17"/>
      <c r="AW33" s="13">
        <f t="shared" si="25"/>
        <v>0</v>
      </c>
      <c r="AX33" s="17"/>
      <c r="AY33" s="13">
        <f t="shared" si="26"/>
        <v>0</v>
      </c>
      <c r="AZ33" s="19"/>
      <c r="BA33" s="13">
        <f t="shared" si="27"/>
        <v>0</v>
      </c>
      <c r="BB33" s="20"/>
      <c r="BC33" s="13">
        <f t="shared" si="28"/>
        <v>0</v>
      </c>
      <c r="BD33" s="20"/>
      <c r="BE33" s="13">
        <f t="shared" si="29"/>
        <v>0</v>
      </c>
      <c r="BF33" s="14">
        <f t="shared" si="30"/>
        <v>0</v>
      </c>
      <c r="BG33" s="15">
        <f t="shared" si="31"/>
        <v>0</v>
      </c>
      <c r="BH33" s="18"/>
      <c r="BI33" s="57">
        <f t="shared" si="32"/>
        <v>0</v>
      </c>
      <c r="BJ33" s="18"/>
      <c r="BK33" s="57">
        <f t="shared" si="33"/>
        <v>0</v>
      </c>
      <c r="BL33" s="18"/>
      <c r="BM33" s="57">
        <f t="shared" si="34"/>
        <v>0</v>
      </c>
      <c r="BN33" s="18"/>
      <c r="BO33" s="57">
        <f t="shared" si="35"/>
        <v>0</v>
      </c>
      <c r="BP33" s="18"/>
      <c r="BQ33" s="57">
        <f t="shared" si="36"/>
        <v>0</v>
      </c>
      <c r="BR33" s="18"/>
      <c r="BS33" s="57">
        <f t="shared" si="37"/>
        <v>0</v>
      </c>
      <c r="BT33" s="18"/>
      <c r="BU33" s="57">
        <f t="shared" si="38"/>
        <v>0</v>
      </c>
      <c r="BV33" s="18"/>
      <c r="BW33" s="57">
        <f t="shared" si="39"/>
        <v>0</v>
      </c>
      <c r="BX33" s="18"/>
      <c r="BY33" s="57">
        <f t="shared" si="40"/>
        <v>0</v>
      </c>
      <c r="BZ33" s="18"/>
      <c r="CA33" s="57">
        <f t="shared" si="41"/>
        <v>0</v>
      </c>
      <c r="CB33" s="18"/>
      <c r="CC33" s="57">
        <f t="shared" si="42"/>
        <v>0</v>
      </c>
      <c r="CD33" s="18"/>
      <c r="CE33" s="57">
        <f t="shared" si="43"/>
        <v>0</v>
      </c>
      <c r="CF33" s="14">
        <f t="shared" si="44"/>
        <v>0</v>
      </c>
      <c r="CG33" s="15">
        <f t="shared" si="45"/>
        <v>0</v>
      </c>
      <c r="CH33" s="12"/>
      <c r="CI33" s="13">
        <f t="shared" si="46"/>
        <v>0</v>
      </c>
      <c r="CJ33" s="12"/>
      <c r="CK33" s="13">
        <f t="shared" si="47"/>
        <v>0</v>
      </c>
      <c r="CL33" s="12"/>
      <c r="CM33" s="13">
        <f t="shared" si="48"/>
        <v>0</v>
      </c>
      <c r="CN33" s="12"/>
      <c r="CO33" s="13">
        <f t="shared" si="49"/>
        <v>0</v>
      </c>
      <c r="CP33" s="12"/>
      <c r="CQ33" s="13">
        <f t="shared" si="50"/>
        <v>0</v>
      </c>
      <c r="CR33" s="12"/>
      <c r="CS33" s="13">
        <f t="shared" si="51"/>
        <v>0</v>
      </c>
      <c r="CT33" s="12"/>
      <c r="CU33" s="13">
        <f t="shared" si="52"/>
        <v>0</v>
      </c>
      <c r="CV33" s="12"/>
      <c r="CW33" s="13">
        <f t="shared" si="53"/>
        <v>0</v>
      </c>
      <c r="CX33" s="12"/>
      <c r="CY33" s="13">
        <f t="shared" si="54"/>
        <v>0</v>
      </c>
      <c r="CZ33" s="12"/>
      <c r="DA33" s="13">
        <f t="shared" si="55"/>
        <v>0</v>
      </c>
      <c r="DB33" s="12"/>
      <c r="DC33" s="13">
        <f t="shared" si="0"/>
        <v>0</v>
      </c>
      <c r="DD33" s="12"/>
      <c r="DE33" s="13">
        <f t="shared" si="0"/>
        <v>0</v>
      </c>
      <c r="DF33" s="64">
        <f t="shared" si="56"/>
        <v>0</v>
      </c>
      <c r="DG33" s="15">
        <f t="shared" si="57"/>
        <v>0</v>
      </c>
      <c r="DH33" s="12"/>
      <c r="DI33" s="13">
        <f t="shared" si="58"/>
        <v>0</v>
      </c>
      <c r="DJ33" s="12"/>
      <c r="DK33" s="13">
        <f t="shared" si="1"/>
        <v>0</v>
      </c>
      <c r="DL33" s="12"/>
      <c r="DM33" s="13">
        <f t="shared" si="59"/>
        <v>0</v>
      </c>
      <c r="DN33" s="12"/>
      <c r="DO33" s="13">
        <f t="shared" si="2"/>
        <v>0</v>
      </c>
      <c r="DP33" s="12"/>
      <c r="DQ33" s="13">
        <f t="shared" si="60"/>
        <v>0</v>
      </c>
      <c r="DR33" s="12"/>
      <c r="DS33" s="13">
        <f t="shared" si="61"/>
        <v>0</v>
      </c>
      <c r="DT33" s="12"/>
      <c r="DU33" s="13">
        <f t="shared" si="62"/>
        <v>0</v>
      </c>
      <c r="DV33" s="12"/>
      <c r="DW33" s="13">
        <f t="shared" si="63"/>
        <v>0</v>
      </c>
      <c r="DX33" s="12"/>
      <c r="DY33" s="13">
        <f t="shared" si="64"/>
        <v>0</v>
      </c>
      <c r="DZ33" s="12"/>
      <c r="EA33" s="13">
        <f t="shared" si="65"/>
        <v>0</v>
      </c>
      <c r="EB33" s="12"/>
      <c r="EC33" s="13">
        <f t="shared" si="66"/>
        <v>0</v>
      </c>
      <c r="ED33" s="12"/>
      <c r="EE33" s="13">
        <f t="shared" si="3"/>
        <v>0</v>
      </c>
      <c r="EF33" s="24">
        <f t="shared" si="67"/>
        <v>0</v>
      </c>
      <c r="EG33" s="13">
        <f t="shared" si="68"/>
        <v>0</v>
      </c>
    </row>
    <row r="34" spans="1:137" ht="18" customHeight="1" x14ac:dyDescent="0.5">
      <c r="A34" s="10">
        <v>27</v>
      </c>
      <c r="B34" s="11" t="s">
        <v>44</v>
      </c>
      <c r="C34" s="11" t="s">
        <v>17</v>
      </c>
      <c r="D34" s="10">
        <f t="shared" si="71"/>
        <v>21</v>
      </c>
      <c r="E34" s="10">
        <v>0.6</v>
      </c>
      <c r="F34" s="10" t="s">
        <v>15</v>
      </c>
      <c r="G34" s="10"/>
      <c r="H34" s="12"/>
      <c r="I34" s="13">
        <f t="shared" si="4"/>
        <v>0</v>
      </c>
      <c r="J34" s="12"/>
      <c r="K34" s="13">
        <f t="shared" si="5"/>
        <v>0</v>
      </c>
      <c r="L34" s="12"/>
      <c r="M34" s="13">
        <f t="shared" si="6"/>
        <v>0</v>
      </c>
      <c r="N34" s="12"/>
      <c r="O34" s="13">
        <f t="shared" si="7"/>
        <v>0</v>
      </c>
      <c r="P34" s="12"/>
      <c r="Q34" s="13">
        <f t="shared" si="8"/>
        <v>0</v>
      </c>
      <c r="R34" s="12"/>
      <c r="S34" s="13">
        <f t="shared" si="9"/>
        <v>0</v>
      </c>
      <c r="T34" s="12"/>
      <c r="U34" s="13">
        <f t="shared" si="10"/>
        <v>0</v>
      </c>
      <c r="V34" s="12"/>
      <c r="W34" s="13">
        <f t="shared" si="11"/>
        <v>0</v>
      </c>
      <c r="X34" s="12"/>
      <c r="Y34" s="13">
        <f t="shared" si="12"/>
        <v>0</v>
      </c>
      <c r="Z34" s="12"/>
      <c r="AA34" s="13">
        <f t="shared" si="13"/>
        <v>0</v>
      </c>
      <c r="AB34" s="12"/>
      <c r="AC34" s="13">
        <f t="shared" si="14"/>
        <v>0</v>
      </c>
      <c r="AD34" s="12"/>
      <c r="AE34" s="13">
        <f t="shared" si="15"/>
        <v>0</v>
      </c>
      <c r="AF34" s="14">
        <f t="shared" si="16"/>
        <v>0</v>
      </c>
      <c r="AG34" s="15">
        <f t="shared" si="17"/>
        <v>0</v>
      </c>
      <c r="AH34" s="16"/>
      <c r="AI34" s="13">
        <f t="shared" si="18"/>
        <v>0</v>
      </c>
      <c r="AJ34" s="17"/>
      <c r="AK34" s="13">
        <f t="shared" si="19"/>
        <v>0</v>
      </c>
      <c r="AL34" s="17"/>
      <c r="AM34" s="13">
        <f t="shared" si="20"/>
        <v>0</v>
      </c>
      <c r="AN34" s="18"/>
      <c r="AO34" s="13">
        <f t="shared" si="21"/>
        <v>0</v>
      </c>
      <c r="AP34" s="17"/>
      <c r="AQ34" s="13">
        <f t="shared" si="22"/>
        <v>0</v>
      </c>
      <c r="AR34" s="17"/>
      <c r="AS34" s="13">
        <f t="shared" si="23"/>
        <v>0</v>
      </c>
      <c r="AT34" s="19"/>
      <c r="AU34" s="13">
        <f t="shared" si="24"/>
        <v>0</v>
      </c>
      <c r="AV34" s="17"/>
      <c r="AW34" s="13">
        <f t="shared" si="25"/>
        <v>0</v>
      </c>
      <c r="AX34" s="17"/>
      <c r="AY34" s="13">
        <f t="shared" si="26"/>
        <v>0</v>
      </c>
      <c r="AZ34" s="19"/>
      <c r="BA34" s="13">
        <f t="shared" si="27"/>
        <v>0</v>
      </c>
      <c r="BB34" s="20"/>
      <c r="BC34" s="13">
        <f t="shared" si="28"/>
        <v>0</v>
      </c>
      <c r="BD34" s="20"/>
      <c r="BE34" s="13">
        <f t="shared" si="29"/>
        <v>0</v>
      </c>
      <c r="BF34" s="14">
        <f t="shared" si="30"/>
        <v>0</v>
      </c>
      <c r="BG34" s="15">
        <f t="shared" si="31"/>
        <v>0</v>
      </c>
      <c r="BH34" s="18"/>
      <c r="BI34" s="57">
        <f t="shared" si="32"/>
        <v>0</v>
      </c>
      <c r="BJ34" s="18"/>
      <c r="BK34" s="57">
        <f t="shared" si="33"/>
        <v>0</v>
      </c>
      <c r="BL34" s="18"/>
      <c r="BM34" s="57">
        <f t="shared" si="34"/>
        <v>0</v>
      </c>
      <c r="BN34" s="18"/>
      <c r="BO34" s="57">
        <f t="shared" si="35"/>
        <v>0</v>
      </c>
      <c r="BP34" s="18"/>
      <c r="BQ34" s="57">
        <f t="shared" si="36"/>
        <v>0</v>
      </c>
      <c r="BR34" s="18"/>
      <c r="BS34" s="57">
        <f t="shared" si="37"/>
        <v>0</v>
      </c>
      <c r="BT34" s="18"/>
      <c r="BU34" s="57">
        <f t="shared" si="38"/>
        <v>0</v>
      </c>
      <c r="BV34" s="18"/>
      <c r="BW34" s="57">
        <f t="shared" si="39"/>
        <v>0</v>
      </c>
      <c r="BX34" s="18"/>
      <c r="BY34" s="57">
        <f t="shared" si="40"/>
        <v>0</v>
      </c>
      <c r="BZ34" s="18"/>
      <c r="CA34" s="57">
        <f t="shared" si="41"/>
        <v>0</v>
      </c>
      <c r="CB34" s="18"/>
      <c r="CC34" s="57">
        <f t="shared" si="42"/>
        <v>0</v>
      </c>
      <c r="CD34" s="18"/>
      <c r="CE34" s="57">
        <f t="shared" si="43"/>
        <v>0</v>
      </c>
      <c r="CF34" s="14">
        <f t="shared" si="44"/>
        <v>0</v>
      </c>
      <c r="CG34" s="15">
        <f t="shared" si="45"/>
        <v>0</v>
      </c>
      <c r="CH34" s="12"/>
      <c r="CI34" s="13">
        <f t="shared" si="46"/>
        <v>0</v>
      </c>
      <c r="CJ34" s="12"/>
      <c r="CK34" s="13">
        <f t="shared" si="47"/>
        <v>0</v>
      </c>
      <c r="CL34" s="12"/>
      <c r="CM34" s="13">
        <f t="shared" si="48"/>
        <v>0</v>
      </c>
      <c r="CN34" s="12"/>
      <c r="CO34" s="13">
        <f t="shared" si="49"/>
        <v>0</v>
      </c>
      <c r="CP34" s="12"/>
      <c r="CQ34" s="13">
        <f t="shared" si="50"/>
        <v>0</v>
      </c>
      <c r="CR34" s="12"/>
      <c r="CS34" s="13">
        <f t="shared" si="51"/>
        <v>0</v>
      </c>
      <c r="CT34" s="12"/>
      <c r="CU34" s="13">
        <f t="shared" si="52"/>
        <v>0</v>
      </c>
      <c r="CV34" s="12"/>
      <c r="CW34" s="13">
        <f t="shared" si="53"/>
        <v>0</v>
      </c>
      <c r="CX34" s="12"/>
      <c r="CY34" s="13">
        <f t="shared" si="54"/>
        <v>0</v>
      </c>
      <c r="CZ34" s="12"/>
      <c r="DA34" s="13">
        <f t="shared" si="55"/>
        <v>0</v>
      </c>
      <c r="DB34" s="12"/>
      <c r="DC34" s="13">
        <f t="shared" si="0"/>
        <v>0</v>
      </c>
      <c r="DD34" s="12"/>
      <c r="DE34" s="13">
        <f t="shared" si="0"/>
        <v>0</v>
      </c>
      <c r="DF34" s="64">
        <f t="shared" si="56"/>
        <v>0</v>
      </c>
      <c r="DG34" s="15">
        <f t="shared" si="57"/>
        <v>0</v>
      </c>
      <c r="DH34" s="12"/>
      <c r="DI34" s="13">
        <f t="shared" si="58"/>
        <v>0</v>
      </c>
      <c r="DJ34" s="12"/>
      <c r="DK34" s="13">
        <f t="shared" si="1"/>
        <v>0</v>
      </c>
      <c r="DL34" s="12"/>
      <c r="DM34" s="13">
        <f t="shared" si="59"/>
        <v>0</v>
      </c>
      <c r="DN34" s="12"/>
      <c r="DO34" s="13">
        <f t="shared" si="2"/>
        <v>0</v>
      </c>
      <c r="DP34" s="12"/>
      <c r="DQ34" s="13">
        <f t="shared" si="60"/>
        <v>0</v>
      </c>
      <c r="DR34" s="12"/>
      <c r="DS34" s="13">
        <f t="shared" si="61"/>
        <v>0</v>
      </c>
      <c r="DT34" s="12"/>
      <c r="DU34" s="13">
        <f t="shared" si="62"/>
        <v>0</v>
      </c>
      <c r="DV34" s="12"/>
      <c r="DW34" s="13">
        <f t="shared" si="63"/>
        <v>0</v>
      </c>
      <c r="DX34" s="12"/>
      <c r="DY34" s="13">
        <f t="shared" si="64"/>
        <v>0</v>
      </c>
      <c r="DZ34" s="12"/>
      <c r="EA34" s="13">
        <f t="shared" si="65"/>
        <v>0</v>
      </c>
      <c r="EB34" s="12"/>
      <c r="EC34" s="13">
        <f t="shared" si="66"/>
        <v>0</v>
      </c>
      <c r="ED34" s="12"/>
      <c r="EE34" s="13">
        <f t="shared" si="3"/>
        <v>0</v>
      </c>
      <c r="EF34" s="24">
        <f t="shared" si="67"/>
        <v>0</v>
      </c>
      <c r="EG34" s="13">
        <f t="shared" si="68"/>
        <v>0</v>
      </c>
    </row>
    <row r="35" spans="1:137" ht="18" customHeight="1" x14ac:dyDescent="0.5">
      <c r="A35" s="10">
        <v>28</v>
      </c>
      <c r="B35" s="11" t="s">
        <v>45</v>
      </c>
      <c r="C35" s="11" t="s">
        <v>17</v>
      </c>
      <c r="D35" s="10">
        <f t="shared" si="71"/>
        <v>21</v>
      </c>
      <c r="E35" s="10">
        <v>0.35</v>
      </c>
      <c r="F35" s="10" t="s">
        <v>21</v>
      </c>
      <c r="G35" s="10"/>
      <c r="H35" s="12"/>
      <c r="I35" s="13">
        <f t="shared" si="4"/>
        <v>0</v>
      </c>
      <c r="J35" s="12"/>
      <c r="K35" s="13">
        <f t="shared" si="5"/>
        <v>0</v>
      </c>
      <c r="L35" s="12"/>
      <c r="M35" s="13">
        <f t="shared" si="6"/>
        <v>0</v>
      </c>
      <c r="N35" s="12"/>
      <c r="O35" s="13">
        <f t="shared" si="7"/>
        <v>0</v>
      </c>
      <c r="P35" s="12"/>
      <c r="Q35" s="13">
        <f t="shared" si="8"/>
        <v>0</v>
      </c>
      <c r="R35" s="12"/>
      <c r="S35" s="13">
        <f t="shared" si="9"/>
        <v>0</v>
      </c>
      <c r="T35" s="12"/>
      <c r="U35" s="13">
        <f t="shared" si="10"/>
        <v>0</v>
      </c>
      <c r="V35" s="12"/>
      <c r="W35" s="13">
        <f t="shared" si="11"/>
        <v>0</v>
      </c>
      <c r="X35" s="12"/>
      <c r="Y35" s="13">
        <f t="shared" si="12"/>
        <v>0</v>
      </c>
      <c r="Z35" s="12"/>
      <c r="AA35" s="13">
        <f t="shared" si="13"/>
        <v>0</v>
      </c>
      <c r="AB35" s="12"/>
      <c r="AC35" s="13">
        <f t="shared" si="14"/>
        <v>0</v>
      </c>
      <c r="AD35" s="12"/>
      <c r="AE35" s="13">
        <f t="shared" si="15"/>
        <v>0</v>
      </c>
      <c r="AF35" s="14">
        <f t="shared" si="16"/>
        <v>0</v>
      </c>
      <c r="AG35" s="15">
        <f t="shared" si="17"/>
        <v>0</v>
      </c>
      <c r="AH35" s="16"/>
      <c r="AI35" s="13">
        <f t="shared" si="18"/>
        <v>0</v>
      </c>
      <c r="AJ35" s="17"/>
      <c r="AK35" s="13">
        <f t="shared" si="19"/>
        <v>0</v>
      </c>
      <c r="AL35" s="17"/>
      <c r="AM35" s="13">
        <f t="shared" si="20"/>
        <v>0</v>
      </c>
      <c r="AN35" s="18"/>
      <c r="AO35" s="13">
        <f t="shared" si="21"/>
        <v>0</v>
      </c>
      <c r="AP35" s="17"/>
      <c r="AQ35" s="13">
        <f t="shared" si="22"/>
        <v>0</v>
      </c>
      <c r="AR35" s="17"/>
      <c r="AS35" s="13">
        <f t="shared" si="23"/>
        <v>0</v>
      </c>
      <c r="AT35" s="19"/>
      <c r="AU35" s="13">
        <f t="shared" si="24"/>
        <v>0</v>
      </c>
      <c r="AV35" s="17"/>
      <c r="AW35" s="13">
        <f t="shared" si="25"/>
        <v>0</v>
      </c>
      <c r="AX35" s="17"/>
      <c r="AY35" s="13">
        <f t="shared" si="26"/>
        <v>0</v>
      </c>
      <c r="AZ35" s="19"/>
      <c r="BA35" s="13">
        <f t="shared" si="27"/>
        <v>0</v>
      </c>
      <c r="BB35" s="20"/>
      <c r="BC35" s="13">
        <f t="shared" si="28"/>
        <v>0</v>
      </c>
      <c r="BD35" s="20"/>
      <c r="BE35" s="13">
        <f t="shared" si="29"/>
        <v>0</v>
      </c>
      <c r="BF35" s="14">
        <f t="shared" si="30"/>
        <v>0</v>
      </c>
      <c r="BG35" s="15">
        <f t="shared" si="31"/>
        <v>0</v>
      </c>
      <c r="BH35" s="18"/>
      <c r="BI35" s="57">
        <f t="shared" si="32"/>
        <v>0</v>
      </c>
      <c r="BJ35" s="18"/>
      <c r="BK35" s="57">
        <f t="shared" si="33"/>
        <v>0</v>
      </c>
      <c r="BL35" s="18"/>
      <c r="BM35" s="57">
        <f t="shared" si="34"/>
        <v>0</v>
      </c>
      <c r="BN35" s="18"/>
      <c r="BO35" s="57">
        <f t="shared" si="35"/>
        <v>0</v>
      </c>
      <c r="BP35" s="18"/>
      <c r="BQ35" s="57">
        <f t="shared" si="36"/>
        <v>0</v>
      </c>
      <c r="BR35" s="18"/>
      <c r="BS35" s="57">
        <f t="shared" si="37"/>
        <v>0</v>
      </c>
      <c r="BT35" s="18"/>
      <c r="BU35" s="57">
        <f t="shared" si="38"/>
        <v>0</v>
      </c>
      <c r="BV35" s="18"/>
      <c r="BW35" s="57">
        <f t="shared" si="39"/>
        <v>0</v>
      </c>
      <c r="BX35" s="18"/>
      <c r="BY35" s="57">
        <f t="shared" si="40"/>
        <v>0</v>
      </c>
      <c r="BZ35" s="18"/>
      <c r="CA35" s="57">
        <f t="shared" si="41"/>
        <v>0</v>
      </c>
      <c r="CB35" s="18"/>
      <c r="CC35" s="57">
        <f t="shared" si="42"/>
        <v>0</v>
      </c>
      <c r="CD35" s="18"/>
      <c r="CE35" s="57">
        <f t="shared" si="43"/>
        <v>0</v>
      </c>
      <c r="CF35" s="14">
        <f t="shared" si="44"/>
        <v>0</v>
      </c>
      <c r="CG35" s="15">
        <f t="shared" si="45"/>
        <v>0</v>
      </c>
      <c r="CH35" s="12"/>
      <c r="CI35" s="13">
        <f t="shared" si="46"/>
        <v>0</v>
      </c>
      <c r="CJ35" s="12"/>
      <c r="CK35" s="13">
        <f t="shared" si="47"/>
        <v>0</v>
      </c>
      <c r="CL35" s="12"/>
      <c r="CM35" s="13">
        <f t="shared" si="48"/>
        <v>0</v>
      </c>
      <c r="CN35" s="12"/>
      <c r="CO35" s="13">
        <f t="shared" si="49"/>
        <v>0</v>
      </c>
      <c r="CP35" s="12"/>
      <c r="CQ35" s="13">
        <f t="shared" si="50"/>
        <v>0</v>
      </c>
      <c r="CR35" s="12"/>
      <c r="CS35" s="13">
        <f t="shared" si="51"/>
        <v>0</v>
      </c>
      <c r="CT35" s="12"/>
      <c r="CU35" s="13">
        <f t="shared" si="52"/>
        <v>0</v>
      </c>
      <c r="CV35" s="12"/>
      <c r="CW35" s="13">
        <f t="shared" si="53"/>
        <v>0</v>
      </c>
      <c r="CX35" s="12"/>
      <c r="CY35" s="13">
        <f t="shared" si="54"/>
        <v>0</v>
      </c>
      <c r="CZ35" s="12"/>
      <c r="DA35" s="13">
        <f t="shared" si="55"/>
        <v>0</v>
      </c>
      <c r="DB35" s="12"/>
      <c r="DC35" s="13">
        <f t="shared" si="0"/>
        <v>0</v>
      </c>
      <c r="DD35" s="12"/>
      <c r="DE35" s="13">
        <f t="shared" si="0"/>
        <v>0</v>
      </c>
      <c r="DF35" s="64">
        <f t="shared" si="56"/>
        <v>0</v>
      </c>
      <c r="DG35" s="15">
        <f t="shared" si="57"/>
        <v>0</v>
      </c>
      <c r="DH35" s="12"/>
      <c r="DI35" s="13">
        <f t="shared" si="58"/>
        <v>0</v>
      </c>
      <c r="DJ35" s="12"/>
      <c r="DK35" s="13">
        <f t="shared" si="1"/>
        <v>0</v>
      </c>
      <c r="DL35" s="12"/>
      <c r="DM35" s="13">
        <f t="shared" si="59"/>
        <v>0</v>
      </c>
      <c r="DN35" s="12"/>
      <c r="DO35" s="13">
        <f t="shared" si="2"/>
        <v>0</v>
      </c>
      <c r="DP35" s="12"/>
      <c r="DQ35" s="13">
        <f t="shared" si="60"/>
        <v>0</v>
      </c>
      <c r="DR35" s="12"/>
      <c r="DS35" s="13">
        <f t="shared" si="61"/>
        <v>0</v>
      </c>
      <c r="DT35" s="12"/>
      <c r="DU35" s="13">
        <f t="shared" si="62"/>
        <v>0</v>
      </c>
      <c r="DV35" s="12"/>
      <c r="DW35" s="13">
        <f t="shared" si="63"/>
        <v>0</v>
      </c>
      <c r="DX35" s="12"/>
      <c r="DY35" s="13">
        <f t="shared" si="64"/>
        <v>0</v>
      </c>
      <c r="DZ35" s="12"/>
      <c r="EA35" s="13">
        <f t="shared" si="65"/>
        <v>0</v>
      </c>
      <c r="EB35" s="12"/>
      <c r="EC35" s="13">
        <f t="shared" si="66"/>
        <v>0</v>
      </c>
      <c r="ED35" s="12"/>
      <c r="EE35" s="13">
        <f t="shared" si="3"/>
        <v>0</v>
      </c>
      <c r="EF35" s="24">
        <f t="shared" si="67"/>
        <v>0</v>
      </c>
      <c r="EG35" s="13">
        <f t="shared" si="68"/>
        <v>0</v>
      </c>
    </row>
    <row r="36" spans="1:137" ht="18" customHeight="1" x14ac:dyDescent="0.5">
      <c r="A36" s="10">
        <v>29</v>
      </c>
      <c r="B36" s="11" t="s">
        <v>46</v>
      </c>
      <c r="C36" s="11" t="s">
        <v>14</v>
      </c>
      <c r="D36" s="10">
        <f t="shared" si="71"/>
        <v>21</v>
      </c>
      <c r="E36" s="10">
        <v>0.7</v>
      </c>
      <c r="F36" s="10" t="s">
        <v>15</v>
      </c>
      <c r="G36" s="10"/>
      <c r="H36" s="12"/>
      <c r="I36" s="13">
        <f t="shared" si="4"/>
        <v>0</v>
      </c>
      <c r="J36" s="12"/>
      <c r="K36" s="13">
        <f t="shared" si="5"/>
        <v>0</v>
      </c>
      <c r="L36" s="12"/>
      <c r="M36" s="13">
        <f t="shared" si="6"/>
        <v>0</v>
      </c>
      <c r="N36" s="12"/>
      <c r="O36" s="13">
        <f t="shared" si="7"/>
        <v>0</v>
      </c>
      <c r="P36" s="12"/>
      <c r="Q36" s="13">
        <f t="shared" si="8"/>
        <v>0</v>
      </c>
      <c r="R36" s="12"/>
      <c r="S36" s="13">
        <f t="shared" si="9"/>
        <v>0</v>
      </c>
      <c r="T36" s="12"/>
      <c r="U36" s="13">
        <f t="shared" si="10"/>
        <v>0</v>
      </c>
      <c r="V36" s="12"/>
      <c r="W36" s="13">
        <f t="shared" si="11"/>
        <v>0</v>
      </c>
      <c r="X36" s="12"/>
      <c r="Y36" s="13">
        <f t="shared" si="12"/>
        <v>0</v>
      </c>
      <c r="Z36" s="12"/>
      <c r="AA36" s="13">
        <f t="shared" si="13"/>
        <v>0</v>
      </c>
      <c r="AB36" s="12"/>
      <c r="AC36" s="13">
        <f t="shared" si="14"/>
        <v>0</v>
      </c>
      <c r="AD36" s="12"/>
      <c r="AE36" s="13">
        <f t="shared" si="15"/>
        <v>0</v>
      </c>
      <c r="AF36" s="14">
        <f t="shared" si="16"/>
        <v>0</v>
      </c>
      <c r="AG36" s="15">
        <f t="shared" si="17"/>
        <v>0</v>
      </c>
      <c r="AH36" s="16"/>
      <c r="AI36" s="13">
        <f t="shared" si="18"/>
        <v>0</v>
      </c>
      <c r="AJ36" s="17"/>
      <c r="AK36" s="13">
        <f t="shared" si="19"/>
        <v>0</v>
      </c>
      <c r="AL36" s="17"/>
      <c r="AM36" s="13">
        <f t="shared" si="20"/>
        <v>0</v>
      </c>
      <c r="AN36" s="18"/>
      <c r="AO36" s="13">
        <f t="shared" si="21"/>
        <v>0</v>
      </c>
      <c r="AP36" s="17"/>
      <c r="AQ36" s="13">
        <f t="shared" si="22"/>
        <v>0</v>
      </c>
      <c r="AR36" s="17"/>
      <c r="AS36" s="13">
        <f t="shared" si="23"/>
        <v>0</v>
      </c>
      <c r="AT36" s="19"/>
      <c r="AU36" s="13">
        <f t="shared" si="24"/>
        <v>0</v>
      </c>
      <c r="AV36" s="17"/>
      <c r="AW36" s="13">
        <f t="shared" si="25"/>
        <v>0</v>
      </c>
      <c r="AX36" s="17"/>
      <c r="AY36" s="13">
        <f t="shared" si="26"/>
        <v>0</v>
      </c>
      <c r="AZ36" s="19"/>
      <c r="BA36" s="13">
        <f t="shared" si="27"/>
        <v>0</v>
      </c>
      <c r="BB36" s="20"/>
      <c r="BC36" s="13">
        <f t="shared" si="28"/>
        <v>0</v>
      </c>
      <c r="BD36" s="20"/>
      <c r="BE36" s="13">
        <f t="shared" si="29"/>
        <v>0</v>
      </c>
      <c r="BF36" s="14">
        <f t="shared" si="30"/>
        <v>0</v>
      </c>
      <c r="BG36" s="15">
        <f t="shared" si="31"/>
        <v>0</v>
      </c>
      <c r="BH36" s="18"/>
      <c r="BI36" s="57">
        <f t="shared" si="32"/>
        <v>0</v>
      </c>
      <c r="BJ36" s="18"/>
      <c r="BK36" s="57">
        <f t="shared" si="33"/>
        <v>0</v>
      </c>
      <c r="BL36" s="18"/>
      <c r="BM36" s="57">
        <f t="shared" si="34"/>
        <v>0</v>
      </c>
      <c r="BN36" s="18"/>
      <c r="BO36" s="57">
        <f t="shared" si="35"/>
        <v>0</v>
      </c>
      <c r="BP36" s="18"/>
      <c r="BQ36" s="57">
        <f t="shared" si="36"/>
        <v>0</v>
      </c>
      <c r="BR36" s="18"/>
      <c r="BS36" s="57">
        <f t="shared" si="37"/>
        <v>0</v>
      </c>
      <c r="BT36" s="18"/>
      <c r="BU36" s="57">
        <f t="shared" si="38"/>
        <v>0</v>
      </c>
      <c r="BV36" s="18"/>
      <c r="BW36" s="57">
        <f t="shared" si="39"/>
        <v>0</v>
      </c>
      <c r="BX36" s="18"/>
      <c r="BY36" s="57">
        <f t="shared" si="40"/>
        <v>0</v>
      </c>
      <c r="BZ36" s="18"/>
      <c r="CA36" s="57">
        <f t="shared" si="41"/>
        <v>0</v>
      </c>
      <c r="CB36" s="18"/>
      <c r="CC36" s="57">
        <f t="shared" si="42"/>
        <v>0</v>
      </c>
      <c r="CD36" s="18"/>
      <c r="CE36" s="57">
        <f t="shared" si="43"/>
        <v>0</v>
      </c>
      <c r="CF36" s="14">
        <f t="shared" si="44"/>
        <v>0</v>
      </c>
      <c r="CG36" s="15">
        <f t="shared" si="45"/>
        <v>0</v>
      </c>
      <c r="CH36" s="12"/>
      <c r="CI36" s="13">
        <f t="shared" si="46"/>
        <v>0</v>
      </c>
      <c r="CJ36" s="12"/>
      <c r="CK36" s="13">
        <f t="shared" si="47"/>
        <v>0</v>
      </c>
      <c r="CL36" s="12"/>
      <c r="CM36" s="13">
        <f t="shared" si="48"/>
        <v>0</v>
      </c>
      <c r="CN36" s="12"/>
      <c r="CO36" s="13">
        <f t="shared" si="49"/>
        <v>0</v>
      </c>
      <c r="CP36" s="12"/>
      <c r="CQ36" s="13">
        <f t="shared" si="50"/>
        <v>0</v>
      </c>
      <c r="CR36" s="12"/>
      <c r="CS36" s="13">
        <f t="shared" si="51"/>
        <v>0</v>
      </c>
      <c r="CT36" s="12"/>
      <c r="CU36" s="13">
        <f t="shared" si="52"/>
        <v>0</v>
      </c>
      <c r="CV36" s="12"/>
      <c r="CW36" s="13">
        <f t="shared" si="53"/>
        <v>0</v>
      </c>
      <c r="CX36" s="12"/>
      <c r="CY36" s="13">
        <f t="shared" si="54"/>
        <v>0</v>
      </c>
      <c r="CZ36" s="12"/>
      <c r="DA36" s="13">
        <f t="shared" si="55"/>
        <v>0</v>
      </c>
      <c r="DB36" s="12"/>
      <c r="DC36" s="13">
        <f t="shared" si="0"/>
        <v>0</v>
      </c>
      <c r="DD36" s="12"/>
      <c r="DE36" s="13">
        <f t="shared" si="0"/>
        <v>0</v>
      </c>
      <c r="DF36" s="64">
        <f t="shared" si="56"/>
        <v>0</v>
      </c>
      <c r="DG36" s="15">
        <f t="shared" si="57"/>
        <v>0</v>
      </c>
      <c r="DH36" s="12"/>
      <c r="DI36" s="13">
        <f t="shared" si="58"/>
        <v>0</v>
      </c>
      <c r="DJ36" s="12"/>
      <c r="DK36" s="13">
        <f t="shared" si="1"/>
        <v>0</v>
      </c>
      <c r="DL36" s="12"/>
      <c r="DM36" s="13">
        <f t="shared" si="59"/>
        <v>0</v>
      </c>
      <c r="DN36" s="12"/>
      <c r="DO36" s="13">
        <f t="shared" si="2"/>
        <v>0</v>
      </c>
      <c r="DP36" s="12"/>
      <c r="DQ36" s="13">
        <f t="shared" si="60"/>
        <v>0</v>
      </c>
      <c r="DR36" s="12"/>
      <c r="DS36" s="13">
        <f t="shared" si="61"/>
        <v>0</v>
      </c>
      <c r="DT36" s="12"/>
      <c r="DU36" s="13">
        <f t="shared" si="62"/>
        <v>0</v>
      </c>
      <c r="DV36" s="12"/>
      <c r="DW36" s="13">
        <f t="shared" si="63"/>
        <v>0</v>
      </c>
      <c r="DX36" s="12"/>
      <c r="DY36" s="13">
        <f t="shared" si="64"/>
        <v>0</v>
      </c>
      <c r="DZ36" s="12"/>
      <c r="EA36" s="13">
        <f t="shared" si="65"/>
        <v>0</v>
      </c>
      <c r="EB36" s="12"/>
      <c r="EC36" s="13">
        <f t="shared" si="66"/>
        <v>0</v>
      </c>
      <c r="ED36" s="12"/>
      <c r="EE36" s="13">
        <f t="shared" si="3"/>
        <v>0</v>
      </c>
      <c r="EF36" s="24">
        <f t="shared" si="67"/>
        <v>0</v>
      </c>
      <c r="EG36" s="13">
        <f t="shared" si="68"/>
        <v>0</v>
      </c>
    </row>
    <row r="37" spans="1:137" ht="18" customHeight="1" x14ac:dyDescent="0.5">
      <c r="A37" s="10">
        <v>30</v>
      </c>
      <c r="B37" s="11" t="s">
        <v>47</v>
      </c>
      <c r="C37" s="11" t="s">
        <v>14</v>
      </c>
      <c r="D37" s="10">
        <f t="shared" si="71"/>
        <v>21</v>
      </c>
      <c r="E37" s="10">
        <v>0.7</v>
      </c>
      <c r="F37" s="10" t="s">
        <v>15</v>
      </c>
      <c r="G37" s="10"/>
      <c r="H37" s="12"/>
      <c r="I37" s="13">
        <f t="shared" si="4"/>
        <v>0</v>
      </c>
      <c r="J37" s="12"/>
      <c r="K37" s="13">
        <f t="shared" si="5"/>
        <v>0</v>
      </c>
      <c r="L37" s="12"/>
      <c r="M37" s="13">
        <f t="shared" si="6"/>
        <v>0</v>
      </c>
      <c r="N37" s="12"/>
      <c r="O37" s="13">
        <f t="shared" si="7"/>
        <v>0</v>
      </c>
      <c r="P37" s="12"/>
      <c r="Q37" s="13">
        <f t="shared" si="8"/>
        <v>0</v>
      </c>
      <c r="R37" s="12"/>
      <c r="S37" s="13">
        <f t="shared" si="9"/>
        <v>0</v>
      </c>
      <c r="T37" s="12"/>
      <c r="U37" s="13">
        <f t="shared" si="10"/>
        <v>0</v>
      </c>
      <c r="V37" s="12"/>
      <c r="W37" s="13">
        <f t="shared" si="11"/>
        <v>0</v>
      </c>
      <c r="X37" s="12"/>
      <c r="Y37" s="13">
        <f t="shared" si="12"/>
        <v>0</v>
      </c>
      <c r="Z37" s="12"/>
      <c r="AA37" s="13">
        <f t="shared" si="13"/>
        <v>0</v>
      </c>
      <c r="AB37" s="12"/>
      <c r="AC37" s="13">
        <f t="shared" si="14"/>
        <v>0</v>
      </c>
      <c r="AD37" s="12"/>
      <c r="AE37" s="13">
        <f t="shared" si="15"/>
        <v>0</v>
      </c>
      <c r="AF37" s="14">
        <f t="shared" si="16"/>
        <v>0</v>
      </c>
      <c r="AG37" s="15">
        <f t="shared" si="17"/>
        <v>0</v>
      </c>
      <c r="AH37" s="16"/>
      <c r="AI37" s="13">
        <f t="shared" si="18"/>
        <v>0</v>
      </c>
      <c r="AJ37" s="17"/>
      <c r="AK37" s="13">
        <f t="shared" si="19"/>
        <v>0</v>
      </c>
      <c r="AL37" s="17"/>
      <c r="AM37" s="13">
        <f t="shared" si="20"/>
        <v>0</v>
      </c>
      <c r="AN37" s="18"/>
      <c r="AO37" s="13">
        <f t="shared" si="21"/>
        <v>0</v>
      </c>
      <c r="AP37" s="17"/>
      <c r="AQ37" s="13">
        <f t="shared" si="22"/>
        <v>0</v>
      </c>
      <c r="AR37" s="17"/>
      <c r="AS37" s="13">
        <f t="shared" si="23"/>
        <v>0</v>
      </c>
      <c r="AT37" s="19"/>
      <c r="AU37" s="13">
        <f t="shared" si="24"/>
        <v>0</v>
      </c>
      <c r="AV37" s="17"/>
      <c r="AW37" s="13">
        <f t="shared" si="25"/>
        <v>0</v>
      </c>
      <c r="AX37" s="17"/>
      <c r="AY37" s="13">
        <f t="shared" si="26"/>
        <v>0</v>
      </c>
      <c r="AZ37" s="19"/>
      <c r="BA37" s="13">
        <f t="shared" si="27"/>
        <v>0</v>
      </c>
      <c r="BB37" s="20"/>
      <c r="BC37" s="13">
        <f t="shared" si="28"/>
        <v>0</v>
      </c>
      <c r="BD37" s="20"/>
      <c r="BE37" s="13">
        <f t="shared" si="29"/>
        <v>0</v>
      </c>
      <c r="BF37" s="14">
        <f t="shared" si="30"/>
        <v>0</v>
      </c>
      <c r="BG37" s="15">
        <f t="shared" si="31"/>
        <v>0</v>
      </c>
      <c r="BH37" s="18"/>
      <c r="BI37" s="57">
        <f t="shared" si="32"/>
        <v>0</v>
      </c>
      <c r="BJ37" s="18"/>
      <c r="BK37" s="57">
        <f t="shared" si="33"/>
        <v>0</v>
      </c>
      <c r="BL37" s="18"/>
      <c r="BM37" s="57">
        <f t="shared" si="34"/>
        <v>0</v>
      </c>
      <c r="BN37" s="18"/>
      <c r="BO37" s="57">
        <f t="shared" si="35"/>
        <v>0</v>
      </c>
      <c r="BP37" s="18"/>
      <c r="BQ37" s="57">
        <f t="shared" si="36"/>
        <v>0</v>
      </c>
      <c r="BR37" s="18"/>
      <c r="BS37" s="57">
        <f t="shared" si="37"/>
        <v>0</v>
      </c>
      <c r="BT37" s="18"/>
      <c r="BU37" s="57">
        <f t="shared" si="38"/>
        <v>0</v>
      </c>
      <c r="BV37" s="18"/>
      <c r="BW37" s="57">
        <f t="shared" si="39"/>
        <v>0</v>
      </c>
      <c r="BX37" s="18"/>
      <c r="BY37" s="57">
        <f t="shared" si="40"/>
        <v>0</v>
      </c>
      <c r="BZ37" s="18"/>
      <c r="CA37" s="57">
        <f t="shared" si="41"/>
        <v>0</v>
      </c>
      <c r="CB37" s="18"/>
      <c r="CC37" s="57">
        <f t="shared" si="42"/>
        <v>0</v>
      </c>
      <c r="CD37" s="18"/>
      <c r="CE37" s="57">
        <f t="shared" si="43"/>
        <v>0</v>
      </c>
      <c r="CF37" s="14">
        <f t="shared" si="44"/>
        <v>0</v>
      </c>
      <c r="CG37" s="15">
        <f t="shared" si="45"/>
        <v>0</v>
      </c>
      <c r="CH37" s="12"/>
      <c r="CI37" s="13">
        <f t="shared" si="46"/>
        <v>0</v>
      </c>
      <c r="CJ37" s="12"/>
      <c r="CK37" s="13">
        <f t="shared" si="47"/>
        <v>0</v>
      </c>
      <c r="CL37" s="12"/>
      <c r="CM37" s="13">
        <f t="shared" si="48"/>
        <v>0</v>
      </c>
      <c r="CN37" s="12"/>
      <c r="CO37" s="13">
        <f t="shared" si="49"/>
        <v>0</v>
      </c>
      <c r="CP37" s="12"/>
      <c r="CQ37" s="13">
        <f t="shared" si="50"/>
        <v>0</v>
      </c>
      <c r="CR37" s="12"/>
      <c r="CS37" s="13">
        <f t="shared" si="51"/>
        <v>0</v>
      </c>
      <c r="CT37" s="12"/>
      <c r="CU37" s="13">
        <f t="shared" si="52"/>
        <v>0</v>
      </c>
      <c r="CV37" s="12"/>
      <c r="CW37" s="13">
        <f t="shared" si="53"/>
        <v>0</v>
      </c>
      <c r="CX37" s="12"/>
      <c r="CY37" s="13">
        <f t="shared" si="54"/>
        <v>0</v>
      </c>
      <c r="CZ37" s="12"/>
      <c r="DA37" s="13">
        <f t="shared" si="55"/>
        <v>0</v>
      </c>
      <c r="DB37" s="12"/>
      <c r="DC37" s="13">
        <f t="shared" si="0"/>
        <v>0</v>
      </c>
      <c r="DD37" s="12"/>
      <c r="DE37" s="13">
        <f t="shared" si="0"/>
        <v>0</v>
      </c>
      <c r="DF37" s="64">
        <f t="shared" si="56"/>
        <v>0</v>
      </c>
      <c r="DG37" s="15">
        <f t="shared" si="57"/>
        <v>0</v>
      </c>
      <c r="DH37" s="12"/>
      <c r="DI37" s="13">
        <f t="shared" si="58"/>
        <v>0</v>
      </c>
      <c r="DJ37" s="12"/>
      <c r="DK37" s="13">
        <f t="shared" si="1"/>
        <v>0</v>
      </c>
      <c r="DL37" s="12"/>
      <c r="DM37" s="13">
        <f t="shared" si="59"/>
        <v>0</v>
      </c>
      <c r="DN37" s="12"/>
      <c r="DO37" s="13">
        <f t="shared" si="2"/>
        <v>0</v>
      </c>
      <c r="DP37" s="12"/>
      <c r="DQ37" s="13">
        <f t="shared" si="60"/>
        <v>0</v>
      </c>
      <c r="DR37" s="12"/>
      <c r="DS37" s="13">
        <f t="shared" si="61"/>
        <v>0</v>
      </c>
      <c r="DT37" s="12"/>
      <c r="DU37" s="13">
        <f t="shared" si="62"/>
        <v>0</v>
      </c>
      <c r="DV37" s="12"/>
      <c r="DW37" s="13">
        <f t="shared" si="63"/>
        <v>0</v>
      </c>
      <c r="DX37" s="12"/>
      <c r="DY37" s="13">
        <f t="shared" si="64"/>
        <v>0</v>
      </c>
      <c r="DZ37" s="12"/>
      <c r="EA37" s="13">
        <f t="shared" si="65"/>
        <v>0</v>
      </c>
      <c r="EB37" s="12"/>
      <c r="EC37" s="13">
        <f t="shared" si="66"/>
        <v>0</v>
      </c>
      <c r="ED37" s="12"/>
      <c r="EE37" s="13">
        <f t="shared" si="3"/>
        <v>0</v>
      </c>
      <c r="EF37" s="24">
        <f t="shared" si="67"/>
        <v>0</v>
      </c>
      <c r="EG37" s="13">
        <f t="shared" si="68"/>
        <v>0</v>
      </c>
    </row>
    <row r="38" spans="1:137" ht="18" customHeight="1" x14ac:dyDescent="0.5">
      <c r="A38" s="10">
        <v>31</v>
      </c>
      <c r="B38" s="11" t="s">
        <v>48</v>
      </c>
      <c r="C38" s="11" t="s">
        <v>14</v>
      </c>
      <c r="D38" s="10">
        <f t="shared" si="71"/>
        <v>21</v>
      </c>
      <c r="E38" s="10">
        <v>0.68</v>
      </c>
      <c r="F38" s="10" t="s">
        <v>15</v>
      </c>
      <c r="G38" s="10"/>
      <c r="H38" s="12"/>
      <c r="I38" s="13">
        <f t="shared" si="4"/>
        <v>0</v>
      </c>
      <c r="J38" s="12"/>
      <c r="K38" s="13">
        <f t="shared" si="5"/>
        <v>0</v>
      </c>
      <c r="L38" s="12"/>
      <c r="M38" s="13">
        <f t="shared" si="6"/>
        <v>0</v>
      </c>
      <c r="N38" s="12"/>
      <c r="O38" s="13">
        <f t="shared" si="7"/>
        <v>0</v>
      </c>
      <c r="P38" s="12"/>
      <c r="Q38" s="13">
        <f t="shared" si="8"/>
        <v>0</v>
      </c>
      <c r="R38" s="12"/>
      <c r="S38" s="13">
        <f t="shared" si="9"/>
        <v>0</v>
      </c>
      <c r="T38" s="12"/>
      <c r="U38" s="13">
        <f t="shared" si="10"/>
        <v>0</v>
      </c>
      <c r="V38" s="12"/>
      <c r="W38" s="13">
        <f t="shared" si="11"/>
        <v>0</v>
      </c>
      <c r="X38" s="12"/>
      <c r="Y38" s="13">
        <f t="shared" si="12"/>
        <v>0</v>
      </c>
      <c r="Z38" s="12"/>
      <c r="AA38" s="13">
        <f t="shared" si="13"/>
        <v>0</v>
      </c>
      <c r="AB38" s="12"/>
      <c r="AC38" s="13">
        <f t="shared" si="14"/>
        <v>0</v>
      </c>
      <c r="AD38" s="12"/>
      <c r="AE38" s="13">
        <f t="shared" si="15"/>
        <v>0</v>
      </c>
      <c r="AF38" s="14">
        <f t="shared" si="16"/>
        <v>0</v>
      </c>
      <c r="AG38" s="15">
        <f t="shared" si="17"/>
        <v>0</v>
      </c>
      <c r="AH38" s="16"/>
      <c r="AI38" s="13">
        <f t="shared" si="18"/>
        <v>0</v>
      </c>
      <c r="AJ38" s="17"/>
      <c r="AK38" s="13">
        <f t="shared" si="19"/>
        <v>0</v>
      </c>
      <c r="AL38" s="17"/>
      <c r="AM38" s="13">
        <f t="shared" si="20"/>
        <v>0</v>
      </c>
      <c r="AN38" s="18"/>
      <c r="AO38" s="13">
        <f t="shared" si="21"/>
        <v>0</v>
      </c>
      <c r="AP38" s="17"/>
      <c r="AQ38" s="13">
        <f t="shared" si="22"/>
        <v>0</v>
      </c>
      <c r="AR38" s="17"/>
      <c r="AS38" s="13">
        <f t="shared" si="23"/>
        <v>0</v>
      </c>
      <c r="AT38" s="19"/>
      <c r="AU38" s="13">
        <f t="shared" si="24"/>
        <v>0</v>
      </c>
      <c r="AV38" s="17"/>
      <c r="AW38" s="13">
        <f t="shared" si="25"/>
        <v>0</v>
      </c>
      <c r="AX38" s="17"/>
      <c r="AY38" s="13">
        <f t="shared" si="26"/>
        <v>0</v>
      </c>
      <c r="AZ38" s="19"/>
      <c r="BA38" s="13">
        <f t="shared" si="27"/>
        <v>0</v>
      </c>
      <c r="BB38" s="20"/>
      <c r="BC38" s="13">
        <f t="shared" si="28"/>
        <v>0</v>
      </c>
      <c r="BD38" s="20"/>
      <c r="BE38" s="13">
        <f t="shared" si="29"/>
        <v>0</v>
      </c>
      <c r="BF38" s="14">
        <f t="shared" si="30"/>
        <v>0</v>
      </c>
      <c r="BG38" s="15">
        <f t="shared" si="31"/>
        <v>0</v>
      </c>
      <c r="BH38" s="18"/>
      <c r="BI38" s="57">
        <f t="shared" si="32"/>
        <v>0</v>
      </c>
      <c r="BJ38" s="18"/>
      <c r="BK38" s="57">
        <f t="shared" si="33"/>
        <v>0</v>
      </c>
      <c r="BL38" s="18"/>
      <c r="BM38" s="57">
        <f t="shared" si="34"/>
        <v>0</v>
      </c>
      <c r="BN38" s="18"/>
      <c r="BO38" s="57">
        <f t="shared" si="35"/>
        <v>0</v>
      </c>
      <c r="BP38" s="18"/>
      <c r="BQ38" s="57">
        <f t="shared" si="36"/>
        <v>0</v>
      </c>
      <c r="BR38" s="18"/>
      <c r="BS38" s="57">
        <f t="shared" si="37"/>
        <v>0</v>
      </c>
      <c r="BT38" s="18"/>
      <c r="BU38" s="57">
        <f t="shared" si="38"/>
        <v>0</v>
      </c>
      <c r="BV38" s="18"/>
      <c r="BW38" s="57">
        <f t="shared" si="39"/>
        <v>0</v>
      </c>
      <c r="BX38" s="18"/>
      <c r="BY38" s="57">
        <f t="shared" si="40"/>
        <v>0</v>
      </c>
      <c r="BZ38" s="18"/>
      <c r="CA38" s="57">
        <f t="shared" si="41"/>
        <v>0</v>
      </c>
      <c r="CB38" s="18"/>
      <c r="CC38" s="57">
        <f t="shared" si="42"/>
        <v>0</v>
      </c>
      <c r="CD38" s="18"/>
      <c r="CE38" s="57">
        <f t="shared" si="43"/>
        <v>0</v>
      </c>
      <c r="CF38" s="14">
        <f t="shared" si="44"/>
        <v>0</v>
      </c>
      <c r="CG38" s="15">
        <f t="shared" si="45"/>
        <v>0</v>
      </c>
      <c r="CH38" s="12"/>
      <c r="CI38" s="13">
        <f t="shared" si="46"/>
        <v>0</v>
      </c>
      <c r="CJ38" s="12"/>
      <c r="CK38" s="13">
        <f t="shared" si="47"/>
        <v>0</v>
      </c>
      <c r="CL38" s="12"/>
      <c r="CM38" s="13">
        <f t="shared" si="48"/>
        <v>0</v>
      </c>
      <c r="CN38" s="12"/>
      <c r="CO38" s="13">
        <f t="shared" si="49"/>
        <v>0</v>
      </c>
      <c r="CP38" s="12"/>
      <c r="CQ38" s="13">
        <f t="shared" si="50"/>
        <v>0</v>
      </c>
      <c r="CR38" s="12"/>
      <c r="CS38" s="13">
        <f t="shared" si="51"/>
        <v>0</v>
      </c>
      <c r="CT38" s="12"/>
      <c r="CU38" s="13">
        <f t="shared" si="52"/>
        <v>0</v>
      </c>
      <c r="CV38" s="12"/>
      <c r="CW38" s="13">
        <f t="shared" si="53"/>
        <v>0</v>
      </c>
      <c r="CX38" s="12"/>
      <c r="CY38" s="13">
        <f t="shared" si="54"/>
        <v>0</v>
      </c>
      <c r="CZ38" s="12"/>
      <c r="DA38" s="13">
        <f t="shared" si="55"/>
        <v>0</v>
      </c>
      <c r="DB38" s="12"/>
      <c r="DC38" s="13">
        <f t="shared" si="0"/>
        <v>0</v>
      </c>
      <c r="DD38" s="12"/>
      <c r="DE38" s="13">
        <f t="shared" si="0"/>
        <v>0</v>
      </c>
      <c r="DF38" s="64">
        <f t="shared" si="56"/>
        <v>0</v>
      </c>
      <c r="DG38" s="15">
        <f t="shared" si="57"/>
        <v>0</v>
      </c>
      <c r="DH38" s="12"/>
      <c r="DI38" s="13">
        <f t="shared" si="58"/>
        <v>0</v>
      </c>
      <c r="DJ38" s="12"/>
      <c r="DK38" s="13">
        <f t="shared" si="1"/>
        <v>0</v>
      </c>
      <c r="DL38" s="12"/>
      <c r="DM38" s="13">
        <f t="shared" si="59"/>
        <v>0</v>
      </c>
      <c r="DN38" s="12"/>
      <c r="DO38" s="13">
        <f t="shared" si="2"/>
        <v>0</v>
      </c>
      <c r="DP38" s="12"/>
      <c r="DQ38" s="13">
        <f t="shared" si="60"/>
        <v>0</v>
      </c>
      <c r="DR38" s="12"/>
      <c r="DS38" s="13">
        <f t="shared" si="61"/>
        <v>0</v>
      </c>
      <c r="DT38" s="12"/>
      <c r="DU38" s="13">
        <f t="shared" si="62"/>
        <v>0</v>
      </c>
      <c r="DV38" s="12"/>
      <c r="DW38" s="13">
        <f t="shared" si="63"/>
        <v>0</v>
      </c>
      <c r="DX38" s="12"/>
      <c r="DY38" s="13">
        <f t="shared" si="64"/>
        <v>0</v>
      </c>
      <c r="DZ38" s="12"/>
      <c r="EA38" s="13">
        <f t="shared" si="65"/>
        <v>0</v>
      </c>
      <c r="EB38" s="12"/>
      <c r="EC38" s="13">
        <f t="shared" si="66"/>
        <v>0</v>
      </c>
      <c r="ED38" s="12"/>
      <c r="EE38" s="13">
        <f t="shared" si="3"/>
        <v>0</v>
      </c>
      <c r="EF38" s="24">
        <f t="shared" si="67"/>
        <v>0</v>
      </c>
      <c r="EG38" s="13">
        <f t="shared" si="68"/>
        <v>0</v>
      </c>
    </row>
    <row r="39" spans="1:137" ht="18" customHeight="1" x14ac:dyDescent="0.5">
      <c r="A39" s="10">
        <v>32</v>
      </c>
      <c r="B39" s="11" t="s">
        <v>48</v>
      </c>
      <c r="C39" s="11" t="s">
        <v>14</v>
      </c>
      <c r="D39" s="10">
        <f t="shared" si="71"/>
        <v>7</v>
      </c>
      <c r="E39" s="10">
        <v>0.64</v>
      </c>
      <c r="F39" s="10" t="s">
        <v>25</v>
      </c>
      <c r="G39" s="10">
        <v>1600</v>
      </c>
      <c r="H39" s="12">
        <v>5460</v>
      </c>
      <c r="I39" s="13">
        <f t="shared" si="4"/>
        <v>3494.4</v>
      </c>
      <c r="J39" s="12">
        <v>7616</v>
      </c>
      <c r="K39" s="13">
        <f t="shared" si="5"/>
        <v>4874.24</v>
      </c>
      <c r="L39" s="12">
        <v>7112</v>
      </c>
      <c r="M39" s="13">
        <f t="shared" si="6"/>
        <v>4551.68</v>
      </c>
      <c r="N39" s="12">
        <v>6524</v>
      </c>
      <c r="O39" s="13">
        <f t="shared" si="7"/>
        <v>4175.3599999999997</v>
      </c>
      <c r="P39" s="12">
        <v>8260</v>
      </c>
      <c r="Q39" s="13">
        <f t="shared" si="8"/>
        <v>5286.4000000000005</v>
      </c>
      <c r="R39" s="12">
        <v>8862</v>
      </c>
      <c r="S39" s="13">
        <f t="shared" si="9"/>
        <v>5671.68</v>
      </c>
      <c r="T39" s="12">
        <v>2884</v>
      </c>
      <c r="U39" s="13">
        <f t="shared" si="10"/>
        <v>1845.76</v>
      </c>
      <c r="V39" s="12">
        <v>4592</v>
      </c>
      <c r="W39" s="13">
        <f t="shared" si="11"/>
        <v>2938.88</v>
      </c>
      <c r="X39" s="12">
        <v>2800</v>
      </c>
      <c r="Y39" s="13">
        <f t="shared" si="12"/>
        <v>1792</v>
      </c>
      <c r="Z39" s="12">
        <v>4144</v>
      </c>
      <c r="AA39" s="13">
        <f t="shared" si="13"/>
        <v>2652.16</v>
      </c>
      <c r="AB39" s="12">
        <v>5236</v>
      </c>
      <c r="AC39" s="13">
        <f t="shared" si="14"/>
        <v>3351.04</v>
      </c>
      <c r="AD39" s="12">
        <v>2940</v>
      </c>
      <c r="AE39" s="13">
        <f t="shared" si="15"/>
        <v>1881.6000000000001</v>
      </c>
      <c r="AF39" s="14">
        <f t="shared" si="16"/>
        <v>5535.833333333333</v>
      </c>
      <c r="AG39" s="15">
        <f t="shared" si="17"/>
        <v>3542.9333333333334</v>
      </c>
      <c r="AH39" s="16">
        <v>4438</v>
      </c>
      <c r="AI39" s="13">
        <f t="shared" si="18"/>
        <v>2840.32</v>
      </c>
      <c r="AJ39" s="17">
        <v>4284</v>
      </c>
      <c r="AK39" s="13">
        <f t="shared" si="19"/>
        <v>2741.76</v>
      </c>
      <c r="AL39" s="17">
        <v>5320</v>
      </c>
      <c r="AM39" s="13">
        <f t="shared" si="20"/>
        <v>3404.8</v>
      </c>
      <c r="AN39" s="18">
        <v>3010</v>
      </c>
      <c r="AO39" s="13">
        <f t="shared" si="21"/>
        <v>1926.4</v>
      </c>
      <c r="AP39" s="17">
        <v>4144</v>
      </c>
      <c r="AQ39" s="13">
        <f t="shared" si="22"/>
        <v>2652.16</v>
      </c>
      <c r="AR39" s="17">
        <v>5096</v>
      </c>
      <c r="AS39" s="13">
        <f t="shared" si="23"/>
        <v>3261.44</v>
      </c>
      <c r="AT39" s="19">
        <v>4130</v>
      </c>
      <c r="AU39" s="13">
        <f t="shared" si="24"/>
        <v>2643.2000000000003</v>
      </c>
      <c r="AV39" s="17">
        <v>6650</v>
      </c>
      <c r="AW39" s="13">
        <f t="shared" si="25"/>
        <v>4256</v>
      </c>
      <c r="AX39" s="17">
        <v>2548</v>
      </c>
      <c r="AY39" s="13">
        <f t="shared" si="26"/>
        <v>1630.72</v>
      </c>
      <c r="AZ39" s="19">
        <v>966</v>
      </c>
      <c r="BA39" s="13">
        <f t="shared" si="27"/>
        <v>618.24</v>
      </c>
      <c r="BB39" s="20">
        <v>5110</v>
      </c>
      <c r="BC39" s="13">
        <f t="shared" si="28"/>
        <v>3270.4</v>
      </c>
      <c r="BD39" s="20">
        <v>2198</v>
      </c>
      <c r="BE39" s="13">
        <f t="shared" si="29"/>
        <v>1406.72</v>
      </c>
      <c r="BF39" s="14">
        <f t="shared" si="30"/>
        <v>3991.1666666666665</v>
      </c>
      <c r="BG39" s="15">
        <f t="shared" si="31"/>
        <v>2554.3466666666668</v>
      </c>
      <c r="BH39" s="23">
        <v>4200</v>
      </c>
      <c r="BI39" s="57">
        <f t="shared" si="32"/>
        <v>2688</v>
      </c>
      <c r="BJ39" s="23">
        <v>3416</v>
      </c>
      <c r="BK39" s="57">
        <f t="shared" si="33"/>
        <v>2186.2400000000002</v>
      </c>
      <c r="BL39" s="58">
        <v>3612</v>
      </c>
      <c r="BM39" s="57">
        <f t="shared" si="34"/>
        <v>2311.6799999999998</v>
      </c>
      <c r="BN39" s="27">
        <v>3990</v>
      </c>
      <c r="BO39" s="57">
        <f t="shared" si="35"/>
        <v>2553.6</v>
      </c>
      <c r="BP39" s="23">
        <v>4564</v>
      </c>
      <c r="BQ39" s="57">
        <f t="shared" si="36"/>
        <v>2920.96</v>
      </c>
      <c r="BR39" s="21">
        <v>4830</v>
      </c>
      <c r="BS39" s="57">
        <f t="shared" si="37"/>
        <v>3091.2000000000003</v>
      </c>
      <c r="BT39" s="58">
        <v>4270</v>
      </c>
      <c r="BU39" s="57">
        <f t="shared" si="38"/>
        <v>2732.8</v>
      </c>
      <c r="BV39" s="28">
        <v>6440</v>
      </c>
      <c r="BW39" s="57">
        <f t="shared" si="39"/>
        <v>4121.6000000000004</v>
      </c>
      <c r="BX39" s="58">
        <v>4690</v>
      </c>
      <c r="BY39" s="57">
        <f t="shared" si="40"/>
        <v>3001.6</v>
      </c>
      <c r="BZ39" s="58">
        <v>6580</v>
      </c>
      <c r="CA39" s="57">
        <f t="shared" si="41"/>
        <v>4211.2</v>
      </c>
      <c r="CB39" s="23">
        <v>3990</v>
      </c>
      <c r="CC39" s="57">
        <f t="shared" si="42"/>
        <v>2553.6</v>
      </c>
      <c r="CD39" s="23">
        <v>3570</v>
      </c>
      <c r="CE39" s="57">
        <f t="shared" si="43"/>
        <v>2284.8000000000002</v>
      </c>
      <c r="CF39" s="14">
        <f t="shared" si="44"/>
        <v>4512.666666666667</v>
      </c>
      <c r="CG39" s="15">
        <f t="shared" si="45"/>
        <v>2888.106666666667</v>
      </c>
      <c r="CH39" s="12">
        <v>3430</v>
      </c>
      <c r="CI39" s="13">
        <f t="shared" si="46"/>
        <v>2195.2000000000003</v>
      </c>
      <c r="CJ39" s="12">
        <v>3150</v>
      </c>
      <c r="CK39" s="13">
        <f t="shared" si="47"/>
        <v>2016</v>
      </c>
      <c r="CL39" s="12">
        <v>5670</v>
      </c>
      <c r="CM39" s="13">
        <f t="shared" si="48"/>
        <v>3628.8</v>
      </c>
      <c r="CN39" s="12">
        <v>2800</v>
      </c>
      <c r="CO39" s="13">
        <v>1792</v>
      </c>
      <c r="CP39" s="12">
        <v>6272</v>
      </c>
      <c r="CQ39" s="13">
        <f t="shared" si="50"/>
        <v>4014.08</v>
      </c>
      <c r="CR39" s="12">
        <v>4340</v>
      </c>
      <c r="CS39" s="13">
        <f t="shared" si="51"/>
        <v>2777.6</v>
      </c>
      <c r="CT39" s="12">
        <v>5810</v>
      </c>
      <c r="CU39" s="13">
        <f t="shared" si="52"/>
        <v>3718.4</v>
      </c>
      <c r="CV39" s="12">
        <v>4676</v>
      </c>
      <c r="CW39" s="13">
        <f t="shared" si="53"/>
        <v>2992.64</v>
      </c>
      <c r="CX39" s="12">
        <v>3640</v>
      </c>
      <c r="CY39" s="13">
        <f t="shared" si="54"/>
        <v>2329.6</v>
      </c>
      <c r="CZ39" s="12">
        <v>6622</v>
      </c>
      <c r="DA39" s="13">
        <f t="shared" si="55"/>
        <v>4238.08</v>
      </c>
      <c r="DB39" s="12">
        <v>3570</v>
      </c>
      <c r="DC39" s="13">
        <f t="shared" si="0"/>
        <v>2284.8000000000002</v>
      </c>
      <c r="DD39" s="12">
        <v>7000</v>
      </c>
      <c r="DE39" s="13">
        <f t="shared" si="0"/>
        <v>4480</v>
      </c>
      <c r="DF39" s="64">
        <f t="shared" si="56"/>
        <v>56980</v>
      </c>
      <c r="DG39" s="15">
        <f t="shared" si="57"/>
        <v>36467.200000000004</v>
      </c>
      <c r="DH39" s="12">
        <v>1610</v>
      </c>
      <c r="DI39" s="13">
        <f t="shared" si="58"/>
        <v>1030.4000000000001</v>
      </c>
      <c r="DJ39" s="12">
        <v>2870</v>
      </c>
      <c r="DK39" s="13">
        <f t="shared" si="1"/>
        <v>1836.8</v>
      </c>
      <c r="DL39" s="12">
        <v>5376</v>
      </c>
      <c r="DM39" s="13">
        <f t="shared" si="59"/>
        <v>3440.64</v>
      </c>
      <c r="DN39" s="12"/>
      <c r="DO39" s="13">
        <f t="shared" si="2"/>
        <v>0</v>
      </c>
      <c r="DP39" s="12"/>
      <c r="DQ39" s="13">
        <f t="shared" si="60"/>
        <v>0</v>
      </c>
      <c r="DR39" s="12"/>
      <c r="DS39" s="13">
        <f t="shared" si="61"/>
        <v>0</v>
      </c>
      <c r="DT39" s="12"/>
      <c r="DU39" s="13">
        <f t="shared" si="62"/>
        <v>0</v>
      </c>
      <c r="DV39" s="12"/>
      <c r="DW39" s="13">
        <f t="shared" si="63"/>
        <v>0</v>
      </c>
      <c r="DX39" s="12"/>
      <c r="DY39" s="13">
        <f t="shared" si="64"/>
        <v>0</v>
      </c>
      <c r="DZ39" s="12"/>
      <c r="EA39" s="13">
        <f t="shared" si="65"/>
        <v>0</v>
      </c>
      <c r="EB39" s="12"/>
      <c r="EC39" s="13">
        <f t="shared" si="66"/>
        <v>0</v>
      </c>
      <c r="ED39" s="12"/>
      <c r="EE39" s="13">
        <f t="shared" si="3"/>
        <v>0</v>
      </c>
      <c r="EF39" s="24">
        <f t="shared" si="67"/>
        <v>9856</v>
      </c>
      <c r="EG39" s="13">
        <f t="shared" si="68"/>
        <v>6307.84</v>
      </c>
    </row>
    <row r="40" spans="1:137" ht="18" customHeight="1" x14ac:dyDescent="0.5">
      <c r="A40" s="10">
        <v>33</v>
      </c>
      <c r="B40" s="11" t="s">
        <v>49</v>
      </c>
      <c r="C40" s="11" t="s">
        <v>14</v>
      </c>
      <c r="D40" s="10">
        <f t="shared" si="71"/>
        <v>21</v>
      </c>
      <c r="E40" s="10">
        <v>0.64</v>
      </c>
      <c r="F40" s="10" t="s">
        <v>25</v>
      </c>
      <c r="G40" s="10"/>
      <c r="H40" s="12"/>
      <c r="I40" s="13">
        <f t="shared" si="4"/>
        <v>0</v>
      </c>
      <c r="J40" s="12"/>
      <c r="K40" s="13">
        <f t="shared" si="5"/>
        <v>0</v>
      </c>
      <c r="L40" s="12"/>
      <c r="M40" s="13">
        <f t="shared" si="6"/>
        <v>0</v>
      </c>
      <c r="N40" s="12"/>
      <c r="O40" s="13">
        <f t="shared" si="7"/>
        <v>0</v>
      </c>
      <c r="P40" s="12"/>
      <c r="Q40" s="13">
        <f t="shared" si="8"/>
        <v>0</v>
      </c>
      <c r="R40" s="12"/>
      <c r="S40" s="13">
        <f t="shared" si="9"/>
        <v>0</v>
      </c>
      <c r="T40" s="12"/>
      <c r="U40" s="13">
        <f t="shared" si="10"/>
        <v>0</v>
      </c>
      <c r="V40" s="12"/>
      <c r="W40" s="13">
        <f t="shared" si="11"/>
        <v>0</v>
      </c>
      <c r="X40" s="12"/>
      <c r="Y40" s="13">
        <f t="shared" si="12"/>
        <v>0</v>
      </c>
      <c r="Z40" s="12"/>
      <c r="AA40" s="13">
        <f t="shared" si="13"/>
        <v>0</v>
      </c>
      <c r="AB40" s="12"/>
      <c r="AC40" s="13">
        <f t="shared" si="14"/>
        <v>0</v>
      </c>
      <c r="AD40" s="12"/>
      <c r="AE40" s="13">
        <f t="shared" si="15"/>
        <v>0</v>
      </c>
      <c r="AF40" s="14">
        <f t="shared" si="16"/>
        <v>0</v>
      </c>
      <c r="AG40" s="15">
        <f t="shared" si="17"/>
        <v>0</v>
      </c>
      <c r="AH40" s="16"/>
      <c r="AI40" s="13">
        <f t="shared" si="18"/>
        <v>0</v>
      </c>
      <c r="AJ40" s="17"/>
      <c r="AK40" s="13">
        <f t="shared" si="19"/>
        <v>0</v>
      </c>
      <c r="AL40" s="17"/>
      <c r="AM40" s="13">
        <f t="shared" si="20"/>
        <v>0</v>
      </c>
      <c r="AN40" s="18"/>
      <c r="AO40" s="13">
        <f t="shared" si="21"/>
        <v>0</v>
      </c>
      <c r="AP40" s="17"/>
      <c r="AQ40" s="13">
        <f t="shared" si="22"/>
        <v>0</v>
      </c>
      <c r="AR40" s="17"/>
      <c r="AS40" s="13">
        <f t="shared" si="23"/>
        <v>0</v>
      </c>
      <c r="AT40" s="19"/>
      <c r="AU40" s="13">
        <f t="shared" si="24"/>
        <v>0</v>
      </c>
      <c r="AV40" s="17"/>
      <c r="AW40" s="13">
        <f t="shared" si="25"/>
        <v>0</v>
      </c>
      <c r="AX40" s="17"/>
      <c r="AY40" s="13">
        <f t="shared" si="26"/>
        <v>0</v>
      </c>
      <c r="AZ40" s="19"/>
      <c r="BA40" s="13">
        <f t="shared" si="27"/>
        <v>0</v>
      </c>
      <c r="BB40" s="20"/>
      <c r="BC40" s="13">
        <f t="shared" si="28"/>
        <v>0</v>
      </c>
      <c r="BD40" s="20"/>
      <c r="BE40" s="13">
        <f t="shared" si="29"/>
        <v>0</v>
      </c>
      <c r="BF40" s="14">
        <f t="shared" si="30"/>
        <v>0</v>
      </c>
      <c r="BG40" s="15">
        <f t="shared" si="31"/>
        <v>0</v>
      </c>
      <c r="BH40" s="18"/>
      <c r="BI40" s="57">
        <f t="shared" si="32"/>
        <v>0</v>
      </c>
      <c r="BJ40" s="18"/>
      <c r="BK40" s="57">
        <f t="shared" si="33"/>
        <v>0</v>
      </c>
      <c r="BL40" s="18"/>
      <c r="BM40" s="57">
        <f t="shared" si="34"/>
        <v>0</v>
      </c>
      <c r="BN40" s="18"/>
      <c r="BO40" s="57">
        <f t="shared" si="35"/>
        <v>0</v>
      </c>
      <c r="BP40" s="18"/>
      <c r="BQ40" s="57">
        <f t="shared" si="36"/>
        <v>0</v>
      </c>
      <c r="BR40" s="18"/>
      <c r="BS40" s="57">
        <f t="shared" si="37"/>
        <v>0</v>
      </c>
      <c r="BT40" s="18"/>
      <c r="BU40" s="57">
        <f t="shared" si="38"/>
        <v>0</v>
      </c>
      <c r="BV40" s="18"/>
      <c r="BW40" s="57">
        <f>BV40*$E40</f>
        <v>0</v>
      </c>
      <c r="BX40" s="18"/>
      <c r="BY40" s="57">
        <f t="shared" si="40"/>
        <v>0</v>
      </c>
      <c r="BZ40" s="18"/>
      <c r="CA40" s="57">
        <f t="shared" si="41"/>
        <v>0</v>
      </c>
      <c r="CB40" s="18"/>
      <c r="CC40" s="57">
        <f t="shared" si="42"/>
        <v>0</v>
      </c>
      <c r="CD40" s="18"/>
      <c r="CE40" s="57">
        <f t="shared" si="43"/>
        <v>0</v>
      </c>
      <c r="CF40" s="14">
        <f>(CD40+CB40+BZ40+BX40+BV40+BT40+BR40+BP40+BN40+BL40+BJ40+BH40)/12</f>
        <v>0</v>
      </c>
      <c r="CG40" s="15">
        <f t="shared" si="45"/>
        <v>0</v>
      </c>
      <c r="CH40" s="12"/>
      <c r="CI40" s="13">
        <f t="shared" si="46"/>
        <v>0</v>
      </c>
      <c r="CJ40" s="12"/>
      <c r="CK40" s="13">
        <f t="shared" si="47"/>
        <v>0</v>
      </c>
      <c r="CL40" s="12"/>
      <c r="CM40" s="13">
        <f>CL40*$E40</f>
        <v>0</v>
      </c>
      <c r="CN40" s="12"/>
      <c r="CO40" s="13">
        <f t="shared" si="49"/>
        <v>0</v>
      </c>
      <c r="CP40" s="12"/>
      <c r="CQ40" s="13">
        <f t="shared" si="50"/>
        <v>0</v>
      </c>
      <c r="CR40" s="12"/>
      <c r="CS40" s="13">
        <f t="shared" si="51"/>
        <v>0</v>
      </c>
      <c r="CT40" s="12"/>
      <c r="CU40" s="13">
        <f t="shared" si="52"/>
        <v>0</v>
      </c>
      <c r="CV40" s="12"/>
      <c r="CW40" s="13">
        <f t="shared" si="53"/>
        <v>0</v>
      </c>
      <c r="CX40" s="12"/>
      <c r="CY40" s="13">
        <f t="shared" si="54"/>
        <v>0</v>
      </c>
      <c r="CZ40" s="12"/>
      <c r="DA40" s="13">
        <f t="shared" si="55"/>
        <v>0</v>
      </c>
      <c r="DB40" s="12"/>
      <c r="DC40" s="13">
        <f t="shared" si="0"/>
        <v>0</v>
      </c>
      <c r="DD40" s="12"/>
      <c r="DE40" s="13">
        <f t="shared" si="0"/>
        <v>0</v>
      </c>
      <c r="DF40" s="64">
        <f t="shared" si="56"/>
        <v>0</v>
      </c>
      <c r="DG40" s="15">
        <f t="shared" si="57"/>
        <v>0</v>
      </c>
      <c r="DH40" s="12"/>
      <c r="DI40" s="13">
        <f t="shared" si="58"/>
        <v>0</v>
      </c>
      <c r="DJ40" s="12"/>
      <c r="DK40" s="13">
        <f t="shared" si="1"/>
        <v>0</v>
      </c>
      <c r="DL40" s="12"/>
      <c r="DM40" s="13">
        <f>DL40*$E40</f>
        <v>0</v>
      </c>
      <c r="DN40" s="12"/>
      <c r="DO40" s="13">
        <f t="shared" si="2"/>
        <v>0</v>
      </c>
      <c r="DP40" s="12"/>
      <c r="DQ40" s="13">
        <f t="shared" si="60"/>
        <v>0</v>
      </c>
      <c r="DR40" s="12"/>
      <c r="DS40" s="13">
        <f t="shared" si="61"/>
        <v>0</v>
      </c>
      <c r="DT40" s="12"/>
      <c r="DU40" s="13">
        <f t="shared" si="62"/>
        <v>0</v>
      </c>
      <c r="DV40" s="12"/>
      <c r="DW40" s="13">
        <f t="shared" si="63"/>
        <v>0</v>
      </c>
      <c r="DX40" s="12"/>
      <c r="DY40" s="13">
        <f t="shared" si="64"/>
        <v>0</v>
      </c>
      <c r="DZ40" s="12"/>
      <c r="EA40" s="13">
        <f t="shared" si="65"/>
        <v>0</v>
      </c>
      <c r="EB40" s="12"/>
      <c r="EC40" s="13">
        <f t="shared" si="66"/>
        <v>0</v>
      </c>
      <c r="ED40" s="12"/>
      <c r="EE40" s="13">
        <f t="shared" si="3"/>
        <v>0</v>
      </c>
      <c r="EF40" s="24">
        <f t="shared" si="67"/>
        <v>0</v>
      </c>
      <c r="EG40" s="13">
        <f t="shared" si="68"/>
        <v>0</v>
      </c>
    </row>
    <row r="41" spans="1:137" ht="18" customHeight="1" x14ac:dyDescent="0.5">
      <c r="A41" s="10">
        <v>34</v>
      </c>
      <c r="B41" s="11" t="s">
        <v>47</v>
      </c>
      <c r="C41" s="11" t="s">
        <v>14</v>
      </c>
      <c r="D41" s="10">
        <f t="shared" si="71"/>
        <v>1</v>
      </c>
      <c r="E41" s="10">
        <v>0.64</v>
      </c>
      <c r="F41" s="10" t="s">
        <v>25</v>
      </c>
      <c r="G41" s="10">
        <v>1450</v>
      </c>
      <c r="H41" s="12">
        <v>197988</v>
      </c>
      <c r="I41" s="13">
        <f t="shared" si="4"/>
        <v>126712.32000000001</v>
      </c>
      <c r="J41" s="12">
        <v>195006</v>
      </c>
      <c r="K41" s="13">
        <f t="shared" si="5"/>
        <v>124803.84</v>
      </c>
      <c r="L41" s="12">
        <v>228872</v>
      </c>
      <c r="M41" s="13">
        <f t="shared" si="6"/>
        <v>146478.08000000002</v>
      </c>
      <c r="N41" s="12">
        <v>204638</v>
      </c>
      <c r="O41" s="13">
        <f t="shared" si="7"/>
        <v>130968.32000000001</v>
      </c>
      <c r="P41" s="12">
        <v>258090</v>
      </c>
      <c r="Q41" s="13">
        <f t="shared" si="8"/>
        <v>165177.60000000001</v>
      </c>
      <c r="R41" s="12">
        <v>234402</v>
      </c>
      <c r="S41" s="13">
        <f t="shared" si="9"/>
        <v>150017.28</v>
      </c>
      <c r="T41" s="12">
        <v>201726</v>
      </c>
      <c r="U41" s="13">
        <f t="shared" si="10"/>
        <v>129104.64</v>
      </c>
      <c r="V41" s="12">
        <v>232624</v>
      </c>
      <c r="W41" s="13">
        <f t="shared" si="11"/>
        <v>148879.36000000002</v>
      </c>
      <c r="X41" s="12">
        <v>197246</v>
      </c>
      <c r="Y41" s="13">
        <f t="shared" si="12"/>
        <v>126237.44</v>
      </c>
      <c r="Z41" s="12">
        <v>167538</v>
      </c>
      <c r="AA41" s="13">
        <f t="shared" si="13"/>
        <v>107224.32000000001</v>
      </c>
      <c r="AB41" s="12">
        <v>166432</v>
      </c>
      <c r="AC41" s="13">
        <f t="shared" si="14"/>
        <v>106516.48</v>
      </c>
      <c r="AD41" s="12">
        <v>203588</v>
      </c>
      <c r="AE41" s="13">
        <f t="shared" si="15"/>
        <v>130296.32000000001</v>
      </c>
      <c r="AF41" s="14">
        <f t="shared" si="16"/>
        <v>207345.83333333334</v>
      </c>
      <c r="AG41" s="15">
        <f t="shared" si="17"/>
        <v>132701.33333333334</v>
      </c>
      <c r="AH41" s="16">
        <v>193046</v>
      </c>
      <c r="AI41" s="13">
        <f t="shared" si="18"/>
        <v>123549.44</v>
      </c>
      <c r="AJ41" s="17">
        <v>170534</v>
      </c>
      <c r="AK41" s="13">
        <f t="shared" si="19"/>
        <v>109141.76000000001</v>
      </c>
      <c r="AL41" s="17">
        <v>206766</v>
      </c>
      <c r="AM41" s="13">
        <f t="shared" si="20"/>
        <v>132330.23999999999</v>
      </c>
      <c r="AN41" s="18">
        <v>196672</v>
      </c>
      <c r="AO41" s="13">
        <f t="shared" si="21"/>
        <v>125870.08</v>
      </c>
      <c r="AP41" s="17">
        <v>207984</v>
      </c>
      <c r="AQ41" s="13">
        <f t="shared" si="22"/>
        <v>133109.76000000001</v>
      </c>
      <c r="AR41" s="17">
        <v>188433</v>
      </c>
      <c r="AS41" s="13">
        <f t="shared" si="23"/>
        <v>120597.12</v>
      </c>
      <c r="AT41" s="19">
        <v>204092</v>
      </c>
      <c r="AU41" s="13">
        <f t="shared" si="24"/>
        <v>130618.88</v>
      </c>
      <c r="AV41" s="17">
        <v>223622</v>
      </c>
      <c r="AW41" s="13">
        <f t="shared" si="25"/>
        <v>143118.08000000002</v>
      </c>
      <c r="AX41" s="17">
        <v>112728</v>
      </c>
      <c r="AY41" s="13">
        <f t="shared" si="26"/>
        <v>72145.919999999998</v>
      </c>
      <c r="AZ41" s="19">
        <v>134912</v>
      </c>
      <c r="BA41" s="13">
        <f t="shared" si="27"/>
        <v>86343.680000000008</v>
      </c>
      <c r="BB41" s="20">
        <v>153678</v>
      </c>
      <c r="BC41" s="13">
        <f t="shared" si="28"/>
        <v>98353.919999999998</v>
      </c>
      <c r="BD41" s="20">
        <v>171570</v>
      </c>
      <c r="BE41" s="13">
        <f t="shared" si="29"/>
        <v>109804.8</v>
      </c>
      <c r="BF41" s="14">
        <f t="shared" si="30"/>
        <v>180336.41666666666</v>
      </c>
      <c r="BG41" s="15">
        <f t="shared" si="31"/>
        <v>115415.30666666666</v>
      </c>
      <c r="BH41" s="58">
        <v>157346</v>
      </c>
      <c r="BI41" s="57">
        <f>BH41*$E41</f>
        <v>100701.44</v>
      </c>
      <c r="BJ41" s="58">
        <v>138684</v>
      </c>
      <c r="BK41" s="57">
        <f t="shared" si="33"/>
        <v>88757.759999999995</v>
      </c>
      <c r="BL41" s="58">
        <v>176428</v>
      </c>
      <c r="BM41" s="57">
        <f t="shared" si="34"/>
        <v>112913.92</v>
      </c>
      <c r="BN41" s="58">
        <v>172830</v>
      </c>
      <c r="BO41" s="57">
        <f t="shared" si="35"/>
        <v>110611.2</v>
      </c>
      <c r="BP41" s="58">
        <v>184324</v>
      </c>
      <c r="BQ41" s="57">
        <f t="shared" si="36"/>
        <v>117967.36</v>
      </c>
      <c r="BR41" s="21">
        <v>173068</v>
      </c>
      <c r="BS41" s="57">
        <f t="shared" si="37"/>
        <v>110763.52</v>
      </c>
      <c r="BT41" s="58">
        <v>155078</v>
      </c>
      <c r="BU41" s="57">
        <f t="shared" si="38"/>
        <v>99249.919999999998</v>
      </c>
      <c r="BV41" s="58">
        <v>193578</v>
      </c>
      <c r="BW41" s="57">
        <f>BV41*$E41</f>
        <v>123889.92</v>
      </c>
      <c r="BX41" s="58">
        <v>148946</v>
      </c>
      <c r="BY41" s="57">
        <f t="shared" si="40"/>
        <v>95325.440000000002</v>
      </c>
      <c r="BZ41" s="58">
        <v>163114</v>
      </c>
      <c r="CA41" s="57">
        <f t="shared" si="41"/>
        <v>104392.96000000001</v>
      </c>
      <c r="CB41" s="58">
        <v>118650</v>
      </c>
      <c r="CC41" s="57">
        <f t="shared" si="42"/>
        <v>75936</v>
      </c>
      <c r="CD41" s="58">
        <v>137214</v>
      </c>
      <c r="CE41" s="57">
        <f t="shared" si="43"/>
        <v>87816.960000000006</v>
      </c>
      <c r="CF41" s="14">
        <f>(CD41+CB41+BZ41+BX41+BV41+BT41+BR41+BP41+BN41+BL41+BJ41+BH41)/12</f>
        <v>159938.33333333334</v>
      </c>
      <c r="CG41" s="15">
        <f t="shared" si="45"/>
        <v>102360.53333333334</v>
      </c>
      <c r="CH41" s="12">
        <v>135310</v>
      </c>
      <c r="CI41" s="13">
        <f t="shared" si="46"/>
        <v>86598.400000000009</v>
      </c>
      <c r="CJ41" s="12">
        <v>139650</v>
      </c>
      <c r="CK41" s="13">
        <f t="shared" si="47"/>
        <v>89376</v>
      </c>
      <c r="CL41" s="12">
        <v>179326</v>
      </c>
      <c r="CM41" s="13">
        <f>CL41*$E41</f>
        <v>114768.64</v>
      </c>
      <c r="CN41" s="12">
        <v>134876</v>
      </c>
      <c r="CO41" s="13">
        <v>86320.639999999999</v>
      </c>
      <c r="CP41" s="12">
        <v>171486</v>
      </c>
      <c r="CQ41" s="13">
        <f t="shared" si="50"/>
        <v>109751.04000000001</v>
      </c>
      <c r="CR41" s="12">
        <v>165102</v>
      </c>
      <c r="CS41" s="13">
        <f t="shared" si="51"/>
        <v>105665.28</v>
      </c>
      <c r="CT41" s="12">
        <v>139048</v>
      </c>
      <c r="CU41" s="13">
        <f t="shared" si="52"/>
        <v>88990.720000000001</v>
      </c>
      <c r="CV41" s="12">
        <v>129962</v>
      </c>
      <c r="CW41" s="13">
        <f t="shared" si="53"/>
        <v>83175.680000000008</v>
      </c>
      <c r="CX41" s="12">
        <v>127554</v>
      </c>
      <c r="CY41" s="13">
        <f t="shared" si="54"/>
        <v>81634.559999999998</v>
      </c>
      <c r="CZ41" s="12">
        <v>135898</v>
      </c>
      <c r="DA41" s="13">
        <f t="shared" si="55"/>
        <v>86974.720000000001</v>
      </c>
      <c r="DB41" s="12">
        <v>107828</v>
      </c>
      <c r="DC41" s="13">
        <f t="shared" si="0"/>
        <v>69009.919999999998</v>
      </c>
      <c r="DD41" s="12">
        <v>115878</v>
      </c>
      <c r="DE41" s="13">
        <f t="shared" si="0"/>
        <v>74161.919999999998</v>
      </c>
      <c r="DF41" s="64">
        <f t="shared" si="56"/>
        <v>1681918</v>
      </c>
      <c r="DG41" s="15">
        <f t="shared" si="57"/>
        <v>1076427.52</v>
      </c>
      <c r="DH41" s="12">
        <v>114394</v>
      </c>
      <c r="DI41" s="13">
        <f t="shared" si="58"/>
        <v>73212.160000000003</v>
      </c>
      <c r="DJ41" s="12">
        <v>112644</v>
      </c>
      <c r="DK41" s="13">
        <f t="shared" si="1"/>
        <v>72092.160000000003</v>
      </c>
      <c r="DL41" s="12">
        <v>71918</v>
      </c>
      <c r="DM41" s="13">
        <f>DL41*$E41</f>
        <v>46027.520000000004</v>
      </c>
      <c r="DN41" s="12"/>
      <c r="DO41" s="13">
        <f t="shared" si="2"/>
        <v>0</v>
      </c>
      <c r="DP41" s="12"/>
      <c r="DQ41" s="13">
        <f t="shared" si="60"/>
        <v>0</v>
      </c>
      <c r="DR41" s="12"/>
      <c r="DS41" s="13">
        <f t="shared" si="61"/>
        <v>0</v>
      </c>
      <c r="DT41" s="12"/>
      <c r="DU41" s="13">
        <f t="shared" si="62"/>
        <v>0</v>
      </c>
      <c r="DV41" s="12"/>
      <c r="DW41" s="13">
        <f t="shared" si="63"/>
        <v>0</v>
      </c>
      <c r="DX41" s="12"/>
      <c r="DY41" s="13">
        <f t="shared" si="64"/>
        <v>0</v>
      </c>
      <c r="DZ41" s="12"/>
      <c r="EA41" s="13">
        <f t="shared" si="65"/>
        <v>0</v>
      </c>
      <c r="EB41" s="12"/>
      <c r="EC41" s="13">
        <f t="shared" si="66"/>
        <v>0</v>
      </c>
      <c r="ED41" s="12"/>
      <c r="EE41" s="13">
        <f t="shared" si="3"/>
        <v>0</v>
      </c>
      <c r="EF41" s="24">
        <f t="shared" si="67"/>
        <v>298956</v>
      </c>
      <c r="EG41" s="13">
        <f t="shared" si="68"/>
        <v>191331.84</v>
      </c>
    </row>
    <row r="42" spans="1:137" ht="18" customHeight="1" x14ac:dyDescent="0.5">
      <c r="A42" s="10">
        <v>35</v>
      </c>
      <c r="B42" s="11" t="s">
        <v>47</v>
      </c>
      <c r="C42" s="11" t="s">
        <v>14</v>
      </c>
      <c r="D42" s="10">
        <f t="shared" si="71"/>
        <v>10</v>
      </c>
      <c r="E42" s="10">
        <v>0.64</v>
      </c>
      <c r="F42" s="10" t="s">
        <v>23</v>
      </c>
      <c r="G42" s="10">
        <v>1450</v>
      </c>
      <c r="H42" s="12">
        <v>1800</v>
      </c>
      <c r="I42" s="13">
        <f t="shared" si="4"/>
        <v>1152</v>
      </c>
      <c r="J42" s="12">
        <v>1800</v>
      </c>
      <c r="K42" s="13">
        <f t="shared" si="5"/>
        <v>1152</v>
      </c>
      <c r="L42" s="12">
        <v>2520</v>
      </c>
      <c r="M42" s="13">
        <f t="shared" si="6"/>
        <v>1612.8</v>
      </c>
      <c r="N42" s="12">
        <v>1464</v>
      </c>
      <c r="O42" s="13">
        <f t="shared" si="7"/>
        <v>936.96</v>
      </c>
      <c r="P42" s="12">
        <v>3120</v>
      </c>
      <c r="Q42" s="13">
        <f t="shared" si="8"/>
        <v>1996.8</v>
      </c>
      <c r="R42" s="12">
        <v>2400</v>
      </c>
      <c r="S42" s="13">
        <f t="shared" si="9"/>
        <v>1536</v>
      </c>
      <c r="T42" s="12">
        <v>2640</v>
      </c>
      <c r="U42" s="13">
        <f t="shared" si="10"/>
        <v>1689.6000000000001</v>
      </c>
      <c r="V42" s="12">
        <v>4320</v>
      </c>
      <c r="W42" s="13">
        <f t="shared" si="11"/>
        <v>2764.8</v>
      </c>
      <c r="X42" s="12">
        <v>3600</v>
      </c>
      <c r="Y42" s="13">
        <f t="shared" si="12"/>
        <v>2304</v>
      </c>
      <c r="Z42" s="12">
        <v>720</v>
      </c>
      <c r="AA42" s="13">
        <f t="shared" si="13"/>
        <v>460.8</v>
      </c>
      <c r="AB42" s="12">
        <v>3000</v>
      </c>
      <c r="AC42" s="13">
        <f t="shared" si="14"/>
        <v>1920</v>
      </c>
      <c r="AD42" s="12">
        <v>1920</v>
      </c>
      <c r="AE42" s="13">
        <f t="shared" si="15"/>
        <v>1228.8</v>
      </c>
      <c r="AF42" s="14">
        <f t="shared" si="16"/>
        <v>2442</v>
      </c>
      <c r="AG42" s="15">
        <f t="shared" si="17"/>
        <v>1562.88</v>
      </c>
      <c r="AH42" s="16">
        <v>2160</v>
      </c>
      <c r="AI42" s="13">
        <f t="shared" si="18"/>
        <v>1382.4</v>
      </c>
      <c r="AJ42" s="17">
        <v>2160</v>
      </c>
      <c r="AK42" s="13">
        <f t="shared" si="19"/>
        <v>1382.4</v>
      </c>
      <c r="AL42" s="17">
        <v>3120</v>
      </c>
      <c r="AM42" s="13">
        <f t="shared" si="20"/>
        <v>1996.8</v>
      </c>
      <c r="AN42" s="18">
        <v>720</v>
      </c>
      <c r="AO42" s="13">
        <f t="shared" si="21"/>
        <v>460.8</v>
      </c>
      <c r="AP42" s="17"/>
      <c r="AQ42" s="13">
        <f t="shared" si="22"/>
        <v>0</v>
      </c>
      <c r="AR42" s="17">
        <v>1680</v>
      </c>
      <c r="AS42" s="13">
        <f t="shared" si="23"/>
        <v>1075.2</v>
      </c>
      <c r="AT42" s="19"/>
      <c r="AU42" s="13">
        <f t="shared" si="24"/>
        <v>0</v>
      </c>
      <c r="AV42" s="17">
        <v>720</v>
      </c>
      <c r="AW42" s="13">
        <f t="shared" si="25"/>
        <v>460.8</v>
      </c>
      <c r="AX42" s="17"/>
      <c r="AY42" s="13">
        <f t="shared" si="26"/>
        <v>0</v>
      </c>
      <c r="AZ42" s="19">
        <v>1560</v>
      </c>
      <c r="BA42" s="13">
        <f t="shared" si="27"/>
        <v>998.4</v>
      </c>
      <c r="BB42" s="20">
        <v>480</v>
      </c>
      <c r="BC42" s="13">
        <f t="shared" si="28"/>
        <v>307.2</v>
      </c>
      <c r="BD42" s="20">
        <v>1320</v>
      </c>
      <c r="BE42" s="13">
        <f t="shared" si="29"/>
        <v>844.80000000000007</v>
      </c>
      <c r="BF42" s="14">
        <f t="shared" si="30"/>
        <v>1160</v>
      </c>
      <c r="BG42" s="15">
        <f t="shared" si="31"/>
        <v>742.4</v>
      </c>
      <c r="BH42" s="23">
        <v>1200</v>
      </c>
      <c r="BI42" s="57">
        <f t="shared" si="32"/>
        <v>768</v>
      </c>
      <c r="BJ42" s="23">
        <v>720</v>
      </c>
      <c r="BK42" s="57">
        <f t="shared" si="33"/>
        <v>460.8</v>
      </c>
      <c r="BL42" s="23">
        <v>960</v>
      </c>
      <c r="BM42" s="57">
        <f t="shared" si="34"/>
        <v>614.4</v>
      </c>
      <c r="BN42" s="23">
        <v>720</v>
      </c>
      <c r="BO42" s="57">
        <f t="shared" si="35"/>
        <v>460.8</v>
      </c>
      <c r="BP42" s="23">
        <v>1920</v>
      </c>
      <c r="BQ42" s="57">
        <f t="shared" si="36"/>
        <v>1228.8</v>
      </c>
      <c r="BR42" s="21"/>
      <c r="BS42" s="57">
        <f t="shared" si="37"/>
        <v>0</v>
      </c>
      <c r="BT42" s="58">
        <v>1200</v>
      </c>
      <c r="BU42" s="57">
        <f t="shared" si="38"/>
        <v>768</v>
      </c>
      <c r="BV42" s="58"/>
      <c r="BW42" s="57">
        <f t="shared" si="39"/>
        <v>0</v>
      </c>
      <c r="BX42" s="58">
        <v>2160</v>
      </c>
      <c r="BY42" s="57">
        <f t="shared" si="40"/>
        <v>1382.4</v>
      </c>
      <c r="BZ42" s="58">
        <v>480</v>
      </c>
      <c r="CA42" s="57">
        <f t="shared" si="41"/>
        <v>307.2</v>
      </c>
      <c r="CB42" s="23">
        <v>2400</v>
      </c>
      <c r="CC42" s="57">
        <f t="shared" si="42"/>
        <v>1536</v>
      </c>
      <c r="CD42" s="23">
        <v>1200</v>
      </c>
      <c r="CE42" s="57">
        <f t="shared" si="43"/>
        <v>768</v>
      </c>
      <c r="CF42" s="14">
        <f t="shared" si="44"/>
        <v>1080</v>
      </c>
      <c r="CG42" s="15">
        <f t="shared" si="45"/>
        <v>691.2</v>
      </c>
      <c r="CH42" s="12">
        <v>2400</v>
      </c>
      <c r="CI42" s="13">
        <f t="shared" si="46"/>
        <v>1536</v>
      </c>
      <c r="CJ42" s="12"/>
      <c r="CK42" s="13">
        <f t="shared" si="47"/>
        <v>0</v>
      </c>
      <c r="CL42" s="12">
        <v>2880</v>
      </c>
      <c r="CM42" s="13">
        <f t="shared" si="48"/>
        <v>1843.2</v>
      </c>
      <c r="CN42" s="12"/>
      <c r="CO42" s="13">
        <f t="shared" si="49"/>
        <v>0</v>
      </c>
      <c r="CP42" s="12"/>
      <c r="CQ42" s="13">
        <f t="shared" si="50"/>
        <v>0</v>
      </c>
      <c r="CR42" s="12"/>
      <c r="CS42" s="13">
        <f t="shared" si="51"/>
        <v>0</v>
      </c>
      <c r="CT42" s="12"/>
      <c r="CU42" s="13">
        <f t="shared" si="52"/>
        <v>0</v>
      </c>
      <c r="CV42" s="12"/>
      <c r="CW42" s="13">
        <f t="shared" si="53"/>
        <v>0</v>
      </c>
      <c r="CX42" s="12"/>
      <c r="CY42" s="13">
        <f t="shared" si="54"/>
        <v>0</v>
      </c>
      <c r="CZ42" s="12">
        <v>1200</v>
      </c>
      <c r="DA42" s="13">
        <f t="shared" si="55"/>
        <v>768</v>
      </c>
      <c r="DB42" s="12">
        <v>720</v>
      </c>
      <c r="DC42" s="13">
        <f t="shared" si="0"/>
        <v>460.8</v>
      </c>
      <c r="DD42" s="12">
        <v>1440</v>
      </c>
      <c r="DE42" s="13">
        <f t="shared" si="0"/>
        <v>921.6</v>
      </c>
      <c r="DF42" s="64">
        <f t="shared" si="56"/>
        <v>8640</v>
      </c>
      <c r="DG42" s="15">
        <f t="shared" si="57"/>
        <v>5529.6</v>
      </c>
      <c r="DH42" s="12"/>
      <c r="DI42" s="13">
        <f t="shared" si="58"/>
        <v>0</v>
      </c>
      <c r="DJ42" s="12">
        <v>720</v>
      </c>
      <c r="DK42" s="13">
        <f t="shared" si="1"/>
        <v>460.8</v>
      </c>
      <c r="DL42" s="12">
        <v>696</v>
      </c>
      <c r="DM42" s="13">
        <f t="shared" ref="DM42:DM105" si="72">DL42*$E42</f>
        <v>445.44</v>
      </c>
      <c r="DN42" s="12"/>
      <c r="DO42" s="13">
        <f t="shared" si="2"/>
        <v>0</v>
      </c>
      <c r="DP42" s="12"/>
      <c r="DQ42" s="13">
        <f t="shared" si="60"/>
        <v>0</v>
      </c>
      <c r="DR42" s="12"/>
      <c r="DS42" s="13">
        <f t="shared" si="61"/>
        <v>0</v>
      </c>
      <c r="DT42" s="12"/>
      <c r="DU42" s="13">
        <f t="shared" si="62"/>
        <v>0</v>
      </c>
      <c r="DV42" s="12"/>
      <c r="DW42" s="13">
        <f t="shared" si="63"/>
        <v>0</v>
      </c>
      <c r="DX42" s="12"/>
      <c r="DY42" s="13">
        <f t="shared" si="64"/>
        <v>0</v>
      </c>
      <c r="DZ42" s="12"/>
      <c r="EA42" s="13">
        <f t="shared" si="65"/>
        <v>0</v>
      </c>
      <c r="EB42" s="12"/>
      <c r="EC42" s="13">
        <f t="shared" si="66"/>
        <v>0</v>
      </c>
      <c r="ED42" s="12"/>
      <c r="EE42" s="13">
        <f t="shared" si="3"/>
        <v>0</v>
      </c>
      <c r="EF42" s="24">
        <f t="shared" si="67"/>
        <v>1416</v>
      </c>
      <c r="EG42" s="13">
        <f t="shared" si="68"/>
        <v>906.24</v>
      </c>
    </row>
    <row r="43" spans="1:137" ht="18" customHeight="1" x14ac:dyDescent="0.5">
      <c r="A43" s="10">
        <v>36</v>
      </c>
      <c r="B43" s="11" t="s">
        <v>50</v>
      </c>
      <c r="C43" s="11" t="s">
        <v>14</v>
      </c>
      <c r="D43" s="10">
        <f t="shared" si="71"/>
        <v>21</v>
      </c>
      <c r="E43" s="10">
        <v>0.68</v>
      </c>
      <c r="F43" s="10" t="s">
        <v>25</v>
      </c>
      <c r="G43" s="10"/>
      <c r="H43" s="12"/>
      <c r="I43" s="13">
        <f t="shared" si="4"/>
        <v>0</v>
      </c>
      <c r="J43" s="12"/>
      <c r="K43" s="13">
        <f t="shared" si="5"/>
        <v>0</v>
      </c>
      <c r="L43" s="12"/>
      <c r="M43" s="13">
        <f t="shared" si="6"/>
        <v>0</v>
      </c>
      <c r="N43" s="12"/>
      <c r="O43" s="13">
        <f t="shared" si="7"/>
        <v>0</v>
      </c>
      <c r="P43" s="12"/>
      <c r="Q43" s="13">
        <f t="shared" si="8"/>
        <v>0</v>
      </c>
      <c r="R43" s="12"/>
      <c r="S43" s="13">
        <f t="shared" si="9"/>
        <v>0</v>
      </c>
      <c r="T43" s="12"/>
      <c r="U43" s="13">
        <f t="shared" si="10"/>
        <v>0</v>
      </c>
      <c r="V43" s="12"/>
      <c r="W43" s="13">
        <f t="shared" si="11"/>
        <v>0</v>
      </c>
      <c r="X43" s="12"/>
      <c r="Y43" s="13">
        <f t="shared" si="12"/>
        <v>0</v>
      </c>
      <c r="Z43" s="12"/>
      <c r="AA43" s="13">
        <f t="shared" si="13"/>
        <v>0</v>
      </c>
      <c r="AB43" s="12"/>
      <c r="AC43" s="13">
        <f t="shared" si="14"/>
        <v>0</v>
      </c>
      <c r="AD43" s="12"/>
      <c r="AE43" s="13">
        <f t="shared" si="15"/>
        <v>0</v>
      </c>
      <c r="AF43" s="14">
        <f t="shared" si="16"/>
        <v>0</v>
      </c>
      <c r="AG43" s="15">
        <f t="shared" si="17"/>
        <v>0</v>
      </c>
      <c r="AH43" s="16"/>
      <c r="AI43" s="13">
        <f t="shared" si="18"/>
        <v>0</v>
      </c>
      <c r="AJ43" s="17"/>
      <c r="AK43" s="13">
        <f t="shared" si="19"/>
        <v>0</v>
      </c>
      <c r="AL43" s="17"/>
      <c r="AM43" s="13">
        <f t="shared" si="20"/>
        <v>0</v>
      </c>
      <c r="AN43" s="18"/>
      <c r="AO43" s="13">
        <f t="shared" si="21"/>
        <v>0</v>
      </c>
      <c r="AP43" s="17"/>
      <c r="AQ43" s="13">
        <f t="shared" si="22"/>
        <v>0</v>
      </c>
      <c r="AR43" s="17"/>
      <c r="AS43" s="13">
        <f t="shared" si="23"/>
        <v>0</v>
      </c>
      <c r="AT43" s="19"/>
      <c r="AU43" s="13">
        <f t="shared" si="24"/>
        <v>0</v>
      </c>
      <c r="AV43" s="17"/>
      <c r="AW43" s="13">
        <f t="shared" si="25"/>
        <v>0</v>
      </c>
      <c r="AX43" s="17"/>
      <c r="AY43" s="13">
        <f t="shared" si="26"/>
        <v>0</v>
      </c>
      <c r="AZ43" s="19"/>
      <c r="BA43" s="13">
        <f t="shared" si="27"/>
        <v>0</v>
      </c>
      <c r="BB43" s="20"/>
      <c r="BC43" s="13">
        <f t="shared" si="28"/>
        <v>0</v>
      </c>
      <c r="BD43" s="20"/>
      <c r="BE43" s="13">
        <f t="shared" si="29"/>
        <v>0</v>
      </c>
      <c r="BF43" s="14">
        <f t="shared" si="30"/>
        <v>0</v>
      </c>
      <c r="BG43" s="15">
        <f t="shared" si="31"/>
        <v>0</v>
      </c>
      <c r="BH43" s="18"/>
      <c r="BI43" s="57">
        <f t="shared" si="32"/>
        <v>0</v>
      </c>
      <c r="BJ43" s="18"/>
      <c r="BK43" s="57">
        <f t="shared" si="33"/>
        <v>0</v>
      </c>
      <c r="BL43" s="18"/>
      <c r="BM43" s="57">
        <f t="shared" si="34"/>
        <v>0</v>
      </c>
      <c r="BN43" s="18"/>
      <c r="BO43" s="57">
        <f t="shared" si="35"/>
        <v>0</v>
      </c>
      <c r="BP43" s="18"/>
      <c r="BQ43" s="57">
        <f t="shared" si="36"/>
        <v>0</v>
      </c>
      <c r="BR43" s="18"/>
      <c r="BS43" s="57">
        <f t="shared" si="37"/>
        <v>0</v>
      </c>
      <c r="BT43" s="18"/>
      <c r="BU43" s="57">
        <f t="shared" si="38"/>
        <v>0</v>
      </c>
      <c r="BV43" s="18"/>
      <c r="BW43" s="57">
        <f t="shared" si="39"/>
        <v>0</v>
      </c>
      <c r="BX43" s="18"/>
      <c r="BY43" s="57">
        <f t="shared" si="40"/>
        <v>0</v>
      </c>
      <c r="BZ43" s="18"/>
      <c r="CA43" s="57">
        <f t="shared" si="41"/>
        <v>0</v>
      </c>
      <c r="CB43" s="18"/>
      <c r="CC43" s="57">
        <f t="shared" si="42"/>
        <v>0</v>
      </c>
      <c r="CD43" s="18"/>
      <c r="CE43" s="57">
        <f t="shared" si="43"/>
        <v>0</v>
      </c>
      <c r="CF43" s="14">
        <f t="shared" si="44"/>
        <v>0</v>
      </c>
      <c r="CG43" s="15">
        <f t="shared" si="45"/>
        <v>0</v>
      </c>
      <c r="CH43" s="12"/>
      <c r="CI43" s="13">
        <f t="shared" si="46"/>
        <v>0</v>
      </c>
      <c r="CJ43" s="12"/>
      <c r="CK43" s="13">
        <f t="shared" si="47"/>
        <v>0</v>
      </c>
      <c r="CL43" s="12"/>
      <c r="CM43" s="13">
        <f t="shared" si="48"/>
        <v>0</v>
      </c>
      <c r="CN43" s="12"/>
      <c r="CO43" s="13">
        <f t="shared" si="49"/>
        <v>0</v>
      </c>
      <c r="CP43" s="12"/>
      <c r="CQ43" s="13">
        <f t="shared" si="50"/>
        <v>0</v>
      </c>
      <c r="CR43" s="12"/>
      <c r="CS43" s="13">
        <f t="shared" si="51"/>
        <v>0</v>
      </c>
      <c r="CT43" s="12"/>
      <c r="CU43" s="13">
        <f t="shared" si="52"/>
        <v>0</v>
      </c>
      <c r="CV43" s="12"/>
      <c r="CW43" s="13">
        <f t="shared" si="53"/>
        <v>0</v>
      </c>
      <c r="CX43" s="12"/>
      <c r="CY43" s="13">
        <f t="shared" si="54"/>
        <v>0</v>
      </c>
      <c r="CZ43" s="12"/>
      <c r="DA43" s="13">
        <f t="shared" si="55"/>
        <v>0</v>
      </c>
      <c r="DB43" s="12"/>
      <c r="DC43" s="13">
        <f t="shared" si="0"/>
        <v>0</v>
      </c>
      <c r="DD43" s="12"/>
      <c r="DE43" s="13">
        <f t="shared" si="0"/>
        <v>0</v>
      </c>
      <c r="DF43" s="64">
        <f t="shared" si="56"/>
        <v>0</v>
      </c>
      <c r="DG43" s="15">
        <f t="shared" si="57"/>
        <v>0</v>
      </c>
      <c r="DH43" s="12"/>
      <c r="DI43" s="13">
        <f t="shared" si="58"/>
        <v>0</v>
      </c>
      <c r="DJ43" s="12"/>
      <c r="DK43" s="13">
        <f t="shared" si="1"/>
        <v>0</v>
      </c>
      <c r="DL43" s="12"/>
      <c r="DM43" s="13">
        <f t="shared" si="72"/>
        <v>0</v>
      </c>
      <c r="DN43" s="12"/>
      <c r="DO43" s="13">
        <f t="shared" si="2"/>
        <v>0</v>
      </c>
      <c r="DP43" s="12"/>
      <c r="DQ43" s="13">
        <f t="shared" si="60"/>
        <v>0</v>
      </c>
      <c r="DR43" s="12"/>
      <c r="DS43" s="13">
        <f t="shared" si="61"/>
        <v>0</v>
      </c>
      <c r="DT43" s="12"/>
      <c r="DU43" s="13">
        <f t="shared" si="62"/>
        <v>0</v>
      </c>
      <c r="DV43" s="12"/>
      <c r="DW43" s="13">
        <f t="shared" si="63"/>
        <v>0</v>
      </c>
      <c r="DX43" s="12"/>
      <c r="DY43" s="13">
        <f t="shared" si="64"/>
        <v>0</v>
      </c>
      <c r="DZ43" s="12"/>
      <c r="EA43" s="13">
        <f t="shared" si="65"/>
        <v>0</v>
      </c>
      <c r="EB43" s="12"/>
      <c r="EC43" s="13">
        <f t="shared" si="66"/>
        <v>0</v>
      </c>
      <c r="ED43" s="12"/>
      <c r="EE43" s="13">
        <f t="shared" si="3"/>
        <v>0</v>
      </c>
      <c r="EF43" s="24">
        <f t="shared" si="67"/>
        <v>0</v>
      </c>
      <c r="EG43" s="13">
        <f t="shared" si="68"/>
        <v>0</v>
      </c>
    </row>
    <row r="44" spans="1:137" ht="18" customHeight="1" x14ac:dyDescent="0.5">
      <c r="A44" s="10">
        <v>37</v>
      </c>
      <c r="B44" s="11" t="s">
        <v>50</v>
      </c>
      <c r="C44" s="11" t="s">
        <v>14</v>
      </c>
      <c r="D44" s="10">
        <f t="shared" si="71"/>
        <v>5</v>
      </c>
      <c r="E44" s="10">
        <v>0.64</v>
      </c>
      <c r="F44" s="10" t="s">
        <v>25</v>
      </c>
      <c r="G44" s="10">
        <v>1900</v>
      </c>
      <c r="H44" s="12">
        <v>10962</v>
      </c>
      <c r="I44" s="13">
        <f t="shared" si="4"/>
        <v>7015.68</v>
      </c>
      <c r="J44" s="12">
        <v>9142</v>
      </c>
      <c r="K44" s="13">
        <f t="shared" si="5"/>
        <v>5850.88</v>
      </c>
      <c r="L44" s="12">
        <v>14070</v>
      </c>
      <c r="M44" s="13">
        <f t="shared" si="6"/>
        <v>9004.8000000000011</v>
      </c>
      <c r="N44" s="12">
        <v>11732</v>
      </c>
      <c r="O44" s="13">
        <f t="shared" si="7"/>
        <v>7508.4800000000005</v>
      </c>
      <c r="P44" s="12">
        <v>11284</v>
      </c>
      <c r="Q44" s="13">
        <f t="shared" si="8"/>
        <v>7221.76</v>
      </c>
      <c r="R44" s="12">
        <v>10640</v>
      </c>
      <c r="S44" s="13">
        <f t="shared" si="9"/>
        <v>6809.6</v>
      </c>
      <c r="T44" s="12">
        <v>12838</v>
      </c>
      <c r="U44" s="13">
        <f t="shared" si="10"/>
        <v>8216.32</v>
      </c>
      <c r="V44" s="12">
        <v>10766</v>
      </c>
      <c r="W44" s="13">
        <f t="shared" si="11"/>
        <v>6890.24</v>
      </c>
      <c r="X44" s="12">
        <v>11592</v>
      </c>
      <c r="Y44" s="13">
        <f t="shared" si="12"/>
        <v>7418.88</v>
      </c>
      <c r="Z44" s="12">
        <v>8932</v>
      </c>
      <c r="AA44" s="13">
        <f t="shared" si="13"/>
        <v>5716.4800000000005</v>
      </c>
      <c r="AB44" s="12">
        <v>10906</v>
      </c>
      <c r="AC44" s="13">
        <f t="shared" si="14"/>
        <v>6979.84</v>
      </c>
      <c r="AD44" s="12">
        <v>10878</v>
      </c>
      <c r="AE44" s="13">
        <f t="shared" si="15"/>
        <v>6961.92</v>
      </c>
      <c r="AF44" s="14">
        <f t="shared" si="16"/>
        <v>11145.166666666666</v>
      </c>
      <c r="AG44" s="15">
        <f t="shared" si="17"/>
        <v>7132.9066666666668</v>
      </c>
      <c r="AH44" s="16">
        <v>12544</v>
      </c>
      <c r="AI44" s="13">
        <f t="shared" si="18"/>
        <v>8028.16</v>
      </c>
      <c r="AJ44" s="17">
        <v>11606</v>
      </c>
      <c r="AK44" s="13">
        <f t="shared" si="19"/>
        <v>7427.84</v>
      </c>
      <c r="AL44" s="17">
        <v>10738</v>
      </c>
      <c r="AM44" s="13">
        <f t="shared" si="20"/>
        <v>6872.32</v>
      </c>
      <c r="AN44" s="18">
        <v>12502</v>
      </c>
      <c r="AO44" s="13">
        <f t="shared" si="21"/>
        <v>8001.28</v>
      </c>
      <c r="AP44" s="17">
        <v>10906</v>
      </c>
      <c r="AQ44" s="13">
        <f t="shared" si="22"/>
        <v>6979.84</v>
      </c>
      <c r="AR44" s="17">
        <v>11970</v>
      </c>
      <c r="AS44" s="13">
        <f t="shared" si="23"/>
        <v>7660.8</v>
      </c>
      <c r="AT44" s="19">
        <v>11956</v>
      </c>
      <c r="AU44" s="13">
        <f t="shared" si="24"/>
        <v>7651.84</v>
      </c>
      <c r="AV44" s="17">
        <v>13230</v>
      </c>
      <c r="AW44" s="13">
        <f t="shared" si="25"/>
        <v>8467.2000000000007</v>
      </c>
      <c r="AX44" s="17">
        <v>7238</v>
      </c>
      <c r="AY44" s="13">
        <f t="shared" si="26"/>
        <v>4632.32</v>
      </c>
      <c r="AZ44" s="19">
        <v>8988</v>
      </c>
      <c r="BA44" s="13">
        <f t="shared" si="27"/>
        <v>5752.32</v>
      </c>
      <c r="BB44" s="20">
        <v>8456</v>
      </c>
      <c r="BC44" s="13">
        <f t="shared" si="28"/>
        <v>5411.84</v>
      </c>
      <c r="BD44" s="20">
        <v>9730</v>
      </c>
      <c r="BE44" s="13">
        <f t="shared" si="29"/>
        <v>6227.2</v>
      </c>
      <c r="BF44" s="14">
        <f t="shared" si="30"/>
        <v>10822</v>
      </c>
      <c r="BG44" s="15">
        <f t="shared" si="31"/>
        <v>6926.08</v>
      </c>
      <c r="BH44" s="23">
        <v>11410</v>
      </c>
      <c r="BI44" s="57">
        <f t="shared" si="32"/>
        <v>7302.4000000000005</v>
      </c>
      <c r="BJ44" s="23">
        <v>12726</v>
      </c>
      <c r="BK44" s="57">
        <f t="shared" si="33"/>
        <v>8144.64</v>
      </c>
      <c r="BL44" s="23">
        <v>9450</v>
      </c>
      <c r="BM44" s="57">
        <f t="shared" si="34"/>
        <v>6048</v>
      </c>
      <c r="BN44" s="23">
        <v>11620</v>
      </c>
      <c r="BO44" s="57">
        <f t="shared" si="35"/>
        <v>7436.8</v>
      </c>
      <c r="BP44" s="23">
        <v>14826</v>
      </c>
      <c r="BQ44" s="57">
        <f t="shared" si="36"/>
        <v>9488.64</v>
      </c>
      <c r="BR44" s="21">
        <v>12180</v>
      </c>
      <c r="BS44" s="57">
        <f t="shared" si="37"/>
        <v>7795.2</v>
      </c>
      <c r="BT44" s="58">
        <v>14840</v>
      </c>
      <c r="BU44" s="57">
        <f t="shared" si="38"/>
        <v>9497.6</v>
      </c>
      <c r="BV44" s="58">
        <v>11410</v>
      </c>
      <c r="BW44" s="57">
        <f t="shared" si="39"/>
        <v>7302.4000000000005</v>
      </c>
      <c r="BX44" s="58">
        <v>10150</v>
      </c>
      <c r="BY44" s="57">
        <f t="shared" si="40"/>
        <v>6496</v>
      </c>
      <c r="BZ44" s="58">
        <v>10500</v>
      </c>
      <c r="CA44" s="57">
        <f t="shared" si="41"/>
        <v>6720</v>
      </c>
      <c r="CB44" s="58">
        <v>12040</v>
      </c>
      <c r="CC44" s="57">
        <f t="shared" si="42"/>
        <v>7705.6</v>
      </c>
      <c r="CD44" s="58">
        <v>14070</v>
      </c>
      <c r="CE44" s="57">
        <f t="shared" si="43"/>
        <v>9004.8000000000011</v>
      </c>
      <c r="CF44" s="14">
        <f t="shared" si="44"/>
        <v>12101.833333333334</v>
      </c>
      <c r="CG44" s="15">
        <f t="shared" si="45"/>
        <v>7745.1733333333341</v>
      </c>
      <c r="CH44" s="12">
        <v>11480</v>
      </c>
      <c r="CI44" s="13">
        <f t="shared" si="46"/>
        <v>7347.2</v>
      </c>
      <c r="CJ44" s="12">
        <v>14070</v>
      </c>
      <c r="CK44" s="13">
        <f t="shared" si="47"/>
        <v>9004.8000000000011</v>
      </c>
      <c r="CL44" s="12">
        <v>18662</v>
      </c>
      <c r="CM44" s="13">
        <f t="shared" si="48"/>
        <v>11943.68</v>
      </c>
      <c r="CN44" s="12">
        <v>10780</v>
      </c>
      <c r="CO44" s="13">
        <v>6899.2</v>
      </c>
      <c r="CP44" s="12">
        <v>17850</v>
      </c>
      <c r="CQ44" s="13">
        <f t="shared" si="50"/>
        <v>11424</v>
      </c>
      <c r="CR44" s="12">
        <v>14714</v>
      </c>
      <c r="CS44" s="13">
        <f t="shared" si="51"/>
        <v>9416.9600000000009</v>
      </c>
      <c r="CT44" s="12">
        <v>15890</v>
      </c>
      <c r="CU44" s="13">
        <f t="shared" si="52"/>
        <v>10169.6</v>
      </c>
      <c r="CV44" s="12">
        <v>12670</v>
      </c>
      <c r="CW44" s="13">
        <f t="shared" si="53"/>
        <v>8108.8</v>
      </c>
      <c r="CX44" s="12">
        <v>15442</v>
      </c>
      <c r="CY44" s="13">
        <f t="shared" si="54"/>
        <v>9882.880000000001</v>
      </c>
      <c r="CZ44" s="12">
        <v>14212</v>
      </c>
      <c r="DA44" s="13">
        <f t="shared" si="55"/>
        <v>9095.68</v>
      </c>
      <c r="DB44" s="12">
        <v>17220</v>
      </c>
      <c r="DC44" s="13">
        <f t="shared" si="0"/>
        <v>11020.800000000001</v>
      </c>
      <c r="DD44" s="12">
        <v>19166</v>
      </c>
      <c r="DE44" s="13">
        <f t="shared" si="0"/>
        <v>12266.24</v>
      </c>
      <c r="DF44" s="64">
        <f t="shared" si="56"/>
        <v>182156</v>
      </c>
      <c r="DG44" s="15">
        <f t="shared" si="57"/>
        <v>116579.84</v>
      </c>
      <c r="DH44" s="12">
        <v>16534</v>
      </c>
      <c r="DI44" s="13">
        <f t="shared" si="58"/>
        <v>10581.76</v>
      </c>
      <c r="DJ44" s="12">
        <v>14210</v>
      </c>
      <c r="DK44" s="13">
        <f t="shared" si="1"/>
        <v>9094.4</v>
      </c>
      <c r="DL44" s="12">
        <v>9870</v>
      </c>
      <c r="DM44" s="13">
        <f t="shared" si="72"/>
        <v>6316.8</v>
      </c>
      <c r="DN44" s="12"/>
      <c r="DO44" s="13">
        <f t="shared" si="2"/>
        <v>0</v>
      </c>
      <c r="DP44" s="12"/>
      <c r="DQ44" s="13">
        <f t="shared" si="60"/>
        <v>0</v>
      </c>
      <c r="DR44" s="12"/>
      <c r="DS44" s="13">
        <f t="shared" si="61"/>
        <v>0</v>
      </c>
      <c r="DT44" s="12"/>
      <c r="DU44" s="13">
        <f t="shared" si="62"/>
        <v>0</v>
      </c>
      <c r="DV44" s="12"/>
      <c r="DW44" s="13">
        <f t="shared" si="63"/>
        <v>0</v>
      </c>
      <c r="DX44" s="12"/>
      <c r="DY44" s="13">
        <f t="shared" si="64"/>
        <v>0</v>
      </c>
      <c r="DZ44" s="12"/>
      <c r="EA44" s="13">
        <f t="shared" si="65"/>
        <v>0</v>
      </c>
      <c r="EB44" s="12"/>
      <c r="EC44" s="13">
        <f t="shared" si="66"/>
        <v>0</v>
      </c>
      <c r="ED44" s="12"/>
      <c r="EE44" s="13">
        <f t="shared" si="3"/>
        <v>0</v>
      </c>
      <c r="EF44" s="24">
        <f t="shared" si="67"/>
        <v>40614</v>
      </c>
      <c r="EG44" s="13">
        <f t="shared" si="68"/>
        <v>25992.959999999999</v>
      </c>
    </row>
    <row r="45" spans="1:137" ht="18" customHeight="1" x14ac:dyDescent="0.5">
      <c r="A45" s="10">
        <v>38</v>
      </c>
      <c r="B45" s="11" t="s">
        <v>51</v>
      </c>
      <c r="C45" s="11" t="s">
        <v>14</v>
      </c>
      <c r="D45" s="10">
        <f t="shared" si="71"/>
        <v>21</v>
      </c>
      <c r="E45" s="10">
        <v>0.64</v>
      </c>
      <c r="F45" s="10" t="s">
        <v>25</v>
      </c>
      <c r="G45" s="10"/>
      <c r="H45" s="12"/>
      <c r="I45" s="13">
        <f t="shared" si="4"/>
        <v>0</v>
      </c>
      <c r="J45" s="12"/>
      <c r="K45" s="13">
        <f t="shared" si="5"/>
        <v>0</v>
      </c>
      <c r="L45" s="12"/>
      <c r="M45" s="13">
        <f t="shared" si="6"/>
        <v>0</v>
      </c>
      <c r="N45" s="12"/>
      <c r="O45" s="13">
        <f t="shared" si="7"/>
        <v>0</v>
      </c>
      <c r="P45" s="12"/>
      <c r="Q45" s="13">
        <f t="shared" si="8"/>
        <v>0</v>
      </c>
      <c r="R45" s="12"/>
      <c r="S45" s="13">
        <f t="shared" si="9"/>
        <v>0</v>
      </c>
      <c r="T45" s="12"/>
      <c r="U45" s="13">
        <f t="shared" si="10"/>
        <v>0</v>
      </c>
      <c r="V45" s="12"/>
      <c r="W45" s="13">
        <f t="shared" si="11"/>
        <v>0</v>
      </c>
      <c r="X45" s="12"/>
      <c r="Y45" s="13">
        <f t="shared" si="12"/>
        <v>0</v>
      </c>
      <c r="Z45" s="12"/>
      <c r="AA45" s="13">
        <f t="shared" si="13"/>
        <v>0</v>
      </c>
      <c r="AB45" s="12"/>
      <c r="AC45" s="13">
        <f t="shared" si="14"/>
        <v>0</v>
      </c>
      <c r="AD45" s="12"/>
      <c r="AE45" s="13">
        <f t="shared" si="15"/>
        <v>0</v>
      </c>
      <c r="AF45" s="14">
        <f t="shared" si="16"/>
        <v>0</v>
      </c>
      <c r="AG45" s="15">
        <f t="shared" si="17"/>
        <v>0</v>
      </c>
      <c r="AH45" s="16"/>
      <c r="AI45" s="13">
        <f t="shared" si="18"/>
        <v>0</v>
      </c>
      <c r="AJ45" s="17"/>
      <c r="AK45" s="13">
        <f t="shared" si="19"/>
        <v>0</v>
      </c>
      <c r="AL45" s="17"/>
      <c r="AM45" s="13">
        <f t="shared" si="20"/>
        <v>0</v>
      </c>
      <c r="AN45" s="18"/>
      <c r="AO45" s="13">
        <f t="shared" si="21"/>
        <v>0</v>
      </c>
      <c r="AP45" s="17"/>
      <c r="AQ45" s="13">
        <f t="shared" si="22"/>
        <v>0</v>
      </c>
      <c r="AR45" s="17"/>
      <c r="AS45" s="13">
        <f t="shared" si="23"/>
        <v>0</v>
      </c>
      <c r="AT45" s="19"/>
      <c r="AU45" s="13">
        <f t="shared" si="24"/>
        <v>0</v>
      </c>
      <c r="AV45" s="17"/>
      <c r="AW45" s="13">
        <f t="shared" si="25"/>
        <v>0</v>
      </c>
      <c r="AX45" s="17"/>
      <c r="AY45" s="13">
        <f t="shared" si="26"/>
        <v>0</v>
      </c>
      <c r="AZ45" s="19"/>
      <c r="BA45" s="13">
        <f t="shared" si="27"/>
        <v>0</v>
      </c>
      <c r="BB45" s="20"/>
      <c r="BC45" s="13">
        <f t="shared" si="28"/>
        <v>0</v>
      </c>
      <c r="BD45" s="20"/>
      <c r="BE45" s="13">
        <f t="shared" si="29"/>
        <v>0</v>
      </c>
      <c r="BF45" s="14">
        <f t="shared" si="30"/>
        <v>0</v>
      </c>
      <c r="BG45" s="15">
        <f t="shared" si="31"/>
        <v>0</v>
      </c>
      <c r="BH45" s="18"/>
      <c r="BI45" s="57">
        <f t="shared" si="32"/>
        <v>0</v>
      </c>
      <c r="BJ45" s="18"/>
      <c r="BK45" s="57">
        <f t="shared" si="33"/>
        <v>0</v>
      </c>
      <c r="BL45" s="18"/>
      <c r="BM45" s="57">
        <f t="shared" si="34"/>
        <v>0</v>
      </c>
      <c r="BN45" s="18"/>
      <c r="BO45" s="57">
        <f t="shared" si="35"/>
        <v>0</v>
      </c>
      <c r="BP45" s="18"/>
      <c r="BQ45" s="57">
        <f t="shared" si="36"/>
        <v>0</v>
      </c>
      <c r="BR45" s="18"/>
      <c r="BS45" s="57">
        <f t="shared" si="37"/>
        <v>0</v>
      </c>
      <c r="BT45" s="18"/>
      <c r="BU45" s="57">
        <f t="shared" si="38"/>
        <v>0</v>
      </c>
      <c r="BV45" s="18"/>
      <c r="BW45" s="57">
        <f t="shared" si="39"/>
        <v>0</v>
      </c>
      <c r="BX45" s="18"/>
      <c r="BY45" s="57">
        <f t="shared" si="40"/>
        <v>0</v>
      </c>
      <c r="BZ45" s="18"/>
      <c r="CA45" s="57">
        <f t="shared" si="41"/>
        <v>0</v>
      </c>
      <c r="CB45" s="18"/>
      <c r="CC45" s="57">
        <f t="shared" si="42"/>
        <v>0</v>
      </c>
      <c r="CD45" s="18"/>
      <c r="CE45" s="57">
        <f t="shared" si="43"/>
        <v>0</v>
      </c>
      <c r="CF45" s="14">
        <f t="shared" si="44"/>
        <v>0</v>
      </c>
      <c r="CG45" s="15">
        <f t="shared" si="45"/>
        <v>0</v>
      </c>
      <c r="CH45" s="12"/>
      <c r="CI45" s="13">
        <f t="shared" si="46"/>
        <v>0</v>
      </c>
      <c r="CJ45" s="12"/>
      <c r="CK45" s="13">
        <f t="shared" si="47"/>
        <v>0</v>
      </c>
      <c r="CL45" s="12"/>
      <c r="CM45" s="13">
        <f t="shared" si="48"/>
        <v>0</v>
      </c>
      <c r="CN45" s="12"/>
      <c r="CO45" s="13">
        <f t="shared" si="49"/>
        <v>0</v>
      </c>
      <c r="CP45" s="12"/>
      <c r="CQ45" s="13">
        <f t="shared" si="50"/>
        <v>0</v>
      </c>
      <c r="CR45" s="12"/>
      <c r="CS45" s="13">
        <f t="shared" si="51"/>
        <v>0</v>
      </c>
      <c r="CT45" s="12"/>
      <c r="CU45" s="13">
        <f t="shared" si="52"/>
        <v>0</v>
      </c>
      <c r="CV45" s="12"/>
      <c r="CW45" s="13">
        <f t="shared" si="53"/>
        <v>0</v>
      </c>
      <c r="CX45" s="12"/>
      <c r="CY45" s="13">
        <f t="shared" si="54"/>
        <v>0</v>
      </c>
      <c r="CZ45" s="12"/>
      <c r="DA45" s="13">
        <f t="shared" si="55"/>
        <v>0</v>
      </c>
      <c r="DB45" s="12"/>
      <c r="DC45" s="13">
        <f t="shared" si="0"/>
        <v>0</v>
      </c>
      <c r="DD45" s="12"/>
      <c r="DE45" s="13">
        <f t="shared" si="0"/>
        <v>0</v>
      </c>
      <c r="DF45" s="64">
        <f t="shared" si="56"/>
        <v>0</v>
      </c>
      <c r="DG45" s="15">
        <f t="shared" si="57"/>
        <v>0</v>
      </c>
      <c r="DH45" s="12"/>
      <c r="DI45" s="13">
        <f t="shared" si="58"/>
        <v>0</v>
      </c>
      <c r="DJ45" s="12"/>
      <c r="DK45" s="13">
        <f t="shared" si="1"/>
        <v>0</v>
      </c>
      <c r="DL45" s="12"/>
      <c r="DM45" s="13">
        <f t="shared" si="72"/>
        <v>0</v>
      </c>
      <c r="DN45" s="12"/>
      <c r="DO45" s="13">
        <f t="shared" si="2"/>
        <v>0</v>
      </c>
      <c r="DP45" s="12"/>
      <c r="DQ45" s="13">
        <f t="shared" si="60"/>
        <v>0</v>
      </c>
      <c r="DR45" s="12"/>
      <c r="DS45" s="13">
        <f t="shared" si="61"/>
        <v>0</v>
      </c>
      <c r="DT45" s="12"/>
      <c r="DU45" s="13">
        <f t="shared" si="62"/>
        <v>0</v>
      </c>
      <c r="DV45" s="12"/>
      <c r="DW45" s="13">
        <f t="shared" si="63"/>
        <v>0</v>
      </c>
      <c r="DX45" s="12"/>
      <c r="DY45" s="13">
        <f t="shared" si="64"/>
        <v>0</v>
      </c>
      <c r="DZ45" s="12"/>
      <c r="EA45" s="13">
        <f t="shared" si="65"/>
        <v>0</v>
      </c>
      <c r="EB45" s="12"/>
      <c r="EC45" s="13">
        <f t="shared" si="66"/>
        <v>0</v>
      </c>
      <c r="ED45" s="12"/>
      <c r="EE45" s="13">
        <f t="shared" si="3"/>
        <v>0</v>
      </c>
      <c r="EF45" s="24">
        <f t="shared" si="67"/>
        <v>0</v>
      </c>
      <c r="EG45" s="13">
        <f t="shared" si="68"/>
        <v>0</v>
      </c>
    </row>
    <row r="46" spans="1:137" ht="18" customHeight="1" x14ac:dyDescent="0.5">
      <c r="A46" s="10">
        <v>39</v>
      </c>
      <c r="B46" s="11" t="s">
        <v>51</v>
      </c>
      <c r="C46" s="11" t="s">
        <v>14</v>
      </c>
      <c r="D46" s="10">
        <f t="shared" si="71"/>
        <v>21</v>
      </c>
      <c r="E46" s="10">
        <v>0.64</v>
      </c>
      <c r="F46" s="10" t="s">
        <v>25</v>
      </c>
      <c r="G46" s="10"/>
      <c r="H46" s="12"/>
      <c r="I46" s="13">
        <f t="shared" si="4"/>
        <v>0</v>
      </c>
      <c r="J46" s="12"/>
      <c r="K46" s="13">
        <f t="shared" si="5"/>
        <v>0</v>
      </c>
      <c r="L46" s="12"/>
      <c r="M46" s="13">
        <f t="shared" si="6"/>
        <v>0</v>
      </c>
      <c r="N46" s="12"/>
      <c r="O46" s="13">
        <f t="shared" si="7"/>
        <v>0</v>
      </c>
      <c r="P46" s="12"/>
      <c r="Q46" s="13">
        <f t="shared" si="8"/>
        <v>0</v>
      </c>
      <c r="R46" s="12"/>
      <c r="S46" s="13">
        <f t="shared" si="9"/>
        <v>0</v>
      </c>
      <c r="T46" s="12"/>
      <c r="U46" s="13">
        <f t="shared" si="10"/>
        <v>0</v>
      </c>
      <c r="V46" s="12"/>
      <c r="W46" s="13">
        <f t="shared" si="11"/>
        <v>0</v>
      </c>
      <c r="X46" s="12"/>
      <c r="Y46" s="13">
        <f t="shared" si="12"/>
        <v>0</v>
      </c>
      <c r="Z46" s="12"/>
      <c r="AA46" s="13">
        <f t="shared" si="13"/>
        <v>0</v>
      </c>
      <c r="AB46" s="12"/>
      <c r="AC46" s="13">
        <f t="shared" si="14"/>
        <v>0</v>
      </c>
      <c r="AD46" s="12"/>
      <c r="AE46" s="13">
        <f t="shared" si="15"/>
        <v>0</v>
      </c>
      <c r="AF46" s="14">
        <f t="shared" si="16"/>
        <v>0</v>
      </c>
      <c r="AG46" s="15">
        <f t="shared" si="17"/>
        <v>0</v>
      </c>
      <c r="AH46" s="16"/>
      <c r="AI46" s="13">
        <f t="shared" si="18"/>
        <v>0</v>
      </c>
      <c r="AJ46" s="17"/>
      <c r="AK46" s="13">
        <f t="shared" si="19"/>
        <v>0</v>
      </c>
      <c r="AL46" s="17"/>
      <c r="AM46" s="13">
        <f t="shared" si="20"/>
        <v>0</v>
      </c>
      <c r="AN46" s="18"/>
      <c r="AO46" s="13">
        <f t="shared" si="21"/>
        <v>0</v>
      </c>
      <c r="AP46" s="17"/>
      <c r="AQ46" s="13">
        <f t="shared" si="22"/>
        <v>0</v>
      </c>
      <c r="AR46" s="17"/>
      <c r="AS46" s="13">
        <f t="shared" si="23"/>
        <v>0</v>
      </c>
      <c r="AT46" s="19"/>
      <c r="AU46" s="13">
        <f t="shared" si="24"/>
        <v>0</v>
      </c>
      <c r="AV46" s="17"/>
      <c r="AW46" s="13">
        <f t="shared" si="25"/>
        <v>0</v>
      </c>
      <c r="AX46" s="17"/>
      <c r="AY46" s="13">
        <f t="shared" si="26"/>
        <v>0</v>
      </c>
      <c r="AZ46" s="19"/>
      <c r="BA46" s="13">
        <f t="shared" si="27"/>
        <v>0</v>
      </c>
      <c r="BB46" s="20"/>
      <c r="BC46" s="13">
        <f t="shared" si="28"/>
        <v>0</v>
      </c>
      <c r="BD46" s="20"/>
      <c r="BE46" s="13">
        <f t="shared" si="29"/>
        <v>0</v>
      </c>
      <c r="BF46" s="14">
        <f t="shared" si="30"/>
        <v>0</v>
      </c>
      <c r="BG46" s="15">
        <f t="shared" si="31"/>
        <v>0</v>
      </c>
      <c r="BH46" s="18"/>
      <c r="BI46" s="57">
        <f t="shared" si="32"/>
        <v>0</v>
      </c>
      <c r="BJ46" s="18"/>
      <c r="BK46" s="57">
        <f t="shared" si="33"/>
        <v>0</v>
      </c>
      <c r="BL46" s="18"/>
      <c r="BM46" s="57">
        <f t="shared" si="34"/>
        <v>0</v>
      </c>
      <c r="BN46" s="18"/>
      <c r="BO46" s="57">
        <f t="shared" si="35"/>
        <v>0</v>
      </c>
      <c r="BP46" s="18"/>
      <c r="BQ46" s="57">
        <f t="shared" si="36"/>
        <v>0</v>
      </c>
      <c r="BR46" s="18"/>
      <c r="BS46" s="57">
        <f t="shared" si="37"/>
        <v>0</v>
      </c>
      <c r="BT46" s="18"/>
      <c r="BU46" s="57">
        <f t="shared" si="38"/>
        <v>0</v>
      </c>
      <c r="BV46" s="18"/>
      <c r="BW46" s="57">
        <f t="shared" si="39"/>
        <v>0</v>
      </c>
      <c r="BX46" s="18"/>
      <c r="BY46" s="57">
        <f t="shared" si="40"/>
        <v>0</v>
      </c>
      <c r="BZ46" s="18"/>
      <c r="CA46" s="57">
        <f t="shared" si="41"/>
        <v>0</v>
      </c>
      <c r="CB46" s="18"/>
      <c r="CC46" s="57">
        <f t="shared" si="42"/>
        <v>0</v>
      </c>
      <c r="CD46" s="18"/>
      <c r="CE46" s="57">
        <f t="shared" si="43"/>
        <v>0</v>
      </c>
      <c r="CF46" s="14">
        <f t="shared" si="44"/>
        <v>0</v>
      </c>
      <c r="CG46" s="15">
        <f t="shared" si="45"/>
        <v>0</v>
      </c>
      <c r="CH46" s="12"/>
      <c r="CI46" s="13">
        <f t="shared" si="46"/>
        <v>0</v>
      </c>
      <c r="CJ46" s="12"/>
      <c r="CK46" s="13">
        <f t="shared" si="47"/>
        <v>0</v>
      </c>
      <c r="CL46" s="12"/>
      <c r="CM46" s="13">
        <f t="shared" si="48"/>
        <v>0</v>
      </c>
      <c r="CN46" s="12"/>
      <c r="CO46" s="13">
        <f t="shared" si="49"/>
        <v>0</v>
      </c>
      <c r="CP46" s="12"/>
      <c r="CQ46" s="13">
        <f t="shared" si="50"/>
        <v>0</v>
      </c>
      <c r="CR46" s="12"/>
      <c r="CS46" s="13">
        <f t="shared" si="51"/>
        <v>0</v>
      </c>
      <c r="CT46" s="12"/>
      <c r="CU46" s="13">
        <f t="shared" si="52"/>
        <v>0</v>
      </c>
      <c r="CV46" s="12"/>
      <c r="CW46" s="13">
        <f t="shared" si="53"/>
        <v>0</v>
      </c>
      <c r="CX46" s="12"/>
      <c r="CY46" s="13">
        <f t="shared" si="54"/>
        <v>0</v>
      </c>
      <c r="CZ46" s="12"/>
      <c r="DA46" s="13">
        <f t="shared" si="55"/>
        <v>0</v>
      </c>
      <c r="DB46" s="12"/>
      <c r="DC46" s="13">
        <f t="shared" si="0"/>
        <v>0</v>
      </c>
      <c r="DD46" s="12"/>
      <c r="DE46" s="13">
        <f t="shared" si="0"/>
        <v>0</v>
      </c>
      <c r="DF46" s="64">
        <f t="shared" si="56"/>
        <v>0</v>
      </c>
      <c r="DG46" s="15">
        <f t="shared" si="57"/>
        <v>0</v>
      </c>
      <c r="DH46" s="12"/>
      <c r="DI46" s="13">
        <f t="shared" si="58"/>
        <v>0</v>
      </c>
      <c r="DJ46" s="12"/>
      <c r="DK46" s="13">
        <f t="shared" si="1"/>
        <v>0</v>
      </c>
      <c r="DL46" s="12"/>
      <c r="DM46" s="13">
        <f t="shared" si="72"/>
        <v>0</v>
      </c>
      <c r="DN46" s="12"/>
      <c r="DO46" s="13">
        <f t="shared" si="2"/>
        <v>0</v>
      </c>
      <c r="DP46" s="12"/>
      <c r="DQ46" s="13">
        <f t="shared" si="60"/>
        <v>0</v>
      </c>
      <c r="DR46" s="12"/>
      <c r="DS46" s="13">
        <f t="shared" si="61"/>
        <v>0</v>
      </c>
      <c r="DT46" s="12"/>
      <c r="DU46" s="13">
        <f t="shared" si="62"/>
        <v>0</v>
      </c>
      <c r="DV46" s="12"/>
      <c r="DW46" s="13">
        <f t="shared" si="63"/>
        <v>0</v>
      </c>
      <c r="DX46" s="12"/>
      <c r="DY46" s="13">
        <f t="shared" si="64"/>
        <v>0</v>
      </c>
      <c r="DZ46" s="12"/>
      <c r="EA46" s="13">
        <f t="shared" si="65"/>
        <v>0</v>
      </c>
      <c r="EB46" s="12"/>
      <c r="EC46" s="13">
        <f t="shared" si="66"/>
        <v>0</v>
      </c>
      <c r="ED46" s="12"/>
      <c r="EE46" s="13">
        <f t="shared" si="3"/>
        <v>0</v>
      </c>
      <c r="EF46" s="24">
        <f t="shared" si="67"/>
        <v>0</v>
      </c>
      <c r="EG46" s="13">
        <f t="shared" si="68"/>
        <v>0</v>
      </c>
    </row>
    <row r="47" spans="1:137" ht="18" customHeight="1" x14ac:dyDescent="0.5">
      <c r="A47" s="10">
        <v>40</v>
      </c>
      <c r="B47" s="11" t="s">
        <v>51</v>
      </c>
      <c r="C47" s="11" t="s">
        <v>14</v>
      </c>
      <c r="D47" s="10">
        <f t="shared" si="71"/>
        <v>21</v>
      </c>
      <c r="E47" s="10">
        <v>0.64</v>
      </c>
      <c r="F47" s="10" t="s">
        <v>25</v>
      </c>
      <c r="G47" s="10"/>
      <c r="H47" s="12"/>
      <c r="I47" s="13">
        <f t="shared" si="4"/>
        <v>0</v>
      </c>
      <c r="J47" s="12"/>
      <c r="K47" s="13">
        <f t="shared" si="5"/>
        <v>0</v>
      </c>
      <c r="L47" s="12"/>
      <c r="M47" s="13">
        <f t="shared" si="6"/>
        <v>0</v>
      </c>
      <c r="N47" s="12"/>
      <c r="O47" s="13">
        <f t="shared" si="7"/>
        <v>0</v>
      </c>
      <c r="P47" s="12"/>
      <c r="Q47" s="13">
        <f t="shared" si="8"/>
        <v>0</v>
      </c>
      <c r="R47" s="12"/>
      <c r="S47" s="13">
        <f t="shared" si="9"/>
        <v>0</v>
      </c>
      <c r="T47" s="12"/>
      <c r="U47" s="13">
        <f t="shared" si="10"/>
        <v>0</v>
      </c>
      <c r="V47" s="12"/>
      <c r="W47" s="13">
        <f t="shared" si="11"/>
        <v>0</v>
      </c>
      <c r="X47" s="12"/>
      <c r="Y47" s="13">
        <f t="shared" si="12"/>
        <v>0</v>
      </c>
      <c r="Z47" s="12"/>
      <c r="AA47" s="13">
        <f t="shared" si="13"/>
        <v>0</v>
      </c>
      <c r="AB47" s="12"/>
      <c r="AC47" s="13">
        <f t="shared" si="14"/>
        <v>0</v>
      </c>
      <c r="AD47" s="12"/>
      <c r="AE47" s="13">
        <f t="shared" si="15"/>
        <v>0</v>
      </c>
      <c r="AF47" s="14">
        <f t="shared" si="16"/>
        <v>0</v>
      </c>
      <c r="AG47" s="15">
        <f t="shared" si="17"/>
        <v>0</v>
      </c>
      <c r="AH47" s="16"/>
      <c r="AI47" s="13">
        <f t="shared" si="18"/>
        <v>0</v>
      </c>
      <c r="AJ47" s="17"/>
      <c r="AK47" s="13">
        <f t="shared" si="19"/>
        <v>0</v>
      </c>
      <c r="AL47" s="17"/>
      <c r="AM47" s="13">
        <f t="shared" si="20"/>
        <v>0</v>
      </c>
      <c r="AN47" s="18"/>
      <c r="AO47" s="13">
        <f t="shared" si="21"/>
        <v>0</v>
      </c>
      <c r="AP47" s="17"/>
      <c r="AQ47" s="13">
        <f t="shared" si="22"/>
        <v>0</v>
      </c>
      <c r="AR47" s="17"/>
      <c r="AS47" s="13">
        <f t="shared" si="23"/>
        <v>0</v>
      </c>
      <c r="AT47" s="19"/>
      <c r="AU47" s="13">
        <f t="shared" si="24"/>
        <v>0</v>
      </c>
      <c r="AV47" s="17"/>
      <c r="AW47" s="13">
        <f t="shared" si="25"/>
        <v>0</v>
      </c>
      <c r="AX47" s="17"/>
      <c r="AY47" s="13">
        <f t="shared" si="26"/>
        <v>0</v>
      </c>
      <c r="AZ47" s="19"/>
      <c r="BA47" s="13">
        <f t="shared" si="27"/>
        <v>0</v>
      </c>
      <c r="BB47" s="20"/>
      <c r="BC47" s="13">
        <f t="shared" si="28"/>
        <v>0</v>
      </c>
      <c r="BD47" s="20"/>
      <c r="BE47" s="13">
        <f t="shared" si="29"/>
        <v>0</v>
      </c>
      <c r="BF47" s="14">
        <f t="shared" si="30"/>
        <v>0</v>
      </c>
      <c r="BG47" s="15">
        <f t="shared" si="31"/>
        <v>0</v>
      </c>
      <c r="BH47" s="18"/>
      <c r="BI47" s="57">
        <f t="shared" si="32"/>
        <v>0</v>
      </c>
      <c r="BJ47" s="18"/>
      <c r="BK47" s="57">
        <f t="shared" si="33"/>
        <v>0</v>
      </c>
      <c r="BL47" s="18"/>
      <c r="BM47" s="57">
        <f t="shared" si="34"/>
        <v>0</v>
      </c>
      <c r="BN47" s="18"/>
      <c r="BO47" s="57">
        <f t="shared" si="35"/>
        <v>0</v>
      </c>
      <c r="BP47" s="18"/>
      <c r="BQ47" s="57">
        <f t="shared" si="36"/>
        <v>0</v>
      </c>
      <c r="BR47" s="18"/>
      <c r="BS47" s="57">
        <f t="shared" si="37"/>
        <v>0</v>
      </c>
      <c r="BT47" s="18"/>
      <c r="BU47" s="57">
        <f t="shared" si="38"/>
        <v>0</v>
      </c>
      <c r="BV47" s="18"/>
      <c r="BW47" s="57">
        <f t="shared" si="39"/>
        <v>0</v>
      </c>
      <c r="BX47" s="18"/>
      <c r="BY47" s="57">
        <f t="shared" si="40"/>
        <v>0</v>
      </c>
      <c r="BZ47" s="18"/>
      <c r="CA47" s="57">
        <f t="shared" si="41"/>
        <v>0</v>
      </c>
      <c r="CB47" s="18"/>
      <c r="CC47" s="57">
        <f t="shared" si="42"/>
        <v>0</v>
      </c>
      <c r="CD47" s="18"/>
      <c r="CE47" s="57">
        <f t="shared" si="43"/>
        <v>0</v>
      </c>
      <c r="CF47" s="14">
        <f t="shared" si="44"/>
        <v>0</v>
      </c>
      <c r="CG47" s="15">
        <f t="shared" si="45"/>
        <v>0</v>
      </c>
      <c r="CH47" s="12"/>
      <c r="CI47" s="13">
        <f t="shared" si="46"/>
        <v>0</v>
      </c>
      <c r="CJ47" s="12"/>
      <c r="CK47" s="13">
        <f t="shared" si="47"/>
        <v>0</v>
      </c>
      <c r="CL47" s="12"/>
      <c r="CM47" s="13">
        <f t="shared" si="48"/>
        <v>0</v>
      </c>
      <c r="CN47" s="12"/>
      <c r="CO47" s="13">
        <f t="shared" si="49"/>
        <v>0</v>
      </c>
      <c r="CP47" s="12"/>
      <c r="CQ47" s="13">
        <f t="shared" si="50"/>
        <v>0</v>
      </c>
      <c r="CR47" s="12"/>
      <c r="CS47" s="13">
        <f t="shared" si="51"/>
        <v>0</v>
      </c>
      <c r="CT47" s="12"/>
      <c r="CU47" s="13">
        <f t="shared" si="52"/>
        <v>0</v>
      </c>
      <c r="CV47" s="12"/>
      <c r="CW47" s="13">
        <f t="shared" si="53"/>
        <v>0</v>
      </c>
      <c r="CX47" s="12"/>
      <c r="CY47" s="13">
        <f t="shared" si="54"/>
        <v>0</v>
      </c>
      <c r="CZ47" s="12"/>
      <c r="DA47" s="13">
        <f t="shared" si="55"/>
        <v>0</v>
      </c>
      <c r="DB47" s="12"/>
      <c r="DC47" s="13">
        <f t="shared" si="0"/>
        <v>0</v>
      </c>
      <c r="DD47" s="12"/>
      <c r="DE47" s="13">
        <f t="shared" si="0"/>
        <v>0</v>
      </c>
      <c r="DF47" s="64">
        <f t="shared" si="56"/>
        <v>0</v>
      </c>
      <c r="DG47" s="15">
        <f t="shared" si="57"/>
        <v>0</v>
      </c>
      <c r="DH47" s="12"/>
      <c r="DI47" s="13">
        <f t="shared" si="58"/>
        <v>0</v>
      </c>
      <c r="DJ47" s="12"/>
      <c r="DK47" s="13">
        <f t="shared" si="1"/>
        <v>0</v>
      </c>
      <c r="DL47" s="12"/>
      <c r="DM47" s="13">
        <f t="shared" si="72"/>
        <v>0</v>
      </c>
      <c r="DN47" s="12"/>
      <c r="DO47" s="13">
        <f t="shared" si="2"/>
        <v>0</v>
      </c>
      <c r="DP47" s="12"/>
      <c r="DQ47" s="13">
        <f t="shared" si="60"/>
        <v>0</v>
      </c>
      <c r="DR47" s="12"/>
      <c r="DS47" s="13">
        <f t="shared" si="61"/>
        <v>0</v>
      </c>
      <c r="DT47" s="12"/>
      <c r="DU47" s="13">
        <f t="shared" si="62"/>
        <v>0</v>
      </c>
      <c r="DV47" s="12"/>
      <c r="DW47" s="13">
        <f t="shared" si="63"/>
        <v>0</v>
      </c>
      <c r="DX47" s="12"/>
      <c r="DY47" s="13">
        <f t="shared" si="64"/>
        <v>0</v>
      </c>
      <c r="DZ47" s="12"/>
      <c r="EA47" s="13">
        <f t="shared" si="65"/>
        <v>0</v>
      </c>
      <c r="EB47" s="12"/>
      <c r="EC47" s="13">
        <f t="shared" si="66"/>
        <v>0</v>
      </c>
      <c r="ED47" s="12"/>
      <c r="EE47" s="13">
        <f t="shared" si="3"/>
        <v>0</v>
      </c>
      <c r="EF47" s="24">
        <f t="shared" si="67"/>
        <v>0</v>
      </c>
      <c r="EG47" s="13">
        <f t="shared" si="68"/>
        <v>0</v>
      </c>
    </row>
    <row r="48" spans="1:137" ht="18" customHeight="1" x14ac:dyDescent="0.5">
      <c r="A48" s="10"/>
      <c r="B48" s="11"/>
      <c r="C48" s="11"/>
      <c r="D48" s="10"/>
      <c r="E48" s="10"/>
      <c r="F48" s="10"/>
      <c r="G48" s="10"/>
      <c r="H48" s="12"/>
      <c r="I48" s="13">
        <f t="shared" si="4"/>
        <v>0</v>
      </c>
      <c r="J48" s="12"/>
      <c r="K48" s="13">
        <f t="shared" si="5"/>
        <v>0</v>
      </c>
      <c r="L48" s="12"/>
      <c r="M48" s="13">
        <f t="shared" si="6"/>
        <v>0</v>
      </c>
      <c r="N48" s="12"/>
      <c r="O48" s="13">
        <f t="shared" si="7"/>
        <v>0</v>
      </c>
      <c r="P48" s="12"/>
      <c r="Q48" s="13">
        <f t="shared" si="8"/>
        <v>0</v>
      </c>
      <c r="R48" s="12"/>
      <c r="S48" s="13">
        <f t="shared" si="9"/>
        <v>0</v>
      </c>
      <c r="T48" s="12"/>
      <c r="U48" s="13">
        <f t="shared" si="10"/>
        <v>0</v>
      </c>
      <c r="V48" s="12"/>
      <c r="W48" s="13">
        <f t="shared" si="11"/>
        <v>0</v>
      </c>
      <c r="X48" s="12"/>
      <c r="Y48" s="13">
        <f t="shared" si="12"/>
        <v>0</v>
      </c>
      <c r="Z48" s="12"/>
      <c r="AA48" s="13">
        <f t="shared" si="13"/>
        <v>0</v>
      </c>
      <c r="AB48" s="12"/>
      <c r="AC48" s="13">
        <f t="shared" si="14"/>
        <v>0</v>
      </c>
      <c r="AD48" s="12"/>
      <c r="AE48" s="13">
        <f t="shared" si="15"/>
        <v>0</v>
      </c>
      <c r="AF48" s="14">
        <f t="shared" si="16"/>
        <v>0</v>
      </c>
      <c r="AG48" s="15">
        <f t="shared" si="17"/>
        <v>0</v>
      </c>
      <c r="AH48" s="16"/>
      <c r="AI48" s="13">
        <f t="shared" si="18"/>
        <v>0</v>
      </c>
      <c r="AJ48" s="17"/>
      <c r="AK48" s="13">
        <f t="shared" si="19"/>
        <v>0</v>
      </c>
      <c r="AL48" s="17"/>
      <c r="AM48" s="13">
        <f t="shared" si="20"/>
        <v>0</v>
      </c>
      <c r="AN48" s="18"/>
      <c r="AO48" s="13">
        <f t="shared" si="21"/>
        <v>0</v>
      </c>
      <c r="AP48" s="17"/>
      <c r="AQ48" s="13">
        <f t="shared" si="22"/>
        <v>0</v>
      </c>
      <c r="AR48" s="17"/>
      <c r="AS48" s="13">
        <f t="shared" si="23"/>
        <v>0</v>
      </c>
      <c r="AT48" s="19"/>
      <c r="AU48" s="13">
        <f t="shared" si="24"/>
        <v>0</v>
      </c>
      <c r="AV48" s="17"/>
      <c r="AW48" s="13">
        <f t="shared" si="25"/>
        <v>0</v>
      </c>
      <c r="AX48" s="17"/>
      <c r="AY48" s="13">
        <f t="shared" si="26"/>
        <v>0</v>
      </c>
      <c r="AZ48" s="19"/>
      <c r="BA48" s="13">
        <f t="shared" si="27"/>
        <v>0</v>
      </c>
      <c r="BB48" s="20"/>
      <c r="BC48" s="13">
        <f t="shared" si="28"/>
        <v>0</v>
      </c>
      <c r="BD48" s="20"/>
      <c r="BE48" s="13">
        <f t="shared" si="29"/>
        <v>0</v>
      </c>
      <c r="BF48" s="14">
        <f t="shared" si="30"/>
        <v>0</v>
      </c>
      <c r="BG48" s="15">
        <f t="shared" si="31"/>
        <v>0</v>
      </c>
      <c r="BH48" s="18"/>
      <c r="BI48" s="57">
        <f t="shared" si="32"/>
        <v>0</v>
      </c>
      <c r="BJ48" s="18"/>
      <c r="BK48" s="57">
        <f t="shared" si="33"/>
        <v>0</v>
      </c>
      <c r="BL48" s="18"/>
      <c r="BM48" s="57">
        <f t="shared" si="34"/>
        <v>0</v>
      </c>
      <c r="BN48" s="18"/>
      <c r="BO48" s="57">
        <f t="shared" si="35"/>
        <v>0</v>
      </c>
      <c r="BP48" s="18"/>
      <c r="BQ48" s="57">
        <f t="shared" si="36"/>
        <v>0</v>
      </c>
      <c r="BR48" s="18"/>
      <c r="BS48" s="57">
        <f t="shared" si="37"/>
        <v>0</v>
      </c>
      <c r="BT48" s="18"/>
      <c r="BU48" s="57">
        <f t="shared" si="38"/>
        <v>0</v>
      </c>
      <c r="BV48" s="18"/>
      <c r="BW48" s="57">
        <f t="shared" si="39"/>
        <v>0</v>
      </c>
      <c r="BX48" s="18"/>
      <c r="BY48" s="57">
        <f t="shared" si="40"/>
        <v>0</v>
      </c>
      <c r="BZ48" s="18"/>
      <c r="CA48" s="57">
        <f t="shared" si="41"/>
        <v>0</v>
      </c>
      <c r="CB48" s="18"/>
      <c r="CC48" s="57">
        <f t="shared" si="42"/>
        <v>0</v>
      </c>
      <c r="CD48" s="18"/>
      <c r="CE48" s="57">
        <f t="shared" si="43"/>
        <v>0</v>
      </c>
      <c r="CF48" s="14">
        <f t="shared" si="44"/>
        <v>0</v>
      </c>
      <c r="CG48" s="15">
        <f t="shared" si="45"/>
        <v>0</v>
      </c>
      <c r="CH48" s="12"/>
      <c r="CI48" s="13">
        <f t="shared" si="46"/>
        <v>0</v>
      </c>
      <c r="CJ48" s="12"/>
      <c r="CK48" s="13">
        <f t="shared" si="47"/>
        <v>0</v>
      </c>
      <c r="CL48" s="12"/>
      <c r="CM48" s="13">
        <f t="shared" si="48"/>
        <v>0</v>
      </c>
      <c r="CN48" s="12"/>
      <c r="CO48" s="13">
        <f t="shared" si="49"/>
        <v>0</v>
      </c>
      <c r="CP48" s="12"/>
      <c r="CQ48" s="13">
        <f t="shared" si="50"/>
        <v>0</v>
      </c>
      <c r="CR48" s="12"/>
      <c r="CS48" s="13">
        <f t="shared" si="51"/>
        <v>0</v>
      </c>
      <c r="CT48" s="12"/>
      <c r="CU48" s="13">
        <f t="shared" si="52"/>
        <v>0</v>
      </c>
      <c r="CV48" s="12"/>
      <c r="CW48" s="13">
        <f t="shared" si="53"/>
        <v>0</v>
      </c>
      <c r="CX48" s="12"/>
      <c r="CY48" s="13">
        <f t="shared" si="54"/>
        <v>0</v>
      </c>
      <c r="CZ48" s="12"/>
      <c r="DA48" s="13">
        <f t="shared" si="55"/>
        <v>0</v>
      </c>
      <c r="DB48" s="12"/>
      <c r="DC48" s="13">
        <f t="shared" si="0"/>
        <v>0</v>
      </c>
      <c r="DD48" s="12"/>
      <c r="DE48" s="13">
        <f t="shared" si="0"/>
        <v>0</v>
      </c>
      <c r="DF48" s="64">
        <f t="shared" si="56"/>
        <v>0</v>
      </c>
      <c r="DG48" s="15">
        <f t="shared" si="57"/>
        <v>0</v>
      </c>
      <c r="DH48" s="12"/>
      <c r="DI48" s="13">
        <f t="shared" si="58"/>
        <v>0</v>
      </c>
      <c r="DJ48" s="12"/>
      <c r="DK48" s="13">
        <f t="shared" si="1"/>
        <v>0</v>
      </c>
      <c r="DL48" s="12"/>
      <c r="DM48" s="13">
        <f t="shared" si="72"/>
        <v>0</v>
      </c>
      <c r="DN48" s="12"/>
      <c r="DO48" s="13">
        <f t="shared" si="2"/>
        <v>0</v>
      </c>
      <c r="DP48" s="12"/>
      <c r="DQ48" s="13">
        <f t="shared" si="60"/>
        <v>0</v>
      </c>
      <c r="DR48" s="12"/>
      <c r="DS48" s="13">
        <f t="shared" si="61"/>
        <v>0</v>
      </c>
      <c r="DT48" s="12"/>
      <c r="DU48" s="13">
        <f t="shared" si="62"/>
        <v>0</v>
      </c>
      <c r="DV48" s="12"/>
      <c r="DW48" s="13">
        <f t="shared" si="63"/>
        <v>0</v>
      </c>
      <c r="DX48" s="12"/>
      <c r="DY48" s="13">
        <f t="shared" si="64"/>
        <v>0</v>
      </c>
      <c r="DZ48" s="12"/>
      <c r="EA48" s="13">
        <f t="shared" si="65"/>
        <v>0</v>
      </c>
      <c r="EB48" s="12"/>
      <c r="EC48" s="13">
        <f t="shared" si="66"/>
        <v>0</v>
      </c>
      <c r="ED48" s="12"/>
      <c r="EE48" s="13">
        <f t="shared" si="3"/>
        <v>0</v>
      </c>
      <c r="EF48" s="24">
        <f t="shared" si="67"/>
        <v>0</v>
      </c>
      <c r="EG48" s="13">
        <f t="shared" si="68"/>
        <v>0</v>
      </c>
    </row>
    <row r="49" spans="1:137" ht="18" customHeight="1" x14ac:dyDescent="0.5">
      <c r="A49" s="10">
        <v>41</v>
      </c>
      <c r="B49" s="11" t="s">
        <v>52</v>
      </c>
      <c r="C49" s="11" t="s">
        <v>17</v>
      </c>
      <c r="D49" s="10">
        <f>RANK(DF49,$DF$4:$DF$147)</f>
        <v>21</v>
      </c>
      <c r="E49" s="10">
        <v>1</v>
      </c>
      <c r="F49" s="10" t="s">
        <v>15</v>
      </c>
      <c r="G49" s="10"/>
      <c r="H49" s="12"/>
      <c r="I49" s="13">
        <f t="shared" si="4"/>
        <v>0</v>
      </c>
      <c r="J49" s="12"/>
      <c r="K49" s="13">
        <f t="shared" si="5"/>
        <v>0</v>
      </c>
      <c r="L49" s="12"/>
      <c r="M49" s="13">
        <f t="shared" si="6"/>
        <v>0</v>
      </c>
      <c r="N49" s="12"/>
      <c r="O49" s="13">
        <f t="shared" si="7"/>
        <v>0</v>
      </c>
      <c r="P49" s="12"/>
      <c r="Q49" s="13">
        <f t="shared" si="8"/>
        <v>0</v>
      </c>
      <c r="R49" s="12"/>
      <c r="S49" s="13">
        <f t="shared" si="9"/>
        <v>0</v>
      </c>
      <c r="T49" s="12"/>
      <c r="U49" s="13">
        <f t="shared" si="10"/>
        <v>0</v>
      </c>
      <c r="V49" s="12"/>
      <c r="W49" s="13">
        <f t="shared" si="11"/>
        <v>0</v>
      </c>
      <c r="X49" s="12"/>
      <c r="Y49" s="13">
        <f t="shared" si="12"/>
        <v>0</v>
      </c>
      <c r="Z49" s="12"/>
      <c r="AA49" s="13">
        <f t="shared" si="13"/>
        <v>0</v>
      </c>
      <c r="AB49" s="12"/>
      <c r="AC49" s="13">
        <f t="shared" si="14"/>
        <v>0</v>
      </c>
      <c r="AD49" s="12"/>
      <c r="AE49" s="13">
        <f t="shared" si="15"/>
        <v>0</v>
      </c>
      <c r="AF49" s="14">
        <f t="shared" si="16"/>
        <v>0</v>
      </c>
      <c r="AG49" s="15">
        <f t="shared" si="17"/>
        <v>0</v>
      </c>
      <c r="AH49" s="16"/>
      <c r="AI49" s="13">
        <f t="shared" si="18"/>
        <v>0</v>
      </c>
      <c r="AJ49" s="17"/>
      <c r="AK49" s="13">
        <f t="shared" si="19"/>
        <v>0</v>
      </c>
      <c r="AL49" s="17"/>
      <c r="AM49" s="13">
        <f t="shared" si="20"/>
        <v>0</v>
      </c>
      <c r="AN49" s="18"/>
      <c r="AO49" s="13">
        <f t="shared" si="21"/>
        <v>0</v>
      </c>
      <c r="AP49" s="17"/>
      <c r="AQ49" s="13">
        <f t="shared" si="22"/>
        <v>0</v>
      </c>
      <c r="AR49" s="17"/>
      <c r="AS49" s="13">
        <f t="shared" si="23"/>
        <v>0</v>
      </c>
      <c r="AT49" s="19"/>
      <c r="AU49" s="13">
        <f t="shared" si="24"/>
        <v>0</v>
      </c>
      <c r="AV49" s="17"/>
      <c r="AW49" s="13">
        <f t="shared" si="25"/>
        <v>0</v>
      </c>
      <c r="AX49" s="17"/>
      <c r="AY49" s="13">
        <f t="shared" si="26"/>
        <v>0</v>
      </c>
      <c r="AZ49" s="19"/>
      <c r="BA49" s="13">
        <f t="shared" si="27"/>
        <v>0</v>
      </c>
      <c r="BB49" s="20"/>
      <c r="BC49" s="13">
        <f t="shared" si="28"/>
        <v>0</v>
      </c>
      <c r="BD49" s="20"/>
      <c r="BE49" s="13">
        <f t="shared" si="29"/>
        <v>0</v>
      </c>
      <c r="BF49" s="14">
        <f t="shared" si="30"/>
        <v>0</v>
      </c>
      <c r="BG49" s="15">
        <f t="shared" si="31"/>
        <v>0</v>
      </c>
      <c r="BH49" s="18"/>
      <c r="BI49" s="57">
        <f t="shared" si="32"/>
        <v>0</v>
      </c>
      <c r="BJ49" s="18"/>
      <c r="BK49" s="57">
        <f t="shared" si="33"/>
        <v>0</v>
      </c>
      <c r="BL49" s="18"/>
      <c r="BM49" s="57">
        <f t="shared" si="34"/>
        <v>0</v>
      </c>
      <c r="BN49" s="18"/>
      <c r="BO49" s="57">
        <f t="shared" si="35"/>
        <v>0</v>
      </c>
      <c r="BP49" s="18"/>
      <c r="BQ49" s="57">
        <f t="shared" si="36"/>
        <v>0</v>
      </c>
      <c r="BR49" s="18"/>
      <c r="BS49" s="57">
        <f t="shared" si="37"/>
        <v>0</v>
      </c>
      <c r="BT49" s="18"/>
      <c r="BU49" s="57">
        <f t="shared" si="38"/>
        <v>0</v>
      </c>
      <c r="BV49" s="18"/>
      <c r="BW49" s="57">
        <f t="shared" si="39"/>
        <v>0</v>
      </c>
      <c r="BX49" s="18"/>
      <c r="BY49" s="57">
        <f t="shared" si="40"/>
        <v>0</v>
      </c>
      <c r="BZ49" s="18"/>
      <c r="CA49" s="57">
        <f t="shared" si="41"/>
        <v>0</v>
      </c>
      <c r="CB49" s="18"/>
      <c r="CC49" s="57">
        <f t="shared" si="42"/>
        <v>0</v>
      </c>
      <c r="CD49" s="18"/>
      <c r="CE49" s="57">
        <f t="shared" si="43"/>
        <v>0</v>
      </c>
      <c r="CF49" s="14">
        <f t="shared" si="44"/>
        <v>0</v>
      </c>
      <c r="CG49" s="15">
        <f t="shared" si="45"/>
        <v>0</v>
      </c>
      <c r="CH49" s="12"/>
      <c r="CI49" s="13">
        <f t="shared" si="46"/>
        <v>0</v>
      </c>
      <c r="CJ49" s="12"/>
      <c r="CK49" s="13">
        <f t="shared" si="47"/>
        <v>0</v>
      </c>
      <c r="CL49" s="12"/>
      <c r="CM49" s="13">
        <f t="shared" si="48"/>
        <v>0</v>
      </c>
      <c r="CN49" s="12"/>
      <c r="CO49" s="13">
        <f t="shared" si="49"/>
        <v>0</v>
      </c>
      <c r="CP49" s="12"/>
      <c r="CQ49" s="13">
        <f t="shared" si="50"/>
        <v>0</v>
      </c>
      <c r="CR49" s="12"/>
      <c r="CS49" s="13">
        <f t="shared" si="51"/>
        <v>0</v>
      </c>
      <c r="CT49" s="12"/>
      <c r="CU49" s="13">
        <f t="shared" si="52"/>
        <v>0</v>
      </c>
      <c r="CV49" s="12"/>
      <c r="CW49" s="13">
        <f t="shared" si="53"/>
        <v>0</v>
      </c>
      <c r="CX49" s="12"/>
      <c r="CY49" s="13">
        <f t="shared" si="54"/>
        <v>0</v>
      </c>
      <c r="CZ49" s="12"/>
      <c r="DA49" s="13">
        <f t="shared" si="55"/>
        <v>0</v>
      </c>
      <c r="DB49" s="12"/>
      <c r="DC49" s="13">
        <f t="shared" si="0"/>
        <v>0</v>
      </c>
      <c r="DD49" s="12"/>
      <c r="DE49" s="13">
        <f t="shared" si="0"/>
        <v>0</v>
      </c>
      <c r="DF49" s="64">
        <f t="shared" si="56"/>
        <v>0</v>
      </c>
      <c r="DG49" s="15">
        <f t="shared" si="57"/>
        <v>0</v>
      </c>
      <c r="DH49" s="12"/>
      <c r="DI49" s="13">
        <f t="shared" si="58"/>
        <v>0</v>
      </c>
      <c r="DJ49" s="12"/>
      <c r="DK49" s="13">
        <f t="shared" si="1"/>
        <v>0</v>
      </c>
      <c r="DL49" s="12"/>
      <c r="DM49" s="13">
        <f t="shared" si="72"/>
        <v>0</v>
      </c>
      <c r="DN49" s="12"/>
      <c r="DO49" s="13">
        <f t="shared" si="2"/>
        <v>0</v>
      </c>
      <c r="DP49" s="12"/>
      <c r="DQ49" s="13">
        <f t="shared" si="60"/>
        <v>0</v>
      </c>
      <c r="DR49" s="12"/>
      <c r="DS49" s="13">
        <f t="shared" si="61"/>
        <v>0</v>
      </c>
      <c r="DT49" s="12"/>
      <c r="DU49" s="13">
        <f t="shared" si="62"/>
        <v>0</v>
      </c>
      <c r="DV49" s="12"/>
      <c r="DW49" s="13">
        <f t="shared" si="63"/>
        <v>0</v>
      </c>
      <c r="DX49" s="12"/>
      <c r="DY49" s="13">
        <f t="shared" si="64"/>
        <v>0</v>
      </c>
      <c r="DZ49" s="12"/>
      <c r="EA49" s="13">
        <f t="shared" si="65"/>
        <v>0</v>
      </c>
      <c r="EB49" s="12"/>
      <c r="EC49" s="13">
        <f t="shared" si="66"/>
        <v>0</v>
      </c>
      <c r="ED49" s="12"/>
      <c r="EE49" s="13">
        <f t="shared" si="3"/>
        <v>0</v>
      </c>
      <c r="EF49" s="24">
        <f t="shared" si="67"/>
        <v>0</v>
      </c>
      <c r="EG49" s="13">
        <f t="shared" si="68"/>
        <v>0</v>
      </c>
    </row>
    <row r="50" spans="1:137" ht="18" customHeight="1" x14ac:dyDescent="0.5">
      <c r="A50" s="10">
        <v>42</v>
      </c>
      <c r="B50" s="11" t="s">
        <v>52</v>
      </c>
      <c r="C50" s="11" t="s">
        <v>17</v>
      </c>
      <c r="D50" s="10">
        <f>RANK(DF50,$DF$4:$DF$147)</f>
        <v>21</v>
      </c>
      <c r="E50" s="10">
        <v>1</v>
      </c>
      <c r="F50" s="10" t="s">
        <v>23</v>
      </c>
      <c r="G50" s="10"/>
      <c r="H50" s="12"/>
      <c r="I50" s="13">
        <f t="shared" si="4"/>
        <v>0</v>
      </c>
      <c r="J50" s="12"/>
      <c r="K50" s="13">
        <f t="shared" si="5"/>
        <v>0</v>
      </c>
      <c r="L50" s="12"/>
      <c r="M50" s="13">
        <f t="shared" si="6"/>
        <v>0</v>
      </c>
      <c r="N50" s="12"/>
      <c r="O50" s="13">
        <f t="shared" si="7"/>
        <v>0</v>
      </c>
      <c r="P50" s="12"/>
      <c r="Q50" s="13">
        <f t="shared" si="8"/>
        <v>0</v>
      </c>
      <c r="R50" s="12"/>
      <c r="S50" s="13">
        <f t="shared" si="9"/>
        <v>0</v>
      </c>
      <c r="T50" s="12"/>
      <c r="U50" s="13">
        <f t="shared" si="10"/>
        <v>0</v>
      </c>
      <c r="V50" s="12"/>
      <c r="W50" s="13">
        <f t="shared" si="11"/>
        <v>0</v>
      </c>
      <c r="X50" s="12"/>
      <c r="Y50" s="13">
        <f t="shared" si="12"/>
        <v>0</v>
      </c>
      <c r="Z50" s="12"/>
      <c r="AA50" s="13">
        <f t="shared" si="13"/>
        <v>0</v>
      </c>
      <c r="AB50" s="12"/>
      <c r="AC50" s="13">
        <f t="shared" si="14"/>
        <v>0</v>
      </c>
      <c r="AD50" s="12"/>
      <c r="AE50" s="13">
        <f t="shared" si="15"/>
        <v>0</v>
      </c>
      <c r="AF50" s="14">
        <f t="shared" si="16"/>
        <v>0</v>
      </c>
      <c r="AG50" s="15">
        <f t="shared" si="17"/>
        <v>0</v>
      </c>
      <c r="AH50" s="16"/>
      <c r="AI50" s="13">
        <f t="shared" si="18"/>
        <v>0</v>
      </c>
      <c r="AJ50" s="17"/>
      <c r="AK50" s="13">
        <f t="shared" si="19"/>
        <v>0</v>
      </c>
      <c r="AL50" s="17"/>
      <c r="AM50" s="13">
        <f t="shared" si="20"/>
        <v>0</v>
      </c>
      <c r="AN50" s="18"/>
      <c r="AO50" s="13">
        <f t="shared" si="21"/>
        <v>0</v>
      </c>
      <c r="AP50" s="17"/>
      <c r="AQ50" s="13">
        <f t="shared" si="22"/>
        <v>0</v>
      </c>
      <c r="AR50" s="17"/>
      <c r="AS50" s="13">
        <f t="shared" si="23"/>
        <v>0</v>
      </c>
      <c r="AT50" s="19"/>
      <c r="AU50" s="13">
        <f t="shared" si="24"/>
        <v>0</v>
      </c>
      <c r="AV50" s="17"/>
      <c r="AW50" s="13">
        <f t="shared" si="25"/>
        <v>0</v>
      </c>
      <c r="AX50" s="17"/>
      <c r="AY50" s="13">
        <f t="shared" si="26"/>
        <v>0</v>
      </c>
      <c r="AZ50" s="19"/>
      <c r="BA50" s="13">
        <f t="shared" si="27"/>
        <v>0</v>
      </c>
      <c r="BB50" s="20"/>
      <c r="BC50" s="13">
        <f t="shared" si="28"/>
        <v>0</v>
      </c>
      <c r="BD50" s="20"/>
      <c r="BE50" s="13">
        <f t="shared" si="29"/>
        <v>0</v>
      </c>
      <c r="BF50" s="14">
        <f t="shared" si="30"/>
        <v>0</v>
      </c>
      <c r="BG50" s="15">
        <f t="shared" si="31"/>
        <v>0</v>
      </c>
      <c r="BH50" s="18"/>
      <c r="BI50" s="57">
        <f t="shared" si="32"/>
        <v>0</v>
      </c>
      <c r="BJ50" s="18"/>
      <c r="BK50" s="57">
        <f t="shared" si="33"/>
        <v>0</v>
      </c>
      <c r="BL50" s="18"/>
      <c r="BM50" s="57">
        <f t="shared" si="34"/>
        <v>0</v>
      </c>
      <c r="BN50" s="18"/>
      <c r="BO50" s="57">
        <f t="shared" si="35"/>
        <v>0</v>
      </c>
      <c r="BP50" s="18"/>
      <c r="BQ50" s="57">
        <f t="shared" si="36"/>
        <v>0</v>
      </c>
      <c r="BR50" s="18"/>
      <c r="BS50" s="57">
        <f t="shared" si="37"/>
        <v>0</v>
      </c>
      <c r="BT50" s="18"/>
      <c r="BU50" s="57">
        <f t="shared" si="38"/>
        <v>0</v>
      </c>
      <c r="BV50" s="18"/>
      <c r="BW50" s="57">
        <f t="shared" si="39"/>
        <v>0</v>
      </c>
      <c r="BX50" s="18"/>
      <c r="BY50" s="57">
        <f t="shared" si="40"/>
        <v>0</v>
      </c>
      <c r="BZ50" s="18"/>
      <c r="CA50" s="57">
        <f t="shared" si="41"/>
        <v>0</v>
      </c>
      <c r="CB50" s="18"/>
      <c r="CC50" s="57">
        <f t="shared" si="42"/>
        <v>0</v>
      </c>
      <c r="CD50" s="18"/>
      <c r="CE50" s="57">
        <f t="shared" si="43"/>
        <v>0</v>
      </c>
      <c r="CF50" s="14">
        <f t="shared" si="44"/>
        <v>0</v>
      </c>
      <c r="CG50" s="15">
        <f t="shared" si="45"/>
        <v>0</v>
      </c>
      <c r="CH50" s="12"/>
      <c r="CI50" s="13">
        <f t="shared" si="46"/>
        <v>0</v>
      </c>
      <c r="CJ50" s="12"/>
      <c r="CK50" s="13">
        <f t="shared" si="47"/>
        <v>0</v>
      </c>
      <c r="CL50" s="12"/>
      <c r="CM50" s="13">
        <f t="shared" si="48"/>
        <v>0</v>
      </c>
      <c r="CN50" s="12"/>
      <c r="CO50" s="13">
        <f t="shared" si="49"/>
        <v>0</v>
      </c>
      <c r="CP50" s="12"/>
      <c r="CQ50" s="13">
        <f t="shared" si="50"/>
        <v>0</v>
      </c>
      <c r="CR50" s="12"/>
      <c r="CS50" s="13">
        <f t="shared" si="51"/>
        <v>0</v>
      </c>
      <c r="CT50" s="12"/>
      <c r="CU50" s="13">
        <f t="shared" si="52"/>
        <v>0</v>
      </c>
      <c r="CV50" s="12"/>
      <c r="CW50" s="13">
        <f t="shared" si="53"/>
        <v>0</v>
      </c>
      <c r="CX50" s="12"/>
      <c r="CY50" s="13">
        <f t="shared" si="54"/>
        <v>0</v>
      </c>
      <c r="CZ50" s="12"/>
      <c r="DA50" s="13">
        <f t="shared" si="55"/>
        <v>0</v>
      </c>
      <c r="DB50" s="12"/>
      <c r="DC50" s="13">
        <f t="shared" si="0"/>
        <v>0</v>
      </c>
      <c r="DD50" s="12"/>
      <c r="DE50" s="13">
        <f t="shared" si="0"/>
        <v>0</v>
      </c>
      <c r="DF50" s="64">
        <f t="shared" si="56"/>
        <v>0</v>
      </c>
      <c r="DG50" s="15">
        <f t="shared" si="57"/>
        <v>0</v>
      </c>
      <c r="DH50" s="12"/>
      <c r="DI50" s="13">
        <f t="shared" si="58"/>
        <v>0</v>
      </c>
      <c r="DJ50" s="12"/>
      <c r="DK50" s="13">
        <f t="shared" si="1"/>
        <v>0</v>
      </c>
      <c r="DL50" s="12"/>
      <c r="DM50" s="13">
        <f t="shared" si="72"/>
        <v>0</v>
      </c>
      <c r="DN50" s="12"/>
      <c r="DO50" s="13">
        <f t="shared" si="2"/>
        <v>0</v>
      </c>
      <c r="DP50" s="12"/>
      <c r="DQ50" s="13">
        <f t="shared" si="60"/>
        <v>0</v>
      </c>
      <c r="DR50" s="12"/>
      <c r="DS50" s="13">
        <f t="shared" si="61"/>
        <v>0</v>
      </c>
      <c r="DT50" s="12"/>
      <c r="DU50" s="13">
        <f t="shared" si="62"/>
        <v>0</v>
      </c>
      <c r="DV50" s="12"/>
      <c r="DW50" s="13">
        <f t="shared" si="63"/>
        <v>0</v>
      </c>
      <c r="DX50" s="12"/>
      <c r="DY50" s="13">
        <f t="shared" si="64"/>
        <v>0</v>
      </c>
      <c r="DZ50" s="12"/>
      <c r="EA50" s="13">
        <f t="shared" si="65"/>
        <v>0</v>
      </c>
      <c r="EB50" s="12"/>
      <c r="EC50" s="13">
        <f t="shared" si="66"/>
        <v>0</v>
      </c>
      <c r="ED50" s="12"/>
      <c r="EE50" s="13">
        <f t="shared" si="3"/>
        <v>0</v>
      </c>
      <c r="EF50" s="24">
        <f t="shared" si="67"/>
        <v>0</v>
      </c>
      <c r="EG50" s="13">
        <f t="shared" si="68"/>
        <v>0</v>
      </c>
    </row>
    <row r="51" spans="1:137" ht="18" customHeight="1" x14ac:dyDescent="0.5">
      <c r="A51" s="10">
        <v>43</v>
      </c>
      <c r="B51" s="11" t="s">
        <v>53</v>
      </c>
      <c r="C51" s="11" t="s">
        <v>14</v>
      </c>
      <c r="D51" s="10">
        <f>RANK(DF51,$DF$4:$DF$147)</f>
        <v>21</v>
      </c>
      <c r="E51" s="10">
        <v>0.64</v>
      </c>
      <c r="F51" s="10" t="s">
        <v>25</v>
      </c>
      <c r="G51" s="10"/>
      <c r="H51" s="12"/>
      <c r="I51" s="13">
        <f t="shared" si="4"/>
        <v>0</v>
      </c>
      <c r="J51" s="12"/>
      <c r="K51" s="13">
        <f t="shared" si="5"/>
        <v>0</v>
      </c>
      <c r="L51" s="12"/>
      <c r="M51" s="13">
        <f t="shared" si="6"/>
        <v>0</v>
      </c>
      <c r="N51" s="12"/>
      <c r="O51" s="13">
        <f t="shared" si="7"/>
        <v>0</v>
      </c>
      <c r="P51" s="12"/>
      <c r="Q51" s="13">
        <f t="shared" si="8"/>
        <v>0</v>
      </c>
      <c r="R51" s="12"/>
      <c r="S51" s="13">
        <f t="shared" si="9"/>
        <v>0</v>
      </c>
      <c r="T51" s="12"/>
      <c r="U51" s="13">
        <f t="shared" si="10"/>
        <v>0</v>
      </c>
      <c r="V51" s="12"/>
      <c r="W51" s="13">
        <f t="shared" si="11"/>
        <v>0</v>
      </c>
      <c r="X51" s="12"/>
      <c r="Y51" s="13">
        <f t="shared" si="12"/>
        <v>0</v>
      </c>
      <c r="Z51" s="12"/>
      <c r="AA51" s="13">
        <f t="shared" si="13"/>
        <v>0</v>
      </c>
      <c r="AB51" s="12"/>
      <c r="AC51" s="13">
        <f t="shared" si="14"/>
        <v>0</v>
      </c>
      <c r="AD51" s="12"/>
      <c r="AE51" s="13">
        <f t="shared" si="15"/>
        <v>0</v>
      </c>
      <c r="AF51" s="14">
        <f t="shared" si="16"/>
        <v>0</v>
      </c>
      <c r="AG51" s="15">
        <f t="shared" si="17"/>
        <v>0</v>
      </c>
      <c r="AH51" s="16"/>
      <c r="AI51" s="13">
        <f t="shared" si="18"/>
        <v>0</v>
      </c>
      <c r="AJ51" s="17"/>
      <c r="AK51" s="13">
        <f t="shared" si="19"/>
        <v>0</v>
      </c>
      <c r="AL51" s="17"/>
      <c r="AM51" s="13">
        <f t="shared" si="20"/>
        <v>0</v>
      </c>
      <c r="AN51" s="18"/>
      <c r="AO51" s="13">
        <f t="shared" si="21"/>
        <v>0</v>
      </c>
      <c r="AP51" s="17"/>
      <c r="AQ51" s="13">
        <f t="shared" si="22"/>
        <v>0</v>
      </c>
      <c r="AR51" s="17"/>
      <c r="AS51" s="13">
        <f t="shared" si="23"/>
        <v>0</v>
      </c>
      <c r="AT51" s="19"/>
      <c r="AU51" s="13">
        <f t="shared" si="24"/>
        <v>0</v>
      </c>
      <c r="AV51" s="17"/>
      <c r="AW51" s="13">
        <f t="shared" si="25"/>
        <v>0</v>
      </c>
      <c r="AX51" s="17"/>
      <c r="AY51" s="13">
        <f t="shared" si="26"/>
        <v>0</v>
      </c>
      <c r="AZ51" s="19"/>
      <c r="BA51" s="13">
        <f t="shared" si="27"/>
        <v>0</v>
      </c>
      <c r="BB51" s="20"/>
      <c r="BC51" s="13">
        <f t="shared" si="28"/>
        <v>0</v>
      </c>
      <c r="BD51" s="20"/>
      <c r="BE51" s="13">
        <f t="shared" si="29"/>
        <v>0</v>
      </c>
      <c r="BF51" s="14">
        <f t="shared" si="30"/>
        <v>0</v>
      </c>
      <c r="BG51" s="15">
        <f t="shared" si="31"/>
        <v>0</v>
      </c>
      <c r="BH51" s="18"/>
      <c r="BI51" s="57">
        <f t="shared" si="32"/>
        <v>0</v>
      </c>
      <c r="BJ51" s="18"/>
      <c r="BK51" s="57">
        <f t="shared" si="33"/>
        <v>0</v>
      </c>
      <c r="BL51" s="18"/>
      <c r="BM51" s="57">
        <f t="shared" si="34"/>
        <v>0</v>
      </c>
      <c r="BN51" s="18"/>
      <c r="BO51" s="57">
        <f t="shared" si="35"/>
        <v>0</v>
      </c>
      <c r="BP51" s="18"/>
      <c r="BQ51" s="57">
        <f t="shared" si="36"/>
        <v>0</v>
      </c>
      <c r="BR51" s="18"/>
      <c r="BS51" s="57">
        <f t="shared" si="37"/>
        <v>0</v>
      </c>
      <c r="BT51" s="18"/>
      <c r="BU51" s="57">
        <f t="shared" si="38"/>
        <v>0</v>
      </c>
      <c r="BV51" s="18"/>
      <c r="BW51" s="57">
        <f t="shared" si="39"/>
        <v>0</v>
      </c>
      <c r="BX51" s="18"/>
      <c r="BY51" s="57">
        <f t="shared" si="40"/>
        <v>0</v>
      </c>
      <c r="BZ51" s="18"/>
      <c r="CA51" s="57">
        <f t="shared" si="41"/>
        <v>0</v>
      </c>
      <c r="CB51" s="18"/>
      <c r="CC51" s="57">
        <f t="shared" si="42"/>
        <v>0</v>
      </c>
      <c r="CD51" s="18"/>
      <c r="CE51" s="57">
        <f t="shared" si="43"/>
        <v>0</v>
      </c>
      <c r="CF51" s="14">
        <f t="shared" si="44"/>
        <v>0</v>
      </c>
      <c r="CG51" s="15">
        <f t="shared" si="45"/>
        <v>0</v>
      </c>
      <c r="CH51" s="12"/>
      <c r="CI51" s="13">
        <f t="shared" si="46"/>
        <v>0</v>
      </c>
      <c r="CJ51" s="12"/>
      <c r="CK51" s="13">
        <f t="shared" si="47"/>
        <v>0</v>
      </c>
      <c r="CL51" s="12"/>
      <c r="CM51" s="13">
        <f t="shared" si="48"/>
        <v>0</v>
      </c>
      <c r="CN51" s="12"/>
      <c r="CO51" s="13">
        <f t="shared" si="49"/>
        <v>0</v>
      </c>
      <c r="CP51" s="12"/>
      <c r="CQ51" s="13">
        <f t="shared" si="50"/>
        <v>0</v>
      </c>
      <c r="CR51" s="12"/>
      <c r="CS51" s="13">
        <f t="shared" si="51"/>
        <v>0</v>
      </c>
      <c r="CT51" s="12"/>
      <c r="CU51" s="13">
        <f t="shared" si="52"/>
        <v>0</v>
      </c>
      <c r="CV51" s="12"/>
      <c r="CW51" s="13">
        <f t="shared" si="53"/>
        <v>0</v>
      </c>
      <c r="CX51" s="12"/>
      <c r="CY51" s="13">
        <f t="shared" si="54"/>
        <v>0</v>
      </c>
      <c r="CZ51" s="12"/>
      <c r="DA51" s="13">
        <f t="shared" si="55"/>
        <v>0</v>
      </c>
      <c r="DB51" s="12"/>
      <c r="DC51" s="13">
        <f t="shared" si="0"/>
        <v>0</v>
      </c>
      <c r="DD51" s="12"/>
      <c r="DE51" s="13">
        <f t="shared" si="0"/>
        <v>0</v>
      </c>
      <c r="DF51" s="64">
        <f t="shared" si="56"/>
        <v>0</v>
      </c>
      <c r="DG51" s="15">
        <f t="shared" si="57"/>
        <v>0</v>
      </c>
      <c r="DH51" s="12"/>
      <c r="DI51" s="13">
        <f t="shared" si="58"/>
        <v>0</v>
      </c>
      <c r="DJ51" s="12"/>
      <c r="DK51" s="13">
        <f t="shared" si="1"/>
        <v>0</v>
      </c>
      <c r="DL51" s="12"/>
      <c r="DM51" s="13">
        <f t="shared" si="72"/>
        <v>0</v>
      </c>
      <c r="DN51" s="12"/>
      <c r="DO51" s="13">
        <f t="shared" si="2"/>
        <v>0</v>
      </c>
      <c r="DP51" s="12"/>
      <c r="DQ51" s="13">
        <f t="shared" si="60"/>
        <v>0</v>
      </c>
      <c r="DR51" s="12"/>
      <c r="DS51" s="13">
        <f t="shared" si="61"/>
        <v>0</v>
      </c>
      <c r="DT51" s="12"/>
      <c r="DU51" s="13">
        <f t="shared" si="62"/>
        <v>0</v>
      </c>
      <c r="DV51" s="12"/>
      <c r="DW51" s="13">
        <f t="shared" si="63"/>
        <v>0</v>
      </c>
      <c r="DX51" s="12"/>
      <c r="DY51" s="13">
        <f t="shared" si="64"/>
        <v>0</v>
      </c>
      <c r="DZ51" s="12"/>
      <c r="EA51" s="13">
        <f t="shared" si="65"/>
        <v>0</v>
      </c>
      <c r="EB51" s="12"/>
      <c r="EC51" s="13">
        <f t="shared" si="66"/>
        <v>0</v>
      </c>
      <c r="ED51" s="12"/>
      <c r="EE51" s="13">
        <f t="shared" si="3"/>
        <v>0</v>
      </c>
      <c r="EF51" s="24">
        <f t="shared" si="67"/>
        <v>0</v>
      </c>
      <c r="EG51" s="13">
        <f t="shared" si="68"/>
        <v>0</v>
      </c>
    </row>
    <row r="52" spans="1:137" ht="18" customHeight="1" x14ac:dyDescent="0.5">
      <c r="A52" s="10">
        <v>44</v>
      </c>
      <c r="B52" s="11" t="s">
        <v>53</v>
      </c>
      <c r="C52" s="11" t="s">
        <v>14</v>
      </c>
      <c r="D52" s="10">
        <f>RANK(DF52,$DF$4:$DF$147)</f>
        <v>21</v>
      </c>
      <c r="E52" s="10">
        <v>0.64</v>
      </c>
      <c r="F52" s="10" t="s">
        <v>23</v>
      </c>
      <c r="G52" s="10"/>
      <c r="H52" s="12"/>
      <c r="I52" s="13">
        <f t="shared" si="4"/>
        <v>0</v>
      </c>
      <c r="J52" s="12"/>
      <c r="K52" s="13">
        <f t="shared" si="5"/>
        <v>0</v>
      </c>
      <c r="L52" s="12"/>
      <c r="M52" s="13">
        <f t="shared" si="6"/>
        <v>0</v>
      </c>
      <c r="N52" s="12"/>
      <c r="O52" s="13">
        <f t="shared" si="7"/>
        <v>0</v>
      </c>
      <c r="P52" s="12"/>
      <c r="Q52" s="13">
        <f t="shared" si="8"/>
        <v>0</v>
      </c>
      <c r="R52" s="12"/>
      <c r="S52" s="13">
        <f t="shared" si="9"/>
        <v>0</v>
      </c>
      <c r="T52" s="12"/>
      <c r="U52" s="13">
        <f t="shared" si="10"/>
        <v>0</v>
      </c>
      <c r="V52" s="12"/>
      <c r="W52" s="13">
        <f t="shared" si="11"/>
        <v>0</v>
      </c>
      <c r="X52" s="12"/>
      <c r="Y52" s="13">
        <f t="shared" si="12"/>
        <v>0</v>
      </c>
      <c r="Z52" s="12"/>
      <c r="AA52" s="13">
        <f t="shared" si="13"/>
        <v>0</v>
      </c>
      <c r="AB52" s="12"/>
      <c r="AC52" s="13">
        <f t="shared" si="14"/>
        <v>0</v>
      </c>
      <c r="AD52" s="12"/>
      <c r="AE52" s="13">
        <f t="shared" si="15"/>
        <v>0</v>
      </c>
      <c r="AF52" s="14">
        <f t="shared" si="16"/>
        <v>0</v>
      </c>
      <c r="AG52" s="15">
        <f t="shared" si="17"/>
        <v>0</v>
      </c>
      <c r="AH52" s="16"/>
      <c r="AI52" s="13">
        <f t="shared" si="18"/>
        <v>0</v>
      </c>
      <c r="AJ52" s="17"/>
      <c r="AK52" s="13">
        <f t="shared" si="19"/>
        <v>0</v>
      </c>
      <c r="AL52" s="17"/>
      <c r="AM52" s="13">
        <f t="shared" si="20"/>
        <v>0</v>
      </c>
      <c r="AN52" s="18"/>
      <c r="AO52" s="13">
        <f t="shared" si="21"/>
        <v>0</v>
      </c>
      <c r="AP52" s="17"/>
      <c r="AQ52" s="13">
        <f t="shared" si="22"/>
        <v>0</v>
      </c>
      <c r="AR52" s="17"/>
      <c r="AS52" s="13">
        <f t="shared" si="23"/>
        <v>0</v>
      </c>
      <c r="AT52" s="19"/>
      <c r="AU52" s="13">
        <f t="shared" si="24"/>
        <v>0</v>
      </c>
      <c r="AV52" s="17"/>
      <c r="AW52" s="13">
        <f t="shared" si="25"/>
        <v>0</v>
      </c>
      <c r="AX52" s="17"/>
      <c r="AY52" s="13">
        <f t="shared" si="26"/>
        <v>0</v>
      </c>
      <c r="AZ52" s="19"/>
      <c r="BA52" s="13">
        <f t="shared" si="27"/>
        <v>0</v>
      </c>
      <c r="BB52" s="20"/>
      <c r="BC52" s="13">
        <f t="shared" si="28"/>
        <v>0</v>
      </c>
      <c r="BD52" s="20"/>
      <c r="BE52" s="13">
        <f t="shared" si="29"/>
        <v>0</v>
      </c>
      <c r="BF52" s="14">
        <f t="shared" si="30"/>
        <v>0</v>
      </c>
      <c r="BG52" s="15">
        <f t="shared" si="31"/>
        <v>0</v>
      </c>
      <c r="BH52" s="18"/>
      <c r="BI52" s="57">
        <f t="shared" si="32"/>
        <v>0</v>
      </c>
      <c r="BJ52" s="18"/>
      <c r="BK52" s="57">
        <f t="shared" si="33"/>
        <v>0</v>
      </c>
      <c r="BL52" s="18"/>
      <c r="BM52" s="57">
        <f t="shared" si="34"/>
        <v>0</v>
      </c>
      <c r="BN52" s="18"/>
      <c r="BO52" s="57">
        <f t="shared" si="35"/>
        <v>0</v>
      </c>
      <c r="BP52" s="18"/>
      <c r="BQ52" s="57">
        <f t="shared" si="36"/>
        <v>0</v>
      </c>
      <c r="BR52" s="18"/>
      <c r="BS52" s="57">
        <f t="shared" si="37"/>
        <v>0</v>
      </c>
      <c r="BT52" s="18"/>
      <c r="BU52" s="57">
        <f t="shared" si="38"/>
        <v>0</v>
      </c>
      <c r="BV52" s="18"/>
      <c r="BW52" s="57">
        <f t="shared" si="39"/>
        <v>0</v>
      </c>
      <c r="BX52" s="18"/>
      <c r="BY52" s="57">
        <f t="shared" si="40"/>
        <v>0</v>
      </c>
      <c r="BZ52" s="18"/>
      <c r="CA52" s="57">
        <f t="shared" si="41"/>
        <v>0</v>
      </c>
      <c r="CB52" s="18"/>
      <c r="CC52" s="57">
        <f t="shared" si="42"/>
        <v>0</v>
      </c>
      <c r="CD52" s="18"/>
      <c r="CE52" s="57">
        <f t="shared" si="43"/>
        <v>0</v>
      </c>
      <c r="CF52" s="14">
        <f t="shared" si="44"/>
        <v>0</v>
      </c>
      <c r="CG52" s="15">
        <f t="shared" si="45"/>
        <v>0</v>
      </c>
      <c r="CH52" s="12"/>
      <c r="CI52" s="13">
        <f t="shared" si="46"/>
        <v>0</v>
      </c>
      <c r="CJ52" s="12"/>
      <c r="CK52" s="13">
        <f t="shared" si="47"/>
        <v>0</v>
      </c>
      <c r="CL52" s="12"/>
      <c r="CM52" s="13">
        <f t="shared" si="48"/>
        <v>0</v>
      </c>
      <c r="CN52" s="12"/>
      <c r="CO52" s="13">
        <f t="shared" si="49"/>
        <v>0</v>
      </c>
      <c r="CP52" s="12"/>
      <c r="CQ52" s="13">
        <f t="shared" si="50"/>
        <v>0</v>
      </c>
      <c r="CR52" s="12"/>
      <c r="CS52" s="13">
        <f t="shared" si="51"/>
        <v>0</v>
      </c>
      <c r="CT52" s="12"/>
      <c r="CU52" s="13">
        <f t="shared" si="52"/>
        <v>0</v>
      </c>
      <c r="CV52" s="12"/>
      <c r="CW52" s="13">
        <f t="shared" si="53"/>
        <v>0</v>
      </c>
      <c r="CX52" s="12"/>
      <c r="CY52" s="13">
        <f t="shared" si="54"/>
        <v>0</v>
      </c>
      <c r="CZ52" s="12"/>
      <c r="DA52" s="13">
        <f t="shared" si="55"/>
        <v>0</v>
      </c>
      <c r="DB52" s="12"/>
      <c r="DC52" s="13">
        <f t="shared" si="0"/>
        <v>0</v>
      </c>
      <c r="DD52" s="12"/>
      <c r="DE52" s="13">
        <f t="shared" si="0"/>
        <v>0</v>
      </c>
      <c r="DF52" s="64">
        <f t="shared" si="56"/>
        <v>0</v>
      </c>
      <c r="DG52" s="15">
        <f t="shared" si="57"/>
        <v>0</v>
      </c>
      <c r="DH52" s="12"/>
      <c r="DI52" s="13">
        <f t="shared" si="58"/>
        <v>0</v>
      </c>
      <c r="DJ52" s="12"/>
      <c r="DK52" s="13">
        <f t="shared" si="1"/>
        <v>0</v>
      </c>
      <c r="DL52" s="12"/>
      <c r="DM52" s="13">
        <f t="shared" si="72"/>
        <v>0</v>
      </c>
      <c r="DN52" s="12"/>
      <c r="DO52" s="13">
        <f t="shared" si="2"/>
        <v>0</v>
      </c>
      <c r="DP52" s="12"/>
      <c r="DQ52" s="13">
        <f t="shared" si="60"/>
        <v>0</v>
      </c>
      <c r="DR52" s="12"/>
      <c r="DS52" s="13">
        <f t="shared" si="61"/>
        <v>0</v>
      </c>
      <c r="DT52" s="12"/>
      <c r="DU52" s="13">
        <f t="shared" si="62"/>
        <v>0</v>
      </c>
      <c r="DV52" s="12"/>
      <c r="DW52" s="13">
        <f t="shared" si="63"/>
        <v>0</v>
      </c>
      <c r="DX52" s="12"/>
      <c r="DY52" s="13">
        <f t="shared" si="64"/>
        <v>0</v>
      </c>
      <c r="DZ52" s="12"/>
      <c r="EA52" s="13">
        <f t="shared" si="65"/>
        <v>0</v>
      </c>
      <c r="EB52" s="12"/>
      <c r="EC52" s="13">
        <f t="shared" si="66"/>
        <v>0</v>
      </c>
      <c r="ED52" s="12"/>
      <c r="EE52" s="13">
        <f t="shared" si="3"/>
        <v>0</v>
      </c>
      <c r="EF52" s="24">
        <f t="shared" si="67"/>
        <v>0</v>
      </c>
      <c r="EG52" s="13">
        <f t="shared" si="68"/>
        <v>0</v>
      </c>
    </row>
    <row r="53" spans="1:137" ht="18" customHeight="1" x14ac:dyDescent="0.5">
      <c r="A53" s="10"/>
      <c r="B53" s="11"/>
      <c r="C53" s="11"/>
      <c r="D53" s="10"/>
      <c r="E53" s="10"/>
      <c r="F53" s="10"/>
      <c r="G53" s="10"/>
      <c r="H53" s="12"/>
      <c r="I53" s="13">
        <f t="shared" si="4"/>
        <v>0</v>
      </c>
      <c r="J53" s="12"/>
      <c r="K53" s="13">
        <f t="shared" si="5"/>
        <v>0</v>
      </c>
      <c r="L53" s="12"/>
      <c r="M53" s="13">
        <f t="shared" si="6"/>
        <v>0</v>
      </c>
      <c r="N53" s="12"/>
      <c r="O53" s="13">
        <f t="shared" si="7"/>
        <v>0</v>
      </c>
      <c r="P53" s="12"/>
      <c r="Q53" s="13">
        <f t="shared" si="8"/>
        <v>0</v>
      </c>
      <c r="R53" s="12"/>
      <c r="S53" s="13">
        <f t="shared" si="9"/>
        <v>0</v>
      </c>
      <c r="T53" s="12"/>
      <c r="U53" s="13">
        <f t="shared" si="10"/>
        <v>0</v>
      </c>
      <c r="V53" s="12"/>
      <c r="W53" s="13">
        <f t="shared" si="11"/>
        <v>0</v>
      </c>
      <c r="X53" s="12"/>
      <c r="Y53" s="13">
        <f t="shared" si="12"/>
        <v>0</v>
      </c>
      <c r="Z53" s="12"/>
      <c r="AA53" s="13">
        <f t="shared" si="13"/>
        <v>0</v>
      </c>
      <c r="AB53" s="12"/>
      <c r="AC53" s="13">
        <f t="shared" si="14"/>
        <v>0</v>
      </c>
      <c r="AD53" s="12"/>
      <c r="AE53" s="13">
        <f t="shared" si="15"/>
        <v>0</v>
      </c>
      <c r="AF53" s="14">
        <f t="shared" si="16"/>
        <v>0</v>
      </c>
      <c r="AG53" s="15">
        <f t="shared" si="17"/>
        <v>0</v>
      </c>
      <c r="AH53" s="16"/>
      <c r="AI53" s="13">
        <f t="shared" si="18"/>
        <v>0</v>
      </c>
      <c r="AJ53" s="17"/>
      <c r="AK53" s="13">
        <f t="shared" si="19"/>
        <v>0</v>
      </c>
      <c r="AL53" s="17"/>
      <c r="AM53" s="13">
        <f t="shared" si="20"/>
        <v>0</v>
      </c>
      <c r="AN53" s="18"/>
      <c r="AO53" s="13">
        <f t="shared" si="21"/>
        <v>0</v>
      </c>
      <c r="AP53" s="17"/>
      <c r="AQ53" s="13">
        <f t="shared" si="22"/>
        <v>0</v>
      </c>
      <c r="AR53" s="17"/>
      <c r="AS53" s="13">
        <f t="shared" si="23"/>
        <v>0</v>
      </c>
      <c r="AT53" s="19"/>
      <c r="AU53" s="13">
        <f t="shared" si="24"/>
        <v>0</v>
      </c>
      <c r="AV53" s="17"/>
      <c r="AW53" s="13">
        <f t="shared" si="25"/>
        <v>0</v>
      </c>
      <c r="AX53" s="17"/>
      <c r="AY53" s="13">
        <f t="shared" si="26"/>
        <v>0</v>
      </c>
      <c r="AZ53" s="19"/>
      <c r="BA53" s="13">
        <f t="shared" si="27"/>
        <v>0</v>
      </c>
      <c r="BB53" s="20"/>
      <c r="BC53" s="13">
        <f t="shared" si="28"/>
        <v>0</v>
      </c>
      <c r="BD53" s="20"/>
      <c r="BE53" s="13">
        <f t="shared" si="29"/>
        <v>0</v>
      </c>
      <c r="BF53" s="14">
        <f t="shared" si="30"/>
        <v>0</v>
      </c>
      <c r="BG53" s="15">
        <f t="shared" si="31"/>
        <v>0</v>
      </c>
      <c r="BH53" s="18"/>
      <c r="BI53" s="57">
        <f t="shared" si="32"/>
        <v>0</v>
      </c>
      <c r="BJ53" s="18"/>
      <c r="BK53" s="57">
        <f t="shared" si="33"/>
        <v>0</v>
      </c>
      <c r="BL53" s="18"/>
      <c r="BM53" s="57">
        <f t="shared" si="34"/>
        <v>0</v>
      </c>
      <c r="BN53" s="18"/>
      <c r="BO53" s="57">
        <f t="shared" si="35"/>
        <v>0</v>
      </c>
      <c r="BP53" s="18"/>
      <c r="BQ53" s="57">
        <f t="shared" si="36"/>
        <v>0</v>
      </c>
      <c r="BR53" s="18"/>
      <c r="BS53" s="57">
        <f t="shared" si="37"/>
        <v>0</v>
      </c>
      <c r="BT53" s="18"/>
      <c r="BU53" s="57">
        <f t="shared" si="38"/>
        <v>0</v>
      </c>
      <c r="BV53" s="18"/>
      <c r="BW53" s="57">
        <f t="shared" si="39"/>
        <v>0</v>
      </c>
      <c r="BX53" s="18"/>
      <c r="BY53" s="57">
        <f t="shared" si="40"/>
        <v>0</v>
      </c>
      <c r="BZ53" s="18"/>
      <c r="CA53" s="57">
        <f t="shared" si="41"/>
        <v>0</v>
      </c>
      <c r="CB53" s="18"/>
      <c r="CC53" s="57">
        <f t="shared" si="42"/>
        <v>0</v>
      </c>
      <c r="CD53" s="18"/>
      <c r="CE53" s="57">
        <f t="shared" si="43"/>
        <v>0</v>
      </c>
      <c r="CF53" s="14">
        <f t="shared" si="44"/>
        <v>0</v>
      </c>
      <c r="CG53" s="15">
        <f t="shared" si="45"/>
        <v>0</v>
      </c>
      <c r="CH53" s="12"/>
      <c r="CI53" s="13">
        <f t="shared" si="46"/>
        <v>0</v>
      </c>
      <c r="CJ53" s="12"/>
      <c r="CK53" s="13">
        <f t="shared" si="47"/>
        <v>0</v>
      </c>
      <c r="CL53" s="12"/>
      <c r="CM53" s="13">
        <f t="shared" si="48"/>
        <v>0</v>
      </c>
      <c r="CN53" s="12"/>
      <c r="CO53" s="13">
        <f t="shared" si="49"/>
        <v>0</v>
      </c>
      <c r="CP53" s="12"/>
      <c r="CQ53" s="13">
        <f t="shared" si="50"/>
        <v>0</v>
      </c>
      <c r="CR53" s="12"/>
      <c r="CS53" s="13">
        <f t="shared" si="51"/>
        <v>0</v>
      </c>
      <c r="CT53" s="12"/>
      <c r="CU53" s="13">
        <f t="shared" si="52"/>
        <v>0</v>
      </c>
      <c r="CV53" s="12"/>
      <c r="CW53" s="13">
        <f t="shared" si="53"/>
        <v>0</v>
      </c>
      <c r="CX53" s="12"/>
      <c r="CY53" s="13">
        <f t="shared" si="54"/>
        <v>0</v>
      </c>
      <c r="CZ53" s="12"/>
      <c r="DA53" s="13">
        <f t="shared" si="55"/>
        <v>0</v>
      </c>
      <c r="DB53" s="12"/>
      <c r="DC53" s="13">
        <f t="shared" si="0"/>
        <v>0</v>
      </c>
      <c r="DD53" s="12"/>
      <c r="DE53" s="13">
        <f t="shared" si="0"/>
        <v>0</v>
      </c>
      <c r="DF53" s="64">
        <f t="shared" si="56"/>
        <v>0</v>
      </c>
      <c r="DG53" s="15">
        <f t="shared" si="57"/>
        <v>0</v>
      </c>
      <c r="DH53" s="12"/>
      <c r="DI53" s="13">
        <f t="shared" si="58"/>
        <v>0</v>
      </c>
      <c r="DJ53" s="12"/>
      <c r="DK53" s="13">
        <f t="shared" si="1"/>
        <v>0</v>
      </c>
      <c r="DL53" s="12"/>
      <c r="DM53" s="13">
        <f t="shared" si="72"/>
        <v>0</v>
      </c>
      <c r="DN53" s="12"/>
      <c r="DO53" s="13">
        <f t="shared" si="2"/>
        <v>0</v>
      </c>
      <c r="DP53" s="12"/>
      <c r="DQ53" s="13">
        <f t="shared" si="60"/>
        <v>0</v>
      </c>
      <c r="DR53" s="12"/>
      <c r="DS53" s="13">
        <f t="shared" si="61"/>
        <v>0</v>
      </c>
      <c r="DT53" s="12"/>
      <c r="DU53" s="13">
        <f t="shared" si="62"/>
        <v>0</v>
      </c>
      <c r="DV53" s="12"/>
      <c r="DW53" s="13">
        <f t="shared" si="63"/>
        <v>0</v>
      </c>
      <c r="DX53" s="12"/>
      <c r="DY53" s="13">
        <f t="shared" si="64"/>
        <v>0</v>
      </c>
      <c r="DZ53" s="12"/>
      <c r="EA53" s="13">
        <f t="shared" si="65"/>
        <v>0</v>
      </c>
      <c r="EB53" s="12"/>
      <c r="EC53" s="13">
        <f t="shared" si="66"/>
        <v>0</v>
      </c>
      <c r="ED53" s="12"/>
      <c r="EE53" s="13">
        <f t="shared" si="3"/>
        <v>0</v>
      </c>
      <c r="EF53" s="24">
        <f t="shared" si="67"/>
        <v>0</v>
      </c>
      <c r="EG53" s="13">
        <f t="shared" si="68"/>
        <v>0</v>
      </c>
    </row>
    <row r="54" spans="1:137" ht="18" customHeight="1" x14ac:dyDescent="0.5">
      <c r="A54" s="10"/>
      <c r="B54" s="11"/>
      <c r="C54" s="11"/>
      <c r="D54" s="10"/>
      <c r="E54" s="10"/>
      <c r="F54" s="10"/>
      <c r="G54" s="10"/>
      <c r="H54" s="12"/>
      <c r="I54" s="13">
        <f t="shared" si="4"/>
        <v>0</v>
      </c>
      <c r="J54" s="12"/>
      <c r="K54" s="13">
        <f t="shared" si="5"/>
        <v>0</v>
      </c>
      <c r="L54" s="12"/>
      <c r="M54" s="13">
        <f t="shared" si="6"/>
        <v>0</v>
      </c>
      <c r="N54" s="12"/>
      <c r="O54" s="13">
        <f t="shared" si="7"/>
        <v>0</v>
      </c>
      <c r="P54" s="12"/>
      <c r="Q54" s="13">
        <f t="shared" si="8"/>
        <v>0</v>
      </c>
      <c r="R54" s="12"/>
      <c r="S54" s="13">
        <f t="shared" si="9"/>
        <v>0</v>
      </c>
      <c r="T54" s="12"/>
      <c r="U54" s="13">
        <f t="shared" si="10"/>
        <v>0</v>
      </c>
      <c r="V54" s="12"/>
      <c r="W54" s="13">
        <f t="shared" si="11"/>
        <v>0</v>
      </c>
      <c r="X54" s="12"/>
      <c r="Y54" s="13">
        <f t="shared" si="12"/>
        <v>0</v>
      </c>
      <c r="Z54" s="12"/>
      <c r="AA54" s="13">
        <f t="shared" si="13"/>
        <v>0</v>
      </c>
      <c r="AB54" s="12"/>
      <c r="AC54" s="13">
        <f t="shared" si="14"/>
        <v>0</v>
      </c>
      <c r="AD54" s="12"/>
      <c r="AE54" s="13">
        <f t="shared" si="15"/>
        <v>0</v>
      </c>
      <c r="AF54" s="14">
        <f t="shared" si="16"/>
        <v>0</v>
      </c>
      <c r="AG54" s="15">
        <f t="shared" si="17"/>
        <v>0</v>
      </c>
      <c r="AH54" s="16"/>
      <c r="AI54" s="13">
        <f t="shared" si="18"/>
        <v>0</v>
      </c>
      <c r="AJ54" s="17"/>
      <c r="AK54" s="13">
        <f t="shared" si="19"/>
        <v>0</v>
      </c>
      <c r="AL54" s="17"/>
      <c r="AM54" s="13">
        <f t="shared" si="20"/>
        <v>0</v>
      </c>
      <c r="AN54" s="18"/>
      <c r="AO54" s="13">
        <f t="shared" si="21"/>
        <v>0</v>
      </c>
      <c r="AP54" s="17"/>
      <c r="AQ54" s="13">
        <f t="shared" si="22"/>
        <v>0</v>
      </c>
      <c r="AR54" s="17"/>
      <c r="AS54" s="13">
        <f t="shared" si="23"/>
        <v>0</v>
      </c>
      <c r="AT54" s="19"/>
      <c r="AU54" s="13">
        <f t="shared" si="24"/>
        <v>0</v>
      </c>
      <c r="AV54" s="17"/>
      <c r="AW54" s="13">
        <f t="shared" si="25"/>
        <v>0</v>
      </c>
      <c r="AX54" s="17"/>
      <c r="AY54" s="13">
        <f t="shared" si="26"/>
        <v>0</v>
      </c>
      <c r="AZ54" s="19"/>
      <c r="BA54" s="13">
        <f t="shared" si="27"/>
        <v>0</v>
      </c>
      <c r="BB54" s="20"/>
      <c r="BC54" s="13">
        <f t="shared" si="28"/>
        <v>0</v>
      </c>
      <c r="BD54" s="20"/>
      <c r="BE54" s="13">
        <f t="shared" si="29"/>
        <v>0</v>
      </c>
      <c r="BF54" s="14">
        <f t="shared" si="30"/>
        <v>0</v>
      </c>
      <c r="BG54" s="15">
        <f t="shared" si="31"/>
        <v>0</v>
      </c>
      <c r="BH54" s="18"/>
      <c r="BI54" s="57">
        <f t="shared" si="32"/>
        <v>0</v>
      </c>
      <c r="BJ54" s="18"/>
      <c r="BK54" s="57">
        <f t="shared" si="33"/>
        <v>0</v>
      </c>
      <c r="BL54" s="18"/>
      <c r="BM54" s="57">
        <f t="shared" si="34"/>
        <v>0</v>
      </c>
      <c r="BN54" s="18"/>
      <c r="BO54" s="57">
        <f t="shared" si="35"/>
        <v>0</v>
      </c>
      <c r="BP54" s="18"/>
      <c r="BQ54" s="57">
        <f t="shared" si="36"/>
        <v>0</v>
      </c>
      <c r="BR54" s="18"/>
      <c r="BS54" s="57">
        <f t="shared" si="37"/>
        <v>0</v>
      </c>
      <c r="BT54" s="18"/>
      <c r="BU54" s="57">
        <f t="shared" si="38"/>
        <v>0</v>
      </c>
      <c r="BV54" s="18"/>
      <c r="BW54" s="57">
        <f t="shared" si="39"/>
        <v>0</v>
      </c>
      <c r="BX54" s="18"/>
      <c r="BY54" s="57">
        <f t="shared" si="40"/>
        <v>0</v>
      </c>
      <c r="BZ54" s="18"/>
      <c r="CA54" s="57">
        <f t="shared" si="41"/>
        <v>0</v>
      </c>
      <c r="CB54" s="18"/>
      <c r="CC54" s="57">
        <f t="shared" si="42"/>
        <v>0</v>
      </c>
      <c r="CD54" s="18"/>
      <c r="CE54" s="57">
        <f t="shared" si="43"/>
        <v>0</v>
      </c>
      <c r="CF54" s="14">
        <f t="shared" si="44"/>
        <v>0</v>
      </c>
      <c r="CG54" s="15">
        <f t="shared" si="45"/>
        <v>0</v>
      </c>
      <c r="CH54" s="12"/>
      <c r="CI54" s="13">
        <f t="shared" si="46"/>
        <v>0</v>
      </c>
      <c r="CJ54" s="12"/>
      <c r="CK54" s="13">
        <f t="shared" si="47"/>
        <v>0</v>
      </c>
      <c r="CL54" s="12"/>
      <c r="CM54" s="13">
        <f t="shared" si="48"/>
        <v>0</v>
      </c>
      <c r="CN54" s="12"/>
      <c r="CO54" s="13">
        <f t="shared" si="49"/>
        <v>0</v>
      </c>
      <c r="CP54" s="12"/>
      <c r="CQ54" s="13">
        <f t="shared" si="50"/>
        <v>0</v>
      </c>
      <c r="CR54" s="12"/>
      <c r="CS54" s="13">
        <f t="shared" si="51"/>
        <v>0</v>
      </c>
      <c r="CT54" s="12"/>
      <c r="CU54" s="13">
        <f t="shared" si="52"/>
        <v>0</v>
      </c>
      <c r="CV54" s="12"/>
      <c r="CW54" s="13">
        <f t="shared" si="53"/>
        <v>0</v>
      </c>
      <c r="CX54" s="12"/>
      <c r="CY54" s="13">
        <f t="shared" si="54"/>
        <v>0</v>
      </c>
      <c r="CZ54" s="12"/>
      <c r="DA54" s="13">
        <f t="shared" si="55"/>
        <v>0</v>
      </c>
      <c r="DB54" s="12"/>
      <c r="DC54" s="13">
        <f t="shared" si="0"/>
        <v>0</v>
      </c>
      <c r="DD54" s="12"/>
      <c r="DE54" s="13">
        <f t="shared" si="0"/>
        <v>0</v>
      </c>
      <c r="DF54" s="64">
        <f t="shared" si="56"/>
        <v>0</v>
      </c>
      <c r="DG54" s="15">
        <f t="shared" si="57"/>
        <v>0</v>
      </c>
      <c r="DH54" s="12"/>
      <c r="DI54" s="13">
        <f t="shared" si="58"/>
        <v>0</v>
      </c>
      <c r="DJ54" s="12"/>
      <c r="DK54" s="13">
        <f t="shared" si="1"/>
        <v>0</v>
      </c>
      <c r="DL54" s="12"/>
      <c r="DM54" s="13">
        <f t="shared" si="72"/>
        <v>0</v>
      </c>
      <c r="DN54" s="12"/>
      <c r="DO54" s="13">
        <f t="shared" si="2"/>
        <v>0</v>
      </c>
      <c r="DP54" s="12"/>
      <c r="DQ54" s="13">
        <f t="shared" si="60"/>
        <v>0</v>
      </c>
      <c r="DR54" s="12"/>
      <c r="DS54" s="13">
        <f t="shared" si="61"/>
        <v>0</v>
      </c>
      <c r="DT54" s="12"/>
      <c r="DU54" s="13">
        <f t="shared" si="62"/>
        <v>0</v>
      </c>
      <c r="DV54" s="12"/>
      <c r="DW54" s="13">
        <f t="shared" si="63"/>
        <v>0</v>
      </c>
      <c r="DX54" s="12"/>
      <c r="DY54" s="13">
        <f t="shared" si="64"/>
        <v>0</v>
      </c>
      <c r="DZ54" s="12"/>
      <c r="EA54" s="13">
        <f t="shared" si="65"/>
        <v>0</v>
      </c>
      <c r="EB54" s="12"/>
      <c r="EC54" s="13">
        <f t="shared" si="66"/>
        <v>0</v>
      </c>
      <c r="ED54" s="12"/>
      <c r="EE54" s="13">
        <f t="shared" si="3"/>
        <v>0</v>
      </c>
      <c r="EF54" s="24">
        <f t="shared" si="67"/>
        <v>0</v>
      </c>
      <c r="EG54" s="13">
        <f t="shared" si="68"/>
        <v>0</v>
      </c>
    </row>
    <row r="55" spans="1:137" ht="18" customHeight="1" x14ac:dyDescent="0.5">
      <c r="A55" s="10">
        <v>45</v>
      </c>
      <c r="B55" s="11" t="s">
        <v>54</v>
      </c>
      <c r="C55" s="11" t="s">
        <v>17</v>
      </c>
      <c r="D55" s="10">
        <f>RANK(DF55,$DF$4:$DF$147)</f>
        <v>21</v>
      </c>
      <c r="E55" s="10">
        <v>1</v>
      </c>
      <c r="F55" s="10" t="s">
        <v>15</v>
      </c>
      <c r="G55" s="10"/>
      <c r="H55" s="12"/>
      <c r="I55" s="13">
        <f t="shared" si="4"/>
        <v>0</v>
      </c>
      <c r="J55" s="12"/>
      <c r="K55" s="13">
        <f t="shared" si="5"/>
        <v>0</v>
      </c>
      <c r="L55" s="12"/>
      <c r="M55" s="13">
        <f t="shared" si="6"/>
        <v>0</v>
      </c>
      <c r="N55" s="12"/>
      <c r="O55" s="13">
        <f t="shared" si="7"/>
        <v>0</v>
      </c>
      <c r="P55" s="12"/>
      <c r="Q55" s="13">
        <f t="shared" si="8"/>
        <v>0</v>
      </c>
      <c r="R55" s="12"/>
      <c r="S55" s="13">
        <f t="shared" si="9"/>
        <v>0</v>
      </c>
      <c r="T55" s="12"/>
      <c r="U55" s="13">
        <f t="shared" si="10"/>
        <v>0</v>
      </c>
      <c r="V55" s="12"/>
      <c r="W55" s="13">
        <f t="shared" si="11"/>
        <v>0</v>
      </c>
      <c r="X55" s="12"/>
      <c r="Y55" s="13">
        <f t="shared" si="12"/>
        <v>0</v>
      </c>
      <c r="Z55" s="12"/>
      <c r="AA55" s="13">
        <f t="shared" si="13"/>
        <v>0</v>
      </c>
      <c r="AB55" s="12"/>
      <c r="AC55" s="13">
        <f t="shared" si="14"/>
        <v>0</v>
      </c>
      <c r="AD55" s="12"/>
      <c r="AE55" s="13">
        <f t="shared" si="15"/>
        <v>0</v>
      </c>
      <c r="AF55" s="14">
        <f t="shared" si="16"/>
        <v>0</v>
      </c>
      <c r="AG55" s="15">
        <f t="shared" si="17"/>
        <v>0</v>
      </c>
      <c r="AH55" s="16"/>
      <c r="AI55" s="13">
        <f t="shared" si="18"/>
        <v>0</v>
      </c>
      <c r="AJ55" s="17"/>
      <c r="AK55" s="13">
        <f t="shared" si="19"/>
        <v>0</v>
      </c>
      <c r="AL55" s="17"/>
      <c r="AM55" s="13">
        <f t="shared" si="20"/>
        <v>0</v>
      </c>
      <c r="AN55" s="18"/>
      <c r="AO55" s="13">
        <f t="shared" si="21"/>
        <v>0</v>
      </c>
      <c r="AP55" s="17"/>
      <c r="AQ55" s="13">
        <f t="shared" si="22"/>
        <v>0</v>
      </c>
      <c r="AR55" s="17"/>
      <c r="AS55" s="13">
        <f t="shared" si="23"/>
        <v>0</v>
      </c>
      <c r="AT55" s="19"/>
      <c r="AU55" s="13">
        <f t="shared" si="24"/>
        <v>0</v>
      </c>
      <c r="AV55" s="17"/>
      <c r="AW55" s="13">
        <f t="shared" si="25"/>
        <v>0</v>
      </c>
      <c r="AX55" s="17"/>
      <c r="AY55" s="13">
        <f t="shared" si="26"/>
        <v>0</v>
      </c>
      <c r="AZ55" s="19"/>
      <c r="BA55" s="13">
        <f t="shared" si="27"/>
        <v>0</v>
      </c>
      <c r="BB55" s="20"/>
      <c r="BC55" s="13">
        <f t="shared" si="28"/>
        <v>0</v>
      </c>
      <c r="BD55" s="20"/>
      <c r="BE55" s="13">
        <f t="shared" si="29"/>
        <v>0</v>
      </c>
      <c r="BF55" s="14">
        <f t="shared" si="30"/>
        <v>0</v>
      </c>
      <c r="BG55" s="15">
        <f t="shared" si="31"/>
        <v>0</v>
      </c>
      <c r="BH55" s="18"/>
      <c r="BI55" s="57">
        <f t="shared" si="32"/>
        <v>0</v>
      </c>
      <c r="BJ55" s="18"/>
      <c r="BK55" s="57">
        <f t="shared" si="33"/>
        <v>0</v>
      </c>
      <c r="BL55" s="18"/>
      <c r="BM55" s="57">
        <f t="shared" si="34"/>
        <v>0</v>
      </c>
      <c r="BN55" s="18"/>
      <c r="BO55" s="57">
        <f t="shared" si="35"/>
        <v>0</v>
      </c>
      <c r="BP55" s="18"/>
      <c r="BQ55" s="57">
        <f t="shared" si="36"/>
        <v>0</v>
      </c>
      <c r="BR55" s="18"/>
      <c r="BS55" s="57">
        <f t="shared" si="37"/>
        <v>0</v>
      </c>
      <c r="BT55" s="18"/>
      <c r="BU55" s="57">
        <f t="shared" si="38"/>
        <v>0</v>
      </c>
      <c r="BV55" s="18"/>
      <c r="BW55" s="57">
        <f t="shared" si="39"/>
        <v>0</v>
      </c>
      <c r="BX55" s="18"/>
      <c r="BY55" s="57">
        <f t="shared" si="40"/>
        <v>0</v>
      </c>
      <c r="BZ55" s="18"/>
      <c r="CA55" s="57">
        <f t="shared" si="41"/>
        <v>0</v>
      </c>
      <c r="CB55" s="18"/>
      <c r="CC55" s="57">
        <f t="shared" si="42"/>
        <v>0</v>
      </c>
      <c r="CD55" s="18"/>
      <c r="CE55" s="57">
        <f t="shared" si="43"/>
        <v>0</v>
      </c>
      <c r="CF55" s="14">
        <f t="shared" si="44"/>
        <v>0</v>
      </c>
      <c r="CG55" s="15">
        <f t="shared" si="45"/>
        <v>0</v>
      </c>
      <c r="CH55" s="12"/>
      <c r="CI55" s="13">
        <f t="shared" si="46"/>
        <v>0</v>
      </c>
      <c r="CJ55" s="12"/>
      <c r="CK55" s="13">
        <f t="shared" si="47"/>
        <v>0</v>
      </c>
      <c r="CL55" s="12"/>
      <c r="CM55" s="13">
        <f t="shared" si="48"/>
        <v>0</v>
      </c>
      <c r="CN55" s="12"/>
      <c r="CO55" s="13">
        <f t="shared" si="49"/>
        <v>0</v>
      </c>
      <c r="CP55" s="12"/>
      <c r="CQ55" s="13">
        <f t="shared" si="50"/>
        <v>0</v>
      </c>
      <c r="CR55" s="12"/>
      <c r="CS55" s="13">
        <f t="shared" si="51"/>
        <v>0</v>
      </c>
      <c r="CT55" s="12"/>
      <c r="CU55" s="13">
        <f t="shared" si="52"/>
        <v>0</v>
      </c>
      <c r="CV55" s="12"/>
      <c r="CW55" s="13">
        <f t="shared" si="53"/>
        <v>0</v>
      </c>
      <c r="CX55" s="12"/>
      <c r="CY55" s="13">
        <f t="shared" si="54"/>
        <v>0</v>
      </c>
      <c r="CZ55" s="12"/>
      <c r="DA55" s="13">
        <f t="shared" si="55"/>
        <v>0</v>
      </c>
      <c r="DB55" s="12"/>
      <c r="DC55" s="13">
        <f t="shared" si="0"/>
        <v>0</v>
      </c>
      <c r="DD55" s="12"/>
      <c r="DE55" s="13">
        <f t="shared" si="0"/>
        <v>0</v>
      </c>
      <c r="DF55" s="64">
        <f t="shared" si="56"/>
        <v>0</v>
      </c>
      <c r="DG55" s="15">
        <f t="shared" si="57"/>
        <v>0</v>
      </c>
      <c r="DH55" s="12"/>
      <c r="DI55" s="13">
        <f t="shared" si="58"/>
        <v>0</v>
      </c>
      <c r="DJ55" s="12"/>
      <c r="DK55" s="13">
        <f t="shared" si="1"/>
        <v>0</v>
      </c>
      <c r="DL55" s="12"/>
      <c r="DM55" s="13">
        <f t="shared" si="72"/>
        <v>0</v>
      </c>
      <c r="DN55" s="12"/>
      <c r="DO55" s="13">
        <f t="shared" si="2"/>
        <v>0</v>
      </c>
      <c r="DP55" s="12"/>
      <c r="DQ55" s="13">
        <f t="shared" si="60"/>
        <v>0</v>
      </c>
      <c r="DR55" s="12"/>
      <c r="DS55" s="13">
        <f t="shared" si="61"/>
        <v>0</v>
      </c>
      <c r="DT55" s="12"/>
      <c r="DU55" s="13">
        <f t="shared" si="62"/>
        <v>0</v>
      </c>
      <c r="DV55" s="12"/>
      <c r="DW55" s="13">
        <f t="shared" si="63"/>
        <v>0</v>
      </c>
      <c r="DX55" s="12"/>
      <c r="DY55" s="13">
        <f t="shared" si="64"/>
        <v>0</v>
      </c>
      <c r="DZ55" s="12"/>
      <c r="EA55" s="13">
        <f t="shared" si="65"/>
        <v>0</v>
      </c>
      <c r="EB55" s="12"/>
      <c r="EC55" s="13">
        <f t="shared" si="66"/>
        <v>0</v>
      </c>
      <c r="ED55" s="12"/>
      <c r="EE55" s="13">
        <f t="shared" si="3"/>
        <v>0</v>
      </c>
      <c r="EF55" s="24">
        <f t="shared" si="67"/>
        <v>0</v>
      </c>
      <c r="EG55" s="13">
        <f t="shared" si="68"/>
        <v>0</v>
      </c>
    </row>
    <row r="56" spans="1:137" ht="18" customHeight="1" x14ac:dyDescent="0.5">
      <c r="A56" s="10">
        <v>46</v>
      </c>
      <c r="B56" s="11" t="s">
        <v>55</v>
      </c>
      <c r="C56" s="11" t="s">
        <v>17</v>
      </c>
      <c r="D56" s="10">
        <f>RANK(DF56,$DF$4:$DF$147)</f>
        <v>21</v>
      </c>
      <c r="E56" s="10">
        <v>0.6</v>
      </c>
      <c r="F56" s="10" t="s">
        <v>15</v>
      </c>
      <c r="G56" s="10"/>
      <c r="H56" s="12"/>
      <c r="I56" s="13">
        <f t="shared" si="4"/>
        <v>0</v>
      </c>
      <c r="J56" s="12"/>
      <c r="K56" s="13">
        <f t="shared" si="5"/>
        <v>0</v>
      </c>
      <c r="L56" s="12"/>
      <c r="M56" s="13">
        <f t="shared" si="6"/>
        <v>0</v>
      </c>
      <c r="N56" s="12"/>
      <c r="O56" s="13">
        <f t="shared" si="7"/>
        <v>0</v>
      </c>
      <c r="P56" s="12"/>
      <c r="Q56" s="13">
        <f t="shared" si="8"/>
        <v>0</v>
      </c>
      <c r="R56" s="12"/>
      <c r="S56" s="13">
        <f t="shared" si="9"/>
        <v>0</v>
      </c>
      <c r="T56" s="12"/>
      <c r="U56" s="13">
        <f t="shared" si="10"/>
        <v>0</v>
      </c>
      <c r="V56" s="12"/>
      <c r="W56" s="13">
        <f t="shared" si="11"/>
        <v>0</v>
      </c>
      <c r="X56" s="12"/>
      <c r="Y56" s="13">
        <f t="shared" si="12"/>
        <v>0</v>
      </c>
      <c r="Z56" s="12"/>
      <c r="AA56" s="13">
        <f t="shared" si="13"/>
        <v>0</v>
      </c>
      <c r="AB56" s="12"/>
      <c r="AC56" s="13">
        <f t="shared" si="14"/>
        <v>0</v>
      </c>
      <c r="AD56" s="12"/>
      <c r="AE56" s="13">
        <f t="shared" si="15"/>
        <v>0</v>
      </c>
      <c r="AF56" s="14">
        <f t="shared" si="16"/>
        <v>0</v>
      </c>
      <c r="AG56" s="15">
        <f t="shared" si="17"/>
        <v>0</v>
      </c>
      <c r="AH56" s="16"/>
      <c r="AI56" s="13">
        <f t="shared" si="18"/>
        <v>0</v>
      </c>
      <c r="AJ56" s="17"/>
      <c r="AK56" s="13">
        <f t="shared" si="19"/>
        <v>0</v>
      </c>
      <c r="AL56" s="17"/>
      <c r="AM56" s="13">
        <f t="shared" si="20"/>
        <v>0</v>
      </c>
      <c r="AN56" s="18"/>
      <c r="AO56" s="13">
        <f t="shared" si="21"/>
        <v>0</v>
      </c>
      <c r="AP56" s="17"/>
      <c r="AQ56" s="13">
        <f t="shared" si="22"/>
        <v>0</v>
      </c>
      <c r="AR56" s="17"/>
      <c r="AS56" s="13">
        <f t="shared" si="23"/>
        <v>0</v>
      </c>
      <c r="AT56" s="19"/>
      <c r="AU56" s="13">
        <f t="shared" si="24"/>
        <v>0</v>
      </c>
      <c r="AV56" s="17"/>
      <c r="AW56" s="13">
        <f t="shared" si="25"/>
        <v>0</v>
      </c>
      <c r="AX56" s="17"/>
      <c r="AY56" s="13">
        <f t="shared" si="26"/>
        <v>0</v>
      </c>
      <c r="AZ56" s="19"/>
      <c r="BA56" s="13">
        <f t="shared" si="27"/>
        <v>0</v>
      </c>
      <c r="BB56" s="20"/>
      <c r="BC56" s="13">
        <f t="shared" si="28"/>
        <v>0</v>
      </c>
      <c r="BD56" s="20"/>
      <c r="BE56" s="13">
        <f t="shared" si="29"/>
        <v>0</v>
      </c>
      <c r="BF56" s="14">
        <f t="shared" si="30"/>
        <v>0</v>
      </c>
      <c r="BG56" s="15">
        <f t="shared" si="31"/>
        <v>0</v>
      </c>
      <c r="BH56" s="18"/>
      <c r="BI56" s="57">
        <f t="shared" si="32"/>
        <v>0</v>
      </c>
      <c r="BJ56" s="18"/>
      <c r="BK56" s="57">
        <f t="shared" si="33"/>
        <v>0</v>
      </c>
      <c r="BL56" s="18"/>
      <c r="BM56" s="57">
        <f t="shared" si="34"/>
        <v>0</v>
      </c>
      <c r="BN56" s="18"/>
      <c r="BO56" s="57">
        <f t="shared" si="35"/>
        <v>0</v>
      </c>
      <c r="BP56" s="18"/>
      <c r="BQ56" s="57">
        <f t="shared" si="36"/>
        <v>0</v>
      </c>
      <c r="BR56" s="18"/>
      <c r="BS56" s="57">
        <f t="shared" si="37"/>
        <v>0</v>
      </c>
      <c r="BT56" s="18"/>
      <c r="BU56" s="57">
        <f t="shared" si="38"/>
        <v>0</v>
      </c>
      <c r="BV56" s="18"/>
      <c r="BW56" s="57">
        <f t="shared" si="39"/>
        <v>0</v>
      </c>
      <c r="BX56" s="18"/>
      <c r="BY56" s="57">
        <f t="shared" si="40"/>
        <v>0</v>
      </c>
      <c r="BZ56" s="18"/>
      <c r="CA56" s="57">
        <f t="shared" si="41"/>
        <v>0</v>
      </c>
      <c r="CB56" s="18"/>
      <c r="CC56" s="57">
        <f t="shared" si="42"/>
        <v>0</v>
      </c>
      <c r="CD56" s="18"/>
      <c r="CE56" s="57">
        <f t="shared" si="43"/>
        <v>0</v>
      </c>
      <c r="CF56" s="14">
        <f t="shared" si="44"/>
        <v>0</v>
      </c>
      <c r="CG56" s="15">
        <f t="shared" si="45"/>
        <v>0</v>
      </c>
      <c r="CH56" s="12"/>
      <c r="CI56" s="13">
        <f t="shared" si="46"/>
        <v>0</v>
      </c>
      <c r="CJ56" s="12"/>
      <c r="CK56" s="13">
        <f t="shared" si="47"/>
        <v>0</v>
      </c>
      <c r="CL56" s="12"/>
      <c r="CM56" s="13">
        <f t="shared" si="48"/>
        <v>0</v>
      </c>
      <c r="CN56" s="12"/>
      <c r="CO56" s="13">
        <f t="shared" si="49"/>
        <v>0</v>
      </c>
      <c r="CP56" s="12"/>
      <c r="CQ56" s="13">
        <f t="shared" si="50"/>
        <v>0</v>
      </c>
      <c r="CR56" s="12"/>
      <c r="CS56" s="13">
        <f t="shared" si="51"/>
        <v>0</v>
      </c>
      <c r="CT56" s="12"/>
      <c r="CU56" s="13">
        <f t="shared" si="52"/>
        <v>0</v>
      </c>
      <c r="CV56" s="12"/>
      <c r="CW56" s="13">
        <f t="shared" si="53"/>
        <v>0</v>
      </c>
      <c r="CX56" s="12"/>
      <c r="CY56" s="13">
        <f t="shared" si="54"/>
        <v>0</v>
      </c>
      <c r="CZ56" s="12"/>
      <c r="DA56" s="13">
        <f t="shared" si="55"/>
        <v>0</v>
      </c>
      <c r="DB56" s="12"/>
      <c r="DC56" s="13">
        <f t="shared" si="0"/>
        <v>0</v>
      </c>
      <c r="DD56" s="12"/>
      <c r="DE56" s="13">
        <f t="shared" si="0"/>
        <v>0</v>
      </c>
      <c r="DF56" s="64">
        <f t="shared" si="56"/>
        <v>0</v>
      </c>
      <c r="DG56" s="15">
        <f t="shared" si="57"/>
        <v>0</v>
      </c>
      <c r="DH56" s="12"/>
      <c r="DI56" s="13">
        <f t="shared" si="58"/>
        <v>0</v>
      </c>
      <c r="DJ56" s="12"/>
      <c r="DK56" s="13">
        <f t="shared" si="1"/>
        <v>0</v>
      </c>
      <c r="DL56" s="12"/>
      <c r="DM56" s="13">
        <f t="shared" si="72"/>
        <v>0</v>
      </c>
      <c r="DN56" s="12"/>
      <c r="DO56" s="13">
        <f t="shared" si="2"/>
        <v>0</v>
      </c>
      <c r="DP56" s="12"/>
      <c r="DQ56" s="13">
        <f t="shared" si="60"/>
        <v>0</v>
      </c>
      <c r="DR56" s="12"/>
      <c r="DS56" s="13">
        <f t="shared" si="61"/>
        <v>0</v>
      </c>
      <c r="DT56" s="12"/>
      <c r="DU56" s="13">
        <f t="shared" si="62"/>
        <v>0</v>
      </c>
      <c r="DV56" s="12"/>
      <c r="DW56" s="13">
        <f t="shared" si="63"/>
        <v>0</v>
      </c>
      <c r="DX56" s="12"/>
      <c r="DY56" s="13">
        <f t="shared" si="64"/>
        <v>0</v>
      </c>
      <c r="DZ56" s="12"/>
      <c r="EA56" s="13">
        <f t="shared" si="65"/>
        <v>0</v>
      </c>
      <c r="EB56" s="12"/>
      <c r="EC56" s="13">
        <f t="shared" si="66"/>
        <v>0</v>
      </c>
      <c r="ED56" s="12"/>
      <c r="EE56" s="13">
        <f t="shared" si="3"/>
        <v>0</v>
      </c>
      <c r="EF56" s="24">
        <f t="shared" si="67"/>
        <v>0</v>
      </c>
      <c r="EG56" s="13">
        <f t="shared" si="68"/>
        <v>0</v>
      </c>
    </row>
    <row r="57" spans="1:137" ht="18" customHeight="1" x14ac:dyDescent="0.5">
      <c r="A57" s="10">
        <v>47</v>
      </c>
      <c r="B57" s="11" t="s">
        <v>56</v>
      </c>
      <c r="C57" s="11" t="s">
        <v>14</v>
      </c>
      <c r="D57" s="10">
        <f>RANK(DF57,$DF$4:$DF$147)</f>
        <v>21</v>
      </c>
      <c r="E57" s="10">
        <v>0.64</v>
      </c>
      <c r="F57" s="10" t="s">
        <v>25</v>
      </c>
      <c r="G57" s="10"/>
      <c r="H57" s="12"/>
      <c r="I57" s="13">
        <f t="shared" si="4"/>
        <v>0</v>
      </c>
      <c r="J57" s="12"/>
      <c r="K57" s="13">
        <f t="shared" si="5"/>
        <v>0</v>
      </c>
      <c r="L57" s="12"/>
      <c r="M57" s="13">
        <f t="shared" si="6"/>
        <v>0</v>
      </c>
      <c r="N57" s="12"/>
      <c r="O57" s="13">
        <f t="shared" si="7"/>
        <v>0</v>
      </c>
      <c r="P57" s="12"/>
      <c r="Q57" s="13">
        <f t="shared" si="8"/>
        <v>0</v>
      </c>
      <c r="R57" s="12"/>
      <c r="S57" s="13">
        <f t="shared" si="9"/>
        <v>0</v>
      </c>
      <c r="T57" s="12"/>
      <c r="U57" s="13">
        <f t="shared" si="10"/>
        <v>0</v>
      </c>
      <c r="V57" s="12"/>
      <c r="W57" s="13">
        <f t="shared" si="11"/>
        <v>0</v>
      </c>
      <c r="X57" s="12"/>
      <c r="Y57" s="13">
        <f t="shared" si="12"/>
        <v>0</v>
      </c>
      <c r="Z57" s="12"/>
      <c r="AA57" s="13">
        <f t="shared" si="13"/>
        <v>0</v>
      </c>
      <c r="AB57" s="12"/>
      <c r="AC57" s="13">
        <f t="shared" si="14"/>
        <v>0</v>
      </c>
      <c r="AD57" s="12"/>
      <c r="AE57" s="13">
        <f t="shared" si="15"/>
        <v>0</v>
      </c>
      <c r="AF57" s="14">
        <f t="shared" si="16"/>
        <v>0</v>
      </c>
      <c r="AG57" s="15">
        <f t="shared" si="17"/>
        <v>0</v>
      </c>
      <c r="AH57" s="16"/>
      <c r="AI57" s="13">
        <f t="shared" si="18"/>
        <v>0</v>
      </c>
      <c r="AJ57" s="17"/>
      <c r="AK57" s="13">
        <f t="shared" si="19"/>
        <v>0</v>
      </c>
      <c r="AL57" s="17"/>
      <c r="AM57" s="13">
        <f t="shared" si="20"/>
        <v>0</v>
      </c>
      <c r="AN57" s="18"/>
      <c r="AO57" s="13">
        <f t="shared" si="21"/>
        <v>0</v>
      </c>
      <c r="AP57" s="17"/>
      <c r="AQ57" s="13">
        <f t="shared" si="22"/>
        <v>0</v>
      </c>
      <c r="AR57" s="17"/>
      <c r="AS57" s="13">
        <f t="shared" si="23"/>
        <v>0</v>
      </c>
      <c r="AT57" s="19"/>
      <c r="AU57" s="13">
        <f t="shared" si="24"/>
        <v>0</v>
      </c>
      <c r="AV57" s="17"/>
      <c r="AW57" s="13">
        <f t="shared" si="25"/>
        <v>0</v>
      </c>
      <c r="AX57" s="17"/>
      <c r="AY57" s="13">
        <f t="shared" si="26"/>
        <v>0</v>
      </c>
      <c r="AZ57" s="19"/>
      <c r="BA57" s="13">
        <f t="shared" si="27"/>
        <v>0</v>
      </c>
      <c r="BB57" s="20"/>
      <c r="BC57" s="13">
        <f t="shared" si="28"/>
        <v>0</v>
      </c>
      <c r="BD57" s="20"/>
      <c r="BE57" s="13">
        <f t="shared" si="29"/>
        <v>0</v>
      </c>
      <c r="BF57" s="14">
        <f t="shared" si="30"/>
        <v>0</v>
      </c>
      <c r="BG57" s="15">
        <f t="shared" si="31"/>
        <v>0</v>
      </c>
      <c r="BH57" s="18"/>
      <c r="BI57" s="57">
        <f t="shared" si="32"/>
        <v>0</v>
      </c>
      <c r="BJ57" s="18"/>
      <c r="BK57" s="57">
        <f t="shared" si="33"/>
        <v>0</v>
      </c>
      <c r="BL57" s="18"/>
      <c r="BM57" s="57">
        <f t="shared" si="34"/>
        <v>0</v>
      </c>
      <c r="BN57" s="18"/>
      <c r="BO57" s="57">
        <f t="shared" si="35"/>
        <v>0</v>
      </c>
      <c r="BP57" s="18"/>
      <c r="BQ57" s="57">
        <f t="shared" si="36"/>
        <v>0</v>
      </c>
      <c r="BR57" s="18"/>
      <c r="BS57" s="57">
        <f t="shared" si="37"/>
        <v>0</v>
      </c>
      <c r="BT57" s="18"/>
      <c r="BU57" s="57">
        <f t="shared" si="38"/>
        <v>0</v>
      </c>
      <c r="BV57" s="18"/>
      <c r="BW57" s="57">
        <f t="shared" si="39"/>
        <v>0</v>
      </c>
      <c r="BX57" s="18"/>
      <c r="BY57" s="57">
        <f t="shared" si="40"/>
        <v>0</v>
      </c>
      <c r="BZ57" s="18"/>
      <c r="CA57" s="57">
        <f t="shared" si="41"/>
        <v>0</v>
      </c>
      <c r="CB57" s="18"/>
      <c r="CC57" s="57">
        <f t="shared" si="42"/>
        <v>0</v>
      </c>
      <c r="CD57" s="18"/>
      <c r="CE57" s="57">
        <f t="shared" si="43"/>
        <v>0</v>
      </c>
      <c r="CF57" s="14">
        <f t="shared" si="44"/>
        <v>0</v>
      </c>
      <c r="CG57" s="15">
        <f t="shared" si="45"/>
        <v>0</v>
      </c>
      <c r="CH57" s="12"/>
      <c r="CI57" s="13">
        <f t="shared" si="46"/>
        <v>0</v>
      </c>
      <c r="CJ57" s="12"/>
      <c r="CK57" s="13">
        <f t="shared" si="47"/>
        <v>0</v>
      </c>
      <c r="CL57" s="12"/>
      <c r="CM57" s="13">
        <f t="shared" si="48"/>
        <v>0</v>
      </c>
      <c r="CN57" s="12"/>
      <c r="CO57" s="13">
        <f t="shared" si="49"/>
        <v>0</v>
      </c>
      <c r="CP57" s="12"/>
      <c r="CQ57" s="13">
        <f t="shared" si="50"/>
        <v>0</v>
      </c>
      <c r="CR57" s="12"/>
      <c r="CS57" s="13">
        <f t="shared" si="51"/>
        <v>0</v>
      </c>
      <c r="CT57" s="12"/>
      <c r="CU57" s="13">
        <f t="shared" si="52"/>
        <v>0</v>
      </c>
      <c r="CV57" s="12"/>
      <c r="CW57" s="13">
        <f t="shared" si="53"/>
        <v>0</v>
      </c>
      <c r="CX57" s="12"/>
      <c r="CY57" s="13">
        <f t="shared" si="54"/>
        <v>0</v>
      </c>
      <c r="CZ57" s="12"/>
      <c r="DA57" s="13">
        <f t="shared" si="55"/>
        <v>0</v>
      </c>
      <c r="DB57" s="12"/>
      <c r="DC57" s="13">
        <f t="shared" si="0"/>
        <v>0</v>
      </c>
      <c r="DD57" s="12"/>
      <c r="DE57" s="13">
        <f t="shared" si="0"/>
        <v>0</v>
      </c>
      <c r="DF57" s="64">
        <f t="shared" si="56"/>
        <v>0</v>
      </c>
      <c r="DG57" s="15">
        <f t="shared" si="57"/>
        <v>0</v>
      </c>
      <c r="DH57" s="12"/>
      <c r="DI57" s="13">
        <f t="shared" si="58"/>
        <v>0</v>
      </c>
      <c r="DJ57" s="12"/>
      <c r="DK57" s="13">
        <f t="shared" si="1"/>
        <v>0</v>
      </c>
      <c r="DL57" s="12"/>
      <c r="DM57" s="13">
        <f t="shared" si="72"/>
        <v>0</v>
      </c>
      <c r="DN57" s="12"/>
      <c r="DO57" s="13">
        <f t="shared" si="2"/>
        <v>0</v>
      </c>
      <c r="DP57" s="12"/>
      <c r="DQ57" s="13">
        <f t="shared" si="60"/>
        <v>0</v>
      </c>
      <c r="DR57" s="12"/>
      <c r="DS57" s="13">
        <f t="shared" si="61"/>
        <v>0</v>
      </c>
      <c r="DT57" s="12"/>
      <c r="DU57" s="13">
        <f t="shared" si="62"/>
        <v>0</v>
      </c>
      <c r="DV57" s="12"/>
      <c r="DW57" s="13">
        <f t="shared" si="63"/>
        <v>0</v>
      </c>
      <c r="DX57" s="12"/>
      <c r="DY57" s="13">
        <f t="shared" si="64"/>
        <v>0</v>
      </c>
      <c r="DZ57" s="12"/>
      <c r="EA57" s="13">
        <f t="shared" si="65"/>
        <v>0</v>
      </c>
      <c r="EB57" s="12"/>
      <c r="EC57" s="13">
        <f t="shared" si="66"/>
        <v>0</v>
      </c>
      <c r="ED57" s="12"/>
      <c r="EE57" s="13">
        <f t="shared" si="3"/>
        <v>0</v>
      </c>
      <c r="EF57" s="24">
        <f t="shared" si="67"/>
        <v>0</v>
      </c>
      <c r="EG57" s="13">
        <f t="shared" si="68"/>
        <v>0</v>
      </c>
    </row>
    <row r="58" spans="1:137" ht="18" customHeight="1" x14ac:dyDescent="0.5">
      <c r="A58" s="10">
        <v>48</v>
      </c>
      <c r="B58" s="11" t="s">
        <v>56</v>
      </c>
      <c r="C58" s="11" t="s">
        <v>14</v>
      </c>
      <c r="D58" s="10">
        <f>RANK(DF58,$DF$4:$DF$147)</f>
        <v>21</v>
      </c>
      <c r="E58" s="10">
        <v>0.64</v>
      </c>
      <c r="F58" s="10" t="s">
        <v>23</v>
      </c>
      <c r="G58" s="10"/>
      <c r="H58" s="12"/>
      <c r="I58" s="13">
        <f t="shared" si="4"/>
        <v>0</v>
      </c>
      <c r="J58" s="12"/>
      <c r="K58" s="13">
        <f t="shared" si="5"/>
        <v>0</v>
      </c>
      <c r="L58" s="12"/>
      <c r="M58" s="13">
        <f t="shared" si="6"/>
        <v>0</v>
      </c>
      <c r="N58" s="12"/>
      <c r="O58" s="13">
        <f t="shared" si="7"/>
        <v>0</v>
      </c>
      <c r="P58" s="12"/>
      <c r="Q58" s="13">
        <f t="shared" si="8"/>
        <v>0</v>
      </c>
      <c r="R58" s="12"/>
      <c r="S58" s="13">
        <f t="shared" si="9"/>
        <v>0</v>
      </c>
      <c r="T58" s="12"/>
      <c r="U58" s="13">
        <f t="shared" si="10"/>
        <v>0</v>
      </c>
      <c r="V58" s="12"/>
      <c r="W58" s="13">
        <f t="shared" si="11"/>
        <v>0</v>
      </c>
      <c r="X58" s="12"/>
      <c r="Y58" s="13">
        <f t="shared" si="12"/>
        <v>0</v>
      </c>
      <c r="Z58" s="12"/>
      <c r="AA58" s="13">
        <f t="shared" si="13"/>
        <v>0</v>
      </c>
      <c r="AB58" s="12"/>
      <c r="AC58" s="13">
        <f t="shared" si="14"/>
        <v>0</v>
      </c>
      <c r="AD58" s="12"/>
      <c r="AE58" s="13">
        <f t="shared" si="15"/>
        <v>0</v>
      </c>
      <c r="AF58" s="14">
        <f t="shared" si="16"/>
        <v>0</v>
      </c>
      <c r="AG58" s="15">
        <f t="shared" si="17"/>
        <v>0</v>
      </c>
      <c r="AH58" s="16"/>
      <c r="AI58" s="13">
        <f t="shared" si="18"/>
        <v>0</v>
      </c>
      <c r="AJ58" s="17"/>
      <c r="AK58" s="13">
        <f t="shared" si="19"/>
        <v>0</v>
      </c>
      <c r="AL58" s="17"/>
      <c r="AM58" s="13">
        <f t="shared" si="20"/>
        <v>0</v>
      </c>
      <c r="AN58" s="18"/>
      <c r="AO58" s="13">
        <f t="shared" si="21"/>
        <v>0</v>
      </c>
      <c r="AP58" s="17"/>
      <c r="AQ58" s="13">
        <f t="shared" si="22"/>
        <v>0</v>
      </c>
      <c r="AR58" s="17"/>
      <c r="AS58" s="13">
        <f t="shared" si="23"/>
        <v>0</v>
      </c>
      <c r="AT58" s="19"/>
      <c r="AU58" s="13">
        <f t="shared" si="24"/>
        <v>0</v>
      </c>
      <c r="AV58" s="17"/>
      <c r="AW58" s="13">
        <f t="shared" si="25"/>
        <v>0</v>
      </c>
      <c r="AX58" s="17"/>
      <c r="AY58" s="13">
        <f t="shared" si="26"/>
        <v>0</v>
      </c>
      <c r="AZ58" s="19"/>
      <c r="BA58" s="13">
        <f t="shared" si="27"/>
        <v>0</v>
      </c>
      <c r="BB58" s="20"/>
      <c r="BC58" s="13">
        <f t="shared" si="28"/>
        <v>0</v>
      </c>
      <c r="BD58" s="20"/>
      <c r="BE58" s="13">
        <f t="shared" si="29"/>
        <v>0</v>
      </c>
      <c r="BF58" s="14">
        <f t="shared" si="30"/>
        <v>0</v>
      </c>
      <c r="BG58" s="15">
        <f t="shared" si="31"/>
        <v>0</v>
      </c>
      <c r="BH58" s="18"/>
      <c r="BI58" s="57">
        <f t="shared" si="32"/>
        <v>0</v>
      </c>
      <c r="BJ58" s="18"/>
      <c r="BK58" s="57">
        <f t="shared" si="33"/>
        <v>0</v>
      </c>
      <c r="BL58" s="18"/>
      <c r="BM58" s="57">
        <f t="shared" si="34"/>
        <v>0</v>
      </c>
      <c r="BN58" s="18"/>
      <c r="BO58" s="57">
        <f t="shared" si="35"/>
        <v>0</v>
      </c>
      <c r="BP58" s="18"/>
      <c r="BQ58" s="57">
        <f t="shared" si="36"/>
        <v>0</v>
      </c>
      <c r="BR58" s="18"/>
      <c r="BS58" s="57">
        <f t="shared" si="37"/>
        <v>0</v>
      </c>
      <c r="BT58" s="18"/>
      <c r="BU58" s="57">
        <f t="shared" si="38"/>
        <v>0</v>
      </c>
      <c r="BV58" s="18"/>
      <c r="BW58" s="57">
        <f t="shared" si="39"/>
        <v>0</v>
      </c>
      <c r="BX58" s="18"/>
      <c r="BY58" s="57">
        <f t="shared" si="40"/>
        <v>0</v>
      </c>
      <c r="BZ58" s="18"/>
      <c r="CA58" s="57">
        <f t="shared" si="41"/>
        <v>0</v>
      </c>
      <c r="CB58" s="18"/>
      <c r="CC58" s="57">
        <f t="shared" si="42"/>
        <v>0</v>
      </c>
      <c r="CD58" s="18"/>
      <c r="CE58" s="57">
        <f t="shared" si="43"/>
        <v>0</v>
      </c>
      <c r="CF58" s="14">
        <f t="shared" si="44"/>
        <v>0</v>
      </c>
      <c r="CG58" s="15">
        <f t="shared" si="45"/>
        <v>0</v>
      </c>
      <c r="CH58" s="12"/>
      <c r="CI58" s="13">
        <f t="shared" si="46"/>
        <v>0</v>
      </c>
      <c r="CJ58" s="12"/>
      <c r="CK58" s="13">
        <f t="shared" si="47"/>
        <v>0</v>
      </c>
      <c r="CL58" s="12"/>
      <c r="CM58" s="13">
        <f t="shared" si="48"/>
        <v>0</v>
      </c>
      <c r="CN58" s="12"/>
      <c r="CO58" s="13">
        <f t="shared" si="49"/>
        <v>0</v>
      </c>
      <c r="CP58" s="12"/>
      <c r="CQ58" s="13">
        <f t="shared" si="50"/>
        <v>0</v>
      </c>
      <c r="CR58" s="12"/>
      <c r="CS58" s="13">
        <f t="shared" si="51"/>
        <v>0</v>
      </c>
      <c r="CT58" s="12"/>
      <c r="CU58" s="13">
        <f t="shared" si="52"/>
        <v>0</v>
      </c>
      <c r="CV58" s="12"/>
      <c r="CW58" s="13">
        <f t="shared" si="53"/>
        <v>0</v>
      </c>
      <c r="CX58" s="12"/>
      <c r="CY58" s="13">
        <f t="shared" si="54"/>
        <v>0</v>
      </c>
      <c r="CZ58" s="12"/>
      <c r="DA58" s="13">
        <f t="shared" si="55"/>
        <v>0</v>
      </c>
      <c r="DB58" s="12"/>
      <c r="DC58" s="13">
        <f t="shared" si="0"/>
        <v>0</v>
      </c>
      <c r="DD58" s="12"/>
      <c r="DE58" s="13">
        <f t="shared" si="0"/>
        <v>0</v>
      </c>
      <c r="DF58" s="64">
        <f t="shared" si="56"/>
        <v>0</v>
      </c>
      <c r="DG58" s="15">
        <f t="shared" si="57"/>
        <v>0</v>
      </c>
      <c r="DH58" s="12"/>
      <c r="DI58" s="13">
        <f t="shared" si="58"/>
        <v>0</v>
      </c>
      <c r="DJ58" s="12"/>
      <c r="DK58" s="13">
        <f t="shared" si="1"/>
        <v>0</v>
      </c>
      <c r="DL58" s="12"/>
      <c r="DM58" s="13">
        <f t="shared" si="72"/>
        <v>0</v>
      </c>
      <c r="DN58" s="12"/>
      <c r="DO58" s="13">
        <f t="shared" si="2"/>
        <v>0</v>
      </c>
      <c r="DP58" s="12"/>
      <c r="DQ58" s="13">
        <f t="shared" si="60"/>
        <v>0</v>
      </c>
      <c r="DR58" s="12"/>
      <c r="DS58" s="13">
        <f t="shared" si="61"/>
        <v>0</v>
      </c>
      <c r="DT58" s="12"/>
      <c r="DU58" s="13">
        <f t="shared" si="62"/>
        <v>0</v>
      </c>
      <c r="DV58" s="12"/>
      <c r="DW58" s="13">
        <f t="shared" si="63"/>
        <v>0</v>
      </c>
      <c r="DX58" s="12"/>
      <c r="DY58" s="13">
        <f t="shared" si="64"/>
        <v>0</v>
      </c>
      <c r="DZ58" s="12"/>
      <c r="EA58" s="13">
        <f t="shared" si="65"/>
        <v>0</v>
      </c>
      <c r="EB58" s="12"/>
      <c r="EC58" s="13">
        <f t="shared" si="66"/>
        <v>0</v>
      </c>
      <c r="ED58" s="12"/>
      <c r="EE58" s="13">
        <f t="shared" si="3"/>
        <v>0</v>
      </c>
      <c r="EF58" s="24">
        <f t="shared" si="67"/>
        <v>0</v>
      </c>
      <c r="EG58" s="13">
        <f t="shared" si="68"/>
        <v>0</v>
      </c>
    </row>
    <row r="59" spans="1:137" ht="18" customHeight="1" x14ac:dyDescent="0.5">
      <c r="A59" s="10"/>
      <c r="B59" s="11"/>
      <c r="C59" s="11"/>
      <c r="D59" s="10"/>
      <c r="E59" s="10"/>
      <c r="F59" s="10"/>
      <c r="G59" s="10"/>
      <c r="H59" s="12"/>
      <c r="I59" s="13">
        <f t="shared" si="4"/>
        <v>0</v>
      </c>
      <c r="J59" s="12"/>
      <c r="K59" s="13">
        <f t="shared" si="5"/>
        <v>0</v>
      </c>
      <c r="L59" s="12"/>
      <c r="M59" s="13">
        <f t="shared" si="6"/>
        <v>0</v>
      </c>
      <c r="N59" s="12"/>
      <c r="O59" s="13">
        <f t="shared" si="7"/>
        <v>0</v>
      </c>
      <c r="P59" s="12"/>
      <c r="Q59" s="13">
        <f t="shared" si="8"/>
        <v>0</v>
      </c>
      <c r="R59" s="12"/>
      <c r="S59" s="13">
        <f t="shared" si="9"/>
        <v>0</v>
      </c>
      <c r="T59" s="12"/>
      <c r="U59" s="13">
        <f t="shared" si="10"/>
        <v>0</v>
      </c>
      <c r="V59" s="12"/>
      <c r="W59" s="13">
        <f t="shared" si="11"/>
        <v>0</v>
      </c>
      <c r="X59" s="12"/>
      <c r="Y59" s="13">
        <f t="shared" si="12"/>
        <v>0</v>
      </c>
      <c r="Z59" s="12"/>
      <c r="AA59" s="13">
        <f t="shared" si="13"/>
        <v>0</v>
      </c>
      <c r="AB59" s="12"/>
      <c r="AC59" s="13">
        <f t="shared" si="14"/>
        <v>0</v>
      </c>
      <c r="AD59" s="12"/>
      <c r="AE59" s="13">
        <f t="shared" si="15"/>
        <v>0</v>
      </c>
      <c r="AF59" s="14">
        <f t="shared" si="16"/>
        <v>0</v>
      </c>
      <c r="AG59" s="15">
        <f t="shared" si="17"/>
        <v>0</v>
      </c>
      <c r="AH59" s="16"/>
      <c r="AI59" s="13">
        <f t="shared" si="18"/>
        <v>0</v>
      </c>
      <c r="AJ59" s="17"/>
      <c r="AK59" s="13">
        <f t="shared" si="19"/>
        <v>0</v>
      </c>
      <c r="AL59" s="17"/>
      <c r="AM59" s="13">
        <f t="shared" si="20"/>
        <v>0</v>
      </c>
      <c r="AN59" s="18"/>
      <c r="AO59" s="13">
        <f t="shared" si="21"/>
        <v>0</v>
      </c>
      <c r="AP59" s="17"/>
      <c r="AQ59" s="13">
        <f t="shared" si="22"/>
        <v>0</v>
      </c>
      <c r="AR59" s="17"/>
      <c r="AS59" s="13">
        <f t="shared" si="23"/>
        <v>0</v>
      </c>
      <c r="AT59" s="19"/>
      <c r="AU59" s="13">
        <f t="shared" si="24"/>
        <v>0</v>
      </c>
      <c r="AV59" s="17"/>
      <c r="AW59" s="13">
        <f t="shared" si="25"/>
        <v>0</v>
      </c>
      <c r="AX59" s="17"/>
      <c r="AY59" s="13">
        <f t="shared" si="26"/>
        <v>0</v>
      </c>
      <c r="AZ59" s="19"/>
      <c r="BA59" s="13">
        <f t="shared" si="27"/>
        <v>0</v>
      </c>
      <c r="BB59" s="20"/>
      <c r="BC59" s="13">
        <f t="shared" si="28"/>
        <v>0</v>
      </c>
      <c r="BD59" s="20"/>
      <c r="BE59" s="13">
        <f t="shared" si="29"/>
        <v>0</v>
      </c>
      <c r="BF59" s="14">
        <f t="shared" si="30"/>
        <v>0</v>
      </c>
      <c r="BG59" s="15">
        <f t="shared" si="31"/>
        <v>0</v>
      </c>
      <c r="BH59" s="18"/>
      <c r="BI59" s="57">
        <f t="shared" si="32"/>
        <v>0</v>
      </c>
      <c r="BJ59" s="18"/>
      <c r="BK59" s="57">
        <f t="shared" si="33"/>
        <v>0</v>
      </c>
      <c r="BL59" s="18"/>
      <c r="BM59" s="57">
        <f t="shared" si="34"/>
        <v>0</v>
      </c>
      <c r="BN59" s="18"/>
      <c r="BO59" s="57">
        <f t="shared" si="35"/>
        <v>0</v>
      </c>
      <c r="BP59" s="18"/>
      <c r="BQ59" s="57">
        <f t="shared" si="36"/>
        <v>0</v>
      </c>
      <c r="BR59" s="18"/>
      <c r="BS59" s="57">
        <f t="shared" si="37"/>
        <v>0</v>
      </c>
      <c r="BT59" s="18"/>
      <c r="BU59" s="57">
        <f t="shared" si="38"/>
        <v>0</v>
      </c>
      <c r="BV59" s="18"/>
      <c r="BW59" s="57">
        <f t="shared" si="39"/>
        <v>0</v>
      </c>
      <c r="BX59" s="18"/>
      <c r="BY59" s="57">
        <f t="shared" si="40"/>
        <v>0</v>
      </c>
      <c r="BZ59" s="18"/>
      <c r="CA59" s="57">
        <f t="shared" si="41"/>
        <v>0</v>
      </c>
      <c r="CB59" s="18"/>
      <c r="CC59" s="57">
        <f t="shared" si="42"/>
        <v>0</v>
      </c>
      <c r="CD59" s="18"/>
      <c r="CE59" s="57">
        <f t="shared" si="43"/>
        <v>0</v>
      </c>
      <c r="CF59" s="14">
        <f t="shared" si="44"/>
        <v>0</v>
      </c>
      <c r="CG59" s="15">
        <f t="shared" si="45"/>
        <v>0</v>
      </c>
      <c r="CH59" s="12"/>
      <c r="CI59" s="13">
        <f t="shared" si="46"/>
        <v>0</v>
      </c>
      <c r="CJ59" s="12"/>
      <c r="CK59" s="13">
        <f t="shared" si="47"/>
        <v>0</v>
      </c>
      <c r="CL59" s="12"/>
      <c r="CM59" s="13">
        <f t="shared" si="48"/>
        <v>0</v>
      </c>
      <c r="CN59" s="12"/>
      <c r="CO59" s="13">
        <f t="shared" si="49"/>
        <v>0</v>
      </c>
      <c r="CP59" s="12"/>
      <c r="CQ59" s="13">
        <f t="shared" si="50"/>
        <v>0</v>
      </c>
      <c r="CR59" s="12"/>
      <c r="CS59" s="13">
        <f t="shared" si="51"/>
        <v>0</v>
      </c>
      <c r="CT59" s="12"/>
      <c r="CU59" s="13">
        <f t="shared" si="52"/>
        <v>0</v>
      </c>
      <c r="CV59" s="12"/>
      <c r="CW59" s="13">
        <f t="shared" si="53"/>
        <v>0</v>
      </c>
      <c r="CX59" s="12"/>
      <c r="CY59" s="13">
        <f t="shared" si="54"/>
        <v>0</v>
      </c>
      <c r="CZ59" s="12"/>
      <c r="DA59" s="13">
        <f t="shared" si="55"/>
        <v>0</v>
      </c>
      <c r="DB59" s="12"/>
      <c r="DC59" s="13">
        <f t="shared" si="0"/>
        <v>0</v>
      </c>
      <c r="DD59" s="12"/>
      <c r="DE59" s="13">
        <f t="shared" si="0"/>
        <v>0</v>
      </c>
      <c r="DF59" s="64">
        <f t="shared" si="56"/>
        <v>0</v>
      </c>
      <c r="DG59" s="15">
        <f t="shared" si="57"/>
        <v>0</v>
      </c>
      <c r="DH59" s="12"/>
      <c r="DI59" s="13">
        <f t="shared" si="58"/>
        <v>0</v>
      </c>
      <c r="DJ59" s="12"/>
      <c r="DK59" s="13">
        <f t="shared" si="1"/>
        <v>0</v>
      </c>
      <c r="DL59" s="12"/>
      <c r="DM59" s="13">
        <f t="shared" si="72"/>
        <v>0</v>
      </c>
      <c r="DN59" s="12"/>
      <c r="DO59" s="13">
        <f t="shared" si="2"/>
        <v>0</v>
      </c>
      <c r="DP59" s="12"/>
      <c r="DQ59" s="13">
        <f t="shared" si="60"/>
        <v>0</v>
      </c>
      <c r="DR59" s="12"/>
      <c r="DS59" s="13">
        <f t="shared" si="61"/>
        <v>0</v>
      </c>
      <c r="DT59" s="12"/>
      <c r="DU59" s="13">
        <f t="shared" si="62"/>
        <v>0</v>
      </c>
      <c r="DV59" s="12"/>
      <c r="DW59" s="13">
        <f t="shared" si="63"/>
        <v>0</v>
      </c>
      <c r="DX59" s="12"/>
      <c r="DY59" s="13">
        <f t="shared" si="64"/>
        <v>0</v>
      </c>
      <c r="DZ59" s="12"/>
      <c r="EA59" s="13">
        <f t="shared" si="65"/>
        <v>0</v>
      </c>
      <c r="EB59" s="12"/>
      <c r="EC59" s="13">
        <f t="shared" si="66"/>
        <v>0</v>
      </c>
      <c r="ED59" s="12"/>
      <c r="EE59" s="13">
        <f t="shared" si="3"/>
        <v>0</v>
      </c>
      <c r="EF59" s="24">
        <f t="shared" si="67"/>
        <v>0</v>
      </c>
      <c r="EG59" s="13">
        <f t="shared" si="68"/>
        <v>0</v>
      </c>
    </row>
    <row r="60" spans="1:137" ht="18" customHeight="1" x14ac:dyDescent="0.5">
      <c r="A60" s="10">
        <v>49</v>
      </c>
      <c r="B60" s="11" t="s">
        <v>57</v>
      </c>
      <c r="C60" s="11" t="s">
        <v>17</v>
      </c>
      <c r="D60" s="10">
        <f>RANK(DF60,$DF$4:$DF$147)</f>
        <v>15</v>
      </c>
      <c r="E60" s="10">
        <v>1</v>
      </c>
      <c r="F60" s="10" t="s">
        <v>15</v>
      </c>
      <c r="G60" s="10">
        <v>1720</v>
      </c>
      <c r="H60" s="12"/>
      <c r="I60" s="13">
        <f t="shared" si="4"/>
        <v>0</v>
      </c>
      <c r="J60" s="12"/>
      <c r="K60" s="13">
        <f t="shared" si="5"/>
        <v>0</v>
      </c>
      <c r="L60" s="12"/>
      <c r="M60" s="13">
        <f t="shared" si="6"/>
        <v>0</v>
      </c>
      <c r="N60" s="12"/>
      <c r="O60" s="13">
        <f t="shared" si="7"/>
        <v>0</v>
      </c>
      <c r="P60" s="12"/>
      <c r="Q60" s="13">
        <f t="shared" si="8"/>
        <v>0</v>
      </c>
      <c r="R60" s="12"/>
      <c r="S60" s="13">
        <f t="shared" si="9"/>
        <v>0</v>
      </c>
      <c r="T60" s="12"/>
      <c r="U60" s="13">
        <f t="shared" si="10"/>
        <v>0</v>
      </c>
      <c r="V60" s="12"/>
      <c r="W60" s="13">
        <f t="shared" si="11"/>
        <v>0</v>
      </c>
      <c r="X60" s="12"/>
      <c r="Y60" s="13">
        <f t="shared" si="12"/>
        <v>0</v>
      </c>
      <c r="Z60" s="12"/>
      <c r="AA60" s="13">
        <f t="shared" si="13"/>
        <v>0</v>
      </c>
      <c r="AB60" s="12"/>
      <c r="AC60" s="13">
        <f t="shared" si="14"/>
        <v>0</v>
      </c>
      <c r="AD60" s="12">
        <v>842</v>
      </c>
      <c r="AE60" s="13">
        <f t="shared" si="15"/>
        <v>842</v>
      </c>
      <c r="AF60" s="14">
        <f t="shared" si="16"/>
        <v>70.166666666666671</v>
      </c>
      <c r="AG60" s="15">
        <f t="shared" si="17"/>
        <v>70.166666666666671</v>
      </c>
      <c r="AH60" s="16">
        <v>756</v>
      </c>
      <c r="AI60" s="13">
        <f t="shared" si="18"/>
        <v>756</v>
      </c>
      <c r="AJ60" s="17">
        <v>574</v>
      </c>
      <c r="AK60" s="13">
        <f t="shared" si="19"/>
        <v>574</v>
      </c>
      <c r="AL60" s="17">
        <v>540</v>
      </c>
      <c r="AM60" s="13">
        <f t="shared" si="20"/>
        <v>540</v>
      </c>
      <c r="AN60" s="18">
        <v>204</v>
      </c>
      <c r="AO60" s="13">
        <f t="shared" si="21"/>
        <v>204</v>
      </c>
      <c r="AP60" s="17">
        <v>912</v>
      </c>
      <c r="AQ60" s="13">
        <f t="shared" si="22"/>
        <v>912</v>
      </c>
      <c r="AR60" s="17">
        <v>108</v>
      </c>
      <c r="AS60" s="13">
        <f t="shared" si="23"/>
        <v>108</v>
      </c>
      <c r="AT60" s="19"/>
      <c r="AU60" s="13">
        <f t="shared" si="24"/>
        <v>0</v>
      </c>
      <c r="AV60" s="17">
        <v>108</v>
      </c>
      <c r="AW60" s="13">
        <f t="shared" si="25"/>
        <v>108</v>
      </c>
      <c r="AX60" s="17">
        <v>264</v>
      </c>
      <c r="AY60" s="13">
        <f t="shared" si="26"/>
        <v>264</v>
      </c>
      <c r="AZ60" s="19">
        <v>252</v>
      </c>
      <c r="BA60" s="13">
        <f t="shared" si="27"/>
        <v>252</v>
      </c>
      <c r="BB60" s="20">
        <v>180</v>
      </c>
      <c r="BC60" s="13">
        <f t="shared" si="28"/>
        <v>180</v>
      </c>
      <c r="BD60" s="20">
        <v>204</v>
      </c>
      <c r="BE60" s="13">
        <f t="shared" si="29"/>
        <v>204</v>
      </c>
      <c r="BF60" s="14">
        <f t="shared" si="30"/>
        <v>341.83333333333331</v>
      </c>
      <c r="BG60" s="15">
        <f t="shared" si="31"/>
        <v>341.83333333333331</v>
      </c>
      <c r="BH60" s="23">
        <v>24</v>
      </c>
      <c r="BI60" s="57">
        <f t="shared" si="32"/>
        <v>24</v>
      </c>
      <c r="BJ60" s="23">
        <v>252</v>
      </c>
      <c r="BK60" s="57">
        <f t="shared" si="33"/>
        <v>252</v>
      </c>
      <c r="BL60" s="23">
        <v>24</v>
      </c>
      <c r="BM60" s="57">
        <f t="shared" si="34"/>
        <v>24</v>
      </c>
      <c r="BN60" s="23">
        <v>108</v>
      </c>
      <c r="BO60" s="57">
        <f t="shared" si="35"/>
        <v>108</v>
      </c>
      <c r="BP60" s="23">
        <v>24</v>
      </c>
      <c r="BQ60" s="57">
        <f t="shared" si="36"/>
        <v>24</v>
      </c>
      <c r="BR60" s="21">
        <v>156</v>
      </c>
      <c r="BS60" s="57">
        <f t="shared" si="37"/>
        <v>156</v>
      </c>
      <c r="BT60" s="23">
        <v>24</v>
      </c>
      <c r="BU60" s="57">
        <f t="shared" si="38"/>
        <v>24</v>
      </c>
      <c r="BV60" s="28">
        <v>216</v>
      </c>
      <c r="BW60" s="57">
        <f t="shared" si="39"/>
        <v>216</v>
      </c>
      <c r="BX60" s="58">
        <v>120</v>
      </c>
      <c r="BY60" s="57">
        <f t="shared" si="40"/>
        <v>120</v>
      </c>
      <c r="BZ60" s="58">
        <v>180</v>
      </c>
      <c r="CA60" s="57">
        <f t="shared" si="41"/>
        <v>180</v>
      </c>
      <c r="CB60" s="58">
        <v>132</v>
      </c>
      <c r="CC60" s="57">
        <f t="shared" si="42"/>
        <v>132</v>
      </c>
      <c r="CD60" s="58">
        <v>420</v>
      </c>
      <c r="CE60" s="57">
        <f t="shared" si="43"/>
        <v>420</v>
      </c>
      <c r="CF60" s="14">
        <f t="shared" si="44"/>
        <v>140</v>
      </c>
      <c r="CG60" s="15">
        <f t="shared" si="45"/>
        <v>140</v>
      </c>
      <c r="CH60" s="12">
        <v>84</v>
      </c>
      <c r="CI60" s="13">
        <f t="shared" si="46"/>
        <v>84</v>
      </c>
      <c r="CJ60" s="12">
        <v>36</v>
      </c>
      <c r="CK60" s="13">
        <f t="shared" si="47"/>
        <v>36</v>
      </c>
      <c r="CL60" s="12">
        <v>60</v>
      </c>
      <c r="CM60" s="13">
        <f t="shared" si="48"/>
        <v>60</v>
      </c>
      <c r="CN60" s="12">
        <v>96</v>
      </c>
      <c r="CO60" s="13">
        <f t="shared" si="49"/>
        <v>96</v>
      </c>
      <c r="CP60" s="12">
        <v>360</v>
      </c>
      <c r="CQ60" s="13">
        <f t="shared" si="50"/>
        <v>360</v>
      </c>
      <c r="CR60" s="12">
        <v>72</v>
      </c>
      <c r="CS60" s="13">
        <f t="shared" si="51"/>
        <v>72</v>
      </c>
      <c r="CT60" s="12">
        <v>336</v>
      </c>
      <c r="CU60" s="13">
        <f t="shared" si="52"/>
        <v>336</v>
      </c>
      <c r="CV60" s="12">
        <v>264</v>
      </c>
      <c r="CW60" s="13">
        <f t="shared" si="53"/>
        <v>264</v>
      </c>
      <c r="CX60" s="12">
        <v>228</v>
      </c>
      <c r="CY60" s="13">
        <f t="shared" si="54"/>
        <v>228</v>
      </c>
      <c r="CZ60" s="12">
        <v>168</v>
      </c>
      <c r="DA60" s="13">
        <f t="shared" si="55"/>
        <v>168</v>
      </c>
      <c r="DB60" s="12">
        <v>84</v>
      </c>
      <c r="DC60" s="13">
        <f t="shared" si="0"/>
        <v>84</v>
      </c>
      <c r="DD60" s="12">
        <v>84</v>
      </c>
      <c r="DE60" s="13">
        <f t="shared" si="0"/>
        <v>84</v>
      </c>
      <c r="DF60" s="64">
        <f t="shared" si="56"/>
        <v>1872</v>
      </c>
      <c r="DG60" s="15">
        <f t="shared" si="57"/>
        <v>1872</v>
      </c>
      <c r="DH60" s="12">
        <v>215</v>
      </c>
      <c r="DI60" s="13">
        <f t="shared" si="58"/>
        <v>215</v>
      </c>
      <c r="DJ60" s="12">
        <v>933</v>
      </c>
      <c r="DK60" s="13">
        <f t="shared" si="1"/>
        <v>933</v>
      </c>
      <c r="DL60" s="12">
        <v>2076</v>
      </c>
      <c r="DM60" s="13">
        <f t="shared" si="72"/>
        <v>2076</v>
      </c>
      <c r="DN60" s="12"/>
      <c r="DO60" s="13">
        <f t="shared" si="2"/>
        <v>0</v>
      </c>
      <c r="DP60" s="12"/>
      <c r="DQ60" s="13">
        <f t="shared" si="60"/>
        <v>0</v>
      </c>
      <c r="DR60" s="12"/>
      <c r="DS60" s="13">
        <f t="shared" si="61"/>
        <v>0</v>
      </c>
      <c r="DT60" s="12"/>
      <c r="DU60" s="13">
        <f t="shared" si="62"/>
        <v>0</v>
      </c>
      <c r="DV60" s="12"/>
      <c r="DW60" s="13">
        <f t="shared" si="63"/>
        <v>0</v>
      </c>
      <c r="DX60" s="12"/>
      <c r="DY60" s="13">
        <f t="shared" si="64"/>
        <v>0</v>
      </c>
      <c r="DZ60" s="12"/>
      <c r="EA60" s="13">
        <f t="shared" si="65"/>
        <v>0</v>
      </c>
      <c r="EB60" s="12"/>
      <c r="EC60" s="13">
        <f t="shared" si="66"/>
        <v>0</v>
      </c>
      <c r="ED60" s="12"/>
      <c r="EE60" s="13">
        <f t="shared" si="3"/>
        <v>0</v>
      </c>
      <c r="EF60" s="24">
        <f t="shared" si="67"/>
        <v>3224</v>
      </c>
      <c r="EG60" s="13">
        <f t="shared" si="68"/>
        <v>3224</v>
      </c>
    </row>
    <row r="61" spans="1:137" ht="18" customHeight="1" x14ac:dyDescent="0.5">
      <c r="A61" s="10">
        <v>50</v>
      </c>
      <c r="B61" s="29" t="s">
        <v>58</v>
      </c>
      <c r="C61" s="10"/>
      <c r="D61" s="10"/>
      <c r="E61" s="10">
        <v>0.6</v>
      </c>
      <c r="F61" s="10"/>
      <c r="G61" s="10"/>
      <c r="H61" s="12"/>
      <c r="I61" s="13">
        <f>H61*$E61</f>
        <v>0</v>
      </c>
      <c r="J61" s="12"/>
      <c r="K61" s="13">
        <f>J61*$E61</f>
        <v>0</v>
      </c>
      <c r="L61" s="12"/>
      <c r="M61" s="13">
        <f>L61*$E61</f>
        <v>0</v>
      </c>
      <c r="N61" s="12"/>
      <c r="O61" s="13">
        <f>N61*$E61</f>
        <v>0</v>
      </c>
      <c r="P61" s="12"/>
      <c r="Q61" s="13">
        <f>P61*$E61</f>
        <v>0</v>
      </c>
      <c r="R61" s="12"/>
      <c r="S61" s="13">
        <f>R61*$E61</f>
        <v>0</v>
      </c>
      <c r="T61" s="12"/>
      <c r="U61" s="13">
        <f>T61*$E61</f>
        <v>0</v>
      </c>
      <c r="V61" s="12"/>
      <c r="W61" s="13">
        <f>V61*$E61</f>
        <v>0</v>
      </c>
      <c r="X61" s="12"/>
      <c r="Y61" s="13">
        <f>X61*$E61</f>
        <v>0</v>
      </c>
      <c r="Z61" s="12"/>
      <c r="AA61" s="13">
        <f>Z61*$E61</f>
        <v>0</v>
      </c>
      <c r="AB61" s="12"/>
      <c r="AC61" s="13">
        <f>AB61*$E61</f>
        <v>0</v>
      </c>
      <c r="AD61" s="12"/>
      <c r="AE61" s="13">
        <f>AD61*$E61</f>
        <v>0</v>
      </c>
      <c r="AF61" s="14">
        <f>(AD61+AB61+Z61+X61+V61+T61+R61+P61+N61+L61+J61+H61)/12</f>
        <v>0</v>
      </c>
      <c r="AG61" s="15">
        <f>AF61*$E61</f>
        <v>0</v>
      </c>
      <c r="AH61" s="16"/>
      <c r="AI61" s="13">
        <f>AH61*$E61</f>
        <v>0</v>
      </c>
      <c r="AJ61" s="17"/>
      <c r="AK61" s="13">
        <f>AJ61*$E61</f>
        <v>0</v>
      </c>
      <c r="AL61" s="17"/>
      <c r="AM61" s="13">
        <f>AL61*$E61</f>
        <v>0</v>
      </c>
      <c r="AN61" s="18"/>
      <c r="AO61" s="13">
        <f>AN61*$E61</f>
        <v>0</v>
      </c>
      <c r="AP61" s="17"/>
      <c r="AQ61" s="13">
        <f>AP61*$E61</f>
        <v>0</v>
      </c>
      <c r="AR61" s="17"/>
      <c r="AS61" s="13">
        <f>AR61*$E61</f>
        <v>0</v>
      </c>
      <c r="AT61" s="19"/>
      <c r="AU61" s="13">
        <f>AT61*$E61</f>
        <v>0</v>
      </c>
      <c r="AV61" s="17"/>
      <c r="AW61" s="13">
        <f>AV61*$E61</f>
        <v>0</v>
      </c>
      <c r="AX61" s="17"/>
      <c r="AY61" s="13">
        <f>AX61*$E61</f>
        <v>0</v>
      </c>
      <c r="AZ61" s="19"/>
      <c r="BA61" s="13">
        <f>AZ61*$E61</f>
        <v>0</v>
      </c>
      <c r="BB61" s="20"/>
      <c r="BC61" s="13">
        <f>BB61*$E61</f>
        <v>0</v>
      </c>
      <c r="BD61" s="20"/>
      <c r="BE61" s="13">
        <f>BD61*$E61</f>
        <v>0</v>
      </c>
      <c r="BF61" s="14">
        <f>(BD61+BB61+AZ61+AX61+AV61+AT61+AR61+AP61+AN61+AL61+AJ61+AH61)/12</f>
        <v>0</v>
      </c>
      <c r="BG61" s="15">
        <f>BF61*$E61</f>
        <v>0</v>
      </c>
      <c r="BH61" s="18"/>
      <c r="BI61" s="57">
        <f>BH61*$E61</f>
        <v>0</v>
      </c>
      <c r="BJ61" s="18"/>
      <c r="BK61" s="57">
        <f>BJ61*$E61</f>
        <v>0</v>
      </c>
      <c r="BL61" s="18"/>
      <c r="BM61" s="57">
        <f>BL61*$E61</f>
        <v>0</v>
      </c>
      <c r="BN61" s="18"/>
      <c r="BO61" s="57">
        <f>BN61*$E61</f>
        <v>0</v>
      </c>
      <c r="BP61" s="18"/>
      <c r="BQ61" s="57">
        <f>BP61*$E61</f>
        <v>0</v>
      </c>
      <c r="BR61" s="18"/>
      <c r="BS61" s="57">
        <f>BR61*$E61</f>
        <v>0</v>
      </c>
      <c r="BT61" s="18"/>
      <c r="BU61" s="57">
        <f>BT61*$E61</f>
        <v>0</v>
      </c>
      <c r="BV61" s="18"/>
      <c r="BW61" s="57">
        <f>BV61*$E61</f>
        <v>0</v>
      </c>
      <c r="BX61" s="18"/>
      <c r="BY61" s="57">
        <f>BX61*$E61</f>
        <v>0</v>
      </c>
      <c r="BZ61" s="18"/>
      <c r="CA61" s="57">
        <f>BZ61*$E61</f>
        <v>0</v>
      </c>
      <c r="CB61" s="18"/>
      <c r="CC61" s="57">
        <f>CB61*$E61</f>
        <v>0</v>
      </c>
      <c r="CD61" s="18"/>
      <c r="CE61" s="57">
        <f>CD61*$E61</f>
        <v>0</v>
      </c>
      <c r="CF61" s="14">
        <f>(CD61+CB61+BZ61+BX61+BV61+BT61+BR61+BP61+BN61+BL61+BJ61+BH61)/12</f>
        <v>0</v>
      </c>
      <c r="CG61" s="15">
        <f>CF61*$E61</f>
        <v>0</v>
      </c>
      <c r="CH61" s="12"/>
      <c r="CI61" s="13">
        <f t="shared" si="46"/>
        <v>0</v>
      </c>
      <c r="CJ61" s="12"/>
      <c r="CK61" s="13">
        <f t="shared" si="47"/>
        <v>0</v>
      </c>
      <c r="CL61" s="12"/>
      <c r="CM61" s="13">
        <f t="shared" si="48"/>
        <v>0</v>
      </c>
      <c r="CN61" s="12"/>
      <c r="CO61" s="13">
        <f t="shared" si="49"/>
        <v>0</v>
      </c>
      <c r="CP61" s="12"/>
      <c r="CQ61" s="13">
        <f t="shared" si="50"/>
        <v>0</v>
      </c>
      <c r="CR61" s="12"/>
      <c r="CS61" s="13">
        <f t="shared" si="51"/>
        <v>0</v>
      </c>
      <c r="CT61" s="12"/>
      <c r="CU61" s="13">
        <f t="shared" si="52"/>
        <v>0</v>
      </c>
      <c r="CV61" s="12"/>
      <c r="CW61" s="13">
        <f t="shared" si="53"/>
        <v>0</v>
      </c>
      <c r="CX61" s="12"/>
      <c r="CY61" s="13">
        <f t="shared" si="54"/>
        <v>0</v>
      </c>
      <c r="CZ61" s="12"/>
      <c r="DA61" s="13">
        <f t="shared" si="55"/>
        <v>0</v>
      </c>
      <c r="DB61" s="12"/>
      <c r="DC61" s="13">
        <f t="shared" si="0"/>
        <v>0</v>
      </c>
      <c r="DD61" s="12"/>
      <c r="DE61" s="13">
        <f t="shared" si="0"/>
        <v>0</v>
      </c>
      <c r="DF61" s="64">
        <f t="shared" si="56"/>
        <v>0</v>
      </c>
      <c r="DG61" s="15">
        <f t="shared" si="57"/>
        <v>0</v>
      </c>
      <c r="DH61" s="12"/>
      <c r="DI61" s="13">
        <f t="shared" si="58"/>
        <v>0</v>
      </c>
      <c r="DJ61" s="12"/>
      <c r="DK61" s="13">
        <f t="shared" si="1"/>
        <v>0</v>
      </c>
      <c r="DL61" s="12"/>
      <c r="DM61" s="13">
        <f t="shared" si="72"/>
        <v>0</v>
      </c>
      <c r="DN61" s="12"/>
      <c r="DO61" s="13">
        <f t="shared" si="2"/>
        <v>0</v>
      </c>
      <c r="DP61" s="12"/>
      <c r="DQ61" s="13">
        <f t="shared" si="60"/>
        <v>0</v>
      </c>
      <c r="DR61" s="12"/>
      <c r="DS61" s="13">
        <f t="shared" si="61"/>
        <v>0</v>
      </c>
      <c r="DT61" s="12"/>
      <c r="DU61" s="13">
        <f t="shared" si="62"/>
        <v>0</v>
      </c>
      <c r="DV61" s="12"/>
      <c r="DW61" s="13">
        <f t="shared" si="63"/>
        <v>0</v>
      </c>
      <c r="DX61" s="12"/>
      <c r="DY61" s="13">
        <f t="shared" si="64"/>
        <v>0</v>
      </c>
      <c r="DZ61" s="12"/>
      <c r="EA61" s="13">
        <f t="shared" si="65"/>
        <v>0</v>
      </c>
      <c r="EB61" s="12"/>
      <c r="EC61" s="13">
        <f t="shared" si="66"/>
        <v>0</v>
      </c>
      <c r="ED61" s="12"/>
      <c r="EE61" s="13">
        <f t="shared" si="3"/>
        <v>0</v>
      </c>
      <c r="EF61" s="24">
        <f t="shared" si="67"/>
        <v>0</v>
      </c>
      <c r="EG61" s="13">
        <f t="shared" si="68"/>
        <v>0</v>
      </c>
    </row>
    <row r="62" spans="1:137" ht="18" customHeight="1" x14ac:dyDescent="0.5">
      <c r="A62" s="10">
        <v>51</v>
      </c>
      <c r="B62" s="11" t="s">
        <v>59</v>
      </c>
      <c r="C62" s="11" t="s">
        <v>17</v>
      </c>
      <c r="D62" s="10">
        <f>RANK(DF62,$DF$4:$DF$147)</f>
        <v>21</v>
      </c>
      <c r="E62" s="10">
        <v>0.35</v>
      </c>
      <c r="F62" s="10" t="s">
        <v>21</v>
      </c>
      <c r="G62" s="10"/>
      <c r="H62" s="12"/>
      <c r="I62" s="13">
        <f t="shared" si="4"/>
        <v>0</v>
      </c>
      <c r="J62" s="12"/>
      <c r="K62" s="13">
        <f t="shared" si="5"/>
        <v>0</v>
      </c>
      <c r="L62" s="12"/>
      <c r="M62" s="13">
        <f t="shared" si="6"/>
        <v>0</v>
      </c>
      <c r="N62" s="12"/>
      <c r="O62" s="13">
        <f t="shared" si="7"/>
        <v>0</v>
      </c>
      <c r="P62" s="12"/>
      <c r="Q62" s="13">
        <f t="shared" si="8"/>
        <v>0</v>
      </c>
      <c r="R62" s="12"/>
      <c r="S62" s="13">
        <f t="shared" si="9"/>
        <v>0</v>
      </c>
      <c r="T62" s="12"/>
      <c r="U62" s="13">
        <f t="shared" si="10"/>
        <v>0</v>
      </c>
      <c r="V62" s="12"/>
      <c r="W62" s="13">
        <f t="shared" si="11"/>
        <v>0</v>
      </c>
      <c r="X62" s="12"/>
      <c r="Y62" s="13">
        <f t="shared" si="12"/>
        <v>0</v>
      </c>
      <c r="Z62" s="12"/>
      <c r="AA62" s="13">
        <f t="shared" si="13"/>
        <v>0</v>
      </c>
      <c r="AB62" s="12"/>
      <c r="AC62" s="13">
        <f t="shared" si="14"/>
        <v>0</v>
      </c>
      <c r="AD62" s="12"/>
      <c r="AE62" s="13">
        <f t="shared" si="15"/>
        <v>0</v>
      </c>
      <c r="AF62" s="14">
        <f t="shared" si="16"/>
        <v>0</v>
      </c>
      <c r="AG62" s="15">
        <f t="shared" si="17"/>
        <v>0</v>
      </c>
      <c r="AH62" s="16"/>
      <c r="AI62" s="13">
        <f t="shared" si="18"/>
        <v>0</v>
      </c>
      <c r="AJ62" s="17"/>
      <c r="AK62" s="13">
        <f t="shared" si="19"/>
        <v>0</v>
      </c>
      <c r="AL62" s="17"/>
      <c r="AM62" s="13">
        <f t="shared" si="20"/>
        <v>0</v>
      </c>
      <c r="AN62" s="18"/>
      <c r="AO62" s="13">
        <f t="shared" si="21"/>
        <v>0</v>
      </c>
      <c r="AP62" s="17"/>
      <c r="AQ62" s="13">
        <f t="shared" si="22"/>
        <v>0</v>
      </c>
      <c r="AR62" s="17"/>
      <c r="AS62" s="13">
        <f t="shared" si="23"/>
        <v>0</v>
      </c>
      <c r="AT62" s="19"/>
      <c r="AU62" s="13">
        <f t="shared" si="24"/>
        <v>0</v>
      </c>
      <c r="AV62" s="17"/>
      <c r="AW62" s="13">
        <f t="shared" si="25"/>
        <v>0</v>
      </c>
      <c r="AX62" s="17"/>
      <c r="AY62" s="13">
        <f t="shared" si="26"/>
        <v>0</v>
      </c>
      <c r="AZ62" s="19"/>
      <c r="BA62" s="13">
        <f t="shared" si="27"/>
        <v>0</v>
      </c>
      <c r="BB62" s="20"/>
      <c r="BC62" s="13">
        <f t="shared" si="28"/>
        <v>0</v>
      </c>
      <c r="BD62" s="20"/>
      <c r="BE62" s="13">
        <f t="shared" si="29"/>
        <v>0</v>
      </c>
      <c r="BF62" s="14">
        <f t="shared" si="30"/>
        <v>0</v>
      </c>
      <c r="BG62" s="15">
        <f t="shared" si="31"/>
        <v>0</v>
      </c>
      <c r="BH62" s="18"/>
      <c r="BI62" s="57">
        <f t="shared" si="32"/>
        <v>0</v>
      </c>
      <c r="BJ62" s="18"/>
      <c r="BK62" s="57">
        <f t="shared" si="33"/>
        <v>0</v>
      </c>
      <c r="BL62" s="18"/>
      <c r="BM62" s="57">
        <f t="shared" si="34"/>
        <v>0</v>
      </c>
      <c r="BN62" s="18"/>
      <c r="BO62" s="57">
        <f t="shared" si="35"/>
        <v>0</v>
      </c>
      <c r="BP62" s="18"/>
      <c r="BQ62" s="57">
        <f t="shared" si="36"/>
        <v>0</v>
      </c>
      <c r="BR62" s="18"/>
      <c r="BS62" s="57">
        <f t="shared" si="37"/>
        <v>0</v>
      </c>
      <c r="BT62" s="18"/>
      <c r="BU62" s="57">
        <f t="shared" si="38"/>
        <v>0</v>
      </c>
      <c r="BV62" s="18"/>
      <c r="BW62" s="57">
        <f t="shared" si="39"/>
        <v>0</v>
      </c>
      <c r="BX62" s="18"/>
      <c r="BY62" s="57">
        <f t="shared" si="40"/>
        <v>0</v>
      </c>
      <c r="BZ62" s="18"/>
      <c r="CA62" s="57">
        <f t="shared" si="41"/>
        <v>0</v>
      </c>
      <c r="CB62" s="18"/>
      <c r="CC62" s="57">
        <f t="shared" si="42"/>
        <v>0</v>
      </c>
      <c r="CD62" s="18"/>
      <c r="CE62" s="57">
        <f t="shared" si="43"/>
        <v>0</v>
      </c>
      <c r="CF62" s="14">
        <f t="shared" si="44"/>
        <v>0</v>
      </c>
      <c r="CG62" s="15">
        <f t="shared" si="45"/>
        <v>0</v>
      </c>
      <c r="CH62" s="12"/>
      <c r="CI62" s="13">
        <f t="shared" si="46"/>
        <v>0</v>
      </c>
      <c r="CJ62" s="12"/>
      <c r="CK62" s="13">
        <f t="shared" si="47"/>
        <v>0</v>
      </c>
      <c r="CL62" s="12"/>
      <c r="CM62" s="13">
        <f t="shared" si="48"/>
        <v>0</v>
      </c>
      <c r="CN62" s="12"/>
      <c r="CO62" s="13">
        <f t="shared" si="49"/>
        <v>0</v>
      </c>
      <c r="CP62" s="12"/>
      <c r="CQ62" s="13">
        <f t="shared" si="50"/>
        <v>0</v>
      </c>
      <c r="CR62" s="12"/>
      <c r="CS62" s="13">
        <f t="shared" si="51"/>
        <v>0</v>
      </c>
      <c r="CT62" s="12"/>
      <c r="CU62" s="13"/>
      <c r="CV62" s="12"/>
      <c r="CW62" s="13">
        <f t="shared" si="53"/>
        <v>0</v>
      </c>
      <c r="CX62" s="12"/>
      <c r="CY62" s="13">
        <f t="shared" si="54"/>
        <v>0</v>
      </c>
      <c r="CZ62" s="12"/>
      <c r="DA62" s="13">
        <f t="shared" si="55"/>
        <v>0</v>
      </c>
      <c r="DB62" s="12"/>
      <c r="DC62" s="13">
        <f t="shared" si="0"/>
        <v>0</v>
      </c>
      <c r="DD62" s="12"/>
      <c r="DE62" s="13">
        <f t="shared" si="0"/>
        <v>0</v>
      </c>
      <c r="DF62" s="64">
        <f t="shared" si="56"/>
        <v>0</v>
      </c>
      <c r="DG62" s="15">
        <f t="shared" si="57"/>
        <v>0</v>
      </c>
      <c r="DH62" s="12"/>
      <c r="DI62" s="13">
        <f t="shared" si="58"/>
        <v>0</v>
      </c>
      <c r="DJ62" s="12"/>
      <c r="DK62" s="13">
        <f t="shared" si="1"/>
        <v>0</v>
      </c>
      <c r="DL62" s="12"/>
      <c r="DM62" s="13">
        <f t="shared" si="72"/>
        <v>0</v>
      </c>
      <c r="DN62" s="12"/>
      <c r="DO62" s="13">
        <f t="shared" si="2"/>
        <v>0</v>
      </c>
      <c r="DP62" s="12"/>
      <c r="DQ62" s="13">
        <f t="shared" si="60"/>
        <v>0</v>
      </c>
      <c r="DR62" s="12"/>
      <c r="DS62" s="13">
        <f t="shared" si="61"/>
        <v>0</v>
      </c>
      <c r="DT62" s="12"/>
      <c r="DU62" s="13"/>
      <c r="DV62" s="12"/>
      <c r="DW62" s="13">
        <f t="shared" si="63"/>
        <v>0</v>
      </c>
      <c r="DX62" s="12"/>
      <c r="DY62" s="13">
        <f t="shared" si="64"/>
        <v>0</v>
      </c>
      <c r="DZ62" s="12"/>
      <c r="EA62" s="13">
        <f t="shared" si="65"/>
        <v>0</v>
      </c>
      <c r="EB62" s="12"/>
      <c r="EC62" s="13">
        <f t="shared" si="66"/>
        <v>0</v>
      </c>
      <c r="ED62" s="12"/>
      <c r="EE62" s="13">
        <f t="shared" si="3"/>
        <v>0</v>
      </c>
      <c r="EF62" s="24">
        <f t="shared" si="67"/>
        <v>0</v>
      </c>
      <c r="EG62" s="13">
        <f t="shared" si="68"/>
        <v>0</v>
      </c>
    </row>
    <row r="63" spans="1:137" ht="18" customHeight="1" x14ac:dyDescent="0.5">
      <c r="A63" s="10">
        <v>52</v>
      </c>
      <c r="B63" s="11" t="s">
        <v>60</v>
      </c>
      <c r="C63" s="11" t="s">
        <v>14</v>
      </c>
      <c r="D63" s="10">
        <f>RANK(DF63,$DF$4:$DF$147)</f>
        <v>21</v>
      </c>
      <c r="E63" s="10">
        <v>0.64</v>
      </c>
      <c r="F63" s="10" t="s">
        <v>25</v>
      </c>
      <c r="G63" s="10"/>
      <c r="H63" s="12"/>
      <c r="I63" s="13">
        <f t="shared" si="4"/>
        <v>0</v>
      </c>
      <c r="J63" s="12"/>
      <c r="K63" s="13">
        <f t="shared" si="5"/>
        <v>0</v>
      </c>
      <c r="L63" s="12"/>
      <c r="M63" s="13">
        <f t="shared" si="6"/>
        <v>0</v>
      </c>
      <c r="N63" s="12"/>
      <c r="O63" s="13">
        <f t="shared" si="7"/>
        <v>0</v>
      </c>
      <c r="P63" s="12"/>
      <c r="Q63" s="13">
        <f t="shared" si="8"/>
        <v>0</v>
      </c>
      <c r="R63" s="12"/>
      <c r="S63" s="13">
        <f t="shared" si="9"/>
        <v>0</v>
      </c>
      <c r="T63" s="12"/>
      <c r="U63" s="13">
        <f t="shared" si="10"/>
        <v>0</v>
      </c>
      <c r="V63" s="12"/>
      <c r="W63" s="13">
        <f t="shared" si="11"/>
        <v>0</v>
      </c>
      <c r="X63" s="12"/>
      <c r="Y63" s="13">
        <f t="shared" si="12"/>
        <v>0</v>
      </c>
      <c r="Z63" s="12"/>
      <c r="AA63" s="13">
        <f t="shared" si="13"/>
        <v>0</v>
      </c>
      <c r="AB63" s="12"/>
      <c r="AC63" s="13">
        <f t="shared" si="14"/>
        <v>0</v>
      </c>
      <c r="AD63" s="12"/>
      <c r="AE63" s="13">
        <f t="shared" si="15"/>
        <v>0</v>
      </c>
      <c r="AF63" s="14">
        <f t="shared" si="16"/>
        <v>0</v>
      </c>
      <c r="AG63" s="15">
        <f t="shared" si="17"/>
        <v>0</v>
      </c>
      <c r="AH63" s="16"/>
      <c r="AI63" s="13">
        <f t="shared" si="18"/>
        <v>0</v>
      </c>
      <c r="AJ63" s="17"/>
      <c r="AK63" s="13">
        <f t="shared" si="19"/>
        <v>0</v>
      </c>
      <c r="AL63" s="17"/>
      <c r="AM63" s="13">
        <f t="shared" si="20"/>
        <v>0</v>
      </c>
      <c r="AN63" s="18"/>
      <c r="AO63" s="13">
        <f t="shared" si="21"/>
        <v>0</v>
      </c>
      <c r="AP63" s="17"/>
      <c r="AQ63" s="13">
        <f t="shared" si="22"/>
        <v>0</v>
      </c>
      <c r="AR63" s="17"/>
      <c r="AS63" s="13">
        <f t="shared" si="23"/>
        <v>0</v>
      </c>
      <c r="AT63" s="19"/>
      <c r="AU63" s="13">
        <f t="shared" si="24"/>
        <v>0</v>
      </c>
      <c r="AV63" s="17"/>
      <c r="AW63" s="13">
        <f t="shared" si="25"/>
        <v>0</v>
      </c>
      <c r="AX63" s="17"/>
      <c r="AY63" s="13">
        <f t="shared" si="26"/>
        <v>0</v>
      </c>
      <c r="AZ63" s="19"/>
      <c r="BA63" s="13">
        <f t="shared" si="27"/>
        <v>0</v>
      </c>
      <c r="BB63" s="20"/>
      <c r="BC63" s="13">
        <f t="shared" si="28"/>
        <v>0</v>
      </c>
      <c r="BD63" s="20"/>
      <c r="BE63" s="13">
        <f t="shared" si="29"/>
        <v>0</v>
      </c>
      <c r="BF63" s="14">
        <f t="shared" si="30"/>
        <v>0</v>
      </c>
      <c r="BG63" s="15">
        <f t="shared" si="31"/>
        <v>0</v>
      </c>
      <c r="BH63" s="18"/>
      <c r="BI63" s="57">
        <f t="shared" si="32"/>
        <v>0</v>
      </c>
      <c r="BJ63" s="18"/>
      <c r="BK63" s="57">
        <f t="shared" si="33"/>
        <v>0</v>
      </c>
      <c r="BL63" s="18"/>
      <c r="BM63" s="57">
        <f t="shared" si="34"/>
        <v>0</v>
      </c>
      <c r="BN63" s="18"/>
      <c r="BO63" s="57">
        <f t="shared" si="35"/>
        <v>0</v>
      </c>
      <c r="BP63" s="18"/>
      <c r="BQ63" s="57">
        <f t="shared" si="36"/>
        <v>0</v>
      </c>
      <c r="BR63" s="18"/>
      <c r="BS63" s="57">
        <f t="shared" si="37"/>
        <v>0</v>
      </c>
      <c r="BT63" s="18"/>
      <c r="BU63" s="57">
        <f t="shared" si="38"/>
        <v>0</v>
      </c>
      <c r="BV63" s="18"/>
      <c r="BW63" s="57">
        <f t="shared" si="39"/>
        <v>0</v>
      </c>
      <c r="BX63" s="18"/>
      <c r="BY63" s="57">
        <f t="shared" si="40"/>
        <v>0</v>
      </c>
      <c r="BZ63" s="18"/>
      <c r="CA63" s="57">
        <f t="shared" si="41"/>
        <v>0</v>
      </c>
      <c r="CB63" s="18"/>
      <c r="CC63" s="57">
        <f t="shared" si="42"/>
        <v>0</v>
      </c>
      <c r="CD63" s="18"/>
      <c r="CE63" s="57">
        <f t="shared" si="43"/>
        <v>0</v>
      </c>
      <c r="CF63" s="14">
        <f t="shared" si="44"/>
        <v>0</v>
      </c>
      <c r="CG63" s="15">
        <f t="shared" si="45"/>
        <v>0</v>
      </c>
      <c r="CH63" s="12"/>
      <c r="CI63" s="13">
        <f t="shared" si="46"/>
        <v>0</v>
      </c>
      <c r="CJ63" s="12"/>
      <c r="CK63" s="13">
        <f t="shared" si="47"/>
        <v>0</v>
      </c>
      <c r="CL63" s="12"/>
      <c r="CM63" s="13">
        <f t="shared" si="48"/>
        <v>0</v>
      </c>
      <c r="CN63" s="12"/>
      <c r="CO63" s="13">
        <f t="shared" si="49"/>
        <v>0</v>
      </c>
      <c r="CP63" s="12"/>
      <c r="CQ63" s="13">
        <f t="shared" si="50"/>
        <v>0</v>
      </c>
      <c r="CR63" s="12"/>
      <c r="CS63" s="13">
        <f t="shared" si="51"/>
        <v>0</v>
      </c>
      <c r="CT63" s="12"/>
      <c r="CU63" s="13">
        <f t="shared" si="52"/>
        <v>0</v>
      </c>
      <c r="CV63" s="12"/>
      <c r="CW63" s="13">
        <f t="shared" si="53"/>
        <v>0</v>
      </c>
      <c r="CX63" s="12"/>
      <c r="CY63" s="13">
        <f t="shared" si="54"/>
        <v>0</v>
      </c>
      <c r="CZ63" s="12"/>
      <c r="DA63" s="13">
        <f t="shared" si="55"/>
        <v>0</v>
      </c>
      <c r="DB63" s="12"/>
      <c r="DC63" s="13">
        <f t="shared" si="0"/>
        <v>0</v>
      </c>
      <c r="DD63" s="12"/>
      <c r="DE63" s="13">
        <f t="shared" si="0"/>
        <v>0</v>
      </c>
      <c r="DF63" s="64">
        <f t="shared" si="56"/>
        <v>0</v>
      </c>
      <c r="DG63" s="15">
        <f t="shared" si="57"/>
        <v>0</v>
      </c>
      <c r="DH63" s="12"/>
      <c r="DI63" s="13">
        <f t="shared" si="58"/>
        <v>0</v>
      </c>
      <c r="DJ63" s="12"/>
      <c r="DK63" s="13">
        <f t="shared" si="1"/>
        <v>0</v>
      </c>
      <c r="DL63" s="12"/>
      <c r="DM63" s="13">
        <f t="shared" si="72"/>
        <v>0</v>
      </c>
      <c r="DN63" s="12"/>
      <c r="DO63" s="13">
        <f t="shared" si="2"/>
        <v>0</v>
      </c>
      <c r="DP63" s="12"/>
      <c r="DQ63" s="13">
        <f t="shared" si="60"/>
        <v>0</v>
      </c>
      <c r="DR63" s="12"/>
      <c r="DS63" s="13">
        <f t="shared" si="61"/>
        <v>0</v>
      </c>
      <c r="DT63" s="12"/>
      <c r="DU63" s="13">
        <f t="shared" ref="DU63:DU131" si="73">DT63*$E63</f>
        <v>0</v>
      </c>
      <c r="DV63" s="12"/>
      <c r="DW63" s="13">
        <f t="shared" si="63"/>
        <v>0</v>
      </c>
      <c r="DX63" s="12"/>
      <c r="DY63" s="13">
        <f t="shared" si="64"/>
        <v>0</v>
      </c>
      <c r="DZ63" s="12"/>
      <c r="EA63" s="13">
        <f t="shared" si="65"/>
        <v>0</v>
      </c>
      <c r="EB63" s="12"/>
      <c r="EC63" s="13">
        <f t="shared" si="66"/>
        <v>0</v>
      </c>
      <c r="ED63" s="12"/>
      <c r="EE63" s="13">
        <f t="shared" si="3"/>
        <v>0</v>
      </c>
      <c r="EF63" s="24">
        <f t="shared" si="67"/>
        <v>0</v>
      </c>
      <c r="EG63" s="13">
        <f t="shared" si="68"/>
        <v>0</v>
      </c>
    </row>
    <row r="64" spans="1:137" ht="18" customHeight="1" x14ac:dyDescent="0.5">
      <c r="A64" s="10">
        <v>53</v>
      </c>
      <c r="B64" s="11" t="s">
        <v>61</v>
      </c>
      <c r="C64" s="11" t="s">
        <v>14</v>
      </c>
      <c r="D64" s="10">
        <f>RANK(DF64,$DF$4:$DF$147)</f>
        <v>21</v>
      </c>
      <c r="E64" s="10">
        <v>0.64</v>
      </c>
      <c r="F64" s="10" t="s">
        <v>25</v>
      </c>
      <c r="G64" s="10"/>
      <c r="H64" s="12"/>
      <c r="I64" s="13">
        <f t="shared" si="4"/>
        <v>0</v>
      </c>
      <c r="J64" s="12"/>
      <c r="K64" s="13">
        <f t="shared" si="5"/>
        <v>0</v>
      </c>
      <c r="L64" s="12"/>
      <c r="M64" s="13">
        <f t="shared" si="6"/>
        <v>0</v>
      </c>
      <c r="N64" s="12"/>
      <c r="O64" s="13">
        <f t="shared" si="7"/>
        <v>0</v>
      </c>
      <c r="P64" s="12"/>
      <c r="Q64" s="13">
        <f t="shared" si="8"/>
        <v>0</v>
      </c>
      <c r="R64" s="12"/>
      <c r="S64" s="13">
        <f t="shared" si="9"/>
        <v>0</v>
      </c>
      <c r="T64" s="12"/>
      <c r="U64" s="13">
        <f t="shared" si="10"/>
        <v>0</v>
      </c>
      <c r="V64" s="12"/>
      <c r="W64" s="13">
        <f t="shared" si="11"/>
        <v>0</v>
      </c>
      <c r="X64" s="12"/>
      <c r="Y64" s="13">
        <f t="shared" si="12"/>
        <v>0</v>
      </c>
      <c r="Z64" s="12"/>
      <c r="AA64" s="13">
        <f t="shared" si="13"/>
        <v>0</v>
      </c>
      <c r="AB64" s="12"/>
      <c r="AC64" s="13">
        <f t="shared" si="14"/>
        <v>0</v>
      </c>
      <c r="AD64" s="12"/>
      <c r="AE64" s="13">
        <f t="shared" si="15"/>
        <v>0</v>
      </c>
      <c r="AF64" s="14">
        <f t="shared" si="16"/>
        <v>0</v>
      </c>
      <c r="AG64" s="15">
        <f t="shared" si="17"/>
        <v>0</v>
      </c>
      <c r="AH64" s="16">
        <v>1596</v>
      </c>
      <c r="AI64" s="13">
        <f t="shared" si="18"/>
        <v>1021.44</v>
      </c>
      <c r="AJ64" s="17"/>
      <c r="AK64" s="13">
        <f t="shared" si="19"/>
        <v>0</v>
      </c>
      <c r="AL64" s="17"/>
      <c r="AM64" s="13">
        <f t="shared" si="20"/>
        <v>0</v>
      </c>
      <c r="AN64" s="18"/>
      <c r="AO64" s="13">
        <f t="shared" si="21"/>
        <v>0</v>
      </c>
      <c r="AP64" s="17"/>
      <c r="AQ64" s="13">
        <f t="shared" si="22"/>
        <v>0</v>
      </c>
      <c r="AR64" s="17"/>
      <c r="AS64" s="13">
        <f t="shared" si="23"/>
        <v>0</v>
      </c>
      <c r="AT64" s="19"/>
      <c r="AU64" s="13">
        <f t="shared" si="24"/>
        <v>0</v>
      </c>
      <c r="AV64" s="17"/>
      <c r="AW64" s="13">
        <f t="shared" si="25"/>
        <v>0</v>
      </c>
      <c r="AX64" s="17"/>
      <c r="AY64" s="13">
        <f t="shared" si="26"/>
        <v>0</v>
      </c>
      <c r="AZ64" s="19"/>
      <c r="BA64" s="13">
        <f t="shared" si="27"/>
        <v>0</v>
      </c>
      <c r="BB64" s="20"/>
      <c r="BC64" s="13">
        <f t="shared" si="28"/>
        <v>0</v>
      </c>
      <c r="BD64" s="20"/>
      <c r="BE64" s="13">
        <f t="shared" si="29"/>
        <v>0</v>
      </c>
      <c r="BF64" s="14">
        <f t="shared" si="30"/>
        <v>133</v>
      </c>
      <c r="BG64" s="15">
        <f t="shared" si="31"/>
        <v>85.12</v>
      </c>
      <c r="BH64" s="18"/>
      <c r="BI64" s="57">
        <f t="shared" si="32"/>
        <v>0</v>
      </c>
      <c r="BJ64" s="18"/>
      <c r="BK64" s="57">
        <f t="shared" si="33"/>
        <v>0</v>
      </c>
      <c r="BL64" s="18"/>
      <c r="BM64" s="57">
        <f t="shared" si="34"/>
        <v>0</v>
      </c>
      <c r="BN64" s="18"/>
      <c r="BO64" s="57">
        <f t="shared" si="35"/>
        <v>0</v>
      </c>
      <c r="BP64" s="18"/>
      <c r="BQ64" s="57">
        <f t="shared" si="36"/>
        <v>0</v>
      </c>
      <c r="BR64" s="18"/>
      <c r="BS64" s="57">
        <f t="shared" si="37"/>
        <v>0</v>
      </c>
      <c r="BT64" s="18"/>
      <c r="BU64" s="57">
        <f t="shared" si="38"/>
        <v>0</v>
      </c>
      <c r="BV64" s="18"/>
      <c r="BW64" s="57">
        <f t="shared" si="39"/>
        <v>0</v>
      </c>
      <c r="BX64" s="18"/>
      <c r="BY64" s="57">
        <f t="shared" si="40"/>
        <v>0</v>
      </c>
      <c r="BZ64" s="18"/>
      <c r="CA64" s="57">
        <f t="shared" si="41"/>
        <v>0</v>
      </c>
      <c r="CB64" s="18"/>
      <c r="CC64" s="57">
        <f t="shared" si="42"/>
        <v>0</v>
      </c>
      <c r="CD64" s="18"/>
      <c r="CE64" s="57">
        <f t="shared" si="43"/>
        <v>0</v>
      </c>
      <c r="CF64" s="14">
        <f t="shared" si="44"/>
        <v>0</v>
      </c>
      <c r="CG64" s="15">
        <f t="shared" si="45"/>
        <v>0</v>
      </c>
      <c r="CH64" s="12"/>
      <c r="CI64" s="13">
        <f t="shared" si="46"/>
        <v>0</v>
      </c>
      <c r="CJ64" s="12"/>
      <c r="CK64" s="13">
        <f t="shared" si="47"/>
        <v>0</v>
      </c>
      <c r="CL64" s="12"/>
      <c r="CM64" s="13">
        <f t="shared" si="48"/>
        <v>0</v>
      </c>
      <c r="CN64" s="12"/>
      <c r="CO64" s="13"/>
      <c r="CP64" s="12"/>
      <c r="CQ64" s="13">
        <f t="shared" si="50"/>
        <v>0</v>
      </c>
      <c r="CR64" s="12"/>
      <c r="CS64" s="13">
        <f t="shared" si="51"/>
        <v>0</v>
      </c>
      <c r="CT64" s="12"/>
      <c r="CU64" s="13">
        <f t="shared" si="52"/>
        <v>0</v>
      </c>
      <c r="CV64" s="12"/>
      <c r="CW64" s="13">
        <f t="shared" si="53"/>
        <v>0</v>
      </c>
      <c r="CX64" s="12"/>
      <c r="CY64" s="13">
        <f t="shared" si="54"/>
        <v>0</v>
      </c>
      <c r="CZ64" s="12"/>
      <c r="DA64" s="13">
        <f t="shared" si="55"/>
        <v>0</v>
      </c>
      <c r="DB64" s="12"/>
      <c r="DC64" s="13">
        <f t="shared" si="0"/>
        <v>0</v>
      </c>
      <c r="DD64" s="12"/>
      <c r="DE64" s="13">
        <f t="shared" si="0"/>
        <v>0</v>
      </c>
      <c r="DF64" s="64">
        <f t="shared" si="56"/>
        <v>0</v>
      </c>
      <c r="DG64" s="15">
        <f t="shared" si="57"/>
        <v>0</v>
      </c>
      <c r="DH64" s="12"/>
      <c r="DI64" s="13">
        <f t="shared" si="58"/>
        <v>0</v>
      </c>
      <c r="DJ64" s="12"/>
      <c r="DK64" s="13">
        <f t="shared" si="1"/>
        <v>0</v>
      </c>
      <c r="DL64" s="12"/>
      <c r="DM64" s="13">
        <f t="shared" si="72"/>
        <v>0</v>
      </c>
      <c r="DN64" s="12"/>
      <c r="DO64" s="13"/>
      <c r="DP64" s="12"/>
      <c r="DQ64" s="13">
        <f t="shared" si="60"/>
        <v>0</v>
      </c>
      <c r="DR64" s="12"/>
      <c r="DS64" s="13">
        <f t="shared" si="61"/>
        <v>0</v>
      </c>
      <c r="DT64" s="12"/>
      <c r="DU64" s="13">
        <f t="shared" si="73"/>
        <v>0</v>
      </c>
      <c r="DV64" s="12"/>
      <c r="DW64" s="13">
        <f t="shared" si="63"/>
        <v>0</v>
      </c>
      <c r="DX64" s="12"/>
      <c r="DY64" s="13">
        <f t="shared" si="64"/>
        <v>0</v>
      </c>
      <c r="DZ64" s="12"/>
      <c r="EA64" s="13">
        <f t="shared" si="65"/>
        <v>0</v>
      </c>
      <c r="EB64" s="12"/>
      <c r="EC64" s="13">
        <f t="shared" si="66"/>
        <v>0</v>
      </c>
      <c r="ED64" s="12"/>
      <c r="EE64" s="13">
        <f t="shared" si="3"/>
        <v>0</v>
      </c>
      <c r="EF64" s="24">
        <f t="shared" si="67"/>
        <v>0</v>
      </c>
      <c r="EG64" s="13">
        <f t="shared" si="68"/>
        <v>0</v>
      </c>
    </row>
    <row r="65" spans="1:137" ht="18" customHeight="1" x14ac:dyDescent="0.5">
      <c r="A65" s="10"/>
      <c r="B65" s="11"/>
      <c r="C65" s="11"/>
      <c r="D65" s="10"/>
      <c r="E65" s="10"/>
      <c r="F65" s="10"/>
      <c r="G65" s="10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  <c r="AD65" s="12"/>
      <c r="AE65" s="13"/>
      <c r="AF65" s="14"/>
      <c r="AG65" s="15"/>
      <c r="AH65" s="16"/>
      <c r="AI65" s="13"/>
      <c r="AJ65" s="17"/>
      <c r="AK65" s="13"/>
      <c r="AL65" s="17"/>
      <c r="AM65" s="13"/>
      <c r="AN65" s="18"/>
      <c r="AO65" s="13"/>
      <c r="AP65" s="17"/>
      <c r="AQ65" s="13"/>
      <c r="AR65" s="17"/>
      <c r="AS65" s="13"/>
      <c r="AT65" s="19"/>
      <c r="AU65" s="13"/>
      <c r="AV65" s="17"/>
      <c r="AW65" s="13"/>
      <c r="AX65" s="17"/>
      <c r="AY65" s="13"/>
      <c r="AZ65" s="19"/>
      <c r="BA65" s="13"/>
      <c r="BB65" s="20"/>
      <c r="BC65" s="13"/>
      <c r="BD65" s="20"/>
      <c r="BE65" s="13"/>
      <c r="BF65" s="14"/>
      <c r="BG65" s="15"/>
      <c r="BH65" s="18"/>
      <c r="BI65" s="57"/>
      <c r="BJ65" s="18"/>
      <c r="BK65" s="57"/>
      <c r="BL65" s="18"/>
      <c r="BM65" s="57"/>
      <c r="BN65" s="18"/>
      <c r="BO65" s="57"/>
      <c r="BP65" s="18"/>
      <c r="BQ65" s="57"/>
      <c r="BR65" s="18"/>
      <c r="BS65" s="57"/>
      <c r="BT65" s="18"/>
      <c r="BU65" s="57"/>
      <c r="BV65" s="18"/>
      <c r="BW65" s="57"/>
      <c r="BX65" s="18"/>
      <c r="BY65" s="57"/>
      <c r="BZ65" s="18"/>
      <c r="CA65" s="57"/>
      <c r="CB65" s="18"/>
      <c r="CC65" s="57"/>
      <c r="CD65" s="18"/>
      <c r="CE65" s="57"/>
      <c r="CF65" s="14"/>
      <c r="CG65" s="15"/>
      <c r="CH65" s="12"/>
      <c r="CI65" s="13">
        <f t="shared" si="46"/>
        <v>0</v>
      </c>
      <c r="CJ65" s="12"/>
      <c r="CK65" s="13">
        <f t="shared" si="47"/>
        <v>0</v>
      </c>
      <c r="CL65" s="12"/>
      <c r="CM65" s="13">
        <f t="shared" si="48"/>
        <v>0</v>
      </c>
      <c r="CN65" s="12"/>
      <c r="CO65" s="13">
        <f t="shared" si="49"/>
        <v>0</v>
      </c>
      <c r="CP65" s="12"/>
      <c r="CQ65" s="13">
        <f t="shared" si="50"/>
        <v>0</v>
      </c>
      <c r="CR65" s="12"/>
      <c r="CS65" s="13">
        <f t="shared" si="51"/>
        <v>0</v>
      </c>
      <c r="CT65" s="12"/>
      <c r="CU65" s="13">
        <f t="shared" si="52"/>
        <v>0</v>
      </c>
      <c r="CV65" s="12"/>
      <c r="CW65" s="13">
        <f t="shared" si="53"/>
        <v>0</v>
      </c>
      <c r="CX65" s="12"/>
      <c r="CY65" s="13">
        <f t="shared" si="54"/>
        <v>0</v>
      </c>
      <c r="CZ65" s="12"/>
      <c r="DA65" s="13">
        <f t="shared" si="55"/>
        <v>0</v>
      </c>
      <c r="DB65" s="12"/>
      <c r="DC65" s="13">
        <f t="shared" si="0"/>
        <v>0</v>
      </c>
      <c r="DD65" s="12"/>
      <c r="DE65" s="13">
        <f t="shared" si="0"/>
        <v>0</v>
      </c>
      <c r="DF65" s="64">
        <f t="shared" si="56"/>
        <v>0</v>
      </c>
      <c r="DG65" s="15">
        <f t="shared" si="57"/>
        <v>0</v>
      </c>
      <c r="DH65" s="12"/>
      <c r="DI65" s="13">
        <f t="shared" si="58"/>
        <v>0</v>
      </c>
      <c r="DJ65" s="12"/>
      <c r="DK65" s="13">
        <f t="shared" si="1"/>
        <v>0</v>
      </c>
      <c r="DL65" s="12"/>
      <c r="DM65" s="13">
        <f t="shared" si="72"/>
        <v>0</v>
      </c>
      <c r="DN65" s="12"/>
      <c r="DO65" s="13">
        <f t="shared" ref="DO65:DO129" si="74">DN65*$E65</f>
        <v>0</v>
      </c>
      <c r="DP65" s="12"/>
      <c r="DQ65" s="13">
        <f t="shared" si="60"/>
        <v>0</v>
      </c>
      <c r="DR65" s="12"/>
      <c r="DS65" s="13">
        <f t="shared" si="61"/>
        <v>0</v>
      </c>
      <c r="DT65" s="12"/>
      <c r="DU65" s="13">
        <f t="shared" si="73"/>
        <v>0</v>
      </c>
      <c r="DV65" s="12"/>
      <c r="DW65" s="13">
        <f t="shared" si="63"/>
        <v>0</v>
      </c>
      <c r="DX65" s="12"/>
      <c r="DY65" s="13">
        <f t="shared" si="64"/>
        <v>0</v>
      </c>
      <c r="DZ65" s="12"/>
      <c r="EA65" s="13">
        <f t="shared" si="65"/>
        <v>0</v>
      </c>
      <c r="EB65" s="12"/>
      <c r="EC65" s="13">
        <f t="shared" si="66"/>
        <v>0</v>
      </c>
      <c r="ED65" s="12"/>
      <c r="EE65" s="13">
        <f t="shared" si="3"/>
        <v>0</v>
      </c>
      <c r="EF65" s="24">
        <f t="shared" si="67"/>
        <v>0</v>
      </c>
      <c r="EG65" s="13">
        <f t="shared" si="68"/>
        <v>0</v>
      </c>
    </row>
    <row r="66" spans="1:137" ht="18" customHeight="1" x14ac:dyDescent="0.5">
      <c r="A66" s="10">
        <v>54</v>
      </c>
      <c r="B66" s="11" t="s">
        <v>62</v>
      </c>
      <c r="C66" s="11" t="s">
        <v>17</v>
      </c>
      <c r="D66" s="10">
        <f>RANK(DF66,$DF$4:$DF$147)</f>
        <v>21</v>
      </c>
      <c r="E66" s="10">
        <v>1</v>
      </c>
      <c r="F66" s="10" t="s">
        <v>15</v>
      </c>
      <c r="G66" s="10"/>
      <c r="H66" s="12"/>
      <c r="I66" s="13">
        <f t="shared" si="4"/>
        <v>0</v>
      </c>
      <c r="J66" s="12"/>
      <c r="K66" s="13">
        <f t="shared" si="5"/>
        <v>0</v>
      </c>
      <c r="L66" s="12"/>
      <c r="M66" s="13">
        <f t="shared" si="6"/>
        <v>0</v>
      </c>
      <c r="N66" s="12"/>
      <c r="O66" s="13">
        <f t="shared" si="7"/>
        <v>0</v>
      </c>
      <c r="P66" s="12"/>
      <c r="Q66" s="13">
        <f t="shared" si="8"/>
        <v>0</v>
      </c>
      <c r="R66" s="12"/>
      <c r="S66" s="13">
        <f t="shared" si="9"/>
        <v>0</v>
      </c>
      <c r="T66" s="12"/>
      <c r="U66" s="13">
        <f t="shared" si="10"/>
        <v>0</v>
      </c>
      <c r="V66" s="12"/>
      <c r="W66" s="13">
        <f t="shared" si="11"/>
        <v>0</v>
      </c>
      <c r="X66" s="12"/>
      <c r="Y66" s="13">
        <f t="shared" si="12"/>
        <v>0</v>
      </c>
      <c r="Z66" s="12"/>
      <c r="AA66" s="13">
        <f t="shared" si="13"/>
        <v>0</v>
      </c>
      <c r="AB66" s="12"/>
      <c r="AC66" s="13">
        <f t="shared" si="14"/>
        <v>0</v>
      </c>
      <c r="AD66" s="12"/>
      <c r="AE66" s="13">
        <f t="shared" si="15"/>
        <v>0</v>
      </c>
      <c r="AF66" s="14">
        <f t="shared" si="16"/>
        <v>0</v>
      </c>
      <c r="AG66" s="15">
        <f t="shared" si="17"/>
        <v>0</v>
      </c>
      <c r="AH66" s="16"/>
      <c r="AI66" s="13">
        <f t="shared" si="18"/>
        <v>0</v>
      </c>
      <c r="AJ66" s="17"/>
      <c r="AK66" s="13">
        <f t="shared" si="19"/>
        <v>0</v>
      </c>
      <c r="AL66" s="17"/>
      <c r="AM66" s="13">
        <f t="shared" si="20"/>
        <v>0</v>
      </c>
      <c r="AN66" s="18"/>
      <c r="AO66" s="13">
        <f t="shared" si="21"/>
        <v>0</v>
      </c>
      <c r="AP66" s="17"/>
      <c r="AQ66" s="13">
        <f t="shared" si="22"/>
        <v>0</v>
      </c>
      <c r="AR66" s="17"/>
      <c r="AS66" s="13">
        <f t="shared" si="23"/>
        <v>0</v>
      </c>
      <c r="AT66" s="19"/>
      <c r="AU66" s="13">
        <f t="shared" si="24"/>
        <v>0</v>
      </c>
      <c r="AV66" s="17"/>
      <c r="AW66" s="13">
        <f t="shared" si="25"/>
        <v>0</v>
      </c>
      <c r="AX66" s="17"/>
      <c r="AY66" s="13">
        <f t="shared" si="26"/>
        <v>0</v>
      </c>
      <c r="AZ66" s="19"/>
      <c r="BA66" s="13">
        <f t="shared" si="27"/>
        <v>0</v>
      </c>
      <c r="BB66" s="20"/>
      <c r="BC66" s="13">
        <f t="shared" si="28"/>
        <v>0</v>
      </c>
      <c r="BD66" s="20"/>
      <c r="BE66" s="13">
        <f t="shared" si="29"/>
        <v>0</v>
      </c>
      <c r="BF66" s="14">
        <f t="shared" si="30"/>
        <v>0</v>
      </c>
      <c r="BG66" s="15">
        <f t="shared" si="31"/>
        <v>0</v>
      </c>
      <c r="BH66" s="18"/>
      <c r="BI66" s="57">
        <f t="shared" si="32"/>
        <v>0</v>
      </c>
      <c r="BJ66" s="18"/>
      <c r="BK66" s="57">
        <f t="shared" si="33"/>
        <v>0</v>
      </c>
      <c r="BL66" s="18"/>
      <c r="BM66" s="57">
        <f t="shared" si="34"/>
        <v>0</v>
      </c>
      <c r="BN66" s="18"/>
      <c r="BO66" s="57">
        <f t="shared" si="35"/>
        <v>0</v>
      </c>
      <c r="BP66" s="18"/>
      <c r="BQ66" s="57">
        <f t="shared" si="36"/>
        <v>0</v>
      </c>
      <c r="BR66" s="18"/>
      <c r="BS66" s="57">
        <f t="shared" si="37"/>
        <v>0</v>
      </c>
      <c r="BT66" s="18"/>
      <c r="BU66" s="57">
        <f t="shared" si="38"/>
        <v>0</v>
      </c>
      <c r="BV66" s="18"/>
      <c r="BW66" s="57">
        <f t="shared" si="39"/>
        <v>0</v>
      </c>
      <c r="BX66" s="18"/>
      <c r="BY66" s="57">
        <f t="shared" si="40"/>
        <v>0</v>
      </c>
      <c r="BZ66" s="18"/>
      <c r="CA66" s="57">
        <f t="shared" si="41"/>
        <v>0</v>
      </c>
      <c r="CB66" s="18"/>
      <c r="CC66" s="57">
        <f t="shared" si="42"/>
        <v>0</v>
      </c>
      <c r="CD66" s="18"/>
      <c r="CE66" s="57">
        <f t="shared" si="43"/>
        <v>0</v>
      </c>
      <c r="CF66" s="14">
        <f t="shared" si="44"/>
        <v>0</v>
      </c>
      <c r="CG66" s="15">
        <f t="shared" si="45"/>
        <v>0</v>
      </c>
      <c r="CH66" s="12"/>
      <c r="CI66" s="13">
        <f t="shared" si="46"/>
        <v>0</v>
      </c>
      <c r="CJ66" s="12"/>
      <c r="CK66" s="13">
        <f t="shared" si="47"/>
        <v>0</v>
      </c>
      <c r="CL66" s="12"/>
      <c r="CM66" s="13">
        <f t="shared" si="48"/>
        <v>0</v>
      </c>
      <c r="CN66" s="12"/>
      <c r="CO66" s="13">
        <f t="shared" si="49"/>
        <v>0</v>
      </c>
      <c r="CP66" s="12"/>
      <c r="CQ66" s="13">
        <f t="shared" si="50"/>
        <v>0</v>
      </c>
      <c r="CR66" s="12"/>
      <c r="CS66" s="13">
        <f t="shared" si="51"/>
        <v>0</v>
      </c>
      <c r="CT66" s="12"/>
      <c r="CU66" s="13">
        <f t="shared" si="52"/>
        <v>0</v>
      </c>
      <c r="CV66" s="12"/>
      <c r="CW66" s="13">
        <f t="shared" si="53"/>
        <v>0</v>
      </c>
      <c r="CX66" s="12"/>
      <c r="CY66" s="13">
        <f t="shared" si="54"/>
        <v>0</v>
      </c>
      <c r="CZ66" s="12"/>
      <c r="DA66" s="13">
        <f t="shared" si="55"/>
        <v>0</v>
      </c>
      <c r="DB66" s="12"/>
      <c r="DC66" s="13">
        <f t="shared" si="0"/>
        <v>0</v>
      </c>
      <c r="DD66" s="12"/>
      <c r="DE66" s="13">
        <f t="shared" si="0"/>
        <v>0</v>
      </c>
      <c r="DF66" s="64">
        <f t="shared" si="56"/>
        <v>0</v>
      </c>
      <c r="DG66" s="15">
        <f t="shared" si="57"/>
        <v>0</v>
      </c>
      <c r="DH66" s="12"/>
      <c r="DI66" s="13">
        <f t="shared" si="58"/>
        <v>0</v>
      </c>
      <c r="DJ66" s="12"/>
      <c r="DK66" s="13">
        <f t="shared" si="1"/>
        <v>0</v>
      </c>
      <c r="DL66" s="12"/>
      <c r="DM66" s="13">
        <f t="shared" si="72"/>
        <v>0</v>
      </c>
      <c r="DN66" s="12"/>
      <c r="DO66" s="13">
        <f t="shared" si="74"/>
        <v>0</v>
      </c>
      <c r="DP66" s="12"/>
      <c r="DQ66" s="13">
        <f t="shared" si="60"/>
        <v>0</v>
      </c>
      <c r="DR66" s="12"/>
      <c r="DS66" s="13">
        <f t="shared" si="61"/>
        <v>0</v>
      </c>
      <c r="DT66" s="12"/>
      <c r="DU66" s="13">
        <f t="shared" si="73"/>
        <v>0</v>
      </c>
      <c r="DV66" s="12"/>
      <c r="DW66" s="13">
        <f t="shared" si="63"/>
        <v>0</v>
      </c>
      <c r="DX66" s="12"/>
      <c r="DY66" s="13">
        <f t="shared" si="64"/>
        <v>0</v>
      </c>
      <c r="DZ66" s="12"/>
      <c r="EA66" s="13">
        <f t="shared" si="65"/>
        <v>0</v>
      </c>
      <c r="EB66" s="12"/>
      <c r="EC66" s="13">
        <f t="shared" si="66"/>
        <v>0</v>
      </c>
      <c r="ED66" s="12"/>
      <c r="EE66" s="13">
        <f t="shared" si="3"/>
        <v>0</v>
      </c>
      <c r="EF66" s="24">
        <f t="shared" si="67"/>
        <v>0</v>
      </c>
      <c r="EG66" s="13">
        <f t="shared" si="68"/>
        <v>0</v>
      </c>
    </row>
    <row r="67" spans="1:137" ht="18" customHeight="1" x14ac:dyDescent="0.5">
      <c r="A67" s="10">
        <v>55</v>
      </c>
      <c r="B67" s="11" t="s">
        <v>63</v>
      </c>
      <c r="C67" s="11" t="s">
        <v>17</v>
      </c>
      <c r="D67" s="10">
        <f>RANK(DF67,$DF$4:$DF$147)</f>
        <v>21</v>
      </c>
      <c r="E67" s="10">
        <v>0.6</v>
      </c>
      <c r="F67" s="10" t="s">
        <v>15</v>
      </c>
      <c r="G67" s="10"/>
      <c r="H67" s="12"/>
      <c r="I67" s="13">
        <f t="shared" si="4"/>
        <v>0</v>
      </c>
      <c r="J67" s="12"/>
      <c r="K67" s="13">
        <f t="shared" si="5"/>
        <v>0</v>
      </c>
      <c r="L67" s="12"/>
      <c r="M67" s="13">
        <f t="shared" si="6"/>
        <v>0</v>
      </c>
      <c r="N67" s="12"/>
      <c r="O67" s="13">
        <f t="shared" si="7"/>
        <v>0</v>
      </c>
      <c r="P67" s="12"/>
      <c r="Q67" s="13">
        <f t="shared" si="8"/>
        <v>0</v>
      </c>
      <c r="R67" s="12"/>
      <c r="S67" s="13">
        <f t="shared" si="9"/>
        <v>0</v>
      </c>
      <c r="T67" s="12"/>
      <c r="U67" s="13">
        <f t="shared" si="10"/>
        <v>0</v>
      </c>
      <c r="V67" s="12"/>
      <c r="W67" s="13">
        <f t="shared" si="11"/>
        <v>0</v>
      </c>
      <c r="X67" s="12"/>
      <c r="Y67" s="13">
        <f t="shared" si="12"/>
        <v>0</v>
      </c>
      <c r="Z67" s="12"/>
      <c r="AA67" s="13">
        <f t="shared" si="13"/>
        <v>0</v>
      </c>
      <c r="AB67" s="12"/>
      <c r="AC67" s="13">
        <f t="shared" si="14"/>
        <v>0</v>
      </c>
      <c r="AD67" s="12"/>
      <c r="AE67" s="13">
        <f t="shared" si="15"/>
        <v>0</v>
      </c>
      <c r="AF67" s="14">
        <f t="shared" si="16"/>
        <v>0</v>
      </c>
      <c r="AG67" s="15">
        <f t="shared" si="17"/>
        <v>0</v>
      </c>
      <c r="AH67" s="16"/>
      <c r="AI67" s="13">
        <f t="shared" si="18"/>
        <v>0</v>
      </c>
      <c r="AJ67" s="17"/>
      <c r="AK67" s="13">
        <f t="shared" si="19"/>
        <v>0</v>
      </c>
      <c r="AL67" s="17"/>
      <c r="AM67" s="13">
        <f t="shared" si="20"/>
        <v>0</v>
      </c>
      <c r="AN67" s="18"/>
      <c r="AO67" s="13">
        <f t="shared" si="21"/>
        <v>0</v>
      </c>
      <c r="AP67" s="17"/>
      <c r="AQ67" s="13">
        <f t="shared" si="22"/>
        <v>0</v>
      </c>
      <c r="AR67" s="17"/>
      <c r="AS67" s="13">
        <f t="shared" si="23"/>
        <v>0</v>
      </c>
      <c r="AT67" s="19"/>
      <c r="AU67" s="13">
        <f t="shared" si="24"/>
        <v>0</v>
      </c>
      <c r="AV67" s="17"/>
      <c r="AW67" s="13">
        <f t="shared" si="25"/>
        <v>0</v>
      </c>
      <c r="AX67" s="17"/>
      <c r="AY67" s="13">
        <f t="shared" si="26"/>
        <v>0</v>
      </c>
      <c r="AZ67" s="19"/>
      <c r="BA67" s="13">
        <f t="shared" si="27"/>
        <v>0</v>
      </c>
      <c r="BB67" s="20"/>
      <c r="BC67" s="13">
        <f t="shared" si="28"/>
        <v>0</v>
      </c>
      <c r="BD67" s="20"/>
      <c r="BE67" s="13">
        <f t="shared" si="29"/>
        <v>0</v>
      </c>
      <c r="BF67" s="14">
        <f t="shared" si="30"/>
        <v>0</v>
      </c>
      <c r="BG67" s="15">
        <f t="shared" si="31"/>
        <v>0</v>
      </c>
      <c r="BH67" s="18"/>
      <c r="BI67" s="57">
        <f t="shared" si="32"/>
        <v>0</v>
      </c>
      <c r="BJ67" s="18"/>
      <c r="BK67" s="57">
        <f t="shared" si="33"/>
        <v>0</v>
      </c>
      <c r="BL67" s="18"/>
      <c r="BM67" s="57">
        <f t="shared" si="34"/>
        <v>0</v>
      </c>
      <c r="BN67" s="18"/>
      <c r="BO67" s="57">
        <f t="shared" si="35"/>
        <v>0</v>
      </c>
      <c r="BP67" s="18"/>
      <c r="BQ67" s="57">
        <f t="shared" si="36"/>
        <v>0</v>
      </c>
      <c r="BR67" s="18"/>
      <c r="BS67" s="57">
        <f t="shared" si="37"/>
        <v>0</v>
      </c>
      <c r="BT67" s="18"/>
      <c r="BU67" s="57">
        <f t="shared" si="38"/>
        <v>0</v>
      </c>
      <c r="BV67" s="18"/>
      <c r="BW67" s="57">
        <f t="shared" si="39"/>
        <v>0</v>
      </c>
      <c r="BX67" s="18"/>
      <c r="BY67" s="57">
        <f t="shared" si="40"/>
        <v>0</v>
      </c>
      <c r="BZ67" s="18"/>
      <c r="CA67" s="57">
        <f t="shared" si="41"/>
        <v>0</v>
      </c>
      <c r="CB67" s="18"/>
      <c r="CC67" s="57">
        <f t="shared" si="42"/>
        <v>0</v>
      </c>
      <c r="CD67" s="18"/>
      <c r="CE67" s="57">
        <f t="shared" si="43"/>
        <v>0</v>
      </c>
      <c r="CF67" s="14">
        <f t="shared" si="44"/>
        <v>0</v>
      </c>
      <c r="CG67" s="15">
        <f t="shared" si="45"/>
        <v>0</v>
      </c>
      <c r="CH67" s="12"/>
      <c r="CI67" s="13">
        <f t="shared" si="46"/>
        <v>0</v>
      </c>
      <c r="CJ67" s="12"/>
      <c r="CK67" s="13">
        <f t="shared" si="47"/>
        <v>0</v>
      </c>
      <c r="CL67" s="12"/>
      <c r="CM67" s="13">
        <f t="shared" si="48"/>
        <v>0</v>
      </c>
      <c r="CN67" s="12"/>
      <c r="CO67" s="13">
        <f t="shared" si="49"/>
        <v>0</v>
      </c>
      <c r="CP67" s="12"/>
      <c r="CQ67" s="13">
        <f t="shared" si="50"/>
        <v>0</v>
      </c>
      <c r="CR67" s="12"/>
      <c r="CS67" s="13">
        <f t="shared" si="51"/>
        <v>0</v>
      </c>
      <c r="CT67" s="12"/>
      <c r="CU67" s="13">
        <f t="shared" si="52"/>
        <v>0</v>
      </c>
      <c r="CV67" s="12"/>
      <c r="CW67" s="13">
        <f t="shared" si="53"/>
        <v>0</v>
      </c>
      <c r="CX67" s="12"/>
      <c r="CY67" s="13">
        <f t="shared" si="54"/>
        <v>0</v>
      </c>
      <c r="CZ67" s="12"/>
      <c r="DA67" s="13">
        <f t="shared" si="55"/>
        <v>0</v>
      </c>
      <c r="DB67" s="12"/>
      <c r="DC67" s="13">
        <f t="shared" si="0"/>
        <v>0</v>
      </c>
      <c r="DD67" s="12"/>
      <c r="DE67" s="13">
        <f t="shared" si="0"/>
        <v>0</v>
      </c>
      <c r="DF67" s="64">
        <f t="shared" si="56"/>
        <v>0</v>
      </c>
      <c r="DG67" s="15">
        <f t="shared" si="57"/>
        <v>0</v>
      </c>
      <c r="DH67" s="12"/>
      <c r="DI67" s="13">
        <f t="shared" si="58"/>
        <v>0</v>
      </c>
      <c r="DJ67" s="12"/>
      <c r="DK67" s="13">
        <f t="shared" si="1"/>
        <v>0</v>
      </c>
      <c r="DL67" s="12"/>
      <c r="DM67" s="13">
        <f t="shared" si="72"/>
        <v>0</v>
      </c>
      <c r="DN67" s="12"/>
      <c r="DO67" s="13">
        <f t="shared" si="74"/>
        <v>0</v>
      </c>
      <c r="DP67" s="12"/>
      <c r="DQ67" s="13">
        <f t="shared" si="60"/>
        <v>0</v>
      </c>
      <c r="DR67" s="12"/>
      <c r="DS67" s="13">
        <f t="shared" si="61"/>
        <v>0</v>
      </c>
      <c r="DT67" s="12"/>
      <c r="DU67" s="13">
        <f t="shared" si="73"/>
        <v>0</v>
      </c>
      <c r="DV67" s="12"/>
      <c r="DW67" s="13">
        <f t="shared" si="63"/>
        <v>0</v>
      </c>
      <c r="DX67" s="12"/>
      <c r="DY67" s="13">
        <f t="shared" si="64"/>
        <v>0</v>
      </c>
      <c r="DZ67" s="12"/>
      <c r="EA67" s="13">
        <f t="shared" si="65"/>
        <v>0</v>
      </c>
      <c r="EB67" s="12"/>
      <c r="EC67" s="13">
        <f t="shared" si="66"/>
        <v>0</v>
      </c>
      <c r="ED67" s="12"/>
      <c r="EE67" s="13">
        <f t="shared" si="3"/>
        <v>0</v>
      </c>
      <c r="EF67" s="24">
        <f t="shared" si="67"/>
        <v>0</v>
      </c>
      <c r="EG67" s="13">
        <f t="shared" si="68"/>
        <v>0</v>
      </c>
    </row>
    <row r="68" spans="1:137" ht="18" customHeight="1" x14ac:dyDescent="0.5">
      <c r="A68" s="10">
        <v>56</v>
      </c>
      <c r="B68" s="11" t="s">
        <v>64</v>
      </c>
      <c r="C68" s="11" t="s">
        <v>14</v>
      </c>
      <c r="D68" s="10">
        <f>RANK(DF68,$DF$4:$DF$147)</f>
        <v>21</v>
      </c>
      <c r="E68" s="10">
        <v>0.64</v>
      </c>
      <c r="F68" s="10" t="s">
        <v>25</v>
      </c>
      <c r="G68" s="10"/>
      <c r="H68" s="12"/>
      <c r="I68" s="13">
        <f t="shared" si="4"/>
        <v>0</v>
      </c>
      <c r="J68" s="12"/>
      <c r="K68" s="13">
        <f t="shared" si="5"/>
        <v>0</v>
      </c>
      <c r="L68" s="12"/>
      <c r="M68" s="13">
        <f t="shared" si="6"/>
        <v>0</v>
      </c>
      <c r="N68" s="12"/>
      <c r="O68" s="13">
        <f t="shared" si="7"/>
        <v>0</v>
      </c>
      <c r="P68" s="12"/>
      <c r="Q68" s="13">
        <f t="shared" si="8"/>
        <v>0</v>
      </c>
      <c r="R68" s="12"/>
      <c r="S68" s="13">
        <f t="shared" si="9"/>
        <v>0</v>
      </c>
      <c r="T68" s="12"/>
      <c r="U68" s="13">
        <f t="shared" si="10"/>
        <v>0</v>
      </c>
      <c r="V68" s="12"/>
      <c r="W68" s="13">
        <f t="shared" si="11"/>
        <v>0</v>
      </c>
      <c r="X68" s="12"/>
      <c r="Y68" s="13">
        <f t="shared" si="12"/>
        <v>0</v>
      </c>
      <c r="Z68" s="12"/>
      <c r="AA68" s="13">
        <f t="shared" si="13"/>
        <v>0</v>
      </c>
      <c r="AB68" s="12"/>
      <c r="AC68" s="13">
        <f t="shared" si="14"/>
        <v>0</v>
      </c>
      <c r="AD68" s="12"/>
      <c r="AE68" s="13">
        <f t="shared" si="15"/>
        <v>0</v>
      </c>
      <c r="AF68" s="14">
        <f t="shared" si="16"/>
        <v>0</v>
      </c>
      <c r="AG68" s="15">
        <f t="shared" si="17"/>
        <v>0</v>
      </c>
      <c r="AH68" s="16"/>
      <c r="AI68" s="13">
        <f t="shared" si="18"/>
        <v>0</v>
      </c>
      <c r="AJ68" s="17"/>
      <c r="AK68" s="13">
        <f t="shared" si="19"/>
        <v>0</v>
      </c>
      <c r="AL68" s="17"/>
      <c r="AM68" s="13">
        <f t="shared" si="20"/>
        <v>0</v>
      </c>
      <c r="AN68" s="18"/>
      <c r="AO68" s="13">
        <f t="shared" si="21"/>
        <v>0</v>
      </c>
      <c r="AP68" s="17"/>
      <c r="AQ68" s="13">
        <f t="shared" si="22"/>
        <v>0</v>
      </c>
      <c r="AR68" s="17"/>
      <c r="AS68" s="13">
        <f t="shared" si="23"/>
        <v>0</v>
      </c>
      <c r="AT68" s="19"/>
      <c r="AU68" s="13">
        <f t="shared" si="24"/>
        <v>0</v>
      </c>
      <c r="AV68" s="17"/>
      <c r="AW68" s="13">
        <f t="shared" si="25"/>
        <v>0</v>
      </c>
      <c r="AX68" s="17"/>
      <c r="AY68" s="13">
        <f t="shared" si="26"/>
        <v>0</v>
      </c>
      <c r="AZ68" s="19"/>
      <c r="BA68" s="13">
        <f t="shared" si="27"/>
        <v>0</v>
      </c>
      <c r="BB68" s="20"/>
      <c r="BC68" s="13">
        <f t="shared" si="28"/>
        <v>0</v>
      </c>
      <c r="BD68" s="20"/>
      <c r="BE68" s="13">
        <f t="shared" si="29"/>
        <v>0</v>
      </c>
      <c r="BF68" s="14">
        <f t="shared" si="30"/>
        <v>0</v>
      </c>
      <c r="BG68" s="15">
        <f t="shared" si="31"/>
        <v>0</v>
      </c>
      <c r="BH68" s="18"/>
      <c r="BI68" s="57">
        <f t="shared" si="32"/>
        <v>0</v>
      </c>
      <c r="BJ68" s="18"/>
      <c r="BK68" s="57">
        <f t="shared" si="33"/>
        <v>0</v>
      </c>
      <c r="BL68" s="18"/>
      <c r="BM68" s="57">
        <f t="shared" si="34"/>
        <v>0</v>
      </c>
      <c r="BN68" s="18"/>
      <c r="BO68" s="57">
        <f t="shared" si="35"/>
        <v>0</v>
      </c>
      <c r="BP68" s="18"/>
      <c r="BQ68" s="57">
        <f t="shared" si="36"/>
        <v>0</v>
      </c>
      <c r="BR68" s="18"/>
      <c r="BS68" s="57">
        <f t="shared" si="37"/>
        <v>0</v>
      </c>
      <c r="BT68" s="18"/>
      <c r="BU68" s="57">
        <f t="shared" si="38"/>
        <v>0</v>
      </c>
      <c r="BV68" s="18"/>
      <c r="BW68" s="57">
        <f t="shared" si="39"/>
        <v>0</v>
      </c>
      <c r="BX68" s="18"/>
      <c r="BY68" s="57">
        <f t="shared" si="40"/>
        <v>0</v>
      </c>
      <c r="BZ68" s="18"/>
      <c r="CA68" s="57">
        <f t="shared" si="41"/>
        <v>0</v>
      </c>
      <c r="CB68" s="18"/>
      <c r="CC68" s="57">
        <f t="shared" si="42"/>
        <v>0</v>
      </c>
      <c r="CD68" s="18"/>
      <c r="CE68" s="57">
        <f t="shared" si="43"/>
        <v>0</v>
      </c>
      <c r="CF68" s="14">
        <f t="shared" si="44"/>
        <v>0</v>
      </c>
      <c r="CG68" s="15">
        <f t="shared" si="45"/>
        <v>0</v>
      </c>
      <c r="CH68" s="12"/>
      <c r="CI68" s="13">
        <f t="shared" si="46"/>
        <v>0</v>
      </c>
      <c r="CJ68" s="12"/>
      <c r="CK68" s="13">
        <f t="shared" si="47"/>
        <v>0</v>
      </c>
      <c r="CL68" s="12"/>
      <c r="CM68" s="13">
        <f t="shared" si="48"/>
        <v>0</v>
      </c>
      <c r="CN68" s="12"/>
      <c r="CO68" s="13">
        <f t="shared" si="49"/>
        <v>0</v>
      </c>
      <c r="CP68" s="12"/>
      <c r="CQ68" s="13">
        <f t="shared" si="50"/>
        <v>0</v>
      </c>
      <c r="CR68" s="12"/>
      <c r="CS68" s="13">
        <f t="shared" si="51"/>
        <v>0</v>
      </c>
      <c r="CT68" s="12"/>
      <c r="CU68" s="13">
        <f t="shared" si="52"/>
        <v>0</v>
      </c>
      <c r="CV68" s="12"/>
      <c r="CW68" s="13">
        <f t="shared" si="53"/>
        <v>0</v>
      </c>
      <c r="CX68" s="12"/>
      <c r="CY68" s="13">
        <f t="shared" si="54"/>
        <v>0</v>
      </c>
      <c r="CZ68" s="12"/>
      <c r="DA68" s="13">
        <f t="shared" si="55"/>
        <v>0</v>
      </c>
      <c r="DB68" s="12"/>
      <c r="DC68" s="13">
        <f t="shared" si="0"/>
        <v>0</v>
      </c>
      <c r="DD68" s="12"/>
      <c r="DE68" s="13">
        <f t="shared" si="0"/>
        <v>0</v>
      </c>
      <c r="DF68" s="64">
        <f t="shared" si="56"/>
        <v>0</v>
      </c>
      <c r="DG68" s="15">
        <f t="shared" si="57"/>
        <v>0</v>
      </c>
      <c r="DH68" s="12"/>
      <c r="DI68" s="13">
        <f t="shared" si="58"/>
        <v>0</v>
      </c>
      <c r="DJ68" s="12"/>
      <c r="DK68" s="13">
        <f t="shared" si="1"/>
        <v>0</v>
      </c>
      <c r="DL68" s="12"/>
      <c r="DM68" s="13">
        <f t="shared" si="72"/>
        <v>0</v>
      </c>
      <c r="DN68" s="12"/>
      <c r="DO68" s="13">
        <f t="shared" si="74"/>
        <v>0</v>
      </c>
      <c r="DP68" s="12"/>
      <c r="DQ68" s="13">
        <f t="shared" si="60"/>
        <v>0</v>
      </c>
      <c r="DR68" s="12"/>
      <c r="DS68" s="13">
        <f t="shared" si="61"/>
        <v>0</v>
      </c>
      <c r="DT68" s="12"/>
      <c r="DU68" s="13">
        <f t="shared" si="73"/>
        <v>0</v>
      </c>
      <c r="DV68" s="12"/>
      <c r="DW68" s="13">
        <f t="shared" si="63"/>
        <v>0</v>
      </c>
      <c r="DX68" s="12"/>
      <c r="DY68" s="13">
        <f t="shared" si="64"/>
        <v>0</v>
      </c>
      <c r="DZ68" s="12"/>
      <c r="EA68" s="13">
        <f t="shared" si="65"/>
        <v>0</v>
      </c>
      <c r="EB68" s="12"/>
      <c r="EC68" s="13">
        <f t="shared" si="66"/>
        <v>0</v>
      </c>
      <c r="ED68" s="12"/>
      <c r="EE68" s="13">
        <f t="shared" si="3"/>
        <v>0</v>
      </c>
      <c r="EF68" s="24">
        <f t="shared" si="67"/>
        <v>0</v>
      </c>
      <c r="EG68" s="13">
        <f t="shared" si="68"/>
        <v>0</v>
      </c>
    </row>
    <row r="69" spans="1:137" ht="18" customHeight="1" x14ac:dyDescent="0.5">
      <c r="A69" s="10"/>
      <c r="B69" s="11"/>
      <c r="C69" s="11"/>
      <c r="D69" s="10"/>
      <c r="E69" s="10"/>
      <c r="F69" s="10"/>
      <c r="G69" s="10"/>
      <c r="H69" s="12"/>
      <c r="I69" s="13">
        <f t="shared" si="4"/>
        <v>0</v>
      </c>
      <c r="J69" s="12"/>
      <c r="K69" s="13">
        <f t="shared" si="5"/>
        <v>0</v>
      </c>
      <c r="L69" s="12"/>
      <c r="M69" s="13">
        <f t="shared" si="6"/>
        <v>0</v>
      </c>
      <c r="N69" s="12"/>
      <c r="O69" s="13">
        <f t="shared" si="7"/>
        <v>0</v>
      </c>
      <c r="P69" s="12"/>
      <c r="Q69" s="13">
        <f t="shared" si="8"/>
        <v>0</v>
      </c>
      <c r="R69" s="12"/>
      <c r="S69" s="13">
        <f t="shared" si="9"/>
        <v>0</v>
      </c>
      <c r="T69" s="12"/>
      <c r="U69" s="13">
        <f t="shared" si="10"/>
        <v>0</v>
      </c>
      <c r="V69" s="12"/>
      <c r="W69" s="13">
        <f t="shared" si="11"/>
        <v>0</v>
      </c>
      <c r="X69" s="12"/>
      <c r="Y69" s="13">
        <f t="shared" si="12"/>
        <v>0</v>
      </c>
      <c r="Z69" s="12"/>
      <c r="AA69" s="13">
        <f t="shared" si="13"/>
        <v>0</v>
      </c>
      <c r="AB69" s="12"/>
      <c r="AC69" s="13">
        <f t="shared" si="14"/>
        <v>0</v>
      </c>
      <c r="AD69" s="12"/>
      <c r="AE69" s="13">
        <f t="shared" si="15"/>
        <v>0</v>
      </c>
      <c r="AF69" s="14">
        <f t="shared" si="16"/>
        <v>0</v>
      </c>
      <c r="AG69" s="15">
        <f t="shared" si="17"/>
        <v>0</v>
      </c>
      <c r="AH69" s="16"/>
      <c r="AI69" s="13">
        <f t="shared" si="18"/>
        <v>0</v>
      </c>
      <c r="AJ69" s="17"/>
      <c r="AK69" s="13">
        <f t="shared" si="19"/>
        <v>0</v>
      </c>
      <c r="AL69" s="17"/>
      <c r="AM69" s="13">
        <f t="shared" si="20"/>
        <v>0</v>
      </c>
      <c r="AN69" s="18"/>
      <c r="AO69" s="13">
        <f t="shared" si="21"/>
        <v>0</v>
      </c>
      <c r="AP69" s="17"/>
      <c r="AQ69" s="13">
        <f t="shared" si="22"/>
        <v>0</v>
      </c>
      <c r="AR69" s="17"/>
      <c r="AS69" s="13">
        <f t="shared" si="23"/>
        <v>0</v>
      </c>
      <c r="AT69" s="19"/>
      <c r="AU69" s="13">
        <f t="shared" si="24"/>
        <v>0</v>
      </c>
      <c r="AV69" s="17"/>
      <c r="AW69" s="13">
        <f t="shared" si="25"/>
        <v>0</v>
      </c>
      <c r="AX69" s="17"/>
      <c r="AY69" s="13">
        <f t="shared" si="26"/>
        <v>0</v>
      </c>
      <c r="AZ69" s="19"/>
      <c r="BA69" s="13">
        <f t="shared" si="27"/>
        <v>0</v>
      </c>
      <c r="BB69" s="20"/>
      <c r="BC69" s="13">
        <f t="shared" si="28"/>
        <v>0</v>
      </c>
      <c r="BD69" s="20"/>
      <c r="BE69" s="13">
        <f t="shared" si="29"/>
        <v>0</v>
      </c>
      <c r="BF69" s="14">
        <f t="shared" si="30"/>
        <v>0</v>
      </c>
      <c r="BG69" s="15">
        <f t="shared" si="31"/>
        <v>0</v>
      </c>
      <c r="BH69" s="18"/>
      <c r="BI69" s="57">
        <f t="shared" si="32"/>
        <v>0</v>
      </c>
      <c r="BJ69" s="18"/>
      <c r="BK69" s="57">
        <f t="shared" si="33"/>
        <v>0</v>
      </c>
      <c r="BL69" s="18"/>
      <c r="BM69" s="57">
        <f t="shared" si="34"/>
        <v>0</v>
      </c>
      <c r="BN69" s="18"/>
      <c r="BO69" s="57">
        <f t="shared" si="35"/>
        <v>0</v>
      </c>
      <c r="BP69" s="18"/>
      <c r="BQ69" s="57">
        <f t="shared" si="36"/>
        <v>0</v>
      </c>
      <c r="BR69" s="18"/>
      <c r="BS69" s="57">
        <f t="shared" si="37"/>
        <v>0</v>
      </c>
      <c r="BT69" s="18"/>
      <c r="BU69" s="57">
        <f t="shared" si="38"/>
        <v>0</v>
      </c>
      <c r="BV69" s="18"/>
      <c r="BW69" s="57">
        <f t="shared" si="39"/>
        <v>0</v>
      </c>
      <c r="BX69" s="18"/>
      <c r="BY69" s="57">
        <f t="shared" si="40"/>
        <v>0</v>
      </c>
      <c r="BZ69" s="18"/>
      <c r="CA69" s="57">
        <f t="shared" si="41"/>
        <v>0</v>
      </c>
      <c r="CB69" s="18"/>
      <c r="CC69" s="57">
        <f t="shared" si="42"/>
        <v>0</v>
      </c>
      <c r="CD69" s="18"/>
      <c r="CE69" s="57">
        <f t="shared" si="43"/>
        <v>0</v>
      </c>
      <c r="CF69" s="14">
        <f t="shared" si="44"/>
        <v>0</v>
      </c>
      <c r="CG69" s="15">
        <f t="shared" si="45"/>
        <v>0</v>
      </c>
      <c r="CH69" s="12"/>
      <c r="CI69" s="13">
        <f t="shared" ref="CI69:CI143" si="75">CH69*$E69</f>
        <v>0</v>
      </c>
      <c r="CJ69" s="12"/>
      <c r="CK69" s="13">
        <f t="shared" ref="CK69:CK143" si="76">CJ69*$E69</f>
        <v>0</v>
      </c>
      <c r="CL69" s="12"/>
      <c r="CM69" s="13">
        <f t="shared" ref="CM69:CM143" si="77">CL69*$E69</f>
        <v>0</v>
      </c>
      <c r="CN69" s="12"/>
      <c r="CO69" s="13">
        <f t="shared" ref="CO69:CO143" si="78">CN69*$E69</f>
        <v>0</v>
      </c>
      <c r="CP69" s="12"/>
      <c r="CQ69" s="13">
        <f t="shared" ref="CQ69:CQ143" si="79">CP69*E69</f>
        <v>0</v>
      </c>
      <c r="CR69" s="12"/>
      <c r="CS69" s="13">
        <f t="shared" ref="CS69:CS143" si="80">CR69*$E69</f>
        <v>0</v>
      </c>
      <c r="CT69" s="12"/>
      <c r="CU69" s="13">
        <f t="shared" ref="CU69:CU143" si="81">CT69*$E69</f>
        <v>0</v>
      </c>
      <c r="CV69" s="12"/>
      <c r="CW69" s="13">
        <f t="shared" ref="CW69:CW143" si="82">CV69*$E69</f>
        <v>0</v>
      </c>
      <c r="CX69" s="12"/>
      <c r="CY69" s="13">
        <f t="shared" ref="CY69:CY143" si="83">CX69*$E69</f>
        <v>0</v>
      </c>
      <c r="CZ69" s="12"/>
      <c r="DA69" s="13">
        <f t="shared" ref="DA69:DA143" si="84">CZ69*$E69</f>
        <v>0</v>
      </c>
      <c r="DB69" s="12"/>
      <c r="DC69" s="13">
        <f t="shared" ref="DC69:DC143" si="85">DB69*$E69</f>
        <v>0</v>
      </c>
      <c r="DD69" s="12"/>
      <c r="DE69" s="13">
        <f t="shared" ref="DE69:DE136" si="86">DD69*$E69</f>
        <v>0</v>
      </c>
      <c r="DF69" s="64">
        <f t="shared" ref="DF69:DF136" si="87">SUM(CH69,CJ69,CL69,CN69,CP69,CR69,CT69,CV69,CX69,CZ69,DB69,DD69)</f>
        <v>0</v>
      </c>
      <c r="DG69" s="15">
        <f t="shared" ref="DG69:DG143" si="88">DF69*$E69</f>
        <v>0</v>
      </c>
      <c r="DH69" s="12"/>
      <c r="DI69" s="13">
        <f t="shared" ref="DI69:DI129" si="89">DH69*$E69</f>
        <v>0</v>
      </c>
      <c r="DJ69" s="12"/>
      <c r="DK69" s="13">
        <f t="shared" ref="DK69:DK134" si="90">DJ69*$E69</f>
        <v>0</v>
      </c>
      <c r="DL69" s="12"/>
      <c r="DM69" s="13">
        <f t="shared" si="72"/>
        <v>0</v>
      </c>
      <c r="DN69" s="12"/>
      <c r="DO69" s="13">
        <f t="shared" si="74"/>
        <v>0</v>
      </c>
      <c r="DP69" s="12"/>
      <c r="DQ69" s="13">
        <f t="shared" ref="DQ69:DQ143" si="91">DP69*AE69</f>
        <v>0</v>
      </c>
      <c r="DR69" s="12"/>
      <c r="DS69" s="13">
        <f t="shared" ref="DS69:DS132" si="92">DR69*$E69</f>
        <v>0</v>
      </c>
      <c r="DT69" s="12"/>
      <c r="DU69" s="13">
        <f t="shared" si="73"/>
        <v>0</v>
      </c>
      <c r="DV69" s="12"/>
      <c r="DW69" s="13">
        <f t="shared" ref="DW69:DW143" si="93">DV69*$E69</f>
        <v>0</v>
      </c>
      <c r="DX69" s="12"/>
      <c r="DY69" s="13">
        <f t="shared" ref="DY69:DY143" si="94">DX69*$E69</f>
        <v>0</v>
      </c>
      <c r="DZ69" s="12"/>
      <c r="EA69" s="13">
        <f t="shared" ref="EA69:EA143" si="95">DZ69*$E69</f>
        <v>0</v>
      </c>
      <c r="EB69" s="12"/>
      <c r="EC69" s="13">
        <f t="shared" si="66"/>
        <v>0</v>
      </c>
      <c r="ED69" s="12"/>
      <c r="EE69" s="13">
        <f t="shared" ref="EE69:EE136" si="96">ED69*$E69</f>
        <v>0</v>
      </c>
      <c r="EF69" s="24">
        <f t="shared" ref="EF69:EF124" si="97">SUM(DH69,DJ69,DL69,DN69,DP69,DR69,DT69,DV69,DX69,DZ69,EB69,ED69)</f>
        <v>0</v>
      </c>
      <c r="EG69" s="13">
        <f t="shared" ref="EG69:EG143" si="98">EF69*$E69</f>
        <v>0</v>
      </c>
    </row>
    <row r="70" spans="1:137" ht="18" customHeight="1" x14ac:dyDescent="0.5">
      <c r="A70" s="10">
        <v>57</v>
      </c>
      <c r="B70" s="11" t="s">
        <v>65</v>
      </c>
      <c r="C70" s="11" t="s">
        <v>17</v>
      </c>
      <c r="D70" s="10">
        <f>RANK(DF70,$DF$4:$DF$147)</f>
        <v>21</v>
      </c>
      <c r="E70" s="10">
        <v>1</v>
      </c>
      <c r="F70" s="10" t="s">
        <v>15</v>
      </c>
      <c r="G70" s="10"/>
      <c r="H70" s="12"/>
      <c r="I70" s="13">
        <f t="shared" si="4"/>
        <v>0</v>
      </c>
      <c r="J70" s="12"/>
      <c r="K70" s="13">
        <f t="shared" si="5"/>
        <v>0</v>
      </c>
      <c r="L70" s="12"/>
      <c r="M70" s="13">
        <f t="shared" si="6"/>
        <v>0</v>
      </c>
      <c r="N70" s="12"/>
      <c r="O70" s="13">
        <f t="shared" si="7"/>
        <v>0</v>
      </c>
      <c r="P70" s="12"/>
      <c r="Q70" s="13">
        <f t="shared" si="8"/>
        <v>0</v>
      </c>
      <c r="R70" s="12"/>
      <c r="S70" s="13">
        <f t="shared" si="9"/>
        <v>0</v>
      </c>
      <c r="T70" s="12"/>
      <c r="U70" s="13">
        <f t="shared" si="10"/>
        <v>0</v>
      </c>
      <c r="V70" s="12"/>
      <c r="W70" s="13">
        <f t="shared" si="11"/>
        <v>0</v>
      </c>
      <c r="X70" s="12"/>
      <c r="Y70" s="13">
        <f t="shared" si="12"/>
        <v>0</v>
      </c>
      <c r="Z70" s="12"/>
      <c r="AA70" s="13">
        <f t="shared" si="13"/>
        <v>0</v>
      </c>
      <c r="AB70" s="12"/>
      <c r="AC70" s="13">
        <f t="shared" si="14"/>
        <v>0</v>
      </c>
      <c r="AD70" s="12"/>
      <c r="AE70" s="13">
        <f t="shared" si="15"/>
        <v>0</v>
      </c>
      <c r="AF70" s="14">
        <f t="shared" si="16"/>
        <v>0</v>
      </c>
      <c r="AG70" s="15">
        <f t="shared" si="17"/>
        <v>0</v>
      </c>
      <c r="AH70" s="16"/>
      <c r="AI70" s="13">
        <f t="shared" si="18"/>
        <v>0</v>
      </c>
      <c r="AJ70" s="17"/>
      <c r="AK70" s="13">
        <f t="shared" si="19"/>
        <v>0</v>
      </c>
      <c r="AL70" s="17"/>
      <c r="AM70" s="13">
        <f t="shared" si="20"/>
        <v>0</v>
      </c>
      <c r="AN70" s="18"/>
      <c r="AO70" s="13">
        <f t="shared" si="21"/>
        <v>0</v>
      </c>
      <c r="AP70" s="17"/>
      <c r="AQ70" s="13">
        <f t="shared" si="22"/>
        <v>0</v>
      </c>
      <c r="AR70" s="17"/>
      <c r="AS70" s="13">
        <f t="shared" si="23"/>
        <v>0</v>
      </c>
      <c r="AT70" s="19"/>
      <c r="AU70" s="13">
        <f t="shared" si="24"/>
        <v>0</v>
      </c>
      <c r="AV70" s="17"/>
      <c r="AW70" s="13">
        <f t="shared" si="25"/>
        <v>0</v>
      </c>
      <c r="AX70" s="17"/>
      <c r="AY70" s="13">
        <f t="shared" si="26"/>
        <v>0</v>
      </c>
      <c r="AZ70" s="19"/>
      <c r="BA70" s="13">
        <f t="shared" si="27"/>
        <v>0</v>
      </c>
      <c r="BB70" s="20"/>
      <c r="BC70" s="13">
        <f t="shared" si="28"/>
        <v>0</v>
      </c>
      <c r="BD70" s="20"/>
      <c r="BE70" s="13">
        <f t="shared" si="29"/>
        <v>0</v>
      </c>
      <c r="BF70" s="14">
        <f t="shared" si="30"/>
        <v>0</v>
      </c>
      <c r="BG70" s="15">
        <f t="shared" si="31"/>
        <v>0</v>
      </c>
      <c r="BH70" s="18"/>
      <c r="BI70" s="57">
        <f t="shared" si="32"/>
        <v>0</v>
      </c>
      <c r="BJ70" s="18"/>
      <c r="BK70" s="57">
        <f t="shared" si="33"/>
        <v>0</v>
      </c>
      <c r="BL70" s="18"/>
      <c r="BM70" s="57">
        <f t="shared" si="34"/>
        <v>0</v>
      </c>
      <c r="BN70" s="18"/>
      <c r="BO70" s="57">
        <f t="shared" si="35"/>
        <v>0</v>
      </c>
      <c r="BP70" s="18"/>
      <c r="BQ70" s="57">
        <f t="shared" si="36"/>
        <v>0</v>
      </c>
      <c r="BR70" s="18"/>
      <c r="BS70" s="57">
        <f t="shared" si="37"/>
        <v>0</v>
      </c>
      <c r="BT70" s="18"/>
      <c r="BU70" s="57">
        <f t="shared" si="38"/>
        <v>0</v>
      </c>
      <c r="BV70" s="18"/>
      <c r="BW70" s="57">
        <f t="shared" si="39"/>
        <v>0</v>
      </c>
      <c r="BX70" s="18"/>
      <c r="BY70" s="57">
        <f t="shared" si="40"/>
        <v>0</v>
      </c>
      <c r="BZ70" s="18"/>
      <c r="CA70" s="57">
        <f t="shared" si="41"/>
        <v>0</v>
      </c>
      <c r="CB70" s="18"/>
      <c r="CC70" s="57">
        <f t="shared" si="42"/>
        <v>0</v>
      </c>
      <c r="CD70" s="18"/>
      <c r="CE70" s="57">
        <f t="shared" si="43"/>
        <v>0</v>
      </c>
      <c r="CF70" s="14">
        <f t="shared" si="44"/>
        <v>0</v>
      </c>
      <c r="CG70" s="15">
        <f t="shared" si="45"/>
        <v>0</v>
      </c>
      <c r="CH70" s="12"/>
      <c r="CI70" s="13">
        <f t="shared" si="75"/>
        <v>0</v>
      </c>
      <c r="CJ70" s="12"/>
      <c r="CK70" s="13">
        <f t="shared" si="76"/>
        <v>0</v>
      </c>
      <c r="CL70" s="12"/>
      <c r="CM70" s="13">
        <f t="shared" si="77"/>
        <v>0</v>
      </c>
      <c r="CN70" s="12"/>
      <c r="CO70" s="13">
        <f t="shared" si="78"/>
        <v>0</v>
      </c>
      <c r="CP70" s="12"/>
      <c r="CQ70" s="13">
        <f t="shared" si="79"/>
        <v>0</v>
      </c>
      <c r="CR70" s="12"/>
      <c r="CS70" s="13">
        <f t="shared" si="80"/>
        <v>0</v>
      </c>
      <c r="CT70" s="12"/>
      <c r="CU70" s="13">
        <f t="shared" si="81"/>
        <v>0</v>
      </c>
      <c r="CV70" s="12"/>
      <c r="CW70" s="13">
        <f t="shared" si="82"/>
        <v>0</v>
      </c>
      <c r="CX70" s="12"/>
      <c r="CY70" s="13">
        <f t="shared" si="83"/>
        <v>0</v>
      </c>
      <c r="CZ70" s="12"/>
      <c r="DA70" s="13">
        <f t="shared" si="84"/>
        <v>0</v>
      </c>
      <c r="DB70" s="12"/>
      <c r="DC70" s="13">
        <f t="shared" si="85"/>
        <v>0</v>
      </c>
      <c r="DD70" s="12"/>
      <c r="DE70" s="13">
        <f t="shared" si="86"/>
        <v>0</v>
      </c>
      <c r="DF70" s="64">
        <f t="shared" si="87"/>
        <v>0</v>
      </c>
      <c r="DG70" s="15">
        <f t="shared" si="88"/>
        <v>0</v>
      </c>
      <c r="DH70" s="12"/>
      <c r="DI70" s="13">
        <f t="shared" si="89"/>
        <v>0</v>
      </c>
      <c r="DJ70" s="12"/>
      <c r="DK70" s="13">
        <f t="shared" si="90"/>
        <v>0</v>
      </c>
      <c r="DL70" s="12"/>
      <c r="DM70" s="13">
        <f t="shared" si="72"/>
        <v>0</v>
      </c>
      <c r="DN70" s="12"/>
      <c r="DO70" s="13">
        <f t="shared" si="74"/>
        <v>0</v>
      </c>
      <c r="DP70" s="12"/>
      <c r="DQ70" s="13">
        <f t="shared" si="91"/>
        <v>0</v>
      </c>
      <c r="DR70" s="12"/>
      <c r="DS70" s="13">
        <f t="shared" si="92"/>
        <v>0</v>
      </c>
      <c r="DT70" s="12"/>
      <c r="DU70" s="13">
        <f t="shared" si="73"/>
        <v>0</v>
      </c>
      <c r="DV70" s="12"/>
      <c r="DW70" s="13">
        <f t="shared" si="93"/>
        <v>0</v>
      </c>
      <c r="DX70" s="12"/>
      <c r="DY70" s="13">
        <f t="shared" si="94"/>
        <v>0</v>
      </c>
      <c r="DZ70" s="12"/>
      <c r="EA70" s="13">
        <f t="shared" si="95"/>
        <v>0</v>
      </c>
      <c r="EB70" s="12"/>
      <c r="EC70" s="13">
        <f t="shared" ref="EC70:EC129" si="99">EB70*$E70</f>
        <v>0</v>
      </c>
      <c r="ED70" s="12"/>
      <c r="EE70" s="13">
        <f t="shared" si="96"/>
        <v>0</v>
      </c>
      <c r="EF70" s="24">
        <f t="shared" si="97"/>
        <v>0</v>
      </c>
      <c r="EG70" s="13">
        <f t="shared" si="98"/>
        <v>0</v>
      </c>
    </row>
    <row r="71" spans="1:137" ht="18" customHeight="1" x14ac:dyDescent="0.5">
      <c r="A71" s="10">
        <v>58</v>
      </c>
      <c r="B71" s="11" t="s">
        <v>66</v>
      </c>
      <c r="C71" s="11" t="s">
        <v>17</v>
      </c>
      <c r="D71" s="10">
        <f>RANK(DF71,$DF$4:$DF$147)</f>
        <v>21</v>
      </c>
      <c r="E71" s="10">
        <v>0.6</v>
      </c>
      <c r="F71" s="10" t="s">
        <v>15</v>
      </c>
      <c r="G71" s="10"/>
      <c r="H71" s="12"/>
      <c r="I71" s="13">
        <f t="shared" si="4"/>
        <v>0</v>
      </c>
      <c r="J71" s="12"/>
      <c r="K71" s="13">
        <f t="shared" si="5"/>
        <v>0</v>
      </c>
      <c r="L71" s="12"/>
      <c r="M71" s="13">
        <f t="shared" si="6"/>
        <v>0</v>
      </c>
      <c r="N71" s="12"/>
      <c r="O71" s="13">
        <f t="shared" si="7"/>
        <v>0</v>
      </c>
      <c r="P71" s="12"/>
      <c r="Q71" s="13">
        <f t="shared" si="8"/>
        <v>0</v>
      </c>
      <c r="R71" s="12"/>
      <c r="S71" s="13">
        <f t="shared" si="9"/>
        <v>0</v>
      </c>
      <c r="T71" s="12"/>
      <c r="U71" s="13">
        <f t="shared" si="10"/>
        <v>0</v>
      </c>
      <c r="V71" s="12"/>
      <c r="W71" s="13">
        <f t="shared" si="11"/>
        <v>0</v>
      </c>
      <c r="X71" s="12"/>
      <c r="Y71" s="13">
        <f t="shared" si="12"/>
        <v>0</v>
      </c>
      <c r="Z71" s="12"/>
      <c r="AA71" s="13">
        <f t="shared" si="13"/>
        <v>0</v>
      </c>
      <c r="AB71" s="12"/>
      <c r="AC71" s="13">
        <f t="shared" si="14"/>
        <v>0</v>
      </c>
      <c r="AD71" s="12"/>
      <c r="AE71" s="13">
        <f t="shared" si="15"/>
        <v>0</v>
      </c>
      <c r="AF71" s="14">
        <f t="shared" ref="AF71:AF144" si="100">(AD71+AB71+Z71+X71+V71+T71+R71+P71+N71+L71+J71+H71)/12</f>
        <v>0</v>
      </c>
      <c r="AG71" s="15">
        <f t="shared" si="17"/>
        <v>0</v>
      </c>
      <c r="AH71" s="16"/>
      <c r="AI71" s="13">
        <f t="shared" si="18"/>
        <v>0</v>
      </c>
      <c r="AJ71" s="17"/>
      <c r="AK71" s="13">
        <f t="shared" si="19"/>
        <v>0</v>
      </c>
      <c r="AL71" s="17"/>
      <c r="AM71" s="13">
        <f t="shared" si="20"/>
        <v>0</v>
      </c>
      <c r="AN71" s="18"/>
      <c r="AO71" s="13">
        <f t="shared" si="21"/>
        <v>0</v>
      </c>
      <c r="AP71" s="17"/>
      <c r="AQ71" s="13">
        <f t="shared" si="22"/>
        <v>0</v>
      </c>
      <c r="AR71" s="17"/>
      <c r="AS71" s="13">
        <f t="shared" si="23"/>
        <v>0</v>
      </c>
      <c r="AT71" s="19"/>
      <c r="AU71" s="13">
        <f t="shared" si="24"/>
        <v>0</v>
      </c>
      <c r="AV71" s="17"/>
      <c r="AW71" s="13">
        <f t="shared" si="25"/>
        <v>0</v>
      </c>
      <c r="AX71" s="17"/>
      <c r="AY71" s="13">
        <f t="shared" si="26"/>
        <v>0</v>
      </c>
      <c r="AZ71" s="19"/>
      <c r="BA71" s="13">
        <f t="shared" si="27"/>
        <v>0</v>
      </c>
      <c r="BB71" s="20"/>
      <c r="BC71" s="13">
        <f t="shared" si="28"/>
        <v>0</v>
      </c>
      <c r="BD71" s="20"/>
      <c r="BE71" s="13">
        <f t="shared" si="29"/>
        <v>0</v>
      </c>
      <c r="BF71" s="14">
        <f t="shared" ref="BF71:BF144" si="101">(BD71+BB71+AZ71+AX71+AV71+AT71+AR71+AP71+AN71+AL71+AJ71+AH71)/12</f>
        <v>0</v>
      </c>
      <c r="BG71" s="15">
        <f t="shared" si="31"/>
        <v>0</v>
      </c>
      <c r="BH71" s="18"/>
      <c r="BI71" s="57">
        <f t="shared" si="32"/>
        <v>0</v>
      </c>
      <c r="BJ71" s="18"/>
      <c r="BK71" s="57">
        <f t="shared" si="33"/>
        <v>0</v>
      </c>
      <c r="BL71" s="18"/>
      <c r="BM71" s="57">
        <f t="shared" si="34"/>
        <v>0</v>
      </c>
      <c r="BN71" s="18"/>
      <c r="BO71" s="57">
        <f t="shared" si="35"/>
        <v>0</v>
      </c>
      <c r="BP71" s="18"/>
      <c r="BQ71" s="57">
        <f t="shared" si="36"/>
        <v>0</v>
      </c>
      <c r="BR71" s="18"/>
      <c r="BS71" s="57">
        <f t="shared" si="37"/>
        <v>0</v>
      </c>
      <c r="BT71" s="18"/>
      <c r="BU71" s="57">
        <f t="shared" si="38"/>
        <v>0</v>
      </c>
      <c r="BV71" s="18"/>
      <c r="BW71" s="57">
        <f t="shared" si="39"/>
        <v>0</v>
      </c>
      <c r="BX71" s="18"/>
      <c r="BY71" s="57">
        <f t="shared" si="40"/>
        <v>0</v>
      </c>
      <c r="BZ71" s="18"/>
      <c r="CA71" s="57">
        <f t="shared" si="41"/>
        <v>0</v>
      </c>
      <c r="CB71" s="18"/>
      <c r="CC71" s="57">
        <f t="shared" si="42"/>
        <v>0</v>
      </c>
      <c r="CD71" s="18"/>
      <c r="CE71" s="57">
        <f t="shared" si="43"/>
        <v>0</v>
      </c>
      <c r="CF71" s="14">
        <f t="shared" ref="CF71:CF144" si="102">(CD71+CB71+BZ71+BX71+BV71+BT71+BR71+BP71+BN71+BL71+BJ71+BH71)/12</f>
        <v>0</v>
      </c>
      <c r="CG71" s="15">
        <f t="shared" si="45"/>
        <v>0</v>
      </c>
      <c r="CH71" s="12"/>
      <c r="CI71" s="13">
        <f t="shared" si="75"/>
        <v>0</v>
      </c>
      <c r="CJ71" s="12"/>
      <c r="CK71" s="13">
        <f t="shared" si="76"/>
        <v>0</v>
      </c>
      <c r="CL71" s="12"/>
      <c r="CM71" s="13">
        <f t="shared" si="77"/>
        <v>0</v>
      </c>
      <c r="CN71" s="12"/>
      <c r="CO71" s="13">
        <f t="shared" si="78"/>
        <v>0</v>
      </c>
      <c r="CP71" s="12"/>
      <c r="CQ71" s="13">
        <f t="shared" si="79"/>
        <v>0</v>
      </c>
      <c r="CR71" s="12"/>
      <c r="CS71" s="13">
        <f t="shared" si="80"/>
        <v>0</v>
      </c>
      <c r="CT71" s="12"/>
      <c r="CU71" s="13">
        <f t="shared" si="81"/>
        <v>0</v>
      </c>
      <c r="CV71" s="12"/>
      <c r="CW71" s="13">
        <f t="shared" si="82"/>
        <v>0</v>
      </c>
      <c r="CX71" s="12"/>
      <c r="CY71" s="13">
        <f t="shared" si="83"/>
        <v>0</v>
      </c>
      <c r="CZ71" s="12"/>
      <c r="DA71" s="13">
        <f t="shared" si="84"/>
        <v>0</v>
      </c>
      <c r="DB71" s="12"/>
      <c r="DC71" s="13">
        <f t="shared" si="85"/>
        <v>0</v>
      </c>
      <c r="DD71" s="12"/>
      <c r="DE71" s="13">
        <f t="shared" si="86"/>
        <v>0</v>
      </c>
      <c r="DF71" s="64">
        <f t="shared" si="87"/>
        <v>0</v>
      </c>
      <c r="DG71" s="15">
        <f t="shared" si="88"/>
        <v>0</v>
      </c>
      <c r="DH71" s="12"/>
      <c r="DI71" s="13">
        <f t="shared" si="89"/>
        <v>0</v>
      </c>
      <c r="DJ71" s="12"/>
      <c r="DK71" s="13">
        <f t="shared" si="90"/>
        <v>0</v>
      </c>
      <c r="DL71" s="12"/>
      <c r="DM71" s="13">
        <f t="shared" si="72"/>
        <v>0</v>
      </c>
      <c r="DN71" s="12"/>
      <c r="DO71" s="13">
        <f t="shared" si="74"/>
        <v>0</v>
      </c>
      <c r="DP71" s="12"/>
      <c r="DQ71" s="13">
        <f t="shared" si="91"/>
        <v>0</v>
      </c>
      <c r="DR71" s="12"/>
      <c r="DS71" s="13">
        <f t="shared" si="92"/>
        <v>0</v>
      </c>
      <c r="DT71" s="12"/>
      <c r="DU71" s="13">
        <f t="shared" si="73"/>
        <v>0</v>
      </c>
      <c r="DV71" s="12"/>
      <c r="DW71" s="13">
        <f t="shared" si="93"/>
        <v>0</v>
      </c>
      <c r="DX71" s="12"/>
      <c r="DY71" s="13">
        <f t="shared" si="94"/>
        <v>0</v>
      </c>
      <c r="DZ71" s="12"/>
      <c r="EA71" s="13">
        <f t="shared" si="95"/>
        <v>0</v>
      </c>
      <c r="EB71" s="12"/>
      <c r="EC71" s="13">
        <f t="shared" si="99"/>
        <v>0</v>
      </c>
      <c r="ED71" s="12"/>
      <c r="EE71" s="13">
        <f t="shared" si="96"/>
        <v>0</v>
      </c>
      <c r="EF71" s="24">
        <f t="shared" si="97"/>
        <v>0</v>
      </c>
      <c r="EG71" s="13">
        <f t="shared" si="98"/>
        <v>0</v>
      </c>
    </row>
    <row r="72" spans="1:137" ht="18" customHeight="1" x14ac:dyDescent="0.5">
      <c r="A72" s="10">
        <v>59</v>
      </c>
      <c r="B72" s="11" t="s">
        <v>67</v>
      </c>
      <c r="C72" s="11" t="s">
        <v>14</v>
      </c>
      <c r="D72" s="10">
        <f>RANK(DF72,$DF$4:$DF$147)</f>
        <v>21</v>
      </c>
      <c r="E72" s="10">
        <v>0.64</v>
      </c>
      <c r="F72" s="10" t="s">
        <v>25</v>
      </c>
      <c r="G72" s="10"/>
      <c r="H72" s="12"/>
      <c r="I72" s="13">
        <f t="shared" si="4"/>
        <v>0</v>
      </c>
      <c r="J72" s="12"/>
      <c r="K72" s="13">
        <f t="shared" si="5"/>
        <v>0</v>
      </c>
      <c r="L72" s="12"/>
      <c r="M72" s="13">
        <f t="shared" si="6"/>
        <v>0</v>
      </c>
      <c r="N72" s="12"/>
      <c r="O72" s="13">
        <f t="shared" si="7"/>
        <v>0</v>
      </c>
      <c r="P72" s="12"/>
      <c r="Q72" s="13">
        <f t="shared" si="8"/>
        <v>0</v>
      </c>
      <c r="R72" s="12"/>
      <c r="S72" s="13">
        <f t="shared" si="9"/>
        <v>0</v>
      </c>
      <c r="T72" s="12"/>
      <c r="U72" s="13">
        <f t="shared" si="10"/>
        <v>0</v>
      </c>
      <c r="V72" s="12"/>
      <c r="W72" s="13">
        <f t="shared" si="11"/>
        <v>0</v>
      </c>
      <c r="X72" s="12"/>
      <c r="Y72" s="13">
        <f t="shared" si="12"/>
        <v>0</v>
      </c>
      <c r="Z72" s="12"/>
      <c r="AA72" s="13">
        <f t="shared" si="13"/>
        <v>0</v>
      </c>
      <c r="AB72" s="12"/>
      <c r="AC72" s="13">
        <f t="shared" si="14"/>
        <v>0</v>
      </c>
      <c r="AD72" s="12"/>
      <c r="AE72" s="13">
        <f t="shared" si="15"/>
        <v>0</v>
      </c>
      <c r="AF72" s="14">
        <f t="shared" si="100"/>
        <v>0</v>
      </c>
      <c r="AG72" s="15">
        <f t="shared" si="17"/>
        <v>0</v>
      </c>
      <c r="AH72" s="16"/>
      <c r="AI72" s="13">
        <f t="shared" si="18"/>
        <v>0</v>
      </c>
      <c r="AJ72" s="17"/>
      <c r="AK72" s="13">
        <f t="shared" si="19"/>
        <v>0</v>
      </c>
      <c r="AL72" s="17"/>
      <c r="AM72" s="13">
        <f t="shared" si="20"/>
        <v>0</v>
      </c>
      <c r="AN72" s="18"/>
      <c r="AO72" s="13">
        <f t="shared" si="21"/>
        <v>0</v>
      </c>
      <c r="AP72" s="17"/>
      <c r="AQ72" s="13">
        <f t="shared" si="22"/>
        <v>0</v>
      </c>
      <c r="AR72" s="17"/>
      <c r="AS72" s="13">
        <f t="shared" si="23"/>
        <v>0</v>
      </c>
      <c r="AT72" s="19"/>
      <c r="AU72" s="13">
        <f t="shared" si="24"/>
        <v>0</v>
      </c>
      <c r="AV72" s="17"/>
      <c r="AW72" s="13">
        <f t="shared" si="25"/>
        <v>0</v>
      </c>
      <c r="AX72" s="17"/>
      <c r="AY72" s="13">
        <f t="shared" si="26"/>
        <v>0</v>
      </c>
      <c r="AZ72" s="19"/>
      <c r="BA72" s="13">
        <f t="shared" si="27"/>
        <v>0</v>
      </c>
      <c r="BB72" s="20"/>
      <c r="BC72" s="13">
        <f t="shared" si="28"/>
        <v>0</v>
      </c>
      <c r="BD72" s="20"/>
      <c r="BE72" s="13">
        <f t="shared" si="29"/>
        <v>0</v>
      </c>
      <c r="BF72" s="14">
        <f t="shared" si="101"/>
        <v>0</v>
      </c>
      <c r="BG72" s="15">
        <f t="shared" si="31"/>
        <v>0</v>
      </c>
      <c r="BH72" s="18"/>
      <c r="BI72" s="57">
        <f t="shared" si="32"/>
        <v>0</v>
      </c>
      <c r="BJ72" s="18"/>
      <c r="BK72" s="57">
        <f t="shared" si="33"/>
        <v>0</v>
      </c>
      <c r="BL72" s="18"/>
      <c r="BM72" s="57">
        <f t="shared" si="34"/>
        <v>0</v>
      </c>
      <c r="BN72" s="18"/>
      <c r="BO72" s="57">
        <f t="shared" si="35"/>
        <v>0</v>
      </c>
      <c r="BP72" s="18"/>
      <c r="BQ72" s="57">
        <f t="shared" si="36"/>
        <v>0</v>
      </c>
      <c r="BR72" s="18"/>
      <c r="BS72" s="57">
        <f t="shared" si="37"/>
        <v>0</v>
      </c>
      <c r="BT72" s="18"/>
      <c r="BU72" s="57">
        <f t="shared" si="38"/>
        <v>0</v>
      </c>
      <c r="BV72" s="18"/>
      <c r="BW72" s="57">
        <f t="shared" si="39"/>
        <v>0</v>
      </c>
      <c r="BX72" s="18"/>
      <c r="BY72" s="57">
        <f t="shared" si="40"/>
        <v>0</v>
      </c>
      <c r="BZ72" s="18"/>
      <c r="CA72" s="57">
        <f t="shared" si="41"/>
        <v>0</v>
      </c>
      <c r="CB72" s="18"/>
      <c r="CC72" s="57">
        <f t="shared" si="42"/>
        <v>0</v>
      </c>
      <c r="CD72" s="18"/>
      <c r="CE72" s="57">
        <f t="shared" si="43"/>
        <v>0</v>
      </c>
      <c r="CF72" s="14">
        <f t="shared" si="102"/>
        <v>0</v>
      </c>
      <c r="CG72" s="15">
        <f t="shared" si="45"/>
        <v>0</v>
      </c>
      <c r="CH72" s="12"/>
      <c r="CI72" s="13">
        <f t="shared" si="75"/>
        <v>0</v>
      </c>
      <c r="CJ72" s="12"/>
      <c r="CK72" s="13">
        <f t="shared" si="76"/>
        <v>0</v>
      </c>
      <c r="CL72" s="12"/>
      <c r="CM72" s="13">
        <f t="shared" si="77"/>
        <v>0</v>
      </c>
      <c r="CN72" s="12"/>
      <c r="CO72" s="13">
        <f t="shared" si="78"/>
        <v>0</v>
      </c>
      <c r="CP72" s="12"/>
      <c r="CQ72" s="13">
        <f t="shared" si="79"/>
        <v>0</v>
      </c>
      <c r="CR72" s="12"/>
      <c r="CS72" s="13">
        <f t="shared" si="80"/>
        <v>0</v>
      </c>
      <c r="CT72" s="12"/>
      <c r="CU72" s="13">
        <f t="shared" si="81"/>
        <v>0</v>
      </c>
      <c r="CV72" s="12"/>
      <c r="CW72" s="13">
        <f t="shared" si="82"/>
        <v>0</v>
      </c>
      <c r="CX72" s="12"/>
      <c r="CY72" s="13">
        <f t="shared" si="83"/>
        <v>0</v>
      </c>
      <c r="CZ72" s="12"/>
      <c r="DA72" s="13">
        <f t="shared" si="84"/>
        <v>0</v>
      </c>
      <c r="DB72" s="12"/>
      <c r="DC72" s="13">
        <f t="shared" si="85"/>
        <v>0</v>
      </c>
      <c r="DD72" s="12"/>
      <c r="DE72" s="13">
        <f t="shared" si="86"/>
        <v>0</v>
      </c>
      <c r="DF72" s="64">
        <f t="shared" si="87"/>
        <v>0</v>
      </c>
      <c r="DG72" s="15">
        <f t="shared" si="88"/>
        <v>0</v>
      </c>
      <c r="DH72" s="12"/>
      <c r="DI72" s="13">
        <f t="shared" si="89"/>
        <v>0</v>
      </c>
      <c r="DJ72" s="12"/>
      <c r="DK72" s="13">
        <f t="shared" si="90"/>
        <v>0</v>
      </c>
      <c r="DL72" s="12"/>
      <c r="DM72" s="13">
        <f t="shared" si="72"/>
        <v>0</v>
      </c>
      <c r="DN72" s="12"/>
      <c r="DO72" s="13">
        <f t="shared" si="74"/>
        <v>0</v>
      </c>
      <c r="DP72" s="12"/>
      <c r="DQ72" s="13">
        <f t="shared" si="91"/>
        <v>0</v>
      </c>
      <c r="DR72" s="12"/>
      <c r="DS72" s="13">
        <f t="shared" si="92"/>
        <v>0</v>
      </c>
      <c r="DT72" s="12"/>
      <c r="DU72" s="13">
        <f t="shared" si="73"/>
        <v>0</v>
      </c>
      <c r="DV72" s="12"/>
      <c r="DW72" s="13">
        <f t="shared" si="93"/>
        <v>0</v>
      </c>
      <c r="DX72" s="12"/>
      <c r="DY72" s="13">
        <f t="shared" si="94"/>
        <v>0</v>
      </c>
      <c r="DZ72" s="12"/>
      <c r="EA72" s="13">
        <f t="shared" si="95"/>
        <v>0</v>
      </c>
      <c r="EB72" s="12"/>
      <c r="EC72" s="13">
        <f t="shared" si="99"/>
        <v>0</v>
      </c>
      <c r="ED72" s="12"/>
      <c r="EE72" s="13">
        <f t="shared" si="96"/>
        <v>0</v>
      </c>
      <c r="EF72" s="24">
        <f t="shared" si="97"/>
        <v>0</v>
      </c>
      <c r="EG72" s="13">
        <f t="shared" si="98"/>
        <v>0</v>
      </c>
    </row>
    <row r="73" spans="1:137" ht="18" customHeight="1" x14ac:dyDescent="0.5">
      <c r="A73" s="10"/>
      <c r="B73" s="11"/>
      <c r="C73" s="11"/>
      <c r="D73" s="10"/>
      <c r="E73" s="10"/>
      <c r="F73" s="10"/>
      <c r="G73" s="10"/>
      <c r="H73" s="12"/>
      <c r="I73" s="13">
        <f t="shared" si="4"/>
        <v>0</v>
      </c>
      <c r="J73" s="12"/>
      <c r="K73" s="13">
        <f t="shared" si="5"/>
        <v>0</v>
      </c>
      <c r="L73" s="12"/>
      <c r="M73" s="13">
        <f t="shared" si="6"/>
        <v>0</v>
      </c>
      <c r="N73" s="12"/>
      <c r="O73" s="13">
        <f t="shared" si="7"/>
        <v>0</v>
      </c>
      <c r="P73" s="12"/>
      <c r="Q73" s="13">
        <f t="shared" si="8"/>
        <v>0</v>
      </c>
      <c r="R73" s="12"/>
      <c r="S73" s="13">
        <f t="shared" si="9"/>
        <v>0</v>
      </c>
      <c r="T73" s="12"/>
      <c r="U73" s="13">
        <f t="shared" si="10"/>
        <v>0</v>
      </c>
      <c r="V73" s="12"/>
      <c r="W73" s="13">
        <f t="shared" si="11"/>
        <v>0</v>
      </c>
      <c r="X73" s="12"/>
      <c r="Y73" s="13">
        <f t="shared" si="12"/>
        <v>0</v>
      </c>
      <c r="Z73" s="12"/>
      <c r="AA73" s="13">
        <f t="shared" si="13"/>
        <v>0</v>
      </c>
      <c r="AB73" s="12"/>
      <c r="AC73" s="13">
        <f t="shared" si="14"/>
        <v>0</v>
      </c>
      <c r="AD73" s="12"/>
      <c r="AE73" s="13">
        <f t="shared" si="15"/>
        <v>0</v>
      </c>
      <c r="AF73" s="14">
        <f t="shared" si="100"/>
        <v>0</v>
      </c>
      <c r="AG73" s="15">
        <f t="shared" si="17"/>
        <v>0</v>
      </c>
      <c r="AH73" s="16"/>
      <c r="AI73" s="13">
        <f t="shared" si="18"/>
        <v>0</v>
      </c>
      <c r="AJ73" s="17"/>
      <c r="AK73" s="13">
        <f t="shared" si="19"/>
        <v>0</v>
      </c>
      <c r="AL73" s="17"/>
      <c r="AM73" s="13">
        <f t="shared" si="20"/>
        <v>0</v>
      </c>
      <c r="AN73" s="18"/>
      <c r="AO73" s="13">
        <f t="shared" si="21"/>
        <v>0</v>
      </c>
      <c r="AP73" s="17"/>
      <c r="AQ73" s="13">
        <f t="shared" si="22"/>
        <v>0</v>
      </c>
      <c r="AR73" s="17"/>
      <c r="AS73" s="13">
        <f t="shared" si="23"/>
        <v>0</v>
      </c>
      <c r="AT73" s="19"/>
      <c r="AU73" s="13">
        <f t="shared" si="24"/>
        <v>0</v>
      </c>
      <c r="AV73" s="17"/>
      <c r="AW73" s="13">
        <f t="shared" si="25"/>
        <v>0</v>
      </c>
      <c r="AX73" s="17"/>
      <c r="AY73" s="13">
        <f t="shared" si="26"/>
        <v>0</v>
      </c>
      <c r="AZ73" s="19"/>
      <c r="BA73" s="13">
        <f t="shared" si="27"/>
        <v>0</v>
      </c>
      <c r="BB73" s="20"/>
      <c r="BC73" s="13">
        <f t="shared" si="28"/>
        <v>0</v>
      </c>
      <c r="BD73" s="20"/>
      <c r="BE73" s="13">
        <f t="shared" si="29"/>
        <v>0</v>
      </c>
      <c r="BF73" s="14">
        <f t="shared" si="101"/>
        <v>0</v>
      </c>
      <c r="BG73" s="15">
        <f t="shared" si="31"/>
        <v>0</v>
      </c>
      <c r="BH73" s="18"/>
      <c r="BI73" s="57">
        <f t="shared" si="32"/>
        <v>0</v>
      </c>
      <c r="BJ73" s="18"/>
      <c r="BK73" s="57">
        <f t="shared" si="33"/>
        <v>0</v>
      </c>
      <c r="BL73" s="18"/>
      <c r="BM73" s="57">
        <f t="shared" si="34"/>
        <v>0</v>
      </c>
      <c r="BN73" s="18"/>
      <c r="BO73" s="57">
        <f t="shared" si="35"/>
        <v>0</v>
      </c>
      <c r="BP73" s="18"/>
      <c r="BQ73" s="57">
        <f t="shared" si="36"/>
        <v>0</v>
      </c>
      <c r="BR73" s="18"/>
      <c r="BS73" s="57">
        <f t="shared" si="37"/>
        <v>0</v>
      </c>
      <c r="BT73" s="18"/>
      <c r="BU73" s="57">
        <f t="shared" si="38"/>
        <v>0</v>
      </c>
      <c r="BV73" s="18"/>
      <c r="BW73" s="57">
        <f t="shared" si="39"/>
        <v>0</v>
      </c>
      <c r="BX73" s="18"/>
      <c r="BY73" s="57">
        <f t="shared" si="40"/>
        <v>0</v>
      </c>
      <c r="BZ73" s="18"/>
      <c r="CA73" s="57">
        <f t="shared" si="41"/>
        <v>0</v>
      </c>
      <c r="CB73" s="18"/>
      <c r="CC73" s="57">
        <f t="shared" si="42"/>
        <v>0</v>
      </c>
      <c r="CD73" s="18"/>
      <c r="CE73" s="57">
        <f t="shared" si="43"/>
        <v>0</v>
      </c>
      <c r="CF73" s="14">
        <f t="shared" si="102"/>
        <v>0</v>
      </c>
      <c r="CG73" s="15">
        <f t="shared" si="45"/>
        <v>0</v>
      </c>
      <c r="CH73" s="12"/>
      <c r="CI73" s="13">
        <f t="shared" si="75"/>
        <v>0</v>
      </c>
      <c r="CJ73" s="12"/>
      <c r="CK73" s="13">
        <f t="shared" si="76"/>
        <v>0</v>
      </c>
      <c r="CL73" s="12"/>
      <c r="CM73" s="13">
        <f t="shared" si="77"/>
        <v>0</v>
      </c>
      <c r="CN73" s="12"/>
      <c r="CO73" s="13">
        <f t="shared" si="78"/>
        <v>0</v>
      </c>
      <c r="CP73" s="12"/>
      <c r="CQ73" s="13">
        <f t="shared" si="79"/>
        <v>0</v>
      </c>
      <c r="CR73" s="12"/>
      <c r="CS73" s="13">
        <f t="shared" si="80"/>
        <v>0</v>
      </c>
      <c r="CT73" s="12"/>
      <c r="CU73" s="13">
        <f t="shared" si="81"/>
        <v>0</v>
      </c>
      <c r="CV73" s="12"/>
      <c r="CW73" s="13">
        <f t="shared" si="82"/>
        <v>0</v>
      </c>
      <c r="CX73" s="12"/>
      <c r="CY73" s="13">
        <f t="shared" si="83"/>
        <v>0</v>
      </c>
      <c r="CZ73" s="12"/>
      <c r="DA73" s="13">
        <f t="shared" si="84"/>
        <v>0</v>
      </c>
      <c r="DB73" s="12"/>
      <c r="DC73" s="13">
        <f t="shared" si="85"/>
        <v>0</v>
      </c>
      <c r="DD73" s="12"/>
      <c r="DE73" s="13">
        <f t="shared" si="86"/>
        <v>0</v>
      </c>
      <c r="DF73" s="64">
        <f t="shared" si="87"/>
        <v>0</v>
      </c>
      <c r="DG73" s="15">
        <f t="shared" si="88"/>
        <v>0</v>
      </c>
      <c r="DH73" s="12"/>
      <c r="DI73" s="13">
        <f t="shared" si="89"/>
        <v>0</v>
      </c>
      <c r="DJ73" s="12"/>
      <c r="DK73" s="13">
        <f t="shared" si="90"/>
        <v>0</v>
      </c>
      <c r="DL73" s="12"/>
      <c r="DM73" s="13">
        <f t="shared" si="72"/>
        <v>0</v>
      </c>
      <c r="DN73" s="12"/>
      <c r="DO73" s="13">
        <f t="shared" si="74"/>
        <v>0</v>
      </c>
      <c r="DP73" s="12"/>
      <c r="DQ73" s="13">
        <f t="shared" si="91"/>
        <v>0</v>
      </c>
      <c r="DR73" s="12"/>
      <c r="DS73" s="13">
        <f t="shared" si="92"/>
        <v>0</v>
      </c>
      <c r="DT73" s="12"/>
      <c r="DU73" s="13">
        <f t="shared" si="73"/>
        <v>0</v>
      </c>
      <c r="DV73" s="12"/>
      <c r="DW73" s="13">
        <f t="shared" si="93"/>
        <v>0</v>
      </c>
      <c r="DX73" s="12"/>
      <c r="DY73" s="13">
        <f t="shared" si="94"/>
        <v>0</v>
      </c>
      <c r="DZ73" s="12"/>
      <c r="EA73" s="13">
        <f t="shared" si="95"/>
        <v>0</v>
      </c>
      <c r="EB73" s="12"/>
      <c r="EC73" s="13">
        <f t="shared" si="99"/>
        <v>0</v>
      </c>
      <c r="ED73" s="12"/>
      <c r="EE73" s="13">
        <f t="shared" si="96"/>
        <v>0</v>
      </c>
      <c r="EF73" s="24">
        <f t="shared" si="97"/>
        <v>0</v>
      </c>
      <c r="EG73" s="13">
        <f t="shared" si="98"/>
        <v>0</v>
      </c>
    </row>
    <row r="74" spans="1:137" ht="18.75" customHeight="1" x14ac:dyDescent="0.5">
      <c r="A74" s="10">
        <v>60</v>
      </c>
      <c r="B74" s="11" t="s">
        <v>68</v>
      </c>
      <c r="C74" s="11" t="s">
        <v>14</v>
      </c>
      <c r="D74" s="10">
        <f>RANK(DF74,$DF$4:$DF$147)</f>
        <v>13</v>
      </c>
      <c r="E74" s="10">
        <v>0.64</v>
      </c>
      <c r="F74" s="10" t="s">
        <v>25</v>
      </c>
      <c r="G74" s="10">
        <v>1450</v>
      </c>
      <c r="H74" s="12">
        <v>360</v>
      </c>
      <c r="I74" s="13">
        <f t="shared" ref="I74:I95" si="103">H74*$E74</f>
        <v>230.4</v>
      </c>
      <c r="J74" s="12">
        <v>480</v>
      </c>
      <c r="K74" s="13">
        <f t="shared" ref="K74:K95" si="104">J74*$E74</f>
        <v>307.2</v>
      </c>
      <c r="L74" s="12">
        <v>1200</v>
      </c>
      <c r="M74" s="13">
        <f t="shared" ref="M74:M95" si="105">L74*$E74</f>
        <v>768</v>
      </c>
      <c r="N74" s="12">
        <v>840</v>
      </c>
      <c r="O74" s="13">
        <f t="shared" ref="O74:O95" si="106">N74*$E74</f>
        <v>537.6</v>
      </c>
      <c r="P74" s="12">
        <v>840</v>
      </c>
      <c r="Q74" s="13">
        <f t="shared" ref="Q74:Q95" si="107">P74*$E74</f>
        <v>537.6</v>
      </c>
      <c r="R74" s="12">
        <v>744</v>
      </c>
      <c r="S74" s="13">
        <f t="shared" ref="S74:S95" si="108">R74*$E74</f>
        <v>476.16</v>
      </c>
      <c r="T74" s="12">
        <v>120</v>
      </c>
      <c r="U74" s="13">
        <f t="shared" ref="U74:U95" si="109">T74*$E74</f>
        <v>76.8</v>
      </c>
      <c r="V74" s="12">
        <v>1560</v>
      </c>
      <c r="W74" s="13">
        <f t="shared" ref="W74:W95" si="110">V74*$E74</f>
        <v>998.4</v>
      </c>
      <c r="X74" s="12">
        <v>360</v>
      </c>
      <c r="Y74" s="13">
        <f t="shared" ref="Y74:Y95" si="111">X74*$E74</f>
        <v>230.4</v>
      </c>
      <c r="Z74" s="12">
        <v>1272</v>
      </c>
      <c r="AA74" s="13">
        <f t="shared" ref="AA74:AA95" si="112">Z74*$E74</f>
        <v>814.08</v>
      </c>
      <c r="AB74" s="12">
        <v>360</v>
      </c>
      <c r="AC74" s="13">
        <f t="shared" ref="AC74:AC95" si="113">AB74*$E74</f>
        <v>230.4</v>
      </c>
      <c r="AD74" s="12">
        <v>600</v>
      </c>
      <c r="AE74" s="13">
        <f t="shared" ref="AE74:AE95" si="114">AD74*$E74</f>
        <v>384</v>
      </c>
      <c r="AF74" s="14">
        <f t="shared" si="100"/>
        <v>728</v>
      </c>
      <c r="AG74" s="15">
        <f t="shared" ref="AG74:AG95" si="115">AF74*$E74</f>
        <v>465.92</v>
      </c>
      <c r="AH74" s="16">
        <v>360</v>
      </c>
      <c r="AI74" s="13">
        <f t="shared" ref="AI74:AI95" si="116">AH74*$E74</f>
        <v>230.4</v>
      </c>
      <c r="AJ74" s="17">
        <v>360</v>
      </c>
      <c r="AK74" s="13">
        <f t="shared" ref="AK74:AK98" si="117">AJ74*$E74</f>
        <v>230.4</v>
      </c>
      <c r="AL74" s="17">
        <v>1200</v>
      </c>
      <c r="AM74" s="13">
        <f t="shared" ref="AM74:AM98" si="118">AL74*$E74</f>
        <v>768</v>
      </c>
      <c r="AN74" s="18">
        <v>360</v>
      </c>
      <c r="AO74" s="13">
        <f t="shared" ref="AO74:AO98" si="119">AN74*$E74</f>
        <v>230.4</v>
      </c>
      <c r="AP74" s="17">
        <v>840</v>
      </c>
      <c r="AQ74" s="13">
        <f t="shared" ref="AQ74:AQ98" si="120">AP74*$E74</f>
        <v>537.6</v>
      </c>
      <c r="AR74" s="17">
        <v>360</v>
      </c>
      <c r="AS74" s="13">
        <f t="shared" ref="AS74:AS95" si="121">AR74*$E74</f>
        <v>230.4</v>
      </c>
      <c r="AT74" s="19">
        <v>384</v>
      </c>
      <c r="AU74" s="13">
        <f t="shared" ref="AU74:AU95" si="122">AT74*$E74</f>
        <v>245.76</v>
      </c>
      <c r="AV74" s="17">
        <v>242</v>
      </c>
      <c r="AW74" s="13">
        <f t="shared" ref="AW74:AW95" si="123">AV74*$E74</f>
        <v>154.88</v>
      </c>
      <c r="AX74" s="17">
        <v>1968</v>
      </c>
      <c r="AY74" s="13">
        <f t="shared" ref="AY74:AY95" si="124">AX74*$E74</f>
        <v>1259.52</v>
      </c>
      <c r="AZ74" s="19">
        <v>238</v>
      </c>
      <c r="BA74" s="13">
        <f t="shared" ref="BA74:BA95" si="125">AZ74*$E74</f>
        <v>152.32</v>
      </c>
      <c r="BB74" s="20">
        <v>112</v>
      </c>
      <c r="BC74" s="13">
        <f t="shared" ref="BC74:BC95" si="126">BB74*$E74</f>
        <v>71.680000000000007</v>
      </c>
      <c r="BD74" s="20">
        <v>588</v>
      </c>
      <c r="BE74" s="13">
        <f t="shared" ref="BE74:BE95" si="127">BD74*$E74</f>
        <v>376.32</v>
      </c>
      <c r="BF74" s="14">
        <f t="shared" si="101"/>
        <v>584.33333333333337</v>
      </c>
      <c r="BG74" s="15">
        <f t="shared" ref="BG74:BG95" si="128">BF74*$E74</f>
        <v>373.97333333333336</v>
      </c>
      <c r="BH74" s="23">
        <v>434</v>
      </c>
      <c r="BI74" s="57">
        <f t="shared" ref="BI74:BI144" si="129">BH74*$E74</f>
        <v>277.76</v>
      </c>
      <c r="BJ74" s="23">
        <v>322</v>
      </c>
      <c r="BK74" s="57">
        <f t="shared" ref="BK74:BK144" si="130">BJ74*$E74</f>
        <v>206.08</v>
      </c>
      <c r="BL74" s="23">
        <v>336</v>
      </c>
      <c r="BM74" s="57">
        <f t="shared" ref="BM74:BM144" si="131">BL74*$E74</f>
        <v>215.04</v>
      </c>
      <c r="BN74" s="23">
        <v>546</v>
      </c>
      <c r="BO74" s="57">
        <f t="shared" ref="BO74:BO144" si="132">BN74*$E74</f>
        <v>349.44</v>
      </c>
      <c r="BP74" s="23">
        <v>280</v>
      </c>
      <c r="BQ74" s="57">
        <f t="shared" ref="BQ74:BQ144" si="133">BP74*$E74</f>
        <v>179.20000000000002</v>
      </c>
      <c r="BR74" s="21">
        <v>504</v>
      </c>
      <c r="BS74" s="57">
        <f t="shared" ref="BS74:BS144" si="134">BR74*$E74</f>
        <v>322.56</v>
      </c>
      <c r="BT74" s="58">
        <v>588</v>
      </c>
      <c r="BU74" s="57">
        <f t="shared" ref="BU74:BU144" si="135">BT74*$E74</f>
        <v>376.32</v>
      </c>
      <c r="BV74" s="58"/>
      <c r="BW74" s="57">
        <f t="shared" ref="BW74:BW144" si="136">BV74*$E74</f>
        <v>0</v>
      </c>
      <c r="BX74" s="58">
        <v>154</v>
      </c>
      <c r="BY74" s="57">
        <f t="shared" ref="BY74:BY144" si="137">BX74*$E74</f>
        <v>98.56</v>
      </c>
      <c r="BZ74" s="23">
        <v>196</v>
      </c>
      <c r="CA74" s="57">
        <f t="shared" ref="CA74:CA144" si="138">BZ74*$E74</f>
        <v>125.44</v>
      </c>
      <c r="CB74" s="23">
        <v>434</v>
      </c>
      <c r="CC74" s="57">
        <f t="shared" ref="CC74:CC144" si="139">CB74*$E74</f>
        <v>277.76</v>
      </c>
      <c r="CD74" s="23">
        <v>140</v>
      </c>
      <c r="CE74" s="57">
        <f t="shared" ref="CE74:CE144" si="140">CD74*$E74</f>
        <v>89.600000000000009</v>
      </c>
      <c r="CF74" s="14">
        <f t="shared" si="102"/>
        <v>327.83333333333331</v>
      </c>
      <c r="CG74" s="15">
        <f t="shared" ref="CG74:CG95" si="141">CF74*$E74</f>
        <v>209.81333333333333</v>
      </c>
      <c r="CH74" s="12">
        <v>350</v>
      </c>
      <c r="CI74" s="13">
        <f t="shared" si="75"/>
        <v>224</v>
      </c>
      <c r="CJ74" s="12">
        <v>70</v>
      </c>
      <c r="CK74" s="13">
        <f t="shared" si="76"/>
        <v>44.800000000000004</v>
      </c>
      <c r="CL74" s="12">
        <v>210</v>
      </c>
      <c r="CM74" s="13">
        <f t="shared" si="77"/>
        <v>134.4</v>
      </c>
      <c r="CN74" s="12">
        <v>518</v>
      </c>
      <c r="CO74" s="13">
        <v>331.52</v>
      </c>
      <c r="CP74" s="12">
        <v>70</v>
      </c>
      <c r="CQ74" s="13">
        <f t="shared" si="79"/>
        <v>44.800000000000004</v>
      </c>
      <c r="CR74" s="12">
        <v>140</v>
      </c>
      <c r="CS74" s="13">
        <f t="shared" si="80"/>
        <v>89.600000000000009</v>
      </c>
      <c r="CT74" s="12">
        <v>42</v>
      </c>
      <c r="CU74" s="13">
        <f t="shared" si="81"/>
        <v>26.88</v>
      </c>
      <c r="CV74" s="12">
        <v>98</v>
      </c>
      <c r="CW74" s="13">
        <f t="shared" si="82"/>
        <v>62.72</v>
      </c>
      <c r="CX74" s="12">
        <v>210</v>
      </c>
      <c r="CY74" s="13">
        <f t="shared" si="83"/>
        <v>134.4</v>
      </c>
      <c r="CZ74" s="12">
        <v>308</v>
      </c>
      <c r="DA74" s="13">
        <f t="shared" si="84"/>
        <v>197.12</v>
      </c>
      <c r="DB74" s="12">
        <v>336</v>
      </c>
      <c r="DC74" s="13">
        <f t="shared" si="85"/>
        <v>215.04</v>
      </c>
      <c r="DD74" s="12">
        <v>210</v>
      </c>
      <c r="DE74" s="13">
        <f t="shared" si="86"/>
        <v>134.4</v>
      </c>
      <c r="DF74" s="64">
        <f t="shared" si="87"/>
        <v>2562</v>
      </c>
      <c r="DG74" s="15">
        <f t="shared" si="88"/>
        <v>1639.68</v>
      </c>
      <c r="DH74" s="12">
        <v>241</v>
      </c>
      <c r="DI74" s="13">
        <f t="shared" si="89"/>
        <v>154.24</v>
      </c>
      <c r="DJ74" s="12">
        <v>378</v>
      </c>
      <c r="DK74" s="13">
        <f t="shared" si="90"/>
        <v>241.92000000000002</v>
      </c>
      <c r="DL74" s="12">
        <v>224</v>
      </c>
      <c r="DM74" s="13">
        <f t="shared" si="72"/>
        <v>143.36000000000001</v>
      </c>
      <c r="DN74" s="12"/>
      <c r="DO74" s="13">
        <f t="shared" si="74"/>
        <v>0</v>
      </c>
      <c r="DP74" s="12"/>
      <c r="DQ74" s="13">
        <f t="shared" si="91"/>
        <v>0</v>
      </c>
      <c r="DR74" s="12"/>
      <c r="DS74" s="13">
        <f t="shared" si="92"/>
        <v>0</v>
      </c>
      <c r="DT74" s="12"/>
      <c r="DU74" s="13">
        <f t="shared" si="73"/>
        <v>0</v>
      </c>
      <c r="DV74" s="12"/>
      <c r="DW74" s="13">
        <f t="shared" si="93"/>
        <v>0</v>
      </c>
      <c r="DX74" s="12"/>
      <c r="DY74" s="13">
        <f t="shared" si="94"/>
        <v>0</v>
      </c>
      <c r="DZ74" s="12"/>
      <c r="EA74" s="13">
        <f t="shared" si="95"/>
        <v>0</v>
      </c>
      <c r="EB74" s="12"/>
      <c r="EC74" s="13">
        <f t="shared" si="99"/>
        <v>0</v>
      </c>
      <c r="ED74" s="12"/>
      <c r="EE74" s="13">
        <f t="shared" si="96"/>
        <v>0</v>
      </c>
      <c r="EF74" s="24">
        <f t="shared" si="97"/>
        <v>843</v>
      </c>
      <c r="EG74" s="13">
        <f t="shared" si="98"/>
        <v>539.52</v>
      </c>
    </row>
    <row r="75" spans="1:137" ht="18" customHeight="1" x14ac:dyDescent="0.5">
      <c r="A75" s="10">
        <v>61</v>
      </c>
      <c r="B75" s="11" t="s">
        <v>68</v>
      </c>
      <c r="C75" s="11" t="s">
        <v>14</v>
      </c>
      <c r="D75" s="10">
        <f>RANK(DF75,$DF$4:$DF$147)</f>
        <v>21</v>
      </c>
      <c r="E75" s="10">
        <v>0.64</v>
      </c>
      <c r="F75" s="10" t="s">
        <v>23</v>
      </c>
      <c r="G75" s="10">
        <v>1450</v>
      </c>
      <c r="H75" s="12"/>
      <c r="I75" s="13">
        <f t="shared" si="103"/>
        <v>0</v>
      </c>
      <c r="J75" s="12"/>
      <c r="K75" s="13">
        <f t="shared" si="104"/>
        <v>0</v>
      </c>
      <c r="L75" s="12"/>
      <c r="M75" s="13">
        <f t="shared" si="105"/>
        <v>0</v>
      </c>
      <c r="N75" s="12"/>
      <c r="O75" s="13">
        <f t="shared" si="106"/>
        <v>0</v>
      </c>
      <c r="P75" s="12"/>
      <c r="Q75" s="13">
        <f t="shared" si="107"/>
        <v>0</v>
      </c>
      <c r="R75" s="12"/>
      <c r="S75" s="13">
        <f t="shared" si="108"/>
        <v>0</v>
      </c>
      <c r="T75" s="12"/>
      <c r="U75" s="13">
        <f t="shared" si="109"/>
        <v>0</v>
      </c>
      <c r="V75" s="12"/>
      <c r="W75" s="13">
        <f t="shared" si="110"/>
        <v>0</v>
      </c>
      <c r="X75" s="12"/>
      <c r="Y75" s="13">
        <f t="shared" si="111"/>
        <v>0</v>
      </c>
      <c r="Z75" s="12"/>
      <c r="AA75" s="13">
        <f t="shared" si="112"/>
        <v>0</v>
      </c>
      <c r="AB75" s="12"/>
      <c r="AC75" s="13">
        <f t="shared" si="113"/>
        <v>0</v>
      </c>
      <c r="AD75" s="12"/>
      <c r="AE75" s="13">
        <f t="shared" si="114"/>
        <v>0</v>
      </c>
      <c r="AF75" s="14">
        <f t="shared" si="100"/>
        <v>0</v>
      </c>
      <c r="AG75" s="15">
        <f t="shared" si="115"/>
        <v>0</v>
      </c>
      <c r="AH75" s="16"/>
      <c r="AI75" s="13">
        <f t="shared" si="116"/>
        <v>0</v>
      </c>
      <c r="AJ75" s="17"/>
      <c r="AK75" s="13">
        <f t="shared" si="117"/>
        <v>0</v>
      </c>
      <c r="AL75" s="17"/>
      <c r="AM75" s="13">
        <f t="shared" si="118"/>
        <v>0</v>
      </c>
      <c r="AN75" s="18"/>
      <c r="AO75" s="13">
        <f t="shared" si="119"/>
        <v>0</v>
      </c>
      <c r="AP75" s="17"/>
      <c r="AQ75" s="13">
        <f t="shared" si="120"/>
        <v>0</v>
      </c>
      <c r="AR75" s="17"/>
      <c r="AS75" s="13">
        <f t="shared" si="121"/>
        <v>0</v>
      </c>
      <c r="AT75" s="19"/>
      <c r="AU75" s="13">
        <f t="shared" si="122"/>
        <v>0</v>
      </c>
      <c r="AV75" s="17"/>
      <c r="AW75" s="13">
        <f t="shared" si="123"/>
        <v>0</v>
      </c>
      <c r="AX75" s="17"/>
      <c r="AY75" s="13">
        <f t="shared" si="124"/>
        <v>0</v>
      </c>
      <c r="AZ75" s="19">
        <v>216</v>
      </c>
      <c r="BA75" s="13">
        <f t="shared" si="125"/>
        <v>138.24</v>
      </c>
      <c r="BB75" s="20">
        <v>552</v>
      </c>
      <c r="BC75" s="13">
        <f t="shared" si="126"/>
        <v>353.28000000000003</v>
      </c>
      <c r="BD75" s="20">
        <v>120</v>
      </c>
      <c r="BE75" s="13">
        <f t="shared" si="127"/>
        <v>76.8</v>
      </c>
      <c r="BF75" s="14">
        <f t="shared" si="101"/>
        <v>74</v>
      </c>
      <c r="BG75" s="15">
        <f t="shared" si="128"/>
        <v>47.36</v>
      </c>
      <c r="BH75" s="23">
        <v>18648</v>
      </c>
      <c r="BI75" s="57">
        <f t="shared" si="129"/>
        <v>11934.72</v>
      </c>
      <c r="BJ75" s="30"/>
      <c r="BK75" s="57">
        <f t="shared" si="130"/>
        <v>0</v>
      </c>
      <c r="BL75" s="30"/>
      <c r="BM75" s="57">
        <f t="shared" si="131"/>
        <v>0</v>
      </c>
      <c r="BN75" s="30"/>
      <c r="BO75" s="57">
        <f t="shared" si="132"/>
        <v>0</v>
      </c>
      <c r="BP75" s="58"/>
      <c r="BQ75" s="57">
        <f t="shared" si="133"/>
        <v>0</v>
      </c>
      <c r="BR75" s="21"/>
      <c r="BS75" s="57">
        <f t="shared" si="134"/>
        <v>0</v>
      </c>
      <c r="BT75" s="58"/>
      <c r="BU75" s="57">
        <f t="shared" si="135"/>
        <v>0</v>
      </c>
      <c r="BV75" s="58"/>
      <c r="BW75" s="57">
        <f t="shared" si="136"/>
        <v>0</v>
      </c>
      <c r="BX75" s="58"/>
      <c r="BY75" s="57">
        <f t="shared" si="137"/>
        <v>0</v>
      </c>
      <c r="BZ75" s="23"/>
      <c r="CA75" s="57">
        <f t="shared" si="138"/>
        <v>0</v>
      </c>
      <c r="CB75" s="58"/>
      <c r="CC75" s="57">
        <f t="shared" si="139"/>
        <v>0</v>
      </c>
      <c r="CD75" s="58"/>
      <c r="CE75" s="57">
        <f t="shared" si="140"/>
        <v>0</v>
      </c>
      <c r="CF75" s="14">
        <f t="shared" si="102"/>
        <v>1554</v>
      </c>
      <c r="CG75" s="15">
        <f t="shared" si="141"/>
        <v>994.56000000000006</v>
      </c>
      <c r="CH75" s="12"/>
      <c r="CI75" s="13">
        <f t="shared" si="75"/>
        <v>0</v>
      </c>
      <c r="CJ75" s="12"/>
      <c r="CK75" s="13">
        <f t="shared" si="76"/>
        <v>0</v>
      </c>
      <c r="CL75" s="12"/>
      <c r="CM75" s="13">
        <f t="shared" si="77"/>
        <v>0</v>
      </c>
      <c r="CN75" s="12"/>
      <c r="CO75" s="13">
        <f t="shared" si="78"/>
        <v>0</v>
      </c>
      <c r="CP75" s="12"/>
      <c r="CQ75" s="13">
        <f t="shared" si="79"/>
        <v>0</v>
      </c>
      <c r="CR75" s="12"/>
      <c r="CS75" s="13">
        <f t="shared" si="80"/>
        <v>0</v>
      </c>
      <c r="CT75" s="12"/>
      <c r="CU75" s="13">
        <f t="shared" si="81"/>
        <v>0</v>
      </c>
      <c r="CV75" s="12"/>
      <c r="CW75" s="13">
        <f t="shared" si="82"/>
        <v>0</v>
      </c>
      <c r="CX75" s="12"/>
      <c r="CY75" s="13">
        <f t="shared" si="83"/>
        <v>0</v>
      </c>
      <c r="CZ75" s="12"/>
      <c r="DA75" s="13">
        <f t="shared" si="84"/>
        <v>0</v>
      </c>
      <c r="DB75" s="12"/>
      <c r="DC75" s="13">
        <f t="shared" si="85"/>
        <v>0</v>
      </c>
      <c r="DD75" s="12"/>
      <c r="DE75" s="13">
        <f t="shared" si="86"/>
        <v>0</v>
      </c>
      <c r="DF75" s="64">
        <f t="shared" si="87"/>
        <v>0</v>
      </c>
      <c r="DG75" s="15">
        <f t="shared" si="88"/>
        <v>0</v>
      </c>
      <c r="DH75" s="12"/>
      <c r="DI75" s="13">
        <f t="shared" si="89"/>
        <v>0</v>
      </c>
      <c r="DJ75" s="12"/>
      <c r="DK75" s="13">
        <f t="shared" si="90"/>
        <v>0</v>
      </c>
      <c r="DL75" s="12"/>
      <c r="DM75" s="13">
        <f t="shared" si="72"/>
        <v>0</v>
      </c>
      <c r="DN75" s="12"/>
      <c r="DO75" s="13">
        <f t="shared" si="74"/>
        <v>0</v>
      </c>
      <c r="DP75" s="12"/>
      <c r="DQ75" s="13">
        <f t="shared" si="91"/>
        <v>0</v>
      </c>
      <c r="DR75" s="12"/>
      <c r="DS75" s="13">
        <f t="shared" si="92"/>
        <v>0</v>
      </c>
      <c r="DT75" s="12"/>
      <c r="DU75" s="13">
        <f t="shared" si="73"/>
        <v>0</v>
      </c>
      <c r="DV75" s="12"/>
      <c r="DW75" s="13">
        <f t="shared" si="93"/>
        <v>0</v>
      </c>
      <c r="DX75" s="12"/>
      <c r="DY75" s="13">
        <f t="shared" si="94"/>
        <v>0</v>
      </c>
      <c r="DZ75" s="12"/>
      <c r="EA75" s="13">
        <f t="shared" si="95"/>
        <v>0</v>
      </c>
      <c r="EB75" s="12"/>
      <c r="EC75" s="13">
        <f t="shared" si="99"/>
        <v>0</v>
      </c>
      <c r="ED75" s="12"/>
      <c r="EE75" s="13">
        <f t="shared" si="96"/>
        <v>0</v>
      </c>
      <c r="EF75" s="24">
        <f t="shared" si="97"/>
        <v>0</v>
      </c>
      <c r="EG75" s="13">
        <f t="shared" si="98"/>
        <v>0</v>
      </c>
    </row>
    <row r="76" spans="1:137" ht="18" customHeight="1" x14ac:dyDescent="0.5">
      <c r="A76" s="10"/>
      <c r="B76" s="11"/>
      <c r="C76" s="11"/>
      <c r="D76" s="10"/>
      <c r="E76" s="10"/>
      <c r="F76" s="10"/>
      <c r="G76" s="10"/>
      <c r="H76" s="12"/>
      <c r="I76" s="13">
        <f t="shared" si="103"/>
        <v>0</v>
      </c>
      <c r="J76" s="12"/>
      <c r="K76" s="13">
        <f t="shared" si="104"/>
        <v>0</v>
      </c>
      <c r="L76" s="12"/>
      <c r="M76" s="13">
        <f t="shared" si="105"/>
        <v>0</v>
      </c>
      <c r="N76" s="12"/>
      <c r="O76" s="13">
        <f t="shared" si="106"/>
        <v>0</v>
      </c>
      <c r="P76" s="12"/>
      <c r="Q76" s="13">
        <f t="shared" si="107"/>
        <v>0</v>
      </c>
      <c r="R76" s="12"/>
      <c r="S76" s="13">
        <f t="shared" si="108"/>
        <v>0</v>
      </c>
      <c r="T76" s="12"/>
      <c r="U76" s="13">
        <f t="shared" si="109"/>
        <v>0</v>
      </c>
      <c r="V76" s="12"/>
      <c r="W76" s="13">
        <f t="shared" si="110"/>
        <v>0</v>
      </c>
      <c r="X76" s="12"/>
      <c r="Y76" s="13">
        <f t="shared" si="111"/>
        <v>0</v>
      </c>
      <c r="Z76" s="12"/>
      <c r="AA76" s="13">
        <f t="shared" si="112"/>
        <v>0</v>
      </c>
      <c r="AB76" s="12"/>
      <c r="AC76" s="13">
        <f t="shared" si="113"/>
        <v>0</v>
      </c>
      <c r="AD76" s="12"/>
      <c r="AE76" s="13">
        <f t="shared" si="114"/>
        <v>0</v>
      </c>
      <c r="AF76" s="14">
        <f t="shared" si="100"/>
        <v>0</v>
      </c>
      <c r="AG76" s="15">
        <f t="shared" si="115"/>
        <v>0</v>
      </c>
      <c r="AH76" s="16"/>
      <c r="AI76" s="13">
        <f t="shared" si="116"/>
        <v>0</v>
      </c>
      <c r="AJ76" s="17"/>
      <c r="AK76" s="13">
        <f t="shared" si="117"/>
        <v>0</v>
      </c>
      <c r="AL76" s="17"/>
      <c r="AM76" s="13">
        <f t="shared" si="118"/>
        <v>0</v>
      </c>
      <c r="AN76" s="18"/>
      <c r="AO76" s="13">
        <f t="shared" si="119"/>
        <v>0</v>
      </c>
      <c r="AP76" s="17"/>
      <c r="AQ76" s="13">
        <f t="shared" si="120"/>
        <v>0</v>
      </c>
      <c r="AR76" s="17"/>
      <c r="AS76" s="13">
        <f t="shared" si="121"/>
        <v>0</v>
      </c>
      <c r="AT76" s="19"/>
      <c r="AU76" s="13">
        <f t="shared" si="122"/>
        <v>0</v>
      </c>
      <c r="AV76" s="17"/>
      <c r="AW76" s="13">
        <f t="shared" si="123"/>
        <v>0</v>
      </c>
      <c r="AX76" s="17"/>
      <c r="AY76" s="13">
        <f t="shared" si="124"/>
        <v>0</v>
      </c>
      <c r="AZ76" s="19"/>
      <c r="BA76" s="13">
        <f t="shared" si="125"/>
        <v>0</v>
      </c>
      <c r="BB76" s="20"/>
      <c r="BC76" s="13">
        <f t="shared" si="126"/>
        <v>0</v>
      </c>
      <c r="BD76" s="20"/>
      <c r="BE76" s="13">
        <f t="shared" si="127"/>
        <v>0</v>
      </c>
      <c r="BF76" s="14">
        <f t="shared" si="101"/>
        <v>0</v>
      </c>
      <c r="BG76" s="15">
        <f t="shared" si="128"/>
        <v>0</v>
      </c>
      <c r="BH76" s="18"/>
      <c r="BI76" s="57">
        <f t="shared" si="129"/>
        <v>0</v>
      </c>
      <c r="BJ76" s="18"/>
      <c r="BK76" s="57">
        <f t="shared" si="130"/>
        <v>0</v>
      </c>
      <c r="BL76" s="18"/>
      <c r="BM76" s="57">
        <f t="shared" si="131"/>
        <v>0</v>
      </c>
      <c r="BN76" s="18"/>
      <c r="BO76" s="57">
        <f t="shared" si="132"/>
        <v>0</v>
      </c>
      <c r="BP76" s="18"/>
      <c r="BQ76" s="57">
        <f t="shared" si="133"/>
        <v>0</v>
      </c>
      <c r="BR76" s="18"/>
      <c r="BS76" s="57">
        <f t="shared" si="134"/>
        <v>0</v>
      </c>
      <c r="BT76" s="18"/>
      <c r="BU76" s="57">
        <f t="shared" si="135"/>
        <v>0</v>
      </c>
      <c r="BV76" s="18"/>
      <c r="BW76" s="57">
        <f t="shared" si="136"/>
        <v>0</v>
      </c>
      <c r="BX76" s="18"/>
      <c r="BY76" s="57">
        <f t="shared" si="137"/>
        <v>0</v>
      </c>
      <c r="BZ76" s="18"/>
      <c r="CA76" s="57">
        <f t="shared" si="138"/>
        <v>0</v>
      </c>
      <c r="CB76" s="18"/>
      <c r="CC76" s="57">
        <f t="shared" si="139"/>
        <v>0</v>
      </c>
      <c r="CD76" s="18"/>
      <c r="CE76" s="57">
        <f t="shared" si="140"/>
        <v>0</v>
      </c>
      <c r="CF76" s="14">
        <f t="shared" si="102"/>
        <v>0</v>
      </c>
      <c r="CG76" s="15">
        <f t="shared" si="141"/>
        <v>0</v>
      </c>
      <c r="CH76" s="12"/>
      <c r="CI76" s="13">
        <f t="shared" si="75"/>
        <v>0</v>
      </c>
      <c r="CJ76" s="12"/>
      <c r="CK76" s="13">
        <f t="shared" si="76"/>
        <v>0</v>
      </c>
      <c r="CL76" s="12"/>
      <c r="CM76" s="13">
        <f t="shared" si="77"/>
        <v>0</v>
      </c>
      <c r="CN76" s="12"/>
      <c r="CO76" s="13">
        <f t="shared" si="78"/>
        <v>0</v>
      </c>
      <c r="CP76" s="12"/>
      <c r="CQ76" s="13">
        <f t="shared" si="79"/>
        <v>0</v>
      </c>
      <c r="CR76" s="12"/>
      <c r="CS76" s="13">
        <f t="shared" si="80"/>
        <v>0</v>
      </c>
      <c r="CT76" s="12"/>
      <c r="CU76" s="13">
        <f t="shared" si="81"/>
        <v>0</v>
      </c>
      <c r="CV76" s="12"/>
      <c r="CW76" s="13">
        <f t="shared" si="82"/>
        <v>0</v>
      </c>
      <c r="CX76" s="12"/>
      <c r="CY76" s="13">
        <f t="shared" si="83"/>
        <v>0</v>
      </c>
      <c r="CZ76" s="12"/>
      <c r="DA76" s="13">
        <f t="shared" si="84"/>
        <v>0</v>
      </c>
      <c r="DB76" s="12"/>
      <c r="DC76" s="13">
        <f t="shared" si="85"/>
        <v>0</v>
      </c>
      <c r="DD76" s="12"/>
      <c r="DE76" s="13">
        <f t="shared" si="86"/>
        <v>0</v>
      </c>
      <c r="DF76" s="64">
        <f t="shared" si="87"/>
        <v>0</v>
      </c>
      <c r="DG76" s="15">
        <f t="shared" si="88"/>
        <v>0</v>
      </c>
      <c r="DH76" s="12"/>
      <c r="DI76" s="13">
        <f t="shared" si="89"/>
        <v>0</v>
      </c>
      <c r="DJ76" s="12"/>
      <c r="DK76" s="13">
        <f t="shared" si="90"/>
        <v>0</v>
      </c>
      <c r="DL76" s="12"/>
      <c r="DM76" s="13">
        <f t="shared" si="72"/>
        <v>0</v>
      </c>
      <c r="DN76" s="12"/>
      <c r="DO76" s="13">
        <f t="shared" si="74"/>
        <v>0</v>
      </c>
      <c r="DP76" s="12"/>
      <c r="DQ76" s="13">
        <f t="shared" si="91"/>
        <v>0</v>
      </c>
      <c r="DR76" s="12"/>
      <c r="DS76" s="13">
        <f t="shared" si="92"/>
        <v>0</v>
      </c>
      <c r="DT76" s="12"/>
      <c r="DU76" s="13">
        <f t="shared" si="73"/>
        <v>0</v>
      </c>
      <c r="DV76" s="12"/>
      <c r="DW76" s="13">
        <f t="shared" si="93"/>
        <v>0</v>
      </c>
      <c r="DX76" s="12"/>
      <c r="DY76" s="13">
        <f t="shared" si="94"/>
        <v>0</v>
      </c>
      <c r="DZ76" s="12"/>
      <c r="EA76" s="13">
        <f t="shared" si="95"/>
        <v>0</v>
      </c>
      <c r="EB76" s="12"/>
      <c r="EC76" s="13">
        <f t="shared" si="99"/>
        <v>0</v>
      </c>
      <c r="ED76" s="12"/>
      <c r="EE76" s="13">
        <f t="shared" si="96"/>
        <v>0</v>
      </c>
      <c r="EF76" s="24">
        <f t="shared" si="97"/>
        <v>0</v>
      </c>
      <c r="EG76" s="13">
        <f t="shared" si="98"/>
        <v>0</v>
      </c>
    </row>
    <row r="77" spans="1:137" ht="18" customHeight="1" x14ac:dyDescent="0.5">
      <c r="A77" s="10">
        <v>62</v>
      </c>
      <c r="B77" s="11" t="s">
        <v>69</v>
      </c>
      <c r="C77" s="11" t="s">
        <v>14</v>
      </c>
      <c r="D77" s="10">
        <f>RANK(DF77,$DF$4:$DF$147)</f>
        <v>21</v>
      </c>
      <c r="E77" s="10">
        <v>0.64</v>
      </c>
      <c r="F77" s="10" t="s">
        <v>25</v>
      </c>
      <c r="G77" s="10"/>
      <c r="H77" s="12"/>
      <c r="I77" s="13">
        <f t="shared" si="103"/>
        <v>0</v>
      </c>
      <c r="J77" s="12"/>
      <c r="K77" s="13">
        <f t="shared" si="104"/>
        <v>0</v>
      </c>
      <c r="L77" s="12"/>
      <c r="M77" s="13">
        <f t="shared" si="105"/>
        <v>0</v>
      </c>
      <c r="N77" s="12"/>
      <c r="O77" s="13">
        <f t="shared" si="106"/>
        <v>0</v>
      </c>
      <c r="P77" s="12"/>
      <c r="Q77" s="13">
        <f t="shared" si="107"/>
        <v>0</v>
      </c>
      <c r="R77" s="12"/>
      <c r="S77" s="13">
        <f t="shared" si="108"/>
        <v>0</v>
      </c>
      <c r="T77" s="12"/>
      <c r="U77" s="13">
        <f t="shared" si="109"/>
        <v>0</v>
      </c>
      <c r="V77" s="12"/>
      <c r="W77" s="13">
        <f t="shared" si="110"/>
        <v>0</v>
      </c>
      <c r="X77" s="12"/>
      <c r="Y77" s="13">
        <f t="shared" si="111"/>
        <v>0</v>
      </c>
      <c r="Z77" s="12"/>
      <c r="AA77" s="13">
        <f t="shared" si="112"/>
        <v>0</v>
      </c>
      <c r="AB77" s="12"/>
      <c r="AC77" s="13">
        <f t="shared" si="113"/>
        <v>0</v>
      </c>
      <c r="AD77" s="12"/>
      <c r="AE77" s="13">
        <f t="shared" si="114"/>
        <v>0</v>
      </c>
      <c r="AF77" s="14">
        <f t="shared" si="100"/>
        <v>0</v>
      </c>
      <c r="AG77" s="15">
        <f t="shared" si="115"/>
        <v>0</v>
      </c>
      <c r="AH77" s="16"/>
      <c r="AI77" s="13">
        <f t="shared" si="116"/>
        <v>0</v>
      </c>
      <c r="AJ77" s="17"/>
      <c r="AK77" s="13">
        <f t="shared" si="117"/>
        <v>0</v>
      </c>
      <c r="AL77" s="17"/>
      <c r="AM77" s="13">
        <f t="shared" si="118"/>
        <v>0</v>
      </c>
      <c r="AN77" s="18"/>
      <c r="AO77" s="13">
        <f t="shared" si="119"/>
        <v>0</v>
      </c>
      <c r="AP77" s="17"/>
      <c r="AQ77" s="13">
        <f t="shared" si="120"/>
        <v>0</v>
      </c>
      <c r="AR77" s="17"/>
      <c r="AS77" s="13">
        <f t="shared" si="121"/>
        <v>0</v>
      </c>
      <c r="AT77" s="19"/>
      <c r="AU77" s="13">
        <f t="shared" si="122"/>
        <v>0</v>
      </c>
      <c r="AV77" s="17"/>
      <c r="AW77" s="13">
        <f t="shared" si="123"/>
        <v>0</v>
      </c>
      <c r="AX77" s="17"/>
      <c r="AY77" s="13">
        <f t="shared" si="124"/>
        <v>0</v>
      </c>
      <c r="AZ77" s="19"/>
      <c r="BA77" s="13">
        <f t="shared" si="125"/>
        <v>0</v>
      </c>
      <c r="BB77" s="20"/>
      <c r="BC77" s="13">
        <f t="shared" si="126"/>
        <v>0</v>
      </c>
      <c r="BD77" s="20"/>
      <c r="BE77" s="13">
        <f t="shared" si="127"/>
        <v>0</v>
      </c>
      <c r="BF77" s="14">
        <f t="shared" si="101"/>
        <v>0</v>
      </c>
      <c r="BG77" s="15">
        <f t="shared" si="128"/>
        <v>0</v>
      </c>
      <c r="BH77" s="18"/>
      <c r="BI77" s="57">
        <f t="shared" si="129"/>
        <v>0</v>
      </c>
      <c r="BJ77" s="18"/>
      <c r="BK77" s="57">
        <f t="shared" si="130"/>
        <v>0</v>
      </c>
      <c r="BL77" s="18"/>
      <c r="BM77" s="57">
        <f t="shared" si="131"/>
        <v>0</v>
      </c>
      <c r="BN77" s="18"/>
      <c r="BO77" s="57">
        <f t="shared" si="132"/>
        <v>0</v>
      </c>
      <c r="BP77" s="18"/>
      <c r="BQ77" s="57">
        <f t="shared" si="133"/>
        <v>0</v>
      </c>
      <c r="BR77" s="18"/>
      <c r="BS77" s="57">
        <f t="shared" si="134"/>
        <v>0</v>
      </c>
      <c r="BT77" s="18"/>
      <c r="BU77" s="57">
        <f t="shared" si="135"/>
        <v>0</v>
      </c>
      <c r="BV77" s="18"/>
      <c r="BW77" s="57">
        <f t="shared" si="136"/>
        <v>0</v>
      </c>
      <c r="BX77" s="18"/>
      <c r="BY77" s="57">
        <f t="shared" si="137"/>
        <v>0</v>
      </c>
      <c r="BZ77" s="18"/>
      <c r="CA77" s="57">
        <f t="shared" si="138"/>
        <v>0</v>
      </c>
      <c r="CB77" s="18"/>
      <c r="CC77" s="57">
        <f t="shared" si="139"/>
        <v>0</v>
      </c>
      <c r="CD77" s="18"/>
      <c r="CE77" s="57">
        <f t="shared" si="140"/>
        <v>0</v>
      </c>
      <c r="CF77" s="14">
        <f t="shared" si="102"/>
        <v>0</v>
      </c>
      <c r="CG77" s="15">
        <f t="shared" si="141"/>
        <v>0</v>
      </c>
      <c r="CH77" s="12"/>
      <c r="CI77" s="13">
        <f t="shared" si="75"/>
        <v>0</v>
      </c>
      <c r="CJ77" s="12"/>
      <c r="CK77" s="13">
        <f t="shared" si="76"/>
        <v>0</v>
      </c>
      <c r="CL77" s="12"/>
      <c r="CM77" s="13">
        <f t="shared" si="77"/>
        <v>0</v>
      </c>
      <c r="CN77" s="12"/>
      <c r="CO77" s="13">
        <f t="shared" si="78"/>
        <v>0</v>
      </c>
      <c r="CP77" s="12"/>
      <c r="CQ77" s="13">
        <f t="shared" si="79"/>
        <v>0</v>
      </c>
      <c r="CR77" s="12"/>
      <c r="CS77" s="13">
        <f t="shared" si="80"/>
        <v>0</v>
      </c>
      <c r="CT77" s="12"/>
      <c r="CU77" s="13">
        <f t="shared" si="81"/>
        <v>0</v>
      </c>
      <c r="CV77" s="12"/>
      <c r="CW77" s="13">
        <f t="shared" si="82"/>
        <v>0</v>
      </c>
      <c r="CX77" s="12"/>
      <c r="CY77" s="13">
        <f t="shared" si="83"/>
        <v>0</v>
      </c>
      <c r="CZ77" s="12"/>
      <c r="DA77" s="13">
        <f t="shared" si="84"/>
        <v>0</v>
      </c>
      <c r="DB77" s="12"/>
      <c r="DC77" s="13">
        <f t="shared" si="85"/>
        <v>0</v>
      </c>
      <c r="DD77" s="12"/>
      <c r="DE77" s="13">
        <f t="shared" si="86"/>
        <v>0</v>
      </c>
      <c r="DF77" s="64">
        <f t="shared" si="87"/>
        <v>0</v>
      </c>
      <c r="DG77" s="15">
        <f t="shared" si="88"/>
        <v>0</v>
      </c>
      <c r="DH77" s="12"/>
      <c r="DI77" s="13">
        <f t="shared" si="89"/>
        <v>0</v>
      </c>
      <c r="DJ77" s="12"/>
      <c r="DK77" s="13">
        <f t="shared" si="90"/>
        <v>0</v>
      </c>
      <c r="DL77" s="12"/>
      <c r="DM77" s="13">
        <f t="shared" si="72"/>
        <v>0</v>
      </c>
      <c r="DN77" s="12"/>
      <c r="DO77" s="13">
        <f t="shared" si="74"/>
        <v>0</v>
      </c>
      <c r="DP77" s="12"/>
      <c r="DQ77" s="13">
        <f t="shared" si="91"/>
        <v>0</v>
      </c>
      <c r="DR77" s="12"/>
      <c r="DS77" s="13">
        <f t="shared" si="92"/>
        <v>0</v>
      </c>
      <c r="DT77" s="12"/>
      <c r="DU77" s="13">
        <f t="shared" si="73"/>
        <v>0</v>
      </c>
      <c r="DV77" s="12"/>
      <c r="DW77" s="13">
        <f t="shared" si="93"/>
        <v>0</v>
      </c>
      <c r="DX77" s="12"/>
      <c r="DY77" s="13">
        <f t="shared" si="94"/>
        <v>0</v>
      </c>
      <c r="DZ77" s="12"/>
      <c r="EA77" s="13">
        <f t="shared" si="95"/>
        <v>0</v>
      </c>
      <c r="EB77" s="12"/>
      <c r="EC77" s="13">
        <f t="shared" si="99"/>
        <v>0</v>
      </c>
      <c r="ED77" s="12"/>
      <c r="EE77" s="13">
        <f t="shared" si="96"/>
        <v>0</v>
      </c>
      <c r="EF77" s="24">
        <f t="shared" si="97"/>
        <v>0</v>
      </c>
      <c r="EG77" s="13">
        <f t="shared" si="98"/>
        <v>0</v>
      </c>
    </row>
    <row r="78" spans="1:137" ht="18" customHeight="1" x14ac:dyDescent="0.5">
      <c r="A78" s="10">
        <v>63</v>
      </c>
      <c r="B78" s="11" t="s">
        <v>69</v>
      </c>
      <c r="C78" s="11" t="s">
        <v>14</v>
      </c>
      <c r="D78" s="10">
        <f>RANK(DF78,$DF$4:$DF$147)</f>
        <v>21</v>
      </c>
      <c r="E78" s="10">
        <v>0.64</v>
      </c>
      <c r="F78" s="10" t="s">
        <v>23</v>
      </c>
      <c r="G78" s="10"/>
      <c r="H78" s="12"/>
      <c r="I78" s="13">
        <f t="shared" si="103"/>
        <v>0</v>
      </c>
      <c r="J78" s="12"/>
      <c r="K78" s="13">
        <f t="shared" si="104"/>
        <v>0</v>
      </c>
      <c r="L78" s="12"/>
      <c r="M78" s="13">
        <f t="shared" si="105"/>
        <v>0</v>
      </c>
      <c r="N78" s="12"/>
      <c r="O78" s="13">
        <f t="shared" si="106"/>
        <v>0</v>
      </c>
      <c r="P78" s="12"/>
      <c r="Q78" s="13">
        <f t="shared" si="107"/>
        <v>0</v>
      </c>
      <c r="R78" s="12"/>
      <c r="S78" s="13">
        <f t="shared" si="108"/>
        <v>0</v>
      </c>
      <c r="T78" s="12"/>
      <c r="U78" s="13">
        <f t="shared" si="109"/>
        <v>0</v>
      </c>
      <c r="V78" s="12"/>
      <c r="W78" s="13">
        <f t="shared" si="110"/>
        <v>0</v>
      </c>
      <c r="X78" s="12"/>
      <c r="Y78" s="13">
        <f t="shared" si="111"/>
        <v>0</v>
      </c>
      <c r="Z78" s="12"/>
      <c r="AA78" s="13">
        <f t="shared" si="112"/>
        <v>0</v>
      </c>
      <c r="AB78" s="12"/>
      <c r="AC78" s="13">
        <f t="shared" si="113"/>
        <v>0</v>
      </c>
      <c r="AD78" s="12"/>
      <c r="AE78" s="13">
        <f t="shared" si="114"/>
        <v>0</v>
      </c>
      <c r="AF78" s="14">
        <f t="shared" si="100"/>
        <v>0</v>
      </c>
      <c r="AG78" s="15">
        <f t="shared" si="115"/>
        <v>0</v>
      </c>
      <c r="AH78" s="16"/>
      <c r="AI78" s="13">
        <f t="shared" si="116"/>
        <v>0</v>
      </c>
      <c r="AJ78" s="17"/>
      <c r="AK78" s="13">
        <f t="shared" si="117"/>
        <v>0</v>
      </c>
      <c r="AL78" s="17"/>
      <c r="AM78" s="13">
        <f t="shared" si="118"/>
        <v>0</v>
      </c>
      <c r="AN78" s="18"/>
      <c r="AO78" s="13">
        <f t="shared" si="119"/>
        <v>0</v>
      </c>
      <c r="AP78" s="17"/>
      <c r="AQ78" s="13">
        <f t="shared" si="120"/>
        <v>0</v>
      </c>
      <c r="AR78" s="17"/>
      <c r="AS78" s="13">
        <f t="shared" si="121"/>
        <v>0</v>
      </c>
      <c r="AT78" s="19"/>
      <c r="AU78" s="13">
        <f t="shared" si="122"/>
        <v>0</v>
      </c>
      <c r="AV78" s="17"/>
      <c r="AW78" s="13">
        <f t="shared" si="123"/>
        <v>0</v>
      </c>
      <c r="AX78" s="17"/>
      <c r="AY78" s="13">
        <f t="shared" si="124"/>
        <v>0</v>
      </c>
      <c r="AZ78" s="19"/>
      <c r="BA78" s="13">
        <f t="shared" si="125"/>
        <v>0</v>
      </c>
      <c r="BB78" s="20"/>
      <c r="BC78" s="13">
        <f t="shared" si="126"/>
        <v>0</v>
      </c>
      <c r="BD78" s="20"/>
      <c r="BE78" s="13">
        <f t="shared" si="127"/>
        <v>0</v>
      </c>
      <c r="BF78" s="14">
        <f t="shared" si="101"/>
        <v>0</v>
      </c>
      <c r="BG78" s="15">
        <f t="shared" si="128"/>
        <v>0</v>
      </c>
      <c r="BH78" s="18"/>
      <c r="BI78" s="57">
        <f t="shared" si="129"/>
        <v>0</v>
      </c>
      <c r="BJ78" s="18"/>
      <c r="BK78" s="57">
        <f t="shared" si="130"/>
        <v>0</v>
      </c>
      <c r="BL78" s="18"/>
      <c r="BM78" s="57">
        <f t="shared" si="131"/>
        <v>0</v>
      </c>
      <c r="BN78" s="18"/>
      <c r="BO78" s="57">
        <f t="shared" si="132"/>
        <v>0</v>
      </c>
      <c r="BP78" s="18"/>
      <c r="BQ78" s="57">
        <f t="shared" si="133"/>
        <v>0</v>
      </c>
      <c r="BR78" s="18"/>
      <c r="BS78" s="57">
        <f t="shared" si="134"/>
        <v>0</v>
      </c>
      <c r="BT78" s="18"/>
      <c r="BU78" s="57">
        <f t="shared" si="135"/>
        <v>0</v>
      </c>
      <c r="BV78" s="18"/>
      <c r="BW78" s="57">
        <f t="shared" si="136"/>
        <v>0</v>
      </c>
      <c r="BX78" s="18"/>
      <c r="BY78" s="57">
        <f t="shared" si="137"/>
        <v>0</v>
      </c>
      <c r="BZ78" s="18"/>
      <c r="CA78" s="57">
        <f t="shared" si="138"/>
        <v>0</v>
      </c>
      <c r="CB78" s="18"/>
      <c r="CC78" s="57">
        <f t="shared" si="139"/>
        <v>0</v>
      </c>
      <c r="CD78" s="18"/>
      <c r="CE78" s="57">
        <f t="shared" si="140"/>
        <v>0</v>
      </c>
      <c r="CF78" s="14">
        <f t="shared" si="102"/>
        <v>0</v>
      </c>
      <c r="CG78" s="15">
        <f t="shared" si="141"/>
        <v>0</v>
      </c>
      <c r="CH78" s="12"/>
      <c r="CI78" s="13">
        <f t="shared" si="75"/>
        <v>0</v>
      </c>
      <c r="CJ78" s="12"/>
      <c r="CK78" s="13">
        <f t="shared" si="76"/>
        <v>0</v>
      </c>
      <c r="CL78" s="12"/>
      <c r="CM78" s="13">
        <f t="shared" si="77"/>
        <v>0</v>
      </c>
      <c r="CN78" s="12"/>
      <c r="CO78" s="13">
        <f t="shared" si="78"/>
        <v>0</v>
      </c>
      <c r="CP78" s="12"/>
      <c r="CQ78" s="13">
        <f t="shared" si="79"/>
        <v>0</v>
      </c>
      <c r="CR78" s="12"/>
      <c r="CS78" s="13">
        <f t="shared" si="80"/>
        <v>0</v>
      </c>
      <c r="CT78" s="12"/>
      <c r="CU78" s="13">
        <f t="shared" si="81"/>
        <v>0</v>
      </c>
      <c r="CV78" s="12"/>
      <c r="CW78" s="13">
        <f t="shared" si="82"/>
        <v>0</v>
      </c>
      <c r="CX78" s="12"/>
      <c r="CY78" s="13">
        <f t="shared" si="83"/>
        <v>0</v>
      </c>
      <c r="CZ78" s="12"/>
      <c r="DA78" s="13">
        <f t="shared" si="84"/>
        <v>0</v>
      </c>
      <c r="DB78" s="12"/>
      <c r="DC78" s="13">
        <f t="shared" si="85"/>
        <v>0</v>
      </c>
      <c r="DD78" s="12"/>
      <c r="DE78" s="13">
        <f t="shared" si="86"/>
        <v>0</v>
      </c>
      <c r="DF78" s="64">
        <f t="shared" si="87"/>
        <v>0</v>
      </c>
      <c r="DG78" s="15">
        <f t="shared" si="88"/>
        <v>0</v>
      </c>
      <c r="DH78" s="12"/>
      <c r="DI78" s="13">
        <f t="shared" si="89"/>
        <v>0</v>
      </c>
      <c r="DJ78" s="12"/>
      <c r="DK78" s="13">
        <f t="shared" si="90"/>
        <v>0</v>
      </c>
      <c r="DL78" s="12"/>
      <c r="DM78" s="13">
        <f t="shared" si="72"/>
        <v>0</v>
      </c>
      <c r="DN78" s="12"/>
      <c r="DO78" s="13">
        <f t="shared" si="74"/>
        <v>0</v>
      </c>
      <c r="DP78" s="12"/>
      <c r="DQ78" s="13">
        <f t="shared" si="91"/>
        <v>0</v>
      </c>
      <c r="DR78" s="12"/>
      <c r="DS78" s="13">
        <f t="shared" si="92"/>
        <v>0</v>
      </c>
      <c r="DT78" s="12"/>
      <c r="DU78" s="13">
        <f t="shared" si="73"/>
        <v>0</v>
      </c>
      <c r="DV78" s="12"/>
      <c r="DW78" s="13">
        <f t="shared" si="93"/>
        <v>0</v>
      </c>
      <c r="DX78" s="12"/>
      <c r="DY78" s="13">
        <f t="shared" si="94"/>
        <v>0</v>
      </c>
      <c r="DZ78" s="12"/>
      <c r="EA78" s="13">
        <f t="shared" si="95"/>
        <v>0</v>
      </c>
      <c r="EB78" s="12"/>
      <c r="EC78" s="13">
        <f t="shared" si="99"/>
        <v>0</v>
      </c>
      <c r="ED78" s="12"/>
      <c r="EE78" s="13">
        <f t="shared" si="96"/>
        <v>0</v>
      </c>
      <c r="EF78" s="24">
        <f t="shared" si="97"/>
        <v>0</v>
      </c>
      <c r="EG78" s="13">
        <f t="shared" si="98"/>
        <v>0</v>
      </c>
    </row>
    <row r="79" spans="1:137" ht="18" customHeight="1" x14ac:dyDescent="0.5">
      <c r="A79" s="10"/>
      <c r="B79" s="11"/>
      <c r="C79" s="11"/>
      <c r="D79" s="10"/>
      <c r="E79" s="10"/>
      <c r="F79" s="10"/>
      <c r="G79" s="10"/>
      <c r="H79" s="12"/>
      <c r="I79" s="13">
        <f t="shared" si="103"/>
        <v>0</v>
      </c>
      <c r="J79" s="12"/>
      <c r="K79" s="13">
        <f t="shared" si="104"/>
        <v>0</v>
      </c>
      <c r="L79" s="12"/>
      <c r="M79" s="13">
        <f t="shared" si="105"/>
        <v>0</v>
      </c>
      <c r="N79" s="12"/>
      <c r="O79" s="13">
        <f t="shared" si="106"/>
        <v>0</v>
      </c>
      <c r="P79" s="12"/>
      <c r="Q79" s="13">
        <f t="shared" si="107"/>
        <v>0</v>
      </c>
      <c r="R79" s="12"/>
      <c r="S79" s="13">
        <f t="shared" si="108"/>
        <v>0</v>
      </c>
      <c r="T79" s="12"/>
      <c r="U79" s="13">
        <f t="shared" si="109"/>
        <v>0</v>
      </c>
      <c r="V79" s="12"/>
      <c r="W79" s="13">
        <f t="shared" si="110"/>
        <v>0</v>
      </c>
      <c r="X79" s="12"/>
      <c r="Y79" s="13">
        <f t="shared" si="111"/>
        <v>0</v>
      </c>
      <c r="Z79" s="12"/>
      <c r="AA79" s="13">
        <f t="shared" si="112"/>
        <v>0</v>
      </c>
      <c r="AB79" s="12"/>
      <c r="AC79" s="13">
        <f t="shared" si="113"/>
        <v>0</v>
      </c>
      <c r="AD79" s="12"/>
      <c r="AE79" s="13">
        <f t="shared" si="114"/>
        <v>0</v>
      </c>
      <c r="AF79" s="14">
        <f t="shared" si="100"/>
        <v>0</v>
      </c>
      <c r="AG79" s="15">
        <f t="shared" si="115"/>
        <v>0</v>
      </c>
      <c r="AH79" s="16"/>
      <c r="AI79" s="13">
        <f t="shared" si="116"/>
        <v>0</v>
      </c>
      <c r="AJ79" s="17"/>
      <c r="AK79" s="13">
        <f t="shared" si="117"/>
        <v>0</v>
      </c>
      <c r="AL79" s="17"/>
      <c r="AM79" s="13">
        <f t="shared" si="118"/>
        <v>0</v>
      </c>
      <c r="AN79" s="18"/>
      <c r="AO79" s="13">
        <f t="shared" si="119"/>
        <v>0</v>
      </c>
      <c r="AP79" s="17"/>
      <c r="AQ79" s="13">
        <f t="shared" si="120"/>
        <v>0</v>
      </c>
      <c r="AR79" s="17"/>
      <c r="AS79" s="13">
        <f t="shared" si="121"/>
        <v>0</v>
      </c>
      <c r="AT79" s="19"/>
      <c r="AU79" s="13">
        <f t="shared" si="122"/>
        <v>0</v>
      </c>
      <c r="AV79" s="17"/>
      <c r="AW79" s="13">
        <f t="shared" si="123"/>
        <v>0</v>
      </c>
      <c r="AX79" s="17"/>
      <c r="AY79" s="13">
        <f t="shared" si="124"/>
        <v>0</v>
      </c>
      <c r="AZ79" s="19"/>
      <c r="BA79" s="13">
        <f t="shared" si="125"/>
        <v>0</v>
      </c>
      <c r="BB79" s="20"/>
      <c r="BC79" s="13">
        <f t="shared" si="126"/>
        <v>0</v>
      </c>
      <c r="BD79" s="20"/>
      <c r="BE79" s="13">
        <f t="shared" si="127"/>
        <v>0</v>
      </c>
      <c r="BF79" s="14">
        <f t="shared" si="101"/>
        <v>0</v>
      </c>
      <c r="BG79" s="15">
        <f t="shared" si="128"/>
        <v>0</v>
      </c>
      <c r="BH79" s="18"/>
      <c r="BI79" s="57">
        <f t="shared" si="129"/>
        <v>0</v>
      </c>
      <c r="BJ79" s="18"/>
      <c r="BK79" s="57">
        <f t="shared" si="130"/>
        <v>0</v>
      </c>
      <c r="BL79" s="18"/>
      <c r="BM79" s="57">
        <f t="shared" si="131"/>
        <v>0</v>
      </c>
      <c r="BN79" s="18"/>
      <c r="BO79" s="57">
        <f t="shared" si="132"/>
        <v>0</v>
      </c>
      <c r="BP79" s="18"/>
      <c r="BQ79" s="57">
        <f t="shared" si="133"/>
        <v>0</v>
      </c>
      <c r="BR79" s="18"/>
      <c r="BS79" s="57">
        <f t="shared" si="134"/>
        <v>0</v>
      </c>
      <c r="BT79" s="18"/>
      <c r="BU79" s="57">
        <f t="shared" si="135"/>
        <v>0</v>
      </c>
      <c r="BV79" s="18"/>
      <c r="BW79" s="57">
        <f t="shared" si="136"/>
        <v>0</v>
      </c>
      <c r="BX79" s="18"/>
      <c r="BY79" s="57">
        <f t="shared" si="137"/>
        <v>0</v>
      </c>
      <c r="BZ79" s="18"/>
      <c r="CA79" s="57">
        <f t="shared" si="138"/>
        <v>0</v>
      </c>
      <c r="CB79" s="18"/>
      <c r="CC79" s="57">
        <f t="shared" si="139"/>
        <v>0</v>
      </c>
      <c r="CD79" s="18"/>
      <c r="CE79" s="57">
        <f t="shared" si="140"/>
        <v>0</v>
      </c>
      <c r="CF79" s="14">
        <f t="shared" si="102"/>
        <v>0</v>
      </c>
      <c r="CG79" s="15">
        <f t="shared" si="141"/>
        <v>0</v>
      </c>
      <c r="CH79" s="12"/>
      <c r="CI79" s="13">
        <f t="shared" si="75"/>
        <v>0</v>
      </c>
      <c r="CJ79" s="12"/>
      <c r="CK79" s="13">
        <f t="shared" si="76"/>
        <v>0</v>
      </c>
      <c r="CL79" s="12"/>
      <c r="CM79" s="13">
        <f t="shared" si="77"/>
        <v>0</v>
      </c>
      <c r="CN79" s="12"/>
      <c r="CO79" s="13">
        <f t="shared" si="78"/>
        <v>0</v>
      </c>
      <c r="CP79" s="12"/>
      <c r="CQ79" s="13">
        <f t="shared" si="79"/>
        <v>0</v>
      </c>
      <c r="CR79" s="12"/>
      <c r="CS79" s="13">
        <f t="shared" si="80"/>
        <v>0</v>
      </c>
      <c r="CT79" s="12"/>
      <c r="CU79" s="13">
        <f t="shared" si="81"/>
        <v>0</v>
      </c>
      <c r="CV79" s="12"/>
      <c r="CW79" s="13">
        <f t="shared" si="82"/>
        <v>0</v>
      </c>
      <c r="CX79" s="12"/>
      <c r="CY79" s="13">
        <f t="shared" si="83"/>
        <v>0</v>
      </c>
      <c r="CZ79" s="12"/>
      <c r="DA79" s="13">
        <f t="shared" si="84"/>
        <v>0</v>
      </c>
      <c r="DB79" s="12"/>
      <c r="DC79" s="13">
        <f t="shared" si="85"/>
        <v>0</v>
      </c>
      <c r="DD79" s="12"/>
      <c r="DE79" s="13">
        <f t="shared" si="86"/>
        <v>0</v>
      </c>
      <c r="DF79" s="64">
        <f t="shared" si="87"/>
        <v>0</v>
      </c>
      <c r="DG79" s="15">
        <f t="shared" si="88"/>
        <v>0</v>
      </c>
      <c r="DH79" s="12"/>
      <c r="DI79" s="13">
        <f t="shared" si="89"/>
        <v>0</v>
      </c>
      <c r="DJ79" s="12"/>
      <c r="DK79" s="13">
        <f t="shared" si="90"/>
        <v>0</v>
      </c>
      <c r="DL79" s="12"/>
      <c r="DM79" s="13">
        <f t="shared" si="72"/>
        <v>0</v>
      </c>
      <c r="DN79" s="12"/>
      <c r="DO79" s="13">
        <f t="shared" si="74"/>
        <v>0</v>
      </c>
      <c r="DP79" s="12"/>
      <c r="DQ79" s="13">
        <f t="shared" si="91"/>
        <v>0</v>
      </c>
      <c r="DR79" s="12"/>
      <c r="DS79" s="13">
        <f t="shared" si="92"/>
        <v>0</v>
      </c>
      <c r="DT79" s="12"/>
      <c r="DU79" s="13">
        <f t="shared" si="73"/>
        <v>0</v>
      </c>
      <c r="DV79" s="12"/>
      <c r="DW79" s="13">
        <f t="shared" si="93"/>
        <v>0</v>
      </c>
      <c r="DX79" s="12"/>
      <c r="DY79" s="13">
        <f t="shared" si="94"/>
        <v>0</v>
      </c>
      <c r="DZ79" s="12"/>
      <c r="EA79" s="13">
        <f t="shared" si="95"/>
        <v>0</v>
      </c>
      <c r="EB79" s="12"/>
      <c r="EC79" s="13">
        <f t="shared" si="99"/>
        <v>0</v>
      </c>
      <c r="ED79" s="12"/>
      <c r="EE79" s="13">
        <f t="shared" si="96"/>
        <v>0</v>
      </c>
      <c r="EF79" s="24">
        <f t="shared" si="97"/>
        <v>0</v>
      </c>
      <c r="EG79" s="13">
        <f t="shared" si="98"/>
        <v>0</v>
      </c>
    </row>
    <row r="80" spans="1:137" ht="18" customHeight="1" x14ac:dyDescent="0.5">
      <c r="A80" s="10">
        <v>64</v>
      </c>
      <c r="B80" s="11" t="s">
        <v>70</v>
      </c>
      <c r="C80" s="11" t="s">
        <v>14</v>
      </c>
      <c r="D80" s="10">
        <f>RANK(DF80,$DF$4:$DF$147)</f>
        <v>21</v>
      </c>
      <c r="E80" s="10">
        <v>0.64</v>
      </c>
      <c r="F80" s="10" t="s">
        <v>23</v>
      </c>
      <c r="G80" s="10"/>
      <c r="H80" s="12"/>
      <c r="I80" s="13">
        <f t="shared" si="103"/>
        <v>0</v>
      </c>
      <c r="J80" s="12"/>
      <c r="K80" s="13">
        <f t="shared" si="104"/>
        <v>0</v>
      </c>
      <c r="L80" s="12"/>
      <c r="M80" s="13">
        <f t="shared" si="105"/>
        <v>0</v>
      </c>
      <c r="N80" s="12"/>
      <c r="O80" s="13">
        <f t="shared" si="106"/>
        <v>0</v>
      </c>
      <c r="P80" s="12"/>
      <c r="Q80" s="13">
        <f t="shared" si="107"/>
        <v>0</v>
      </c>
      <c r="R80" s="12"/>
      <c r="S80" s="13">
        <f t="shared" si="108"/>
        <v>0</v>
      </c>
      <c r="T80" s="12"/>
      <c r="U80" s="13">
        <f t="shared" si="109"/>
        <v>0</v>
      </c>
      <c r="V80" s="12"/>
      <c r="W80" s="13">
        <f t="shared" si="110"/>
        <v>0</v>
      </c>
      <c r="X80" s="12"/>
      <c r="Y80" s="13">
        <f t="shared" si="111"/>
        <v>0</v>
      </c>
      <c r="Z80" s="12"/>
      <c r="AA80" s="13">
        <f t="shared" si="112"/>
        <v>0</v>
      </c>
      <c r="AB80" s="12"/>
      <c r="AC80" s="13">
        <f t="shared" si="113"/>
        <v>0</v>
      </c>
      <c r="AD80" s="12"/>
      <c r="AE80" s="13">
        <f t="shared" si="114"/>
        <v>0</v>
      </c>
      <c r="AF80" s="14">
        <f t="shared" si="100"/>
        <v>0</v>
      </c>
      <c r="AG80" s="15">
        <f t="shared" si="115"/>
        <v>0</v>
      </c>
      <c r="AH80" s="16"/>
      <c r="AI80" s="13">
        <f t="shared" si="116"/>
        <v>0</v>
      </c>
      <c r="AJ80" s="17"/>
      <c r="AK80" s="13">
        <f t="shared" si="117"/>
        <v>0</v>
      </c>
      <c r="AL80" s="17"/>
      <c r="AM80" s="13">
        <f t="shared" si="118"/>
        <v>0</v>
      </c>
      <c r="AN80" s="18"/>
      <c r="AO80" s="13">
        <f t="shared" si="119"/>
        <v>0</v>
      </c>
      <c r="AP80" s="17"/>
      <c r="AQ80" s="13">
        <f t="shared" si="120"/>
        <v>0</v>
      </c>
      <c r="AR80" s="17"/>
      <c r="AS80" s="13">
        <f t="shared" si="121"/>
        <v>0</v>
      </c>
      <c r="AT80" s="19"/>
      <c r="AU80" s="13">
        <f t="shared" si="122"/>
        <v>0</v>
      </c>
      <c r="AV80" s="17"/>
      <c r="AW80" s="13">
        <f t="shared" si="123"/>
        <v>0</v>
      </c>
      <c r="AX80" s="17"/>
      <c r="AY80" s="13">
        <f t="shared" si="124"/>
        <v>0</v>
      </c>
      <c r="AZ80" s="19"/>
      <c r="BA80" s="13">
        <f t="shared" si="125"/>
        <v>0</v>
      </c>
      <c r="BB80" s="20"/>
      <c r="BC80" s="13">
        <f t="shared" si="126"/>
        <v>0</v>
      </c>
      <c r="BD80" s="20"/>
      <c r="BE80" s="13">
        <f t="shared" si="127"/>
        <v>0</v>
      </c>
      <c r="BF80" s="14">
        <f t="shared" si="101"/>
        <v>0</v>
      </c>
      <c r="BG80" s="15">
        <f t="shared" si="128"/>
        <v>0</v>
      </c>
      <c r="BH80" s="18"/>
      <c r="BI80" s="57">
        <f t="shared" si="129"/>
        <v>0</v>
      </c>
      <c r="BJ80" s="18"/>
      <c r="BK80" s="57">
        <f t="shared" si="130"/>
        <v>0</v>
      </c>
      <c r="BL80" s="18"/>
      <c r="BM80" s="57">
        <f t="shared" si="131"/>
        <v>0</v>
      </c>
      <c r="BN80" s="18"/>
      <c r="BO80" s="57">
        <f t="shared" si="132"/>
        <v>0</v>
      </c>
      <c r="BP80" s="18"/>
      <c r="BQ80" s="57">
        <f t="shared" si="133"/>
        <v>0</v>
      </c>
      <c r="BR80" s="18"/>
      <c r="BS80" s="57">
        <f t="shared" si="134"/>
        <v>0</v>
      </c>
      <c r="BT80" s="18"/>
      <c r="BU80" s="57">
        <f t="shared" si="135"/>
        <v>0</v>
      </c>
      <c r="BV80" s="18"/>
      <c r="BW80" s="57">
        <f t="shared" si="136"/>
        <v>0</v>
      </c>
      <c r="BX80" s="18"/>
      <c r="BY80" s="57">
        <f t="shared" si="137"/>
        <v>0</v>
      </c>
      <c r="BZ80" s="18"/>
      <c r="CA80" s="57">
        <f t="shared" si="138"/>
        <v>0</v>
      </c>
      <c r="CB80" s="18"/>
      <c r="CC80" s="57">
        <f t="shared" si="139"/>
        <v>0</v>
      </c>
      <c r="CD80" s="18"/>
      <c r="CE80" s="57">
        <f t="shared" si="140"/>
        <v>0</v>
      </c>
      <c r="CF80" s="14">
        <f t="shared" si="102"/>
        <v>0</v>
      </c>
      <c r="CG80" s="15">
        <f t="shared" si="141"/>
        <v>0</v>
      </c>
      <c r="CH80" s="12"/>
      <c r="CI80" s="13">
        <f t="shared" si="75"/>
        <v>0</v>
      </c>
      <c r="CJ80" s="12"/>
      <c r="CK80" s="13">
        <f t="shared" si="76"/>
        <v>0</v>
      </c>
      <c r="CL80" s="12"/>
      <c r="CM80" s="13">
        <f t="shared" si="77"/>
        <v>0</v>
      </c>
      <c r="CN80" s="12"/>
      <c r="CO80" s="13">
        <f t="shared" si="78"/>
        <v>0</v>
      </c>
      <c r="CP80" s="12"/>
      <c r="CQ80" s="13">
        <f t="shared" si="79"/>
        <v>0</v>
      </c>
      <c r="CR80" s="12"/>
      <c r="CS80" s="13">
        <f t="shared" si="80"/>
        <v>0</v>
      </c>
      <c r="CT80" s="12"/>
      <c r="CU80" s="13">
        <f t="shared" si="81"/>
        <v>0</v>
      </c>
      <c r="CV80" s="12"/>
      <c r="CW80" s="13">
        <f t="shared" si="82"/>
        <v>0</v>
      </c>
      <c r="CX80" s="12"/>
      <c r="CY80" s="13">
        <f t="shared" si="83"/>
        <v>0</v>
      </c>
      <c r="CZ80" s="12"/>
      <c r="DA80" s="13">
        <f t="shared" si="84"/>
        <v>0</v>
      </c>
      <c r="DB80" s="12"/>
      <c r="DC80" s="13">
        <f t="shared" si="85"/>
        <v>0</v>
      </c>
      <c r="DD80" s="12"/>
      <c r="DE80" s="13">
        <f t="shared" si="86"/>
        <v>0</v>
      </c>
      <c r="DF80" s="64">
        <f t="shared" si="87"/>
        <v>0</v>
      </c>
      <c r="DG80" s="15">
        <f t="shared" si="88"/>
        <v>0</v>
      </c>
      <c r="DH80" s="12"/>
      <c r="DI80" s="13">
        <f t="shared" si="89"/>
        <v>0</v>
      </c>
      <c r="DJ80" s="12"/>
      <c r="DK80" s="13">
        <f t="shared" si="90"/>
        <v>0</v>
      </c>
      <c r="DL80" s="12"/>
      <c r="DM80" s="13">
        <f t="shared" si="72"/>
        <v>0</v>
      </c>
      <c r="DN80" s="12"/>
      <c r="DO80" s="13">
        <f t="shared" si="74"/>
        <v>0</v>
      </c>
      <c r="DP80" s="12"/>
      <c r="DQ80" s="13">
        <f t="shared" si="91"/>
        <v>0</v>
      </c>
      <c r="DR80" s="12"/>
      <c r="DS80" s="13">
        <f t="shared" si="92"/>
        <v>0</v>
      </c>
      <c r="DT80" s="12"/>
      <c r="DU80" s="13">
        <f t="shared" si="73"/>
        <v>0</v>
      </c>
      <c r="DV80" s="12"/>
      <c r="DW80" s="13">
        <f t="shared" si="93"/>
        <v>0</v>
      </c>
      <c r="DX80" s="12"/>
      <c r="DY80" s="13">
        <f t="shared" si="94"/>
        <v>0</v>
      </c>
      <c r="DZ80" s="12"/>
      <c r="EA80" s="13">
        <f t="shared" si="95"/>
        <v>0</v>
      </c>
      <c r="EB80" s="12"/>
      <c r="EC80" s="13">
        <f t="shared" si="99"/>
        <v>0</v>
      </c>
      <c r="ED80" s="12"/>
      <c r="EE80" s="13">
        <f t="shared" si="96"/>
        <v>0</v>
      </c>
      <c r="EF80" s="24">
        <f t="shared" si="97"/>
        <v>0</v>
      </c>
      <c r="EG80" s="13">
        <f t="shared" si="98"/>
        <v>0</v>
      </c>
    </row>
    <row r="81" spans="1:137" ht="18" customHeight="1" x14ac:dyDescent="0.5">
      <c r="A81" s="10">
        <v>65</v>
      </c>
      <c r="B81" s="11" t="s">
        <v>71</v>
      </c>
      <c r="C81" s="11" t="s">
        <v>14</v>
      </c>
      <c r="D81" s="10">
        <f>RANK(DF81,$DF$4:$DF$147)</f>
        <v>21</v>
      </c>
      <c r="E81" s="10">
        <v>0.64</v>
      </c>
      <c r="F81" s="10" t="s">
        <v>15</v>
      </c>
      <c r="G81" s="10"/>
      <c r="H81" s="12"/>
      <c r="I81" s="13">
        <f t="shared" si="103"/>
        <v>0</v>
      </c>
      <c r="J81" s="12"/>
      <c r="K81" s="13">
        <f t="shared" si="104"/>
        <v>0</v>
      </c>
      <c r="L81" s="12"/>
      <c r="M81" s="13">
        <f t="shared" si="105"/>
        <v>0</v>
      </c>
      <c r="N81" s="12"/>
      <c r="O81" s="13">
        <f t="shared" si="106"/>
        <v>0</v>
      </c>
      <c r="P81" s="12"/>
      <c r="Q81" s="13">
        <f t="shared" si="107"/>
        <v>0</v>
      </c>
      <c r="R81" s="12"/>
      <c r="S81" s="13">
        <f t="shared" si="108"/>
        <v>0</v>
      </c>
      <c r="T81" s="12"/>
      <c r="U81" s="13">
        <f t="shared" si="109"/>
        <v>0</v>
      </c>
      <c r="V81" s="12"/>
      <c r="W81" s="13">
        <f t="shared" si="110"/>
        <v>0</v>
      </c>
      <c r="X81" s="12"/>
      <c r="Y81" s="13">
        <f t="shared" si="111"/>
        <v>0</v>
      </c>
      <c r="Z81" s="12"/>
      <c r="AA81" s="13">
        <f t="shared" si="112"/>
        <v>0</v>
      </c>
      <c r="AB81" s="12"/>
      <c r="AC81" s="13">
        <f t="shared" si="113"/>
        <v>0</v>
      </c>
      <c r="AD81" s="12"/>
      <c r="AE81" s="13">
        <f t="shared" si="114"/>
        <v>0</v>
      </c>
      <c r="AF81" s="14">
        <f t="shared" si="100"/>
        <v>0</v>
      </c>
      <c r="AG81" s="15">
        <f t="shared" si="115"/>
        <v>0</v>
      </c>
      <c r="AH81" s="16"/>
      <c r="AI81" s="13">
        <f t="shared" si="116"/>
        <v>0</v>
      </c>
      <c r="AJ81" s="17"/>
      <c r="AK81" s="13">
        <f t="shared" si="117"/>
        <v>0</v>
      </c>
      <c r="AL81" s="17"/>
      <c r="AM81" s="13">
        <f t="shared" si="118"/>
        <v>0</v>
      </c>
      <c r="AN81" s="18"/>
      <c r="AO81" s="13">
        <f t="shared" si="119"/>
        <v>0</v>
      </c>
      <c r="AP81" s="17"/>
      <c r="AQ81" s="13">
        <f t="shared" si="120"/>
        <v>0</v>
      </c>
      <c r="AR81" s="17"/>
      <c r="AS81" s="13">
        <f t="shared" si="121"/>
        <v>0</v>
      </c>
      <c r="AT81" s="19"/>
      <c r="AU81" s="13">
        <f t="shared" si="122"/>
        <v>0</v>
      </c>
      <c r="AV81" s="17"/>
      <c r="AW81" s="13">
        <f t="shared" si="123"/>
        <v>0</v>
      </c>
      <c r="AX81" s="17"/>
      <c r="AY81" s="13">
        <f t="shared" si="124"/>
        <v>0</v>
      </c>
      <c r="AZ81" s="19"/>
      <c r="BA81" s="13">
        <f t="shared" si="125"/>
        <v>0</v>
      </c>
      <c r="BB81" s="20"/>
      <c r="BC81" s="13">
        <f t="shared" si="126"/>
        <v>0</v>
      </c>
      <c r="BD81" s="20"/>
      <c r="BE81" s="13">
        <f t="shared" si="127"/>
        <v>0</v>
      </c>
      <c r="BF81" s="14">
        <f t="shared" si="101"/>
        <v>0</v>
      </c>
      <c r="BG81" s="15">
        <f t="shared" si="128"/>
        <v>0</v>
      </c>
      <c r="BH81" s="18"/>
      <c r="BI81" s="57">
        <f t="shared" si="129"/>
        <v>0</v>
      </c>
      <c r="BJ81" s="18"/>
      <c r="BK81" s="57">
        <f t="shared" si="130"/>
        <v>0</v>
      </c>
      <c r="BL81" s="18"/>
      <c r="BM81" s="57">
        <f t="shared" si="131"/>
        <v>0</v>
      </c>
      <c r="BN81" s="18"/>
      <c r="BO81" s="57">
        <f t="shared" si="132"/>
        <v>0</v>
      </c>
      <c r="BP81" s="18"/>
      <c r="BQ81" s="57">
        <f t="shared" si="133"/>
        <v>0</v>
      </c>
      <c r="BR81" s="18"/>
      <c r="BS81" s="57">
        <f t="shared" si="134"/>
        <v>0</v>
      </c>
      <c r="BT81" s="18"/>
      <c r="BU81" s="57">
        <f t="shared" si="135"/>
        <v>0</v>
      </c>
      <c r="BV81" s="18"/>
      <c r="BW81" s="57">
        <f t="shared" si="136"/>
        <v>0</v>
      </c>
      <c r="BX81" s="18"/>
      <c r="BY81" s="57">
        <f t="shared" si="137"/>
        <v>0</v>
      </c>
      <c r="BZ81" s="18"/>
      <c r="CA81" s="57">
        <f t="shared" si="138"/>
        <v>0</v>
      </c>
      <c r="CB81" s="18"/>
      <c r="CC81" s="57">
        <f t="shared" si="139"/>
        <v>0</v>
      </c>
      <c r="CD81" s="18"/>
      <c r="CE81" s="57">
        <f t="shared" si="140"/>
        <v>0</v>
      </c>
      <c r="CF81" s="14">
        <f t="shared" si="102"/>
        <v>0</v>
      </c>
      <c r="CG81" s="15">
        <f t="shared" si="141"/>
        <v>0</v>
      </c>
      <c r="CH81" s="12"/>
      <c r="CI81" s="13">
        <f t="shared" si="75"/>
        <v>0</v>
      </c>
      <c r="CJ81" s="12"/>
      <c r="CK81" s="13">
        <f t="shared" si="76"/>
        <v>0</v>
      </c>
      <c r="CL81" s="12"/>
      <c r="CM81" s="13">
        <f t="shared" si="77"/>
        <v>0</v>
      </c>
      <c r="CN81" s="12"/>
      <c r="CO81" s="13">
        <f t="shared" si="78"/>
        <v>0</v>
      </c>
      <c r="CP81" s="12"/>
      <c r="CQ81" s="13">
        <f t="shared" si="79"/>
        <v>0</v>
      </c>
      <c r="CR81" s="12"/>
      <c r="CS81" s="13">
        <f t="shared" si="80"/>
        <v>0</v>
      </c>
      <c r="CT81" s="12"/>
      <c r="CU81" s="13">
        <f t="shared" si="81"/>
        <v>0</v>
      </c>
      <c r="CV81" s="12"/>
      <c r="CW81" s="13">
        <f t="shared" si="82"/>
        <v>0</v>
      </c>
      <c r="CX81" s="12"/>
      <c r="CY81" s="13">
        <f t="shared" si="83"/>
        <v>0</v>
      </c>
      <c r="CZ81" s="12"/>
      <c r="DA81" s="13">
        <f t="shared" si="84"/>
        <v>0</v>
      </c>
      <c r="DB81" s="12"/>
      <c r="DC81" s="13">
        <f t="shared" si="85"/>
        <v>0</v>
      </c>
      <c r="DD81" s="12"/>
      <c r="DE81" s="13">
        <f t="shared" si="86"/>
        <v>0</v>
      </c>
      <c r="DF81" s="64">
        <f t="shared" si="87"/>
        <v>0</v>
      </c>
      <c r="DG81" s="15">
        <f t="shared" si="88"/>
        <v>0</v>
      </c>
      <c r="DH81" s="12"/>
      <c r="DI81" s="13">
        <f t="shared" si="89"/>
        <v>0</v>
      </c>
      <c r="DJ81" s="12"/>
      <c r="DK81" s="13">
        <f t="shared" si="90"/>
        <v>0</v>
      </c>
      <c r="DL81" s="12"/>
      <c r="DM81" s="13">
        <f t="shared" si="72"/>
        <v>0</v>
      </c>
      <c r="DN81" s="12"/>
      <c r="DO81" s="13">
        <f t="shared" si="74"/>
        <v>0</v>
      </c>
      <c r="DP81" s="12"/>
      <c r="DQ81" s="13">
        <f t="shared" si="91"/>
        <v>0</v>
      </c>
      <c r="DR81" s="12"/>
      <c r="DS81" s="13">
        <f t="shared" si="92"/>
        <v>0</v>
      </c>
      <c r="DT81" s="12"/>
      <c r="DU81" s="13">
        <f t="shared" si="73"/>
        <v>0</v>
      </c>
      <c r="DV81" s="12"/>
      <c r="DW81" s="13">
        <f t="shared" si="93"/>
        <v>0</v>
      </c>
      <c r="DX81" s="12"/>
      <c r="DY81" s="13">
        <f t="shared" si="94"/>
        <v>0</v>
      </c>
      <c r="DZ81" s="12"/>
      <c r="EA81" s="13">
        <f t="shared" si="95"/>
        <v>0</v>
      </c>
      <c r="EB81" s="12"/>
      <c r="EC81" s="13">
        <f t="shared" si="99"/>
        <v>0</v>
      </c>
      <c r="ED81" s="12"/>
      <c r="EE81" s="13">
        <f t="shared" si="96"/>
        <v>0</v>
      </c>
      <c r="EF81" s="24">
        <f t="shared" si="97"/>
        <v>0</v>
      </c>
      <c r="EG81" s="13">
        <f t="shared" si="98"/>
        <v>0</v>
      </c>
    </row>
    <row r="82" spans="1:137" ht="18" customHeight="1" x14ac:dyDescent="0.5">
      <c r="A82" s="10">
        <v>66</v>
      </c>
      <c r="B82" s="11" t="s">
        <v>72</v>
      </c>
      <c r="C82" s="11" t="s">
        <v>14</v>
      </c>
      <c r="D82" s="10"/>
      <c r="E82" s="10">
        <v>0.64</v>
      </c>
      <c r="F82" s="10" t="s">
        <v>25</v>
      </c>
      <c r="G82" s="10"/>
      <c r="H82" s="12"/>
      <c r="I82" s="13"/>
      <c r="J82" s="12"/>
      <c r="K82" s="13"/>
      <c r="L82" s="12"/>
      <c r="M82" s="13"/>
      <c r="N82" s="12"/>
      <c r="O82" s="13"/>
      <c r="P82" s="12"/>
      <c r="Q82" s="13"/>
      <c r="R82" s="12"/>
      <c r="S82" s="13"/>
      <c r="T82" s="12"/>
      <c r="U82" s="13"/>
      <c r="V82" s="12"/>
      <c r="W82" s="13"/>
      <c r="X82" s="12"/>
      <c r="Y82" s="13"/>
      <c r="Z82" s="12"/>
      <c r="AA82" s="13"/>
      <c r="AB82" s="12"/>
      <c r="AC82" s="13"/>
      <c r="AD82" s="12"/>
      <c r="AE82" s="13"/>
      <c r="AF82" s="14"/>
      <c r="AG82" s="15"/>
      <c r="AH82" s="16"/>
      <c r="AI82" s="13"/>
      <c r="AJ82" s="17"/>
      <c r="AK82" s="13"/>
      <c r="AL82" s="17"/>
      <c r="AM82" s="13"/>
      <c r="AN82" s="18"/>
      <c r="AO82" s="13"/>
      <c r="AP82" s="17"/>
      <c r="AQ82" s="13"/>
      <c r="AR82" s="17"/>
      <c r="AS82" s="13"/>
      <c r="AT82" s="19"/>
      <c r="AU82" s="13"/>
      <c r="AV82" s="17"/>
      <c r="AW82" s="13"/>
      <c r="AX82" s="17"/>
      <c r="AY82" s="13"/>
      <c r="AZ82" s="19"/>
      <c r="BA82" s="13"/>
      <c r="BB82" s="20"/>
      <c r="BC82" s="13"/>
      <c r="BD82" s="20"/>
      <c r="BE82" s="13"/>
      <c r="BF82" s="14"/>
      <c r="BG82" s="15"/>
      <c r="BH82" s="18"/>
      <c r="BI82" s="57"/>
      <c r="BJ82" s="18"/>
      <c r="BK82" s="57"/>
      <c r="BL82" s="18"/>
      <c r="BM82" s="57"/>
      <c r="BN82" s="18"/>
      <c r="BO82" s="57"/>
      <c r="BP82" s="18"/>
      <c r="BQ82" s="57"/>
      <c r="BR82" s="18"/>
      <c r="BS82" s="57"/>
      <c r="BT82" s="18"/>
      <c r="BU82" s="57"/>
      <c r="BV82" s="18"/>
      <c r="BW82" s="57"/>
      <c r="BX82" s="18"/>
      <c r="BY82" s="57"/>
      <c r="BZ82" s="18"/>
      <c r="CA82" s="57"/>
      <c r="CB82" s="18"/>
      <c r="CC82" s="57"/>
      <c r="CD82" s="18"/>
      <c r="CE82" s="57"/>
      <c r="CF82" s="14"/>
      <c r="CG82" s="15"/>
      <c r="CH82" s="12"/>
      <c r="CI82" s="13">
        <f t="shared" si="75"/>
        <v>0</v>
      </c>
      <c r="CJ82" s="12"/>
      <c r="CK82" s="13">
        <f t="shared" si="76"/>
        <v>0</v>
      </c>
      <c r="CL82" s="12"/>
      <c r="CM82" s="13">
        <f t="shared" si="77"/>
        <v>0</v>
      </c>
      <c r="CN82" s="12"/>
      <c r="CO82" s="13">
        <f t="shared" si="78"/>
        <v>0</v>
      </c>
      <c r="CP82" s="12"/>
      <c r="CQ82" s="13">
        <f t="shared" si="79"/>
        <v>0</v>
      </c>
      <c r="CR82" s="12"/>
      <c r="CS82" s="13">
        <f t="shared" si="80"/>
        <v>0</v>
      </c>
      <c r="CT82" s="12"/>
      <c r="CU82" s="13">
        <f t="shared" si="81"/>
        <v>0</v>
      </c>
      <c r="CV82" s="12"/>
      <c r="CW82" s="13">
        <f t="shared" si="82"/>
        <v>0</v>
      </c>
      <c r="CX82" s="12"/>
      <c r="CY82" s="13">
        <f t="shared" si="83"/>
        <v>0</v>
      </c>
      <c r="CZ82" s="12"/>
      <c r="DA82" s="13">
        <f t="shared" si="84"/>
        <v>0</v>
      </c>
      <c r="DB82" s="12"/>
      <c r="DC82" s="13">
        <f t="shared" si="85"/>
        <v>0</v>
      </c>
      <c r="DD82" s="12"/>
      <c r="DE82" s="13">
        <f t="shared" si="86"/>
        <v>0</v>
      </c>
      <c r="DF82" s="64">
        <f t="shared" si="87"/>
        <v>0</v>
      </c>
      <c r="DG82" s="15">
        <f t="shared" si="88"/>
        <v>0</v>
      </c>
      <c r="DH82" s="12"/>
      <c r="DI82" s="13">
        <f t="shared" si="89"/>
        <v>0</v>
      </c>
      <c r="DJ82" s="12"/>
      <c r="DK82" s="13">
        <f t="shared" si="90"/>
        <v>0</v>
      </c>
      <c r="DL82" s="12"/>
      <c r="DM82" s="13">
        <f t="shared" si="72"/>
        <v>0</v>
      </c>
      <c r="DN82" s="12"/>
      <c r="DO82" s="13">
        <f t="shared" si="74"/>
        <v>0</v>
      </c>
      <c r="DP82" s="12"/>
      <c r="DQ82" s="13">
        <f t="shared" si="91"/>
        <v>0</v>
      </c>
      <c r="DR82" s="12"/>
      <c r="DS82" s="13">
        <f t="shared" si="92"/>
        <v>0</v>
      </c>
      <c r="DT82" s="12"/>
      <c r="DU82" s="13">
        <f t="shared" si="73"/>
        <v>0</v>
      </c>
      <c r="DV82" s="12"/>
      <c r="DW82" s="13">
        <f t="shared" si="93"/>
        <v>0</v>
      </c>
      <c r="DX82" s="12"/>
      <c r="DY82" s="13">
        <f t="shared" si="94"/>
        <v>0</v>
      </c>
      <c r="DZ82" s="12"/>
      <c r="EA82" s="13">
        <f t="shared" si="95"/>
        <v>0</v>
      </c>
      <c r="EB82" s="12"/>
      <c r="EC82" s="13">
        <f t="shared" si="99"/>
        <v>0</v>
      </c>
      <c r="ED82" s="12"/>
      <c r="EE82" s="13">
        <f t="shared" si="96"/>
        <v>0</v>
      </c>
      <c r="EF82" s="24">
        <f t="shared" si="97"/>
        <v>0</v>
      </c>
      <c r="EG82" s="13">
        <f t="shared" si="98"/>
        <v>0</v>
      </c>
    </row>
    <row r="83" spans="1:137" ht="18" customHeight="1" x14ac:dyDescent="0.5">
      <c r="A83" s="10">
        <v>67</v>
      </c>
      <c r="B83" s="11" t="s">
        <v>72</v>
      </c>
      <c r="C83" s="11" t="s">
        <v>17</v>
      </c>
      <c r="D83" s="10"/>
      <c r="E83" s="10">
        <v>1</v>
      </c>
      <c r="F83" s="10" t="s">
        <v>15</v>
      </c>
      <c r="G83" s="10"/>
      <c r="H83" s="12"/>
      <c r="I83" s="13"/>
      <c r="J83" s="12"/>
      <c r="K83" s="13"/>
      <c r="L83" s="12"/>
      <c r="M83" s="13"/>
      <c r="N83" s="12"/>
      <c r="O83" s="13"/>
      <c r="P83" s="12"/>
      <c r="Q83" s="13"/>
      <c r="R83" s="12"/>
      <c r="S83" s="13"/>
      <c r="T83" s="12"/>
      <c r="U83" s="13"/>
      <c r="V83" s="12"/>
      <c r="W83" s="13"/>
      <c r="X83" s="12"/>
      <c r="Y83" s="13"/>
      <c r="Z83" s="12"/>
      <c r="AA83" s="13"/>
      <c r="AB83" s="12"/>
      <c r="AC83" s="13"/>
      <c r="AD83" s="12"/>
      <c r="AE83" s="13"/>
      <c r="AF83" s="14"/>
      <c r="AG83" s="15"/>
      <c r="AH83" s="16"/>
      <c r="AI83" s="13"/>
      <c r="AJ83" s="17"/>
      <c r="AK83" s="13"/>
      <c r="AL83" s="17"/>
      <c r="AM83" s="13"/>
      <c r="AN83" s="18"/>
      <c r="AO83" s="13"/>
      <c r="AP83" s="17"/>
      <c r="AQ83" s="13"/>
      <c r="AR83" s="17"/>
      <c r="AS83" s="13"/>
      <c r="AT83" s="19"/>
      <c r="AU83" s="13"/>
      <c r="AV83" s="17"/>
      <c r="AW83" s="13"/>
      <c r="AX83" s="17"/>
      <c r="AY83" s="13"/>
      <c r="AZ83" s="19"/>
      <c r="BA83" s="13"/>
      <c r="BB83" s="20"/>
      <c r="BC83" s="13"/>
      <c r="BD83" s="20"/>
      <c r="BE83" s="13"/>
      <c r="BF83" s="14"/>
      <c r="BG83" s="15"/>
      <c r="BH83" s="18"/>
      <c r="BI83" s="57"/>
      <c r="BJ83" s="18"/>
      <c r="BK83" s="57"/>
      <c r="BL83" s="18"/>
      <c r="BM83" s="57"/>
      <c r="BN83" s="18"/>
      <c r="BO83" s="57"/>
      <c r="BP83" s="18"/>
      <c r="BQ83" s="57"/>
      <c r="BR83" s="18"/>
      <c r="BS83" s="57"/>
      <c r="BT83" s="18"/>
      <c r="BU83" s="57"/>
      <c r="BV83" s="18"/>
      <c r="BW83" s="57"/>
      <c r="BX83" s="18"/>
      <c r="BY83" s="57"/>
      <c r="BZ83" s="18"/>
      <c r="CA83" s="57"/>
      <c r="CB83" s="18"/>
      <c r="CC83" s="57"/>
      <c r="CD83" s="18"/>
      <c r="CE83" s="57"/>
      <c r="CF83" s="14"/>
      <c r="CG83" s="15"/>
      <c r="CH83" s="12"/>
      <c r="CI83" s="13">
        <f t="shared" si="75"/>
        <v>0</v>
      </c>
      <c r="CJ83" s="12"/>
      <c r="CK83" s="13">
        <f t="shared" si="76"/>
        <v>0</v>
      </c>
      <c r="CL83" s="12"/>
      <c r="CM83" s="13">
        <f t="shared" si="77"/>
        <v>0</v>
      </c>
      <c r="CN83" s="12"/>
      <c r="CO83" s="13">
        <f t="shared" si="78"/>
        <v>0</v>
      </c>
      <c r="CP83" s="12"/>
      <c r="CQ83" s="13">
        <f t="shared" si="79"/>
        <v>0</v>
      </c>
      <c r="CR83" s="12"/>
      <c r="CS83" s="13">
        <f t="shared" si="80"/>
        <v>0</v>
      </c>
      <c r="CT83" s="12"/>
      <c r="CU83" s="13">
        <f t="shared" si="81"/>
        <v>0</v>
      </c>
      <c r="CV83" s="12"/>
      <c r="CW83" s="13">
        <f t="shared" si="82"/>
        <v>0</v>
      </c>
      <c r="CX83" s="12"/>
      <c r="CY83" s="13">
        <f t="shared" si="83"/>
        <v>0</v>
      </c>
      <c r="CZ83" s="12"/>
      <c r="DA83" s="13">
        <f t="shared" si="84"/>
        <v>0</v>
      </c>
      <c r="DB83" s="12"/>
      <c r="DC83" s="13">
        <f t="shared" si="85"/>
        <v>0</v>
      </c>
      <c r="DD83" s="12"/>
      <c r="DE83" s="13">
        <f t="shared" si="86"/>
        <v>0</v>
      </c>
      <c r="DF83" s="64">
        <f t="shared" si="87"/>
        <v>0</v>
      </c>
      <c r="DG83" s="15">
        <f t="shared" si="88"/>
        <v>0</v>
      </c>
      <c r="DH83" s="12"/>
      <c r="DI83" s="13">
        <f t="shared" si="89"/>
        <v>0</v>
      </c>
      <c r="DJ83" s="12"/>
      <c r="DK83" s="13">
        <f t="shared" si="90"/>
        <v>0</v>
      </c>
      <c r="DL83" s="12"/>
      <c r="DM83" s="13">
        <f t="shared" si="72"/>
        <v>0</v>
      </c>
      <c r="DN83" s="12"/>
      <c r="DO83" s="13">
        <f t="shared" si="74"/>
        <v>0</v>
      </c>
      <c r="DP83" s="12"/>
      <c r="DQ83" s="13">
        <f t="shared" si="91"/>
        <v>0</v>
      </c>
      <c r="DR83" s="12"/>
      <c r="DS83" s="13">
        <f t="shared" si="92"/>
        <v>0</v>
      </c>
      <c r="DT83" s="12"/>
      <c r="DU83" s="13">
        <f t="shared" si="73"/>
        <v>0</v>
      </c>
      <c r="DV83" s="12"/>
      <c r="DW83" s="13">
        <f t="shared" si="93"/>
        <v>0</v>
      </c>
      <c r="DX83" s="12"/>
      <c r="DY83" s="13">
        <f t="shared" si="94"/>
        <v>0</v>
      </c>
      <c r="DZ83" s="12"/>
      <c r="EA83" s="13">
        <f t="shared" si="95"/>
        <v>0</v>
      </c>
      <c r="EB83" s="12"/>
      <c r="EC83" s="13">
        <f t="shared" si="99"/>
        <v>0</v>
      </c>
      <c r="ED83" s="12"/>
      <c r="EE83" s="13">
        <f t="shared" si="96"/>
        <v>0</v>
      </c>
      <c r="EF83" s="24">
        <f t="shared" si="97"/>
        <v>0</v>
      </c>
      <c r="EG83" s="13">
        <f t="shared" si="98"/>
        <v>0</v>
      </c>
    </row>
    <row r="84" spans="1:137" ht="18" customHeight="1" x14ac:dyDescent="0.5">
      <c r="A84" s="10">
        <v>68</v>
      </c>
      <c r="B84" s="11" t="s">
        <v>73</v>
      </c>
      <c r="C84" s="11" t="s">
        <v>17</v>
      </c>
      <c r="D84" s="10">
        <f>RANK(DF84,$DF$4:$DF$147)</f>
        <v>21</v>
      </c>
      <c r="E84" s="10">
        <v>1</v>
      </c>
      <c r="F84" s="10" t="s">
        <v>15</v>
      </c>
      <c r="G84" s="10"/>
      <c r="H84" s="12"/>
      <c r="I84" s="13">
        <f>H84*$E84</f>
        <v>0</v>
      </c>
      <c r="J84" s="12"/>
      <c r="K84" s="13">
        <f>J84*$E84</f>
        <v>0</v>
      </c>
      <c r="L84" s="12"/>
      <c r="M84" s="13">
        <f>L84*$E84</f>
        <v>0</v>
      </c>
      <c r="N84" s="12"/>
      <c r="O84" s="13">
        <f>N84*$E84</f>
        <v>0</v>
      </c>
      <c r="P84" s="12"/>
      <c r="Q84" s="13">
        <f>P84*$E84</f>
        <v>0</v>
      </c>
      <c r="R84" s="12"/>
      <c r="S84" s="13">
        <f>R84*$E84</f>
        <v>0</v>
      </c>
      <c r="T84" s="12"/>
      <c r="U84" s="13">
        <f>T84*$E84</f>
        <v>0</v>
      </c>
      <c r="V84" s="12"/>
      <c r="W84" s="13">
        <f>V84*$E84</f>
        <v>0</v>
      </c>
      <c r="X84" s="12"/>
      <c r="Y84" s="13">
        <f>X84*$E84</f>
        <v>0</v>
      </c>
      <c r="Z84" s="12"/>
      <c r="AA84" s="13">
        <f>Z84*$E84</f>
        <v>0</v>
      </c>
      <c r="AB84" s="12"/>
      <c r="AC84" s="13">
        <f>AB84*$E84</f>
        <v>0</v>
      </c>
      <c r="AD84" s="12"/>
      <c r="AE84" s="13">
        <f>AD84*$E84</f>
        <v>0</v>
      </c>
      <c r="AF84" s="14">
        <f>(AD84+AB84+Z84+X84+V84+T84+R84+P84+N84+L84+J84+H84)/12</f>
        <v>0</v>
      </c>
      <c r="AG84" s="15">
        <f>AF84*$E84</f>
        <v>0</v>
      </c>
      <c r="AH84" s="16"/>
      <c r="AI84" s="13">
        <f>AH84*$E84</f>
        <v>0</v>
      </c>
      <c r="AJ84" s="17"/>
      <c r="AK84" s="13">
        <f>AJ84*$E84</f>
        <v>0</v>
      </c>
      <c r="AL84" s="17"/>
      <c r="AM84" s="13">
        <f>AL84*$E84</f>
        <v>0</v>
      </c>
      <c r="AN84" s="18"/>
      <c r="AO84" s="13">
        <f>AN84*$E84</f>
        <v>0</v>
      </c>
      <c r="AP84" s="17"/>
      <c r="AQ84" s="13">
        <f>AP84*$E84</f>
        <v>0</v>
      </c>
      <c r="AR84" s="17"/>
      <c r="AS84" s="13">
        <f>AR84*$E84</f>
        <v>0</v>
      </c>
      <c r="AT84" s="19"/>
      <c r="AU84" s="13">
        <f>AT84*$E84</f>
        <v>0</v>
      </c>
      <c r="AV84" s="17"/>
      <c r="AW84" s="13">
        <f>AV84*$E84</f>
        <v>0</v>
      </c>
      <c r="AX84" s="17"/>
      <c r="AY84" s="13">
        <f>AX84*$E84</f>
        <v>0</v>
      </c>
      <c r="AZ84" s="19"/>
      <c r="BA84" s="13">
        <f>AZ84*$E84</f>
        <v>0</v>
      </c>
      <c r="BB84" s="20"/>
      <c r="BC84" s="13">
        <f>BB84*$E84</f>
        <v>0</v>
      </c>
      <c r="BD84" s="20"/>
      <c r="BE84" s="13">
        <f>BD84*$E84</f>
        <v>0</v>
      </c>
      <c r="BF84" s="14">
        <f>(BD84+BB84+AZ84+AX84+AV84+AT84+AR84+AP84+AN84+AL84+AJ84+AH84)/12</f>
        <v>0</v>
      </c>
      <c r="BG84" s="15">
        <f>BF84*$E84</f>
        <v>0</v>
      </c>
      <c r="BH84" s="18"/>
      <c r="BI84" s="57">
        <f>BH84*$E84</f>
        <v>0</v>
      </c>
      <c r="BJ84" s="18"/>
      <c r="BK84" s="57">
        <f>BJ84*$E84</f>
        <v>0</v>
      </c>
      <c r="BL84" s="18"/>
      <c r="BM84" s="57">
        <f>BL84*$E84</f>
        <v>0</v>
      </c>
      <c r="BN84" s="18"/>
      <c r="BO84" s="57">
        <f>BN84*$E84</f>
        <v>0</v>
      </c>
      <c r="BP84" s="18"/>
      <c r="BQ84" s="57">
        <f>BP84*$E84</f>
        <v>0</v>
      </c>
      <c r="BR84" s="18"/>
      <c r="BS84" s="57">
        <f>BR84*$E84</f>
        <v>0</v>
      </c>
      <c r="BT84" s="18"/>
      <c r="BU84" s="57">
        <f>BT84*$E84</f>
        <v>0</v>
      </c>
      <c r="BV84" s="18"/>
      <c r="BW84" s="57">
        <f>BV84*$E84</f>
        <v>0</v>
      </c>
      <c r="BX84" s="18"/>
      <c r="BY84" s="57">
        <f>BX84*$E84</f>
        <v>0</v>
      </c>
      <c r="BZ84" s="18"/>
      <c r="CA84" s="57">
        <f>BZ84*$E84</f>
        <v>0</v>
      </c>
      <c r="CB84" s="18"/>
      <c r="CC84" s="57">
        <f>CB84*$E84</f>
        <v>0</v>
      </c>
      <c r="CD84" s="18"/>
      <c r="CE84" s="57">
        <f>CD84*$E84</f>
        <v>0</v>
      </c>
      <c r="CF84" s="14">
        <f>(CD84+CB84+BZ84+BX84+BV84+BT84+BR84+BP84+BN84+BL84+BJ84+BH84)/12</f>
        <v>0</v>
      </c>
      <c r="CG84" s="15">
        <f>CF84*$E84</f>
        <v>0</v>
      </c>
      <c r="CH84" s="12"/>
      <c r="CI84" s="13">
        <f t="shared" si="75"/>
        <v>0</v>
      </c>
      <c r="CJ84" s="12"/>
      <c r="CK84" s="13">
        <f t="shared" si="76"/>
        <v>0</v>
      </c>
      <c r="CL84" s="12"/>
      <c r="CM84" s="13">
        <f t="shared" si="77"/>
        <v>0</v>
      </c>
      <c r="CN84" s="12"/>
      <c r="CO84" s="13">
        <f t="shared" si="78"/>
        <v>0</v>
      </c>
      <c r="CP84" s="12"/>
      <c r="CQ84" s="13">
        <f t="shared" si="79"/>
        <v>0</v>
      </c>
      <c r="CR84" s="12"/>
      <c r="CS84" s="13">
        <f t="shared" si="80"/>
        <v>0</v>
      </c>
      <c r="CT84" s="12"/>
      <c r="CU84" s="13">
        <f t="shared" si="81"/>
        <v>0</v>
      </c>
      <c r="CV84" s="12"/>
      <c r="CW84" s="13">
        <f t="shared" si="82"/>
        <v>0</v>
      </c>
      <c r="CX84" s="12"/>
      <c r="CY84" s="13">
        <f t="shared" si="83"/>
        <v>0</v>
      </c>
      <c r="CZ84" s="12"/>
      <c r="DA84" s="13">
        <f t="shared" si="84"/>
        <v>0</v>
      </c>
      <c r="DB84" s="12"/>
      <c r="DC84" s="13">
        <f t="shared" si="85"/>
        <v>0</v>
      </c>
      <c r="DD84" s="12"/>
      <c r="DE84" s="13">
        <f t="shared" si="86"/>
        <v>0</v>
      </c>
      <c r="DF84" s="64">
        <f t="shared" si="87"/>
        <v>0</v>
      </c>
      <c r="DG84" s="15">
        <f t="shared" si="88"/>
        <v>0</v>
      </c>
      <c r="DH84" s="12"/>
      <c r="DI84" s="13">
        <f t="shared" si="89"/>
        <v>0</v>
      </c>
      <c r="DJ84" s="12"/>
      <c r="DK84" s="13">
        <f t="shared" si="90"/>
        <v>0</v>
      </c>
      <c r="DL84" s="12"/>
      <c r="DM84" s="13">
        <f t="shared" si="72"/>
        <v>0</v>
      </c>
      <c r="DN84" s="12"/>
      <c r="DO84" s="13">
        <f t="shared" si="74"/>
        <v>0</v>
      </c>
      <c r="DP84" s="12"/>
      <c r="DQ84" s="13">
        <f t="shared" si="91"/>
        <v>0</v>
      </c>
      <c r="DR84" s="12"/>
      <c r="DS84" s="13">
        <f t="shared" si="92"/>
        <v>0</v>
      </c>
      <c r="DT84" s="12"/>
      <c r="DU84" s="13">
        <f t="shared" si="73"/>
        <v>0</v>
      </c>
      <c r="DV84" s="12"/>
      <c r="DW84" s="13">
        <f t="shared" si="93"/>
        <v>0</v>
      </c>
      <c r="DX84" s="12"/>
      <c r="DY84" s="13">
        <f t="shared" si="94"/>
        <v>0</v>
      </c>
      <c r="DZ84" s="12"/>
      <c r="EA84" s="13">
        <f t="shared" si="95"/>
        <v>0</v>
      </c>
      <c r="EB84" s="12"/>
      <c r="EC84" s="13">
        <f t="shared" si="99"/>
        <v>0</v>
      </c>
      <c r="ED84" s="12"/>
      <c r="EE84" s="13">
        <f t="shared" si="96"/>
        <v>0</v>
      </c>
      <c r="EF84" s="24">
        <f t="shared" si="97"/>
        <v>0</v>
      </c>
      <c r="EG84" s="13">
        <f t="shared" si="98"/>
        <v>0</v>
      </c>
    </row>
    <row r="85" spans="1:137" ht="18" customHeight="1" x14ac:dyDescent="0.5">
      <c r="A85" s="10"/>
      <c r="B85" s="11"/>
      <c r="C85" s="11"/>
      <c r="D85" s="10"/>
      <c r="E85" s="10"/>
      <c r="F85" s="10"/>
      <c r="G85" s="10"/>
      <c r="H85" s="12"/>
      <c r="I85" s="13">
        <f t="shared" si="103"/>
        <v>0</v>
      </c>
      <c r="J85" s="12"/>
      <c r="K85" s="13">
        <f t="shared" si="104"/>
        <v>0</v>
      </c>
      <c r="L85" s="12"/>
      <c r="M85" s="13">
        <f t="shared" si="105"/>
        <v>0</v>
      </c>
      <c r="N85" s="12"/>
      <c r="O85" s="13">
        <f t="shared" si="106"/>
        <v>0</v>
      </c>
      <c r="P85" s="12"/>
      <c r="Q85" s="13">
        <f t="shared" si="107"/>
        <v>0</v>
      </c>
      <c r="R85" s="12"/>
      <c r="S85" s="13">
        <f t="shared" si="108"/>
        <v>0</v>
      </c>
      <c r="T85" s="12"/>
      <c r="U85" s="13">
        <f t="shared" si="109"/>
        <v>0</v>
      </c>
      <c r="V85" s="12"/>
      <c r="W85" s="13">
        <f t="shared" si="110"/>
        <v>0</v>
      </c>
      <c r="X85" s="12"/>
      <c r="Y85" s="13">
        <f t="shared" si="111"/>
        <v>0</v>
      </c>
      <c r="Z85" s="12"/>
      <c r="AA85" s="13">
        <f t="shared" si="112"/>
        <v>0</v>
      </c>
      <c r="AB85" s="12"/>
      <c r="AC85" s="13">
        <f t="shared" si="113"/>
        <v>0</v>
      </c>
      <c r="AD85" s="12"/>
      <c r="AE85" s="13">
        <f t="shared" si="114"/>
        <v>0</v>
      </c>
      <c r="AF85" s="14">
        <f t="shared" si="100"/>
        <v>0</v>
      </c>
      <c r="AG85" s="15">
        <f t="shared" si="115"/>
        <v>0</v>
      </c>
      <c r="AH85" s="16"/>
      <c r="AI85" s="13">
        <f t="shared" si="116"/>
        <v>0</v>
      </c>
      <c r="AJ85" s="17"/>
      <c r="AK85" s="13">
        <f t="shared" si="117"/>
        <v>0</v>
      </c>
      <c r="AL85" s="17"/>
      <c r="AM85" s="13">
        <f t="shared" si="118"/>
        <v>0</v>
      </c>
      <c r="AN85" s="18"/>
      <c r="AO85" s="13">
        <f t="shared" si="119"/>
        <v>0</v>
      </c>
      <c r="AP85" s="17"/>
      <c r="AQ85" s="13">
        <f t="shared" si="120"/>
        <v>0</v>
      </c>
      <c r="AR85" s="17"/>
      <c r="AS85" s="13">
        <f t="shared" si="121"/>
        <v>0</v>
      </c>
      <c r="AT85" s="19"/>
      <c r="AU85" s="13">
        <f t="shared" si="122"/>
        <v>0</v>
      </c>
      <c r="AV85" s="17"/>
      <c r="AW85" s="13">
        <f t="shared" si="123"/>
        <v>0</v>
      </c>
      <c r="AX85" s="17"/>
      <c r="AY85" s="13">
        <f t="shared" si="124"/>
        <v>0</v>
      </c>
      <c r="AZ85" s="19"/>
      <c r="BA85" s="13">
        <f t="shared" si="125"/>
        <v>0</v>
      </c>
      <c r="BB85" s="20"/>
      <c r="BC85" s="13">
        <f t="shared" si="126"/>
        <v>0</v>
      </c>
      <c r="BD85" s="20"/>
      <c r="BE85" s="13">
        <f t="shared" si="127"/>
        <v>0</v>
      </c>
      <c r="BF85" s="14">
        <f t="shared" si="101"/>
        <v>0</v>
      </c>
      <c r="BG85" s="15">
        <f t="shared" si="128"/>
        <v>0</v>
      </c>
      <c r="BH85" s="18"/>
      <c r="BI85" s="57">
        <f t="shared" si="129"/>
        <v>0</v>
      </c>
      <c r="BJ85" s="18"/>
      <c r="BK85" s="57">
        <f t="shared" si="130"/>
        <v>0</v>
      </c>
      <c r="BL85" s="18"/>
      <c r="BM85" s="57">
        <f t="shared" si="131"/>
        <v>0</v>
      </c>
      <c r="BN85" s="18"/>
      <c r="BO85" s="57">
        <f t="shared" si="132"/>
        <v>0</v>
      </c>
      <c r="BP85" s="18"/>
      <c r="BQ85" s="57">
        <f t="shared" si="133"/>
        <v>0</v>
      </c>
      <c r="BR85" s="18"/>
      <c r="BS85" s="57">
        <f t="shared" si="134"/>
        <v>0</v>
      </c>
      <c r="BT85" s="18"/>
      <c r="BU85" s="57">
        <f t="shared" si="135"/>
        <v>0</v>
      </c>
      <c r="BV85" s="18"/>
      <c r="BW85" s="57">
        <f t="shared" si="136"/>
        <v>0</v>
      </c>
      <c r="BX85" s="18"/>
      <c r="BY85" s="57">
        <f t="shared" si="137"/>
        <v>0</v>
      </c>
      <c r="BZ85" s="18"/>
      <c r="CA85" s="57">
        <f t="shared" si="138"/>
        <v>0</v>
      </c>
      <c r="CB85" s="18"/>
      <c r="CC85" s="57">
        <f t="shared" si="139"/>
        <v>0</v>
      </c>
      <c r="CD85" s="18"/>
      <c r="CE85" s="57">
        <f t="shared" si="140"/>
        <v>0</v>
      </c>
      <c r="CF85" s="14">
        <f t="shared" si="102"/>
        <v>0</v>
      </c>
      <c r="CG85" s="15">
        <f t="shared" si="141"/>
        <v>0</v>
      </c>
      <c r="CH85" s="12"/>
      <c r="CI85" s="13">
        <f t="shared" si="75"/>
        <v>0</v>
      </c>
      <c r="CJ85" s="12"/>
      <c r="CK85" s="13">
        <f t="shared" si="76"/>
        <v>0</v>
      </c>
      <c r="CL85" s="12"/>
      <c r="CM85" s="13">
        <f t="shared" si="77"/>
        <v>0</v>
      </c>
      <c r="CN85" s="12"/>
      <c r="CO85" s="13">
        <f t="shared" si="78"/>
        <v>0</v>
      </c>
      <c r="CP85" s="12"/>
      <c r="CQ85" s="13">
        <f t="shared" si="79"/>
        <v>0</v>
      </c>
      <c r="CR85" s="12"/>
      <c r="CS85" s="13">
        <f t="shared" si="80"/>
        <v>0</v>
      </c>
      <c r="CT85" s="12"/>
      <c r="CU85" s="13">
        <f t="shared" si="81"/>
        <v>0</v>
      </c>
      <c r="CV85" s="12"/>
      <c r="CW85" s="13">
        <f t="shared" si="82"/>
        <v>0</v>
      </c>
      <c r="CX85" s="12"/>
      <c r="CY85" s="13">
        <f t="shared" si="83"/>
        <v>0</v>
      </c>
      <c r="CZ85" s="12"/>
      <c r="DA85" s="13">
        <f t="shared" si="84"/>
        <v>0</v>
      </c>
      <c r="DB85" s="12"/>
      <c r="DC85" s="13">
        <f t="shared" si="85"/>
        <v>0</v>
      </c>
      <c r="DD85" s="12"/>
      <c r="DE85" s="13">
        <f t="shared" si="86"/>
        <v>0</v>
      </c>
      <c r="DF85" s="64">
        <f t="shared" si="87"/>
        <v>0</v>
      </c>
      <c r="DG85" s="15">
        <f t="shared" si="88"/>
        <v>0</v>
      </c>
      <c r="DH85" s="12"/>
      <c r="DI85" s="13">
        <f t="shared" si="89"/>
        <v>0</v>
      </c>
      <c r="DJ85" s="12"/>
      <c r="DK85" s="13">
        <f t="shared" si="90"/>
        <v>0</v>
      </c>
      <c r="DL85" s="12"/>
      <c r="DM85" s="13">
        <f t="shared" si="72"/>
        <v>0</v>
      </c>
      <c r="DN85" s="12"/>
      <c r="DO85" s="13">
        <f t="shared" si="74"/>
        <v>0</v>
      </c>
      <c r="DP85" s="12"/>
      <c r="DQ85" s="13">
        <f t="shared" si="91"/>
        <v>0</v>
      </c>
      <c r="DR85" s="12"/>
      <c r="DS85" s="13">
        <f t="shared" si="92"/>
        <v>0</v>
      </c>
      <c r="DT85" s="12"/>
      <c r="DU85" s="13">
        <f t="shared" si="73"/>
        <v>0</v>
      </c>
      <c r="DV85" s="12"/>
      <c r="DW85" s="13">
        <f t="shared" si="93"/>
        <v>0</v>
      </c>
      <c r="DX85" s="12"/>
      <c r="DY85" s="13">
        <f t="shared" si="94"/>
        <v>0</v>
      </c>
      <c r="DZ85" s="12"/>
      <c r="EA85" s="13">
        <f t="shared" si="95"/>
        <v>0</v>
      </c>
      <c r="EB85" s="12"/>
      <c r="EC85" s="13">
        <f t="shared" si="99"/>
        <v>0</v>
      </c>
      <c r="ED85" s="12"/>
      <c r="EE85" s="13">
        <f t="shared" si="96"/>
        <v>0</v>
      </c>
      <c r="EF85" s="24">
        <f t="shared" si="97"/>
        <v>0</v>
      </c>
      <c r="EG85" s="13">
        <f t="shared" si="98"/>
        <v>0</v>
      </c>
    </row>
    <row r="86" spans="1:137" ht="18" customHeight="1" x14ac:dyDescent="0.5">
      <c r="A86" s="10">
        <v>69</v>
      </c>
      <c r="B86" s="11" t="s">
        <v>74</v>
      </c>
      <c r="C86" s="11" t="s">
        <v>17</v>
      </c>
      <c r="D86" s="10">
        <f>RANK(DF86,$DF$4:$DF$147)</f>
        <v>21</v>
      </c>
      <c r="E86" s="10">
        <v>1</v>
      </c>
      <c r="F86" s="10" t="s">
        <v>23</v>
      </c>
      <c r="G86" s="10"/>
      <c r="H86" s="12"/>
      <c r="I86" s="13">
        <f t="shared" si="103"/>
        <v>0</v>
      </c>
      <c r="J86" s="12"/>
      <c r="K86" s="13">
        <f t="shared" si="104"/>
        <v>0</v>
      </c>
      <c r="L86" s="12"/>
      <c r="M86" s="13">
        <f t="shared" si="105"/>
        <v>0</v>
      </c>
      <c r="N86" s="12"/>
      <c r="O86" s="13">
        <f t="shared" si="106"/>
        <v>0</v>
      </c>
      <c r="P86" s="12"/>
      <c r="Q86" s="13">
        <f t="shared" si="107"/>
        <v>0</v>
      </c>
      <c r="R86" s="12"/>
      <c r="S86" s="13">
        <f t="shared" si="108"/>
        <v>0</v>
      </c>
      <c r="T86" s="12"/>
      <c r="U86" s="13">
        <f t="shared" si="109"/>
        <v>0</v>
      </c>
      <c r="V86" s="12"/>
      <c r="W86" s="13">
        <f t="shared" si="110"/>
        <v>0</v>
      </c>
      <c r="X86" s="12"/>
      <c r="Y86" s="13">
        <f t="shared" si="111"/>
        <v>0</v>
      </c>
      <c r="Z86" s="12"/>
      <c r="AA86" s="13">
        <f t="shared" si="112"/>
        <v>0</v>
      </c>
      <c r="AB86" s="12"/>
      <c r="AC86" s="13">
        <f t="shared" si="113"/>
        <v>0</v>
      </c>
      <c r="AD86" s="12"/>
      <c r="AE86" s="13">
        <f t="shared" si="114"/>
        <v>0</v>
      </c>
      <c r="AF86" s="14">
        <f t="shared" si="100"/>
        <v>0</v>
      </c>
      <c r="AG86" s="15">
        <f t="shared" si="115"/>
        <v>0</v>
      </c>
      <c r="AH86" s="16"/>
      <c r="AI86" s="13">
        <f t="shared" si="116"/>
        <v>0</v>
      </c>
      <c r="AJ86" s="17"/>
      <c r="AK86" s="13">
        <f t="shared" si="117"/>
        <v>0</v>
      </c>
      <c r="AL86" s="17"/>
      <c r="AM86" s="13">
        <f t="shared" si="118"/>
        <v>0</v>
      </c>
      <c r="AN86" s="18"/>
      <c r="AO86" s="13">
        <f t="shared" si="119"/>
        <v>0</v>
      </c>
      <c r="AP86" s="17"/>
      <c r="AQ86" s="13">
        <f t="shared" si="120"/>
        <v>0</v>
      </c>
      <c r="AR86" s="17"/>
      <c r="AS86" s="13">
        <f t="shared" si="121"/>
        <v>0</v>
      </c>
      <c r="AT86" s="19"/>
      <c r="AU86" s="13">
        <f t="shared" si="122"/>
        <v>0</v>
      </c>
      <c r="AV86" s="17"/>
      <c r="AW86" s="13">
        <f t="shared" si="123"/>
        <v>0</v>
      </c>
      <c r="AX86" s="17"/>
      <c r="AY86" s="13">
        <f t="shared" si="124"/>
        <v>0</v>
      </c>
      <c r="AZ86" s="19"/>
      <c r="BA86" s="13">
        <f t="shared" si="125"/>
        <v>0</v>
      </c>
      <c r="BB86" s="20"/>
      <c r="BC86" s="13">
        <f t="shared" si="126"/>
        <v>0</v>
      </c>
      <c r="BD86" s="20"/>
      <c r="BE86" s="13">
        <f t="shared" si="127"/>
        <v>0</v>
      </c>
      <c r="BF86" s="14">
        <f t="shared" si="101"/>
        <v>0</v>
      </c>
      <c r="BG86" s="15">
        <f t="shared" si="128"/>
        <v>0</v>
      </c>
      <c r="BH86" s="18"/>
      <c r="BI86" s="57">
        <f t="shared" si="129"/>
        <v>0</v>
      </c>
      <c r="BJ86" s="18"/>
      <c r="BK86" s="57">
        <f t="shared" si="130"/>
        <v>0</v>
      </c>
      <c r="BL86" s="18"/>
      <c r="BM86" s="57">
        <f t="shared" si="131"/>
        <v>0</v>
      </c>
      <c r="BN86" s="18"/>
      <c r="BO86" s="57">
        <f t="shared" si="132"/>
        <v>0</v>
      </c>
      <c r="BP86" s="18"/>
      <c r="BQ86" s="57">
        <f t="shared" si="133"/>
        <v>0</v>
      </c>
      <c r="BR86" s="18"/>
      <c r="BS86" s="57">
        <f t="shared" si="134"/>
        <v>0</v>
      </c>
      <c r="BT86" s="18"/>
      <c r="BU86" s="57">
        <f t="shared" si="135"/>
        <v>0</v>
      </c>
      <c r="BV86" s="18"/>
      <c r="BW86" s="57">
        <f t="shared" si="136"/>
        <v>0</v>
      </c>
      <c r="BX86" s="18"/>
      <c r="BY86" s="57">
        <f t="shared" si="137"/>
        <v>0</v>
      </c>
      <c r="BZ86" s="18"/>
      <c r="CA86" s="57">
        <f t="shared" si="138"/>
        <v>0</v>
      </c>
      <c r="CB86" s="18"/>
      <c r="CC86" s="57">
        <f t="shared" si="139"/>
        <v>0</v>
      </c>
      <c r="CD86" s="18"/>
      <c r="CE86" s="57">
        <f t="shared" si="140"/>
        <v>0</v>
      </c>
      <c r="CF86" s="14">
        <f t="shared" si="102"/>
        <v>0</v>
      </c>
      <c r="CG86" s="15">
        <f t="shared" si="141"/>
        <v>0</v>
      </c>
      <c r="CH86" s="12"/>
      <c r="CI86" s="13">
        <f t="shared" si="75"/>
        <v>0</v>
      </c>
      <c r="CJ86" s="12"/>
      <c r="CK86" s="13">
        <f t="shared" si="76"/>
        <v>0</v>
      </c>
      <c r="CL86" s="12"/>
      <c r="CM86" s="13">
        <f t="shared" si="77"/>
        <v>0</v>
      </c>
      <c r="CN86" s="12"/>
      <c r="CO86" s="13">
        <f t="shared" si="78"/>
        <v>0</v>
      </c>
      <c r="CP86" s="12"/>
      <c r="CQ86" s="13">
        <f t="shared" si="79"/>
        <v>0</v>
      </c>
      <c r="CR86" s="12"/>
      <c r="CS86" s="13">
        <f t="shared" si="80"/>
        <v>0</v>
      </c>
      <c r="CT86" s="12"/>
      <c r="CU86" s="13">
        <f t="shared" si="81"/>
        <v>0</v>
      </c>
      <c r="CV86" s="12"/>
      <c r="CW86" s="13">
        <f t="shared" si="82"/>
        <v>0</v>
      </c>
      <c r="CX86" s="12"/>
      <c r="CY86" s="13">
        <f t="shared" si="83"/>
        <v>0</v>
      </c>
      <c r="CZ86" s="12"/>
      <c r="DA86" s="13">
        <f t="shared" si="84"/>
        <v>0</v>
      </c>
      <c r="DB86" s="12"/>
      <c r="DC86" s="13">
        <f t="shared" si="85"/>
        <v>0</v>
      </c>
      <c r="DD86" s="12"/>
      <c r="DE86" s="13">
        <f t="shared" si="86"/>
        <v>0</v>
      </c>
      <c r="DF86" s="64">
        <f t="shared" si="87"/>
        <v>0</v>
      </c>
      <c r="DG86" s="15">
        <f t="shared" si="88"/>
        <v>0</v>
      </c>
      <c r="DH86" s="12"/>
      <c r="DI86" s="13">
        <f t="shared" si="89"/>
        <v>0</v>
      </c>
      <c r="DJ86" s="12"/>
      <c r="DK86" s="13">
        <f t="shared" si="90"/>
        <v>0</v>
      </c>
      <c r="DL86" s="12"/>
      <c r="DM86" s="13">
        <f t="shared" si="72"/>
        <v>0</v>
      </c>
      <c r="DN86" s="12"/>
      <c r="DO86" s="13">
        <f t="shared" si="74"/>
        <v>0</v>
      </c>
      <c r="DP86" s="12"/>
      <c r="DQ86" s="13">
        <f t="shared" si="91"/>
        <v>0</v>
      </c>
      <c r="DR86" s="12"/>
      <c r="DS86" s="13">
        <f t="shared" si="92"/>
        <v>0</v>
      </c>
      <c r="DT86" s="12"/>
      <c r="DU86" s="13">
        <f t="shared" si="73"/>
        <v>0</v>
      </c>
      <c r="DV86" s="12"/>
      <c r="DW86" s="13">
        <f t="shared" si="93"/>
        <v>0</v>
      </c>
      <c r="DX86" s="12"/>
      <c r="DY86" s="13">
        <f t="shared" si="94"/>
        <v>0</v>
      </c>
      <c r="DZ86" s="12"/>
      <c r="EA86" s="13">
        <f t="shared" si="95"/>
        <v>0</v>
      </c>
      <c r="EB86" s="12"/>
      <c r="EC86" s="13">
        <f t="shared" si="99"/>
        <v>0</v>
      </c>
      <c r="ED86" s="12"/>
      <c r="EE86" s="13">
        <f t="shared" si="96"/>
        <v>0</v>
      </c>
      <c r="EF86" s="24">
        <f t="shared" si="97"/>
        <v>0</v>
      </c>
      <c r="EG86" s="13">
        <f t="shared" si="98"/>
        <v>0</v>
      </c>
    </row>
    <row r="87" spans="1:137" ht="18" customHeight="1" x14ac:dyDescent="0.5">
      <c r="A87" s="10">
        <v>70</v>
      </c>
      <c r="B87" s="11" t="s">
        <v>75</v>
      </c>
      <c r="C87" s="11" t="s">
        <v>17</v>
      </c>
      <c r="D87" s="10">
        <f>RANK(DF87,$DF$4:$DF$147)</f>
        <v>21</v>
      </c>
      <c r="E87" s="10">
        <v>1</v>
      </c>
      <c r="F87" s="10" t="s">
        <v>23</v>
      </c>
      <c r="G87" s="10"/>
      <c r="H87" s="12"/>
      <c r="I87" s="13">
        <f t="shared" si="103"/>
        <v>0</v>
      </c>
      <c r="J87" s="12"/>
      <c r="K87" s="13">
        <f t="shared" si="104"/>
        <v>0</v>
      </c>
      <c r="L87" s="12"/>
      <c r="M87" s="13">
        <f t="shared" si="105"/>
        <v>0</v>
      </c>
      <c r="N87" s="12"/>
      <c r="O87" s="13">
        <f t="shared" si="106"/>
        <v>0</v>
      </c>
      <c r="P87" s="12"/>
      <c r="Q87" s="13">
        <f t="shared" si="107"/>
        <v>0</v>
      </c>
      <c r="R87" s="12"/>
      <c r="S87" s="13">
        <f t="shared" si="108"/>
        <v>0</v>
      </c>
      <c r="T87" s="12"/>
      <c r="U87" s="13">
        <f t="shared" si="109"/>
        <v>0</v>
      </c>
      <c r="V87" s="12"/>
      <c r="W87" s="13">
        <f t="shared" si="110"/>
        <v>0</v>
      </c>
      <c r="X87" s="12"/>
      <c r="Y87" s="13">
        <f t="shared" si="111"/>
        <v>0</v>
      </c>
      <c r="Z87" s="12"/>
      <c r="AA87" s="13">
        <f t="shared" si="112"/>
        <v>0</v>
      </c>
      <c r="AB87" s="12"/>
      <c r="AC87" s="13">
        <f t="shared" si="113"/>
        <v>0</v>
      </c>
      <c r="AD87" s="12"/>
      <c r="AE87" s="13">
        <f t="shared" si="114"/>
        <v>0</v>
      </c>
      <c r="AF87" s="14">
        <f t="shared" si="100"/>
        <v>0</v>
      </c>
      <c r="AG87" s="15">
        <f t="shared" si="115"/>
        <v>0</v>
      </c>
      <c r="AH87" s="16"/>
      <c r="AI87" s="13">
        <f t="shared" si="116"/>
        <v>0</v>
      </c>
      <c r="AJ87" s="17"/>
      <c r="AK87" s="13">
        <f t="shared" si="117"/>
        <v>0</v>
      </c>
      <c r="AL87" s="17"/>
      <c r="AM87" s="13">
        <f t="shared" si="118"/>
        <v>0</v>
      </c>
      <c r="AN87" s="18"/>
      <c r="AO87" s="13">
        <f t="shared" si="119"/>
        <v>0</v>
      </c>
      <c r="AP87" s="17"/>
      <c r="AQ87" s="13">
        <f t="shared" si="120"/>
        <v>0</v>
      </c>
      <c r="AR87" s="17"/>
      <c r="AS87" s="13">
        <f t="shared" si="121"/>
        <v>0</v>
      </c>
      <c r="AT87" s="19"/>
      <c r="AU87" s="13">
        <f t="shared" si="122"/>
        <v>0</v>
      </c>
      <c r="AV87" s="17"/>
      <c r="AW87" s="13">
        <f t="shared" si="123"/>
        <v>0</v>
      </c>
      <c r="AX87" s="17"/>
      <c r="AY87" s="13">
        <f t="shared" si="124"/>
        <v>0</v>
      </c>
      <c r="AZ87" s="19"/>
      <c r="BA87" s="13">
        <f t="shared" si="125"/>
        <v>0</v>
      </c>
      <c r="BB87" s="20"/>
      <c r="BC87" s="13">
        <f t="shared" si="126"/>
        <v>0</v>
      </c>
      <c r="BD87" s="20"/>
      <c r="BE87" s="13">
        <f t="shared" si="127"/>
        <v>0</v>
      </c>
      <c r="BF87" s="14">
        <f t="shared" si="101"/>
        <v>0</v>
      </c>
      <c r="BG87" s="15">
        <f t="shared" si="128"/>
        <v>0</v>
      </c>
      <c r="BH87" s="18"/>
      <c r="BI87" s="57">
        <f t="shared" si="129"/>
        <v>0</v>
      </c>
      <c r="BJ87" s="18"/>
      <c r="BK87" s="57">
        <f t="shared" si="130"/>
        <v>0</v>
      </c>
      <c r="BL87" s="18"/>
      <c r="BM87" s="57">
        <f t="shared" si="131"/>
        <v>0</v>
      </c>
      <c r="BN87" s="18"/>
      <c r="BO87" s="57">
        <f t="shared" si="132"/>
        <v>0</v>
      </c>
      <c r="BP87" s="18"/>
      <c r="BQ87" s="57">
        <f t="shared" si="133"/>
        <v>0</v>
      </c>
      <c r="BR87" s="18"/>
      <c r="BS87" s="57">
        <f t="shared" si="134"/>
        <v>0</v>
      </c>
      <c r="BT87" s="18"/>
      <c r="BU87" s="57">
        <f t="shared" si="135"/>
        <v>0</v>
      </c>
      <c r="BV87" s="18"/>
      <c r="BW87" s="57">
        <f t="shared" si="136"/>
        <v>0</v>
      </c>
      <c r="BX87" s="18"/>
      <c r="BY87" s="57">
        <f t="shared" si="137"/>
        <v>0</v>
      </c>
      <c r="BZ87" s="18"/>
      <c r="CA87" s="57">
        <f t="shared" si="138"/>
        <v>0</v>
      </c>
      <c r="CB87" s="18"/>
      <c r="CC87" s="57">
        <f t="shared" si="139"/>
        <v>0</v>
      </c>
      <c r="CD87" s="18"/>
      <c r="CE87" s="57">
        <f t="shared" si="140"/>
        <v>0</v>
      </c>
      <c r="CF87" s="14">
        <f t="shared" si="102"/>
        <v>0</v>
      </c>
      <c r="CG87" s="15">
        <f t="shared" si="141"/>
        <v>0</v>
      </c>
      <c r="CH87" s="12"/>
      <c r="CI87" s="13">
        <f t="shared" si="75"/>
        <v>0</v>
      </c>
      <c r="CJ87" s="12"/>
      <c r="CK87" s="13">
        <f t="shared" si="76"/>
        <v>0</v>
      </c>
      <c r="CL87" s="12"/>
      <c r="CM87" s="13">
        <f t="shared" si="77"/>
        <v>0</v>
      </c>
      <c r="CN87" s="12"/>
      <c r="CO87" s="13">
        <f t="shared" si="78"/>
        <v>0</v>
      </c>
      <c r="CP87" s="12"/>
      <c r="CQ87" s="13">
        <f t="shared" si="79"/>
        <v>0</v>
      </c>
      <c r="CR87" s="12"/>
      <c r="CS87" s="13">
        <f t="shared" si="80"/>
        <v>0</v>
      </c>
      <c r="CT87" s="12"/>
      <c r="CU87" s="13">
        <f t="shared" si="81"/>
        <v>0</v>
      </c>
      <c r="CV87" s="12"/>
      <c r="CW87" s="13">
        <f t="shared" si="82"/>
        <v>0</v>
      </c>
      <c r="CX87" s="12"/>
      <c r="CY87" s="13">
        <f t="shared" si="83"/>
        <v>0</v>
      </c>
      <c r="CZ87" s="12"/>
      <c r="DA87" s="13">
        <f t="shared" si="84"/>
        <v>0</v>
      </c>
      <c r="DB87" s="12"/>
      <c r="DC87" s="13">
        <f t="shared" si="85"/>
        <v>0</v>
      </c>
      <c r="DD87" s="12"/>
      <c r="DE87" s="13">
        <f t="shared" si="86"/>
        <v>0</v>
      </c>
      <c r="DF87" s="64">
        <f t="shared" si="87"/>
        <v>0</v>
      </c>
      <c r="DG87" s="15">
        <f t="shared" si="88"/>
        <v>0</v>
      </c>
      <c r="DH87" s="12"/>
      <c r="DI87" s="13">
        <f t="shared" si="89"/>
        <v>0</v>
      </c>
      <c r="DJ87" s="12"/>
      <c r="DK87" s="13">
        <f t="shared" si="90"/>
        <v>0</v>
      </c>
      <c r="DL87" s="12"/>
      <c r="DM87" s="13">
        <f t="shared" si="72"/>
        <v>0</v>
      </c>
      <c r="DN87" s="12"/>
      <c r="DO87" s="13">
        <f t="shared" si="74"/>
        <v>0</v>
      </c>
      <c r="DP87" s="12"/>
      <c r="DQ87" s="13">
        <f t="shared" si="91"/>
        <v>0</v>
      </c>
      <c r="DR87" s="12"/>
      <c r="DS87" s="13">
        <f t="shared" si="92"/>
        <v>0</v>
      </c>
      <c r="DT87" s="12"/>
      <c r="DU87" s="13">
        <f t="shared" si="73"/>
        <v>0</v>
      </c>
      <c r="DV87" s="12"/>
      <c r="DW87" s="13">
        <f t="shared" si="93"/>
        <v>0</v>
      </c>
      <c r="DX87" s="12"/>
      <c r="DY87" s="13">
        <f t="shared" si="94"/>
        <v>0</v>
      </c>
      <c r="DZ87" s="12"/>
      <c r="EA87" s="13">
        <f t="shared" si="95"/>
        <v>0</v>
      </c>
      <c r="EB87" s="12"/>
      <c r="EC87" s="13">
        <f t="shared" si="99"/>
        <v>0</v>
      </c>
      <c r="ED87" s="12"/>
      <c r="EE87" s="13">
        <f t="shared" si="96"/>
        <v>0</v>
      </c>
      <c r="EF87" s="24">
        <f t="shared" si="97"/>
        <v>0</v>
      </c>
      <c r="EG87" s="13">
        <f t="shared" si="98"/>
        <v>0</v>
      </c>
    </row>
    <row r="88" spans="1:137" ht="18" customHeight="1" x14ac:dyDescent="0.5">
      <c r="A88" s="10">
        <v>71</v>
      </c>
      <c r="B88" s="11" t="s">
        <v>76</v>
      </c>
      <c r="C88" s="11" t="s">
        <v>17</v>
      </c>
      <c r="D88" s="10">
        <f>RANK(DF88,$DF$4:$DF$147)</f>
        <v>21</v>
      </c>
      <c r="E88" s="10">
        <v>1</v>
      </c>
      <c r="F88" s="10" t="s">
        <v>15</v>
      </c>
      <c r="G88" s="10"/>
      <c r="H88" s="12"/>
      <c r="I88" s="13">
        <f t="shared" si="103"/>
        <v>0</v>
      </c>
      <c r="J88" s="12"/>
      <c r="K88" s="13">
        <f t="shared" si="104"/>
        <v>0</v>
      </c>
      <c r="L88" s="12"/>
      <c r="M88" s="13">
        <f t="shared" si="105"/>
        <v>0</v>
      </c>
      <c r="N88" s="12"/>
      <c r="O88" s="13">
        <f t="shared" si="106"/>
        <v>0</v>
      </c>
      <c r="P88" s="12"/>
      <c r="Q88" s="13">
        <f t="shared" si="107"/>
        <v>0</v>
      </c>
      <c r="R88" s="12"/>
      <c r="S88" s="13">
        <f t="shared" si="108"/>
        <v>0</v>
      </c>
      <c r="T88" s="12"/>
      <c r="U88" s="13">
        <f t="shared" si="109"/>
        <v>0</v>
      </c>
      <c r="V88" s="12"/>
      <c r="W88" s="13">
        <f t="shared" si="110"/>
        <v>0</v>
      </c>
      <c r="X88" s="12"/>
      <c r="Y88" s="13">
        <f t="shared" si="111"/>
        <v>0</v>
      </c>
      <c r="Z88" s="12"/>
      <c r="AA88" s="13">
        <f t="shared" si="112"/>
        <v>0</v>
      </c>
      <c r="AB88" s="12"/>
      <c r="AC88" s="13">
        <f t="shared" si="113"/>
        <v>0</v>
      </c>
      <c r="AD88" s="12"/>
      <c r="AE88" s="13">
        <f t="shared" si="114"/>
        <v>0</v>
      </c>
      <c r="AF88" s="14">
        <f t="shared" si="100"/>
        <v>0</v>
      </c>
      <c r="AG88" s="15">
        <f t="shared" si="115"/>
        <v>0</v>
      </c>
      <c r="AH88" s="16"/>
      <c r="AI88" s="13">
        <f t="shared" si="116"/>
        <v>0</v>
      </c>
      <c r="AJ88" s="17"/>
      <c r="AK88" s="13">
        <f t="shared" si="117"/>
        <v>0</v>
      </c>
      <c r="AL88" s="17"/>
      <c r="AM88" s="13">
        <f t="shared" si="118"/>
        <v>0</v>
      </c>
      <c r="AN88" s="18"/>
      <c r="AO88" s="13">
        <f t="shared" si="119"/>
        <v>0</v>
      </c>
      <c r="AP88" s="17"/>
      <c r="AQ88" s="13">
        <f t="shared" si="120"/>
        <v>0</v>
      </c>
      <c r="AR88" s="17"/>
      <c r="AS88" s="13">
        <f t="shared" si="121"/>
        <v>0</v>
      </c>
      <c r="AT88" s="19"/>
      <c r="AU88" s="13">
        <f t="shared" si="122"/>
        <v>0</v>
      </c>
      <c r="AV88" s="17"/>
      <c r="AW88" s="13">
        <f t="shared" si="123"/>
        <v>0</v>
      </c>
      <c r="AX88" s="17"/>
      <c r="AY88" s="13">
        <f t="shared" si="124"/>
        <v>0</v>
      </c>
      <c r="AZ88" s="19"/>
      <c r="BA88" s="13">
        <f t="shared" si="125"/>
        <v>0</v>
      </c>
      <c r="BB88" s="20"/>
      <c r="BC88" s="13">
        <f t="shared" si="126"/>
        <v>0</v>
      </c>
      <c r="BD88" s="20"/>
      <c r="BE88" s="13">
        <f t="shared" si="127"/>
        <v>0</v>
      </c>
      <c r="BF88" s="14">
        <f t="shared" si="101"/>
        <v>0</v>
      </c>
      <c r="BG88" s="15">
        <f t="shared" si="128"/>
        <v>0</v>
      </c>
      <c r="BH88" s="18"/>
      <c r="BI88" s="57">
        <f t="shared" si="129"/>
        <v>0</v>
      </c>
      <c r="BJ88" s="18"/>
      <c r="BK88" s="57">
        <f t="shared" si="130"/>
        <v>0</v>
      </c>
      <c r="BL88" s="18"/>
      <c r="BM88" s="57">
        <f t="shared" si="131"/>
        <v>0</v>
      </c>
      <c r="BN88" s="18"/>
      <c r="BO88" s="57">
        <f t="shared" si="132"/>
        <v>0</v>
      </c>
      <c r="BP88" s="18"/>
      <c r="BQ88" s="57">
        <f t="shared" si="133"/>
        <v>0</v>
      </c>
      <c r="BR88" s="18"/>
      <c r="BS88" s="57">
        <f t="shared" si="134"/>
        <v>0</v>
      </c>
      <c r="BT88" s="18"/>
      <c r="BU88" s="57">
        <f t="shared" si="135"/>
        <v>0</v>
      </c>
      <c r="BV88" s="18"/>
      <c r="BW88" s="57">
        <f t="shared" si="136"/>
        <v>0</v>
      </c>
      <c r="BX88" s="18"/>
      <c r="BY88" s="57">
        <f t="shared" si="137"/>
        <v>0</v>
      </c>
      <c r="BZ88" s="18"/>
      <c r="CA88" s="57">
        <f t="shared" si="138"/>
        <v>0</v>
      </c>
      <c r="CB88" s="18"/>
      <c r="CC88" s="57">
        <f t="shared" si="139"/>
        <v>0</v>
      </c>
      <c r="CD88" s="18"/>
      <c r="CE88" s="57">
        <f t="shared" si="140"/>
        <v>0</v>
      </c>
      <c r="CF88" s="14">
        <f t="shared" si="102"/>
        <v>0</v>
      </c>
      <c r="CG88" s="15">
        <f t="shared" si="141"/>
        <v>0</v>
      </c>
      <c r="CH88" s="12"/>
      <c r="CI88" s="13">
        <f t="shared" si="75"/>
        <v>0</v>
      </c>
      <c r="CJ88" s="12"/>
      <c r="CK88" s="13">
        <f t="shared" si="76"/>
        <v>0</v>
      </c>
      <c r="CL88" s="12"/>
      <c r="CM88" s="13">
        <f t="shared" si="77"/>
        <v>0</v>
      </c>
      <c r="CN88" s="12"/>
      <c r="CO88" s="13">
        <f t="shared" si="78"/>
        <v>0</v>
      </c>
      <c r="CP88" s="12"/>
      <c r="CQ88" s="13">
        <f t="shared" si="79"/>
        <v>0</v>
      </c>
      <c r="CR88" s="12"/>
      <c r="CS88" s="13">
        <f t="shared" si="80"/>
        <v>0</v>
      </c>
      <c r="CT88" s="12"/>
      <c r="CU88" s="13">
        <f t="shared" si="81"/>
        <v>0</v>
      </c>
      <c r="CV88" s="12"/>
      <c r="CW88" s="13">
        <f t="shared" si="82"/>
        <v>0</v>
      </c>
      <c r="CX88" s="12"/>
      <c r="CY88" s="13">
        <f t="shared" si="83"/>
        <v>0</v>
      </c>
      <c r="CZ88" s="12"/>
      <c r="DA88" s="13">
        <f t="shared" si="84"/>
        <v>0</v>
      </c>
      <c r="DB88" s="12"/>
      <c r="DC88" s="13">
        <f t="shared" si="85"/>
        <v>0</v>
      </c>
      <c r="DD88" s="12"/>
      <c r="DE88" s="13">
        <f t="shared" si="86"/>
        <v>0</v>
      </c>
      <c r="DF88" s="64">
        <f t="shared" si="87"/>
        <v>0</v>
      </c>
      <c r="DG88" s="15">
        <f t="shared" si="88"/>
        <v>0</v>
      </c>
      <c r="DH88" s="12"/>
      <c r="DI88" s="13">
        <f t="shared" si="89"/>
        <v>0</v>
      </c>
      <c r="DJ88" s="12"/>
      <c r="DK88" s="13">
        <f t="shared" si="90"/>
        <v>0</v>
      </c>
      <c r="DL88" s="12"/>
      <c r="DM88" s="13">
        <f t="shared" si="72"/>
        <v>0</v>
      </c>
      <c r="DN88" s="12"/>
      <c r="DO88" s="13">
        <f t="shared" si="74"/>
        <v>0</v>
      </c>
      <c r="DP88" s="12"/>
      <c r="DQ88" s="13">
        <f t="shared" si="91"/>
        <v>0</v>
      </c>
      <c r="DR88" s="12"/>
      <c r="DS88" s="13">
        <f t="shared" si="92"/>
        <v>0</v>
      </c>
      <c r="DT88" s="12"/>
      <c r="DU88" s="13">
        <f t="shared" si="73"/>
        <v>0</v>
      </c>
      <c r="DV88" s="12"/>
      <c r="DW88" s="13">
        <f t="shared" si="93"/>
        <v>0</v>
      </c>
      <c r="DX88" s="12"/>
      <c r="DY88" s="13">
        <f t="shared" si="94"/>
        <v>0</v>
      </c>
      <c r="DZ88" s="12"/>
      <c r="EA88" s="13">
        <f t="shared" si="95"/>
        <v>0</v>
      </c>
      <c r="EB88" s="12"/>
      <c r="EC88" s="13">
        <f t="shared" si="99"/>
        <v>0</v>
      </c>
      <c r="ED88" s="12"/>
      <c r="EE88" s="13">
        <f t="shared" si="96"/>
        <v>0</v>
      </c>
      <c r="EF88" s="24">
        <f t="shared" si="97"/>
        <v>0</v>
      </c>
      <c r="EG88" s="13">
        <f t="shared" si="98"/>
        <v>0</v>
      </c>
    </row>
    <row r="89" spans="1:137" ht="18" customHeight="1" x14ac:dyDescent="0.5">
      <c r="A89" s="10">
        <v>72</v>
      </c>
      <c r="B89" s="11" t="s">
        <v>77</v>
      </c>
      <c r="C89" s="11" t="s">
        <v>17</v>
      </c>
      <c r="D89" s="10">
        <f>RANK(DF89,$DF$4:$DF$147)</f>
        <v>21</v>
      </c>
      <c r="E89" s="10">
        <v>0.6</v>
      </c>
      <c r="F89" s="10" t="s">
        <v>23</v>
      </c>
      <c r="G89" s="10"/>
      <c r="H89" s="12"/>
      <c r="I89" s="13">
        <f t="shared" si="103"/>
        <v>0</v>
      </c>
      <c r="J89" s="12"/>
      <c r="K89" s="13">
        <f t="shared" si="104"/>
        <v>0</v>
      </c>
      <c r="L89" s="12"/>
      <c r="M89" s="13">
        <f t="shared" si="105"/>
        <v>0</v>
      </c>
      <c r="N89" s="12"/>
      <c r="O89" s="13">
        <f t="shared" si="106"/>
        <v>0</v>
      </c>
      <c r="P89" s="12"/>
      <c r="Q89" s="13">
        <f t="shared" si="107"/>
        <v>0</v>
      </c>
      <c r="R89" s="12"/>
      <c r="S89" s="13">
        <f t="shared" si="108"/>
        <v>0</v>
      </c>
      <c r="T89" s="12"/>
      <c r="U89" s="13">
        <f t="shared" si="109"/>
        <v>0</v>
      </c>
      <c r="V89" s="12"/>
      <c r="W89" s="13">
        <f t="shared" si="110"/>
        <v>0</v>
      </c>
      <c r="X89" s="12"/>
      <c r="Y89" s="13">
        <f t="shared" si="111"/>
        <v>0</v>
      </c>
      <c r="Z89" s="12"/>
      <c r="AA89" s="13">
        <f t="shared" si="112"/>
        <v>0</v>
      </c>
      <c r="AB89" s="12"/>
      <c r="AC89" s="13">
        <f t="shared" si="113"/>
        <v>0</v>
      </c>
      <c r="AD89" s="12"/>
      <c r="AE89" s="13">
        <f t="shared" si="114"/>
        <v>0</v>
      </c>
      <c r="AF89" s="14">
        <f t="shared" si="100"/>
        <v>0</v>
      </c>
      <c r="AG89" s="15">
        <f t="shared" si="115"/>
        <v>0</v>
      </c>
      <c r="AH89" s="16"/>
      <c r="AI89" s="13">
        <f t="shared" si="116"/>
        <v>0</v>
      </c>
      <c r="AJ89" s="17"/>
      <c r="AK89" s="13">
        <f t="shared" si="117"/>
        <v>0</v>
      </c>
      <c r="AL89" s="17"/>
      <c r="AM89" s="13">
        <f t="shared" si="118"/>
        <v>0</v>
      </c>
      <c r="AN89" s="18"/>
      <c r="AO89" s="13">
        <f t="shared" si="119"/>
        <v>0</v>
      </c>
      <c r="AP89" s="17"/>
      <c r="AQ89" s="13">
        <f t="shared" si="120"/>
        <v>0</v>
      </c>
      <c r="AR89" s="17"/>
      <c r="AS89" s="13">
        <f t="shared" si="121"/>
        <v>0</v>
      </c>
      <c r="AT89" s="19"/>
      <c r="AU89" s="13">
        <f t="shared" si="122"/>
        <v>0</v>
      </c>
      <c r="AV89" s="17"/>
      <c r="AW89" s="13">
        <f t="shared" si="123"/>
        <v>0</v>
      </c>
      <c r="AX89" s="17"/>
      <c r="AY89" s="13">
        <f t="shared" si="124"/>
        <v>0</v>
      </c>
      <c r="AZ89" s="19"/>
      <c r="BA89" s="13">
        <f t="shared" si="125"/>
        <v>0</v>
      </c>
      <c r="BB89" s="20"/>
      <c r="BC89" s="13">
        <f t="shared" si="126"/>
        <v>0</v>
      </c>
      <c r="BD89" s="20"/>
      <c r="BE89" s="13">
        <f t="shared" si="127"/>
        <v>0</v>
      </c>
      <c r="BF89" s="14">
        <f t="shared" si="101"/>
        <v>0</v>
      </c>
      <c r="BG89" s="15">
        <f t="shared" si="128"/>
        <v>0</v>
      </c>
      <c r="BH89" s="18"/>
      <c r="BI89" s="57">
        <f t="shared" si="129"/>
        <v>0</v>
      </c>
      <c r="BJ89" s="18"/>
      <c r="BK89" s="57">
        <f t="shared" si="130"/>
        <v>0</v>
      </c>
      <c r="BL89" s="18"/>
      <c r="BM89" s="57">
        <f t="shared" si="131"/>
        <v>0</v>
      </c>
      <c r="BN89" s="18"/>
      <c r="BO89" s="57">
        <f t="shared" si="132"/>
        <v>0</v>
      </c>
      <c r="BP89" s="18"/>
      <c r="BQ89" s="57">
        <f t="shared" si="133"/>
        <v>0</v>
      </c>
      <c r="BR89" s="18"/>
      <c r="BS89" s="57">
        <f t="shared" si="134"/>
        <v>0</v>
      </c>
      <c r="BT89" s="18"/>
      <c r="BU89" s="57">
        <f t="shared" si="135"/>
        <v>0</v>
      </c>
      <c r="BV89" s="18"/>
      <c r="BW89" s="57">
        <f t="shared" si="136"/>
        <v>0</v>
      </c>
      <c r="BX89" s="18"/>
      <c r="BY89" s="57">
        <f t="shared" si="137"/>
        <v>0</v>
      </c>
      <c r="BZ89" s="18"/>
      <c r="CA89" s="57">
        <f t="shared" si="138"/>
        <v>0</v>
      </c>
      <c r="CB89" s="18"/>
      <c r="CC89" s="57">
        <f t="shared" si="139"/>
        <v>0</v>
      </c>
      <c r="CD89" s="18"/>
      <c r="CE89" s="57">
        <f t="shared" si="140"/>
        <v>0</v>
      </c>
      <c r="CF89" s="14">
        <f t="shared" si="102"/>
        <v>0</v>
      </c>
      <c r="CG89" s="15">
        <f t="shared" si="141"/>
        <v>0</v>
      </c>
      <c r="CH89" s="12"/>
      <c r="CI89" s="13">
        <f t="shared" si="75"/>
        <v>0</v>
      </c>
      <c r="CJ89" s="12"/>
      <c r="CK89" s="13">
        <f t="shared" si="76"/>
        <v>0</v>
      </c>
      <c r="CL89" s="12"/>
      <c r="CM89" s="13">
        <f t="shared" si="77"/>
        <v>0</v>
      </c>
      <c r="CN89" s="12"/>
      <c r="CO89" s="13">
        <f t="shared" si="78"/>
        <v>0</v>
      </c>
      <c r="CP89" s="12"/>
      <c r="CQ89" s="13">
        <f t="shared" si="79"/>
        <v>0</v>
      </c>
      <c r="CR89" s="12"/>
      <c r="CS89" s="13">
        <f t="shared" si="80"/>
        <v>0</v>
      </c>
      <c r="CT89" s="12"/>
      <c r="CU89" s="13">
        <f t="shared" si="81"/>
        <v>0</v>
      </c>
      <c r="CV89" s="12"/>
      <c r="CW89" s="13">
        <f t="shared" si="82"/>
        <v>0</v>
      </c>
      <c r="CX89" s="12"/>
      <c r="CY89" s="13">
        <f t="shared" si="83"/>
        <v>0</v>
      </c>
      <c r="CZ89" s="12"/>
      <c r="DA89" s="13">
        <f t="shared" si="84"/>
        <v>0</v>
      </c>
      <c r="DB89" s="12"/>
      <c r="DC89" s="13">
        <f t="shared" si="85"/>
        <v>0</v>
      </c>
      <c r="DD89" s="12"/>
      <c r="DE89" s="13">
        <f t="shared" si="86"/>
        <v>0</v>
      </c>
      <c r="DF89" s="64">
        <f t="shared" si="87"/>
        <v>0</v>
      </c>
      <c r="DG89" s="15">
        <f t="shared" si="88"/>
        <v>0</v>
      </c>
      <c r="DH89" s="12"/>
      <c r="DI89" s="13">
        <f t="shared" si="89"/>
        <v>0</v>
      </c>
      <c r="DJ89" s="12"/>
      <c r="DK89" s="13">
        <f t="shared" si="90"/>
        <v>0</v>
      </c>
      <c r="DL89" s="12"/>
      <c r="DM89" s="13">
        <f t="shared" si="72"/>
        <v>0</v>
      </c>
      <c r="DN89" s="12"/>
      <c r="DO89" s="13">
        <f t="shared" si="74"/>
        <v>0</v>
      </c>
      <c r="DP89" s="12"/>
      <c r="DQ89" s="13">
        <f t="shared" si="91"/>
        <v>0</v>
      </c>
      <c r="DR89" s="12"/>
      <c r="DS89" s="13">
        <f t="shared" si="92"/>
        <v>0</v>
      </c>
      <c r="DT89" s="12"/>
      <c r="DU89" s="13">
        <f t="shared" si="73"/>
        <v>0</v>
      </c>
      <c r="DV89" s="12"/>
      <c r="DW89" s="13">
        <f t="shared" si="93"/>
        <v>0</v>
      </c>
      <c r="DX89" s="12"/>
      <c r="DY89" s="13">
        <f t="shared" si="94"/>
        <v>0</v>
      </c>
      <c r="DZ89" s="12"/>
      <c r="EA89" s="13">
        <f t="shared" si="95"/>
        <v>0</v>
      </c>
      <c r="EB89" s="12"/>
      <c r="EC89" s="13">
        <f t="shared" si="99"/>
        <v>0</v>
      </c>
      <c r="ED89" s="12"/>
      <c r="EE89" s="13">
        <f t="shared" si="96"/>
        <v>0</v>
      </c>
      <c r="EF89" s="24">
        <f t="shared" si="97"/>
        <v>0</v>
      </c>
      <c r="EG89" s="13">
        <f t="shared" si="98"/>
        <v>0</v>
      </c>
    </row>
    <row r="90" spans="1:137" ht="18" customHeight="1" x14ac:dyDescent="0.5">
      <c r="A90" s="10">
        <v>73</v>
      </c>
      <c r="B90" s="11" t="s">
        <v>78</v>
      </c>
      <c r="C90" s="11" t="s">
        <v>14</v>
      </c>
      <c r="D90" s="10">
        <f>RANK(DF90,$DF$4:$DF$147)</f>
        <v>21</v>
      </c>
      <c r="E90" s="10">
        <v>0.64</v>
      </c>
      <c r="F90" s="10" t="s">
        <v>25</v>
      </c>
      <c r="G90" s="10"/>
      <c r="H90" s="12"/>
      <c r="I90" s="13">
        <f t="shared" si="103"/>
        <v>0</v>
      </c>
      <c r="J90" s="12"/>
      <c r="K90" s="13">
        <f t="shared" si="104"/>
        <v>0</v>
      </c>
      <c r="L90" s="12"/>
      <c r="M90" s="13">
        <f t="shared" si="105"/>
        <v>0</v>
      </c>
      <c r="N90" s="12"/>
      <c r="O90" s="13">
        <f t="shared" si="106"/>
        <v>0</v>
      </c>
      <c r="P90" s="12"/>
      <c r="Q90" s="13">
        <f t="shared" si="107"/>
        <v>0</v>
      </c>
      <c r="R90" s="12"/>
      <c r="S90" s="13">
        <f t="shared" si="108"/>
        <v>0</v>
      </c>
      <c r="T90" s="12"/>
      <c r="U90" s="13">
        <f t="shared" si="109"/>
        <v>0</v>
      </c>
      <c r="V90" s="12"/>
      <c r="W90" s="13">
        <f t="shared" si="110"/>
        <v>0</v>
      </c>
      <c r="X90" s="12"/>
      <c r="Y90" s="13">
        <f t="shared" si="111"/>
        <v>0</v>
      </c>
      <c r="Z90" s="12"/>
      <c r="AA90" s="13">
        <f t="shared" si="112"/>
        <v>0</v>
      </c>
      <c r="AB90" s="12"/>
      <c r="AC90" s="13">
        <f t="shared" si="113"/>
        <v>0</v>
      </c>
      <c r="AD90" s="12"/>
      <c r="AE90" s="13">
        <f t="shared" si="114"/>
        <v>0</v>
      </c>
      <c r="AF90" s="14">
        <f t="shared" si="100"/>
        <v>0</v>
      </c>
      <c r="AG90" s="15">
        <f t="shared" si="115"/>
        <v>0</v>
      </c>
      <c r="AH90" s="16"/>
      <c r="AI90" s="13">
        <f t="shared" si="116"/>
        <v>0</v>
      </c>
      <c r="AJ90" s="17"/>
      <c r="AK90" s="13">
        <f t="shared" si="117"/>
        <v>0</v>
      </c>
      <c r="AL90" s="17"/>
      <c r="AM90" s="13">
        <f t="shared" si="118"/>
        <v>0</v>
      </c>
      <c r="AN90" s="18"/>
      <c r="AO90" s="13">
        <f t="shared" si="119"/>
        <v>0</v>
      </c>
      <c r="AP90" s="17"/>
      <c r="AQ90" s="13">
        <f t="shared" si="120"/>
        <v>0</v>
      </c>
      <c r="AR90" s="17"/>
      <c r="AS90" s="13">
        <f t="shared" si="121"/>
        <v>0</v>
      </c>
      <c r="AT90" s="19"/>
      <c r="AU90" s="13">
        <f t="shared" si="122"/>
        <v>0</v>
      </c>
      <c r="AV90" s="17"/>
      <c r="AW90" s="13">
        <f t="shared" si="123"/>
        <v>0</v>
      </c>
      <c r="AX90" s="17"/>
      <c r="AY90" s="13">
        <f t="shared" si="124"/>
        <v>0</v>
      </c>
      <c r="AZ90" s="19"/>
      <c r="BA90" s="13">
        <f t="shared" si="125"/>
        <v>0</v>
      </c>
      <c r="BB90" s="20"/>
      <c r="BC90" s="13">
        <f t="shared" si="126"/>
        <v>0</v>
      </c>
      <c r="BD90" s="20"/>
      <c r="BE90" s="13">
        <f t="shared" si="127"/>
        <v>0</v>
      </c>
      <c r="BF90" s="14">
        <f t="shared" si="101"/>
        <v>0</v>
      </c>
      <c r="BG90" s="15">
        <f t="shared" si="128"/>
        <v>0</v>
      </c>
      <c r="BH90" s="18"/>
      <c r="BI90" s="57">
        <f t="shared" si="129"/>
        <v>0</v>
      </c>
      <c r="BJ90" s="18"/>
      <c r="BK90" s="57">
        <f t="shared" si="130"/>
        <v>0</v>
      </c>
      <c r="BL90" s="18"/>
      <c r="BM90" s="57">
        <f t="shared" si="131"/>
        <v>0</v>
      </c>
      <c r="BN90" s="18"/>
      <c r="BO90" s="57">
        <f t="shared" si="132"/>
        <v>0</v>
      </c>
      <c r="BP90" s="18"/>
      <c r="BQ90" s="57">
        <f t="shared" si="133"/>
        <v>0</v>
      </c>
      <c r="BR90" s="18"/>
      <c r="BS90" s="57">
        <f t="shared" si="134"/>
        <v>0</v>
      </c>
      <c r="BT90" s="18"/>
      <c r="BU90" s="57">
        <f t="shared" si="135"/>
        <v>0</v>
      </c>
      <c r="BV90" s="18"/>
      <c r="BW90" s="57">
        <f t="shared" si="136"/>
        <v>0</v>
      </c>
      <c r="BX90" s="18"/>
      <c r="BY90" s="57">
        <f t="shared" si="137"/>
        <v>0</v>
      </c>
      <c r="BZ90" s="18"/>
      <c r="CA90" s="57">
        <f t="shared" si="138"/>
        <v>0</v>
      </c>
      <c r="CB90" s="18"/>
      <c r="CC90" s="57">
        <f t="shared" si="139"/>
        <v>0</v>
      </c>
      <c r="CD90" s="18"/>
      <c r="CE90" s="57">
        <f t="shared" si="140"/>
        <v>0</v>
      </c>
      <c r="CF90" s="14">
        <f t="shared" si="102"/>
        <v>0</v>
      </c>
      <c r="CG90" s="15">
        <f t="shared" si="141"/>
        <v>0</v>
      </c>
      <c r="CH90" s="12"/>
      <c r="CI90" s="13">
        <f t="shared" si="75"/>
        <v>0</v>
      </c>
      <c r="CJ90" s="12"/>
      <c r="CK90" s="13">
        <f t="shared" si="76"/>
        <v>0</v>
      </c>
      <c r="CL90" s="12"/>
      <c r="CM90" s="13">
        <f t="shared" si="77"/>
        <v>0</v>
      </c>
      <c r="CN90" s="12"/>
      <c r="CO90" s="13">
        <f t="shared" si="78"/>
        <v>0</v>
      </c>
      <c r="CP90" s="12"/>
      <c r="CQ90" s="13">
        <f t="shared" si="79"/>
        <v>0</v>
      </c>
      <c r="CR90" s="12"/>
      <c r="CS90" s="13">
        <f t="shared" si="80"/>
        <v>0</v>
      </c>
      <c r="CT90" s="12"/>
      <c r="CU90" s="13">
        <f t="shared" si="81"/>
        <v>0</v>
      </c>
      <c r="CV90" s="12"/>
      <c r="CW90" s="13">
        <f t="shared" si="82"/>
        <v>0</v>
      </c>
      <c r="CX90" s="12"/>
      <c r="CY90" s="13">
        <f t="shared" si="83"/>
        <v>0</v>
      </c>
      <c r="CZ90" s="12"/>
      <c r="DA90" s="13">
        <f t="shared" si="84"/>
        <v>0</v>
      </c>
      <c r="DB90" s="12"/>
      <c r="DC90" s="13">
        <f t="shared" si="85"/>
        <v>0</v>
      </c>
      <c r="DD90" s="12"/>
      <c r="DE90" s="13">
        <f t="shared" si="86"/>
        <v>0</v>
      </c>
      <c r="DF90" s="64">
        <f t="shared" si="87"/>
        <v>0</v>
      </c>
      <c r="DG90" s="15">
        <f t="shared" si="88"/>
        <v>0</v>
      </c>
      <c r="DH90" s="12"/>
      <c r="DI90" s="13">
        <f t="shared" si="89"/>
        <v>0</v>
      </c>
      <c r="DJ90" s="12"/>
      <c r="DK90" s="13">
        <f t="shared" si="90"/>
        <v>0</v>
      </c>
      <c r="DL90" s="12"/>
      <c r="DM90" s="13">
        <f t="shared" si="72"/>
        <v>0</v>
      </c>
      <c r="DN90" s="12"/>
      <c r="DO90" s="13">
        <f t="shared" si="74"/>
        <v>0</v>
      </c>
      <c r="DP90" s="12"/>
      <c r="DQ90" s="13">
        <f t="shared" si="91"/>
        <v>0</v>
      </c>
      <c r="DR90" s="12"/>
      <c r="DS90" s="13">
        <f t="shared" si="92"/>
        <v>0</v>
      </c>
      <c r="DT90" s="12"/>
      <c r="DU90" s="13">
        <f t="shared" si="73"/>
        <v>0</v>
      </c>
      <c r="DV90" s="12"/>
      <c r="DW90" s="13">
        <f t="shared" si="93"/>
        <v>0</v>
      </c>
      <c r="DX90" s="12"/>
      <c r="DY90" s="13">
        <f t="shared" si="94"/>
        <v>0</v>
      </c>
      <c r="DZ90" s="12"/>
      <c r="EA90" s="13">
        <f t="shared" si="95"/>
        <v>0</v>
      </c>
      <c r="EB90" s="12"/>
      <c r="EC90" s="13">
        <f t="shared" si="99"/>
        <v>0</v>
      </c>
      <c r="ED90" s="12"/>
      <c r="EE90" s="13">
        <f t="shared" si="96"/>
        <v>0</v>
      </c>
      <c r="EF90" s="24">
        <f t="shared" si="97"/>
        <v>0</v>
      </c>
      <c r="EG90" s="13">
        <f t="shared" si="98"/>
        <v>0</v>
      </c>
    </row>
    <row r="91" spans="1:137" ht="18" customHeight="1" x14ac:dyDescent="0.5">
      <c r="A91" s="10"/>
      <c r="B91" s="11"/>
      <c r="C91" s="11"/>
      <c r="D91" s="10"/>
      <c r="E91" s="10"/>
      <c r="F91" s="10"/>
      <c r="G91" s="10"/>
      <c r="H91" s="12"/>
      <c r="I91" s="13">
        <f t="shared" si="103"/>
        <v>0</v>
      </c>
      <c r="J91" s="12"/>
      <c r="K91" s="13">
        <f t="shared" si="104"/>
        <v>0</v>
      </c>
      <c r="L91" s="12"/>
      <c r="M91" s="13">
        <f t="shared" si="105"/>
        <v>0</v>
      </c>
      <c r="N91" s="12"/>
      <c r="O91" s="13">
        <f t="shared" si="106"/>
        <v>0</v>
      </c>
      <c r="P91" s="12"/>
      <c r="Q91" s="13">
        <f t="shared" si="107"/>
        <v>0</v>
      </c>
      <c r="R91" s="12"/>
      <c r="S91" s="13">
        <f t="shared" si="108"/>
        <v>0</v>
      </c>
      <c r="T91" s="12"/>
      <c r="U91" s="13">
        <f t="shared" si="109"/>
        <v>0</v>
      </c>
      <c r="V91" s="12"/>
      <c r="W91" s="13">
        <f t="shared" si="110"/>
        <v>0</v>
      </c>
      <c r="X91" s="12"/>
      <c r="Y91" s="13">
        <f t="shared" si="111"/>
        <v>0</v>
      </c>
      <c r="Z91" s="12"/>
      <c r="AA91" s="13">
        <f t="shared" si="112"/>
        <v>0</v>
      </c>
      <c r="AB91" s="12"/>
      <c r="AC91" s="13">
        <f t="shared" si="113"/>
        <v>0</v>
      </c>
      <c r="AD91" s="12"/>
      <c r="AE91" s="13">
        <f t="shared" si="114"/>
        <v>0</v>
      </c>
      <c r="AF91" s="14">
        <f t="shared" si="100"/>
        <v>0</v>
      </c>
      <c r="AG91" s="15">
        <f t="shared" si="115"/>
        <v>0</v>
      </c>
      <c r="AH91" s="16"/>
      <c r="AI91" s="13">
        <f t="shared" si="116"/>
        <v>0</v>
      </c>
      <c r="AJ91" s="17"/>
      <c r="AK91" s="13">
        <f t="shared" si="117"/>
        <v>0</v>
      </c>
      <c r="AL91" s="17"/>
      <c r="AM91" s="13">
        <f t="shared" si="118"/>
        <v>0</v>
      </c>
      <c r="AN91" s="18"/>
      <c r="AO91" s="13">
        <f t="shared" si="119"/>
        <v>0</v>
      </c>
      <c r="AP91" s="17"/>
      <c r="AQ91" s="13">
        <f t="shared" si="120"/>
        <v>0</v>
      </c>
      <c r="AR91" s="17"/>
      <c r="AS91" s="13">
        <f t="shared" si="121"/>
        <v>0</v>
      </c>
      <c r="AT91" s="19"/>
      <c r="AU91" s="13">
        <f t="shared" si="122"/>
        <v>0</v>
      </c>
      <c r="AV91" s="17"/>
      <c r="AW91" s="13">
        <f t="shared" si="123"/>
        <v>0</v>
      </c>
      <c r="AX91" s="17"/>
      <c r="AY91" s="13">
        <f t="shared" si="124"/>
        <v>0</v>
      </c>
      <c r="AZ91" s="19"/>
      <c r="BA91" s="13">
        <f t="shared" si="125"/>
        <v>0</v>
      </c>
      <c r="BB91" s="20"/>
      <c r="BC91" s="13">
        <f t="shared" si="126"/>
        <v>0</v>
      </c>
      <c r="BD91" s="20"/>
      <c r="BE91" s="13">
        <f t="shared" si="127"/>
        <v>0</v>
      </c>
      <c r="BF91" s="14">
        <f t="shared" si="101"/>
        <v>0</v>
      </c>
      <c r="BG91" s="15">
        <f t="shared" si="128"/>
        <v>0</v>
      </c>
      <c r="BH91" s="18"/>
      <c r="BI91" s="57">
        <f t="shared" si="129"/>
        <v>0</v>
      </c>
      <c r="BJ91" s="18"/>
      <c r="BK91" s="57">
        <f t="shared" si="130"/>
        <v>0</v>
      </c>
      <c r="BL91" s="18"/>
      <c r="BM91" s="57">
        <f t="shared" si="131"/>
        <v>0</v>
      </c>
      <c r="BN91" s="18"/>
      <c r="BO91" s="57">
        <f t="shared" si="132"/>
        <v>0</v>
      </c>
      <c r="BP91" s="18"/>
      <c r="BQ91" s="57">
        <f t="shared" si="133"/>
        <v>0</v>
      </c>
      <c r="BR91" s="18"/>
      <c r="BS91" s="57">
        <f t="shared" si="134"/>
        <v>0</v>
      </c>
      <c r="BT91" s="18"/>
      <c r="BU91" s="57">
        <f t="shared" si="135"/>
        <v>0</v>
      </c>
      <c r="BV91" s="18"/>
      <c r="BW91" s="57">
        <f t="shared" si="136"/>
        <v>0</v>
      </c>
      <c r="BX91" s="18"/>
      <c r="BY91" s="57">
        <f t="shared" si="137"/>
        <v>0</v>
      </c>
      <c r="BZ91" s="18"/>
      <c r="CA91" s="57">
        <f t="shared" si="138"/>
        <v>0</v>
      </c>
      <c r="CB91" s="18"/>
      <c r="CC91" s="57">
        <f t="shared" si="139"/>
        <v>0</v>
      </c>
      <c r="CD91" s="18"/>
      <c r="CE91" s="57">
        <f t="shared" si="140"/>
        <v>0</v>
      </c>
      <c r="CF91" s="14">
        <f t="shared" si="102"/>
        <v>0</v>
      </c>
      <c r="CG91" s="15">
        <f t="shared" si="141"/>
        <v>0</v>
      </c>
      <c r="CH91" s="12"/>
      <c r="CI91" s="13">
        <f t="shared" si="75"/>
        <v>0</v>
      </c>
      <c r="CJ91" s="12"/>
      <c r="CK91" s="13">
        <f t="shared" si="76"/>
        <v>0</v>
      </c>
      <c r="CL91" s="12"/>
      <c r="CM91" s="13">
        <f t="shared" si="77"/>
        <v>0</v>
      </c>
      <c r="CN91" s="12"/>
      <c r="CO91" s="13">
        <f t="shared" si="78"/>
        <v>0</v>
      </c>
      <c r="CP91" s="12"/>
      <c r="CQ91" s="13">
        <f t="shared" si="79"/>
        <v>0</v>
      </c>
      <c r="CR91" s="12"/>
      <c r="CS91" s="13">
        <f t="shared" si="80"/>
        <v>0</v>
      </c>
      <c r="CT91" s="12"/>
      <c r="CU91" s="13">
        <f t="shared" si="81"/>
        <v>0</v>
      </c>
      <c r="CV91" s="12"/>
      <c r="CW91" s="13">
        <f t="shared" si="82"/>
        <v>0</v>
      </c>
      <c r="CX91" s="12"/>
      <c r="CY91" s="13">
        <f t="shared" si="83"/>
        <v>0</v>
      </c>
      <c r="CZ91" s="12"/>
      <c r="DA91" s="13">
        <f t="shared" si="84"/>
        <v>0</v>
      </c>
      <c r="DB91" s="12"/>
      <c r="DC91" s="13">
        <f t="shared" si="85"/>
        <v>0</v>
      </c>
      <c r="DD91" s="12"/>
      <c r="DE91" s="13">
        <f t="shared" si="86"/>
        <v>0</v>
      </c>
      <c r="DF91" s="64">
        <f t="shared" si="87"/>
        <v>0</v>
      </c>
      <c r="DG91" s="15">
        <f t="shared" si="88"/>
        <v>0</v>
      </c>
      <c r="DH91" s="12"/>
      <c r="DI91" s="13">
        <f t="shared" si="89"/>
        <v>0</v>
      </c>
      <c r="DJ91" s="12"/>
      <c r="DK91" s="13">
        <f t="shared" si="90"/>
        <v>0</v>
      </c>
      <c r="DL91" s="12"/>
      <c r="DM91" s="13">
        <f t="shared" si="72"/>
        <v>0</v>
      </c>
      <c r="DN91" s="12"/>
      <c r="DO91" s="13">
        <f t="shared" si="74"/>
        <v>0</v>
      </c>
      <c r="DP91" s="12"/>
      <c r="DQ91" s="13">
        <f t="shared" si="91"/>
        <v>0</v>
      </c>
      <c r="DR91" s="12"/>
      <c r="DS91" s="13">
        <f t="shared" si="92"/>
        <v>0</v>
      </c>
      <c r="DT91" s="12"/>
      <c r="DU91" s="13">
        <f t="shared" si="73"/>
        <v>0</v>
      </c>
      <c r="DV91" s="12"/>
      <c r="DW91" s="13">
        <f t="shared" si="93"/>
        <v>0</v>
      </c>
      <c r="DX91" s="12"/>
      <c r="DY91" s="13">
        <f t="shared" si="94"/>
        <v>0</v>
      </c>
      <c r="DZ91" s="12"/>
      <c r="EA91" s="13">
        <f t="shared" si="95"/>
        <v>0</v>
      </c>
      <c r="EB91" s="12"/>
      <c r="EC91" s="13">
        <f t="shared" si="99"/>
        <v>0</v>
      </c>
      <c r="ED91" s="12"/>
      <c r="EE91" s="13">
        <f t="shared" si="96"/>
        <v>0</v>
      </c>
      <c r="EF91" s="24">
        <f t="shared" si="97"/>
        <v>0</v>
      </c>
      <c r="EG91" s="13">
        <f t="shared" si="98"/>
        <v>0</v>
      </c>
    </row>
    <row r="92" spans="1:137" ht="18" customHeight="1" x14ac:dyDescent="0.5">
      <c r="A92" s="10">
        <v>74</v>
      </c>
      <c r="B92" s="11" t="s">
        <v>79</v>
      </c>
      <c r="C92" s="11" t="s">
        <v>17</v>
      </c>
      <c r="D92" s="10">
        <f>RANK(DF92,$DF$4:$DF$147)</f>
        <v>21</v>
      </c>
      <c r="E92" s="10">
        <v>1</v>
      </c>
      <c r="F92" s="10" t="s">
        <v>23</v>
      </c>
      <c r="G92" s="10"/>
      <c r="H92" s="12"/>
      <c r="I92" s="13">
        <f t="shared" si="103"/>
        <v>0</v>
      </c>
      <c r="J92" s="12"/>
      <c r="K92" s="13">
        <f t="shared" si="104"/>
        <v>0</v>
      </c>
      <c r="L92" s="12"/>
      <c r="M92" s="13">
        <f t="shared" si="105"/>
        <v>0</v>
      </c>
      <c r="N92" s="12"/>
      <c r="O92" s="13">
        <f t="shared" si="106"/>
        <v>0</v>
      </c>
      <c r="P92" s="12"/>
      <c r="Q92" s="13">
        <f t="shared" si="107"/>
        <v>0</v>
      </c>
      <c r="R92" s="12"/>
      <c r="S92" s="13">
        <f t="shared" si="108"/>
        <v>0</v>
      </c>
      <c r="T92" s="12"/>
      <c r="U92" s="13">
        <f t="shared" si="109"/>
        <v>0</v>
      </c>
      <c r="V92" s="12"/>
      <c r="W92" s="13">
        <f t="shared" si="110"/>
        <v>0</v>
      </c>
      <c r="X92" s="12"/>
      <c r="Y92" s="13">
        <f t="shared" si="111"/>
        <v>0</v>
      </c>
      <c r="Z92" s="12"/>
      <c r="AA92" s="13">
        <f t="shared" si="112"/>
        <v>0</v>
      </c>
      <c r="AB92" s="12"/>
      <c r="AC92" s="13">
        <f t="shared" si="113"/>
        <v>0</v>
      </c>
      <c r="AD92" s="12"/>
      <c r="AE92" s="13">
        <f t="shared" si="114"/>
        <v>0</v>
      </c>
      <c r="AF92" s="14">
        <f t="shared" si="100"/>
        <v>0</v>
      </c>
      <c r="AG92" s="15">
        <f t="shared" si="115"/>
        <v>0</v>
      </c>
      <c r="AH92" s="16"/>
      <c r="AI92" s="13">
        <f t="shared" si="116"/>
        <v>0</v>
      </c>
      <c r="AJ92" s="17"/>
      <c r="AK92" s="13">
        <f t="shared" si="117"/>
        <v>0</v>
      </c>
      <c r="AL92" s="17"/>
      <c r="AM92" s="13">
        <f t="shared" si="118"/>
        <v>0</v>
      </c>
      <c r="AN92" s="18"/>
      <c r="AO92" s="13">
        <f t="shared" si="119"/>
        <v>0</v>
      </c>
      <c r="AP92" s="17"/>
      <c r="AQ92" s="13">
        <f t="shared" si="120"/>
        <v>0</v>
      </c>
      <c r="AR92" s="17"/>
      <c r="AS92" s="13">
        <f t="shared" si="121"/>
        <v>0</v>
      </c>
      <c r="AT92" s="19"/>
      <c r="AU92" s="13">
        <f t="shared" si="122"/>
        <v>0</v>
      </c>
      <c r="AV92" s="17"/>
      <c r="AW92" s="13">
        <f t="shared" si="123"/>
        <v>0</v>
      </c>
      <c r="AX92" s="17"/>
      <c r="AY92" s="13">
        <f t="shared" si="124"/>
        <v>0</v>
      </c>
      <c r="AZ92" s="19"/>
      <c r="BA92" s="13">
        <f t="shared" si="125"/>
        <v>0</v>
      </c>
      <c r="BB92" s="20"/>
      <c r="BC92" s="13">
        <f t="shared" si="126"/>
        <v>0</v>
      </c>
      <c r="BD92" s="20"/>
      <c r="BE92" s="13">
        <f t="shared" si="127"/>
        <v>0</v>
      </c>
      <c r="BF92" s="14">
        <f t="shared" si="101"/>
        <v>0</v>
      </c>
      <c r="BG92" s="15">
        <f t="shared" si="128"/>
        <v>0</v>
      </c>
      <c r="BH92" s="18"/>
      <c r="BI92" s="57">
        <f t="shared" si="129"/>
        <v>0</v>
      </c>
      <c r="BJ92" s="18"/>
      <c r="BK92" s="57">
        <f t="shared" si="130"/>
        <v>0</v>
      </c>
      <c r="BL92" s="18"/>
      <c r="BM92" s="57">
        <f t="shared" si="131"/>
        <v>0</v>
      </c>
      <c r="BN92" s="18"/>
      <c r="BO92" s="57">
        <f t="shared" si="132"/>
        <v>0</v>
      </c>
      <c r="BP92" s="18"/>
      <c r="BQ92" s="57">
        <f t="shared" si="133"/>
        <v>0</v>
      </c>
      <c r="BR92" s="18"/>
      <c r="BS92" s="57">
        <f t="shared" si="134"/>
        <v>0</v>
      </c>
      <c r="BT92" s="18"/>
      <c r="BU92" s="57">
        <f t="shared" si="135"/>
        <v>0</v>
      </c>
      <c r="BV92" s="18"/>
      <c r="BW92" s="57">
        <f t="shared" si="136"/>
        <v>0</v>
      </c>
      <c r="BX92" s="18"/>
      <c r="BY92" s="57">
        <f t="shared" si="137"/>
        <v>0</v>
      </c>
      <c r="BZ92" s="18"/>
      <c r="CA92" s="57">
        <f t="shared" si="138"/>
        <v>0</v>
      </c>
      <c r="CB92" s="18"/>
      <c r="CC92" s="57">
        <f t="shared" si="139"/>
        <v>0</v>
      </c>
      <c r="CD92" s="18"/>
      <c r="CE92" s="57">
        <f t="shared" si="140"/>
        <v>0</v>
      </c>
      <c r="CF92" s="14">
        <f t="shared" si="102"/>
        <v>0</v>
      </c>
      <c r="CG92" s="15">
        <f t="shared" si="141"/>
        <v>0</v>
      </c>
      <c r="CH92" s="12"/>
      <c r="CI92" s="13">
        <f t="shared" si="75"/>
        <v>0</v>
      </c>
      <c r="CJ92" s="12"/>
      <c r="CK92" s="13">
        <f t="shared" si="76"/>
        <v>0</v>
      </c>
      <c r="CL92" s="12"/>
      <c r="CM92" s="13">
        <f t="shared" si="77"/>
        <v>0</v>
      </c>
      <c r="CN92" s="12"/>
      <c r="CO92" s="13">
        <f t="shared" si="78"/>
        <v>0</v>
      </c>
      <c r="CP92" s="12"/>
      <c r="CQ92" s="13">
        <f t="shared" si="79"/>
        <v>0</v>
      </c>
      <c r="CR92" s="12"/>
      <c r="CS92" s="13">
        <f t="shared" si="80"/>
        <v>0</v>
      </c>
      <c r="CT92" s="12"/>
      <c r="CU92" s="13">
        <f t="shared" si="81"/>
        <v>0</v>
      </c>
      <c r="CV92" s="12"/>
      <c r="CW92" s="13">
        <f t="shared" si="82"/>
        <v>0</v>
      </c>
      <c r="CX92" s="12"/>
      <c r="CY92" s="13">
        <f t="shared" si="83"/>
        <v>0</v>
      </c>
      <c r="CZ92" s="12"/>
      <c r="DA92" s="13">
        <f t="shared" si="84"/>
        <v>0</v>
      </c>
      <c r="DB92" s="12"/>
      <c r="DC92" s="13">
        <f t="shared" si="85"/>
        <v>0</v>
      </c>
      <c r="DD92" s="12"/>
      <c r="DE92" s="13">
        <f t="shared" si="86"/>
        <v>0</v>
      </c>
      <c r="DF92" s="64">
        <f t="shared" si="87"/>
        <v>0</v>
      </c>
      <c r="DG92" s="15">
        <f t="shared" si="88"/>
        <v>0</v>
      </c>
      <c r="DH92" s="12"/>
      <c r="DI92" s="13">
        <f t="shared" si="89"/>
        <v>0</v>
      </c>
      <c r="DJ92" s="12"/>
      <c r="DK92" s="13">
        <f t="shared" si="90"/>
        <v>0</v>
      </c>
      <c r="DL92" s="12"/>
      <c r="DM92" s="13">
        <f t="shared" si="72"/>
        <v>0</v>
      </c>
      <c r="DN92" s="12"/>
      <c r="DO92" s="13">
        <f t="shared" si="74"/>
        <v>0</v>
      </c>
      <c r="DP92" s="12"/>
      <c r="DQ92" s="13">
        <f t="shared" si="91"/>
        <v>0</v>
      </c>
      <c r="DR92" s="12"/>
      <c r="DS92" s="13">
        <f t="shared" si="92"/>
        <v>0</v>
      </c>
      <c r="DT92" s="12"/>
      <c r="DU92" s="13">
        <f t="shared" si="73"/>
        <v>0</v>
      </c>
      <c r="DV92" s="12"/>
      <c r="DW92" s="13">
        <f t="shared" si="93"/>
        <v>0</v>
      </c>
      <c r="DX92" s="12"/>
      <c r="DY92" s="13">
        <f t="shared" si="94"/>
        <v>0</v>
      </c>
      <c r="DZ92" s="12"/>
      <c r="EA92" s="13">
        <f t="shared" si="95"/>
        <v>0</v>
      </c>
      <c r="EB92" s="12"/>
      <c r="EC92" s="13">
        <f t="shared" si="99"/>
        <v>0</v>
      </c>
      <c r="ED92" s="12"/>
      <c r="EE92" s="13">
        <f t="shared" si="96"/>
        <v>0</v>
      </c>
      <c r="EF92" s="24">
        <f t="shared" si="97"/>
        <v>0</v>
      </c>
      <c r="EG92" s="13">
        <f t="shared" si="98"/>
        <v>0</v>
      </c>
    </row>
    <row r="93" spans="1:137" ht="18" customHeight="1" x14ac:dyDescent="0.5">
      <c r="A93" s="10">
        <v>75</v>
      </c>
      <c r="B93" s="11" t="s">
        <v>79</v>
      </c>
      <c r="C93" s="11" t="s">
        <v>17</v>
      </c>
      <c r="D93" s="10">
        <f>RANK(DF93,$DF$4:$DF$147)</f>
        <v>21</v>
      </c>
      <c r="E93" s="10">
        <v>1</v>
      </c>
      <c r="F93" s="10" t="s">
        <v>15</v>
      </c>
      <c r="G93" s="10"/>
      <c r="H93" s="12"/>
      <c r="I93" s="13">
        <f t="shared" si="103"/>
        <v>0</v>
      </c>
      <c r="J93" s="12"/>
      <c r="K93" s="13">
        <f t="shared" si="104"/>
        <v>0</v>
      </c>
      <c r="L93" s="12"/>
      <c r="M93" s="13">
        <f t="shared" si="105"/>
        <v>0</v>
      </c>
      <c r="N93" s="12"/>
      <c r="O93" s="13">
        <f t="shared" si="106"/>
        <v>0</v>
      </c>
      <c r="P93" s="12"/>
      <c r="Q93" s="13">
        <f t="shared" si="107"/>
        <v>0</v>
      </c>
      <c r="R93" s="12"/>
      <c r="S93" s="13">
        <f t="shared" si="108"/>
        <v>0</v>
      </c>
      <c r="T93" s="12"/>
      <c r="U93" s="13">
        <f t="shared" si="109"/>
        <v>0</v>
      </c>
      <c r="V93" s="12"/>
      <c r="W93" s="13">
        <f t="shared" si="110"/>
        <v>0</v>
      </c>
      <c r="X93" s="12"/>
      <c r="Y93" s="13">
        <f t="shared" si="111"/>
        <v>0</v>
      </c>
      <c r="Z93" s="12"/>
      <c r="AA93" s="13">
        <f t="shared" si="112"/>
        <v>0</v>
      </c>
      <c r="AB93" s="12"/>
      <c r="AC93" s="13">
        <f t="shared" si="113"/>
        <v>0</v>
      </c>
      <c r="AD93" s="12"/>
      <c r="AE93" s="13">
        <f t="shared" si="114"/>
        <v>0</v>
      </c>
      <c r="AF93" s="14">
        <f t="shared" si="100"/>
        <v>0</v>
      </c>
      <c r="AG93" s="15">
        <f t="shared" si="115"/>
        <v>0</v>
      </c>
      <c r="AH93" s="16"/>
      <c r="AI93" s="13">
        <f t="shared" si="116"/>
        <v>0</v>
      </c>
      <c r="AJ93" s="17"/>
      <c r="AK93" s="13">
        <f t="shared" si="117"/>
        <v>0</v>
      </c>
      <c r="AL93" s="17"/>
      <c r="AM93" s="13">
        <f t="shared" si="118"/>
        <v>0</v>
      </c>
      <c r="AN93" s="18"/>
      <c r="AO93" s="13">
        <f t="shared" si="119"/>
        <v>0</v>
      </c>
      <c r="AP93" s="17"/>
      <c r="AQ93" s="13">
        <f t="shared" si="120"/>
        <v>0</v>
      </c>
      <c r="AR93" s="17"/>
      <c r="AS93" s="13">
        <f t="shared" si="121"/>
        <v>0</v>
      </c>
      <c r="AT93" s="19"/>
      <c r="AU93" s="13">
        <f t="shared" si="122"/>
        <v>0</v>
      </c>
      <c r="AV93" s="17"/>
      <c r="AW93" s="13">
        <f t="shared" si="123"/>
        <v>0</v>
      </c>
      <c r="AX93" s="17"/>
      <c r="AY93" s="13">
        <f t="shared" si="124"/>
        <v>0</v>
      </c>
      <c r="AZ93" s="19"/>
      <c r="BA93" s="13">
        <f t="shared" si="125"/>
        <v>0</v>
      </c>
      <c r="BB93" s="20"/>
      <c r="BC93" s="13">
        <f t="shared" si="126"/>
        <v>0</v>
      </c>
      <c r="BD93" s="20"/>
      <c r="BE93" s="13">
        <f t="shared" si="127"/>
        <v>0</v>
      </c>
      <c r="BF93" s="14">
        <f t="shared" si="101"/>
        <v>0</v>
      </c>
      <c r="BG93" s="15">
        <f t="shared" si="128"/>
        <v>0</v>
      </c>
      <c r="BH93" s="18"/>
      <c r="BI93" s="57">
        <f t="shared" si="129"/>
        <v>0</v>
      </c>
      <c r="BJ93" s="18"/>
      <c r="BK93" s="57">
        <f t="shared" si="130"/>
        <v>0</v>
      </c>
      <c r="BL93" s="18"/>
      <c r="BM93" s="57">
        <f t="shared" si="131"/>
        <v>0</v>
      </c>
      <c r="BN93" s="18"/>
      <c r="BO93" s="57">
        <f t="shared" si="132"/>
        <v>0</v>
      </c>
      <c r="BP93" s="18"/>
      <c r="BQ93" s="57">
        <f t="shared" si="133"/>
        <v>0</v>
      </c>
      <c r="BR93" s="18"/>
      <c r="BS93" s="57">
        <f t="shared" si="134"/>
        <v>0</v>
      </c>
      <c r="BT93" s="18"/>
      <c r="BU93" s="57">
        <f t="shared" si="135"/>
        <v>0</v>
      </c>
      <c r="BV93" s="18"/>
      <c r="BW93" s="57">
        <f t="shared" si="136"/>
        <v>0</v>
      </c>
      <c r="BX93" s="18"/>
      <c r="BY93" s="57">
        <f t="shared" si="137"/>
        <v>0</v>
      </c>
      <c r="BZ93" s="18"/>
      <c r="CA93" s="57">
        <f t="shared" si="138"/>
        <v>0</v>
      </c>
      <c r="CB93" s="18"/>
      <c r="CC93" s="57">
        <f t="shared" si="139"/>
        <v>0</v>
      </c>
      <c r="CD93" s="18"/>
      <c r="CE93" s="57">
        <f t="shared" si="140"/>
        <v>0</v>
      </c>
      <c r="CF93" s="14">
        <f t="shared" si="102"/>
        <v>0</v>
      </c>
      <c r="CG93" s="15">
        <f t="shared" si="141"/>
        <v>0</v>
      </c>
      <c r="CH93" s="12"/>
      <c r="CI93" s="13">
        <f t="shared" si="75"/>
        <v>0</v>
      </c>
      <c r="CJ93" s="12"/>
      <c r="CK93" s="13">
        <f t="shared" si="76"/>
        <v>0</v>
      </c>
      <c r="CL93" s="12"/>
      <c r="CM93" s="13">
        <f t="shared" si="77"/>
        <v>0</v>
      </c>
      <c r="CN93" s="12"/>
      <c r="CO93" s="13">
        <f t="shared" si="78"/>
        <v>0</v>
      </c>
      <c r="CP93" s="12"/>
      <c r="CQ93" s="13">
        <f t="shared" si="79"/>
        <v>0</v>
      </c>
      <c r="CR93" s="12"/>
      <c r="CS93" s="13">
        <f t="shared" si="80"/>
        <v>0</v>
      </c>
      <c r="CT93" s="12"/>
      <c r="CU93" s="13">
        <f t="shared" si="81"/>
        <v>0</v>
      </c>
      <c r="CV93" s="12"/>
      <c r="CW93" s="13">
        <f t="shared" si="82"/>
        <v>0</v>
      </c>
      <c r="CX93" s="12"/>
      <c r="CY93" s="13">
        <f t="shared" si="83"/>
        <v>0</v>
      </c>
      <c r="CZ93" s="12"/>
      <c r="DA93" s="13">
        <f t="shared" si="84"/>
        <v>0</v>
      </c>
      <c r="DB93" s="12"/>
      <c r="DC93" s="13">
        <f t="shared" si="85"/>
        <v>0</v>
      </c>
      <c r="DD93" s="12"/>
      <c r="DE93" s="13">
        <f t="shared" si="86"/>
        <v>0</v>
      </c>
      <c r="DF93" s="64">
        <f t="shared" si="87"/>
        <v>0</v>
      </c>
      <c r="DG93" s="15">
        <f t="shared" si="88"/>
        <v>0</v>
      </c>
      <c r="DH93" s="12"/>
      <c r="DI93" s="13">
        <f t="shared" si="89"/>
        <v>0</v>
      </c>
      <c r="DJ93" s="12"/>
      <c r="DK93" s="13">
        <f t="shared" si="90"/>
        <v>0</v>
      </c>
      <c r="DL93" s="12"/>
      <c r="DM93" s="13">
        <f t="shared" si="72"/>
        <v>0</v>
      </c>
      <c r="DN93" s="12"/>
      <c r="DO93" s="13">
        <f t="shared" si="74"/>
        <v>0</v>
      </c>
      <c r="DP93" s="12"/>
      <c r="DQ93" s="13">
        <f t="shared" si="91"/>
        <v>0</v>
      </c>
      <c r="DR93" s="12"/>
      <c r="DS93" s="13">
        <f t="shared" si="92"/>
        <v>0</v>
      </c>
      <c r="DT93" s="12"/>
      <c r="DU93" s="13">
        <f t="shared" si="73"/>
        <v>0</v>
      </c>
      <c r="DV93" s="12"/>
      <c r="DW93" s="13">
        <f t="shared" si="93"/>
        <v>0</v>
      </c>
      <c r="DX93" s="12"/>
      <c r="DY93" s="13">
        <f t="shared" si="94"/>
        <v>0</v>
      </c>
      <c r="DZ93" s="12"/>
      <c r="EA93" s="13">
        <f t="shared" si="95"/>
        <v>0</v>
      </c>
      <c r="EB93" s="12"/>
      <c r="EC93" s="13">
        <f t="shared" si="99"/>
        <v>0</v>
      </c>
      <c r="ED93" s="12"/>
      <c r="EE93" s="13">
        <f t="shared" si="96"/>
        <v>0</v>
      </c>
      <c r="EF93" s="24">
        <f t="shared" si="97"/>
        <v>0</v>
      </c>
      <c r="EG93" s="13">
        <f t="shared" si="98"/>
        <v>0</v>
      </c>
    </row>
    <row r="94" spans="1:137" ht="18" customHeight="1" x14ac:dyDescent="0.5">
      <c r="A94" s="10">
        <v>76</v>
      </c>
      <c r="B94" s="11" t="s">
        <v>80</v>
      </c>
      <c r="C94" s="11" t="s">
        <v>17</v>
      </c>
      <c r="D94" s="10">
        <f>RANK(DF94,$DF$4:$DF$147)</f>
        <v>21</v>
      </c>
      <c r="E94" s="10">
        <v>0.6</v>
      </c>
      <c r="F94" s="10" t="s">
        <v>23</v>
      </c>
      <c r="G94" s="10"/>
      <c r="H94" s="12"/>
      <c r="I94" s="13">
        <f t="shared" si="103"/>
        <v>0</v>
      </c>
      <c r="J94" s="12"/>
      <c r="K94" s="13">
        <f t="shared" si="104"/>
        <v>0</v>
      </c>
      <c r="L94" s="12"/>
      <c r="M94" s="13">
        <f t="shared" si="105"/>
        <v>0</v>
      </c>
      <c r="N94" s="12"/>
      <c r="O94" s="13">
        <f t="shared" si="106"/>
        <v>0</v>
      </c>
      <c r="P94" s="12"/>
      <c r="Q94" s="13">
        <f t="shared" si="107"/>
        <v>0</v>
      </c>
      <c r="R94" s="12"/>
      <c r="S94" s="13">
        <f t="shared" si="108"/>
        <v>0</v>
      </c>
      <c r="T94" s="12"/>
      <c r="U94" s="13">
        <f t="shared" si="109"/>
        <v>0</v>
      </c>
      <c r="V94" s="12"/>
      <c r="W94" s="13">
        <f t="shared" si="110"/>
        <v>0</v>
      </c>
      <c r="X94" s="12"/>
      <c r="Y94" s="13">
        <f t="shared" si="111"/>
        <v>0</v>
      </c>
      <c r="Z94" s="12"/>
      <c r="AA94" s="13">
        <f t="shared" si="112"/>
        <v>0</v>
      </c>
      <c r="AB94" s="12"/>
      <c r="AC94" s="13">
        <f t="shared" si="113"/>
        <v>0</v>
      </c>
      <c r="AD94" s="12"/>
      <c r="AE94" s="13">
        <f t="shared" si="114"/>
        <v>0</v>
      </c>
      <c r="AF94" s="14">
        <f t="shared" si="100"/>
        <v>0</v>
      </c>
      <c r="AG94" s="15">
        <f t="shared" si="115"/>
        <v>0</v>
      </c>
      <c r="AH94" s="16"/>
      <c r="AI94" s="13">
        <f t="shared" si="116"/>
        <v>0</v>
      </c>
      <c r="AJ94" s="17"/>
      <c r="AK94" s="13">
        <f t="shared" si="117"/>
        <v>0</v>
      </c>
      <c r="AL94" s="17"/>
      <c r="AM94" s="13">
        <f t="shared" si="118"/>
        <v>0</v>
      </c>
      <c r="AN94" s="18"/>
      <c r="AO94" s="13">
        <f t="shared" si="119"/>
        <v>0</v>
      </c>
      <c r="AP94" s="17"/>
      <c r="AQ94" s="13">
        <f t="shared" si="120"/>
        <v>0</v>
      </c>
      <c r="AR94" s="17"/>
      <c r="AS94" s="13">
        <f t="shared" si="121"/>
        <v>0</v>
      </c>
      <c r="AT94" s="19"/>
      <c r="AU94" s="13">
        <f t="shared" si="122"/>
        <v>0</v>
      </c>
      <c r="AV94" s="17"/>
      <c r="AW94" s="13">
        <f t="shared" si="123"/>
        <v>0</v>
      </c>
      <c r="AX94" s="17"/>
      <c r="AY94" s="13">
        <f t="shared" si="124"/>
        <v>0</v>
      </c>
      <c r="AZ94" s="19"/>
      <c r="BA94" s="13">
        <f t="shared" si="125"/>
        <v>0</v>
      </c>
      <c r="BB94" s="20"/>
      <c r="BC94" s="13">
        <f t="shared" si="126"/>
        <v>0</v>
      </c>
      <c r="BD94" s="20"/>
      <c r="BE94" s="13">
        <f t="shared" si="127"/>
        <v>0</v>
      </c>
      <c r="BF94" s="14">
        <f t="shared" si="101"/>
        <v>0</v>
      </c>
      <c r="BG94" s="15">
        <f t="shared" si="128"/>
        <v>0</v>
      </c>
      <c r="BH94" s="18"/>
      <c r="BI94" s="57">
        <f t="shared" si="129"/>
        <v>0</v>
      </c>
      <c r="BJ94" s="18"/>
      <c r="BK94" s="57">
        <f t="shared" si="130"/>
        <v>0</v>
      </c>
      <c r="BL94" s="18"/>
      <c r="BM94" s="57">
        <f t="shared" si="131"/>
        <v>0</v>
      </c>
      <c r="BN94" s="18"/>
      <c r="BO94" s="57">
        <f t="shared" si="132"/>
        <v>0</v>
      </c>
      <c r="BP94" s="18"/>
      <c r="BQ94" s="57">
        <f t="shared" si="133"/>
        <v>0</v>
      </c>
      <c r="BR94" s="18"/>
      <c r="BS94" s="57">
        <f t="shared" si="134"/>
        <v>0</v>
      </c>
      <c r="BT94" s="18"/>
      <c r="BU94" s="57">
        <f t="shared" si="135"/>
        <v>0</v>
      </c>
      <c r="BV94" s="18"/>
      <c r="BW94" s="57">
        <f t="shared" si="136"/>
        <v>0</v>
      </c>
      <c r="BX94" s="18"/>
      <c r="BY94" s="57">
        <f t="shared" si="137"/>
        <v>0</v>
      </c>
      <c r="BZ94" s="18"/>
      <c r="CA94" s="57">
        <f t="shared" si="138"/>
        <v>0</v>
      </c>
      <c r="CB94" s="18"/>
      <c r="CC94" s="57">
        <f t="shared" si="139"/>
        <v>0</v>
      </c>
      <c r="CD94" s="18"/>
      <c r="CE94" s="57">
        <f t="shared" si="140"/>
        <v>0</v>
      </c>
      <c r="CF94" s="14">
        <f t="shared" si="102"/>
        <v>0</v>
      </c>
      <c r="CG94" s="15">
        <f t="shared" si="141"/>
        <v>0</v>
      </c>
      <c r="CH94" s="12"/>
      <c r="CI94" s="13">
        <f t="shared" si="75"/>
        <v>0</v>
      </c>
      <c r="CJ94" s="12"/>
      <c r="CK94" s="13">
        <f t="shared" si="76"/>
        <v>0</v>
      </c>
      <c r="CL94" s="12"/>
      <c r="CM94" s="13">
        <f t="shared" si="77"/>
        <v>0</v>
      </c>
      <c r="CN94" s="12"/>
      <c r="CO94" s="13">
        <f t="shared" si="78"/>
        <v>0</v>
      </c>
      <c r="CP94" s="12"/>
      <c r="CQ94" s="13">
        <f t="shared" si="79"/>
        <v>0</v>
      </c>
      <c r="CR94" s="12"/>
      <c r="CS94" s="13">
        <f t="shared" si="80"/>
        <v>0</v>
      </c>
      <c r="CT94" s="12"/>
      <c r="CU94" s="13">
        <f t="shared" si="81"/>
        <v>0</v>
      </c>
      <c r="CV94" s="12"/>
      <c r="CW94" s="13">
        <f t="shared" si="82"/>
        <v>0</v>
      </c>
      <c r="CX94" s="12"/>
      <c r="CY94" s="13">
        <f t="shared" si="83"/>
        <v>0</v>
      </c>
      <c r="CZ94" s="12"/>
      <c r="DA94" s="13">
        <f t="shared" si="84"/>
        <v>0</v>
      </c>
      <c r="DB94" s="12"/>
      <c r="DC94" s="13">
        <f t="shared" si="85"/>
        <v>0</v>
      </c>
      <c r="DD94" s="12"/>
      <c r="DE94" s="13">
        <f t="shared" si="86"/>
        <v>0</v>
      </c>
      <c r="DF94" s="64">
        <f t="shared" si="87"/>
        <v>0</v>
      </c>
      <c r="DG94" s="15">
        <f t="shared" si="88"/>
        <v>0</v>
      </c>
      <c r="DH94" s="12"/>
      <c r="DI94" s="13">
        <f t="shared" si="89"/>
        <v>0</v>
      </c>
      <c r="DJ94" s="12"/>
      <c r="DK94" s="13">
        <f t="shared" si="90"/>
        <v>0</v>
      </c>
      <c r="DL94" s="12"/>
      <c r="DM94" s="13">
        <f t="shared" si="72"/>
        <v>0</v>
      </c>
      <c r="DN94" s="12"/>
      <c r="DO94" s="13">
        <f t="shared" si="74"/>
        <v>0</v>
      </c>
      <c r="DP94" s="12"/>
      <c r="DQ94" s="13">
        <f t="shared" si="91"/>
        <v>0</v>
      </c>
      <c r="DR94" s="12"/>
      <c r="DS94" s="13">
        <f t="shared" si="92"/>
        <v>0</v>
      </c>
      <c r="DT94" s="12"/>
      <c r="DU94" s="13">
        <f t="shared" si="73"/>
        <v>0</v>
      </c>
      <c r="DV94" s="12"/>
      <c r="DW94" s="13">
        <f t="shared" si="93"/>
        <v>0</v>
      </c>
      <c r="DX94" s="12"/>
      <c r="DY94" s="13">
        <f t="shared" si="94"/>
        <v>0</v>
      </c>
      <c r="DZ94" s="12"/>
      <c r="EA94" s="13">
        <f t="shared" si="95"/>
        <v>0</v>
      </c>
      <c r="EB94" s="12"/>
      <c r="EC94" s="13">
        <f t="shared" si="99"/>
        <v>0</v>
      </c>
      <c r="ED94" s="12"/>
      <c r="EE94" s="13">
        <f t="shared" si="96"/>
        <v>0</v>
      </c>
      <c r="EF94" s="24">
        <f t="shared" si="97"/>
        <v>0</v>
      </c>
      <c r="EG94" s="13">
        <f t="shared" si="98"/>
        <v>0</v>
      </c>
    </row>
    <row r="95" spans="1:137" ht="18" customHeight="1" x14ac:dyDescent="0.5">
      <c r="A95" s="10">
        <v>77</v>
      </c>
      <c r="B95" s="11" t="s">
        <v>81</v>
      </c>
      <c r="C95" s="11" t="s">
        <v>14</v>
      </c>
      <c r="D95" s="10">
        <f>RANK(DF95,$DF$4:$DF$147)</f>
        <v>21</v>
      </c>
      <c r="E95" s="10">
        <v>0.64</v>
      </c>
      <c r="F95" s="10" t="s">
        <v>25</v>
      </c>
      <c r="G95" s="10"/>
      <c r="H95" s="12"/>
      <c r="I95" s="13">
        <f t="shared" si="103"/>
        <v>0</v>
      </c>
      <c r="J95" s="12"/>
      <c r="K95" s="13">
        <f t="shared" si="104"/>
        <v>0</v>
      </c>
      <c r="L95" s="12"/>
      <c r="M95" s="13">
        <f t="shared" si="105"/>
        <v>0</v>
      </c>
      <c r="N95" s="12"/>
      <c r="O95" s="13">
        <f t="shared" si="106"/>
        <v>0</v>
      </c>
      <c r="P95" s="12"/>
      <c r="Q95" s="13">
        <f t="shared" si="107"/>
        <v>0</v>
      </c>
      <c r="R95" s="12"/>
      <c r="S95" s="13">
        <f t="shared" si="108"/>
        <v>0</v>
      </c>
      <c r="T95" s="12"/>
      <c r="U95" s="13">
        <f t="shared" si="109"/>
        <v>0</v>
      </c>
      <c r="V95" s="12"/>
      <c r="W95" s="13">
        <f t="shared" si="110"/>
        <v>0</v>
      </c>
      <c r="X95" s="12"/>
      <c r="Y95" s="13">
        <f t="shared" si="111"/>
        <v>0</v>
      </c>
      <c r="Z95" s="12"/>
      <c r="AA95" s="13">
        <f t="shared" si="112"/>
        <v>0</v>
      </c>
      <c r="AB95" s="12"/>
      <c r="AC95" s="13">
        <f t="shared" si="113"/>
        <v>0</v>
      </c>
      <c r="AD95" s="12"/>
      <c r="AE95" s="13">
        <f t="shared" si="114"/>
        <v>0</v>
      </c>
      <c r="AF95" s="14">
        <f t="shared" si="100"/>
        <v>0</v>
      </c>
      <c r="AG95" s="15">
        <f t="shared" si="115"/>
        <v>0</v>
      </c>
      <c r="AH95" s="16"/>
      <c r="AI95" s="13">
        <f t="shared" si="116"/>
        <v>0</v>
      </c>
      <c r="AJ95" s="17"/>
      <c r="AK95" s="13">
        <f t="shared" si="117"/>
        <v>0</v>
      </c>
      <c r="AL95" s="17"/>
      <c r="AM95" s="13">
        <f t="shared" si="118"/>
        <v>0</v>
      </c>
      <c r="AN95" s="18"/>
      <c r="AO95" s="13">
        <f t="shared" si="119"/>
        <v>0</v>
      </c>
      <c r="AP95" s="17"/>
      <c r="AQ95" s="13">
        <f t="shared" si="120"/>
        <v>0</v>
      </c>
      <c r="AR95" s="17"/>
      <c r="AS95" s="13">
        <f t="shared" si="121"/>
        <v>0</v>
      </c>
      <c r="AT95" s="19"/>
      <c r="AU95" s="13">
        <f t="shared" si="122"/>
        <v>0</v>
      </c>
      <c r="AV95" s="17"/>
      <c r="AW95" s="13">
        <f t="shared" si="123"/>
        <v>0</v>
      </c>
      <c r="AX95" s="17"/>
      <c r="AY95" s="13">
        <f t="shared" si="124"/>
        <v>0</v>
      </c>
      <c r="AZ95" s="19"/>
      <c r="BA95" s="13">
        <f t="shared" si="125"/>
        <v>0</v>
      </c>
      <c r="BB95" s="20"/>
      <c r="BC95" s="13">
        <f t="shared" si="126"/>
        <v>0</v>
      </c>
      <c r="BD95" s="20"/>
      <c r="BE95" s="13">
        <f t="shared" si="127"/>
        <v>0</v>
      </c>
      <c r="BF95" s="14">
        <f t="shared" si="101"/>
        <v>0</v>
      </c>
      <c r="BG95" s="15">
        <f t="shared" si="128"/>
        <v>0</v>
      </c>
      <c r="BH95" s="18"/>
      <c r="BI95" s="57">
        <f t="shared" si="129"/>
        <v>0</v>
      </c>
      <c r="BJ95" s="18"/>
      <c r="BK95" s="57">
        <f t="shared" si="130"/>
        <v>0</v>
      </c>
      <c r="BL95" s="18"/>
      <c r="BM95" s="57">
        <f t="shared" si="131"/>
        <v>0</v>
      </c>
      <c r="BN95" s="18"/>
      <c r="BO95" s="57">
        <f t="shared" si="132"/>
        <v>0</v>
      </c>
      <c r="BP95" s="18"/>
      <c r="BQ95" s="57">
        <f t="shared" si="133"/>
        <v>0</v>
      </c>
      <c r="BR95" s="18"/>
      <c r="BS95" s="57">
        <f t="shared" si="134"/>
        <v>0</v>
      </c>
      <c r="BT95" s="18"/>
      <c r="BU95" s="57">
        <f t="shared" si="135"/>
        <v>0</v>
      </c>
      <c r="BV95" s="18"/>
      <c r="BW95" s="57">
        <f t="shared" si="136"/>
        <v>0</v>
      </c>
      <c r="BX95" s="18"/>
      <c r="BY95" s="57">
        <f t="shared" si="137"/>
        <v>0</v>
      </c>
      <c r="BZ95" s="18"/>
      <c r="CA95" s="57">
        <f t="shared" si="138"/>
        <v>0</v>
      </c>
      <c r="CB95" s="18"/>
      <c r="CC95" s="57">
        <f t="shared" si="139"/>
        <v>0</v>
      </c>
      <c r="CD95" s="18"/>
      <c r="CE95" s="57">
        <f t="shared" si="140"/>
        <v>0</v>
      </c>
      <c r="CF95" s="14">
        <f t="shared" si="102"/>
        <v>0</v>
      </c>
      <c r="CG95" s="15">
        <f t="shared" si="141"/>
        <v>0</v>
      </c>
      <c r="CH95" s="12"/>
      <c r="CI95" s="13">
        <f t="shared" si="75"/>
        <v>0</v>
      </c>
      <c r="CJ95" s="12"/>
      <c r="CK95" s="13">
        <f t="shared" si="76"/>
        <v>0</v>
      </c>
      <c r="CL95" s="12"/>
      <c r="CM95" s="13">
        <f t="shared" si="77"/>
        <v>0</v>
      </c>
      <c r="CN95" s="12"/>
      <c r="CO95" s="13">
        <f t="shared" si="78"/>
        <v>0</v>
      </c>
      <c r="CP95" s="12"/>
      <c r="CQ95" s="13">
        <f t="shared" si="79"/>
        <v>0</v>
      </c>
      <c r="CR95" s="12"/>
      <c r="CS95" s="13">
        <f t="shared" si="80"/>
        <v>0</v>
      </c>
      <c r="CT95" s="12"/>
      <c r="CU95" s="13">
        <f t="shared" si="81"/>
        <v>0</v>
      </c>
      <c r="CV95" s="12"/>
      <c r="CW95" s="13">
        <f t="shared" si="82"/>
        <v>0</v>
      </c>
      <c r="CX95" s="12"/>
      <c r="CY95" s="13">
        <f t="shared" si="83"/>
        <v>0</v>
      </c>
      <c r="CZ95" s="12"/>
      <c r="DA95" s="13">
        <f t="shared" si="84"/>
        <v>0</v>
      </c>
      <c r="DB95" s="12"/>
      <c r="DC95" s="13">
        <f t="shared" si="85"/>
        <v>0</v>
      </c>
      <c r="DD95" s="12"/>
      <c r="DE95" s="13">
        <f t="shared" si="86"/>
        <v>0</v>
      </c>
      <c r="DF95" s="64">
        <f t="shared" si="87"/>
        <v>0</v>
      </c>
      <c r="DG95" s="15">
        <f t="shared" si="88"/>
        <v>0</v>
      </c>
      <c r="DH95" s="12"/>
      <c r="DI95" s="13">
        <f t="shared" si="89"/>
        <v>0</v>
      </c>
      <c r="DJ95" s="12"/>
      <c r="DK95" s="13">
        <f t="shared" si="90"/>
        <v>0</v>
      </c>
      <c r="DL95" s="12"/>
      <c r="DM95" s="13">
        <f t="shared" si="72"/>
        <v>0</v>
      </c>
      <c r="DN95" s="12"/>
      <c r="DO95" s="13">
        <f t="shared" si="74"/>
        <v>0</v>
      </c>
      <c r="DP95" s="12"/>
      <c r="DQ95" s="13">
        <f t="shared" si="91"/>
        <v>0</v>
      </c>
      <c r="DR95" s="12"/>
      <c r="DS95" s="13">
        <f t="shared" si="92"/>
        <v>0</v>
      </c>
      <c r="DT95" s="12"/>
      <c r="DU95" s="13">
        <f t="shared" si="73"/>
        <v>0</v>
      </c>
      <c r="DV95" s="12"/>
      <c r="DW95" s="13">
        <f t="shared" si="93"/>
        <v>0</v>
      </c>
      <c r="DX95" s="12"/>
      <c r="DY95" s="13">
        <f t="shared" si="94"/>
        <v>0</v>
      </c>
      <c r="DZ95" s="12"/>
      <c r="EA95" s="13">
        <f t="shared" si="95"/>
        <v>0</v>
      </c>
      <c r="EB95" s="12"/>
      <c r="EC95" s="13">
        <f t="shared" si="99"/>
        <v>0</v>
      </c>
      <c r="ED95" s="12"/>
      <c r="EE95" s="13">
        <f t="shared" si="96"/>
        <v>0</v>
      </c>
      <c r="EF95" s="24">
        <f t="shared" si="97"/>
        <v>0</v>
      </c>
      <c r="EG95" s="13">
        <f t="shared" si="98"/>
        <v>0</v>
      </c>
    </row>
    <row r="96" spans="1:137" ht="18" customHeight="1" x14ac:dyDescent="0.5">
      <c r="A96" s="10"/>
      <c r="B96" s="11"/>
      <c r="C96" s="11"/>
      <c r="D96" s="10"/>
      <c r="E96" s="10"/>
      <c r="F96" s="10"/>
      <c r="G96" s="10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4"/>
      <c r="AG96" s="15"/>
      <c r="AH96" s="16"/>
      <c r="AI96" s="13"/>
      <c r="AJ96" s="17"/>
      <c r="AK96" s="13">
        <f t="shared" si="117"/>
        <v>0</v>
      </c>
      <c r="AL96" s="17"/>
      <c r="AM96" s="13">
        <f t="shared" si="118"/>
        <v>0</v>
      </c>
      <c r="AN96" s="18"/>
      <c r="AO96" s="13">
        <f t="shared" si="119"/>
        <v>0</v>
      </c>
      <c r="AP96" s="17"/>
      <c r="AQ96" s="13">
        <f t="shared" si="120"/>
        <v>0</v>
      </c>
      <c r="AR96" s="17"/>
      <c r="AS96" s="13"/>
      <c r="AT96" s="19"/>
      <c r="AU96" s="13"/>
      <c r="AV96" s="17"/>
      <c r="AW96" s="13"/>
      <c r="AX96" s="17"/>
      <c r="AY96" s="13"/>
      <c r="AZ96" s="19"/>
      <c r="BA96" s="13"/>
      <c r="BB96" s="20"/>
      <c r="BC96" s="13"/>
      <c r="BD96" s="20"/>
      <c r="BE96" s="13"/>
      <c r="BF96" s="14"/>
      <c r="BG96" s="15"/>
      <c r="BH96" s="18"/>
      <c r="BI96" s="57"/>
      <c r="BJ96" s="18"/>
      <c r="BK96" s="57"/>
      <c r="BL96" s="18"/>
      <c r="BM96" s="57"/>
      <c r="BN96" s="18"/>
      <c r="BO96" s="57"/>
      <c r="BP96" s="18"/>
      <c r="BQ96" s="57"/>
      <c r="BR96" s="18"/>
      <c r="BS96" s="57"/>
      <c r="BT96" s="18"/>
      <c r="BU96" s="57"/>
      <c r="BV96" s="18"/>
      <c r="BW96" s="57"/>
      <c r="BX96" s="18"/>
      <c r="BY96" s="57"/>
      <c r="BZ96" s="18"/>
      <c r="CA96" s="57"/>
      <c r="CB96" s="18"/>
      <c r="CC96" s="57"/>
      <c r="CD96" s="18"/>
      <c r="CE96" s="57"/>
      <c r="CF96" s="14"/>
      <c r="CG96" s="15"/>
      <c r="CH96" s="12"/>
      <c r="CI96" s="13">
        <f t="shared" si="75"/>
        <v>0</v>
      </c>
      <c r="CJ96" s="12"/>
      <c r="CK96" s="13">
        <f t="shared" si="76"/>
        <v>0</v>
      </c>
      <c r="CL96" s="12"/>
      <c r="CM96" s="13">
        <f t="shared" si="77"/>
        <v>0</v>
      </c>
      <c r="CN96" s="12"/>
      <c r="CO96" s="13">
        <f t="shared" si="78"/>
        <v>0</v>
      </c>
      <c r="CP96" s="12"/>
      <c r="CQ96" s="13">
        <f t="shared" si="79"/>
        <v>0</v>
      </c>
      <c r="CR96" s="12"/>
      <c r="CS96" s="13">
        <f t="shared" si="80"/>
        <v>0</v>
      </c>
      <c r="CT96" s="12"/>
      <c r="CU96" s="13">
        <f t="shared" si="81"/>
        <v>0</v>
      </c>
      <c r="CV96" s="12"/>
      <c r="CW96" s="13">
        <f t="shared" si="82"/>
        <v>0</v>
      </c>
      <c r="CX96" s="12"/>
      <c r="CY96" s="13">
        <f t="shared" si="83"/>
        <v>0</v>
      </c>
      <c r="CZ96" s="12"/>
      <c r="DA96" s="13">
        <f t="shared" si="84"/>
        <v>0</v>
      </c>
      <c r="DB96" s="12"/>
      <c r="DC96" s="13">
        <f t="shared" si="85"/>
        <v>0</v>
      </c>
      <c r="DD96" s="12"/>
      <c r="DE96" s="13">
        <f t="shared" si="86"/>
        <v>0</v>
      </c>
      <c r="DF96" s="64">
        <f t="shared" si="87"/>
        <v>0</v>
      </c>
      <c r="DG96" s="15">
        <f t="shared" si="88"/>
        <v>0</v>
      </c>
      <c r="DH96" s="12"/>
      <c r="DI96" s="13">
        <f t="shared" si="89"/>
        <v>0</v>
      </c>
      <c r="DJ96" s="12"/>
      <c r="DK96" s="13">
        <f t="shared" si="90"/>
        <v>0</v>
      </c>
      <c r="DL96" s="12"/>
      <c r="DM96" s="13">
        <f t="shared" si="72"/>
        <v>0</v>
      </c>
      <c r="DN96" s="12"/>
      <c r="DO96" s="13">
        <f t="shared" si="74"/>
        <v>0</v>
      </c>
      <c r="DP96" s="12"/>
      <c r="DQ96" s="13">
        <f t="shared" si="91"/>
        <v>0</v>
      </c>
      <c r="DR96" s="12"/>
      <c r="DS96" s="13">
        <f t="shared" si="92"/>
        <v>0</v>
      </c>
      <c r="DT96" s="12"/>
      <c r="DU96" s="13">
        <f t="shared" si="73"/>
        <v>0</v>
      </c>
      <c r="DV96" s="12"/>
      <c r="DW96" s="13">
        <f t="shared" si="93"/>
        <v>0</v>
      </c>
      <c r="DX96" s="12"/>
      <c r="DY96" s="13">
        <f t="shared" si="94"/>
        <v>0</v>
      </c>
      <c r="DZ96" s="12"/>
      <c r="EA96" s="13">
        <f t="shared" si="95"/>
        <v>0</v>
      </c>
      <c r="EB96" s="12"/>
      <c r="EC96" s="13">
        <f t="shared" si="99"/>
        <v>0</v>
      </c>
      <c r="ED96" s="12"/>
      <c r="EE96" s="13">
        <f t="shared" si="96"/>
        <v>0</v>
      </c>
      <c r="EF96" s="24">
        <f t="shared" si="97"/>
        <v>0</v>
      </c>
      <c r="EG96" s="13">
        <f t="shared" si="98"/>
        <v>0</v>
      </c>
    </row>
    <row r="97" spans="1:137" ht="18" customHeight="1" x14ac:dyDescent="0.5">
      <c r="A97" s="10">
        <v>78</v>
      </c>
      <c r="B97" s="11" t="s">
        <v>82</v>
      </c>
      <c r="C97" s="11" t="s">
        <v>17</v>
      </c>
      <c r="D97" s="10"/>
      <c r="E97" s="10">
        <v>0.75</v>
      </c>
      <c r="F97" s="10"/>
      <c r="G97" s="10"/>
      <c r="H97" s="12"/>
      <c r="I97" s="13"/>
      <c r="J97" s="12"/>
      <c r="K97" s="13"/>
      <c r="L97" s="12"/>
      <c r="M97" s="13"/>
      <c r="N97" s="12"/>
      <c r="O97" s="13"/>
      <c r="P97" s="12"/>
      <c r="Q97" s="13"/>
      <c r="R97" s="12"/>
      <c r="S97" s="13"/>
      <c r="T97" s="12"/>
      <c r="U97" s="13"/>
      <c r="V97" s="12"/>
      <c r="W97" s="13"/>
      <c r="X97" s="12"/>
      <c r="Y97" s="13"/>
      <c r="Z97" s="12"/>
      <c r="AA97" s="13"/>
      <c r="AB97" s="12"/>
      <c r="AC97" s="13"/>
      <c r="AD97" s="12"/>
      <c r="AE97" s="13"/>
      <c r="AF97" s="14"/>
      <c r="AG97" s="15"/>
      <c r="AH97" s="16"/>
      <c r="AI97" s="13"/>
      <c r="AJ97" s="17"/>
      <c r="AK97" s="13">
        <f t="shared" si="117"/>
        <v>0</v>
      </c>
      <c r="AL97" s="17"/>
      <c r="AM97" s="13">
        <f t="shared" si="118"/>
        <v>0</v>
      </c>
      <c r="AN97" s="18"/>
      <c r="AO97" s="13">
        <f t="shared" si="119"/>
        <v>0</v>
      </c>
      <c r="AP97" s="17"/>
      <c r="AQ97" s="13">
        <f t="shared" si="120"/>
        <v>0</v>
      </c>
      <c r="AR97" s="17"/>
      <c r="AS97" s="13"/>
      <c r="AT97" s="19"/>
      <c r="AU97" s="13"/>
      <c r="AV97" s="17"/>
      <c r="AW97" s="13"/>
      <c r="AX97" s="17"/>
      <c r="AY97" s="13"/>
      <c r="AZ97" s="19"/>
      <c r="BA97" s="13"/>
      <c r="BB97" s="20"/>
      <c r="BC97" s="13"/>
      <c r="BD97" s="20"/>
      <c r="BE97" s="13"/>
      <c r="BF97" s="14"/>
      <c r="BG97" s="15"/>
      <c r="BH97" s="18"/>
      <c r="BI97" s="57"/>
      <c r="BJ97" s="18"/>
      <c r="BK97" s="57"/>
      <c r="BL97" s="18"/>
      <c r="BM97" s="57"/>
      <c r="BN97" s="18"/>
      <c r="BO97" s="57"/>
      <c r="BP97" s="18"/>
      <c r="BQ97" s="57"/>
      <c r="BR97" s="18"/>
      <c r="BS97" s="57"/>
      <c r="BT97" s="18"/>
      <c r="BU97" s="57"/>
      <c r="BV97" s="18"/>
      <c r="BW97" s="57"/>
      <c r="BX97" s="18"/>
      <c r="BY97" s="57"/>
      <c r="BZ97" s="18"/>
      <c r="CA97" s="57"/>
      <c r="CB97" s="18"/>
      <c r="CC97" s="57"/>
      <c r="CD97" s="18"/>
      <c r="CE97" s="57"/>
      <c r="CF97" s="14"/>
      <c r="CG97" s="15"/>
      <c r="CH97" s="12"/>
      <c r="CI97" s="13">
        <f t="shared" si="75"/>
        <v>0</v>
      </c>
      <c r="CJ97" s="12"/>
      <c r="CK97" s="13">
        <f t="shared" si="76"/>
        <v>0</v>
      </c>
      <c r="CL97" s="12"/>
      <c r="CM97" s="13">
        <f t="shared" si="77"/>
        <v>0</v>
      </c>
      <c r="CN97" s="12"/>
      <c r="CO97" s="13">
        <f t="shared" si="78"/>
        <v>0</v>
      </c>
      <c r="CP97" s="12"/>
      <c r="CQ97" s="13">
        <f t="shared" si="79"/>
        <v>0</v>
      </c>
      <c r="CR97" s="12"/>
      <c r="CS97" s="13">
        <f t="shared" si="80"/>
        <v>0</v>
      </c>
      <c r="CT97" s="12"/>
      <c r="CU97" s="13">
        <f t="shared" si="81"/>
        <v>0</v>
      </c>
      <c r="CV97" s="12"/>
      <c r="CW97" s="13">
        <f t="shared" si="82"/>
        <v>0</v>
      </c>
      <c r="CX97" s="12"/>
      <c r="CY97" s="13">
        <f t="shared" si="83"/>
        <v>0</v>
      </c>
      <c r="CZ97" s="12"/>
      <c r="DA97" s="13">
        <f t="shared" si="84"/>
        <v>0</v>
      </c>
      <c r="DB97" s="12"/>
      <c r="DC97" s="13">
        <f t="shared" si="85"/>
        <v>0</v>
      </c>
      <c r="DD97" s="12"/>
      <c r="DE97" s="13">
        <f t="shared" si="86"/>
        <v>0</v>
      </c>
      <c r="DF97" s="64">
        <f t="shared" si="87"/>
        <v>0</v>
      </c>
      <c r="DG97" s="15">
        <f t="shared" si="88"/>
        <v>0</v>
      </c>
      <c r="DH97" s="12"/>
      <c r="DI97" s="13">
        <f t="shared" si="89"/>
        <v>0</v>
      </c>
      <c r="DJ97" s="12"/>
      <c r="DK97" s="13">
        <f t="shared" si="90"/>
        <v>0</v>
      </c>
      <c r="DL97" s="12"/>
      <c r="DM97" s="13">
        <f t="shared" si="72"/>
        <v>0</v>
      </c>
      <c r="DN97" s="12"/>
      <c r="DO97" s="13">
        <f t="shared" si="74"/>
        <v>0</v>
      </c>
      <c r="DP97" s="12"/>
      <c r="DQ97" s="13">
        <f t="shared" si="91"/>
        <v>0</v>
      </c>
      <c r="DR97" s="12"/>
      <c r="DS97" s="13">
        <f t="shared" si="92"/>
        <v>0</v>
      </c>
      <c r="DT97" s="12"/>
      <c r="DU97" s="13">
        <f t="shared" si="73"/>
        <v>0</v>
      </c>
      <c r="DV97" s="12"/>
      <c r="DW97" s="13">
        <f t="shared" si="93"/>
        <v>0</v>
      </c>
      <c r="DX97" s="12"/>
      <c r="DY97" s="13">
        <f t="shared" si="94"/>
        <v>0</v>
      </c>
      <c r="DZ97" s="12"/>
      <c r="EA97" s="13">
        <f t="shared" si="95"/>
        <v>0</v>
      </c>
      <c r="EB97" s="12"/>
      <c r="EC97" s="13">
        <f t="shared" si="99"/>
        <v>0</v>
      </c>
      <c r="ED97" s="12"/>
      <c r="EE97" s="13">
        <f t="shared" si="96"/>
        <v>0</v>
      </c>
      <c r="EF97" s="24">
        <f t="shared" si="97"/>
        <v>0</v>
      </c>
      <c r="EG97" s="13">
        <f t="shared" si="98"/>
        <v>0</v>
      </c>
    </row>
    <row r="98" spans="1:137" ht="18" customHeight="1" x14ac:dyDescent="0.5">
      <c r="A98" s="10">
        <v>79</v>
      </c>
      <c r="B98" s="11" t="s">
        <v>82</v>
      </c>
      <c r="C98" s="11" t="s">
        <v>14</v>
      </c>
      <c r="D98" s="10"/>
      <c r="E98" s="10">
        <v>0.6</v>
      </c>
      <c r="F98" s="10"/>
      <c r="G98" s="10"/>
      <c r="H98" s="12"/>
      <c r="I98" s="13"/>
      <c r="J98" s="12"/>
      <c r="K98" s="13"/>
      <c r="L98" s="12"/>
      <c r="M98" s="13"/>
      <c r="N98" s="12"/>
      <c r="O98" s="13"/>
      <c r="P98" s="12"/>
      <c r="Q98" s="13"/>
      <c r="R98" s="12"/>
      <c r="S98" s="13"/>
      <c r="T98" s="12"/>
      <c r="U98" s="13"/>
      <c r="V98" s="12"/>
      <c r="W98" s="13"/>
      <c r="X98" s="12"/>
      <c r="Y98" s="13"/>
      <c r="Z98" s="12"/>
      <c r="AA98" s="13"/>
      <c r="AB98" s="12"/>
      <c r="AC98" s="13"/>
      <c r="AD98" s="12"/>
      <c r="AE98" s="13"/>
      <c r="AF98" s="14">
        <f t="shared" ref="AF98" si="142">(AD98+AB98+Z98+X98+V98+T98+R98+P98+N98+L98+J98+H98)/12</f>
        <v>0</v>
      </c>
      <c r="AG98" s="15"/>
      <c r="AH98" s="16"/>
      <c r="AI98" s="13"/>
      <c r="AJ98" s="17">
        <v>1572</v>
      </c>
      <c r="AK98" s="13">
        <f t="shared" si="117"/>
        <v>943.19999999999993</v>
      </c>
      <c r="AL98" s="17">
        <v>4020</v>
      </c>
      <c r="AM98" s="13">
        <f t="shared" si="118"/>
        <v>2412</v>
      </c>
      <c r="AN98" s="18">
        <v>9740</v>
      </c>
      <c r="AO98" s="13">
        <f t="shared" si="119"/>
        <v>5844</v>
      </c>
      <c r="AP98" s="17">
        <v>11136</v>
      </c>
      <c r="AQ98" s="13">
        <f t="shared" si="120"/>
        <v>6681.5999999999995</v>
      </c>
      <c r="AR98" s="17"/>
      <c r="AS98" s="13"/>
      <c r="AT98" s="19"/>
      <c r="AU98" s="13"/>
      <c r="AV98" s="17"/>
      <c r="AW98" s="13"/>
      <c r="AX98" s="17"/>
      <c r="AY98" s="13"/>
      <c r="AZ98" s="19"/>
      <c r="BA98" s="13"/>
      <c r="BB98" s="20"/>
      <c r="BC98" s="13"/>
      <c r="BD98" s="20"/>
      <c r="BE98" s="13"/>
      <c r="BF98" s="14">
        <f t="shared" ref="BF98" si="143">(BD98+BB98+AZ98+AX98+AV98+AT98+AR98+AP98+AN98+AL98+AJ98+AH98)/12</f>
        <v>2205.6666666666665</v>
      </c>
      <c r="BG98" s="15">
        <f t="shared" ref="BG98" si="144">BF98*$E98</f>
        <v>1323.3999999999999</v>
      </c>
      <c r="BH98" s="18"/>
      <c r="BI98" s="57">
        <f t="shared" ref="BI98" si="145">BH98*$E98</f>
        <v>0</v>
      </c>
      <c r="BJ98" s="18"/>
      <c r="BK98" s="57">
        <f t="shared" ref="BK98" si="146">BJ98*$E98</f>
        <v>0</v>
      </c>
      <c r="BL98" s="18"/>
      <c r="BM98" s="57">
        <f t="shared" ref="BM98" si="147">BL98*$E98</f>
        <v>0</v>
      </c>
      <c r="BN98" s="18"/>
      <c r="BO98" s="57">
        <f t="shared" ref="BO98" si="148">BN98*$E98</f>
        <v>0</v>
      </c>
      <c r="BP98" s="18"/>
      <c r="BQ98" s="57">
        <f t="shared" ref="BQ98" si="149">BP98*$E98</f>
        <v>0</v>
      </c>
      <c r="BR98" s="18"/>
      <c r="BS98" s="57">
        <f t="shared" ref="BS98" si="150">BR98*$E98</f>
        <v>0</v>
      </c>
      <c r="BT98" s="18"/>
      <c r="BU98" s="57">
        <f t="shared" ref="BU98" si="151">BT98*$E98</f>
        <v>0</v>
      </c>
      <c r="BV98" s="18"/>
      <c r="BW98" s="57">
        <f t="shared" ref="BW98" si="152">BV98*$E98</f>
        <v>0</v>
      </c>
      <c r="BX98" s="18"/>
      <c r="BY98" s="57">
        <f t="shared" ref="BY98" si="153">BX98*$E98</f>
        <v>0</v>
      </c>
      <c r="BZ98" s="18"/>
      <c r="CA98" s="57">
        <f t="shared" ref="CA98" si="154">BZ98*$E98</f>
        <v>0</v>
      </c>
      <c r="CB98" s="18"/>
      <c r="CC98" s="57">
        <f t="shared" ref="CC98" si="155">CB98*$E98</f>
        <v>0</v>
      </c>
      <c r="CD98" s="18"/>
      <c r="CE98" s="57">
        <f t="shared" ref="CE98" si="156">CD98*$E98</f>
        <v>0</v>
      </c>
      <c r="CF98" s="14">
        <f t="shared" ref="CF98" si="157">(CD98+CB98+BZ98+BX98+BV98+BT98+BR98+BP98+BN98+BL98+BJ98+BH98)/12</f>
        <v>0</v>
      </c>
      <c r="CG98" s="15">
        <f t="shared" ref="CG98" si="158">CF98*$E98</f>
        <v>0</v>
      </c>
      <c r="CH98" s="12"/>
      <c r="CI98" s="13">
        <f t="shared" si="75"/>
        <v>0</v>
      </c>
      <c r="CJ98" s="12"/>
      <c r="CK98" s="13">
        <f t="shared" si="76"/>
        <v>0</v>
      </c>
      <c r="CL98" s="12"/>
      <c r="CM98" s="13">
        <f t="shared" si="77"/>
        <v>0</v>
      </c>
      <c r="CN98" s="12"/>
      <c r="CO98" s="13">
        <f t="shared" si="78"/>
        <v>0</v>
      </c>
      <c r="CP98" s="12"/>
      <c r="CQ98" s="13">
        <f t="shared" si="79"/>
        <v>0</v>
      </c>
      <c r="CR98" s="12"/>
      <c r="CS98" s="13">
        <f t="shared" si="80"/>
        <v>0</v>
      </c>
      <c r="CT98" s="12"/>
      <c r="CU98" s="13">
        <f t="shared" si="81"/>
        <v>0</v>
      </c>
      <c r="CV98" s="12"/>
      <c r="CW98" s="13">
        <f t="shared" si="82"/>
        <v>0</v>
      </c>
      <c r="CX98" s="12"/>
      <c r="CY98" s="13">
        <f t="shared" si="83"/>
        <v>0</v>
      </c>
      <c r="CZ98" s="12"/>
      <c r="DA98" s="13">
        <f t="shared" si="84"/>
        <v>0</v>
      </c>
      <c r="DB98" s="12"/>
      <c r="DC98" s="13">
        <f t="shared" si="85"/>
        <v>0</v>
      </c>
      <c r="DD98" s="12"/>
      <c r="DE98" s="13">
        <f t="shared" si="86"/>
        <v>0</v>
      </c>
      <c r="DF98" s="64">
        <f t="shared" si="87"/>
        <v>0</v>
      </c>
      <c r="DG98" s="15">
        <f t="shared" si="88"/>
        <v>0</v>
      </c>
      <c r="DH98" s="12"/>
      <c r="DI98" s="13">
        <f t="shared" si="89"/>
        <v>0</v>
      </c>
      <c r="DJ98" s="12"/>
      <c r="DK98" s="13">
        <f t="shared" si="90"/>
        <v>0</v>
      </c>
      <c r="DL98" s="12"/>
      <c r="DM98" s="13">
        <f t="shared" si="72"/>
        <v>0</v>
      </c>
      <c r="DN98" s="12"/>
      <c r="DO98" s="13">
        <f t="shared" si="74"/>
        <v>0</v>
      </c>
      <c r="DP98" s="12"/>
      <c r="DQ98" s="13">
        <f t="shared" si="91"/>
        <v>0</v>
      </c>
      <c r="DR98" s="12"/>
      <c r="DS98" s="13">
        <f t="shared" si="92"/>
        <v>0</v>
      </c>
      <c r="DT98" s="12"/>
      <c r="DU98" s="13">
        <f t="shared" si="73"/>
        <v>0</v>
      </c>
      <c r="DV98" s="12"/>
      <c r="DW98" s="13">
        <f t="shared" si="93"/>
        <v>0</v>
      </c>
      <c r="DX98" s="12"/>
      <c r="DY98" s="13">
        <f t="shared" si="94"/>
        <v>0</v>
      </c>
      <c r="DZ98" s="12"/>
      <c r="EA98" s="13">
        <f t="shared" si="95"/>
        <v>0</v>
      </c>
      <c r="EB98" s="12"/>
      <c r="EC98" s="13">
        <f t="shared" si="99"/>
        <v>0</v>
      </c>
      <c r="ED98" s="12"/>
      <c r="EE98" s="13">
        <f t="shared" si="96"/>
        <v>0</v>
      </c>
      <c r="EF98" s="24">
        <f t="shared" si="97"/>
        <v>0</v>
      </c>
      <c r="EG98" s="13">
        <f t="shared" si="98"/>
        <v>0</v>
      </c>
    </row>
    <row r="99" spans="1:137" ht="18" customHeight="1" x14ac:dyDescent="0.5">
      <c r="A99" s="10">
        <v>80</v>
      </c>
      <c r="B99" s="11" t="s">
        <v>82</v>
      </c>
      <c r="C99" s="11" t="s">
        <v>14</v>
      </c>
      <c r="D99" s="10"/>
      <c r="E99" s="10">
        <v>0.64</v>
      </c>
      <c r="F99" s="10" t="s">
        <v>25</v>
      </c>
      <c r="G99" s="10"/>
      <c r="H99" s="12"/>
      <c r="I99" s="13">
        <f>H99*$E99</f>
        <v>0</v>
      </c>
      <c r="J99" s="12"/>
      <c r="K99" s="13">
        <f>J99*$E99</f>
        <v>0</v>
      </c>
      <c r="L99" s="12"/>
      <c r="M99" s="13">
        <f>L99*$E99</f>
        <v>0</v>
      </c>
      <c r="N99" s="12"/>
      <c r="O99" s="13">
        <f>N99*$E99</f>
        <v>0</v>
      </c>
      <c r="P99" s="12"/>
      <c r="Q99" s="13">
        <f>P99*$E99</f>
        <v>0</v>
      </c>
      <c r="R99" s="12"/>
      <c r="S99" s="13">
        <f>R99*$E99</f>
        <v>0</v>
      </c>
      <c r="T99" s="12"/>
      <c r="U99" s="13">
        <f>T99*$E99</f>
        <v>0</v>
      </c>
      <c r="V99" s="12"/>
      <c r="W99" s="13">
        <f>V99*$E99</f>
        <v>0</v>
      </c>
      <c r="X99" s="12"/>
      <c r="Y99" s="13">
        <f>X99*$E99</f>
        <v>0</v>
      </c>
      <c r="Z99" s="12"/>
      <c r="AA99" s="13">
        <f>Z99*$E99</f>
        <v>0</v>
      </c>
      <c r="AB99" s="12"/>
      <c r="AC99" s="13">
        <f>AB99*$E99</f>
        <v>0</v>
      </c>
      <c r="AD99" s="12"/>
      <c r="AE99" s="13">
        <f>AD99*$E99</f>
        <v>0</v>
      </c>
      <c r="AF99" s="14">
        <f>(AD99+AB99+Z99+X99+V99+T99+R99+P99+N99+L99+J99+H99)/12</f>
        <v>0</v>
      </c>
      <c r="AG99" s="15">
        <f>AF99*$E99</f>
        <v>0</v>
      </c>
      <c r="AH99" s="16"/>
      <c r="AI99" s="13">
        <f>AH99*$E99</f>
        <v>0</v>
      </c>
      <c r="AJ99" s="17"/>
      <c r="AK99" s="13">
        <f>AJ99*$E99</f>
        <v>0</v>
      </c>
      <c r="AL99" s="17"/>
      <c r="AM99" s="13">
        <f>AL99*$E99</f>
        <v>0</v>
      </c>
      <c r="AN99" s="18"/>
      <c r="AO99" s="13">
        <f>AN99*$E99</f>
        <v>0</v>
      </c>
      <c r="AP99" s="17"/>
      <c r="AQ99" s="13">
        <f>AP99*$E99</f>
        <v>0</v>
      </c>
      <c r="AR99" s="17"/>
      <c r="AS99" s="13">
        <f>AR99*$E99</f>
        <v>0</v>
      </c>
      <c r="AT99" s="19"/>
      <c r="AU99" s="13">
        <f>AT99*$E99</f>
        <v>0</v>
      </c>
      <c r="AV99" s="17"/>
      <c r="AW99" s="13">
        <f>AV99*$E99</f>
        <v>0</v>
      </c>
      <c r="AX99" s="17"/>
      <c r="AY99" s="13">
        <f>AX99*$E99</f>
        <v>0</v>
      </c>
      <c r="AZ99" s="19"/>
      <c r="BA99" s="13">
        <f>AZ99*$E99</f>
        <v>0</v>
      </c>
      <c r="BB99" s="20"/>
      <c r="BC99" s="13">
        <f>BB99*$E99</f>
        <v>0</v>
      </c>
      <c r="BD99" s="20"/>
      <c r="BE99" s="13">
        <f>BD99*$E99</f>
        <v>0</v>
      </c>
      <c r="BF99" s="14">
        <f>(BD99+BB99+AZ99+AX99+AV99+AT99+AR99+AP99+AN99+AL99+AJ99+AH99)/12</f>
        <v>0</v>
      </c>
      <c r="BG99" s="15">
        <f>BF99*$E99</f>
        <v>0</v>
      </c>
      <c r="BH99" s="18"/>
      <c r="BI99" s="57">
        <f>BH99*$E99</f>
        <v>0</v>
      </c>
      <c r="BJ99" s="18"/>
      <c r="BK99" s="57">
        <f>BJ99*$E99</f>
        <v>0</v>
      </c>
      <c r="BL99" s="18"/>
      <c r="BM99" s="57">
        <f>BL99*$E99</f>
        <v>0</v>
      </c>
      <c r="BN99" s="18"/>
      <c r="BO99" s="57">
        <f>BN99*$E99</f>
        <v>0</v>
      </c>
      <c r="BP99" s="18"/>
      <c r="BQ99" s="57">
        <f>BP99*$E99</f>
        <v>0</v>
      </c>
      <c r="BR99" s="18"/>
      <c r="BS99" s="57">
        <f>BR99*$E99</f>
        <v>0</v>
      </c>
      <c r="BT99" s="18"/>
      <c r="BU99" s="57">
        <f>BT99*$E99</f>
        <v>0</v>
      </c>
      <c r="BV99" s="18"/>
      <c r="BW99" s="57">
        <f>BV99*$E99</f>
        <v>0</v>
      </c>
      <c r="BX99" s="18"/>
      <c r="BY99" s="57">
        <f>BX99*$E99</f>
        <v>0</v>
      </c>
      <c r="BZ99" s="18"/>
      <c r="CA99" s="57">
        <f>BZ99*$E99</f>
        <v>0</v>
      </c>
      <c r="CB99" s="18"/>
      <c r="CC99" s="57">
        <f>CB99*$E99</f>
        <v>0</v>
      </c>
      <c r="CD99" s="18"/>
      <c r="CE99" s="57">
        <f>CD99*$E99</f>
        <v>0</v>
      </c>
      <c r="CF99" s="14">
        <f>(CD99+CB99+BZ99+BX99+BV99+BT99+BR99+BP99+BN99+BL99+BJ99+BH99)/12</f>
        <v>0</v>
      </c>
      <c r="CG99" s="15">
        <f>CF99*$E99</f>
        <v>0</v>
      </c>
      <c r="CH99" s="12"/>
      <c r="CI99" s="13">
        <f t="shared" si="75"/>
        <v>0</v>
      </c>
      <c r="CJ99" s="12"/>
      <c r="CK99" s="13">
        <f t="shared" si="76"/>
        <v>0</v>
      </c>
      <c r="CL99" s="12"/>
      <c r="CM99" s="13">
        <f t="shared" si="77"/>
        <v>0</v>
      </c>
      <c r="CN99" s="12"/>
      <c r="CO99" s="13">
        <f t="shared" si="78"/>
        <v>0</v>
      </c>
      <c r="CP99" s="12"/>
      <c r="CQ99" s="13">
        <f t="shared" si="79"/>
        <v>0</v>
      </c>
      <c r="CR99" s="12"/>
      <c r="CS99" s="13">
        <f t="shared" si="80"/>
        <v>0</v>
      </c>
      <c r="CT99" s="12"/>
      <c r="CU99" s="13">
        <f t="shared" si="81"/>
        <v>0</v>
      </c>
      <c r="CV99" s="12"/>
      <c r="CW99" s="13">
        <f t="shared" si="82"/>
        <v>0</v>
      </c>
      <c r="CX99" s="12"/>
      <c r="CY99" s="13">
        <f t="shared" si="83"/>
        <v>0</v>
      </c>
      <c r="CZ99" s="12"/>
      <c r="DA99" s="13">
        <f t="shared" si="84"/>
        <v>0</v>
      </c>
      <c r="DB99" s="12"/>
      <c r="DC99" s="13">
        <f t="shared" si="85"/>
        <v>0</v>
      </c>
      <c r="DD99" s="12"/>
      <c r="DE99" s="13">
        <f t="shared" si="86"/>
        <v>0</v>
      </c>
      <c r="DF99" s="64">
        <f t="shared" si="87"/>
        <v>0</v>
      </c>
      <c r="DG99" s="15">
        <f t="shared" si="88"/>
        <v>0</v>
      </c>
      <c r="DH99" s="12"/>
      <c r="DI99" s="13">
        <f t="shared" si="89"/>
        <v>0</v>
      </c>
      <c r="DJ99" s="12"/>
      <c r="DK99" s="13">
        <f t="shared" si="90"/>
        <v>0</v>
      </c>
      <c r="DL99" s="12"/>
      <c r="DM99" s="13">
        <f t="shared" si="72"/>
        <v>0</v>
      </c>
      <c r="DN99" s="12"/>
      <c r="DO99" s="13">
        <f t="shared" si="74"/>
        <v>0</v>
      </c>
      <c r="DP99" s="12"/>
      <c r="DQ99" s="13">
        <f t="shared" si="91"/>
        <v>0</v>
      </c>
      <c r="DR99" s="12"/>
      <c r="DS99" s="13">
        <f t="shared" si="92"/>
        <v>0</v>
      </c>
      <c r="DT99" s="12"/>
      <c r="DU99" s="13">
        <f t="shared" si="73"/>
        <v>0</v>
      </c>
      <c r="DV99" s="12"/>
      <c r="DW99" s="13">
        <f t="shared" si="93"/>
        <v>0</v>
      </c>
      <c r="DX99" s="12"/>
      <c r="DY99" s="13">
        <f t="shared" si="94"/>
        <v>0</v>
      </c>
      <c r="DZ99" s="12"/>
      <c r="EA99" s="13">
        <f t="shared" si="95"/>
        <v>0</v>
      </c>
      <c r="EB99" s="12"/>
      <c r="EC99" s="13">
        <f t="shared" si="99"/>
        <v>0</v>
      </c>
      <c r="ED99" s="12"/>
      <c r="EE99" s="13">
        <f t="shared" si="96"/>
        <v>0</v>
      </c>
      <c r="EF99" s="24">
        <f t="shared" si="97"/>
        <v>0</v>
      </c>
      <c r="EG99" s="13">
        <f t="shared" si="98"/>
        <v>0</v>
      </c>
    </row>
    <row r="100" spans="1:137" ht="18" customHeight="1" x14ac:dyDescent="0.5">
      <c r="A100" s="10"/>
      <c r="B100" s="11"/>
      <c r="C100" s="11"/>
      <c r="D100" s="10"/>
      <c r="E100" s="10"/>
      <c r="F100" s="10"/>
      <c r="G100" s="10"/>
      <c r="H100" s="12"/>
      <c r="I100" s="13"/>
      <c r="J100" s="12"/>
      <c r="K100" s="13"/>
      <c r="L100" s="12"/>
      <c r="M100" s="13"/>
      <c r="N100" s="12"/>
      <c r="O100" s="13"/>
      <c r="P100" s="12"/>
      <c r="Q100" s="13"/>
      <c r="R100" s="12"/>
      <c r="S100" s="13"/>
      <c r="T100" s="12"/>
      <c r="U100" s="13"/>
      <c r="V100" s="12"/>
      <c r="W100" s="13"/>
      <c r="X100" s="12"/>
      <c r="Y100" s="13"/>
      <c r="Z100" s="12"/>
      <c r="AA100" s="13"/>
      <c r="AB100" s="12"/>
      <c r="AC100" s="13"/>
      <c r="AD100" s="12"/>
      <c r="AE100" s="13"/>
      <c r="AF100" s="14"/>
      <c r="AG100" s="15"/>
      <c r="AH100" s="16"/>
      <c r="AI100" s="13"/>
      <c r="AJ100" s="17"/>
      <c r="AK100" s="13"/>
      <c r="AL100" s="17"/>
      <c r="AM100" s="13"/>
      <c r="AN100" s="18"/>
      <c r="AO100" s="13"/>
      <c r="AP100" s="17"/>
      <c r="AQ100" s="13"/>
      <c r="AR100" s="17"/>
      <c r="AS100" s="13"/>
      <c r="AT100" s="19"/>
      <c r="AU100" s="13"/>
      <c r="AV100" s="17"/>
      <c r="AW100" s="13"/>
      <c r="AX100" s="17"/>
      <c r="AY100" s="13"/>
      <c r="AZ100" s="19"/>
      <c r="BA100" s="13"/>
      <c r="BB100" s="20"/>
      <c r="BC100" s="13"/>
      <c r="BD100" s="20"/>
      <c r="BE100" s="13"/>
      <c r="BF100" s="14"/>
      <c r="BG100" s="15"/>
      <c r="BH100" s="18"/>
      <c r="BI100" s="57"/>
      <c r="BJ100" s="18"/>
      <c r="BK100" s="57"/>
      <c r="BL100" s="18"/>
      <c r="BM100" s="57"/>
      <c r="BN100" s="18"/>
      <c r="BO100" s="57"/>
      <c r="BP100" s="18"/>
      <c r="BQ100" s="57"/>
      <c r="BR100" s="18"/>
      <c r="BS100" s="57"/>
      <c r="BT100" s="18"/>
      <c r="BU100" s="57"/>
      <c r="BV100" s="18"/>
      <c r="BW100" s="57"/>
      <c r="BX100" s="18"/>
      <c r="BY100" s="57"/>
      <c r="BZ100" s="18"/>
      <c r="CA100" s="57"/>
      <c r="CB100" s="18"/>
      <c r="CC100" s="57"/>
      <c r="CD100" s="18"/>
      <c r="CE100" s="57"/>
      <c r="CF100" s="14"/>
      <c r="CG100" s="15"/>
      <c r="CH100" s="12"/>
      <c r="CI100" s="13">
        <f t="shared" si="75"/>
        <v>0</v>
      </c>
      <c r="CJ100" s="12"/>
      <c r="CK100" s="13">
        <f t="shared" si="76"/>
        <v>0</v>
      </c>
      <c r="CL100" s="12"/>
      <c r="CM100" s="13">
        <f t="shared" si="77"/>
        <v>0</v>
      </c>
      <c r="CN100" s="12"/>
      <c r="CO100" s="13">
        <f t="shared" si="78"/>
        <v>0</v>
      </c>
      <c r="CP100" s="12"/>
      <c r="CQ100" s="13">
        <f t="shared" si="79"/>
        <v>0</v>
      </c>
      <c r="CR100" s="12"/>
      <c r="CS100" s="13">
        <f t="shared" si="80"/>
        <v>0</v>
      </c>
      <c r="CT100" s="12"/>
      <c r="CU100" s="13">
        <f t="shared" si="81"/>
        <v>0</v>
      </c>
      <c r="CV100" s="12"/>
      <c r="CW100" s="13">
        <f t="shared" si="82"/>
        <v>0</v>
      </c>
      <c r="CX100" s="12"/>
      <c r="CY100" s="13">
        <f t="shared" si="83"/>
        <v>0</v>
      </c>
      <c r="CZ100" s="12"/>
      <c r="DA100" s="13">
        <f t="shared" si="84"/>
        <v>0</v>
      </c>
      <c r="DB100" s="12"/>
      <c r="DC100" s="13">
        <f t="shared" si="85"/>
        <v>0</v>
      </c>
      <c r="DD100" s="12"/>
      <c r="DE100" s="13">
        <f t="shared" si="86"/>
        <v>0</v>
      </c>
      <c r="DF100" s="64">
        <f t="shared" si="87"/>
        <v>0</v>
      </c>
      <c r="DG100" s="15">
        <f t="shared" si="88"/>
        <v>0</v>
      </c>
      <c r="DH100" s="12"/>
      <c r="DI100" s="13">
        <f t="shared" si="89"/>
        <v>0</v>
      </c>
      <c r="DJ100" s="12"/>
      <c r="DK100" s="13">
        <f t="shared" si="90"/>
        <v>0</v>
      </c>
      <c r="DL100" s="12"/>
      <c r="DM100" s="13">
        <f t="shared" si="72"/>
        <v>0</v>
      </c>
      <c r="DN100" s="12"/>
      <c r="DO100" s="13">
        <f t="shared" si="74"/>
        <v>0</v>
      </c>
      <c r="DP100" s="12"/>
      <c r="DQ100" s="13">
        <f t="shared" si="91"/>
        <v>0</v>
      </c>
      <c r="DR100" s="12"/>
      <c r="DS100" s="13">
        <f t="shared" si="92"/>
        <v>0</v>
      </c>
      <c r="DT100" s="12"/>
      <c r="DU100" s="13">
        <f t="shared" si="73"/>
        <v>0</v>
      </c>
      <c r="DV100" s="12"/>
      <c r="DW100" s="13">
        <f t="shared" si="93"/>
        <v>0</v>
      </c>
      <c r="DX100" s="12"/>
      <c r="DY100" s="13">
        <f t="shared" si="94"/>
        <v>0</v>
      </c>
      <c r="DZ100" s="12"/>
      <c r="EA100" s="13">
        <f t="shared" si="95"/>
        <v>0</v>
      </c>
      <c r="EB100" s="12"/>
      <c r="EC100" s="13">
        <f t="shared" si="99"/>
        <v>0</v>
      </c>
      <c r="ED100" s="12"/>
      <c r="EE100" s="13">
        <f t="shared" si="96"/>
        <v>0</v>
      </c>
      <c r="EF100" s="24">
        <f t="shared" si="97"/>
        <v>0</v>
      </c>
      <c r="EG100" s="13">
        <f t="shared" si="98"/>
        <v>0</v>
      </c>
    </row>
    <row r="101" spans="1:137" ht="18" customHeight="1" x14ac:dyDescent="0.5">
      <c r="A101" s="10">
        <v>81</v>
      </c>
      <c r="B101" s="11" t="s">
        <v>83</v>
      </c>
      <c r="C101" s="11" t="s">
        <v>14</v>
      </c>
      <c r="D101" s="10"/>
      <c r="E101" s="10">
        <v>0.64</v>
      </c>
      <c r="F101" s="10" t="s">
        <v>84</v>
      </c>
      <c r="G101" s="10"/>
      <c r="H101" s="12"/>
      <c r="I101" s="13">
        <f>H101*$E101</f>
        <v>0</v>
      </c>
      <c r="J101" s="12"/>
      <c r="K101" s="13">
        <f>J101*$E101</f>
        <v>0</v>
      </c>
      <c r="L101" s="12"/>
      <c r="M101" s="13">
        <f>L101*$E101</f>
        <v>0</v>
      </c>
      <c r="N101" s="12"/>
      <c r="O101" s="13">
        <f>N101*$E101</f>
        <v>0</v>
      </c>
      <c r="P101" s="12"/>
      <c r="Q101" s="13">
        <f>P101*$E101</f>
        <v>0</v>
      </c>
      <c r="R101" s="12"/>
      <c r="S101" s="13">
        <f>R101*$E101</f>
        <v>0</v>
      </c>
      <c r="T101" s="12"/>
      <c r="U101" s="13">
        <f>T101*$E101</f>
        <v>0</v>
      </c>
      <c r="V101" s="12"/>
      <c r="W101" s="13">
        <f>V101*$E101</f>
        <v>0</v>
      </c>
      <c r="X101" s="12"/>
      <c r="Y101" s="13">
        <f>X101*$E101</f>
        <v>0</v>
      </c>
      <c r="Z101" s="12"/>
      <c r="AA101" s="13">
        <f>Z101*$E101</f>
        <v>0</v>
      </c>
      <c r="AB101" s="12"/>
      <c r="AC101" s="13">
        <f>AB101*$E101</f>
        <v>0</v>
      </c>
      <c r="AD101" s="12"/>
      <c r="AE101" s="13">
        <f>AD101*$E101</f>
        <v>0</v>
      </c>
      <c r="AF101" s="14">
        <f>(AD101+AB101+Z101+X101+V101+T101+R101+P101+N101+L101+J101+H101)/12</f>
        <v>0</v>
      </c>
      <c r="AG101" s="15">
        <f>AF101*$E101</f>
        <v>0</v>
      </c>
      <c r="AH101" s="16"/>
      <c r="AI101" s="13">
        <f>AH101*$E101</f>
        <v>0</v>
      </c>
      <c r="AJ101" s="17"/>
      <c r="AK101" s="13">
        <f>AJ101*$E101</f>
        <v>0</v>
      </c>
      <c r="AL101" s="17"/>
      <c r="AM101" s="13">
        <f>AL101*$E101</f>
        <v>0</v>
      </c>
      <c r="AN101" s="18"/>
      <c r="AO101" s="13">
        <f>AN101*$E101</f>
        <v>0</v>
      </c>
      <c r="AP101" s="17"/>
      <c r="AQ101" s="13">
        <f>AP101*$E101</f>
        <v>0</v>
      </c>
      <c r="AR101" s="17"/>
      <c r="AS101" s="13">
        <f>AR101*$E101</f>
        <v>0</v>
      </c>
      <c r="AT101" s="19"/>
      <c r="AU101" s="13">
        <f>AT101*$E101</f>
        <v>0</v>
      </c>
      <c r="AV101" s="17"/>
      <c r="AW101" s="13">
        <f>AV101*$E101</f>
        <v>0</v>
      </c>
      <c r="AX101" s="17"/>
      <c r="AY101" s="13">
        <f>AX101*$E101</f>
        <v>0</v>
      </c>
      <c r="AZ101" s="19"/>
      <c r="BA101" s="13">
        <f>AZ101*$E101</f>
        <v>0</v>
      </c>
      <c r="BB101" s="20"/>
      <c r="BC101" s="13">
        <f>BB101*$E101</f>
        <v>0</v>
      </c>
      <c r="BD101" s="20"/>
      <c r="BE101" s="13">
        <f>BD101*$E101</f>
        <v>0</v>
      </c>
      <c r="BF101" s="14">
        <f>(BD101+BB101+AZ101+AX101+AV101+AT101+AR101+AP101+AN101+AL101+AJ101+AH101)/12</f>
        <v>0</v>
      </c>
      <c r="BG101" s="15">
        <f>BF101*$E101</f>
        <v>0</v>
      </c>
      <c r="BH101" s="18"/>
      <c r="BI101" s="57">
        <f>BH101*$E101</f>
        <v>0</v>
      </c>
      <c r="BJ101" s="18"/>
      <c r="BK101" s="57">
        <f>BJ101*$E101</f>
        <v>0</v>
      </c>
      <c r="BL101" s="18"/>
      <c r="BM101" s="57">
        <f>BL101*$E101</f>
        <v>0</v>
      </c>
      <c r="BN101" s="18"/>
      <c r="BO101" s="57">
        <f>BN101*$E101</f>
        <v>0</v>
      </c>
      <c r="BP101" s="18"/>
      <c r="BQ101" s="57">
        <f>BP101*$E101</f>
        <v>0</v>
      </c>
      <c r="BR101" s="18"/>
      <c r="BS101" s="57">
        <f>BR101*$E101</f>
        <v>0</v>
      </c>
      <c r="BT101" s="18"/>
      <c r="BU101" s="57">
        <f>BT101*$E101</f>
        <v>0</v>
      </c>
      <c r="BV101" s="18"/>
      <c r="BW101" s="57">
        <f>BV101*$E101</f>
        <v>0</v>
      </c>
      <c r="BX101" s="18"/>
      <c r="BY101" s="57">
        <f>BX101*$E101</f>
        <v>0</v>
      </c>
      <c r="BZ101" s="18"/>
      <c r="CA101" s="57">
        <f>BZ101*$E101</f>
        <v>0</v>
      </c>
      <c r="CB101" s="18"/>
      <c r="CC101" s="57">
        <f>CB101*$E101</f>
        <v>0</v>
      </c>
      <c r="CD101" s="18"/>
      <c r="CE101" s="57">
        <f>CD101*$E101</f>
        <v>0</v>
      </c>
      <c r="CF101" s="14">
        <f>(CD101+CB101+BZ101+BX101+BV101+BT101+BR101+BP101+BN101+BL101+BJ101+BH101)/12</f>
        <v>0</v>
      </c>
      <c r="CG101" s="15">
        <f>CF101*$E101</f>
        <v>0</v>
      </c>
      <c r="CH101" s="12"/>
      <c r="CI101" s="13">
        <f t="shared" si="75"/>
        <v>0</v>
      </c>
      <c r="CJ101" s="12"/>
      <c r="CK101" s="13">
        <f t="shared" si="76"/>
        <v>0</v>
      </c>
      <c r="CL101" s="12"/>
      <c r="CM101" s="13">
        <f t="shared" si="77"/>
        <v>0</v>
      </c>
      <c r="CN101" s="12"/>
      <c r="CO101" s="13">
        <f t="shared" si="78"/>
        <v>0</v>
      </c>
      <c r="CP101" s="12"/>
      <c r="CQ101" s="13">
        <f t="shared" si="79"/>
        <v>0</v>
      </c>
      <c r="CR101" s="12"/>
      <c r="CS101" s="13">
        <f t="shared" si="80"/>
        <v>0</v>
      </c>
      <c r="CT101" s="12"/>
      <c r="CU101" s="13">
        <f t="shared" si="81"/>
        <v>0</v>
      </c>
      <c r="CV101" s="12"/>
      <c r="CW101" s="13">
        <f t="shared" si="82"/>
        <v>0</v>
      </c>
      <c r="CX101" s="12"/>
      <c r="CY101" s="13">
        <f t="shared" si="83"/>
        <v>0</v>
      </c>
      <c r="CZ101" s="12"/>
      <c r="DA101" s="13">
        <f t="shared" si="84"/>
        <v>0</v>
      </c>
      <c r="DB101" s="12"/>
      <c r="DC101" s="13">
        <f t="shared" si="85"/>
        <v>0</v>
      </c>
      <c r="DD101" s="12"/>
      <c r="DE101" s="13">
        <f t="shared" si="86"/>
        <v>0</v>
      </c>
      <c r="DF101" s="64">
        <f t="shared" si="87"/>
        <v>0</v>
      </c>
      <c r="DG101" s="15">
        <f t="shared" si="88"/>
        <v>0</v>
      </c>
      <c r="DH101" s="12"/>
      <c r="DI101" s="13">
        <f t="shared" si="89"/>
        <v>0</v>
      </c>
      <c r="DJ101" s="12"/>
      <c r="DK101" s="13">
        <f t="shared" si="90"/>
        <v>0</v>
      </c>
      <c r="DL101" s="12"/>
      <c r="DM101" s="13">
        <f t="shared" si="72"/>
        <v>0</v>
      </c>
      <c r="DN101" s="12"/>
      <c r="DO101" s="13">
        <f t="shared" si="74"/>
        <v>0</v>
      </c>
      <c r="DP101" s="12"/>
      <c r="DQ101" s="13">
        <f t="shared" si="91"/>
        <v>0</v>
      </c>
      <c r="DR101" s="12"/>
      <c r="DS101" s="13">
        <f t="shared" si="92"/>
        <v>0</v>
      </c>
      <c r="DT101" s="12"/>
      <c r="DU101" s="13">
        <f t="shared" si="73"/>
        <v>0</v>
      </c>
      <c r="DV101" s="12"/>
      <c r="DW101" s="13">
        <f t="shared" si="93"/>
        <v>0</v>
      </c>
      <c r="DX101" s="12"/>
      <c r="DY101" s="13">
        <f t="shared" si="94"/>
        <v>0</v>
      </c>
      <c r="DZ101" s="12"/>
      <c r="EA101" s="13">
        <f t="shared" si="95"/>
        <v>0</v>
      </c>
      <c r="EB101" s="12"/>
      <c r="EC101" s="13">
        <f t="shared" si="99"/>
        <v>0</v>
      </c>
      <c r="ED101" s="12"/>
      <c r="EE101" s="13">
        <f t="shared" si="96"/>
        <v>0</v>
      </c>
      <c r="EF101" s="24">
        <f t="shared" si="97"/>
        <v>0</v>
      </c>
      <c r="EG101" s="13">
        <f t="shared" si="98"/>
        <v>0</v>
      </c>
    </row>
    <row r="102" spans="1:137" ht="18" x14ac:dyDescent="0.5">
      <c r="A102" s="10">
        <v>82</v>
      </c>
      <c r="B102" s="11" t="s">
        <v>85</v>
      </c>
      <c r="C102" s="11" t="s">
        <v>17</v>
      </c>
      <c r="D102" s="10"/>
      <c r="E102" s="10">
        <v>1</v>
      </c>
      <c r="F102" s="10" t="s">
        <v>38</v>
      </c>
      <c r="G102" s="10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4"/>
      <c r="AG102" s="15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4"/>
      <c r="BG102" s="15"/>
      <c r="BH102" s="18"/>
      <c r="BI102" s="57"/>
      <c r="BJ102" s="18"/>
      <c r="BK102" s="57"/>
      <c r="BL102" s="18"/>
      <c r="BM102" s="57"/>
      <c r="BN102" s="18"/>
      <c r="BO102" s="57"/>
      <c r="BP102" s="18"/>
      <c r="BQ102" s="57"/>
      <c r="BR102" s="18"/>
      <c r="BS102" s="57"/>
      <c r="BT102" s="18"/>
      <c r="BU102" s="57"/>
      <c r="BV102" s="18"/>
      <c r="BW102" s="57"/>
      <c r="BX102" s="18"/>
      <c r="BY102" s="57"/>
      <c r="BZ102" s="18"/>
      <c r="CA102" s="57"/>
      <c r="CB102" s="18"/>
      <c r="CC102" s="57"/>
      <c r="CD102" s="18"/>
      <c r="CE102" s="57"/>
      <c r="CF102" s="14"/>
      <c r="CG102" s="15"/>
      <c r="CH102" s="31"/>
      <c r="CI102" s="13">
        <f t="shared" si="75"/>
        <v>0</v>
      </c>
      <c r="CJ102" s="12"/>
      <c r="CK102" s="13">
        <f t="shared" si="76"/>
        <v>0</v>
      </c>
      <c r="CL102" s="12"/>
      <c r="CM102" s="13">
        <f t="shared" si="77"/>
        <v>0</v>
      </c>
      <c r="CN102" s="12"/>
      <c r="CO102" s="13">
        <f t="shared" si="78"/>
        <v>0</v>
      </c>
      <c r="CP102" s="12"/>
      <c r="CQ102" s="13">
        <f t="shared" si="79"/>
        <v>0</v>
      </c>
      <c r="CR102" s="12"/>
      <c r="CS102" s="13">
        <f t="shared" si="80"/>
        <v>0</v>
      </c>
      <c r="CT102" s="12"/>
      <c r="CU102" s="13">
        <f t="shared" si="81"/>
        <v>0</v>
      </c>
      <c r="CV102" s="12"/>
      <c r="CW102" s="13">
        <f t="shared" si="82"/>
        <v>0</v>
      </c>
      <c r="CX102" s="12"/>
      <c r="CY102" s="13">
        <f t="shared" si="83"/>
        <v>0</v>
      </c>
      <c r="CZ102" s="12"/>
      <c r="DA102" s="13">
        <f t="shared" si="84"/>
        <v>0</v>
      </c>
      <c r="DB102" s="12"/>
      <c r="DC102" s="13">
        <f t="shared" si="85"/>
        <v>0</v>
      </c>
      <c r="DD102" s="12"/>
      <c r="DE102" s="13">
        <f t="shared" si="86"/>
        <v>0</v>
      </c>
      <c r="DF102" s="64">
        <f t="shared" si="87"/>
        <v>0</v>
      </c>
      <c r="DG102" s="15">
        <f t="shared" si="88"/>
        <v>0</v>
      </c>
      <c r="DH102" s="31"/>
      <c r="DI102" s="13">
        <f t="shared" si="89"/>
        <v>0</v>
      </c>
      <c r="DJ102" s="12"/>
      <c r="DK102" s="13">
        <f t="shared" si="90"/>
        <v>0</v>
      </c>
      <c r="DL102" s="12"/>
      <c r="DM102" s="13">
        <f t="shared" si="72"/>
        <v>0</v>
      </c>
      <c r="DN102" s="12"/>
      <c r="DO102" s="13">
        <f t="shared" si="74"/>
        <v>0</v>
      </c>
      <c r="DP102" s="12"/>
      <c r="DQ102" s="13">
        <f t="shared" si="91"/>
        <v>0</v>
      </c>
      <c r="DR102" s="12"/>
      <c r="DS102" s="13">
        <f t="shared" si="92"/>
        <v>0</v>
      </c>
      <c r="DT102" s="12"/>
      <c r="DU102" s="13">
        <f t="shared" si="73"/>
        <v>0</v>
      </c>
      <c r="DV102" s="12"/>
      <c r="DW102" s="13">
        <f t="shared" si="93"/>
        <v>0</v>
      </c>
      <c r="DX102" s="12"/>
      <c r="DY102" s="13">
        <f t="shared" si="94"/>
        <v>0</v>
      </c>
      <c r="DZ102" s="12"/>
      <c r="EA102" s="13">
        <f t="shared" si="95"/>
        <v>0</v>
      </c>
      <c r="EB102" s="12"/>
      <c r="EC102" s="13">
        <f t="shared" si="99"/>
        <v>0</v>
      </c>
      <c r="ED102" s="12"/>
      <c r="EE102" s="13">
        <f t="shared" si="96"/>
        <v>0</v>
      </c>
      <c r="EF102" s="24">
        <f t="shared" si="97"/>
        <v>0</v>
      </c>
      <c r="EG102" s="13">
        <f t="shared" si="98"/>
        <v>0</v>
      </c>
    </row>
    <row r="103" spans="1:137" ht="18" x14ac:dyDescent="0.5">
      <c r="A103" s="10">
        <v>83</v>
      </c>
      <c r="B103" s="11" t="s">
        <v>85</v>
      </c>
      <c r="C103" s="11" t="s">
        <v>17</v>
      </c>
      <c r="D103" s="10"/>
      <c r="E103" s="10">
        <v>0.6</v>
      </c>
      <c r="F103" s="10" t="s">
        <v>38</v>
      </c>
      <c r="G103" s="10"/>
      <c r="H103" s="12"/>
      <c r="I103" s="13"/>
      <c r="J103" s="12"/>
      <c r="K103" s="13"/>
      <c r="L103" s="12"/>
      <c r="M103" s="13"/>
      <c r="N103" s="12"/>
      <c r="O103" s="13"/>
      <c r="P103" s="12"/>
      <c r="Q103" s="13"/>
      <c r="R103" s="12"/>
      <c r="S103" s="13"/>
      <c r="T103" s="12"/>
      <c r="U103" s="13"/>
      <c r="V103" s="12"/>
      <c r="W103" s="13"/>
      <c r="X103" s="12"/>
      <c r="Y103" s="13"/>
      <c r="Z103" s="12"/>
      <c r="AA103" s="13"/>
      <c r="AB103" s="12"/>
      <c r="AC103" s="13"/>
      <c r="AD103" s="12"/>
      <c r="AE103" s="13"/>
      <c r="AF103" s="14"/>
      <c r="AG103" s="15"/>
      <c r="AH103" s="12"/>
      <c r="AI103" s="13"/>
      <c r="AJ103" s="12"/>
      <c r="AK103" s="13"/>
      <c r="AL103" s="12"/>
      <c r="AM103" s="13"/>
      <c r="AN103" s="12"/>
      <c r="AO103" s="13"/>
      <c r="AP103" s="12"/>
      <c r="AQ103" s="13"/>
      <c r="AR103" s="12"/>
      <c r="AS103" s="13"/>
      <c r="AT103" s="12"/>
      <c r="AU103" s="13"/>
      <c r="AV103" s="12"/>
      <c r="AW103" s="13"/>
      <c r="AX103" s="12"/>
      <c r="AY103" s="13"/>
      <c r="AZ103" s="12"/>
      <c r="BA103" s="13"/>
      <c r="BB103" s="12"/>
      <c r="BC103" s="13"/>
      <c r="BD103" s="12"/>
      <c r="BE103" s="13"/>
      <c r="BF103" s="14"/>
      <c r="BG103" s="15"/>
      <c r="BH103" s="18"/>
      <c r="BI103" s="57"/>
      <c r="BJ103" s="18"/>
      <c r="BK103" s="57"/>
      <c r="BL103" s="18"/>
      <c r="BM103" s="57"/>
      <c r="BN103" s="18"/>
      <c r="BO103" s="57"/>
      <c r="BP103" s="18"/>
      <c r="BQ103" s="57"/>
      <c r="BR103" s="18"/>
      <c r="BS103" s="57"/>
      <c r="BT103" s="18"/>
      <c r="BU103" s="57"/>
      <c r="BV103" s="18"/>
      <c r="BW103" s="57"/>
      <c r="BX103" s="18"/>
      <c r="BY103" s="57"/>
      <c r="BZ103" s="18"/>
      <c r="CA103" s="57"/>
      <c r="CB103" s="18"/>
      <c r="CC103" s="57"/>
      <c r="CD103" s="18"/>
      <c r="CE103" s="57"/>
      <c r="CF103" s="14"/>
      <c r="CG103" s="15"/>
      <c r="CH103" s="31"/>
      <c r="CI103" s="13">
        <f t="shared" si="75"/>
        <v>0</v>
      </c>
      <c r="CJ103" s="12"/>
      <c r="CK103" s="13">
        <f t="shared" si="76"/>
        <v>0</v>
      </c>
      <c r="CL103" s="12"/>
      <c r="CM103" s="13">
        <f t="shared" si="77"/>
        <v>0</v>
      </c>
      <c r="CN103" s="12"/>
      <c r="CO103" s="13">
        <f t="shared" si="78"/>
        <v>0</v>
      </c>
      <c r="CP103" s="12"/>
      <c r="CQ103" s="13">
        <f t="shared" si="79"/>
        <v>0</v>
      </c>
      <c r="CR103" s="12"/>
      <c r="CS103" s="13">
        <f t="shared" si="80"/>
        <v>0</v>
      </c>
      <c r="CT103" s="12"/>
      <c r="CU103" s="13">
        <f t="shared" si="81"/>
        <v>0</v>
      </c>
      <c r="CV103" s="12"/>
      <c r="CW103" s="13">
        <f t="shared" si="82"/>
        <v>0</v>
      </c>
      <c r="CX103" s="12"/>
      <c r="CY103" s="13">
        <f t="shared" si="83"/>
        <v>0</v>
      </c>
      <c r="CZ103" s="12"/>
      <c r="DA103" s="13">
        <f t="shared" si="84"/>
        <v>0</v>
      </c>
      <c r="DB103" s="12"/>
      <c r="DC103" s="13">
        <f t="shared" si="85"/>
        <v>0</v>
      </c>
      <c r="DD103" s="12"/>
      <c r="DE103" s="13">
        <f t="shared" si="86"/>
        <v>0</v>
      </c>
      <c r="DF103" s="64">
        <f t="shared" si="87"/>
        <v>0</v>
      </c>
      <c r="DG103" s="15">
        <f t="shared" si="88"/>
        <v>0</v>
      </c>
      <c r="DH103" s="31"/>
      <c r="DI103" s="13">
        <f t="shared" si="89"/>
        <v>0</v>
      </c>
      <c r="DJ103" s="12"/>
      <c r="DK103" s="13">
        <f t="shared" si="90"/>
        <v>0</v>
      </c>
      <c r="DL103" s="12"/>
      <c r="DM103" s="13">
        <f t="shared" si="72"/>
        <v>0</v>
      </c>
      <c r="DN103" s="12"/>
      <c r="DO103" s="13">
        <f t="shared" si="74"/>
        <v>0</v>
      </c>
      <c r="DP103" s="12"/>
      <c r="DQ103" s="13">
        <f t="shared" si="91"/>
        <v>0</v>
      </c>
      <c r="DR103" s="12"/>
      <c r="DS103" s="13">
        <f t="shared" si="92"/>
        <v>0</v>
      </c>
      <c r="DT103" s="12"/>
      <c r="DU103" s="13">
        <f t="shared" si="73"/>
        <v>0</v>
      </c>
      <c r="DV103" s="12"/>
      <c r="DW103" s="13">
        <f t="shared" si="93"/>
        <v>0</v>
      </c>
      <c r="DX103" s="12"/>
      <c r="DY103" s="13">
        <f t="shared" si="94"/>
        <v>0</v>
      </c>
      <c r="DZ103" s="12"/>
      <c r="EA103" s="13">
        <f t="shared" si="95"/>
        <v>0</v>
      </c>
      <c r="EB103" s="12"/>
      <c r="EC103" s="13">
        <f t="shared" si="99"/>
        <v>0</v>
      </c>
      <c r="ED103" s="12"/>
      <c r="EE103" s="13">
        <f t="shared" si="96"/>
        <v>0</v>
      </c>
      <c r="EF103" s="24">
        <f t="shared" si="97"/>
        <v>0</v>
      </c>
      <c r="EG103" s="13">
        <f t="shared" si="98"/>
        <v>0</v>
      </c>
    </row>
    <row r="104" spans="1:137" ht="18" x14ac:dyDescent="0.5">
      <c r="A104" s="10"/>
      <c r="B104" s="11"/>
      <c r="C104" s="11"/>
      <c r="D104" s="10"/>
      <c r="E104" s="10"/>
      <c r="F104" s="10"/>
      <c r="G104" s="10"/>
      <c r="H104" s="12"/>
      <c r="I104" s="13"/>
      <c r="J104" s="12"/>
      <c r="K104" s="13"/>
      <c r="L104" s="12"/>
      <c r="M104" s="13"/>
      <c r="N104" s="12"/>
      <c r="O104" s="13"/>
      <c r="P104" s="12"/>
      <c r="Q104" s="13"/>
      <c r="R104" s="12"/>
      <c r="S104" s="13"/>
      <c r="T104" s="12"/>
      <c r="U104" s="13"/>
      <c r="V104" s="12"/>
      <c r="W104" s="13"/>
      <c r="X104" s="12"/>
      <c r="Y104" s="13"/>
      <c r="Z104" s="12"/>
      <c r="AA104" s="13"/>
      <c r="AB104" s="12"/>
      <c r="AC104" s="13"/>
      <c r="AD104" s="12"/>
      <c r="AE104" s="13"/>
      <c r="AF104" s="14"/>
      <c r="AG104" s="15"/>
      <c r="AH104" s="12"/>
      <c r="AI104" s="13"/>
      <c r="AJ104" s="12"/>
      <c r="AK104" s="13"/>
      <c r="AL104" s="12"/>
      <c r="AM104" s="13"/>
      <c r="AN104" s="12"/>
      <c r="AO104" s="13"/>
      <c r="AP104" s="12"/>
      <c r="AQ104" s="13"/>
      <c r="AR104" s="12"/>
      <c r="AS104" s="13"/>
      <c r="AT104" s="12"/>
      <c r="AU104" s="13"/>
      <c r="AV104" s="12"/>
      <c r="AW104" s="13"/>
      <c r="AX104" s="12"/>
      <c r="AY104" s="13"/>
      <c r="AZ104" s="12"/>
      <c r="BA104" s="13"/>
      <c r="BB104" s="12"/>
      <c r="BC104" s="13"/>
      <c r="BD104" s="12"/>
      <c r="BE104" s="13"/>
      <c r="BF104" s="14"/>
      <c r="BG104" s="15"/>
      <c r="BH104" s="18"/>
      <c r="BI104" s="57"/>
      <c r="BJ104" s="18"/>
      <c r="BK104" s="57"/>
      <c r="BL104" s="18"/>
      <c r="BM104" s="57"/>
      <c r="BN104" s="18"/>
      <c r="BO104" s="57"/>
      <c r="BP104" s="18"/>
      <c r="BQ104" s="57"/>
      <c r="BR104" s="18"/>
      <c r="BS104" s="57"/>
      <c r="BT104" s="18"/>
      <c r="BU104" s="57"/>
      <c r="BV104" s="18"/>
      <c r="BW104" s="57"/>
      <c r="BX104" s="18"/>
      <c r="BY104" s="57"/>
      <c r="BZ104" s="18"/>
      <c r="CA104" s="57"/>
      <c r="CB104" s="18"/>
      <c r="CC104" s="57"/>
      <c r="CD104" s="18"/>
      <c r="CE104" s="57"/>
      <c r="CF104" s="14"/>
      <c r="CG104" s="15"/>
      <c r="CH104" s="31"/>
      <c r="CI104" s="13">
        <f t="shared" si="75"/>
        <v>0</v>
      </c>
      <c r="CJ104" s="12"/>
      <c r="CK104" s="13">
        <f t="shared" si="76"/>
        <v>0</v>
      </c>
      <c r="CL104" s="12"/>
      <c r="CM104" s="13">
        <f t="shared" si="77"/>
        <v>0</v>
      </c>
      <c r="CN104" s="12"/>
      <c r="CO104" s="13">
        <f t="shared" si="78"/>
        <v>0</v>
      </c>
      <c r="CP104" s="12"/>
      <c r="CQ104" s="13">
        <f t="shared" si="79"/>
        <v>0</v>
      </c>
      <c r="CR104" s="12"/>
      <c r="CS104" s="13">
        <f t="shared" si="80"/>
        <v>0</v>
      </c>
      <c r="CT104" s="12"/>
      <c r="CU104" s="13">
        <f t="shared" si="81"/>
        <v>0</v>
      </c>
      <c r="CV104" s="12"/>
      <c r="CW104" s="13">
        <f t="shared" si="82"/>
        <v>0</v>
      </c>
      <c r="CX104" s="12"/>
      <c r="CY104" s="13">
        <f t="shared" si="83"/>
        <v>0</v>
      </c>
      <c r="CZ104" s="12"/>
      <c r="DA104" s="13">
        <f t="shared" si="84"/>
        <v>0</v>
      </c>
      <c r="DB104" s="12"/>
      <c r="DC104" s="13">
        <f t="shared" si="85"/>
        <v>0</v>
      </c>
      <c r="DD104" s="12"/>
      <c r="DE104" s="13">
        <f t="shared" si="86"/>
        <v>0</v>
      </c>
      <c r="DF104" s="64">
        <f t="shared" si="87"/>
        <v>0</v>
      </c>
      <c r="DG104" s="15">
        <f t="shared" si="88"/>
        <v>0</v>
      </c>
      <c r="DH104" s="31"/>
      <c r="DI104" s="13">
        <f t="shared" si="89"/>
        <v>0</v>
      </c>
      <c r="DJ104" s="12"/>
      <c r="DK104" s="13">
        <f t="shared" si="90"/>
        <v>0</v>
      </c>
      <c r="DL104" s="12"/>
      <c r="DM104" s="13">
        <f t="shared" si="72"/>
        <v>0</v>
      </c>
      <c r="DN104" s="12"/>
      <c r="DO104" s="13">
        <f t="shared" si="74"/>
        <v>0</v>
      </c>
      <c r="DP104" s="12"/>
      <c r="DQ104" s="13">
        <f t="shared" si="91"/>
        <v>0</v>
      </c>
      <c r="DR104" s="12"/>
      <c r="DS104" s="13">
        <f t="shared" si="92"/>
        <v>0</v>
      </c>
      <c r="DT104" s="12"/>
      <c r="DU104" s="13">
        <f t="shared" si="73"/>
        <v>0</v>
      </c>
      <c r="DV104" s="12"/>
      <c r="DW104" s="13">
        <f t="shared" si="93"/>
        <v>0</v>
      </c>
      <c r="DX104" s="12"/>
      <c r="DY104" s="13">
        <f t="shared" si="94"/>
        <v>0</v>
      </c>
      <c r="DZ104" s="12"/>
      <c r="EA104" s="13">
        <f t="shared" si="95"/>
        <v>0</v>
      </c>
      <c r="EB104" s="12"/>
      <c r="EC104" s="13">
        <f t="shared" si="99"/>
        <v>0</v>
      </c>
      <c r="ED104" s="12"/>
      <c r="EE104" s="13">
        <f t="shared" si="96"/>
        <v>0</v>
      </c>
      <c r="EF104" s="24">
        <f t="shared" si="97"/>
        <v>0</v>
      </c>
      <c r="EG104" s="13">
        <f t="shared" si="98"/>
        <v>0</v>
      </c>
    </row>
    <row r="105" spans="1:137" ht="18" customHeight="1" x14ac:dyDescent="0.5">
      <c r="A105" s="10">
        <v>84</v>
      </c>
      <c r="B105" s="11" t="s">
        <v>86</v>
      </c>
      <c r="C105" s="11" t="s">
        <v>17</v>
      </c>
      <c r="D105" s="10"/>
      <c r="E105" s="10">
        <v>1</v>
      </c>
      <c r="F105" s="10" t="s">
        <v>38</v>
      </c>
      <c r="G105" s="10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4">
        <f t="shared" si="100"/>
        <v>0</v>
      </c>
      <c r="AG105" s="15"/>
      <c r="AH105" s="16"/>
      <c r="AI105" s="13"/>
      <c r="AJ105" s="17"/>
      <c r="AK105" s="13"/>
      <c r="AL105" s="17"/>
      <c r="AM105" s="13"/>
      <c r="AN105" s="18"/>
      <c r="AO105" s="13"/>
      <c r="AP105" s="17"/>
      <c r="AQ105" s="13"/>
      <c r="AR105" s="17"/>
      <c r="AS105" s="13"/>
      <c r="AT105" s="19"/>
      <c r="AU105" s="13"/>
      <c r="AV105" s="17"/>
      <c r="AW105" s="13"/>
      <c r="AX105" s="17"/>
      <c r="AY105" s="13"/>
      <c r="AZ105" s="19"/>
      <c r="BA105" s="13"/>
      <c r="BB105" s="20"/>
      <c r="BC105" s="13"/>
      <c r="BD105" s="20"/>
      <c r="BE105" s="13"/>
      <c r="BF105" s="14">
        <f t="shared" si="101"/>
        <v>0</v>
      </c>
      <c r="BG105" s="15"/>
      <c r="BH105" s="18"/>
      <c r="BI105" s="57"/>
      <c r="BJ105" s="18"/>
      <c r="BK105" s="57"/>
      <c r="BL105" s="18"/>
      <c r="BM105" s="57"/>
      <c r="BN105" s="18"/>
      <c r="BO105" s="57"/>
      <c r="BP105" s="18"/>
      <c r="BQ105" s="57"/>
      <c r="BR105" s="18"/>
      <c r="BS105" s="57"/>
      <c r="BT105" s="18"/>
      <c r="BU105" s="57"/>
      <c r="BV105" s="18"/>
      <c r="BW105" s="57"/>
      <c r="BX105" s="18"/>
      <c r="BY105" s="57"/>
      <c r="BZ105" s="18"/>
      <c r="CA105" s="57"/>
      <c r="CB105" s="18"/>
      <c r="CC105" s="57"/>
      <c r="CD105" s="18"/>
      <c r="CE105" s="57"/>
      <c r="CF105" s="14">
        <f t="shared" si="102"/>
        <v>0</v>
      </c>
      <c r="CG105" s="15"/>
      <c r="CH105" s="12"/>
      <c r="CI105" s="13">
        <f t="shared" si="75"/>
        <v>0</v>
      </c>
      <c r="CJ105" s="12"/>
      <c r="CK105" s="13">
        <f t="shared" si="76"/>
        <v>0</v>
      </c>
      <c r="CL105" s="12"/>
      <c r="CM105" s="13">
        <f t="shared" si="77"/>
        <v>0</v>
      </c>
      <c r="CN105" s="12"/>
      <c r="CO105" s="13">
        <f t="shared" si="78"/>
        <v>0</v>
      </c>
      <c r="CP105" s="12"/>
      <c r="CQ105" s="13">
        <f t="shared" si="79"/>
        <v>0</v>
      </c>
      <c r="CR105" s="12"/>
      <c r="CS105" s="13">
        <f t="shared" si="80"/>
        <v>0</v>
      </c>
      <c r="CT105" s="12"/>
      <c r="CU105" s="13">
        <f t="shared" si="81"/>
        <v>0</v>
      </c>
      <c r="CV105" s="12"/>
      <c r="CW105" s="13">
        <f t="shared" si="82"/>
        <v>0</v>
      </c>
      <c r="CX105" s="12"/>
      <c r="CY105" s="13">
        <f t="shared" si="83"/>
        <v>0</v>
      </c>
      <c r="CZ105" s="12"/>
      <c r="DA105" s="13">
        <f t="shared" si="84"/>
        <v>0</v>
      </c>
      <c r="DB105" s="12"/>
      <c r="DC105" s="13">
        <f t="shared" si="85"/>
        <v>0</v>
      </c>
      <c r="DD105" s="12"/>
      <c r="DE105" s="13">
        <f t="shared" si="86"/>
        <v>0</v>
      </c>
      <c r="DF105" s="64">
        <f t="shared" si="87"/>
        <v>0</v>
      </c>
      <c r="DG105" s="15">
        <f t="shared" si="88"/>
        <v>0</v>
      </c>
      <c r="DH105" s="12"/>
      <c r="DI105" s="13">
        <f t="shared" si="89"/>
        <v>0</v>
      </c>
      <c r="DJ105" s="12"/>
      <c r="DK105" s="13">
        <f t="shared" si="90"/>
        <v>0</v>
      </c>
      <c r="DL105" s="12"/>
      <c r="DM105" s="13">
        <f t="shared" si="72"/>
        <v>0</v>
      </c>
      <c r="DN105" s="12"/>
      <c r="DO105" s="13">
        <f t="shared" si="74"/>
        <v>0</v>
      </c>
      <c r="DP105" s="12"/>
      <c r="DQ105" s="13">
        <f t="shared" si="91"/>
        <v>0</v>
      </c>
      <c r="DR105" s="12"/>
      <c r="DS105" s="13">
        <f t="shared" si="92"/>
        <v>0</v>
      </c>
      <c r="DT105" s="12"/>
      <c r="DU105" s="13">
        <f t="shared" si="73"/>
        <v>0</v>
      </c>
      <c r="DV105" s="12"/>
      <c r="DW105" s="13">
        <f t="shared" si="93"/>
        <v>0</v>
      </c>
      <c r="DX105" s="12"/>
      <c r="DY105" s="13">
        <f t="shared" si="94"/>
        <v>0</v>
      </c>
      <c r="DZ105" s="12"/>
      <c r="EA105" s="13">
        <f t="shared" si="95"/>
        <v>0</v>
      </c>
      <c r="EB105" s="12"/>
      <c r="EC105" s="13">
        <f t="shared" si="99"/>
        <v>0</v>
      </c>
      <c r="ED105" s="12"/>
      <c r="EE105" s="13">
        <f t="shared" si="96"/>
        <v>0</v>
      </c>
      <c r="EF105" s="24">
        <f t="shared" si="97"/>
        <v>0</v>
      </c>
      <c r="EG105" s="13">
        <f t="shared" si="98"/>
        <v>0</v>
      </c>
    </row>
    <row r="106" spans="1:137" ht="18" customHeight="1" x14ac:dyDescent="0.5">
      <c r="A106" s="10">
        <v>85</v>
      </c>
      <c r="B106" s="11" t="s">
        <v>86</v>
      </c>
      <c r="C106" s="11" t="s">
        <v>14</v>
      </c>
      <c r="D106" s="10"/>
      <c r="E106" s="10">
        <v>0.64</v>
      </c>
      <c r="F106" s="10" t="s">
        <v>25</v>
      </c>
      <c r="G106" s="10"/>
      <c r="H106" s="12"/>
      <c r="I106" s="13">
        <f>H106*$E106</f>
        <v>0</v>
      </c>
      <c r="J106" s="12"/>
      <c r="K106" s="13">
        <f>J106*$E106</f>
        <v>0</v>
      </c>
      <c r="L106" s="12"/>
      <c r="M106" s="13">
        <f>L106*$E106</f>
        <v>0</v>
      </c>
      <c r="N106" s="12"/>
      <c r="O106" s="13">
        <f>N106*$E106</f>
        <v>0</v>
      </c>
      <c r="P106" s="12"/>
      <c r="Q106" s="13">
        <f>P106*$E106</f>
        <v>0</v>
      </c>
      <c r="R106" s="12"/>
      <c r="S106" s="13">
        <f>R106*$E106</f>
        <v>0</v>
      </c>
      <c r="T106" s="12"/>
      <c r="U106" s="13">
        <f>T106*$E106</f>
        <v>0</v>
      </c>
      <c r="V106" s="12"/>
      <c r="W106" s="13">
        <f>V106*$E106</f>
        <v>0</v>
      </c>
      <c r="X106" s="12"/>
      <c r="Y106" s="13">
        <f>X106*$E106</f>
        <v>0</v>
      </c>
      <c r="Z106" s="12"/>
      <c r="AA106" s="13">
        <f>Z106*$E106</f>
        <v>0</v>
      </c>
      <c r="AB106" s="12"/>
      <c r="AC106" s="13">
        <f>AB106*$E106</f>
        <v>0</v>
      </c>
      <c r="AD106" s="12"/>
      <c r="AE106" s="13">
        <f>AD106*$E106</f>
        <v>0</v>
      </c>
      <c r="AF106" s="14">
        <f>(AD106+AB106+Z106+X106+V106+T106+R106+P106+N106+L106+J106+H106)/12</f>
        <v>0</v>
      </c>
      <c r="AG106" s="15">
        <f>AF106*$E106</f>
        <v>0</v>
      </c>
      <c r="AH106" s="16"/>
      <c r="AI106" s="13">
        <f>AH106*$E106</f>
        <v>0</v>
      </c>
      <c r="AJ106" s="17"/>
      <c r="AK106" s="13">
        <f>AJ106*$E106</f>
        <v>0</v>
      </c>
      <c r="AL106" s="17"/>
      <c r="AM106" s="13">
        <f>AL106*$E106</f>
        <v>0</v>
      </c>
      <c r="AN106" s="18"/>
      <c r="AO106" s="13">
        <f>AN106*$E106</f>
        <v>0</v>
      </c>
      <c r="AP106" s="17"/>
      <c r="AQ106" s="13">
        <f>AP106*$E106</f>
        <v>0</v>
      </c>
      <c r="AR106" s="17"/>
      <c r="AS106" s="13">
        <f>AR106*$E106</f>
        <v>0</v>
      </c>
      <c r="AT106" s="19"/>
      <c r="AU106" s="13">
        <f>AT106*$E106</f>
        <v>0</v>
      </c>
      <c r="AV106" s="17"/>
      <c r="AW106" s="13">
        <f>AV106*$E106</f>
        <v>0</v>
      </c>
      <c r="AX106" s="17"/>
      <c r="AY106" s="13">
        <f>AX106*$E106</f>
        <v>0</v>
      </c>
      <c r="AZ106" s="19"/>
      <c r="BA106" s="13">
        <f>AZ106*$E106</f>
        <v>0</v>
      </c>
      <c r="BB106" s="20"/>
      <c r="BC106" s="13">
        <f>BB106*$E106</f>
        <v>0</v>
      </c>
      <c r="BD106" s="20"/>
      <c r="BE106" s="13">
        <f>BD106*$E106</f>
        <v>0</v>
      </c>
      <c r="BF106" s="14">
        <f>(BD106+BB106+AZ106+AX106+AV106+AT106+AR106+AP106+AN106+AL106+AJ106+AH106)/12</f>
        <v>0</v>
      </c>
      <c r="BG106" s="15">
        <f>BF106*$E106</f>
        <v>0</v>
      </c>
      <c r="BH106" s="18"/>
      <c r="BI106" s="57">
        <f>BH106*$E106</f>
        <v>0</v>
      </c>
      <c r="BJ106" s="18"/>
      <c r="BK106" s="57">
        <f>BJ106*$E106</f>
        <v>0</v>
      </c>
      <c r="BL106" s="18"/>
      <c r="BM106" s="57">
        <f>BL106*$E106</f>
        <v>0</v>
      </c>
      <c r="BN106" s="18"/>
      <c r="BO106" s="57">
        <f>BN106*$E106</f>
        <v>0</v>
      </c>
      <c r="BP106" s="18"/>
      <c r="BQ106" s="57">
        <f>BP106*$E106</f>
        <v>0</v>
      </c>
      <c r="BR106" s="18"/>
      <c r="BS106" s="57">
        <f>BR106*$E106</f>
        <v>0</v>
      </c>
      <c r="BT106" s="18"/>
      <c r="BU106" s="57">
        <f>BT106*$E106</f>
        <v>0</v>
      </c>
      <c r="BV106" s="18"/>
      <c r="BW106" s="57">
        <f>BV106*$E106</f>
        <v>0</v>
      </c>
      <c r="BX106" s="18"/>
      <c r="BY106" s="57">
        <f>BX106*$E106</f>
        <v>0</v>
      </c>
      <c r="BZ106" s="18"/>
      <c r="CA106" s="57">
        <f>BZ106*$E106</f>
        <v>0</v>
      </c>
      <c r="CB106" s="18"/>
      <c r="CC106" s="57">
        <f>CB106*$E106</f>
        <v>0</v>
      </c>
      <c r="CD106" s="18"/>
      <c r="CE106" s="57">
        <f>CD106*$E106</f>
        <v>0</v>
      </c>
      <c r="CF106" s="14">
        <f>(CD106+CB106+BZ106+BX106+BV106+BT106+BR106+BP106+BN106+BL106+BJ106+BH106)/12</f>
        <v>0</v>
      </c>
      <c r="CG106" s="15">
        <f>CF106*$E106</f>
        <v>0</v>
      </c>
      <c r="CH106" s="12"/>
      <c r="CI106" s="13">
        <f t="shared" si="75"/>
        <v>0</v>
      </c>
      <c r="CJ106" s="12"/>
      <c r="CK106" s="13">
        <f t="shared" si="76"/>
        <v>0</v>
      </c>
      <c r="CL106" s="12"/>
      <c r="CM106" s="13">
        <f t="shared" si="77"/>
        <v>0</v>
      </c>
      <c r="CN106" s="12"/>
      <c r="CO106" s="13">
        <f t="shared" si="78"/>
        <v>0</v>
      </c>
      <c r="CP106" s="12"/>
      <c r="CQ106" s="13">
        <f t="shared" si="79"/>
        <v>0</v>
      </c>
      <c r="CR106" s="12"/>
      <c r="CS106" s="13">
        <f t="shared" si="80"/>
        <v>0</v>
      </c>
      <c r="CT106" s="12"/>
      <c r="CU106" s="13">
        <f t="shared" si="81"/>
        <v>0</v>
      </c>
      <c r="CV106" s="12"/>
      <c r="CW106" s="13">
        <f t="shared" si="82"/>
        <v>0</v>
      </c>
      <c r="CX106" s="12"/>
      <c r="CY106" s="13">
        <f t="shared" si="83"/>
        <v>0</v>
      </c>
      <c r="CZ106" s="12"/>
      <c r="DA106" s="13">
        <f t="shared" si="84"/>
        <v>0</v>
      </c>
      <c r="DB106" s="12"/>
      <c r="DC106" s="13">
        <f t="shared" si="85"/>
        <v>0</v>
      </c>
      <c r="DD106" s="12"/>
      <c r="DE106" s="13">
        <f t="shared" si="86"/>
        <v>0</v>
      </c>
      <c r="DF106" s="64">
        <f t="shared" si="87"/>
        <v>0</v>
      </c>
      <c r="DG106" s="15">
        <f t="shared" si="88"/>
        <v>0</v>
      </c>
      <c r="DH106" s="12"/>
      <c r="DI106" s="13">
        <f t="shared" si="89"/>
        <v>0</v>
      </c>
      <c r="DJ106" s="12"/>
      <c r="DK106" s="13">
        <f t="shared" si="90"/>
        <v>0</v>
      </c>
      <c r="DL106" s="12"/>
      <c r="DM106" s="13">
        <f t="shared" ref="DM106:DM129" si="159">DL106*$E106</f>
        <v>0</v>
      </c>
      <c r="DN106" s="12"/>
      <c r="DO106" s="13">
        <f t="shared" si="74"/>
        <v>0</v>
      </c>
      <c r="DP106" s="12"/>
      <c r="DQ106" s="13">
        <f t="shared" si="91"/>
        <v>0</v>
      </c>
      <c r="DR106" s="12"/>
      <c r="DS106" s="13">
        <f t="shared" si="92"/>
        <v>0</v>
      </c>
      <c r="DT106" s="12"/>
      <c r="DU106" s="13">
        <f t="shared" si="73"/>
        <v>0</v>
      </c>
      <c r="DV106" s="12"/>
      <c r="DW106" s="13">
        <f t="shared" si="93"/>
        <v>0</v>
      </c>
      <c r="DX106" s="12"/>
      <c r="DY106" s="13">
        <f t="shared" si="94"/>
        <v>0</v>
      </c>
      <c r="DZ106" s="12"/>
      <c r="EA106" s="13">
        <f t="shared" si="95"/>
        <v>0</v>
      </c>
      <c r="EB106" s="12"/>
      <c r="EC106" s="13">
        <f t="shared" si="99"/>
        <v>0</v>
      </c>
      <c r="ED106" s="12"/>
      <c r="EE106" s="13">
        <f t="shared" si="96"/>
        <v>0</v>
      </c>
      <c r="EF106" s="24">
        <f t="shared" si="97"/>
        <v>0</v>
      </c>
      <c r="EG106" s="13">
        <f t="shared" si="98"/>
        <v>0</v>
      </c>
    </row>
    <row r="107" spans="1:137" ht="18" x14ac:dyDescent="0.5">
      <c r="A107" s="10">
        <v>86</v>
      </c>
      <c r="B107" s="11" t="s">
        <v>86</v>
      </c>
      <c r="C107" s="11" t="s">
        <v>17</v>
      </c>
      <c r="D107" s="10"/>
      <c r="E107" s="10">
        <v>0.6</v>
      </c>
      <c r="F107" s="10" t="s">
        <v>38</v>
      </c>
      <c r="G107" s="10"/>
      <c r="H107" s="12"/>
      <c r="I107" s="13"/>
      <c r="J107" s="12"/>
      <c r="K107" s="13"/>
      <c r="L107" s="12"/>
      <c r="M107" s="13"/>
      <c r="N107" s="12"/>
      <c r="O107" s="13"/>
      <c r="P107" s="12"/>
      <c r="Q107" s="13"/>
      <c r="R107" s="12"/>
      <c r="S107" s="13"/>
      <c r="T107" s="12"/>
      <c r="U107" s="13"/>
      <c r="V107" s="12"/>
      <c r="W107" s="13"/>
      <c r="X107" s="12"/>
      <c r="Y107" s="13"/>
      <c r="Z107" s="12"/>
      <c r="AA107" s="13"/>
      <c r="AB107" s="12"/>
      <c r="AC107" s="13"/>
      <c r="AD107" s="12"/>
      <c r="AE107" s="13"/>
      <c r="AF107" s="14"/>
      <c r="AG107" s="15"/>
      <c r="AH107" s="12"/>
      <c r="AI107" s="13"/>
      <c r="AJ107" s="12"/>
      <c r="AK107" s="13"/>
      <c r="AL107" s="12"/>
      <c r="AM107" s="13"/>
      <c r="AN107" s="12"/>
      <c r="AO107" s="13"/>
      <c r="AP107" s="12"/>
      <c r="AQ107" s="13"/>
      <c r="AR107" s="12"/>
      <c r="AS107" s="13"/>
      <c r="AT107" s="12"/>
      <c r="AU107" s="13"/>
      <c r="AV107" s="12"/>
      <c r="AW107" s="13"/>
      <c r="AX107" s="12"/>
      <c r="AY107" s="13"/>
      <c r="AZ107" s="12"/>
      <c r="BA107" s="13"/>
      <c r="BB107" s="12"/>
      <c r="BC107" s="13"/>
      <c r="BD107" s="12"/>
      <c r="BE107" s="13"/>
      <c r="BF107" s="14"/>
      <c r="BG107" s="15"/>
      <c r="BH107" s="18"/>
      <c r="BI107" s="57"/>
      <c r="BJ107" s="18"/>
      <c r="BK107" s="57"/>
      <c r="BL107" s="18"/>
      <c r="BM107" s="57"/>
      <c r="BN107" s="18"/>
      <c r="BO107" s="57"/>
      <c r="BP107" s="18"/>
      <c r="BQ107" s="57"/>
      <c r="BR107" s="18"/>
      <c r="BS107" s="57"/>
      <c r="BT107" s="18"/>
      <c r="BU107" s="57"/>
      <c r="BV107" s="18"/>
      <c r="BW107" s="57"/>
      <c r="BX107" s="18"/>
      <c r="BY107" s="57"/>
      <c r="BZ107" s="18"/>
      <c r="CA107" s="57"/>
      <c r="CB107" s="18"/>
      <c r="CC107" s="57"/>
      <c r="CD107" s="18"/>
      <c r="CE107" s="57"/>
      <c r="CF107" s="14"/>
      <c r="CG107" s="15"/>
      <c r="CH107" s="31"/>
      <c r="CI107" s="13">
        <f t="shared" si="75"/>
        <v>0</v>
      </c>
      <c r="CJ107" s="12"/>
      <c r="CK107" s="13">
        <f t="shared" si="76"/>
        <v>0</v>
      </c>
      <c r="CL107" s="12"/>
      <c r="CM107" s="13">
        <f t="shared" si="77"/>
        <v>0</v>
      </c>
      <c r="CN107" s="12"/>
      <c r="CO107" s="13">
        <f t="shared" si="78"/>
        <v>0</v>
      </c>
      <c r="CP107" s="12"/>
      <c r="CQ107" s="13">
        <f t="shared" si="79"/>
        <v>0</v>
      </c>
      <c r="CR107" s="12"/>
      <c r="CS107" s="13">
        <f t="shared" si="80"/>
        <v>0</v>
      </c>
      <c r="CT107" s="12"/>
      <c r="CU107" s="13">
        <f t="shared" si="81"/>
        <v>0</v>
      </c>
      <c r="CV107" s="12"/>
      <c r="CW107" s="13">
        <f t="shared" si="82"/>
        <v>0</v>
      </c>
      <c r="CX107" s="12"/>
      <c r="CY107" s="13">
        <f t="shared" si="83"/>
        <v>0</v>
      </c>
      <c r="CZ107" s="12"/>
      <c r="DA107" s="13">
        <f t="shared" si="84"/>
        <v>0</v>
      </c>
      <c r="DB107" s="12"/>
      <c r="DC107" s="13">
        <f t="shared" si="85"/>
        <v>0</v>
      </c>
      <c r="DD107" s="12"/>
      <c r="DE107" s="13">
        <f t="shared" si="86"/>
        <v>0</v>
      </c>
      <c r="DF107" s="64">
        <f t="shared" si="87"/>
        <v>0</v>
      </c>
      <c r="DG107" s="15">
        <f t="shared" si="88"/>
        <v>0</v>
      </c>
      <c r="DH107" s="31"/>
      <c r="DI107" s="13">
        <f t="shared" si="89"/>
        <v>0</v>
      </c>
      <c r="DJ107" s="12"/>
      <c r="DK107" s="13">
        <f t="shared" si="90"/>
        <v>0</v>
      </c>
      <c r="DL107" s="12"/>
      <c r="DM107" s="13">
        <f t="shared" si="159"/>
        <v>0</v>
      </c>
      <c r="DN107" s="12"/>
      <c r="DO107" s="13">
        <f t="shared" si="74"/>
        <v>0</v>
      </c>
      <c r="DP107" s="12"/>
      <c r="DQ107" s="13">
        <f t="shared" si="91"/>
        <v>0</v>
      </c>
      <c r="DR107" s="12"/>
      <c r="DS107" s="13">
        <f t="shared" si="92"/>
        <v>0</v>
      </c>
      <c r="DT107" s="12"/>
      <c r="DU107" s="13">
        <f t="shared" si="73"/>
        <v>0</v>
      </c>
      <c r="DV107" s="12"/>
      <c r="DW107" s="13">
        <f t="shared" si="93"/>
        <v>0</v>
      </c>
      <c r="DX107" s="12"/>
      <c r="DY107" s="13">
        <f t="shared" si="94"/>
        <v>0</v>
      </c>
      <c r="DZ107" s="12"/>
      <c r="EA107" s="13">
        <f t="shared" si="95"/>
        <v>0</v>
      </c>
      <c r="EB107" s="12"/>
      <c r="EC107" s="13">
        <f t="shared" si="99"/>
        <v>0</v>
      </c>
      <c r="ED107" s="12"/>
      <c r="EE107" s="13">
        <f t="shared" si="96"/>
        <v>0</v>
      </c>
      <c r="EF107" s="24">
        <f t="shared" si="97"/>
        <v>0</v>
      </c>
      <c r="EG107" s="13">
        <f t="shared" si="98"/>
        <v>0</v>
      </c>
    </row>
    <row r="108" spans="1:137" ht="18" x14ac:dyDescent="0.5">
      <c r="A108" s="10"/>
      <c r="B108" s="11"/>
      <c r="C108" s="11"/>
      <c r="D108" s="10"/>
      <c r="E108" s="10"/>
      <c r="F108" s="10"/>
      <c r="G108" s="10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4"/>
      <c r="AG108" s="15"/>
      <c r="AH108" s="12"/>
      <c r="AI108" s="13"/>
      <c r="AJ108" s="12"/>
      <c r="AK108" s="13"/>
      <c r="AL108" s="12"/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4"/>
      <c r="BG108" s="15"/>
      <c r="BH108" s="18"/>
      <c r="BI108" s="57"/>
      <c r="BJ108" s="18"/>
      <c r="BK108" s="57"/>
      <c r="BL108" s="18"/>
      <c r="BM108" s="57"/>
      <c r="BN108" s="18"/>
      <c r="BO108" s="57"/>
      <c r="BP108" s="18"/>
      <c r="BQ108" s="57"/>
      <c r="BR108" s="18"/>
      <c r="BS108" s="57"/>
      <c r="BT108" s="18"/>
      <c r="BU108" s="57"/>
      <c r="BV108" s="18"/>
      <c r="BW108" s="57"/>
      <c r="BX108" s="18"/>
      <c r="BY108" s="57"/>
      <c r="BZ108" s="18"/>
      <c r="CA108" s="57"/>
      <c r="CB108" s="18"/>
      <c r="CC108" s="57"/>
      <c r="CD108" s="18"/>
      <c r="CE108" s="57"/>
      <c r="CF108" s="14"/>
      <c r="CG108" s="15"/>
      <c r="CH108" s="31"/>
      <c r="CI108" s="13">
        <f t="shared" si="75"/>
        <v>0</v>
      </c>
      <c r="CJ108" s="12"/>
      <c r="CK108" s="13">
        <f t="shared" si="76"/>
        <v>0</v>
      </c>
      <c r="CL108" s="12"/>
      <c r="CM108" s="13">
        <f t="shared" si="77"/>
        <v>0</v>
      </c>
      <c r="CN108" s="12"/>
      <c r="CO108" s="13">
        <f t="shared" si="78"/>
        <v>0</v>
      </c>
      <c r="CP108" s="12"/>
      <c r="CQ108" s="13">
        <f t="shared" si="79"/>
        <v>0</v>
      </c>
      <c r="CR108" s="12"/>
      <c r="CS108" s="13">
        <f t="shared" si="80"/>
        <v>0</v>
      </c>
      <c r="CT108" s="12"/>
      <c r="CU108" s="13">
        <f t="shared" si="81"/>
        <v>0</v>
      </c>
      <c r="CV108" s="12"/>
      <c r="CW108" s="13">
        <f t="shared" si="82"/>
        <v>0</v>
      </c>
      <c r="CX108" s="12"/>
      <c r="CY108" s="13">
        <f t="shared" si="83"/>
        <v>0</v>
      </c>
      <c r="CZ108" s="12"/>
      <c r="DA108" s="13">
        <f t="shared" si="84"/>
        <v>0</v>
      </c>
      <c r="DB108" s="12"/>
      <c r="DC108" s="13">
        <f t="shared" si="85"/>
        <v>0</v>
      </c>
      <c r="DD108" s="12"/>
      <c r="DE108" s="13">
        <f t="shared" si="86"/>
        <v>0</v>
      </c>
      <c r="DF108" s="64">
        <f t="shared" si="87"/>
        <v>0</v>
      </c>
      <c r="DG108" s="15">
        <f t="shared" si="88"/>
        <v>0</v>
      </c>
      <c r="DH108" s="31"/>
      <c r="DI108" s="13">
        <f t="shared" si="89"/>
        <v>0</v>
      </c>
      <c r="DJ108" s="12"/>
      <c r="DK108" s="13">
        <f t="shared" si="90"/>
        <v>0</v>
      </c>
      <c r="DL108" s="12"/>
      <c r="DM108" s="13">
        <f t="shared" si="159"/>
        <v>0</v>
      </c>
      <c r="DN108" s="12"/>
      <c r="DO108" s="13">
        <f t="shared" si="74"/>
        <v>0</v>
      </c>
      <c r="DP108" s="12"/>
      <c r="DQ108" s="13">
        <f t="shared" si="91"/>
        <v>0</v>
      </c>
      <c r="DR108" s="12"/>
      <c r="DS108" s="13">
        <f t="shared" si="92"/>
        <v>0</v>
      </c>
      <c r="DT108" s="12"/>
      <c r="DU108" s="13">
        <f t="shared" si="73"/>
        <v>0</v>
      </c>
      <c r="DV108" s="12"/>
      <c r="DW108" s="13">
        <f t="shared" si="93"/>
        <v>0</v>
      </c>
      <c r="DX108" s="12"/>
      <c r="DY108" s="13">
        <f t="shared" si="94"/>
        <v>0</v>
      </c>
      <c r="DZ108" s="12"/>
      <c r="EA108" s="13">
        <f t="shared" si="95"/>
        <v>0</v>
      </c>
      <c r="EB108" s="12"/>
      <c r="EC108" s="13">
        <f t="shared" si="99"/>
        <v>0</v>
      </c>
      <c r="ED108" s="12"/>
      <c r="EE108" s="13">
        <f t="shared" si="96"/>
        <v>0</v>
      </c>
      <c r="EF108" s="24">
        <f t="shared" si="97"/>
        <v>0</v>
      </c>
      <c r="EG108" s="13">
        <f t="shared" si="98"/>
        <v>0</v>
      </c>
    </row>
    <row r="109" spans="1:137" ht="18" x14ac:dyDescent="0.5">
      <c r="A109" s="10">
        <v>87</v>
      </c>
      <c r="B109" s="11" t="s">
        <v>87</v>
      </c>
      <c r="C109" s="11" t="s">
        <v>17</v>
      </c>
      <c r="D109" s="10"/>
      <c r="E109" s="10">
        <v>0.6</v>
      </c>
      <c r="F109" s="10" t="s">
        <v>38</v>
      </c>
      <c r="G109" s="10"/>
      <c r="H109" s="12"/>
      <c r="I109" s="13"/>
      <c r="J109" s="12"/>
      <c r="K109" s="13"/>
      <c r="L109" s="12"/>
      <c r="M109" s="13"/>
      <c r="N109" s="12"/>
      <c r="O109" s="13"/>
      <c r="P109" s="12"/>
      <c r="Q109" s="13"/>
      <c r="R109" s="12"/>
      <c r="S109" s="13"/>
      <c r="T109" s="12"/>
      <c r="U109" s="13"/>
      <c r="V109" s="12"/>
      <c r="W109" s="13"/>
      <c r="X109" s="12"/>
      <c r="Y109" s="13"/>
      <c r="Z109" s="12"/>
      <c r="AA109" s="13"/>
      <c r="AB109" s="12"/>
      <c r="AC109" s="13"/>
      <c r="AD109" s="12"/>
      <c r="AE109" s="13"/>
      <c r="AF109" s="14"/>
      <c r="AG109" s="15"/>
      <c r="AH109" s="12"/>
      <c r="AI109" s="13"/>
      <c r="AJ109" s="12"/>
      <c r="AK109" s="13"/>
      <c r="AL109" s="12"/>
      <c r="AM109" s="13"/>
      <c r="AN109" s="12"/>
      <c r="AO109" s="13"/>
      <c r="AP109" s="12"/>
      <c r="AQ109" s="13"/>
      <c r="AR109" s="12"/>
      <c r="AS109" s="13"/>
      <c r="AT109" s="12"/>
      <c r="AU109" s="13"/>
      <c r="AV109" s="12"/>
      <c r="AW109" s="13"/>
      <c r="AX109" s="12"/>
      <c r="AY109" s="13"/>
      <c r="AZ109" s="12"/>
      <c r="BA109" s="13"/>
      <c r="BB109" s="12"/>
      <c r="BC109" s="13"/>
      <c r="BD109" s="12"/>
      <c r="BE109" s="13"/>
      <c r="BF109" s="14"/>
      <c r="BG109" s="15"/>
      <c r="BH109" s="18"/>
      <c r="BI109" s="57"/>
      <c r="BJ109" s="18"/>
      <c r="BK109" s="57"/>
      <c r="BL109" s="18"/>
      <c r="BM109" s="57"/>
      <c r="BN109" s="18"/>
      <c r="BO109" s="57"/>
      <c r="BP109" s="18"/>
      <c r="BQ109" s="57"/>
      <c r="BR109" s="18"/>
      <c r="BS109" s="57"/>
      <c r="BT109" s="18"/>
      <c r="BU109" s="57"/>
      <c r="BV109" s="18"/>
      <c r="BW109" s="57"/>
      <c r="BX109" s="18"/>
      <c r="BY109" s="57"/>
      <c r="BZ109" s="18"/>
      <c r="CA109" s="57"/>
      <c r="CB109" s="18"/>
      <c r="CC109" s="57"/>
      <c r="CD109" s="18"/>
      <c r="CE109" s="57"/>
      <c r="CF109" s="14"/>
      <c r="CG109" s="15"/>
      <c r="CH109" s="31"/>
      <c r="CI109" s="13">
        <f t="shared" si="75"/>
        <v>0</v>
      </c>
      <c r="CJ109" s="12"/>
      <c r="CK109" s="13">
        <f t="shared" si="76"/>
        <v>0</v>
      </c>
      <c r="CL109" s="12"/>
      <c r="CM109" s="13">
        <f t="shared" si="77"/>
        <v>0</v>
      </c>
      <c r="CN109" s="12"/>
      <c r="CO109" s="13">
        <f t="shared" si="78"/>
        <v>0</v>
      </c>
      <c r="CP109" s="12"/>
      <c r="CQ109" s="13">
        <f t="shared" si="79"/>
        <v>0</v>
      </c>
      <c r="CR109" s="12"/>
      <c r="CS109" s="13">
        <f t="shared" si="80"/>
        <v>0</v>
      </c>
      <c r="CT109" s="12"/>
      <c r="CU109" s="13">
        <f t="shared" si="81"/>
        <v>0</v>
      </c>
      <c r="CV109" s="12"/>
      <c r="CW109" s="13">
        <f t="shared" si="82"/>
        <v>0</v>
      </c>
      <c r="CX109" s="12"/>
      <c r="CY109" s="13">
        <f t="shared" si="83"/>
        <v>0</v>
      </c>
      <c r="CZ109" s="12"/>
      <c r="DA109" s="13">
        <f t="shared" si="84"/>
        <v>0</v>
      </c>
      <c r="DB109" s="12"/>
      <c r="DC109" s="13">
        <f t="shared" si="85"/>
        <v>0</v>
      </c>
      <c r="DD109" s="12"/>
      <c r="DE109" s="13">
        <f t="shared" si="86"/>
        <v>0</v>
      </c>
      <c r="DF109" s="64">
        <f t="shared" si="87"/>
        <v>0</v>
      </c>
      <c r="DG109" s="15">
        <f t="shared" si="88"/>
        <v>0</v>
      </c>
      <c r="DH109" s="31"/>
      <c r="DI109" s="13">
        <f t="shared" si="89"/>
        <v>0</v>
      </c>
      <c r="DJ109" s="12"/>
      <c r="DK109" s="13">
        <f t="shared" si="90"/>
        <v>0</v>
      </c>
      <c r="DL109" s="12"/>
      <c r="DM109" s="13">
        <f t="shared" si="159"/>
        <v>0</v>
      </c>
      <c r="DN109" s="12"/>
      <c r="DO109" s="13">
        <f t="shared" si="74"/>
        <v>0</v>
      </c>
      <c r="DP109" s="12"/>
      <c r="DQ109" s="13">
        <f t="shared" si="91"/>
        <v>0</v>
      </c>
      <c r="DR109" s="12"/>
      <c r="DS109" s="13">
        <f t="shared" si="92"/>
        <v>0</v>
      </c>
      <c r="DT109" s="12"/>
      <c r="DU109" s="13">
        <f t="shared" si="73"/>
        <v>0</v>
      </c>
      <c r="DV109" s="12"/>
      <c r="DW109" s="13">
        <f t="shared" si="93"/>
        <v>0</v>
      </c>
      <c r="DX109" s="12"/>
      <c r="DY109" s="13">
        <f t="shared" si="94"/>
        <v>0</v>
      </c>
      <c r="DZ109" s="12"/>
      <c r="EA109" s="13">
        <f t="shared" si="95"/>
        <v>0</v>
      </c>
      <c r="EB109" s="12"/>
      <c r="EC109" s="13">
        <f t="shared" si="99"/>
        <v>0</v>
      </c>
      <c r="ED109" s="12"/>
      <c r="EE109" s="13">
        <f t="shared" si="96"/>
        <v>0</v>
      </c>
      <c r="EF109" s="24">
        <f t="shared" si="97"/>
        <v>0</v>
      </c>
      <c r="EG109" s="13">
        <f t="shared" si="98"/>
        <v>0</v>
      </c>
    </row>
    <row r="110" spans="1:137" ht="18" x14ac:dyDescent="0.5">
      <c r="A110" s="10">
        <v>88</v>
      </c>
      <c r="B110" s="11" t="s">
        <v>87</v>
      </c>
      <c r="C110" s="11" t="s">
        <v>17</v>
      </c>
      <c r="D110" s="10"/>
      <c r="E110" s="10">
        <v>1</v>
      </c>
      <c r="F110" s="10" t="s">
        <v>38</v>
      </c>
      <c r="G110" s="10"/>
      <c r="H110" s="12"/>
      <c r="I110" s="13"/>
      <c r="J110" s="12"/>
      <c r="K110" s="13"/>
      <c r="L110" s="12"/>
      <c r="M110" s="13"/>
      <c r="N110" s="12"/>
      <c r="O110" s="13"/>
      <c r="P110" s="12"/>
      <c r="Q110" s="13"/>
      <c r="R110" s="12"/>
      <c r="S110" s="13"/>
      <c r="T110" s="12"/>
      <c r="U110" s="13"/>
      <c r="V110" s="12"/>
      <c r="W110" s="13"/>
      <c r="X110" s="12"/>
      <c r="Y110" s="13"/>
      <c r="Z110" s="12"/>
      <c r="AA110" s="13"/>
      <c r="AB110" s="12"/>
      <c r="AC110" s="13"/>
      <c r="AD110" s="12"/>
      <c r="AE110" s="13"/>
      <c r="AF110" s="14"/>
      <c r="AG110" s="15"/>
      <c r="AH110" s="12"/>
      <c r="AI110" s="13"/>
      <c r="AJ110" s="12"/>
      <c r="AK110" s="13"/>
      <c r="AL110" s="12"/>
      <c r="AM110" s="13"/>
      <c r="AN110" s="12"/>
      <c r="AO110" s="13"/>
      <c r="AP110" s="12"/>
      <c r="AQ110" s="13"/>
      <c r="AR110" s="12"/>
      <c r="AS110" s="13"/>
      <c r="AT110" s="12"/>
      <c r="AU110" s="13"/>
      <c r="AV110" s="12"/>
      <c r="AW110" s="13"/>
      <c r="AX110" s="12"/>
      <c r="AY110" s="13"/>
      <c r="AZ110" s="12"/>
      <c r="BA110" s="13"/>
      <c r="BB110" s="12"/>
      <c r="BC110" s="13"/>
      <c r="BD110" s="12"/>
      <c r="BE110" s="13"/>
      <c r="BF110" s="14"/>
      <c r="BG110" s="15"/>
      <c r="BH110" s="18"/>
      <c r="BI110" s="57"/>
      <c r="BJ110" s="18"/>
      <c r="BK110" s="57"/>
      <c r="BL110" s="18"/>
      <c r="BM110" s="57"/>
      <c r="BN110" s="18"/>
      <c r="BO110" s="57"/>
      <c r="BP110" s="18"/>
      <c r="BQ110" s="57"/>
      <c r="BR110" s="18"/>
      <c r="BS110" s="57"/>
      <c r="BT110" s="18"/>
      <c r="BU110" s="57"/>
      <c r="BV110" s="18"/>
      <c r="BW110" s="57"/>
      <c r="BX110" s="18"/>
      <c r="BY110" s="57"/>
      <c r="BZ110" s="18"/>
      <c r="CA110" s="57"/>
      <c r="CB110" s="18"/>
      <c r="CC110" s="57"/>
      <c r="CD110" s="18"/>
      <c r="CE110" s="57"/>
      <c r="CF110" s="14"/>
      <c r="CG110" s="15"/>
      <c r="CH110" s="31"/>
      <c r="CI110" s="13">
        <f t="shared" si="75"/>
        <v>0</v>
      </c>
      <c r="CJ110" s="12"/>
      <c r="CK110" s="13">
        <f t="shared" si="76"/>
        <v>0</v>
      </c>
      <c r="CL110" s="12"/>
      <c r="CM110" s="13">
        <f t="shared" si="77"/>
        <v>0</v>
      </c>
      <c r="CN110" s="12"/>
      <c r="CO110" s="13">
        <f t="shared" si="78"/>
        <v>0</v>
      </c>
      <c r="CP110" s="12"/>
      <c r="CQ110" s="13">
        <f t="shared" si="79"/>
        <v>0</v>
      </c>
      <c r="CR110" s="12"/>
      <c r="CS110" s="13">
        <f t="shared" si="80"/>
        <v>0</v>
      </c>
      <c r="CT110" s="12"/>
      <c r="CU110" s="13">
        <f t="shared" si="81"/>
        <v>0</v>
      </c>
      <c r="CV110" s="12"/>
      <c r="CW110" s="13">
        <f t="shared" si="82"/>
        <v>0</v>
      </c>
      <c r="CX110" s="12"/>
      <c r="CY110" s="13">
        <f t="shared" si="83"/>
        <v>0</v>
      </c>
      <c r="CZ110" s="12"/>
      <c r="DA110" s="13">
        <f t="shared" si="84"/>
        <v>0</v>
      </c>
      <c r="DB110" s="12"/>
      <c r="DC110" s="13">
        <f t="shared" si="85"/>
        <v>0</v>
      </c>
      <c r="DD110" s="12"/>
      <c r="DE110" s="13">
        <f t="shared" si="86"/>
        <v>0</v>
      </c>
      <c r="DF110" s="64">
        <f t="shared" si="87"/>
        <v>0</v>
      </c>
      <c r="DG110" s="15">
        <f t="shared" si="88"/>
        <v>0</v>
      </c>
      <c r="DH110" s="31"/>
      <c r="DI110" s="13">
        <f t="shared" si="89"/>
        <v>0</v>
      </c>
      <c r="DJ110" s="12"/>
      <c r="DK110" s="13">
        <f t="shared" si="90"/>
        <v>0</v>
      </c>
      <c r="DL110" s="12"/>
      <c r="DM110" s="13">
        <f t="shared" si="159"/>
        <v>0</v>
      </c>
      <c r="DN110" s="12"/>
      <c r="DO110" s="13">
        <f t="shared" si="74"/>
        <v>0</v>
      </c>
      <c r="DP110" s="12"/>
      <c r="DQ110" s="13">
        <f t="shared" si="91"/>
        <v>0</v>
      </c>
      <c r="DR110" s="12"/>
      <c r="DS110" s="13">
        <f t="shared" si="92"/>
        <v>0</v>
      </c>
      <c r="DT110" s="12"/>
      <c r="DU110" s="13">
        <f t="shared" si="73"/>
        <v>0</v>
      </c>
      <c r="DV110" s="12"/>
      <c r="DW110" s="13">
        <f t="shared" si="93"/>
        <v>0</v>
      </c>
      <c r="DX110" s="12"/>
      <c r="DY110" s="13">
        <f t="shared" si="94"/>
        <v>0</v>
      </c>
      <c r="DZ110" s="12"/>
      <c r="EA110" s="13">
        <f t="shared" si="95"/>
        <v>0</v>
      </c>
      <c r="EB110" s="12"/>
      <c r="EC110" s="13">
        <f t="shared" si="99"/>
        <v>0</v>
      </c>
      <c r="ED110" s="12"/>
      <c r="EE110" s="13">
        <f t="shared" si="96"/>
        <v>0</v>
      </c>
      <c r="EF110" s="24">
        <f t="shared" si="97"/>
        <v>0</v>
      </c>
      <c r="EG110" s="13">
        <f t="shared" si="98"/>
        <v>0</v>
      </c>
    </row>
    <row r="111" spans="1:137" ht="18" customHeight="1" x14ac:dyDescent="0.5">
      <c r="A111" s="10">
        <v>89</v>
      </c>
      <c r="B111" s="11" t="s">
        <v>87</v>
      </c>
      <c r="C111" s="11" t="s">
        <v>14</v>
      </c>
      <c r="D111" s="10"/>
      <c r="E111" s="10">
        <v>0.64</v>
      </c>
      <c r="F111" s="10" t="s">
        <v>25</v>
      </c>
      <c r="G111" s="10"/>
      <c r="H111" s="12"/>
      <c r="I111" s="13">
        <f>H111*$E111</f>
        <v>0</v>
      </c>
      <c r="J111" s="12"/>
      <c r="K111" s="13">
        <f>J111*$E111</f>
        <v>0</v>
      </c>
      <c r="L111" s="12"/>
      <c r="M111" s="13">
        <f>L111*$E111</f>
        <v>0</v>
      </c>
      <c r="N111" s="12"/>
      <c r="O111" s="13">
        <f>N111*$E111</f>
        <v>0</v>
      </c>
      <c r="P111" s="12"/>
      <c r="Q111" s="13">
        <f>P111*$E111</f>
        <v>0</v>
      </c>
      <c r="R111" s="12"/>
      <c r="S111" s="13">
        <f>R111*$E111</f>
        <v>0</v>
      </c>
      <c r="T111" s="12"/>
      <c r="U111" s="13">
        <f>T111*$E111</f>
        <v>0</v>
      </c>
      <c r="V111" s="12"/>
      <c r="W111" s="13">
        <f>V111*$E111</f>
        <v>0</v>
      </c>
      <c r="X111" s="12"/>
      <c r="Y111" s="13">
        <f>X111*$E111</f>
        <v>0</v>
      </c>
      <c r="Z111" s="12"/>
      <c r="AA111" s="13">
        <f>Z111*$E111</f>
        <v>0</v>
      </c>
      <c r="AB111" s="12"/>
      <c r="AC111" s="13">
        <f>AB111*$E111</f>
        <v>0</v>
      </c>
      <c r="AD111" s="12"/>
      <c r="AE111" s="13">
        <f>AD111*$E111</f>
        <v>0</v>
      </c>
      <c r="AF111" s="14">
        <f>(AD111+AB111+Z111+X111+V111+T111+R111+P111+N111+L111+J111+H111)/12</f>
        <v>0</v>
      </c>
      <c r="AG111" s="15">
        <f>AF111*$E111</f>
        <v>0</v>
      </c>
      <c r="AH111" s="16"/>
      <c r="AI111" s="13">
        <f>AH111*$E111</f>
        <v>0</v>
      </c>
      <c r="AJ111" s="17"/>
      <c r="AK111" s="13">
        <f>AJ111*$E111</f>
        <v>0</v>
      </c>
      <c r="AL111" s="17"/>
      <c r="AM111" s="13">
        <f>AL111*$E111</f>
        <v>0</v>
      </c>
      <c r="AN111" s="18"/>
      <c r="AO111" s="13">
        <f>AN111*$E111</f>
        <v>0</v>
      </c>
      <c r="AP111" s="17"/>
      <c r="AQ111" s="13">
        <f>AP111*$E111</f>
        <v>0</v>
      </c>
      <c r="AR111" s="17"/>
      <c r="AS111" s="13">
        <f>AR111*$E111</f>
        <v>0</v>
      </c>
      <c r="AT111" s="19"/>
      <c r="AU111" s="13">
        <f>AT111*$E111</f>
        <v>0</v>
      </c>
      <c r="AV111" s="17"/>
      <c r="AW111" s="13">
        <f>AV111*$E111</f>
        <v>0</v>
      </c>
      <c r="AX111" s="17"/>
      <c r="AY111" s="13">
        <f>AX111*$E111</f>
        <v>0</v>
      </c>
      <c r="AZ111" s="19"/>
      <c r="BA111" s="13">
        <f>AZ111*$E111</f>
        <v>0</v>
      </c>
      <c r="BB111" s="20"/>
      <c r="BC111" s="13">
        <f>BB111*$E111</f>
        <v>0</v>
      </c>
      <c r="BD111" s="20"/>
      <c r="BE111" s="13">
        <f>BD111*$E111</f>
        <v>0</v>
      </c>
      <c r="BF111" s="14">
        <f>(BD111+BB111+AZ111+AX111+AV111+AT111+AR111+AP111+AN111+AL111+AJ111+AH111)/12</f>
        <v>0</v>
      </c>
      <c r="BG111" s="15">
        <f>BF111*$E111</f>
        <v>0</v>
      </c>
      <c r="BH111" s="18"/>
      <c r="BI111" s="57">
        <f>BH111*$E111</f>
        <v>0</v>
      </c>
      <c r="BJ111" s="18"/>
      <c r="BK111" s="57">
        <f>BJ111*$E111</f>
        <v>0</v>
      </c>
      <c r="BL111" s="18"/>
      <c r="BM111" s="57">
        <f>BL111*$E111</f>
        <v>0</v>
      </c>
      <c r="BN111" s="18"/>
      <c r="BO111" s="57">
        <f>BN111*$E111</f>
        <v>0</v>
      </c>
      <c r="BP111" s="18"/>
      <c r="BQ111" s="57">
        <f>BP111*$E111</f>
        <v>0</v>
      </c>
      <c r="BR111" s="18"/>
      <c r="BS111" s="57">
        <f>BR111*$E111</f>
        <v>0</v>
      </c>
      <c r="BT111" s="18"/>
      <c r="BU111" s="57">
        <f>BT111*$E111</f>
        <v>0</v>
      </c>
      <c r="BV111" s="18"/>
      <c r="BW111" s="57">
        <f>BV111*$E111</f>
        <v>0</v>
      </c>
      <c r="BX111" s="18"/>
      <c r="BY111" s="57">
        <f>BX111*$E111</f>
        <v>0</v>
      </c>
      <c r="BZ111" s="18"/>
      <c r="CA111" s="57">
        <f>BZ111*$E111</f>
        <v>0</v>
      </c>
      <c r="CB111" s="18"/>
      <c r="CC111" s="57">
        <f>CB111*$E111</f>
        <v>0</v>
      </c>
      <c r="CD111" s="18"/>
      <c r="CE111" s="57">
        <f>CD111*$E111</f>
        <v>0</v>
      </c>
      <c r="CF111" s="14">
        <f>(CD111+CB111+BZ111+BX111+BV111+BT111+BR111+BP111+BN111+BL111+BJ111+BH111)/12</f>
        <v>0</v>
      </c>
      <c r="CG111" s="15">
        <f>CF111*$E111</f>
        <v>0</v>
      </c>
      <c r="CH111" s="12"/>
      <c r="CI111" s="13">
        <f t="shared" si="75"/>
        <v>0</v>
      </c>
      <c r="CJ111" s="12"/>
      <c r="CK111" s="13">
        <f t="shared" si="76"/>
        <v>0</v>
      </c>
      <c r="CL111" s="12"/>
      <c r="CM111" s="13">
        <f t="shared" si="77"/>
        <v>0</v>
      </c>
      <c r="CN111" s="12"/>
      <c r="CO111" s="13">
        <f t="shared" si="78"/>
        <v>0</v>
      </c>
      <c r="CP111" s="12"/>
      <c r="CQ111" s="13">
        <f t="shared" si="79"/>
        <v>0</v>
      </c>
      <c r="CR111" s="12"/>
      <c r="CS111" s="13">
        <f t="shared" si="80"/>
        <v>0</v>
      </c>
      <c r="CT111" s="12"/>
      <c r="CU111" s="13">
        <f t="shared" si="81"/>
        <v>0</v>
      </c>
      <c r="CV111" s="12"/>
      <c r="CW111" s="13">
        <f t="shared" si="82"/>
        <v>0</v>
      </c>
      <c r="CX111" s="12"/>
      <c r="CY111" s="13">
        <f t="shared" si="83"/>
        <v>0</v>
      </c>
      <c r="CZ111" s="12"/>
      <c r="DA111" s="13">
        <f t="shared" si="84"/>
        <v>0</v>
      </c>
      <c r="DB111" s="12"/>
      <c r="DC111" s="13">
        <f t="shared" si="85"/>
        <v>0</v>
      </c>
      <c r="DD111" s="12"/>
      <c r="DE111" s="13">
        <f t="shared" si="86"/>
        <v>0</v>
      </c>
      <c r="DF111" s="64">
        <f t="shared" si="87"/>
        <v>0</v>
      </c>
      <c r="DG111" s="15">
        <f t="shared" si="88"/>
        <v>0</v>
      </c>
      <c r="DH111" s="12"/>
      <c r="DI111" s="13">
        <f t="shared" si="89"/>
        <v>0</v>
      </c>
      <c r="DJ111" s="12"/>
      <c r="DK111" s="13">
        <f t="shared" si="90"/>
        <v>0</v>
      </c>
      <c r="DL111" s="12"/>
      <c r="DM111" s="13">
        <f t="shared" si="159"/>
        <v>0</v>
      </c>
      <c r="DN111" s="12"/>
      <c r="DO111" s="13">
        <f t="shared" si="74"/>
        <v>0</v>
      </c>
      <c r="DP111" s="12"/>
      <c r="DQ111" s="13">
        <f t="shared" si="91"/>
        <v>0</v>
      </c>
      <c r="DR111" s="12"/>
      <c r="DS111" s="13">
        <f t="shared" si="92"/>
        <v>0</v>
      </c>
      <c r="DT111" s="12"/>
      <c r="DU111" s="13">
        <f t="shared" si="73"/>
        <v>0</v>
      </c>
      <c r="DV111" s="12"/>
      <c r="DW111" s="13">
        <f t="shared" si="93"/>
        <v>0</v>
      </c>
      <c r="DX111" s="12"/>
      <c r="DY111" s="13">
        <f t="shared" si="94"/>
        <v>0</v>
      </c>
      <c r="DZ111" s="12"/>
      <c r="EA111" s="13">
        <f t="shared" si="95"/>
        <v>0</v>
      </c>
      <c r="EB111" s="12"/>
      <c r="EC111" s="13">
        <f t="shared" si="99"/>
        <v>0</v>
      </c>
      <c r="ED111" s="12"/>
      <c r="EE111" s="13">
        <f t="shared" si="96"/>
        <v>0</v>
      </c>
      <c r="EF111" s="24">
        <f t="shared" si="97"/>
        <v>0</v>
      </c>
      <c r="EG111" s="13">
        <f t="shared" si="98"/>
        <v>0</v>
      </c>
    </row>
    <row r="112" spans="1:137" ht="18" x14ac:dyDescent="0.5">
      <c r="A112" s="10"/>
      <c r="B112" s="11"/>
      <c r="C112" s="11"/>
      <c r="D112" s="10"/>
      <c r="E112" s="10"/>
      <c r="F112" s="10"/>
      <c r="G112" s="10"/>
      <c r="H112" s="12"/>
      <c r="I112" s="13"/>
      <c r="J112" s="12"/>
      <c r="K112" s="13"/>
      <c r="L112" s="12"/>
      <c r="M112" s="13"/>
      <c r="N112" s="12"/>
      <c r="O112" s="13"/>
      <c r="P112" s="12"/>
      <c r="Q112" s="13"/>
      <c r="R112" s="12"/>
      <c r="S112" s="13"/>
      <c r="T112" s="12"/>
      <c r="U112" s="13"/>
      <c r="V112" s="12"/>
      <c r="W112" s="13"/>
      <c r="X112" s="12"/>
      <c r="Y112" s="13"/>
      <c r="Z112" s="12"/>
      <c r="AA112" s="13"/>
      <c r="AB112" s="12"/>
      <c r="AC112" s="13"/>
      <c r="AD112" s="12"/>
      <c r="AE112" s="13"/>
      <c r="AF112" s="14"/>
      <c r="AG112" s="15"/>
      <c r="AH112" s="12"/>
      <c r="AI112" s="13"/>
      <c r="AJ112" s="12"/>
      <c r="AK112" s="13"/>
      <c r="AL112" s="12"/>
      <c r="AM112" s="13"/>
      <c r="AN112" s="12"/>
      <c r="AO112" s="13"/>
      <c r="AP112" s="12"/>
      <c r="AQ112" s="13"/>
      <c r="AR112" s="12"/>
      <c r="AS112" s="13"/>
      <c r="AT112" s="12"/>
      <c r="AU112" s="13"/>
      <c r="AV112" s="12"/>
      <c r="AW112" s="13"/>
      <c r="AX112" s="12"/>
      <c r="AY112" s="13"/>
      <c r="AZ112" s="12"/>
      <c r="BA112" s="13"/>
      <c r="BB112" s="12"/>
      <c r="BC112" s="13"/>
      <c r="BD112" s="12"/>
      <c r="BE112" s="13"/>
      <c r="BF112" s="14"/>
      <c r="BG112" s="15"/>
      <c r="BH112" s="18"/>
      <c r="BI112" s="57"/>
      <c r="BJ112" s="18"/>
      <c r="BK112" s="57"/>
      <c r="BL112" s="18"/>
      <c r="BM112" s="57"/>
      <c r="BN112" s="18"/>
      <c r="BO112" s="57"/>
      <c r="BP112" s="18"/>
      <c r="BQ112" s="57"/>
      <c r="BR112" s="18"/>
      <c r="BS112" s="57"/>
      <c r="BT112" s="18"/>
      <c r="BU112" s="57"/>
      <c r="BV112" s="18"/>
      <c r="BW112" s="57"/>
      <c r="BX112" s="18"/>
      <c r="BY112" s="57"/>
      <c r="BZ112" s="18"/>
      <c r="CA112" s="57"/>
      <c r="CB112" s="18"/>
      <c r="CC112" s="57"/>
      <c r="CD112" s="18"/>
      <c r="CE112" s="57"/>
      <c r="CF112" s="14"/>
      <c r="CG112" s="15"/>
      <c r="CH112" s="31"/>
      <c r="CI112" s="13">
        <f t="shared" si="75"/>
        <v>0</v>
      </c>
      <c r="CJ112" s="12"/>
      <c r="CK112" s="13">
        <f t="shared" si="76"/>
        <v>0</v>
      </c>
      <c r="CL112" s="12"/>
      <c r="CM112" s="13">
        <f t="shared" si="77"/>
        <v>0</v>
      </c>
      <c r="CN112" s="12"/>
      <c r="CO112" s="13">
        <f t="shared" si="78"/>
        <v>0</v>
      </c>
      <c r="CP112" s="12"/>
      <c r="CQ112" s="13">
        <f t="shared" si="79"/>
        <v>0</v>
      </c>
      <c r="CR112" s="12"/>
      <c r="CS112" s="13">
        <f t="shared" si="80"/>
        <v>0</v>
      </c>
      <c r="CT112" s="12"/>
      <c r="CU112" s="13">
        <f t="shared" si="81"/>
        <v>0</v>
      </c>
      <c r="CV112" s="12"/>
      <c r="CW112" s="13">
        <f t="shared" si="82"/>
        <v>0</v>
      </c>
      <c r="CX112" s="12"/>
      <c r="CY112" s="13">
        <f t="shared" si="83"/>
        <v>0</v>
      </c>
      <c r="CZ112" s="12"/>
      <c r="DA112" s="13">
        <f t="shared" si="84"/>
        <v>0</v>
      </c>
      <c r="DB112" s="12"/>
      <c r="DC112" s="13">
        <f t="shared" si="85"/>
        <v>0</v>
      </c>
      <c r="DD112" s="12"/>
      <c r="DE112" s="13">
        <f t="shared" si="86"/>
        <v>0</v>
      </c>
      <c r="DF112" s="64">
        <f t="shared" si="87"/>
        <v>0</v>
      </c>
      <c r="DG112" s="15">
        <f t="shared" si="88"/>
        <v>0</v>
      </c>
      <c r="DH112" s="31"/>
      <c r="DI112" s="13">
        <f t="shared" si="89"/>
        <v>0</v>
      </c>
      <c r="DJ112" s="12"/>
      <c r="DK112" s="13">
        <f t="shared" si="90"/>
        <v>0</v>
      </c>
      <c r="DL112" s="12"/>
      <c r="DM112" s="13">
        <f t="shared" si="159"/>
        <v>0</v>
      </c>
      <c r="DN112" s="12"/>
      <c r="DO112" s="13">
        <f t="shared" si="74"/>
        <v>0</v>
      </c>
      <c r="DP112" s="12"/>
      <c r="DQ112" s="13">
        <f t="shared" si="91"/>
        <v>0</v>
      </c>
      <c r="DR112" s="12"/>
      <c r="DS112" s="13">
        <f t="shared" si="92"/>
        <v>0</v>
      </c>
      <c r="DT112" s="12"/>
      <c r="DU112" s="13">
        <f t="shared" si="73"/>
        <v>0</v>
      </c>
      <c r="DV112" s="12"/>
      <c r="DW112" s="13">
        <f t="shared" si="93"/>
        <v>0</v>
      </c>
      <c r="DX112" s="12"/>
      <c r="DY112" s="13">
        <f t="shared" si="94"/>
        <v>0</v>
      </c>
      <c r="DZ112" s="12"/>
      <c r="EA112" s="13">
        <f t="shared" si="95"/>
        <v>0</v>
      </c>
      <c r="EB112" s="12"/>
      <c r="EC112" s="13">
        <f t="shared" si="99"/>
        <v>0</v>
      </c>
      <c r="ED112" s="12"/>
      <c r="EE112" s="13">
        <f t="shared" si="96"/>
        <v>0</v>
      </c>
      <c r="EF112" s="24">
        <f t="shared" si="97"/>
        <v>0</v>
      </c>
      <c r="EG112" s="13">
        <f t="shared" si="98"/>
        <v>0</v>
      </c>
    </row>
    <row r="113" spans="1:137" ht="18" customHeight="1" x14ac:dyDescent="0.5">
      <c r="A113" s="10">
        <v>90</v>
      </c>
      <c r="B113" s="11" t="s">
        <v>88</v>
      </c>
      <c r="C113" s="11" t="s">
        <v>14</v>
      </c>
      <c r="D113" s="10"/>
      <c r="E113" s="10">
        <v>0.7</v>
      </c>
      <c r="F113" s="10" t="s">
        <v>15</v>
      </c>
      <c r="G113" s="10">
        <v>3600</v>
      </c>
      <c r="H113" s="12">
        <v>198</v>
      </c>
      <c r="I113" s="13">
        <f>H113*$E113</f>
        <v>138.6</v>
      </c>
      <c r="J113" s="12">
        <v>133</v>
      </c>
      <c r="K113" s="13">
        <f>J113*$E113</f>
        <v>93.1</v>
      </c>
      <c r="L113" s="12">
        <v>156</v>
      </c>
      <c r="M113" s="13">
        <f>L113*$E113</f>
        <v>109.19999999999999</v>
      </c>
      <c r="N113" s="12">
        <v>204</v>
      </c>
      <c r="O113" s="13">
        <f>N113*$E113</f>
        <v>142.79999999999998</v>
      </c>
      <c r="P113" s="12">
        <v>160</v>
      </c>
      <c r="Q113" s="13">
        <f>P113*$E113</f>
        <v>112</v>
      </c>
      <c r="R113" s="12">
        <v>192</v>
      </c>
      <c r="S113" s="13">
        <f>R113*$E113</f>
        <v>134.39999999999998</v>
      </c>
      <c r="T113" s="12">
        <v>140</v>
      </c>
      <c r="U113" s="13">
        <f>T113*$E113</f>
        <v>98</v>
      </c>
      <c r="V113" s="12">
        <v>161</v>
      </c>
      <c r="W113" s="13">
        <f>V113*$E113</f>
        <v>112.69999999999999</v>
      </c>
      <c r="X113" s="12"/>
      <c r="Y113" s="13">
        <f>X113*$E113</f>
        <v>0</v>
      </c>
      <c r="Z113" s="12">
        <v>298</v>
      </c>
      <c r="AA113" s="13">
        <f>Z113*$E113</f>
        <v>208.6</v>
      </c>
      <c r="AB113" s="12">
        <v>67</v>
      </c>
      <c r="AC113" s="13">
        <f>AB113*$E113</f>
        <v>46.9</v>
      </c>
      <c r="AD113" s="12">
        <v>243</v>
      </c>
      <c r="AE113" s="13">
        <f>AD113*$E113</f>
        <v>170.1</v>
      </c>
      <c r="AF113" s="14">
        <f t="shared" si="100"/>
        <v>162.66666666666666</v>
      </c>
      <c r="AG113" s="15">
        <f>AF113*$E113</f>
        <v>113.86666666666665</v>
      </c>
      <c r="AH113" s="16">
        <v>298</v>
      </c>
      <c r="AI113" s="13">
        <f>AH113*$E113</f>
        <v>208.6</v>
      </c>
      <c r="AJ113" s="17">
        <v>130</v>
      </c>
      <c r="AK113" s="13">
        <f>AJ113*$E113</f>
        <v>91</v>
      </c>
      <c r="AL113" s="17">
        <v>447</v>
      </c>
      <c r="AM113" s="13">
        <f>AL113*$E113</f>
        <v>312.89999999999998</v>
      </c>
      <c r="AN113" s="18">
        <v>12</v>
      </c>
      <c r="AO113" s="13">
        <f>AN113*$E113</f>
        <v>8.3999999999999986</v>
      </c>
      <c r="AP113" s="17">
        <v>126</v>
      </c>
      <c r="AQ113" s="13">
        <f>AP113*$E113</f>
        <v>88.199999999999989</v>
      </c>
      <c r="AR113" s="17">
        <v>182</v>
      </c>
      <c r="AS113" s="13">
        <f>AR113*$E113</f>
        <v>127.39999999999999</v>
      </c>
      <c r="AT113" s="19">
        <v>2</v>
      </c>
      <c r="AU113" s="13">
        <f>AT113*$E113</f>
        <v>1.4</v>
      </c>
      <c r="AV113" s="17">
        <v>124</v>
      </c>
      <c r="AW113" s="13">
        <f>AV113*$E113</f>
        <v>86.8</v>
      </c>
      <c r="AX113" s="17">
        <v>10</v>
      </c>
      <c r="AY113" s="13">
        <f>AX113*$E113</f>
        <v>7</v>
      </c>
      <c r="AZ113" s="19">
        <v>209</v>
      </c>
      <c r="BA113" s="13">
        <f>AZ113*$E113</f>
        <v>146.29999999999998</v>
      </c>
      <c r="BB113" s="20"/>
      <c r="BC113" s="13">
        <f>BB113*$E113</f>
        <v>0</v>
      </c>
      <c r="BD113" s="20">
        <v>180</v>
      </c>
      <c r="BE113" s="13">
        <f>BD113*$E113</f>
        <v>125.99999999999999</v>
      </c>
      <c r="BF113" s="14">
        <f t="shared" si="101"/>
        <v>143.33333333333334</v>
      </c>
      <c r="BG113" s="15">
        <f>BF113*$E113</f>
        <v>100.33333333333333</v>
      </c>
      <c r="BH113" s="23">
        <v>2</v>
      </c>
      <c r="BI113" s="57">
        <f>BH113*$E113</f>
        <v>1.4</v>
      </c>
      <c r="BJ113" s="32"/>
      <c r="BK113" s="57">
        <f>BJ113*$E113</f>
        <v>0</v>
      </c>
      <c r="BL113" s="23">
        <v>60</v>
      </c>
      <c r="BM113" s="57">
        <f>BL113*$E113</f>
        <v>42</v>
      </c>
      <c r="BN113" s="23">
        <v>180</v>
      </c>
      <c r="BO113" s="57">
        <f>BN113*$E113</f>
        <v>125.99999999999999</v>
      </c>
      <c r="BP113" s="23">
        <v>77</v>
      </c>
      <c r="BQ113" s="57">
        <f>BP113*$E113</f>
        <v>53.9</v>
      </c>
      <c r="BR113" s="21">
        <v>60</v>
      </c>
      <c r="BS113" s="57">
        <f>BR113*$E113</f>
        <v>42</v>
      </c>
      <c r="BT113" s="23">
        <v>60</v>
      </c>
      <c r="BU113" s="57">
        <f>BT113*$E113</f>
        <v>42</v>
      </c>
      <c r="BV113" s="58">
        <v>204</v>
      </c>
      <c r="BW113" s="57">
        <f>BV113*$E113</f>
        <v>142.79999999999998</v>
      </c>
      <c r="BX113" s="58">
        <v>41</v>
      </c>
      <c r="BY113" s="57">
        <f>BX113*$E113</f>
        <v>28.7</v>
      </c>
      <c r="BZ113" s="58">
        <v>54</v>
      </c>
      <c r="CA113" s="57">
        <f>BZ113*$E113</f>
        <v>37.799999999999997</v>
      </c>
      <c r="CB113" s="58">
        <v>354</v>
      </c>
      <c r="CC113" s="57">
        <f>CB113*$E113</f>
        <v>247.79999999999998</v>
      </c>
      <c r="CD113" s="23">
        <v>41</v>
      </c>
      <c r="CE113" s="57">
        <f>CD113*$E113</f>
        <v>28.7</v>
      </c>
      <c r="CF113" s="14">
        <f t="shared" si="102"/>
        <v>94.416666666666671</v>
      </c>
      <c r="CG113" s="15">
        <f>CF113*$E113</f>
        <v>66.091666666666669</v>
      </c>
      <c r="CH113" s="12">
        <v>29</v>
      </c>
      <c r="CI113" s="13">
        <f t="shared" si="75"/>
        <v>20.299999999999997</v>
      </c>
      <c r="CJ113" s="12">
        <v>42</v>
      </c>
      <c r="CK113" s="13">
        <f t="shared" si="76"/>
        <v>29.4</v>
      </c>
      <c r="CL113" s="12">
        <v>48</v>
      </c>
      <c r="CM113" s="13">
        <f t="shared" si="77"/>
        <v>33.599999999999994</v>
      </c>
      <c r="CN113" s="12">
        <v>36</v>
      </c>
      <c r="CO113" s="13">
        <v>25.2</v>
      </c>
      <c r="CP113" s="12">
        <v>36</v>
      </c>
      <c r="CQ113" s="13">
        <f t="shared" si="79"/>
        <v>25.2</v>
      </c>
      <c r="CR113" s="12">
        <v>24</v>
      </c>
      <c r="CS113" s="13">
        <f t="shared" si="80"/>
        <v>16.799999999999997</v>
      </c>
      <c r="CT113" s="12">
        <v>48</v>
      </c>
      <c r="CU113" s="13">
        <f t="shared" si="81"/>
        <v>33.599999999999994</v>
      </c>
      <c r="CV113" s="12">
        <v>23</v>
      </c>
      <c r="CW113" s="13">
        <f t="shared" si="82"/>
        <v>16.099999999999998</v>
      </c>
      <c r="CX113" s="12">
        <v>6</v>
      </c>
      <c r="CY113" s="13">
        <f t="shared" si="83"/>
        <v>4.1999999999999993</v>
      </c>
      <c r="CZ113" s="12">
        <v>20</v>
      </c>
      <c r="DA113" s="13">
        <f t="shared" si="84"/>
        <v>14</v>
      </c>
      <c r="DB113" s="12">
        <v>12</v>
      </c>
      <c r="DC113" s="13">
        <f t="shared" si="85"/>
        <v>8.3999999999999986</v>
      </c>
      <c r="DD113" s="12">
        <v>4</v>
      </c>
      <c r="DE113" s="13">
        <f t="shared" si="86"/>
        <v>2.8</v>
      </c>
      <c r="DF113" s="64">
        <f t="shared" si="87"/>
        <v>328</v>
      </c>
      <c r="DG113" s="15">
        <f t="shared" si="88"/>
        <v>229.6</v>
      </c>
      <c r="DH113" s="12"/>
      <c r="DI113" s="13">
        <f t="shared" si="89"/>
        <v>0</v>
      </c>
      <c r="DJ113" s="12"/>
      <c r="DK113" s="13">
        <f t="shared" si="90"/>
        <v>0</v>
      </c>
      <c r="DL113" s="12"/>
      <c r="DM113" s="13">
        <f t="shared" si="159"/>
        <v>0</v>
      </c>
      <c r="DN113" s="12"/>
      <c r="DO113" s="13">
        <f t="shared" si="74"/>
        <v>0</v>
      </c>
      <c r="DP113" s="12"/>
      <c r="DQ113" s="13">
        <f t="shared" si="91"/>
        <v>0</v>
      </c>
      <c r="DR113" s="12"/>
      <c r="DS113" s="13">
        <f t="shared" si="92"/>
        <v>0</v>
      </c>
      <c r="DT113" s="12"/>
      <c r="DU113" s="13">
        <f t="shared" si="73"/>
        <v>0</v>
      </c>
      <c r="DV113" s="12"/>
      <c r="DW113" s="13">
        <f t="shared" si="93"/>
        <v>0</v>
      </c>
      <c r="DX113" s="12"/>
      <c r="DY113" s="13">
        <f t="shared" si="94"/>
        <v>0</v>
      </c>
      <c r="DZ113" s="12"/>
      <c r="EA113" s="13">
        <f t="shared" si="95"/>
        <v>0</v>
      </c>
      <c r="EB113" s="12"/>
      <c r="EC113" s="13">
        <f t="shared" si="99"/>
        <v>0</v>
      </c>
      <c r="ED113" s="12"/>
      <c r="EE113" s="13">
        <f t="shared" si="96"/>
        <v>0</v>
      </c>
      <c r="EF113" s="24">
        <f t="shared" si="97"/>
        <v>0</v>
      </c>
      <c r="EG113" s="13">
        <f t="shared" si="98"/>
        <v>0</v>
      </c>
    </row>
    <row r="114" spans="1:137" ht="18" customHeight="1" x14ac:dyDescent="0.5">
      <c r="A114" s="10">
        <v>91</v>
      </c>
      <c r="B114" s="11" t="s">
        <v>89</v>
      </c>
      <c r="C114" s="11" t="s">
        <v>14</v>
      </c>
      <c r="D114" s="10"/>
      <c r="E114" s="10">
        <v>0.35</v>
      </c>
      <c r="F114" s="10" t="s">
        <v>23</v>
      </c>
      <c r="G114" s="10">
        <v>2100</v>
      </c>
      <c r="H114" s="12">
        <v>118</v>
      </c>
      <c r="I114" s="13">
        <f>H114*$E114</f>
        <v>41.3</v>
      </c>
      <c r="J114" s="12"/>
      <c r="K114" s="13">
        <f t="shared" ref="K114:K129" si="160">J114*$E114</f>
        <v>0</v>
      </c>
      <c r="L114" s="12">
        <v>139</v>
      </c>
      <c r="M114" s="13">
        <f>L114*$E114</f>
        <v>48.65</v>
      </c>
      <c r="N114" s="12">
        <v>78</v>
      </c>
      <c r="O114" s="13">
        <f>N114*$E114</f>
        <v>27.299999999999997</v>
      </c>
      <c r="P114" s="12">
        <v>39</v>
      </c>
      <c r="Q114" s="13">
        <f>P114*$E114</f>
        <v>13.649999999999999</v>
      </c>
      <c r="R114" s="12"/>
      <c r="S114" s="13">
        <f>R114*$E114</f>
        <v>0</v>
      </c>
      <c r="T114" s="12">
        <v>11</v>
      </c>
      <c r="U114" s="13">
        <f>T114*$E114</f>
        <v>3.8499999999999996</v>
      </c>
      <c r="V114" s="12"/>
      <c r="W114" s="13">
        <f>V114*$E114</f>
        <v>0</v>
      </c>
      <c r="X114" s="12">
        <v>240</v>
      </c>
      <c r="Y114" s="13">
        <f>X114*$E114</f>
        <v>84</v>
      </c>
      <c r="Z114" s="12">
        <v>2</v>
      </c>
      <c r="AA114" s="13">
        <f>Z114*$E114</f>
        <v>0.7</v>
      </c>
      <c r="AB114" s="12"/>
      <c r="AC114" s="13">
        <f>AB114*$E114</f>
        <v>0</v>
      </c>
      <c r="AD114" s="12">
        <v>24</v>
      </c>
      <c r="AE114" s="13">
        <f>AD114*$E114</f>
        <v>8.3999999999999986</v>
      </c>
      <c r="AF114" s="14">
        <f t="shared" si="100"/>
        <v>54.25</v>
      </c>
      <c r="AG114" s="15">
        <f>AF114*$E114</f>
        <v>18.987499999999997</v>
      </c>
      <c r="AH114" s="16"/>
      <c r="AI114" s="13">
        <f>AH114*$E114</f>
        <v>0</v>
      </c>
      <c r="AJ114" s="17">
        <v>2</v>
      </c>
      <c r="AK114" s="13">
        <f>AJ114*$E114</f>
        <v>0.7</v>
      </c>
      <c r="AL114" s="17"/>
      <c r="AM114" s="13">
        <f>AL114*$E114</f>
        <v>0</v>
      </c>
      <c r="AN114" s="18"/>
      <c r="AO114" s="13">
        <f>AN114*$E114</f>
        <v>0</v>
      </c>
      <c r="AP114" s="17"/>
      <c r="AQ114" s="13">
        <f>AP114*$E114</f>
        <v>0</v>
      </c>
      <c r="AR114" s="17">
        <v>72</v>
      </c>
      <c r="AS114" s="13">
        <f>AR114*$E114</f>
        <v>25.2</v>
      </c>
      <c r="AT114" s="19"/>
      <c r="AU114" s="13">
        <f>AT114*$E114</f>
        <v>0</v>
      </c>
      <c r="AV114" s="17"/>
      <c r="AW114" s="13">
        <f>AV114*$E114</f>
        <v>0</v>
      </c>
      <c r="AX114" s="17">
        <v>5</v>
      </c>
      <c r="AY114" s="13">
        <f>AX114*$E114</f>
        <v>1.75</v>
      </c>
      <c r="AZ114" s="19"/>
      <c r="BA114" s="13">
        <f>AZ114*$E114</f>
        <v>0</v>
      </c>
      <c r="BB114" s="20"/>
      <c r="BC114" s="13">
        <f>BB114*$E114</f>
        <v>0</v>
      </c>
      <c r="BD114" s="20"/>
      <c r="BE114" s="13">
        <f>BD114*$E114</f>
        <v>0</v>
      </c>
      <c r="BF114" s="14">
        <f t="shared" si="101"/>
        <v>6.583333333333333</v>
      </c>
      <c r="BG114" s="15">
        <f>BF114*$E114</f>
        <v>2.3041666666666663</v>
      </c>
      <c r="BH114" s="18"/>
      <c r="BI114" s="57">
        <f>BH114*$E114</f>
        <v>0</v>
      </c>
      <c r="BJ114" s="18"/>
      <c r="BK114" s="57">
        <f>BJ114*$E114</f>
        <v>0</v>
      </c>
      <c r="BL114" s="18"/>
      <c r="BM114" s="57">
        <f>BL114*$E114</f>
        <v>0</v>
      </c>
      <c r="BN114" s="18"/>
      <c r="BO114" s="57">
        <f>BN114*$E114</f>
        <v>0</v>
      </c>
      <c r="BP114" s="18"/>
      <c r="BQ114" s="57">
        <f>BP114*$E114</f>
        <v>0</v>
      </c>
      <c r="BR114" s="18"/>
      <c r="BS114" s="57">
        <f>BR114*$E114</f>
        <v>0</v>
      </c>
      <c r="BT114" s="18"/>
      <c r="BU114" s="57">
        <f>BT114*$E114</f>
        <v>0</v>
      </c>
      <c r="BV114" s="18"/>
      <c r="BW114" s="57">
        <f>BV114*$E114</f>
        <v>0</v>
      </c>
      <c r="BX114" s="18"/>
      <c r="BY114" s="57">
        <f>BX114*$E114</f>
        <v>0</v>
      </c>
      <c r="BZ114" s="18"/>
      <c r="CA114" s="57">
        <f>BZ114*$E114</f>
        <v>0</v>
      </c>
      <c r="CB114" s="18"/>
      <c r="CC114" s="57">
        <f>CB114*$E114</f>
        <v>0</v>
      </c>
      <c r="CD114" s="18"/>
      <c r="CE114" s="57">
        <f>CD114*$E114</f>
        <v>0</v>
      </c>
      <c r="CF114" s="14">
        <f t="shared" si="102"/>
        <v>0</v>
      </c>
      <c r="CG114" s="15">
        <f>CF114*$E114</f>
        <v>0</v>
      </c>
      <c r="CH114" s="12"/>
      <c r="CI114" s="13">
        <f t="shared" si="75"/>
        <v>0</v>
      </c>
      <c r="CJ114" s="12"/>
      <c r="CK114" s="13">
        <f t="shared" si="76"/>
        <v>0</v>
      </c>
      <c r="CL114" s="12"/>
      <c r="CM114" s="13">
        <f t="shared" si="77"/>
        <v>0</v>
      </c>
      <c r="CN114" s="12"/>
      <c r="CO114" s="13">
        <f t="shared" si="78"/>
        <v>0</v>
      </c>
      <c r="CP114" s="12"/>
      <c r="CQ114" s="13">
        <f t="shared" si="79"/>
        <v>0</v>
      </c>
      <c r="CR114" s="12"/>
      <c r="CS114" s="13">
        <f t="shared" si="80"/>
        <v>0</v>
      </c>
      <c r="CT114" s="12"/>
      <c r="CU114" s="13">
        <f t="shared" si="81"/>
        <v>0</v>
      </c>
      <c r="CV114" s="12">
        <v>3</v>
      </c>
      <c r="CW114" s="13">
        <f t="shared" si="82"/>
        <v>1.0499999999999998</v>
      </c>
      <c r="CX114" s="12">
        <v>5</v>
      </c>
      <c r="CY114" s="13">
        <f t="shared" si="83"/>
        <v>1.75</v>
      </c>
      <c r="CZ114" s="12">
        <v>10</v>
      </c>
      <c r="DA114" s="13">
        <f t="shared" si="84"/>
        <v>3.5</v>
      </c>
      <c r="DB114" s="12">
        <v>6</v>
      </c>
      <c r="DC114" s="13">
        <f t="shared" si="85"/>
        <v>2.0999999999999996</v>
      </c>
      <c r="DD114" s="12">
        <v>45</v>
      </c>
      <c r="DE114" s="13">
        <f t="shared" si="86"/>
        <v>15.749999999999998</v>
      </c>
      <c r="DF114" s="64">
        <f t="shared" si="87"/>
        <v>69</v>
      </c>
      <c r="DG114" s="15">
        <f t="shared" si="88"/>
        <v>24.15</v>
      </c>
      <c r="DH114" s="12">
        <v>37</v>
      </c>
      <c r="DI114" s="13">
        <f t="shared" si="89"/>
        <v>12.95</v>
      </c>
      <c r="DJ114" s="12">
        <v>63</v>
      </c>
      <c r="DK114" s="13">
        <f t="shared" si="90"/>
        <v>22.049999999999997</v>
      </c>
      <c r="DL114" s="12">
        <v>55</v>
      </c>
      <c r="DM114" s="13">
        <f t="shared" si="159"/>
        <v>19.25</v>
      </c>
      <c r="DN114" s="12"/>
      <c r="DO114" s="13">
        <f t="shared" si="74"/>
        <v>0</v>
      </c>
      <c r="DP114" s="12"/>
      <c r="DQ114" s="13">
        <f t="shared" si="91"/>
        <v>0</v>
      </c>
      <c r="DR114" s="12"/>
      <c r="DS114" s="13">
        <f t="shared" si="92"/>
        <v>0</v>
      </c>
      <c r="DT114" s="12"/>
      <c r="DU114" s="13">
        <f t="shared" si="73"/>
        <v>0</v>
      </c>
      <c r="DV114" s="12"/>
      <c r="DW114" s="13">
        <f t="shared" si="93"/>
        <v>0</v>
      </c>
      <c r="DX114" s="12"/>
      <c r="DY114" s="13">
        <f t="shared" si="94"/>
        <v>0</v>
      </c>
      <c r="DZ114" s="12"/>
      <c r="EA114" s="13">
        <f t="shared" si="95"/>
        <v>0</v>
      </c>
      <c r="EB114" s="12"/>
      <c r="EC114" s="13">
        <f t="shared" si="99"/>
        <v>0</v>
      </c>
      <c r="ED114" s="12"/>
      <c r="EE114" s="13">
        <f t="shared" si="96"/>
        <v>0</v>
      </c>
      <c r="EF114" s="24">
        <f t="shared" si="97"/>
        <v>155</v>
      </c>
      <c r="EG114" s="13">
        <f t="shared" si="98"/>
        <v>54.25</v>
      </c>
    </row>
    <row r="115" spans="1:137" ht="18" customHeight="1" x14ac:dyDescent="0.5">
      <c r="A115" s="10"/>
      <c r="B115" s="11"/>
      <c r="C115" s="11"/>
      <c r="D115" s="10"/>
      <c r="E115" s="10"/>
      <c r="F115" s="10"/>
      <c r="G115" s="10"/>
      <c r="H115" s="12"/>
      <c r="I115" s="13">
        <f t="shared" ref="I115:I130" si="161">H115*$E115</f>
        <v>0</v>
      </c>
      <c r="J115" s="12"/>
      <c r="K115" s="13">
        <f t="shared" si="160"/>
        <v>0</v>
      </c>
      <c r="L115" s="12"/>
      <c r="M115" s="13">
        <f t="shared" ref="M115:M139" si="162">L115*$E115</f>
        <v>0</v>
      </c>
      <c r="N115" s="12"/>
      <c r="O115" s="13">
        <f t="shared" ref="O115:O139" si="163">N115*$E115</f>
        <v>0</v>
      </c>
      <c r="P115" s="12"/>
      <c r="Q115" s="13">
        <f t="shared" ref="Q115:Q139" si="164">P115*$E115</f>
        <v>0</v>
      </c>
      <c r="R115" s="12"/>
      <c r="S115" s="13">
        <f t="shared" ref="S115:S139" si="165">R115*$E115</f>
        <v>0</v>
      </c>
      <c r="T115" s="12"/>
      <c r="U115" s="13">
        <f t="shared" ref="U115:U139" si="166">T115*$E115</f>
        <v>0</v>
      </c>
      <c r="V115" s="12"/>
      <c r="W115" s="13">
        <f t="shared" ref="W115:W139" si="167">V115*$E115</f>
        <v>0</v>
      </c>
      <c r="X115" s="12"/>
      <c r="Y115" s="13">
        <f t="shared" ref="Y115:Y139" si="168">X115*$E115</f>
        <v>0</v>
      </c>
      <c r="Z115" s="12"/>
      <c r="AA115" s="13">
        <f t="shared" ref="AA115:AA139" si="169">Z115*$E115</f>
        <v>0</v>
      </c>
      <c r="AB115" s="12"/>
      <c r="AC115" s="13">
        <f t="shared" ref="AC115:AC139" si="170">AB115*$E115</f>
        <v>0</v>
      </c>
      <c r="AD115" s="12"/>
      <c r="AE115" s="13">
        <f t="shared" ref="AE115:AE139" si="171">AD115*$E115</f>
        <v>0</v>
      </c>
      <c r="AF115" s="14">
        <f t="shared" si="100"/>
        <v>0</v>
      </c>
      <c r="AG115" s="15">
        <f t="shared" ref="AG115:AG139" si="172">AF115*$E115</f>
        <v>0</v>
      </c>
      <c r="AH115" s="16"/>
      <c r="AI115" s="13">
        <f t="shared" ref="AI115:AI139" si="173">AH115*$E115</f>
        <v>0</v>
      </c>
      <c r="AJ115" s="17"/>
      <c r="AK115" s="13">
        <f t="shared" ref="AK115:AK139" si="174">AJ115*$E115</f>
        <v>0</v>
      </c>
      <c r="AL115" s="17"/>
      <c r="AM115" s="13">
        <f t="shared" ref="AM115:AM139" si="175">AL115*$E115</f>
        <v>0</v>
      </c>
      <c r="AN115" s="18"/>
      <c r="AO115" s="13">
        <f t="shared" ref="AO115:AO139" si="176">AN115*$E115</f>
        <v>0</v>
      </c>
      <c r="AP115" s="17"/>
      <c r="AQ115" s="13">
        <f t="shared" ref="AQ115:AQ139" si="177">AP115*$E115</f>
        <v>0</v>
      </c>
      <c r="AR115" s="17"/>
      <c r="AS115" s="13">
        <f t="shared" ref="AS115:AS139" si="178">AR115*$E115</f>
        <v>0</v>
      </c>
      <c r="AT115" s="19"/>
      <c r="AU115" s="13">
        <f t="shared" ref="AU115:AU139" si="179">AT115*$E115</f>
        <v>0</v>
      </c>
      <c r="AV115" s="17"/>
      <c r="AW115" s="13">
        <f t="shared" ref="AW115:AW139" si="180">AV115*$E115</f>
        <v>0</v>
      </c>
      <c r="AX115" s="17"/>
      <c r="AY115" s="13">
        <f t="shared" ref="AY115:AY139" si="181">AX115*$E115</f>
        <v>0</v>
      </c>
      <c r="AZ115" s="19"/>
      <c r="BA115" s="13">
        <f t="shared" ref="BA115:BA139" si="182">AZ115*$E115</f>
        <v>0</v>
      </c>
      <c r="BB115" s="20"/>
      <c r="BC115" s="13">
        <f>BB115*$E115</f>
        <v>0</v>
      </c>
      <c r="BD115" s="20"/>
      <c r="BE115" s="13">
        <f t="shared" ref="BE115:BE139" si="183">BD115*$E115</f>
        <v>0</v>
      </c>
      <c r="BF115" s="14">
        <f t="shared" si="101"/>
        <v>0</v>
      </c>
      <c r="BG115" s="15">
        <f t="shared" ref="BG115:BG144" si="184">BF115*$E115</f>
        <v>0</v>
      </c>
      <c r="BH115" s="18"/>
      <c r="BI115" s="57">
        <f t="shared" si="129"/>
        <v>0</v>
      </c>
      <c r="BJ115" s="18"/>
      <c r="BK115" s="57">
        <f t="shared" si="130"/>
        <v>0</v>
      </c>
      <c r="BL115" s="18"/>
      <c r="BM115" s="57">
        <f t="shared" si="131"/>
        <v>0</v>
      </c>
      <c r="BN115" s="18"/>
      <c r="BO115" s="57">
        <f t="shared" si="132"/>
        <v>0</v>
      </c>
      <c r="BP115" s="18"/>
      <c r="BQ115" s="57">
        <f t="shared" si="133"/>
        <v>0</v>
      </c>
      <c r="BR115" s="18"/>
      <c r="BS115" s="57">
        <f t="shared" si="134"/>
        <v>0</v>
      </c>
      <c r="BT115" s="18"/>
      <c r="BU115" s="57">
        <f t="shared" si="135"/>
        <v>0</v>
      </c>
      <c r="BV115" s="18"/>
      <c r="BW115" s="57">
        <f t="shared" si="136"/>
        <v>0</v>
      </c>
      <c r="BX115" s="18"/>
      <c r="BY115" s="57">
        <f t="shared" si="137"/>
        <v>0</v>
      </c>
      <c r="BZ115" s="18"/>
      <c r="CA115" s="57">
        <f t="shared" si="138"/>
        <v>0</v>
      </c>
      <c r="CB115" s="18"/>
      <c r="CC115" s="57">
        <f t="shared" si="139"/>
        <v>0</v>
      </c>
      <c r="CD115" s="18"/>
      <c r="CE115" s="57">
        <f t="shared" si="140"/>
        <v>0</v>
      </c>
      <c r="CF115" s="14">
        <f t="shared" si="102"/>
        <v>0</v>
      </c>
      <c r="CG115" s="15">
        <f t="shared" ref="CG115:CG139" si="185">CF115*$E115</f>
        <v>0</v>
      </c>
      <c r="CH115" s="12"/>
      <c r="CI115" s="13">
        <f t="shared" si="75"/>
        <v>0</v>
      </c>
      <c r="CJ115" s="12"/>
      <c r="CK115" s="13">
        <f t="shared" si="76"/>
        <v>0</v>
      </c>
      <c r="CL115" s="12"/>
      <c r="CM115" s="13">
        <f t="shared" si="77"/>
        <v>0</v>
      </c>
      <c r="CN115" s="12"/>
      <c r="CO115" s="13">
        <f t="shared" si="78"/>
        <v>0</v>
      </c>
      <c r="CP115" s="12"/>
      <c r="CQ115" s="13">
        <f t="shared" si="79"/>
        <v>0</v>
      </c>
      <c r="CR115" s="12"/>
      <c r="CS115" s="13">
        <f t="shared" si="80"/>
        <v>0</v>
      </c>
      <c r="CT115" s="12"/>
      <c r="CU115" s="13">
        <f t="shared" si="81"/>
        <v>0</v>
      </c>
      <c r="CV115" s="12"/>
      <c r="CW115" s="13">
        <f t="shared" si="82"/>
        <v>0</v>
      </c>
      <c r="CX115" s="12"/>
      <c r="CY115" s="13">
        <f t="shared" si="83"/>
        <v>0</v>
      </c>
      <c r="CZ115" s="12"/>
      <c r="DA115" s="13">
        <f t="shared" si="84"/>
        <v>0</v>
      </c>
      <c r="DB115" s="12"/>
      <c r="DC115" s="13">
        <f t="shared" si="85"/>
        <v>0</v>
      </c>
      <c r="DD115" s="12"/>
      <c r="DE115" s="13">
        <f t="shared" si="86"/>
        <v>0</v>
      </c>
      <c r="DF115" s="64">
        <f t="shared" si="87"/>
        <v>0</v>
      </c>
      <c r="DG115" s="15">
        <f t="shared" si="88"/>
        <v>0</v>
      </c>
      <c r="DH115" s="12"/>
      <c r="DI115" s="13">
        <f t="shared" si="89"/>
        <v>0</v>
      </c>
      <c r="DJ115" s="12"/>
      <c r="DK115" s="13">
        <f t="shared" si="90"/>
        <v>0</v>
      </c>
      <c r="DL115" s="12"/>
      <c r="DM115" s="13">
        <f t="shared" si="159"/>
        <v>0</v>
      </c>
      <c r="DN115" s="12"/>
      <c r="DO115" s="13">
        <f t="shared" si="74"/>
        <v>0</v>
      </c>
      <c r="DP115" s="12"/>
      <c r="DQ115" s="13">
        <f t="shared" si="91"/>
        <v>0</v>
      </c>
      <c r="DR115" s="12"/>
      <c r="DS115" s="13">
        <f t="shared" si="92"/>
        <v>0</v>
      </c>
      <c r="DT115" s="12"/>
      <c r="DU115" s="13">
        <f t="shared" si="73"/>
        <v>0</v>
      </c>
      <c r="DV115" s="12"/>
      <c r="DW115" s="13">
        <f t="shared" si="93"/>
        <v>0</v>
      </c>
      <c r="DX115" s="12"/>
      <c r="DY115" s="13">
        <f t="shared" si="94"/>
        <v>0</v>
      </c>
      <c r="DZ115" s="12"/>
      <c r="EA115" s="13">
        <f t="shared" si="95"/>
        <v>0</v>
      </c>
      <c r="EB115" s="12"/>
      <c r="EC115" s="13">
        <f t="shared" si="99"/>
        <v>0</v>
      </c>
      <c r="ED115" s="12"/>
      <c r="EE115" s="13">
        <f t="shared" si="96"/>
        <v>0</v>
      </c>
      <c r="EF115" s="24">
        <f t="shared" si="97"/>
        <v>0</v>
      </c>
      <c r="EG115" s="13">
        <f t="shared" si="98"/>
        <v>0</v>
      </c>
    </row>
    <row r="116" spans="1:137" ht="18" customHeight="1" x14ac:dyDescent="0.5">
      <c r="A116" s="10">
        <v>92</v>
      </c>
      <c r="B116" s="11" t="s">
        <v>126</v>
      </c>
      <c r="C116" s="11" t="s">
        <v>17</v>
      </c>
      <c r="D116" s="10"/>
      <c r="E116" s="10">
        <v>0.75</v>
      </c>
      <c r="F116" s="10" t="s">
        <v>15</v>
      </c>
      <c r="G116" s="10"/>
      <c r="H116" s="12"/>
      <c r="I116" s="13">
        <f t="shared" si="161"/>
        <v>0</v>
      </c>
      <c r="J116" s="12"/>
      <c r="K116" s="13">
        <f t="shared" si="160"/>
        <v>0</v>
      </c>
      <c r="L116" s="12"/>
      <c r="M116" s="13">
        <f t="shared" si="162"/>
        <v>0</v>
      </c>
      <c r="N116" s="12"/>
      <c r="O116" s="13">
        <f t="shared" si="163"/>
        <v>0</v>
      </c>
      <c r="P116" s="12"/>
      <c r="Q116" s="13">
        <f t="shared" si="164"/>
        <v>0</v>
      </c>
      <c r="R116" s="12"/>
      <c r="S116" s="13">
        <f t="shared" si="165"/>
        <v>0</v>
      </c>
      <c r="T116" s="12"/>
      <c r="U116" s="13">
        <f t="shared" si="166"/>
        <v>0</v>
      </c>
      <c r="V116" s="12"/>
      <c r="W116" s="13">
        <f t="shared" si="167"/>
        <v>0</v>
      </c>
      <c r="X116" s="12"/>
      <c r="Y116" s="13">
        <f t="shared" si="168"/>
        <v>0</v>
      </c>
      <c r="Z116" s="12"/>
      <c r="AA116" s="13">
        <f t="shared" si="169"/>
        <v>0</v>
      </c>
      <c r="AB116" s="12"/>
      <c r="AC116" s="13">
        <f t="shared" si="170"/>
        <v>0</v>
      </c>
      <c r="AD116" s="12"/>
      <c r="AE116" s="13">
        <f t="shared" si="171"/>
        <v>0</v>
      </c>
      <c r="AF116" s="14">
        <f t="shared" si="100"/>
        <v>0</v>
      </c>
      <c r="AG116" s="15">
        <f t="shared" si="172"/>
        <v>0</v>
      </c>
      <c r="AH116" s="16"/>
      <c r="AI116" s="13">
        <f t="shared" si="173"/>
        <v>0</v>
      </c>
      <c r="AJ116" s="17"/>
      <c r="AK116" s="13">
        <f t="shared" si="174"/>
        <v>0</v>
      </c>
      <c r="AL116" s="17"/>
      <c r="AM116" s="13">
        <f t="shared" si="175"/>
        <v>0</v>
      </c>
      <c r="AN116" s="18"/>
      <c r="AO116" s="13">
        <f t="shared" si="176"/>
        <v>0</v>
      </c>
      <c r="AP116" s="17"/>
      <c r="AQ116" s="13">
        <f t="shared" si="177"/>
        <v>0</v>
      </c>
      <c r="AR116" s="17"/>
      <c r="AS116" s="13">
        <f t="shared" si="178"/>
        <v>0</v>
      </c>
      <c r="AT116" s="19"/>
      <c r="AU116" s="13">
        <f t="shared" si="179"/>
        <v>0</v>
      </c>
      <c r="AV116" s="17"/>
      <c r="AW116" s="13">
        <f t="shared" si="180"/>
        <v>0</v>
      </c>
      <c r="AX116" s="17"/>
      <c r="AY116" s="13">
        <f t="shared" si="181"/>
        <v>0</v>
      </c>
      <c r="AZ116" s="19"/>
      <c r="BA116" s="13">
        <f t="shared" si="182"/>
        <v>0</v>
      </c>
      <c r="BB116" s="20"/>
      <c r="BC116" s="13">
        <f t="shared" ref="BC116:BC129" si="186">BB116*$E116</f>
        <v>0</v>
      </c>
      <c r="BD116" s="20"/>
      <c r="BE116" s="13">
        <f t="shared" si="183"/>
        <v>0</v>
      </c>
      <c r="BF116" s="14">
        <f t="shared" si="101"/>
        <v>0</v>
      </c>
      <c r="BG116" s="15">
        <f t="shared" si="184"/>
        <v>0</v>
      </c>
      <c r="BH116" s="18"/>
      <c r="BI116" s="57">
        <f t="shared" si="129"/>
        <v>0</v>
      </c>
      <c r="BJ116" s="18"/>
      <c r="BK116" s="57">
        <f t="shared" si="130"/>
        <v>0</v>
      </c>
      <c r="BL116" s="18"/>
      <c r="BM116" s="57">
        <f t="shared" si="131"/>
        <v>0</v>
      </c>
      <c r="BN116" s="18"/>
      <c r="BO116" s="57">
        <f t="shared" si="132"/>
        <v>0</v>
      </c>
      <c r="BP116" s="18"/>
      <c r="BQ116" s="57">
        <f t="shared" si="133"/>
        <v>0</v>
      </c>
      <c r="BR116" s="18"/>
      <c r="BS116" s="57">
        <f t="shared" si="134"/>
        <v>0</v>
      </c>
      <c r="BT116" s="18"/>
      <c r="BU116" s="57">
        <f t="shared" si="135"/>
        <v>0</v>
      </c>
      <c r="BV116" s="18"/>
      <c r="BW116" s="57">
        <f t="shared" si="136"/>
        <v>0</v>
      </c>
      <c r="BX116" s="18"/>
      <c r="BY116" s="57">
        <f t="shared" si="137"/>
        <v>0</v>
      </c>
      <c r="BZ116" s="18"/>
      <c r="CA116" s="57">
        <f t="shared" si="138"/>
        <v>0</v>
      </c>
      <c r="CB116" s="18"/>
      <c r="CC116" s="57">
        <f t="shared" si="139"/>
        <v>0</v>
      </c>
      <c r="CD116" s="18"/>
      <c r="CE116" s="57">
        <f t="shared" si="140"/>
        <v>0</v>
      </c>
      <c r="CF116" s="14">
        <f t="shared" si="102"/>
        <v>0</v>
      </c>
      <c r="CG116" s="15">
        <f t="shared" si="185"/>
        <v>0</v>
      </c>
      <c r="CH116" s="12"/>
      <c r="CI116" s="13">
        <f t="shared" si="75"/>
        <v>0</v>
      </c>
      <c r="CJ116" s="12"/>
      <c r="CK116" s="13">
        <f t="shared" si="76"/>
        <v>0</v>
      </c>
      <c r="CL116" s="12"/>
      <c r="CM116" s="13">
        <f t="shared" si="77"/>
        <v>0</v>
      </c>
      <c r="CN116" s="12"/>
      <c r="CO116" s="13">
        <f t="shared" si="78"/>
        <v>0</v>
      </c>
      <c r="CP116" s="12"/>
      <c r="CQ116" s="13">
        <f t="shared" si="79"/>
        <v>0</v>
      </c>
      <c r="CR116" s="12"/>
      <c r="CS116" s="13">
        <f t="shared" si="80"/>
        <v>0</v>
      </c>
      <c r="CT116" s="12"/>
      <c r="CU116" s="13">
        <f t="shared" si="81"/>
        <v>0</v>
      </c>
      <c r="CV116" s="12"/>
      <c r="CW116" s="13">
        <f t="shared" si="82"/>
        <v>0</v>
      </c>
      <c r="CX116" s="12"/>
      <c r="CY116" s="13">
        <f t="shared" si="83"/>
        <v>0</v>
      </c>
      <c r="CZ116" s="12"/>
      <c r="DA116" s="13">
        <f t="shared" si="84"/>
        <v>0</v>
      </c>
      <c r="DB116" s="12"/>
      <c r="DC116" s="13">
        <f t="shared" si="85"/>
        <v>0</v>
      </c>
      <c r="DD116" s="12"/>
      <c r="DE116" s="13">
        <f t="shared" si="86"/>
        <v>0</v>
      </c>
      <c r="DF116" s="64">
        <f t="shared" si="87"/>
        <v>0</v>
      </c>
      <c r="DG116" s="15">
        <f t="shared" si="88"/>
        <v>0</v>
      </c>
      <c r="DH116" s="12"/>
      <c r="DI116" s="13">
        <f t="shared" si="89"/>
        <v>0</v>
      </c>
      <c r="DJ116" s="12"/>
      <c r="DK116" s="13">
        <f t="shared" si="90"/>
        <v>0</v>
      </c>
      <c r="DL116" s="12"/>
      <c r="DM116" s="13">
        <f t="shared" si="159"/>
        <v>0</v>
      </c>
      <c r="DN116" s="12"/>
      <c r="DO116" s="13">
        <f t="shared" si="74"/>
        <v>0</v>
      </c>
      <c r="DP116" s="12"/>
      <c r="DQ116" s="13">
        <f t="shared" si="91"/>
        <v>0</v>
      </c>
      <c r="DR116" s="12"/>
      <c r="DS116" s="13">
        <f t="shared" si="92"/>
        <v>0</v>
      </c>
      <c r="DT116" s="12"/>
      <c r="DU116" s="13">
        <f t="shared" si="73"/>
        <v>0</v>
      </c>
      <c r="DV116" s="12"/>
      <c r="DW116" s="13">
        <f t="shared" si="93"/>
        <v>0</v>
      </c>
      <c r="DX116" s="12"/>
      <c r="DY116" s="13">
        <f t="shared" si="94"/>
        <v>0</v>
      </c>
      <c r="DZ116" s="12"/>
      <c r="EA116" s="13">
        <f t="shared" si="95"/>
        <v>0</v>
      </c>
      <c r="EB116" s="12"/>
      <c r="EC116" s="13">
        <f t="shared" si="99"/>
        <v>0</v>
      </c>
      <c r="ED116" s="12"/>
      <c r="EE116" s="13">
        <f t="shared" si="96"/>
        <v>0</v>
      </c>
      <c r="EF116" s="24">
        <f t="shared" si="97"/>
        <v>0</v>
      </c>
      <c r="EG116" s="13">
        <f t="shared" si="98"/>
        <v>0</v>
      </c>
    </row>
    <row r="117" spans="1:137" ht="18" customHeight="1" x14ac:dyDescent="0.5">
      <c r="A117" s="10">
        <v>93</v>
      </c>
      <c r="B117" s="11" t="s">
        <v>126</v>
      </c>
      <c r="C117" s="11" t="s">
        <v>127</v>
      </c>
      <c r="D117" s="10"/>
      <c r="E117" s="10">
        <v>0.6</v>
      </c>
      <c r="F117" s="10" t="s">
        <v>15</v>
      </c>
      <c r="G117" s="10"/>
      <c r="H117" s="12"/>
      <c r="I117" s="13">
        <f t="shared" si="161"/>
        <v>0</v>
      </c>
      <c r="J117" s="12"/>
      <c r="K117" s="13">
        <f t="shared" si="160"/>
        <v>0</v>
      </c>
      <c r="L117" s="12"/>
      <c r="M117" s="13">
        <f t="shared" si="162"/>
        <v>0</v>
      </c>
      <c r="N117" s="12"/>
      <c r="O117" s="13">
        <f t="shared" si="163"/>
        <v>0</v>
      </c>
      <c r="P117" s="12"/>
      <c r="Q117" s="13">
        <f t="shared" si="164"/>
        <v>0</v>
      </c>
      <c r="R117" s="12"/>
      <c r="S117" s="13">
        <f t="shared" si="165"/>
        <v>0</v>
      </c>
      <c r="T117" s="12"/>
      <c r="U117" s="13">
        <f t="shared" si="166"/>
        <v>0</v>
      </c>
      <c r="V117" s="12"/>
      <c r="W117" s="13">
        <f t="shared" si="167"/>
        <v>0</v>
      </c>
      <c r="X117" s="12"/>
      <c r="Y117" s="13">
        <f t="shared" si="168"/>
        <v>0</v>
      </c>
      <c r="Z117" s="12"/>
      <c r="AA117" s="13">
        <f t="shared" si="169"/>
        <v>0</v>
      </c>
      <c r="AB117" s="12"/>
      <c r="AC117" s="13">
        <f t="shared" si="170"/>
        <v>0</v>
      </c>
      <c r="AD117" s="12"/>
      <c r="AE117" s="13">
        <f t="shared" si="171"/>
        <v>0</v>
      </c>
      <c r="AF117" s="14">
        <f t="shared" si="100"/>
        <v>0</v>
      </c>
      <c r="AG117" s="15">
        <f t="shared" si="172"/>
        <v>0</v>
      </c>
      <c r="AH117" s="16"/>
      <c r="AI117" s="13">
        <f t="shared" si="173"/>
        <v>0</v>
      </c>
      <c r="AJ117" s="17"/>
      <c r="AK117" s="13">
        <f t="shared" si="174"/>
        <v>0</v>
      </c>
      <c r="AL117" s="17"/>
      <c r="AM117" s="13">
        <f t="shared" si="175"/>
        <v>0</v>
      </c>
      <c r="AN117" s="18"/>
      <c r="AO117" s="13">
        <f t="shared" si="176"/>
        <v>0</v>
      </c>
      <c r="AP117" s="17"/>
      <c r="AQ117" s="13">
        <f t="shared" si="177"/>
        <v>0</v>
      </c>
      <c r="AR117" s="17"/>
      <c r="AS117" s="13">
        <f t="shared" si="178"/>
        <v>0</v>
      </c>
      <c r="AT117" s="19"/>
      <c r="AU117" s="13">
        <f t="shared" si="179"/>
        <v>0</v>
      </c>
      <c r="AV117" s="17"/>
      <c r="AW117" s="13">
        <f t="shared" si="180"/>
        <v>0</v>
      </c>
      <c r="AX117" s="17"/>
      <c r="AY117" s="13">
        <f t="shared" si="181"/>
        <v>0</v>
      </c>
      <c r="AZ117" s="19"/>
      <c r="BA117" s="13">
        <f t="shared" si="182"/>
        <v>0</v>
      </c>
      <c r="BB117" s="20"/>
      <c r="BC117" s="13">
        <f t="shared" si="186"/>
        <v>0</v>
      </c>
      <c r="BD117" s="20"/>
      <c r="BE117" s="13">
        <f t="shared" si="183"/>
        <v>0</v>
      </c>
      <c r="BF117" s="14">
        <f t="shared" si="101"/>
        <v>0</v>
      </c>
      <c r="BG117" s="15">
        <f t="shared" si="184"/>
        <v>0</v>
      </c>
      <c r="BH117" s="18"/>
      <c r="BI117" s="57">
        <f t="shared" si="129"/>
        <v>0</v>
      </c>
      <c r="BJ117" s="18"/>
      <c r="BK117" s="57">
        <f t="shared" si="130"/>
        <v>0</v>
      </c>
      <c r="BL117" s="18"/>
      <c r="BM117" s="57">
        <f t="shared" si="131"/>
        <v>0</v>
      </c>
      <c r="BN117" s="18"/>
      <c r="BO117" s="57">
        <f t="shared" si="132"/>
        <v>0</v>
      </c>
      <c r="BP117" s="18"/>
      <c r="BQ117" s="57">
        <f t="shared" si="133"/>
        <v>0</v>
      </c>
      <c r="BR117" s="18"/>
      <c r="BS117" s="57">
        <f t="shared" si="134"/>
        <v>0</v>
      </c>
      <c r="BT117" s="18"/>
      <c r="BU117" s="57">
        <f t="shared" si="135"/>
        <v>0</v>
      </c>
      <c r="BV117" s="18"/>
      <c r="BW117" s="57">
        <f t="shared" si="136"/>
        <v>0</v>
      </c>
      <c r="BX117" s="18"/>
      <c r="BY117" s="57">
        <f t="shared" si="137"/>
        <v>0</v>
      </c>
      <c r="BZ117" s="18"/>
      <c r="CA117" s="57">
        <f t="shared" si="138"/>
        <v>0</v>
      </c>
      <c r="CB117" s="18"/>
      <c r="CC117" s="57">
        <f t="shared" si="139"/>
        <v>0</v>
      </c>
      <c r="CD117" s="18"/>
      <c r="CE117" s="57">
        <f t="shared" si="140"/>
        <v>0</v>
      </c>
      <c r="CF117" s="14">
        <f t="shared" si="102"/>
        <v>0</v>
      </c>
      <c r="CG117" s="15">
        <f t="shared" si="185"/>
        <v>0</v>
      </c>
      <c r="CH117" s="12"/>
      <c r="CI117" s="13">
        <f t="shared" si="75"/>
        <v>0</v>
      </c>
      <c r="CJ117" s="12"/>
      <c r="CK117" s="13">
        <f t="shared" si="76"/>
        <v>0</v>
      </c>
      <c r="CL117" s="12"/>
      <c r="CM117" s="13">
        <f t="shared" si="77"/>
        <v>0</v>
      </c>
      <c r="CN117" s="12"/>
      <c r="CO117" s="13">
        <f t="shared" si="78"/>
        <v>0</v>
      </c>
      <c r="CP117" s="12"/>
      <c r="CQ117" s="13">
        <f t="shared" si="79"/>
        <v>0</v>
      </c>
      <c r="CR117" s="12"/>
      <c r="CS117" s="13">
        <f t="shared" si="80"/>
        <v>0</v>
      </c>
      <c r="CT117" s="12"/>
      <c r="CU117" s="13">
        <f t="shared" si="81"/>
        <v>0</v>
      </c>
      <c r="CV117" s="12"/>
      <c r="CW117" s="13">
        <f t="shared" si="82"/>
        <v>0</v>
      </c>
      <c r="CX117" s="12"/>
      <c r="CY117" s="13">
        <f t="shared" si="83"/>
        <v>0</v>
      </c>
      <c r="CZ117" s="12"/>
      <c r="DA117" s="13">
        <f t="shared" si="84"/>
        <v>0</v>
      </c>
      <c r="DB117" s="12"/>
      <c r="DC117" s="13">
        <f t="shared" si="85"/>
        <v>0</v>
      </c>
      <c r="DD117" s="12"/>
      <c r="DE117" s="13">
        <f t="shared" si="86"/>
        <v>0</v>
      </c>
      <c r="DF117" s="64">
        <f t="shared" si="87"/>
        <v>0</v>
      </c>
      <c r="DG117" s="15">
        <f t="shared" si="88"/>
        <v>0</v>
      </c>
      <c r="DH117" s="12"/>
      <c r="DI117" s="13">
        <f t="shared" si="89"/>
        <v>0</v>
      </c>
      <c r="DJ117" s="12"/>
      <c r="DK117" s="13">
        <f t="shared" si="90"/>
        <v>0</v>
      </c>
      <c r="DL117" s="12"/>
      <c r="DM117" s="13">
        <f t="shared" si="159"/>
        <v>0</v>
      </c>
      <c r="DN117" s="12"/>
      <c r="DO117" s="13">
        <f t="shared" si="74"/>
        <v>0</v>
      </c>
      <c r="DP117" s="12"/>
      <c r="DQ117" s="13">
        <f t="shared" si="91"/>
        <v>0</v>
      </c>
      <c r="DR117" s="12"/>
      <c r="DS117" s="13">
        <f t="shared" si="92"/>
        <v>0</v>
      </c>
      <c r="DT117" s="12"/>
      <c r="DU117" s="13">
        <f t="shared" si="73"/>
        <v>0</v>
      </c>
      <c r="DV117" s="12"/>
      <c r="DW117" s="13">
        <f t="shared" si="93"/>
        <v>0</v>
      </c>
      <c r="DX117" s="12"/>
      <c r="DY117" s="13">
        <f t="shared" si="94"/>
        <v>0</v>
      </c>
      <c r="DZ117" s="12"/>
      <c r="EA117" s="13">
        <f t="shared" si="95"/>
        <v>0</v>
      </c>
      <c r="EB117" s="12"/>
      <c r="EC117" s="13">
        <f t="shared" si="99"/>
        <v>0</v>
      </c>
      <c r="ED117" s="12"/>
      <c r="EE117" s="13">
        <f t="shared" si="96"/>
        <v>0</v>
      </c>
      <c r="EF117" s="24">
        <f t="shared" si="97"/>
        <v>0</v>
      </c>
      <c r="EG117" s="13">
        <f t="shared" si="98"/>
        <v>0</v>
      </c>
    </row>
    <row r="118" spans="1:137" ht="18" customHeight="1" x14ac:dyDescent="0.5">
      <c r="A118" s="10">
        <v>94</v>
      </c>
      <c r="B118" s="11" t="s">
        <v>126</v>
      </c>
      <c r="C118" s="11" t="s">
        <v>14</v>
      </c>
      <c r="D118" s="10"/>
      <c r="E118" s="10">
        <v>0.64</v>
      </c>
      <c r="F118" s="10" t="s">
        <v>128</v>
      </c>
      <c r="G118" s="10"/>
      <c r="H118" s="12"/>
      <c r="I118" s="13">
        <f t="shared" si="161"/>
        <v>0</v>
      </c>
      <c r="J118" s="12"/>
      <c r="K118" s="13">
        <f t="shared" si="160"/>
        <v>0</v>
      </c>
      <c r="L118" s="12"/>
      <c r="M118" s="13">
        <f t="shared" si="162"/>
        <v>0</v>
      </c>
      <c r="N118" s="12"/>
      <c r="O118" s="13">
        <f t="shared" si="163"/>
        <v>0</v>
      </c>
      <c r="P118" s="12"/>
      <c r="Q118" s="13">
        <f t="shared" si="164"/>
        <v>0</v>
      </c>
      <c r="R118" s="12"/>
      <c r="S118" s="13">
        <f t="shared" si="165"/>
        <v>0</v>
      </c>
      <c r="T118" s="12"/>
      <c r="U118" s="13">
        <f t="shared" si="166"/>
        <v>0</v>
      </c>
      <c r="V118" s="12"/>
      <c r="W118" s="13">
        <f t="shared" si="167"/>
        <v>0</v>
      </c>
      <c r="X118" s="12"/>
      <c r="Y118" s="13">
        <f t="shared" si="168"/>
        <v>0</v>
      </c>
      <c r="Z118" s="12"/>
      <c r="AA118" s="13">
        <f t="shared" si="169"/>
        <v>0</v>
      </c>
      <c r="AB118" s="12"/>
      <c r="AC118" s="13">
        <f t="shared" si="170"/>
        <v>0</v>
      </c>
      <c r="AD118" s="12"/>
      <c r="AE118" s="13">
        <f t="shared" si="171"/>
        <v>0</v>
      </c>
      <c r="AF118" s="14">
        <f t="shared" si="100"/>
        <v>0</v>
      </c>
      <c r="AG118" s="15">
        <f t="shared" si="172"/>
        <v>0</v>
      </c>
      <c r="AH118" s="16"/>
      <c r="AI118" s="13">
        <f t="shared" si="173"/>
        <v>0</v>
      </c>
      <c r="AJ118" s="17"/>
      <c r="AK118" s="13">
        <f t="shared" si="174"/>
        <v>0</v>
      </c>
      <c r="AL118" s="17"/>
      <c r="AM118" s="13">
        <f t="shared" si="175"/>
        <v>0</v>
      </c>
      <c r="AN118" s="18"/>
      <c r="AO118" s="13">
        <f t="shared" si="176"/>
        <v>0</v>
      </c>
      <c r="AP118" s="17"/>
      <c r="AQ118" s="13">
        <f t="shared" si="177"/>
        <v>0</v>
      </c>
      <c r="AR118" s="17"/>
      <c r="AS118" s="13">
        <f t="shared" si="178"/>
        <v>0</v>
      </c>
      <c r="AT118" s="19"/>
      <c r="AU118" s="13">
        <f t="shared" si="179"/>
        <v>0</v>
      </c>
      <c r="AV118" s="17"/>
      <c r="AW118" s="13">
        <f t="shared" si="180"/>
        <v>0</v>
      </c>
      <c r="AX118" s="17"/>
      <c r="AY118" s="13">
        <f t="shared" si="181"/>
        <v>0</v>
      </c>
      <c r="AZ118" s="19"/>
      <c r="BA118" s="13">
        <f t="shared" si="182"/>
        <v>0</v>
      </c>
      <c r="BB118" s="20"/>
      <c r="BC118" s="13">
        <f t="shared" si="186"/>
        <v>0</v>
      </c>
      <c r="BD118" s="20"/>
      <c r="BE118" s="13">
        <f t="shared" si="183"/>
        <v>0</v>
      </c>
      <c r="BF118" s="14">
        <f t="shared" si="101"/>
        <v>0</v>
      </c>
      <c r="BG118" s="15">
        <f t="shared" si="184"/>
        <v>0</v>
      </c>
      <c r="BH118" s="18"/>
      <c r="BI118" s="57">
        <f t="shared" si="129"/>
        <v>0</v>
      </c>
      <c r="BJ118" s="18"/>
      <c r="BK118" s="57">
        <f t="shared" si="130"/>
        <v>0</v>
      </c>
      <c r="BL118" s="18"/>
      <c r="BM118" s="57">
        <f t="shared" si="131"/>
        <v>0</v>
      </c>
      <c r="BN118" s="18"/>
      <c r="BO118" s="57">
        <f t="shared" si="132"/>
        <v>0</v>
      </c>
      <c r="BP118" s="18"/>
      <c r="BQ118" s="57">
        <f t="shared" si="133"/>
        <v>0</v>
      </c>
      <c r="BR118" s="18"/>
      <c r="BS118" s="57">
        <f t="shared" si="134"/>
        <v>0</v>
      </c>
      <c r="BT118" s="18"/>
      <c r="BU118" s="57">
        <f t="shared" si="135"/>
        <v>0</v>
      </c>
      <c r="BV118" s="18"/>
      <c r="BW118" s="57">
        <f t="shared" si="136"/>
        <v>0</v>
      </c>
      <c r="BX118" s="18"/>
      <c r="BY118" s="57">
        <f t="shared" si="137"/>
        <v>0</v>
      </c>
      <c r="BZ118" s="18"/>
      <c r="CA118" s="57">
        <f t="shared" si="138"/>
        <v>0</v>
      </c>
      <c r="CB118" s="18"/>
      <c r="CC118" s="57">
        <f t="shared" si="139"/>
        <v>0</v>
      </c>
      <c r="CD118" s="18"/>
      <c r="CE118" s="57">
        <f t="shared" si="140"/>
        <v>0</v>
      </c>
      <c r="CF118" s="14">
        <f t="shared" si="102"/>
        <v>0</v>
      </c>
      <c r="CG118" s="15">
        <f t="shared" si="185"/>
        <v>0</v>
      </c>
      <c r="CH118" s="12"/>
      <c r="CI118" s="13">
        <f t="shared" si="75"/>
        <v>0</v>
      </c>
      <c r="CJ118" s="12"/>
      <c r="CK118" s="13">
        <f t="shared" si="76"/>
        <v>0</v>
      </c>
      <c r="CL118" s="12"/>
      <c r="CM118" s="13">
        <f t="shared" si="77"/>
        <v>0</v>
      </c>
      <c r="CN118" s="12"/>
      <c r="CO118" s="13">
        <f t="shared" si="78"/>
        <v>0</v>
      </c>
      <c r="CP118" s="12"/>
      <c r="CQ118" s="13">
        <f t="shared" si="79"/>
        <v>0</v>
      </c>
      <c r="CR118" s="12"/>
      <c r="CS118" s="13">
        <f t="shared" si="80"/>
        <v>0</v>
      </c>
      <c r="CT118" s="12"/>
      <c r="CU118" s="13">
        <f t="shared" si="81"/>
        <v>0</v>
      </c>
      <c r="CV118" s="12"/>
      <c r="CW118" s="13">
        <f t="shared" si="82"/>
        <v>0</v>
      </c>
      <c r="CX118" s="12"/>
      <c r="CY118" s="13">
        <f t="shared" si="83"/>
        <v>0</v>
      </c>
      <c r="CZ118" s="12"/>
      <c r="DA118" s="13">
        <f t="shared" si="84"/>
        <v>0</v>
      </c>
      <c r="DB118" s="12"/>
      <c r="DC118" s="13">
        <f t="shared" si="85"/>
        <v>0</v>
      </c>
      <c r="DD118" s="12"/>
      <c r="DE118" s="13">
        <f t="shared" si="86"/>
        <v>0</v>
      </c>
      <c r="DF118" s="64">
        <f t="shared" si="87"/>
        <v>0</v>
      </c>
      <c r="DG118" s="15">
        <f t="shared" si="88"/>
        <v>0</v>
      </c>
      <c r="DH118" s="12"/>
      <c r="DI118" s="13">
        <f t="shared" si="89"/>
        <v>0</v>
      </c>
      <c r="DJ118" s="12"/>
      <c r="DK118" s="13">
        <f t="shared" si="90"/>
        <v>0</v>
      </c>
      <c r="DL118" s="12"/>
      <c r="DM118" s="13">
        <f t="shared" si="159"/>
        <v>0</v>
      </c>
      <c r="DN118" s="12"/>
      <c r="DO118" s="13">
        <f t="shared" si="74"/>
        <v>0</v>
      </c>
      <c r="DP118" s="12"/>
      <c r="DQ118" s="13">
        <f t="shared" si="91"/>
        <v>0</v>
      </c>
      <c r="DR118" s="12"/>
      <c r="DS118" s="13">
        <f t="shared" si="92"/>
        <v>0</v>
      </c>
      <c r="DT118" s="12"/>
      <c r="DU118" s="13">
        <f t="shared" si="73"/>
        <v>0</v>
      </c>
      <c r="DV118" s="12"/>
      <c r="DW118" s="13">
        <f t="shared" si="93"/>
        <v>0</v>
      </c>
      <c r="DX118" s="12"/>
      <c r="DY118" s="13">
        <f t="shared" si="94"/>
        <v>0</v>
      </c>
      <c r="DZ118" s="12"/>
      <c r="EA118" s="13">
        <f t="shared" si="95"/>
        <v>0</v>
      </c>
      <c r="EB118" s="12"/>
      <c r="EC118" s="13">
        <f t="shared" si="99"/>
        <v>0</v>
      </c>
      <c r="ED118" s="12"/>
      <c r="EE118" s="13">
        <f t="shared" si="96"/>
        <v>0</v>
      </c>
      <c r="EF118" s="24">
        <f t="shared" si="97"/>
        <v>0</v>
      </c>
      <c r="EG118" s="13">
        <f t="shared" si="98"/>
        <v>0</v>
      </c>
    </row>
    <row r="119" spans="1:137" ht="18" customHeight="1" x14ac:dyDescent="0.5">
      <c r="A119" s="10"/>
      <c r="B119" s="11"/>
      <c r="C119" s="11"/>
      <c r="D119" s="10"/>
      <c r="E119" s="10"/>
      <c r="F119" s="10"/>
      <c r="G119" s="10"/>
      <c r="H119" s="12"/>
      <c r="I119" s="13">
        <f t="shared" si="161"/>
        <v>0</v>
      </c>
      <c r="J119" s="12"/>
      <c r="K119" s="13">
        <f t="shared" si="160"/>
        <v>0</v>
      </c>
      <c r="L119" s="12"/>
      <c r="M119" s="13">
        <f t="shared" si="162"/>
        <v>0</v>
      </c>
      <c r="N119" s="12"/>
      <c r="O119" s="13">
        <f t="shared" si="163"/>
        <v>0</v>
      </c>
      <c r="P119" s="12"/>
      <c r="Q119" s="13">
        <f t="shared" si="164"/>
        <v>0</v>
      </c>
      <c r="R119" s="12"/>
      <c r="S119" s="13">
        <f t="shared" si="165"/>
        <v>0</v>
      </c>
      <c r="T119" s="12"/>
      <c r="U119" s="13">
        <f t="shared" si="166"/>
        <v>0</v>
      </c>
      <c r="V119" s="12"/>
      <c r="W119" s="13">
        <f t="shared" si="167"/>
        <v>0</v>
      </c>
      <c r="X119" s="12"/>
      <c r="Y119" s="13">
        <f t="shared" si="168"/>
        <v>0</v>
      </c>
      <c r="Z119" s="12"/>
      <c r="AA119" s="13">
        <f t="shared" si="169"/>
        <v>0</v>
      </c>
      <c r="AB119" s="12"/>
      <c r="AC119" s="13">
        <f t="shared" si="170"/>
        <v>0</v>
      </c>
      <c r="AD119" s="12"/>
      <c r="AE119" s="13">
        <f t="shared" si="171"/>
        <v>0</v>
      </c>
      <c r="AF119" s="14">
        <f t="shared" si="100"/>
        <v>0</v>
      </c>
      <c r="AG119" s="15">
        <f t="shared" si="172"/>
        <v>0</v>
      </c>
      <c r="AH119" s="16"/>
      <c r="AI119" s="13">
        <f t="shared" si="173"/>
        <v>0</v>
      </c>
      <c r="AJ119" s="17"/>
      <c r="AK119" s="13">
        <f t="shared" si="174"/>
        <v>0</v>
      </c>
      <c r="AL119" s="17"/>
      <c r="AM119" s="13">
        <f t="shared" si="175"/>
        <v>0</v>
      </c>
      <c r="AN119" s="18"/>
      <c r="AO119" s="13">
        <f t="shared" si="176"/>
        <v>0</v>
      </c>
      <c r="AP119" s="17"/>
      <c r="AQ119" s="13">
        <f t="shared" si="177"/>
        <v>0</v>
      </c>
      <c r="AR119" s="17"/>
      <c r="AS119" s="13">
        <f t="shared" si="178"/>
        <v>0</v>
      </c>
      <c r="AT119" s="19"/>
      <c r="AU119" s="13">
        <f t="shared" si="179"/>
        <v>0</v>
      </c>
      <c r="AV119" s="17"/>
      <c r="AW119" s="13">
        <f t="shared" si="180"/>
        <v>0</v>
      </c>
      <c r="AX119" s="17"/>
      <c r="AY119" s="13">
        <f t="shared" si="181"/>
        <v>0</v>
      </c>
      <c r="AZ119" s="19"/>
      <c r="BA119" s="13">
        <f>AZ119*$E119</f>
        <v>0</v>
      </c>
      <c r="BB119" s="20"/>
      <c r="BC119" s="13">
        <f t="shared" si="186"/>
        <v>0</v>
      </c>
      <c r="BD119" s="20"/>
      <c r="BE119" s="13">
        <f t="shared" si="183"/>
        <v>0</v>
      </c>
      <c r="BF119" s="14">
        <f>(BD119+BB119+AZ119+AX119+AV119+AT119+AR119+AP119+AN119+AL119+AJ119+AH119)/12</f>
        <v>0</v>
      </c>
      <c r="BG119" s="15">
        <f t="shared" si="184"/>
        <v>0</v>
      </c>
      <c r="BH119" s="18"/>
      <c r="BI119" s="57">
        <f t="shared" si="129"/>
        <v>0</v>
      </c>
      <c r="BJ119" s="18"/>
      <c r="BK119" s="57">
        <f t="shared" si="130"/>
        <v>0</v>
      </c>
      <c r="BL119" s="18"/>
      <c r="BM119" s="57">
        <f t="shared" si="131"/>
        <v>0</v>
      </c>
      <c r="BN119" s="18"/>
      <c r="BO119" s="57">
        <f t="shared" si="132"/>
        <v>0</v>
      </c>
      <c r="BP119" s="18"/>
      <c r="BQ119" s="57">
        <f t="shared" si="133"/>
        <v>0</v>
      </c>
      <c r="BR119" s="18"/>
      <c r="BS119" s="57">
        <f t="shared" si="134"/>
        <v>0</v>
      </c>
      <c r="BT119" s="18"/>
      <c r="BU119" s="57">
        <f t="shared" si="135"/>
        <v>0</v>
      </c>
      <c r="BV119" s="18"/>
      <c r="BW119" s="57">
        <f t="shared" si="136"/>
        <v>0</v>
      </c>
      <c r="BX119" s="18"/>
      <c r="BY119" s="57">
        <f t="shared" si="137"/>
        <v>0</v>
      </c>
      <c r="BZ119" s="18"/>
      <c r="CA119" s="57">
        <f t="shared" si="138"/>
        <v>0</v>
      </c>
      <c r="CB119" s="18"/>
      <c r="CC119" s="57">
        <f t="shared" si="139"/>
        <v>0</v>
      </c>
      <c r="CD119" s="18"/>
      <c r="CE119" s="57">
        <f t="shared" si="140"/>
        <v>0</v>
      </c>
      <c r="CF119" s="14">
        <f t="shared" si="102"/>
        <v>0</v>
      </c>
      <c r="CG119" s="15">
        <f t="shared" si="185"/>
        <v>0</v>
      </c>
      <c r="CH119" s="12"/>
      <c r="CI119" s="13">
        <f t="shared" si="75"/>
        <v>0</v>
      </c>
      <c r="CJ119" s="12"/>
      <c r="CK119" s="13">
        <f t="shared" si="76"/>
        <v>0</v>
      </c>
      <c r="CL119" s="12"/>
      <c r="CM119" s="13">
        <f t="shared" si="77"/>
        <v>0</v>
      </c>
      <c r="CN119" s="12"/>
      <c r="CO119" s="13">
        <f t="shared" si="78"/>
        <v>0</v>
      </c>
      <c r="CP119" s="12"/>
      <c r="CQ119" s="13">
        <f t="shared" si="79"/>
        <v>0</v>
      </c>
      <c r="CR119" s="12"/>
      <c r="CS119" s="13">
        <f t="shared" si="80"/>
        <v>0</v>
      </c>
      <c r="CT119" s="12"/>
      <c r="CU119" s="13">
        <f t="shared" si="81"/>
        <v>0</v>
      </c>
      <c r="CV119" s="12"/>
      <c r="CW119" s="13">
        <f t="shared" si="82"/>
        <v>0</v>
      </c>
      <c r="CX119" s="12"/>
      <c r="CY119" s="13">
        <f t="shared" si="83"/>
        <v>0</v>
      </c>
      <c r="CZ119" s="12"/>
      <c r="DA119" s="13">
        <f t="shared" si="84"/>
        <v>0</v>
      </c>
      <c r="DB119" s="12"/>
      <c r="DC119" s="13">
        <f t="shared" si="85"/>
        <v>0</v>
      </c>
      <c r="DD119" s="12"/>
      <c r="DE119" s="13">
        <f t="shared" si="86"/>
        <v>0</v>
      </c>
      <c r="DF119" s="64">
        <f t="shared" si="87"/>
        <v>0</v>
      </c>
      <c r="DG119" s="15">
        <f t="shared" si="88"/>
        <v>0</v>
      </c>
      <c r="DH119" s="12"/>
      <c r="DI119" s="13">
        <f t="shared" si="89"/>
        <v>0</v>
      </c>
      <c r="DJ119" s="12"/>
      <c r="DK119" s="13">
        <f t="shared" si="90"/>
        <v>0</v>
      </c>
      <c r="DL119" s="12"/>
      <c r="DM119" s="13">
        <f t="shared" si="159"/>
        <v>0</v>
      </c>
      <c r="DN119" s="12"/>
      <c r="DO119" s="13">
        <f t="shared" si="74"/>
        <v>0</v>
      </c>
      <c r="DP119" s="12"/>
      <c r="DQ119" s="13">
        <f t="shared" si="91"/>
        <v>0</v>
      </c>
      <c r="DR119" s="12"/>
      <c r="DS119" s="13">
        <f t="shared" si="92"/>
        <v>0</v>
      </c>
      <c r="DT119" s="12"/>
      <c r="DU119" s="13">
        <f t="shared" si="73"/>
        <v>0</v>
      </c>
      <c r="DV119" s="12"/>
      <c r="DW119" s="13">
        <f t="shared" si="93"/>
        <v>0</v>
      </c>
      <c r="DX119" s="12"/>
      <c r="DY119" s="13">
        <f t="shared" si="94"/>
        <v>0</v>
      </c>
      <c r="DZ119" s="12"/>
      <c r="EA119" s="13">
        <f t="shared" si="95"/>
        <v>0</v>
      </c>
      <c r="EB119" s="12"/>
      <c r="EC119" s="13">
        <f t="shared" si="99"/>
        <v>0</v>
      </c>
      <c r="ED119" s="12"/>
      <c r="EE119" s="13">
        <f t="shared" si="96"/>
        <v>0</v>
      </c>
      <c r="EF119" s="24">
        <f t="shared" si="97"/>
        <v>0</v>
      </c>
      <c r="EG119" s="13">
        <f t="shared" si="98"/>
        <v>0</v>
      </c>
    </row>
    <row r="120" spans="1:137" ht="18" customHeight="1" x14ac:dyDescent="0.5">
      <c r="A120" s="10">
        <v>95</v>
      </c>
      <c r="B120" s="11" t="s">
        <v>94</v>
      </c>
      <c r="C120" s="11" t="s">
        <v>14</v>
      </c>
      <c r="D120" s="10">
        <f>RANK(DF120,$DF$4:$DF$147)</f>
        <v>4</v>
      </c>
      <c r="E120" s="10">
        <v>0.64</v>
      </c>
      <c r="F120" s="10" t="s">
        <v>23</v>
      </c>
      <c r="G120" s="10">
        <v>1450</v>
      </c>
      <c r="H120" s="12">
        <v>21456</v>
      </c>
      <c r="I120" s="13">
        <f t="shared" si="161"/>
        <v>13731.84</v>
      </c>
      <c r="J120" s="12">
        <v>16800</v>
      </c>
      <c r="K120" s="13">
        <f t="shared" si="160"/>
        <v>10752</v>
      </c>
      <c r="L120" s="12">
        <v>21528</v>
      </c>
      <c r="M120" s="13">
        <f t="shared" si="162"/>
        <v>13777.92</v>
      </c>
      <c r="N120" s="12">
        <v>18264</v>
      </c>
      <c r="O120" s="13">
        <f t="shared" si="163"/>
        <v>11688.960000000001</v>
      </c>
      <c r="P120" s="12">
        <v>23976</v>
      </c>
      <c r="Q120" s="13">
        <f t="shared" si="164"/>
        <v>15344.64</v>
      </c>
      <c r="R120" s="12">
        <v>16440</v>
      </c>
      <c r="S120" s="13">
        <f t="shared" si="165"/>
        <v>10521.6</v>
      </c>
      <c r="T120" s="12">
        <v>18480</v>
      </c>
      <c r="U120" s="13">
        <f t="shared" si="166"/>
        <v>11827.2</v>
      </c>
      <c r="V120" s="12">
        <v>18600</v>
      </c>
      <c r="W120" s="13">
        <f t="shared" si="167"/>
        <v>11904</v>
      </c>
      <c r="X120" s="12">
        <v>17760</v>
      </c>
      <c r="Y120" s="13">
        <f t="shared" si="168"/>
        <v>11366.4</v>
      </c>
      <c r="Z120" s="12">
        <v>16824</v>
      </c>
      <c r="AA120" s="13">
        <f t="shared" si="169"/>
        <v>10767.36</v>
      </c>
      <c r="AB120" s="12">
        <v>16368</v>
      </c>
      <c r="AC120" s="13">
        <f t="shared" si="170"/>
        <v>10475.52</v>
      </c>
      <c r="AD120" s="12">
        <v>19992</v>
      </c>
      <c r="AE120" s="13">
        <f t="shared" si="171"/>
        <v>12794.880000000001</v>
      </c>
      <c r="AF120" s="14">
        <f t="shared" si="100"/>
        <v>18874</v>
      </c>
      <c r="AG120" s="15">
        <f t="shared" si="172"/>
        <v>12079.36</v>
      </c>
      <c r="AH120" s="16">
        <v>21480</v>
      </c>
      <c r="AI120" s="13">
        <f t="shared" si="173"/>
        <v>13747.2</v>
      </c>
      <c r="AJ120" s="17">
        <v>18816</v>
      </c>
      <c r="AK120" s="13">
        <f t="shared" si="174"/>
        <v>12042.24</v>
      </c>
      <c r="AL120" s="17">
        <v>21360</v>
      </c>
      <c r="AM120" s="13">
        <f t="shared" si="175"/>
        <v>13670.4</v>
      </c>
      <c r="AN120" s="18">
        <v>21120</v>
      </c>
      <c r="AO120" s="13">
        <f t="shared" si="176"/>
        <v>13516.800000000001</v>
      </c>
      <c r="AP120" s="17">
        <v>21720</v>
      </c>
      <c r="AQ120" s="13">
        <f t="shared" si="177"/>
        <v>13900.800000000001</v>
      </c>
      <c r="AR120" s="17">
        <v>18744</v>
      </c>
      <c r="AS120" s="13">
        <f t="shared" si="178"/>
        <v>11996.16</v>
      </c>
      <c r="AT120" s="19">
        <v>18960</v>
      </c>
      <c r="AU120" s="13">
        <f t="shared" si="179"/>
        <v>12134.4</v>
      </c>
      <c r="AV120" s="17">
        <v>25824</v>
      </c>
      <c r="AW120" s="13">
        <f t="shared" si="180"/>
        <v>16527.36</v>
      </c>
      <c r="AX120" s="17">
        <v>11400</v>
      </c>
      <c r="AY120" s="13">
        <f t="shared" si="181"/>
        <v>7296</v>
      </c>
      <c r="AZ120" s="19">
        <v>13896</v>
      </c>
      <c r="BA120" s="13">
        <f>AZ120*$E120</f>
        <v>8893.44</v>
      </c>
      <c r="BB120" s="20">
        <v>18240</v>
      </c>
      <c r="BC120" s="13">
        <f t="shared" si="186"/>
        <v>11673.6</v>
      </c>
      <c r="BD120" s="20">
        <v>17400</v>
      </c>
      <c r="BE120" s="13">
        <f t="shared" si="183"/>
        <v>11136</v>
      </c>
      <c r="BF120" s="14">
        <f>(BD120+BB120+AZ120+AX120+AV120+AT120+AR120+AP120+AN120+AL120+AJ120+AH120)/12</f>
        <v>19080</v>
      </c>
      <c r="BG120" s="15">
        <f t="shared" si="184"/>
        <v>12211.2</v>
      </c>
      <c r="BH120" s="18"/>
      <c r="BI120" s="57">
        <f t="shared" si="129"/>
        <v>0</v>
      </c>
      <c r="BJ120" s="58">
        <v>17880</v>
      </c>
      <c r="BK120" s="57">
        <f t="shared" si="130"/>
        <v>11443.2</v>
      </c>
      <c r="BL120" s="23">
        <v>17040</v>
      </c>
      <c r="BM120" s="57">
        <f t="shared" si="131"/>
        <v>10905.6</v>
      </c>
      <c r="BN120" s="23">
        <v>20760</v>
      </c>
      <c r="BO120" s="57">
        <f t="shared" si="132"/>
        <v>13286.4</v>
      </c>
      <c r="BP120" s="23">
        <v>24360</v>
      </c>
      <c r="BQ120" s="57">
        <f t="shared" si="133"/>
        <v>15590.4</v>
      </c>
      <c r="BR120" s="21">
        <v>19800</v>
      </c>
      <c r="BS120" s="57">
        <f t="shared" si="134"/>
        <v>12672</v>
      </c>
      <c r="BT120" s="58">
        <v>19320</v>
      </c>
      <c r="BU120" s="57">
        <f t="shared" si="135"/>
        <v>12364.800000000001</v>
      </c>
      <c r="BV120" s="28">
        <v>17640</v>
      </c>
      <c r="BW120" s="57">
        <f t="shared" si="136"/>
        <v>11289.6</v>
      </c>
      <c r="BX120" s="58">
        <v>18480</v>
      </c>
      <c r="BY120" s="57">
        <f t="shared" si="137"/>
        <v>11827.2</v>
      </c>
      <c r="BZ120" s="58">
        <v>20040</v>
      </c>
      <c r="CA120" s="57">
        <f t="shared" si="138"/>
        <v>12825.6</v>
      </c>
      <c r="CB120" s="58">
        <v>18864</v>
      </c>
      <c r="CC120" s="57">
        <f t="shared" si="139"/>
        <v>12072.960000000001</v>
      </c>
      <c r="CD120" s="58">
        <v>17280</v>
      </c>
      <c r="CE120" s="57">
        <f t="shared" si="140"/>
        <v>11059.2</v>
      </c>
      <c r="CF120" s="14">
        <f t="shared" si="102"/>
        <v>17622</v>
      </c>
      <c r="CG120" s="15">
        <f t="shared" si="185"/>
        <v>11278.08</v>
      </c>
      <c r="CH120" s="12">
        <v>17280</v>
      </c>
      <c r="CI120" s="13">
        <f t="shared" si="75"/>
        <v>11059.2</v>
      </c>
      <c r="CJ120" s="12">
        <v>17736</v>
      </c>
      <c r="CK120" s="13">
        <f t="shared" si="76"/>
        <v>11351.04</v>
      </c>
      <c r="CL120" s="18">
        <v>18792</v>
      </c>
      <c r="CM120" s="13">
        <f t="shared" si="77"/>
        <v>12026.880000000001</v>
      </c>
      <c r="CN120" s="12">
        <v>20352</v>
      </c>
      <c r="CO120" s="13">
        <f t="shared" si="78"/>
        <v>13025.28</v>
      </c>
      <c r="CP120" s="12">
        <v>19320</v>
      </c>
      <c r="CQ120" s="13">
        <f t="shared" si="79"/>
        <v>12364.800000000001</v>
      </c>
      <c r="CR120" s="12">
        <v>20760</v>
      </c>
      <c r="CS120" s="13">
        <f t="shared" si="80"/>
        <v>13286.4</v>
      </c>
      <c r="CT120" s="12">
        <v>16800</v>
      </c>
      <c r="CU120" s="13">
        <f t="shared" si="81"/>
        <v>10752</v>
      </c>
      <c r="CV120" s="12">
        <v>13680</v>
      </c>
      <c r="CW120" s="13">
        <f t="shared" si="82"/>
        <v>8755.2000000000007</v>
      </c>
      <c r="CX120" s="12">
        <v>18240</v>
      </c>
      <c r="CY120" s="13">
        <f t="shared" si="83"/>
        <v>11673.6</v>
      </c>
      <c r="CZ120" s="12">
        <v>17280</v>
      </c>
      <c r="DA120" s="13">
        <f t="shared" si="84"/>
        <v>11059.2</v>
      </c>
      <c r="DB120" s="12">
        <v>17736</v>
      </c>
      <c r="DC120" s="13">
        <f t="shared" si="85"/>
        <v>11351.04</v>
      </c>
      <c r="DD120" s="12">
        <v>17040</v>
      </c>
      <c r="DE120" s="13">
        <f t="shared" si="86"/>
        <v>10905.6</v>
      </c>
      <c r="DF120" s="64">
        <f t="shared" si="87"/>
        <v>215016</v>
      </c>
      <c r="DG120" s="15">
        <f t="shared" si="88"/>
        <v>137610.23999999999</v>
      </c>
      <c r="DH120" s="12">
        <v>16752</v>
      </c>
      <c r="DI120" s="13">
        <f t="shared" si="89"/>
        <v>10721.28</v>
      </c>
      <c r="DJ120" s="12">
        <v>16656</v>
      </c>
      <c r="DK120" s="13">
        <f t="shared" si="90"/>
        <v>10659.84</v>
      </c>
      <c r="DL120" s="12">
        <v>8160</v>
      </c>
      <c r="DM120" s="13">
        <f t="shared" si="159"/>
        <v>5222.4000000000005</v>
      </c>
      <c r="DN120" s="12"/>
      <c r="DO120" s="13">
        <f t="shared" si="74"/>
        <v>0</v>
      </c>
      <c r="DP120" s="12"/>
      <c r="DQ120" s="13">
        <f t="shared" si="91"/>
        <v>0</v>
      </c>
      <c r="DR120" s="12"/>
      <c r="DS120" s="13">
        <f t="shared" si="92"/>
        <v>0</v>
      </c>
      <c r="DT120" s="12"/>
      <c r="DU120" s="13">
        <f t="shared" si="73"/>
        <v>0</v>
      </c>
      <c r="DV120" s="12"/>
      <c r="DW120" s="13">
        <f t="shared" si="93"/>
        <v>0</v>
      </c>
      <c r="DX120" s="12"/>
      <c r="DY120" s="13">
        <f t="shared" si="94"/>
        <v>0</v>
      </c>
      <c r="DZ120" s="12"/>
      <c r="EA120" s="13">
        <f t="shared" si="95"/>
        <v>0</v>
      </c>
      <c r="EB120" s="12"/>
      <c r="EC120" s="13">
        <f t="shared" si="99"/>
        <v>0</v>
      </c>
      <c r="ED120" s="12"/>
      <c r="EE120" s="13">
        <f t="shared" si="96"/>
        <v>0</v>
      </c>
      <c r="EF120" s="24">
        <f t="shared" si="97"/>
        <v>41568</v>
      </c>
      <c r="EG120" s="13">
        <f t="shared" si="98"/>
        <v>26603.52</v>
      </c>
    </row>
    <row r="121" spans="1:137" ht="18" customHeight="1" x14ac:dyDescent="0.5">
      <c r="A121" s="10">
        <v>96</v>
      </c>
      <c r="B121" s="11" t="s">
        <v>137</v>
      </c>
      <c r="C121" s="11" t="s">
        <v>127</v>
      </c>
      <c r="D121" s="10"/>
      <c r="E121" s="10">
        <v>1</v>
      </c>
      <c r="F121" s="10" t="s">
        <v>38</v>
      </c>
      <c r="G121" s="10">
        <v>1795</v>
      </c>
      <c r="H121" s="12"/>
      <c r="I121" s="13">
        <f t="shared" si="161"/>
        <v>0</v>
      </c>
      <c r="J121" s="12"/>
      <c r="K121" s="13">
        <f t="shared" si="160"/>
        <v>0</v>
      </c>
      <c r="L121" s="12"/>
      <c r="M121" s="13">
        <f t="shared" si="162"/>
        <v>0</v>
      </c>
      <c r="N121" s="12"/>
      <c r="O121" s="13">
        <f t="shared" si="163"/>
        <v>0</v>
      </c>
      <c r="P121" s="12"/>
      <c r="Q121" s="13">
        <f t="shared" si="164"/>
        <v>0</v>
      </c>
      <c r="R121" s="12"/>
      <c r="S121" s="13">
        <f t="shared" si="165"/>
        <v>0</v>
      </c>
      <c r="T121" s="12"/>
      <c r="U121" s="13">
        <f t="shared" si="166"/>
        <v>0</v>
      </c>
      <c r="V121" s="12"/>
      <c r="W121" s="13">
        <f t="shared" si="167"/>
        <v>0</v>
      </c>
      <c r="X121" s="12"/>
      <c r="Y121" s="13">
        <f t="shared" si="168"/>
        <v>0</v>
      </c>
      <c r="Z121" s="12"/>
      <c r="AA121" s="13">
        <f t="shared" si="169"/>
        <v>0</v>
      </c>
      <c r="AB121" s="12"/>
      <c r="AC121" s="13">
        <f t="shared" si="170"/>
        <v>0</v>
      </c>
      <c r="AD121" s="12"/>
      <c r="AE121" s="13">
        <f t="shared" si="171"/>
        <v>0</v>
      </c>
      <c r="AF121" s="14">
        <f t="shared" si="100"/>
        <v>0</v>
      </c>
      <c r="AG121" s="15">
        <f t="shared" si="172"/>
        <v>0</v>
      </c>
      <c r="AH121" s="16"/>
      <c r="AI121" s="13">
        <f t="shared" si="173"/>
        <v>0</v>
      </c>
      <c r="AJ121" s="17"/>
      <c r="AK121" s="13">
        <f t="shared" si="174"/>
        <v>0</v>
      </c>
      <c r="AL121" s="17"/>
      <c r="AM121" s="13">
        <f t="shared" si="175"/>
        <v>0</v>
      </c>
      <c r="AN121" s="18"/>
      <c r="AO121" s="13">
        <f t="shared" si="176"/>
        <v>0</v>
      </c>
      <c r="AP121" s="17"/>
      <c r="AQ121" s="13">
        <f t="shared" si="177"/>
        <v>0</v>
      </c>
      <c r="AR121" s="17"/>
      <c r="AS121" s="13">
        <f t="shared" si="178"/>
        <v>0</v>
      </c>
      <c r="AT121" s="19"/>
      <c r="AU121" s="13">
        <f t="shared" si="179"/>
        <v>0</v>
      </c>
      <c r="AV121" s="17"/>
      <c r="AW121" s="13">
        <f t="shared" si="180"/>
        <v>0</v>
      </c>
      <c r="AX121" s="17"/>
      <c r="AY121" s="13">
        <f t="shared" si="181"/>
        <v>0</v>
      </c>
      <c r="AZ121" s="19"/>
      <c r="BA121" s="13">
        <f>AZ121*$E121</f>
        <v>0</v>
      </c>
      <c r="BB121" s="20"/>
      <c r="BC121" s="13">
        <f t="shared" si="186"/>
        <v>0</v>
      </c>
      <c r="BD121" s="20"/>
      <c r="BE121" s="13">
        <f t="shared" si="183"/>
        <v>0</v>
      </c>
      <c r="BF121" s="14">
        <f>(BD121+BB121+AZ121+AX121+AV121+AT121+AR121+AP121+AN121+AL121+AJ121+AH121)/12</f>
        <v>0</v>
      </c>
      <c r="BG121" s="15">
        <f t="shared" si="184"/>
        <v>0</v>
      </c>
      <c r="BH121" s="18"/>
      <c r="BI121" s="57">
        <f t="shared" si="129"/>
        <v>0</v>
      </c>
      <c r="BJ121" s="18"/>
      <c r="BK121" s="57">
        <f t="shared" si="130"/>
        <v>0</v>
      </c>
      <c r="BL121" s="18"/>
      <c r="BM121" s="57">
        <f t="shared" si="131"/>
        <v>0</v>
      </c>
      <c r="BN121" s="18"/>
      <c r="BO121" s="57">
        <f t="shared" si="132"/>
        <v>0</v>
      </c>
      <c r="BP121" s="18"/>
      <c r="BQ121" s="57">
        <f t="shared" si="133"/>
        <v>0</v>
      </c>
      <c r="BR121" s="18"/>
      <c r="BS121" s="57">
        <f t="shared" si="134"/>
        <v>0</v>
      </c>
      <c r="BT121" s="18"/>
      <c r="BU121" s="57">
        <f t="shared" si="135"/>
        <v>0</v>
      </c>
      <c r="BV121" s="18"/>
      <c r="BW121" s="57">
        <f t="shared" si="136"/>
        <v>0</v>
      </c>
      <c r="BX121" s="18"/>
      <c r="BY121" s="57">
        <f t="shared" si="137"/>
        <v>0</v>
      </c>
      <c r="BZ121" s="18"/>
      <c r="CA121" s="57">
        <f t="shared" si="138"/>
        <v>0</v>
      </c>
      <c r="CB121" s="18"/>
      <c r="CC121" s="57">
        <f t="shared" si="139"/>
        <v>0</v>
      </c>
      <c r="CD121" s="18"/>
      <c r="CE121" s="57">
        <f t="shared" si="140"/>
        <v>0</v>
      </c>
      <c r="CF121" s="14">
        <f t="shared" si="102"/>
        <v>0</v>
      </c>
      <c r="CG121" s="15">
        <f t="shared" si="185"/>
        <v>0</v>
      </c>
      <c r="CH121" s="12"/>
      <c r="CI121" s="13">
        <f t="shared" si="75"/>
        <v>0</v>
      </c>
      <c r="CJ121" s="12"/>
      <c r="CK121" s="13">
        <f t="shared" si="76"/>
        <v>0</v>
      </c>
      <c r="CL121" s="12"/>
      <c r="CM121" s="13">
        <f t="shared" si="77"/>
        <v>0</v>
      </c>
      <c r="CN121" s="12"/>
      <c r="CO121" s="13">
        <f t="shared" si="78"/>
        <v>0</v>
      </c>
      <c r="CP121" s="12"/>
      <c r="CQ121" s="13">
        <f t="shared" si="79"/>
        <v>0</v>
      </c>
      <c r="CR121" s="12"/>
      <c r="CS121" s="13">
        <f t="shared" si="80"/>
        <v>0</v>
      </c>
      <c r="CT121" s="12"/>
      <c r="CU121" s="13">
        <f t="shared" si="81"/>
        <v>0</v>
      </c>
      <c r="CV121" s="12"/>
      <c r="CW121" s="13">
        <f t="shared" si="82"/>
        <v>0</v>
      </c>
      <c r="CX121" s="12"/>
      <c r="CY121" s="13">
        <f t="shared" si="83"/>
        <v>0</v>
      </c>
      <c r="CZ121" s="12"/>
      <c r="DA121" s="13">
        <f t="shared" si="84"/>
        <v>0</v>
      </c>
      <c r="DB121" s="12"/>
      <c r="DC121" s="13">
        <f t="shared" si="85"/>
        <v>0</v>
      </c>
      <c r="DD121" s="12"/>
      <c r="DE121" s="13">
        <f t="shared" si="86"/>
        <v>0</v>
      </c>
      <c r="DF121" s="64">
        <f t="shared" si="87"/>
        <v>0</v>
      </c>
      <c r="DG121" s="15">
        <f t="shared" si="88"/>
        <v>0</v>
      </c>
      <c r="DH121" s="12">
        <v>1800</v>
      </c>
      <c r="DI121" s="13">
        <f t="shared" si="89"/>
        <v>1800</v>
      </c>
      <c r="DJ121" s="12">
        <v>612</v>
      </c>
      <c r="DK121" s="13">
        <f t="shared" si="90"/>
        <v>612</v>
      </c>
      <c r="DL121" s="12">
        <v>1200</v>
      </c>
      <c r="DM121" s="13">
        <f t="shared" si="159"/>
        <v>1200</v>
      </c>
      <c r="DN121" s="12"/>
      <c r="DO121" s="13">
        <f t="shared" si="74"/>
        <v>0</v>
      </c>
      <c r="DP121" s="12"/>
      <c r="DQ121" s="13">
        <f t="shared" si="91"/>
        <v>0</v>
      </c>
      <c r="DR121" s="12"/>
      <c r="DS121" s="13">
        <f t="shared" si="92"/>
        <v>0</v>
      </c>
      <c r="DT121" s="12"/>
      <c r="DU121" s="13">
        <f t="shared" si="73"/>
        <v>0</v>
      </c>
      <c r="DV121" s="12"/>
      <c r="DW121" s="13">
        <f t="shared" si="93"/>
        <v>0</v>
      </c>
      <c r="DX121" s="12"/>
      <c r="DY121" s="13">
        <f t="shared" si="94"/>
        <v>0</v>
      </c>
      <c r="DZ121" s="12"/>
      <c r="EA121" s="13">
        <f t="shared" si="95"/>
        <v>0</v>
      </c>
      <c r="EB121" s="12"/>
      <c r="EC121" s="13">
        <f t="shared" si="99"/>
        <v>0</v>
      </c>
      <c r="ED121" s="12"/>
      <c r="EE121" s="13">
        <f t="shared" si="96"/>
        <v>0</v>
      </c>
      <c r="EF121" s="24">
        <f t="shared" si="97"/>
        <v>3612</v>
      </c>
      <c r="EG121" s="13">
        <f t="shared" si="98"/>
        <v>3612</v>
      </c>
    </row>
    <row r="122" spans="1:137" ht="18" customHeight="1" x14ac:dyDescent="0.5">
      <c r="A122" s="10"/>
      <c r="B122" s="11"/>
      <c r="C122" s="11"/>
      <c r="D122" s="10"/>
      <c r="E122" s="10"/>
      <c r="F122" s="10"/>
      <c r="G122" s="10"/>
      <c r="H122" s="12"/>
      <c r="I122" s="13">
        <f t="shared" si="161"/>
        <v>0</v>
      </c>
      <c r="J122" s="12"/>
      <c r="K122" s="13">
        <f t="shared" si="160"/>
        <v>0</v>
      </c>
      <c r="L122" s="12"/>
      <c r="M122" s="13">
        <f t="shared" si="162"/>
        <v>0</v>
      </c>
      <c r="N122" s="12"/>
      <c r="O122" s="13">
        <f t="shared" si="163"/>
        <v>0</v>
      </c>
      <c r="P122" s="12"/>
      <c r="Q122" s="13">
        <f t="shared" si="164"/>
        <v>0</v>
      </c>
      <c r="R122" s="12"/>
      <c r="S122" s="13">
        <f t="shared" si="165"/>
        <v>0</v>
      </c>
      <c r="T122" s="12"/>
      <c r="U122" s="13">
        <f t="shared" si="166"/>
        <v>0</v>
      </c>
      <c r="V122" s="12"/>
      <c r="W122" s="13">
        <f t="shared" si="167"/>
        <v>0</v>
      </c>
      <c r="X122" s="12"/>
      <c r="Y122" s="13">
        <f t="shared" si="168"/>
        <v>0</v>
      </c>
      <c r="Z122" s="12"/>
      <c r="AA122" s="13">
        <f t="shared" si="169"/>
        <v>0</v>
      </c>
      <c r="AB122" s="12"/>
      <c r="AC122" s="13">
        <f t="shared" si="170"/>
        <v>0</v>
      </c>
      <c r="AD122" s="12"/>
      <c r="AE122" s="13">
        <f t="shared" si="171"/>
        <v>0</v>
      </c>
      <c r="AF122" s="14">
        <f t="shared" si="100"/>
        <v>0</v>
      </c>
      <c r="AG122" s="15">
        <f t="shared" si="172"/>
        <v>0</v>
      </c>
      <c r="AH122" s="16"/>
      <c r="AI122" s="13">
        <f t="shared" si="173"/>
        <v>0</v>
      </c>
      <c r="AJ122" s="17"/>
      <c r="AK122" s="13">
        <f t="shared" si="174"/>
        <v>0</v>
      </c>
      <c r="AL122" s="17"/>
      <c r="AM122" s="13">
        <f t="shared" si="175"/>
        <v>0</v>
      </c>
      <c r="AN122" s="18"/>
      <c r="AO122" s="13">
        <f t="shared" si="176"/>
        <v>0</v>
      </c>
      <c r="AP122" s="17"/>
      <c r="AQ122" s="13">
        <f t="shared" si="177"/>
        <v>0</v>
      </c>
      <c r="AR122" s="17"/>
      <c r="AS122" s="13">
        <f t="shared" si="178"/>
        <v>0</v>
      </c>
      <c r="AT122" s="19"/>
      <c r="AU122" s="13">
        <f t="shared" si="179"/>
        <v>0</v>
      </c>
      <c r="AV122" s="17"/>
      <c r="AW122" s="13">
        <f t="shared" si="180"/>
        <v>0</v>
      </c>
      <c r="AX122" s="17"/>
      <c r="AY122" s="13">
        <f t="shared" si="181"/>
        <v>0</v>
      </c>
      <c r="AZ122" s="19"/>
      <c r="BA122" s="13">
        <f>AZ122*$E122</f>
        <v>0</v>
      </c>
      <c r="BB122" s="20"/>
      <c r="BC122" s="13">
        <f t="shared" si="186"/>
        <v>0</v>
      </c>
      <c r="BD122" s="20"/>
      <c r="BE122" s="13">
        <f t="shared" si="183"/>
        <v>0</v>
      </c>
      <c r="BF122" s="14">
        <f>(BD122+BB122+AZ122+AX122+AV122+AT122+AR122+AP122+AN122+AL122+AJ122+AH122)/12</f>
        <v>0</v>
      </c>
      <c r="BG122" s="15">
        <f t="shared" si="184"/>
        <v>0</v>
      </c>
      <c r="BH122" s="18"/>
      <c r="BI122" s="57">
        <f t="shared" si="129"/>
        <v>0</v>
      </c>
      <c r="BJ122" s="18"/>
      <c r="BK122" s="57">
        <f t="shared" si="130"/>
        <v>0</v>
      </c>
      <c r="BL122" s="18"/>
      <c r="BM122" s="57">
        <f t="shared" si="131"/>
        <v>0</v>
      </c>
      <c r="BN122" s="18"/>
      <c r="BO122" s="57">
        <f t="shared" si="132"/>
        <v>0</v>
      </c>
      <c r="BP122" s="18"/>
      <c r="BQ122" s="57">
        <f t="shared" si="133"/>
        <v>0</v>
      </c>
      <c r="BR122" s="18"/>
      <c r="BS122" s="57">
        <f t="shared" si="134"/>
        <v>0</v>
      </c>
      <c r="BT122" s="18"/>
      <c r="BU122" s="57">
        <f t="shared" si="135"/>
        <v>0</v>
      </c>
      <c r="BV122" s="18"/>
      <c r="BW122" s="57">
        <f t="shared" si="136"/>
        <v>0</v>
      </c>
      <c r="BX122" s="18"/>
      <c r="BY122" s="57">
        <f t="shared" si="137"/>
        <v>0</v>
      </c>
      <c r="BZ122" s="18"/>
      <c r="CA122" s="57">
        <f t="shared" si="138"/>
        <v>0</v>
      </c>
      <c r="CB122" s="18"/>
      <c r="CC122" s="57">
        <f t="shared" si="139"/>
        <v>0</v>
      </c>
      <c r="CD122" s="18"/>
      <c r="CE122" s="57">
        <f t="shared" si="140"/>
        <v>0</v>
      </c>
      <c r="CF122" s="14">
        <f t="shared" si="102"/>
        <v>0</v>
      </c>
      <c r="CG122" s="15">
        <f t="shared" si="185"/>
        <v>0</v>
      </c>
      <c r="CH122" s="12"/>
      <c r="CI122" s="13">
        <f t="shared" si="75"/>
        <v>0</v>
      </c>
      <c r="CJ122" s="12"/>
      <c r="CK122" s="13">
        <f t="shared" si="76"/>
        <v>0</v>
      </c>
      <c r="CL122" s="12"/>
      <c r="CM122" s="13">
        <f t="shared" si="77"/>
        <v>0</v>
      </c>
      <c r="CN122" s="12"/>
      <c r="CO122" s="13">
        <f t="shared" si="78"/>
        <v>0</v>
      </c>
      <c r="CP122" s="12"/>
      <c r="CQ122" s="13">
        <f t="shared" si="79"/>
        <v>0</v>
      </c>
      <c r="CR122" s="12"/>
      <c r="CS122" s="13">
        <f t="shared" si="80"/>
        <v>0</v>
      </c>
      <c r="CT122" s="12"/>
      <c r="CU122" s="13">
        <f t="shared" si="81"/>
        <v>0</v>
      </c>
      <c r="CV122" s="12"/>
      <c r="CW122" s="13">
        <f t="shared" si="82"/>
        <v>0</v>
      </c>
      <c r="CX122" s="12"/>
      <c r="CY122" s="13">
        <f t="shared" si="83"/>
        <v>0</v>
      </c>
      <c r="CZ122" s="12"/>
      <c r="DA122" s="13">
        <f t="shared" si="84"/>
        <v>0</v>
      </c>
      <c r="DB122" s="12"/>
      <c r="DC122" s="13">
        <f t="shared" si="85"/>
        <v>0</v>
      </c>
      <c r="DD122" s="12"/>
      <c r="DE122" s="13">
        <f t="shared" si="86"/>
        <v>0</v>
      </c>
      <c r="DF122" s="64">
        <f t="shared" si="87"/>
        <v>0</v>
      </c>
      <c r="DG122" s="15">
        <f t="shared" si="88"/>
        <v>0</v>
      </c>
      <c r="DH122" s="12"/>
      <c r="DI122" s="13">
        <f t="shared" si="89"/>
        <v>0</v>
      </c>
      <c r="DJ122" s="12"/>
      <c r="DK122" s="13">
        <f t="shared" si="90"/>
        <v>0</v>
      </c>
      <c r="DL122" s="12"/>
      <c r="DM122" s="13">
        <f t="shared" si="159"/>
        <v>0</v>
      </c>
      <c r="DN122" s="12"/>
      <c r="DO122" s="13">
        <f t="shared" si="74"/>
        <v>0</v>
      </c>
      <c r="DP122" s="12"/>
      <c r="DQ122" s="13">
        <f t="shared" si="91"/>
        <v>0</v>
      </c>
      <c r="DR122" s="12"/>
      <c r="DS122" s="13">
        <f t="shared" si="92"/>
        <v>0</v>
      </c>
      <c r="DT122" s="12"/>
      <c r="DU122" s="13">
        <f t="shared" si="73"/>
        <v>0</v>
      </c>
      <c r="DV122" s="12"/>
      <c r="DW122" s="13">
        <f t="shared" si="93"/>
        <v>0</v>
      </c>
      <c r="DX122" s="12"/>
      <c r="DY122" s="13">
        <f t="shared" si="94"/>
        <v>0</v>
      </c>
      <c r="DZ122" s="12"/>
      <c r="EA122" s="13">
        <f t="shared" si="95"/>
        <v>0</v>
      </c>
      <c r="EB122" s="12"/>
      <c r="EC122" s="13">
        <f t="shared" si="99"/>
        <v>0</v>
      </c>
      <c r="ED122" s="12"/>
      <c r="EE122" s="13">
        <f t="shared" si="96"/>
        <v>0</v>
      </c>
      <c r="EF122" s="24">
        <f t="shared" si="97"/>
        <v>0</v>
      </c>
      <c r="EG122" s="13">
        <f t="shared" si="98"/>
        <v>0</v>
      </c>
    </row>
    <row r="123" spans="1:137" ht="18" customHeight="1" x14ac:dyDescent="0.5">
      <c r="A123" s="10">
        <v>97</v>
      </c>
      <c r="B123" s="11" t="s">
        <v>129</v>
      </c>
      <c r="C123" s="11" t="s">
        <v>127</v>
      </c>
      <c r="D123" s="10"/>
      <c r="E123" s="10">
        <v>1</v>
      </c>
      <c r="F123" s="10" t="s">
        <v>130</v>
      </c>
      <c r="G123" s="10"/>
      <c r="H123" s="12"/>
      <c r="I123" s="13">
        <f t="shared" si="161"/>
        <v>0</v>
      </c>
      <c r="J123" s="12"/>
      <c r="K123" s="13">
        <f t="shared" si="160"/>
        <v>0</v>
      </c>
      <c r="L123" s="12"/>
      <c r="M123" s="13">
        <f t="shared" si="162"/>
        <v>0</v>
      </c>
      <c r="N123" s="12"/>
      <c r="O123" s="13">
        <f t="shared" si="163"/>
        <v>0</v>
      </c>
      <c r="P123" s="12"/>
      <c r="Q123" s="13">
        <f t="shared" si="164"/>
        <v>0</v>
      </c>
      <c r="R123" s="12"/>
      <c r="S123" s="13">
        <f t="shared" si="165"/>
        <v>0</v>
      </c>
      <c r="T123" s="12"/>
      <c r="U123" s="13">
        <f t="shared" si="166"/>
        <v>0</v>
      </c>
      <c r="V123" s="12"/>
      <c r="W123" s="13">
        <f t="shared" si="167"/>
        <v>0</v>
      </c>
      <c r="X123" s="12"/>
      <c r="Y123" s="13">
        <f t="shared" si="168"/>
        <v>0</v>
      </c>
      <c r="Z123" s="12"/>
      <c r="AA123" s="13">
        <f t="shared" si="169"/>
        <v>0</v>
      </c>
      <c r="AB123" s="12"/>
      <c r="AC123" s="13">
        <f t="shared" si="170"/>
        <v>0</v>
      </c>
      <c r="AD123" s="12"/>
      <c r="AE123" s="13">
        <f t="shared" si="171"/>
        <v>0</v>
      </c>
      <c r="AF123" s="14">
        <f t="shared" si="100"/>
        <v>0</v>
      </c>
      <c r="AG123" s="15">
        <f t="shared" si="172"/>
        <v>0</v>
      </c>
      <c r="AH123" s="16"/>
      <c r="AI123" s="13">
        <f t="shared" si="173"/>
        <v>0</v>
      </c>
      <c r="AJ123" s="17"/>
      <c r="AK123" s="13">
        <f t="shared" si="174"/>
        <v>0</v>
      </c>
      <c r="AL123" s="17"/>
      <c r="AM123" s="13">
        <f t="shared" si="175"/>
        <v>0</v>
      </c>
      <c r="AN123" s="18"/>
      <c r="AO123" s="13">
        <f t="shared" si="176"/>
        <v>0</v>
      </c>
      <c r="AP123" s="17"/>
      <c r="AQ123" s="13">
        <f t="shared" si="177"/>
        <v>0</v>
      </c>
      <c r="AR123" s="17"/>
      <c r="AS123" s="13">
        <f t="shared" si="178"/>
        <v>0</v>
      </c>
      <c r="AT123" s="19"/>
      <c r="AU123" s="13">
        <f t="shared" si="179"/>
        <v>0</v>
      </c>
      <c r="AV123" s="17"/>
      <c r="AW123" s="13">
        <f t="shared" si="180"/>
        <v>0</v>
      </c>
      <c r="AX123" s="17"/>
      <c r="AY123" s="13">
        <f t="shared" si="181"/>
        <v>0</v>
      </c>
      <c r="AZ123" s="19"/>
      <c r="BA123" s="13">
        <f t="shared" si="182"/>
        <v>0</v>
      </c>
      <c r="BB123" s="20"/>
      <c r="BC123" s="13">
        <f t="shared" si="186"/>
        <v>0</v>
      </c>
      <c r="BD123" s="20"/>
      <c r="BE123" s="13">
        <f t="shared" si="183"/>
        <v>0</v>
      </c>
      <c r="BF123" s="14">
        <f t="shared" si="101"/>
        <v>0</v>
      </c>
      <c r="BG123" s="15">
        <f t="shared" si="184"/>
        <v>0</v>
      </c>
      <c r="BH123" s="18"/>
      <c r="BI123" s="57">
        <f t="shared" si="129"/>
        <v>0</v>
      </c>
      <c r="BJ123" s="18"/>
      <c r="BK123" s="57">
        <f t="shared" si="130"/>
        <v>0</v>
      </c>
      <c r="BL123" s="18"/>
      <c r="BM123" s="57">
        <f t="shared" si="131"/>
        <v>0</v>
      </c>
      <c r="BN123" s="18"/>
      <c r="BO123" s="57">
        <f t="shared" si="132"/>
        <v>0</v>
      </c>
      <c r="BP123" s="18"/>
      <c r="BQ123" s="57">
        <f t="shared" si="133"/>
        <v>0</v>
      </c>
      <c r="BR123" s="18"/>
      <c r="BS123" s="57">
        <f t="shared" si="134"/>
        <v>0</v>
      </c>
      <c r="BT123" s="18"/>
      <c r="BU123" s="57">
        <f t="shared" si="135"/>
        <v>0</v>
      </c>
      <c r="BV123" s="18"/>
      <c r="BW123" s="57">
        <f t="shared" si="136"/>
        <v>0</v>
      </c>
      <c r="BX123" s="18"/>
      <c r="BY123" s="57">
        <f t="shared" si="137"/>
        <v>0</v>
      </c>
      <c r="BZ123" s="18"/>
      <c r="CA123" s="57">
        <f t="shared" si="138"/>
        <v>0</v>
      </c>
      <c r="CB123" s="18"/>
      <c r="CC123" s="57">
        <f t="shared" si="139"/>
        <v>0</v>
      </c>
      <c r="CD123" s="18"/>
      <c r="CE123" s="57">
        <f t="shared" si="140"/>
        <v>0</v>
      </c>
      <c r="CF123" s="14">
        <f t="shared" si="102"/>
        <v>0</v>
      </c>
      <c r="CG123" s="15">
        <f t="shared" si="185"/>
        <v>0</v>
      </c>
      <c r="CH123" s="12"/>
      <c r="CI123" s="13">
        <f t="shared" si="75"/>
        <v>0</v>
      </c>
      <c r="CJ123" s="12"/>
      <c r="CK123" s="13">
        <f t="shared" si="76"/>
        <v>0</v>
      </c>
      <c r="CL123" s="12"/>
      <c r="CM123" s="13">
        <f t="shared" si="77"/>
        <v>0</v>
      </c>
      <c r="CN123" s="12"/>
      <c r="CO123" s="13">
        <f t="shared" si="78"/>
        <v>0</v>
      </c>
      <c r="CP123" s="12"/>
      <c r="CQ123" s="13">
        <f t="shared" si="79"/>
        <v>0</v>
      </c>
      <c r="CR123" s="12"/>
      <c r="CS123" s="13">
        <f t="shared" si="80"/>
        <v>0</v>
      </c>
      <c r="CT123" s="12"/>
      <c r="CU123" s="13">
        <f t="shared" si="81"/>
        <v>0</v>
      </c>
      <c r="CV123" s="12"/>
      <c r="CW123" s="13">
        <f t="shared" si="82"/>
        <v>0</v>
      </c>
      <c r="CX123" s="12"/>
      <c r="CY123" s="13">
        <f t="shared" si="83"/>
        <v>0</v>
      </c>
      <c r="CZ123" s="12"/>
      <c r="DA123" s="13">
        <f t="shared" si="84"/>
        <v>0</v>
      </c>
      <c r="DB123" s="12"/>
      <c r="DC123" s="13">
        <f t="shared" si="85"/>
        <v>0</v>
      </c>
      <c r="DD123" s="12"/>
      <c r="DE123" s="13">
        <f t="shared" si="86"/>
        <v>0</v>
      </c>
      <c r="DF123" s="64">
        <f t="shared" si="87"/>
        <v>0</v>
      </c>
      <c r="DG123" s="15">
        <f t="shared" si="88"/>
        <v>0</v>
      </c>
      <c r="DH123" s="12"/>
      <c r="DI123" s="13">
        <f t="shared" si="89"/>
        <v>0</v>
      </c>
      <c r="DJ123" s="12"/>
      <c r="DK123" s="13">
        <f t="shared" si="90"/>
        <v>0</v>
      </c>
      <c r="DL123" s="12"/>
      <c r="DM123" s="13">
        <f t="shared" si="159"/>
        <v>0</v>
      </c>
      <c r="DN123" s="12"/>
      <c r="DO123" s="13">
        <f t="shared" si="74"/>
        <v>0</v>
      </c>
      <c r="DP123" s="12"/>
      <c r="DQ123" s="13">
        <f t="shared" si="91"/>
        <v>0</v>
      </c>
      <c r="DR123" s="12"/>
      <c r="DS123" s="13">
        <f t="shared" si="92"/>
        <v>0</v>
      </c>
      <c r="DT123" s="12"/>
      <c r="DU123" s="13">
        <f t="shared" si="73"/>
        <v>0</v>
      </c>
      <c r="DV123" s="12"/>
      <c r="DW123" s="13">
        <f t="shared" si="93"/>
        <v>0</v>
      </c>
      <c r="DX123" s="12"/>
      <c r="DY123" s="13">
        <f t="shared" si="94"/>
        <v>0</v>
      </c>
      <c r="DZ123" s="12"/>
      <c r="EA123" s="13">
        <f t="shared" si="95"/>
        <v>0</v>
      </c>
      <c r="EB123" s="12"/>
      <c r="EC123" s="13">
        <f t="shared" si="99"/>
        <v>0</v>
      </c>
      <c r="ED123" s="12"/>
      <c r="EE123" s="13">
        <f t="shared" si="96"/>
        <v>0</v>
      </c>
      <c r="EF123" s="24">
        <f t="shared" si="97"/>
        <v>0</v>
      </c>
      <c r="EG123" s="13">
        <f t="shared" si="98"/>
        <v>0</v>
      </c>
    </row>
    <row r="124" spans="1:137" ht="18" customHeight="1" x14ac:dyDescent="0.5">
      <c r="A124" s="10">
        <v>98</v>
      </c>
      <c r="B124" s="11" t="s">
        <v>135</v>
      </c>
      <c r="C124" s="11" t="s">
        <v>127</v>
      </c>
      <c r="D124" s="10"/>
      <c r="E124" s="10">
        <v>1</v>
      </c>
      <c r="F124" s="10" t="s">
        <v>130</v>
      </c>
      <c r="G124" s="10"/>
      <c r="H124" s="12"/>
      <c r="I124" s="13">
        <f t="shared" si="161"/>
        <v>0</v>
      </c>
      <c r="J124" s="12"/>
      <c r="K124" s="13">
        <f t="shared" si="160"/>
        <v>0</v>
      </c>
      <c r="L124" s="12"/>
      <c r="M124" s="13">
        <f t="shared" si="162"/>
        <v>0</v>
      </c>
      <c r="N124" s="12"/>
      <c r="O124" s="13">
        <f t="shared" si="163"/>
        <v>0</v>
      </c>
      <c r="P124" s="12"/>
      <c r="Q124" s="13">
        <f t="shared" si="164"/>
        <v>0</v>
      </c>
      <c r="R124" s="12"/>
      <c r="S124" s="13">
        <f t="shared" si="165"/>
        <v>0</v>
      </c>
      <c r="T124" s="12"/>
      <c r="U124" s="13">
        <f t="shared" si="166"/>
        <v>0</v>
      </c>
      <c r="V124" s="12"/>
      <c r="W124" s="13">
        <f t="shared" si="167"/>
        <v>0</v>
      </c>
      <c r="X124" s="12"/>
      <c r="Y124" s="13">
        <f t="shared" si="168"/>
        <v>0</v>
      </c>
      <c r="Z124" s="12"/>
      <c r="AA124" s="13">
        <f t="shared" si="169"/>
        <v>0</v>
      </c>
      <c r="AB124" s="12"/>
      <c r="AC124" s="13">
        <f t="shared" si="170"/>
        <v>0</v>
      </c>
      <c r="AD124" s="12"/>
      <c r="AE124" s="13">
        <f t="shared" si="171"/>
        <v>0</v>
      </c>
      <c r="AF124" s="14">
        <f t="shared" si="100"/>
        <v>0</v>
      </c>
      <c r="AG124" s="15">
        <f t="shared" si="172"/>
        <v>0</v>
      </c>
      <c r="AH124" s="16"/>
      <c r="AI124" s="13">
        <f t="shared" si="173"/>
        <v>0</v>
      </c>
      <c r="AJ124" s="17"/>
      <c r="AK124" s="13">
        <f t="shared" si="174"/>
        <v>0</v>
      </c>
      <c r="AL124" s="17"/>
      <c r="AM124" s="13">
        <f t="shared" si="175"/>
        <v>0</v>
      </c>
      <c r="AN124" s="18"/>
      <c r="AO124" s="13">
        <f t="shared" si="176"/>
        <v>0</v>
      </c>
      <c r="AP124" s="17"/>
      <c r="AQ124" s="13">
        <f t="shared" si="177"/>
        <v>0</v>
      </c>
      <c r="AR124" s="17"/>
      <c r="AS124" s="13">
        <f t="shared" si="178"/>
        <v>0</v>
      </c>
      <c r="AT124" s="19"/>
      <c r="AU124" s="13">
        <f t="shared" si="179"/>
        <v>0</v>
      </c>
      <c r="AV124" s="17"/>
      <c r="AW124" s="13">
        <f t="shared" si="180"/>
        <v>0</v>
      </c>
      <c r="AX124" s="17"/>
      <c r="AY124" s="13">
        <f t="shared" si="181"/>
        <v>0</v>
      </c>
      <c r="AZ124" s="19"/>
      <c r="BA124" s="13">
        <f t="shared" si="182"/>
        <v>0</v>
      </c>
      <c r="BB124" s="20"/>
      <c r="BC124" s="13">
        <f t="shared" si="186"/>
        <v>0</v>
      </c>
      <c r="BD124" s="20"/>
      <c r="BE124" s="13">
        <f t="shared" si="183"/>
        <v>0</v>
      </c>
      <c r="BF124" s="14">
        <f t="shared" si="101"/>
        <v>0</v>
      </c>
      <c r="BG124" s="15">
        <f t="shared" si="184"/>
        <v>0</v>
      </c>
      <c r="BH124" s="18"/>
      <c r="BI124" s="57">
        <f t="shared" si="129"/>
        <v>0</v>
      </c>
      <c r="BJ124" s="18"/>
      <c r="BK124" s="57">
        <f t="shared" si="130"/>
        <v>0</v>
      </c>
      <c r="BL124" s="18"/>
      <c r="BM124" s="57">
        <f t="shared" si="131"/>
        <v>0</v>
      </c>
      <c r="BN124" s="18"/>
      <c r="BO124" s="57">
        <f t="shared" si="132"/>
        <v>0</v>
      </c>
      <c r="BP124" s="18"/>
      <c r="BQ124" s="57">
        <f t="shared" si="133"/>
        <v>0</v>
      </c>
      <c r="BR124" s="18"/>
      <c r="BS124" s="57">
        <f t="shared" si="134"/>
        <v>0</v>
      </c>
      <c r="BT124" s="18"/>
      <c r="BU124" s="57">
        <f t="shared" si="135"/>
        <v>0</v>
      </c>
      <c r="BV124" s="18"/>
      <c r="BW124" s="57">
        <f t="shared" si="136"/>
        <v>0</v>
      </c>
      <c r="BX124" s="18"/>
      <c r="BY124" s="57">
        <f t="shared" si="137"/>
        <v>0</v>
      </c>
      <c r="BZ124" s="18"/>
      <c r="CA124" s="57">
        <f t="shared" si="138"/>
        <v>0</v>
      </c>
      <c r="CB124" s="18"/>
      <c r="CC124" s="57">
        <f t="shared" si="139"/>
        <v>0</v>
      </c>
      <c r="CD124" s="18"/>
      <c r="CE124" s="57">
        <f t="shared" si="140"/>
        <v>0</v>
      </c>
      <c r="CF124" s="14">
        <f t="shared" si="102"/>
        <v>0</v>
      </c>
      <c r="CG124" s="15">
        <f t="shared" si="185"/>
        <v>0</v>
      </c>
      <c r="CH124" s="12"/>
      <c r="CI124" s="13">
        <f t="shared" si="75"/>
        <v>0</v>
      </c>
      <c r="CJ124" s="12"/>
      <c r="CK124" s="13">
        <f t="shared" si="76"/>
        <v>0</v>
      </c>
      <c r="CL124" s="12"/>
      <c r="CM124" s="13">
        <f t="shared" si="77"/>
        <v>0</v>
      </c>
      <c r="CN124" s="12"/>
      <c r="CO124" s="13">
        <f t="shared" si="78"/>
        <v>0</v>
      </c>
      <c r="CP124" s="12"/>
      <c r="CQ124" s="13">
        <f t="shared" si="79"/>
        <v>0</v>
      </c>
      <c r="CR124" s="12"/>
      <c r="CS124" s="13">
        <f t="shared" si="80"/>
        <v>0</v>
      </c>
      <c r="CT124" s="12"/>
      <c r="CU124" s="13">
        <f t="shared" si="81"/>
        <v>0</v>
      </c>
      <c r="CV124" s="12"/>
      <c r="CW124" s="13">
        <f t="shared" si="82"/>
        <v>0</v>
      </c>
      <c r="CX124" s="12"/>
      <c r="CY124" s="13">
        <f t="shared" si="83"/>
        <v>0</v>
      </c>
      <c r="CZ124" s="12"/>
      <c r="DA124" s="13">
        <f t="shared" si="84"/>
        <v>0</v>
      </c>
      <c r="DB124" s="12"/>
      <c r="DC124" s="13">
        <f t="shared" si="85"/>
        <v>0</v>
      </c>
      <c r="DD124" s="12"/>
      <c r="DE124" s="13">
        <f t="shared" si="86"/>
        <v>0</v>
      </c>
      <c r="DF124" s="64">
        <f t="shared" si="87"/>
        <v>0</v>
      </c>
      <c r="DG124" s="15">
        <f t="shared" si="88"/>
        <v>0</v>
      </c>
      <c r="DH124" s="12"/>
      <c r="DI124" s="13">
        <f t="shared" si="89"/>
        <v>0</v>
      </c>
      <c r="DJ124" s="12"/>
      <c r="DK124" s="13">
        <f t="shared" si="90"/>
        <v>0</v>
      </c>
      <c r="DL124" s="12"/>
      <c r="DM124" s="13">
        <f t="shared" si="159"/>
        <v>0</v>
      </c>
      <c r="DN124" s="12"/>
      <c r="DO124" s="13">
        <f t="shared" si="74"/>
        <v>0</v>
      </c>
      <c r="DP124" s="12"/>
      <c r="DQ124" s="13">
        <f t="shared" si="91"/>
        <v>0</v>
      </c>
      <c r="DR124" s="12"/>
      <c r="DS124" s="13">
        <f t="shared" si="92"/>
        <v>0</v>
      </c>
      <c r="DT124" s="12"/>
      <c r="DU124" s="13">
        <f t="shared" si="73"/>
        <v>0</v>
      </c>
      <c r="DV124" s="12"/>
      <c r="DW124" s="13">
        <f t="shared" si="93"/>
        <v>0</v>
      </c>
      <c r="DX124" s="12"/>
      <c r="DY124" s="13">
        <f t="shared" si="94"/>
        <v>0</v>
      </c>
      <c r="DZ124" s="12"/>
      <c r="EA124" s="13">
        <f t="shared" si="95"/>
        <v>0</v>
      </c>
      <c r="EB124" s="12"/>
      <c r="EC124" s="13">
        <f t="shared" si="99"/>
        <v>0</v>
      </c>
      <c r="ED124" s="12"/>
      <c r="EE124" s="13">
        <f t="shared" si="96"/>
        <v>0</v>
      </c>
      <c r="EF124" s="24">
        <f t="shared" si="97"/>
        <v>0</v>
      </c>
      <c r="EG124" s="13">
        <f t="shared" si="98"/>
        <v>0</v>
      </c>
    </row>
    <row r="125" spans="1:137" ht="18" customHeight="1" x14ac:dyDescent="0.5">
      <c r="A125" s="10">
        <v>99</v>
      </c>
      <c r="B125" s="11" t="s">
        <v>142</v>
      </c>
      <c r="C125" s="11"/>
      <c r="D125" s="10"/>
      <c r="E125" s="10"/>
      <c r="F125" s="10"/>
      <c r="G125" s="10"/>
      <c r="H125" s="12"/>
      <c r="I125" s="13"/>
      <c r="J125" s="12"/>
      <c r="K125" s="13"/>
      <c r="L125" s="12"/>
      <c r="M125" s="13"/>
      <c r="N125" s="12"/>
      <c r="O125" s="13"/>
      <c r="P125" s="12"/>
      <c r="Q125" s="13"/>
      <c r="R125" s="12"/>
      <c r="S125" s="13"/>
      <c r="T125" s="12"/>
      <c r="U125" s="13"/>
      <c r="V125" s="12"/>
      <c r="W125" s="13"/>
      <c r="X125" s="12"/>
      <c r="Y125" s="13"/>
      <c r="Z125" s="12"/>
      <c r="AA125" s="13"/>
      <c r="AB125" s="12"/>
      <c r="AC125" s="13"/>
      <c r="AD125" s="12"/>
      <c r="AE125" s="13"/>
      <c r="AF125" s="14"/>
      <c r="AG125" s="15"/>
      <c r="AH125" s="16"/>
      <c r="AI125" s="13"/>
      <c r="AJ125" s="17"/>
      <c r="AK125" s="13"/>
      <c r="AL125" s="17"/>
      <c r="AM125" s="13"/>
      <c r="AN125" s="18"/>
      <c r="AO125" s="13"/>
      <c r="AP125" s="17"/>
      <c r="AQ125" s="13"/>
      <c r="AR125" s="17"/>
      <c r="AS125" s="13"/>
      <c r="AT125" s="19"/>
      <c r="AU125" s="13"/>
      <c r="AV125" s="17"/>
      <c r="AW125" s="13"/>
      <c r="AX125" s="17"/>
      <c r="AY125" s="13"/>
      <c r="AZ125" s="19"/>
      <c r="BA125" s="13"/>
      <c r="BB125" s="20"/>
      <c r="BC125" s="13"/>
      <c r="BD125" s="20"/>
      <c r="BE125" s="13"/>
      <c r="BF125" s="14"/>
      <c r="BG125" s="15"/>
      <c r="BH125" s="18"/>
      <c r="BI125" s="57"/>
      <c r="BJ125" s="18"/>
      <c r="BK125" s="57"/>
      <c r="BL125" s="18"/>
      <c r="BM125" s="57"/>
      <c r="BN125" s="18"/>
      <c r="BO125" s="57"/>
      <c r="BP125" s="18"/>
      <c r="BQ125" s="57"/>
      <c r="BR125" s="18"/>
      <c r="BS125" s="57"/>
      <c r="BT125" s="18"/>
      <c r="BU125" s="57"/>
      <c r="BV125" s="18"/>
      <c r="BW125" s="57"/>
      <c r="BX125" s="18"/>
      <c r="BY125" s="57"/>
      <c r="BZ125" s="18"/>
      <c r="CA125" s="57"/>
      <c r="CB125" s="18"/>
      <c r="CC125" s="57"/>
      <c r="CD125" s="18"/>
      <c r="CE125" s="57"/>
      <c r="CF125" s="14"/>
      <c r="CG125" s="15"/>
      <c r="CH125" s="12"/>
      <c r="CI125" s="13"/>
      <c r="CJ125" s="12"/>
      <c r="CK125" s="13"/>
      <c r="CL125" s="12"/>
      <c r="CM125" s="13"/>
      <c r="CN125" s="12"/>
      <c r="CO125" s="13"/>
      <c r="CP125" s="12"/>
      <c r="CQ125" s="13"/>
      <c r="CR125" s="12"/>
      <c r="CS125" s="13"/>
      <c r="CT125" s="12"/>
      <c r="CU125" s="13"/>
      <c r="CV125" s="12"/>
      <c r="CW125" s="13"/>
      <c r="CX125" s="12"/>
      <c r="CY125" s="13"/>
      <c r="CZ125" s="12"/>
      <c r="DA125" s="13"/>
      <c r="DB125" s="12"/>
      <c r="DC125" s="13"/>
      <c r="DD125" s="12"/>
      <c r="DE125" s="13"/>
      <c r="DF125" s="64"/>
      <c r="DG125" s="15"/>
      <c r="DH125" s="12"/>
      <c r="DI125" s="13"/>
      <c r="DJ125" s="12"/>
      <c r="DK125" s="13"/>
      <c r="DL125" s="12"/>
      <c r="DM125" s="13"/>
      <c r="DN125" s="12"/>
      <c r="DO125" s="13"/>
      <c r="DP125" s="12"/>
      <c r="DQ125" s="13"/>
      <c r="DR125" s="12"/>
      <c r="DS125" s="13"/>
      <c r="DT125" s="12"/>
      <c r="DU125" s="13"/>
      <c r="DV125" s="12"/>
      <c r="DW125" s="13"/>
      <c r="DX125" s="12"/>
      <c r="DY125" s="13"/>
      <c r="DZ125" s="12"/>
      <c r="EA125" s="13"/>
      <c r="EB125" s="12"/>
      <c r="EC125" s="13"/>
      <c r="ED125" s="12"/>
      <c r="EE125" s="13"/>
      <c r="EF125" s="24"/>
      <c r="EG125" s="13"/>
    </row>
    <row r="126" spans="1:137" ht="18" customHeight="1" x14ac:dyDescent="0.5">
      <c r="A126" s="10">
        <v>100</v>
      </c>
      <c r="B126" s="11" t="s">
        <v>143</v>
      </c>
      <c r="C126" s="11"/>
      <c r="D126" s="10"/>
      <c r="E126" s="10"/>
      <c r="F126" s="10"/>
      <c r="G126" s="10"/>
      <c r="H126" s="12"/>
      <c r="I126" s="13"/>
      <c r="J126" s="12"/>
      <c r="K126" s="13"/>
      <c r="L126" s="12"/>
      <c r="M126" s="13"/>
      <c r="N126" s="12"/>
      <c r="O126" s="13"/>
      <c r="P126" s="12"/>
      <c r="Q126" s="13"/>
      <c r="R126" s="12"/>
      <c r="S126" s="13"/>
      <c r="T126" s="12"/>
      <c r="U126" s="13"/>
      <c r="V126" s="12"/>
      <c r="W126" s="13"/>
      <c r="X126" s="12"/>
      <c r="Y126" s="13"/>
      <c r="Z126" s="12"/>
      <c r="AA126" s="13"/>
      <c r="AB126" s="12"/>
      <c r="AC126" s="13"/>
      <c r="AD126" s="12"/>
      <c r="AE126" s="13"/>
      <c r="AF126" s="14"/>
      <c r="AG126" s="15"/>
      <c r="AH126" s="16"/>
      <c r="AI126" s="13"/>
      <c r="AJ126" s="17"/>
      <c r="AK126" s="13"/>
      <c r="AL126" s="17"/>
      <c r="AM126" s="13"/>
      <c r="AN126" s="18"/>
      <c r="AO126" s="13"/>
      <c r="AP126" s="17"/>
      <c r="AQ126" s="13"/>
      <c r="AR126" s="17"/>
      <c r="AS126" s="13"/>
      <c r="AT126" s="19"/>
      <c r="AU126" s="13"/>
      <c r="AV126" s="17"/>
      <c r="AW126" s="13"/>
      <c r="AX126" s="17"/>
      <c r="AY126" s="13"/>
      <c r="AZ126" s="19"/>
      <c r="BA126" s="13"/>
      <c r="BB126" s="20"/>
      <c r="BC126" s="13"/>
      <c r="BD126" s="20"/>
      <c r="BE126" s="13"/>
      <c r="BF126" s="14"/>
      <c r="BG126" s="15"/>
      <c r="BH126" s="18"/>
      <c r="BI126" s="57"/>
      <c r="BJ126" s="18"/>
      <c r="BK126" s="57"/>
      <c r="BL126" s="18"/>
      <c r="BM126" s="57"/>
      <c r="BN126" s="18"/>
      <c r="BO126" s="57"/>
      <c r="BP126" s="18"/>
      <c r="BQ126" s="57"/>
      <c r="BR126" s="18"/>
      <c r="BS126" s="57"/>
      <c r="BT126" s="18"/>
      <c r="BU126" s="57"/>
      <c r="BV126" s="18"/>
      <c r="BW126" s="57"/>
      <c r="BX126" s="18"/>
      <c r="BY126" s="57"/>
      <c r="BZ126" s="18"/>
      <c r="CA126" s="57"/>
      <c r="CB126" s="18"/>
      <c r="CC126" s="57"/>
      <c r="CD126" s="18"/>
      <c r="CE126" s="57"/>
      <c r="CF126" s="14"/>
      <c r="CG126" s="15"/>
      <c r="CH126" s="12"/>
      <c r="CI126" s="13"/>
      <c r="CJ126" s="12"/>
      <c r="CK126" s="13"/>
      <c r="CL126" s="12"/>
      <c r="CM126" s="13"/>
      <c r="CN126" s="12"/>
      <c r="CO126" s="13"/>
      <c r="CP126" s="12"/>
      <c r="CQ126" s="13"/>
      <c r="CR126" s="12"/>
      <c r="CS126" s="13"/>
      <c r="CT126" s="12"/>
      <c r="CU126" s="13"/>
      <c r="CV126" s="12"/>
      <c r="CW126" s="13"/>
      <c r="CX126" s="12"/>
      <c r="CY126" s="13"/>
      <c r="CZ126" s="12"/>
      <c r="DA126" s="13"/>
      <c r="DB126" s="12"/>
      <c r="DC126" s="13"/>
      <c r="DD126" s="12"/>
      <c r="DE126" s="13"/>
      <c r="DF126" s="64"/>
      <c r="DG126" s="15"/>
      <c r="DH126" s="12"/>
      <c r="DI126" s="13"/>
      <c r="DJ126" s="12"/>
      <c r="DK126" s="13"/>
      <c r="DL126" s="12"/>
      <c r="DM126" s="13"/>
      <c r="DN126" s="12"/>
      <c r="DO126" s="13"/>
      <c r="DP126" s="12"/>
      <c r="DQ126" s="13"/>
      <c r="DR126" s="12"/>
      <c r="DS126" s="13"/>
      <c r="DT126" s="12"/>
      <c r="DU126" s="13"/>
      <c r="DV126" s="12"/>
      <c r="DW126" s="13"/>
      <c r="DX126" s="12"/>
      <c r="DY126" s="13"/>
      <c r="DZ126" s="12"/>
      <c r="EA126" s="13"/>
      <c r="EB126" s="12"/>
      <c r="EC126" s="13"/>
      <c r="ED126" s="12"/>
      <c r="EE126" s="13"/>
      <c r="EF126" s="24"/>
      <c r="EG126" s="13"/>
    </row>
    <row r="127" spans="1:137" ht="18" customHeight="1" x14ac:dyDescent="0.5">
      <c r="A127" s="10">
        <v>101</v>
      </c>
      <c r="B127" s="11" t="s">
        <v>131</v>
      </c>
      <c r="C127" s="11" t="s">
        <v>127</v>
      </c>
      <c r="D127" s="10"/>
      <c r="E127" s="10">
        <v>1</v>
      </c>
      <c r="F127" s="10" t="s">
        <v>132</v>
      </c>
      <c r="G127" s="10"/>
      <c r="H127" s="12"/>
      <c r="I127" s="13">
        <f t="shared" si="161"/>
        <v>0</v>
      </c>
      <c r="J127" s="12"/>
      <c r="K127" s="13">
        <f t="shared" si="160"/>
        <v>0</v>
      </c>
      <c r="L127" s="12"/>
      <c r="M127" s="13">
        <f t="shared" si="162"/>
        <v>0</v>
      </c>
      <c r="N127" s="12"/>
      <c r="O127" s="13">
        <f t="shared" si="163"/>
        <v>0</v>
      </c>
      <c r="P127" s="12"/>
      <c r="Q127" s="13">
        <f t="shared" si="164"/>
        <v>0</v>
      </c>
      <c r="R127" s="12"/>
      <c r="S127" s="13">
        <f t="shared" si="165"/>
        <v>0</v>
      </c>
      <c r="T127" s="12"/>
      <c r="U127" s="13">
        <f t="shared" si="166"/>
        <v>0</v>
      </c>
      <c r="V127" s="12"/>
      <c r="W127" s="13">
        <f t="shared" si="167"/>
        <v>0</v>
      </c>
      <c r="X127" s="12"/>
      <c r="Y127" s="13">
        <f t="shared" si="168"/>
        <v>0</v>
      </c>
      <c r="Z127" s="12"/>
      <c r="AA127" s="13">
        <f t="shared" si="169"/>
        <v>0</v>
      </c>
      <c r="AB127" s="12"/>
      <c r="AC127" s="13">
        <f t="shared" si="170"/>
        <v>0</v>
      </c>
      <c r="AD127" s="12"/>
      <c r="AE127" s="13">
        <f t="shared" si="171"/>
        <v>0</v>
      </c>
      <c r="AF127" s="14">
        <f t="shared" si="100"/>
        <v>0</v>
      </c>
      <c r="AG127" s="15">
        <f t="shared" si="172"/>
        <v>0</v>
      </c>
      <c r="AH127" s="16"/>
      <c r="AI127" s="13">
        <f t="shared" si="173"/>
        <v>0</v>
      </c>
      <c r="AJ127" s="17"/>
      <c r="AK127" s="13">
        <f t="shared" si="174"/>
        <v>0</v>
      </c>
      <c r="AL127" s="17"/>
      <c r="AM127" s="13">
        <f t="shared" si="175"/>
        <v>0</v>
      </c>
      <c r="AN127" s="18"/>
      <c r="AO127" s="13">
        <f t="shared" si="176"/>
        <v>0</v>
      </c>
      <c r="AP127" s="17"/>
      <c r="AQ127" s="13">
        <f t="shared" si="177"/>
        <v>0</v>
      </c>
      <c r="AR127" s="17"/>
      <c r="AS127" s="13">
        <f t="shared" si="178"/>
        <v>0</v>
      </c>
      <c r="AT127" s="19"/>
      <c r="AU127" s="13">
        <f t="shared" si="179"/>
        <v>0</v>
      </c>
      <c r="AV127" s="17"/>
      <c r="AW127" s="13">
        <f t="shared" si="180"/>
        <v>0</v>
      </c>
      <c r="AX127" s="17"/>
      <c r="AY127" s="13">
        <f t="shared" si="181"/>
        <v>0</v>
      </c>
      <c r="AZ127" s="19"/>
      <c r="BA127" s="13">
        <f t="shared" si="182"/>
        <v>0</v>
      </c>
      <c r="BB127" s="20"/>
      <c r="BC127" s="13">
        <f t="shared" si="186"/>
        <v>0</v>
      </c>
      <c r="BD127" s="20"/>
      <c r="BE127" s="13">
        <f t="shared" si="183"/>
        <v>0</v>
      </c>
      <c r="BF127" s="14">
        <f t="shared" si="101"/>
        <v>0</v>
      </c>
      <c r="BG127" s="15">
        <f t="shared" si="184"/>
        <v>0</v>
      </c>
      <c r="BH127" s="18"/>
      <c r="BI127" s="57">
        <f t="shared" si="129"/>
        <v>0</v>
      </c>
      <c r="BJ127" s="18"/>
      <c r="BK127" s="57">
        <f t="shared" si="130"/>
        <v>0</v>
      </c>
      <c r="BL127" s="18"/>
      <c r="BM127" s="57">
        <f t="shared" si="131"/>
        <v>0</v>
      </c>
      <c r="BN127" s="18"/>
      <c r="BO127" s="57">
        <f t="shared" si="132"/>
        <v>0</v>
      </c>
      <c r="BP127" s="18"/>
      <c r="BQ127" s="57">
        <f t="shared" si="133"/>
        <v>0</v>
      </c>
      <c r="BR127" s="18"/>
      <c r="BS127" s="57">
        <f t="shared" si="134"/>
        <v>0</v>
      </c>
      <c r="BT127" s="18"/>
      <c r="BU127" s="57">
        <f t="shared" si="135"/>
        <v>0</v>
      </c>
      <c r="BV127" s="18"/>
      <c r="BW127" s="57">
        <f t="shared" si="136"/>
        <v>0</v>
      </c>
      <c r="BX127" s="18"/>
      <c r="BY127" s="57">
        <f t="shared" si="137"/>
        <v>0</v>
      </c>
      <c r="BZ127" s="18"/>
      <c r="CA127" s="57">
        <f t="shared" si="138"/>
        <v>0</v>
      </c>
      <c r="CB127" s="18"/>
      <c r="CC127" s="57">
        <f t="shared" si="139"/>
        <v>0</v>
      </c>
      <c r="CD127" s="18"/>
      <c r="CE127" s="57">
        <f t="shared" si="140"/>
        <v>0</v>
      </c>
      <c r="CF127" s="14">
        <f t="shared" si="102"/>
        <v>0</v>
      </c>
      <c r="CG127" s="15">
        <f t="shared" si="185"/>
        <v>0</v>
      </c>
      <c r="CH127" s="12"/>
      <c r="CI127" s="13">
        <f t="shared" si="75"/>
        <v>0</v>
      </c>
      <c r="CJ127" s="12"/>
      <c r="CK127" s="13">
        <f t="shared" si="76"/>
        <v>0</v>
      </c>
      <c r="CL127" s="12"/>
      <c r="CM127" s="13">
        <f t="shared" si="77"/>
        <v>0</v>
      </c>
      <c r="CN127" s="12"/>
      <c r="CO127" s="13">
        <f t="shared" si="78"/>
        <v>0</v>
      </c>
      <c r="CP127" s="12"/>
      <c r="CQ127" s="13">
        <f t="shared" si="79"/>
        <v>0</v>
      </c>
      <c r="CR127" s="12"/>
      <c r="CS127" s="13">
        <f t="shared" si="80"/>
        <v>0</v>
      </c>
      <c r="CT127" s="12"/>
      <c r="CU127" s="13">
        <f t="shared" si="81"/>
        <v>0</v>
      </c>
      <c r="CV127" s="12"/>
      <c r="CW127" s="13">
        <f t="shared" si="82"/>
        <v>0</v>
      </c>
      <c r="CX127" s="12"/>
      <c r="CY127" s="13">
        <f t="shared" si="83"/>
        <v>0</v>
      </c>
      <c r="CZ127" s="12"/>
      <c r="DA127" s="13">
        <f t="shared" si="84"/>
        <v>0</v>
      </c>
      <c r="DB127" s="12"/>
      <c r="DC127" s="13">
        <f t="shared" si="85"/>
        <v>0</v>
      </c>
      <c r="DD127" s="12"/>
      <c r="DE127" s="13">
        <f t="shared" si="86"/>
        <v>0</v>
      </c>
      <c r="DF127" s="64">
        <f t="shared" si="87"/>
        <v>0</v>
      </c>
      <c r="DG127" s="15">
        <f t="shared" si="88"/>
        <v>0</v>
      </c>
      <c r="DH127" s="12"/>
      <c r="DI127" s="13">
        <f t="shared" si="89"/>
        <v>0</v>
      </c>
      <c r="DJ127" s="12"/>
      <c r="DK127" s="13">
        <f t="shared" si="90"/>
        <v>0</v>
      </c>
      <c r="DL127" s="12"/>
      <c r="DM127" s="13">
        <f t="shared" si="159"/>
        <v>0</v>
      </c>
      <c r="DN127" s="12"/>
      <c r="DO127" s="13">
        <f t="shared" si="74"/>
        <v>0</v>
      </c>
      <c r="DP127" s="12"/>
      <c r="DQ127" s="13">
        <f t="shared" si="91"/>
        <v>0</v>
      </c>
      <c r="DR127" s="12"/>
      <c r="DS127" s="13">
        <f t="shared" si="92"/>
        <v>0</v>
      </c>
      <c r="DT127" s="12"/>
      <c r="DU127" s="13">
        <f t="shared" si="73"/>
        <v>0</v>
      </c>
      <c r="DV127" s="12"/>
      <c r="DW127" s="13">
        <f t="shared" si="93"/>
        <v>0</v>
      </c>
      <c r="DX127" s="12"/>
      <c r="DY127" s="13">
        <f t="shared" si="94"/>
        <v>0</v>
      </c>
      <c r="DZ127" s="12"/>
      <c r="EA127" s="13">
        <f t="shared" si="95"/>
        <v>0</v>
      </c>
      <c r="EB127" s="12"/>
      <c r="EC127" s="13">
        <f t="shared" si="99"/>
        <v>0</v>
      </c>
      <c r="ED127" s="12"/>
      <c r="EE127" s="13">
        <f t="shared" si="96"/>
        <v>0</v>
      </c>
      <c r="EF127" s="24">
        <f t="shared" ref="EF127:EF136" si="187">SUM(DH127,DJ127,DL127,DN127,DP127,DR127,DT127,DV127,DX127,DZ127,EB127,ED127)</f>
        <v>0</v>
      </c>
      <c r="EG127" s="13">
        <f t="shared" si="98"/>
        <v>0</v>
      </c>
    </row>
    <row r="128" spans="1:137" ht="18" customHeight="1" x14ac:dyDescent="0.5">
      <c r="A128" s="10">
        <v>102</v>
      </c>
      <c r="B128" s="11" t="s">
        <v>131</v>
      </c>
      <c r="C128" s="11" t="s">
        <v>14</v>
      </c>
      <c r="D128" s="10"/>
      <c r="E128" s="10">
        <v>0.68</v>
      </c>
      <c r="F128" s="10" t="s">
        <v>132</v>
      </c>
      <c r="G128" s="10"/>
      <c r="H128" s="12"/>
      <c r="I128" s="13">
        <f t="shared" si="161"/>
        <v>0</v>
      </c>
      <c r="J128" s="12"/>
      <c r="K128" s="13">
        <f t="shared" si="160"/>
        <v>0</v>
      </c>
      <c r="L128" s="12"/>
      <c r="M128" s="13">
        <f t="shared" si="162"/>
        <v>0</v>
      </c>
      <c r="N128" s="12"/>
      <c r="O128" s="13">
        <f t="shared" si="163"/>
        <v>0</v>
      </c>
      <c r="P128" s="12"/>
      <c r="Q128" s="13">
        <f t="shared" si="164"/>
        <v>0</v>
      </c>
      <c r="R128" s="12"/>
      <c r="S128" s="13">
        <f t="shared" si="165"/>
        <v>0</v>
      </c>
      <c r="T128" s="12"/>
      <c r="U128" s="13">
        <f t="shared" si="166"/>
        <v>0</v>
      </c>
      <c r="V128" s="12"/>
      <c r="W128" s="13">
        <f t="shared" si="167"/>
        <v>0</v>
      </c>
      <c r="X128" s="12"/>
      <c r="Y128" s="13">
        <f t="shared" si="168"/>
        <v>0</v>
      </c>
      <c r="Z128" s="12"/>
      <c r="AA128" s="13">
        <f t="shared" si="169"/>
        <v>0</v>
      </c>
      <c r="AB128" s="12"/>
      <c r="AC128" s="13">
        <f t="shared" si="170"/>
        <v>0</v>
      </c>
      <c r="AD128" s="12"/>
      <c r="AE128" s="13">
        <f t="shared" si="171"/>
        <v>0</v>
      </c>
      <c r="AF128" s="14">
        <f t="shared" si="100"/>
        <v>0</v>
      </c>
      <c r="AG128" s="15">
        <f t="shared" si="172"/>
        <v>0</v>
      </c>
      <c r="AH128" s="16"/>
      <c r="AI128" s="13">
        <f t="shared" si="173"/>
        <v>0</v>
      </c>
      <c r="AJ128" s="17"/>
      <c r="AK128" s="13">
        <f t="shared" si="174"/>
        <v>0</v>
      </c>
      <c r="AL128" s="17"/>
      <c r="AM128" s="13">
        <f t="shared" si="175"/>
        <v>0</v>
      </c>
      <c r="AN128" s="18"/>
      <c r="AO128" s="13">
        <f t="shared" si="176"/>
        <v>0</v>
      </c>
      <c r="AP128" s="17"/>
      <c r="AQ128" s="13">
        <f t="shared" si="177"/>
        <v>0</v>
      </c>
      <c r="AR128" s="17"/>
      <c r="AS128" s="13">
        <f t="shared" si="178"/>
        <v>0</v>
      </c>
      <c r="AT128" s="19"/>
      <c r="AU128" s="13">
        <f t="shared" si="179"/>
        <v>0</v>
      </c>
      <c r="AV128" s="17"/>
      <c r="AW128" s="13">
        <f t="shared" si="180"/>
        <v>0</v>
      </c>
      <c r="AX128" s="17"/>
      <c r="AY128" s="13">
        <f t="shared" si="181"/>
        <v>0</v>
      </c>
      <c r="AZ128" s="19"/>
      <c r="BA128" s="13">
        <f t="shared" si="182"/>
        <v>0</v>
      </c>
      <c r="BB128" s="20"/>
      <c r="BC128" s="13">
        <f t="shared" si="186"/>
        <v>0</v>
      </c>
      <c r="BD128" s="20"/>
      <c r="BE128" s="13">
        <f t="shared" si="183"/>
        <v>0</v>
      </c>
      <c r="BF128" s="14">
        <f t="shared" si="101"/>
        <v>0</v>
      </c>
      <c r="BG128" s="15">
        <f t="shared" si="184"/>
        <v>0</v>
      </c>
      <c r="BH128" s="18"/>
      <c r="BI128" s="57">
        <f t="shared" si="129"/>
        <v>0</v>
      </c>
      <c r="BJ128" s="18"/>
      <c r="BK128" s="57">
        <f t="shared" si="130"/>
        <v>0</v>
      </c>
      <c r="BL128" s="18"/>
      <c r="BM128" s="57">
        <f t="shared" si="131"/>
        <v>0</v>
      </c>
      <c r="BN128" s="18"/>
      <c r="BO128" s="57">
        <f t="shared" si="132"/>
        <v>0</v>
      </c>
      <c r="BP128" s="18"/>
      <c r="BQ128" s="57">
        <f t="shared" si="133"/>
        <v>0</v>
      </c>
      <c r="BR128" s="18"/>
      <c r="BS128" s="57">
        <f t="shared" si="134"/>
        <v>0</v>
      </c>
      <c r="BT128" s="18"/>
      <c r="BU128" s="57">
        <f t="shared" si="135"/>
        <v>0</v>
      </c>
      <c r="BV128" s="18"/>
      <c r="BW128" s="57">
        <f t="shared" si="136"/>
        <v>0</v>
      </c>
      <c r="BX128" s="18"/>
      <c r="BY128" s="57">
        <f t="shared" si="137"/>
        <v>0</v>
      </c>
      <c r="BZ128" s="18"/>
      <c r="CA128" s="57">
        <f t="shared" si="138"/>
        <v>0</v>
      </c>
      <c r="CB128" s="18"/>
      <c r="CC128" s="57">
        <f t="shared" si="139"/>
        <v>0</v>
      </c>
      <c r="CD128" s="18"/>
      <c r="CE128" s="57">
        <f t="shared" si="140"/>
        <v>0</v>
      </c>
      <c r="CF128" s="14">
        <f t="shared" si="102"/>
        <v>0</v>
      </c>
      <c r="CG128" s="15">
        <f t="shared" si="185"/>
        <v>0</v>
      </c>
      <c r="CH128" s="12"/>
      <c r="CI128" s="13">
        <f t="shared" si="75"/>
        <v>0</v>
      </c>
      <c r="CJ128" s="12"/>
      <c r="CK128" s="13">
        <f t="shared" si="76"/>
        <v>0</v>
      </c>
      <c r="CL128" s="12"/>
      <c r="CM128" s="13">
        <f t="shared" si="77"/>
        <v>0</v>
      </c>
      <c r="CN128" s="12"/>
      <c r="CO128" s="13">
        <f t="shared" si="78"/>
        <v>0</v>
      </c>
      <c r="CP128" s="12"/>
      <c r="CQ128" s="13">
        <f t="shared" si="79"/>
        <v>0</v>
      </c>
      <c r="CR128" s="12"/>
      <c r="CS128" s="13">
        <f t="shared" si="80"/>
        <v>0</v>
      </c>
      <c r="CT128" s="12"/>
      <c r="CU128" s="13">
        <f t="shared" si="81"/>
        <v>0</v>
      </c>
      <c r="CV128" s="12"/>
      <c r="CW128" s="13">
        <f t="shared" si="82"/>
        <v>0</v>
      </c>
      <c r="CX128" s="12"/>
      <c r="CY128" s="13">
        <f t="shared" si="83"/>
        <v>0</v>
      </c>
      <c r="CZ128" s="12"/>
      <c r="DA128" s="13">
        <f t="shared" si="84"/>
        <v>0</v>
      </c>
      <c r="DB128" s="12"/>
      <c r="DC128" s="13">
        <f t="shared" si="85"/>
        <v>0</v>
      </c>
      <c r="DD128" s="12"/>
      <c r="DE128" s="13">
        <f t="shared" si="86"/>
        <v>0</v>
      </c>
      <c r="DF128" s="64">
        <f t="shared" si="87"/>
        <v>0</v>
      </c>
      <c r="DG128" s="15">
        <f t="shared" si="88"/>
        <v>0</v>
      </c>
      <c r="DH128" s="12"/>
      <c r="DI128" s="13">
        <f t="shared" si="89"/>
        <v>0</v>
      </c>
      <c r="DJ128" s="12"/>
      <c r="DK128" s="13">
        <f t="shared" si="90"/>
        <v>0</v>
      </c>
      <c r="DL128" s="12"/>
      <c r="DM128" s="13">
        <f t="shared" si="159"/>
        <v>0</v>
      </c>
      <c r="DN128" s="12"/>
      <c r="DO128" s="13">
        <f t="shared" si="74"/>
        <v>0</v>
      </c>
      <c r="DP128" s="12"/>
      <c r="DQ128" s="13">
        <f t="shared" si="91"/>
        <v>0</v>
      </c>
      <c r="DR128" s="12"/>
      <c r="DS128" s="13">
        <f t="shared" si="92"/>
        <v>0</v>
      </c>
      <c r="DT128" s="12"/>
      <c r="DU128" s="13">
        <f t="shared" si="73"/>
        <v>0</v>
      </c>
      <c r="DV128" s="12"/>
      <c r="DW128" s="13">
        <f t="shared" si="93"/>
        <v>0</v>
      </c>
      <c r="DX128" s="12"/>
      <c r="DY128" s="13">
        <f t="shared" si="94"/>
        <v>0</v>
      </c>
      <c r="DZ128" s="12"/>
      <c r="EA128" s="13">
        <f t="shared" si="95"/>
        <v>0</v>
      </c>
      <c r="EB128" s="12"/>
      <c r="EC128" s="13">
        <f t="shared" si="99"/>
        <v>0</v>
      </c>
      <c r="ED128" s="12"/>
      <c r="EE128" s="13">
        <f t="shared" si="96"/>
        <v>0</v>
      </c>
      <c r="EF128" s="24">
        <f t="shared" si="187"/>
        <v>0</v>
      </c>
      <c r="EG128" s="13">
        <f t="shared" si="98"/>
        <v>0</v>
      </c>
    </row>
    <row r="129" spans="1:137" ht="18" customHeight="1" x14ac:dyDescent="0.5">
      <c r="A129" s="10">
        <v>103</v>
      </c>
      <c r="B129" s="11" t="s">
        <v>131</v>
      </c>
      <c r="C129" s="11" t="s">
        <v>14</v>
      </c>
      <c r="D129" s="10"/>
      <c r="E129" s="10">
        <v>0.64</v>
      </c>
      <c r="F129" s="10" t="s">
        <v>136</v>
      </c>
      <c r="G129" s="10">
        <v>1800</v>
      </c>
      <c r="H129" s="12"/>
      <c r="I129" s="13">
        <f t="shared" si="161"/>
        <v>0</v>
      </c>
      <c r="J129" s="12"/>
      <c r="K129" s="13">
        <f t="shared" si="160"/>
        <v>0</v>
      </c>
      <c r="L129" s="12"/>
      <c r="M129" s="13">
        <f t="shared" si="162"/>
        <v>0</v>
      </c>
      <c r="N129" s="12"/>
      <c r="O129" s="13">
        <f t="shared" si="163"/>
        <v>0</v>
      </c>
      <c r="P129" s="12"/>
      <c r="Q129" s="13">
        <f t="shared" si="164"/>
        <v>0</v>
      </c>
      <c r="R129" s="12"/>
      <c r="S129" s="13">
        <f t="shared" si="165"/>
        <v>0</v>
      </c>
      <c r="T129" s="12"/>
      <c r="U129" s="13">
        <f t="shared" si="166"/>
        <v>0</v>
      </c>
      <c r="V129" s="12"/>
      <c r="W129" s="13">
        <f t="shared" si="167"/>
        <v>0</v>
      </c>
      <c r="X129" s="12"/>
      <c r="Y129" s="13">
        <f t="shared" si="168"/>
        <v>0</v>
      </c>
      <c r="Z129" s="12"/>
      <c r="AA129" s="13">
        <f t="shared" si="169"/>
        <v>0</v>
      </c>
      <c r="AB129" s="12"/>
      <c r="AC129" s="13">
        <f t="shared" si="170"/>
        <v>0</v>
      </c>
      <c r="AD129" s="12"/>
      <c r="AE129" s="13">
        <f t="shared" si="171"/>
        <v>0</v>
      </c>
      <c r="AF129" s="14">
        <f t="shared" si="100"/>
        <v>0</v>
      </c>
      <c r="AG129" s="15">
        <f t="shared" si="172"/>
        <v>0</v>
      </c>
      <c r="AH129" s="16"/>
      <c r="AI129" s="13">
        <f t="shared" si="173"/>
        <v>0</v>
      </c>
      <c r="AJ129" s="17"/>
      <c r="AK129" s="13">
        <f t="shared" si="174"/>
        <v>0</v>
      </c>
      <c r="AL129" s="17"/>
      <c r="AM129" s="13">
        <f t="shared" si="175"/>
        <v>0</v>
      </c>
      <c r="AN129" s="18"/>
      <c r="AO129" s="13">
        <f t="shared" si="176"/>
        <v>0</v>
      </c>
      <c r="AP129" s="17"/>
      <c r="AQ129" s="13">
        <f t="shared" si="177"/>
        <v>0</v>
      </c>
      <c r="AR129" s="17"/>
      <c r="AS129" s="13">
        <f t="shared" si="178"/>
        <v>0</v>
      </c>
      <c r="AT129" s="19"/>
      <c r="AU129" s="13">
        <f t="shared" si="179"/>
        <v>0</v>
      </c>
      <c r="AV129" s="17"/>
      <c r="AW129" s="13">
        <f t="shared" si="180"/>
        <v>0</v>
      </c>
      <c r="AX129" s="17"/>
      <c r="AY129" s="13">
        <f t="shared" si="181"/>
        <v>0</v>
      </c>
      <c r="AZ129" s="19"/>
      <c r="BA129" s="13">
        <f t="shared" si="182"/>
        <v>0</v>
      </c>
      <c r="BB129" s="20"/>
      <c r="BC129" s="13">
        <f t="shared" si="186"/>
        <v>0</v>
      </c>
      <c r="BD129" s="20"/>
      <c r="BE129" s="13">
        <f t="shared" si="183"/>
        <v>0</v>
      </c>
      <c r="BF129" s="14">
        <f t="shared" si="101"/>
        <v>0</v>
      </c>
      <c r="BG129" s="15">
        <f t="shared" si="184"/>
        <v>0</v>
      </c>
      <c r="BH129" s="18"/>
      <c r="BI129" s="57">
        <f t="shared" si="129"/>
        <v>0</v>
      </c>
      <c r="BJ129" s="18"/>
      <c r="BK129" s="57">
        <f t="shared" si="130"/>
        <v>0</v>
      </c>
      <c r="BL129" s="18"/>
      <c r="BM129" s="57">
        <f t="shared" si="131"/>
        <v>0</v>
      </c>
      <c r="BN129" s="18"/>
      <c r="BO129" s="57">
        <f t="shared" si="132"/>
        <v>0</v>
      </c>
      <c r="BP129" s="18"/>
      <c r="BQ129" s="57">
        <f t="shared" si="133"/>
        <v>0</v>
      </c>
      <c r="BR129" s="18"/>
      <c r="BS129" s="57">
        <f t="shared" si="134"/>
        <v>0</v>
      </c>
      <c r="BT129" s="18"/>
      <c r="BU129" s="57">
        <f t="shared" si="135"/>
        <v>0</v>
      </c>
      <c r="BV129" s="18"/>
      <c r="BW129" s="57">
        <f t="shared" si="136"/>
        <v>0</v>
      </c>
      <c r="BX129" s="18"/>
      <c r="BY129" s="57">
        <f t="shared" si="137"/>
        <v>0</v>
      </c>
      <c r="BZ129" s="18"/>
      <c r="CA129" s="57">
        <f t="shared" si="138"/>
        <v>0</v>
      </c>
      <c r="CB129" s="18"/>
      <c r="CC129" s="57">
        <f t="shared" si="139"/>
        <v>0</v>
      </c>
      <c r="CD129" s="18"/>
      <c r="CE129" s="57">
        <f t="shared" si="140"/>
        <v>0</v>
      </c>
      <c r="CF129" s="14">
        <f t="shared" si="102"/>
        <v>0</v>
      </c>
      <c r="CG129" s="15">
        <f t="shared" si="185"/>
        <v>0</v>
      </c>
      <c r="CH129" s="12"/>
      <c r="CI129" s="13">
        <f t="shared" si="75"/>
        <v>0</v>
      </c>
      <c r="CJ129" s="12"/>
      <c r="CK129" s="13">
        <f t="shared" si="76"/>
        <v>0</v>
      </c>
      <c r="CL129" s="12"/>
      <c r="CM129" s="13">
        <f t="shared" si="77"/>
        <v>0</v>
      </c>
      <c r="CN129" s="12"/>
      <c r="CO129" s="13">
        <f t="shared" si="78"/>
        <v>0</v>
      </c>
      <c r="CP129" s="12"/>
      <c r="CQ129" s="13">
        <f t="shared" si="79"/>
        <v>0</v>
      </c>
      <c r="CR129" s="12"/>
      <c r="CS129" s="13">
        <f t="shared" si="80"/>
        <v>0</v>
      </c>
      <c r="CT129" s="12"/>
      <c r="CU129" s="13">
        <f t="shared" si="81"/>
        <v>0</v>
      </c>
      <c r="CV129" s="12"/>
      <c r="CW129" s="13">
        <f t="shared" si="82"/>
        <v>0</v>
      </c>
      <c r="CX129" s="12"/>
      <c r="CY129" s="13">
        <f t="shared" si="83"/>
        <v>0</v>
      </c>
      <c r="CZ129" s="12">
        <v>5</v>
      </c>
      <c r="DA129" s="13">
        <f t="shared" si="84"/>
        <v>3.2</v>
      </c>
      <c r="DB129" s="12"/>
      <c r="DC129" s="13">
        <f t="shared" si="85"/>
        <v>0</v>
      </c>
      <c r="DD129" s="12"/>
      <c r="DE129" s="13">
        <f t="shared" si="86"/>
        <v>0</v>
      </c>
      <c r="DF129" s="64">
        <f t="shared" si="87"/>
        <v>5</v>
      </c>
      <c r="DG129" s="15">
        <f t="shared" si="88"/>
        <v>3.2</v>
      </c>
      <c r="DH129" s="12">
        <v>104</v>
      </c>
      <c r="DI129" s="13">
        <f t="shared" si="89"/>
        <v>66.56</v>
      </c>
      <c r="DJ129" s="12">
        <v>20</v>
      </c>
      <c r="DK129" s="13">
        <f t="shared" si="90"/>
        <v>12.8</v>
      </c>
      <c r="DL129" s="12"/>
      <c r="DM129" s="13">
        <f t="shared" si="159"/>
        <v>0</v>
      </c>
      <c r="DN129" s="12"/>
      <c r="DO129" s="13">
        <f t="shared" si="74"/>
        <v>0</v>
      </c>
      <c r="DP129" s="12"/>
      <c r="DQ129" s="13">
        <f t="shared" si="91"/>
        <v>0</v>
      </c>
      <c r="DR129" s="12"/>
      <c r="DS129" s="13">
        <f t="shared" si="92"/>
        <v>0</v>
      </c>
      <c r="DT129" s="12"/>
      <c r="DU129" s="13">
        <f t="shared" si="73"/>
        <v>0</v>
      </c>
      <c r="DV129" s="12"/>
      <c r="DW129" s="13">
        <f t="shared" si="93"/>
        <v>0</v>
      </c>
      <c r="DX129" s="12"/>
      <c r="DY129" s="13">
        <f t="shared" si="94"/>
        <v>0</v>
      </c>
      <c r="DZ129" s="12"/>
      <c r="EA129" s="13">
        <f t="shared" si="95"/>
        <v>0</v>
      </c>
      <c r="EB129" s="12"/>
      <c r="EC129" s="13">
        <f t="shared" si="99"/>
        <v>0</v>
      </c>
      <c r="ED129" s="12"/>
      <c r="EE129" s="13">
        <f t="shared" si="96"/>
        <v>0</v>
      </c>
      <c r="EF129" s="24">
        <f t="shared" si="187"/>
        <v>124</v>
      </c>
      <c r="EG129" s="13">
        <f t="shared" si="98"/>
        <v>79.36</v>
      </c>
    </row>
    <row r="130" spans="1:137" ht="18" customHeight="1" x14ac:dyDescent="0.5">
      <c r="A130" s="10">
        <v>104</v>
      </c>
      <c r="B130" s="11" t="s">
        <v>90</v>
      </c>
      <c r="C130" s="11" t="s">
        <v>17</v>
      </c>
      <c r="D130" s="10">
        <f t="shared" ref="D130:D137" si="188">RANK(DF130,$DF$4:$DF$147)</f>
        <v>21</v>
      </c>
      <c r="E130" s="10">
        <v>1</v>
      </c>
      <c r="F130" s="10" t="s">
        <v>91</v>
      </c>
      <c r="G130" s="10"/>
      <c r="H130" s="12"/>
      <c r="I130" s="13">
        <f t="shared" si="161"/>
        <v>0</v>
      </c>
      <c r="J130" s="12"/>
      <c r="K130" s="13">
        <f t="shared" ref="K130:K139" si="189">J130*$E130</f>
        <v>0</v>
      </c>
      <c r="L130" s="12"/>
      <c r="M130" s="13">
        <f t="shared" si="162"/>
        <v>0</v>
      </c>
      <c r="N130" s="12"/>
      <c r="O130" s="13">
        <f t="shared" si="163"/>
        <v>0</v>
      </c>
      <c r="P130" s="12"/>
      <c r="Q130" s="13">
        <f t="shared" si="164"/>
        <v>0</v>
      </c>
      <c r="R130" s="12"/>
      <c r="S130" s="13">
        <f t="shared" si="165"/>
        <v>0</v>
      </c>
      <c r="T130" s="12"/>
      <c r="U130" s="13">
        <f t="shared" si="166"/>
        <v>0</v>
      </c>
      <c r="V130" s="12"/>
      <c r="W130" s="13">
        <f t="shared" si="167"/>
        <v>0</v>
      </c>
      <c r="X130" s="12"/>
      <c r="Y130" s="13">
        <f t="shared" si="168"/>
        <v>0</v>
      </c>
      <c r="Z130" s="12"/>
      <c r="AA130" s="13">
        <f t="shared" si="169"/>
        <v>0</v>
      </c>
      <c r="AB130" s="12"/>
      <c r="AC130" s="13">
        <f t="shared" si="170"/>
        <v>0</v>
      </c>
      <c r="AD130" s="12"/>
      <c r="AE130" s="13">
        <f t="shared" si="171"/>
        <v>0</v>
      </c>
      <c r="AF130" s="14">
        <f t="shared" si="100"/>
        <v>0</v>
      </c>
      <c r="AG130" s="15">
        <f t="shared" si="172"/>
        <v>0</v>
      </c>
      <c r="AH130" s="16"/>
      <c r="AI130" s="13">
        <f t="shared" si="173"/>
        <v>0</v>
      </c>
      <c r="AJ130" s="17"/>
      <c r="AK130" s="13">
        <f t="shared" si="174"/>
        <v>0</v>
      </c>
      <c r="AL130" s="17"/>
      <c r="AM130" s="13">
        <f t="shared" si="175"/>
        <v>0</v>
      </c>
      <c r="AN130" s="18"/>
      <c r="AO130" s="13">
        <f t="shared" si="176"/>
        <v>0</v>
      </c>
      <c r="AP130" s="17"/>
      <c r="AQ130" s="13">
        <f t="shared" si="177"/>
        <v>0</v>
      </c>
      <c r="AR130" s="17"/>
      <c r="AS130" s="13">
        <f t="shared" si="178"/>
        <v>0</v>
      </c>
      <c r="AT130" s="19"/>
      <c r="AU130" s="13">
        <f t="shared" si="179"/>
        <v>0</v>
      </c>
      <c r="AV130" s="17"/>
      <c r="AW130" s="13">
        <f t="shared" si="180"/>
        <v>0</v>
      </c>
      <c r="AX130" s="17"/>
      <c r="AY130" s="13">
        <f t="shared" si="181"/>
        <v>0</v>
      </c>
      <c r="AZ130" s="19"/>
      <c r="BA130" s="13">
        <f t="shared" si="182"/>
        <v>0</v>
      </c>
      <c r="BB130" s="20"/>
      <c r="BC130" s="13">
        <f t="shared" ref="BC130:BC139" si="190">BB130*$E130</f>
        <v>0</v>
      </c>
      <c r="BD130" s="20"/>
      <c r="BE130" s="13">
        <f t="shared" si="183"/>
        <v>0</v>
      </c>
      <c r="BF130" s="14">
        <f t="shared" si="101"/>
        <v>0</v>
      </c>
      <c r="BG130" s="15">
        <f t="shared" si="184"/>
        <v>0</v>
      </c>
      <c r="BH130" s="18"/>
      <c r="BI130" s="57">
        <f t="shared" si="129"/>
        <v>0</v>
      </c>
      <c r="BJ130" s="18"/>
      <c r="BK130" s="57">
        <f t="shared" si="130"/>
        <v>0</v>
      </c>
      <c r="BL130" s="18"/>
      <c r="BM130" s="57">
        <f t="shared" si="131"/>
        <v>0</v>
      </c>
      <c r="BN130" s="18"/>
      <c r="BO130" s="57">
        <f t="shared" si="132"/>
        <v>0</v>
      </c>
      <c r="BP130" s="18"/>
      <c r="BQ130" s="57">
        <f t="shared" si="133"/>
        <v>0</v>
      </c>
      <c r="BR130" s="18"/>
      <c r="BS130" s="57">
        <f t="shared" si="134"/>
        <v>0</v>
      </c>
      <c r="BT130" s="18"/>
      <c r="BU130" s="57">
        <f t="shared" si="135"/>
        <v>0</v>
      </c>
      <c r="BV130" s="18"/>
      <c r="BW130" s="57">
        <f t="shared" si="136"/>
        <v>0</v>
      </c>
      <c r="BX130" s="18"/>
      <c r="BY130" s="57">
        <f t="shared" si="137"/>
        <v>0</v>
      </c>
      <c r="BZ130" s="18"/>
      <c r="CA130" s="57">
        <f t="shared" si="138"/>
        <v>0</v>
      </c>
      <c r="CB130" s="18"/>
      <c r="CC130" s="57">
        <f t="shared" si="139"/>
        <v>0</v>
      </c>
      <c r="CD130" s="18"/>
      <c r="CE130" s="57">
        <f t="shared" si="140"/>
        <v>0</v>
      </c>
      <c r="CF130" s="14">
        <f t="shared" si="102"/>
        <v>0</v>
      </c>
      <c r="CG130" s="15">
        <f t="shared" si="185"/>
        <v>0</v>
      </c>
      <c r="CH130" s="12"/>
      <c r="CI130" s="13">
        <f t="shared" si="75"/>
        <v>0</v>
      </c>
      <c r="CJ130" s="12"/>
      <c r="CK130" s="13">
        <f t="shared" si="76"/>
        <v>0</v>
      </c>
      <c r="CL130" s="12"/>
      <c r="CM130" s="13">
        <f t="shared" si="77"/>
        <v>0</v>
      </c>
      <c r="CN130" s="12"/>
      <c r="CO130" s="13">
        <f t="shared" si="78"/>
        <v>0</v>
      </c>
      <c r="CP130" s="12"/>
      <c r="CQ130" s="13">
        <f t="shared" si="79"/>
        <v>0</v>
      </c>
      <c r="CR130" s="12"/>
      <c r="CS130" s="13">
        <f t="shared" si="80"/>
        <v>0</v>
      </c>
      <c r="CT130" s="12"/>
      <c r="CU130" s="13">
        <f t="shared" si="81"/>
        <v>0</v>
      </c>
      <c r="CV130" s="12"/>
      <c r="CW130" s="13">
        <f t="shared" si="82"/>
        <v>0</v>
      </c>
      <c r="CX130" s="12"/>
      <c r="CY130" s="13">
        <f t="shared" si="83"/>
        <v>0</v>
      </c>
      <c r="CZ130" s="12"/>
      <c r="DA130" s="13">
        <f t="shared" si="84"/>
        <v>0</v>
      </c>
      <c r="DB130" s="12"/>
      <c r="DC130" s="13">
        <f t="shared" si="85"/>
        <v>0</v>
      </c>
      <c r="DD130" s="12"/>
      <c r="DE130" s="13">
        <f t="shared" si="86"/>
        <v>0</v>
      </c>
      <c r="DF130" s="64">
        <f t="shared" si="87"/>
        <v>0</v>
      </c>
      <c r="DG130" s="15">
        <f t="shared" si="88"/>
        <v>0</v>
      </c>
      <c r="DH130" s="12"/>
      <c r="DI130" s="13">
        <f t="shared" ref="DI130:DI147" si="191">DH130*$E130</f>
        <v>0</v>
      </c>
      <c r="DJ130" s="12"/>
      <c r="DK130" s="13">
        <f t="shared" si="90"/>
        <v>0</v>
      </c>
      <c r="DL130" s="12"/>
      <c r="DM130" s="13">
        <f t="shared" ref="DM130:DM147" si="192">DL130*$E130</f>
        <v>0</v>
      </c>
      <c r="DN130" s="12"/>
      <c r="DO130" s="13">
        <f t="shared" ref="DO130:DO147" si="193">DN130*$E130</f>
        <v>0</v>
      </c>
      <c r="DP130" s="12"/>
      <c r="DQ130" s="13">
        <f t="shared" si="91"/>
        <v>0</v>
      </c>
      <c r="DR130" s="12"/>
      <c r="DS130" s="13">
        <f t="shared" si="92"/>
        <v>0</v>
      </c>
      <c r="DT130" s="12"/>
      <c r="DU130" s="13">
        <f t="shared" si="73"/>
        <v>0</v>
      </c>
      <c r="DV130" s="12"/>
      <c r="DW130" s="13">
        <f t="shared" si="93"/>
        <v>0</v>
      </c>
      <c r="DX130" s="12"/>
      <c r="DY130" s="13">
        <f t="shared" si="94"/>
        <v>0</v>
      </c>
      <c r="DZ130" s="12"/>
      <c r="EA130" s="13">
        <f t="shared" si="95"/>
        <v>0</v>
      </c>
      <c r="EB130" s="12"/>
      <c r="EC130" s="13">
        <f t="shared" ref="EC130:EC147" si="194">EB130*$E130</f>
        <v>0</v>
      </c>
      <c r="ED130" s="12"/>
      <c r="EE130" s="13">
        <f t="shared" si="96"/>
        <v>0</v>
      </c>
      <c r="EF130" s="24">
        <f t="shared" si="187"/>
        <v>0</v>
      </c>
      <c r="EG130" s="13">
        <f t="shared" si="98"/>
        <v>0</v>
      </c>
    </row>
    <row r="131" spans="1:137" ht="18" customHeight="1" x14ac:dyDescent="0.5">
      <c r="A131" s="10">
        <v>105</v>
      </c>
      <c r="B131" s="11" t="s">
        <v>92</v>
      </c>
      <c r="C131" s="11" t="s">
        <v>17</v>
      </c>
      <c r="D131" s="10">
        <f t="shared" si="188"/>
        <v>21</v>
      </c>
      <c r="E131" s="10">
        <v>1</v>
      </c>
      <c r="F131" s="10" t="s">
        <v>23</v>
      </c>
      <c r="G131" s="10"/>
      <c r="H131" s="12"/>
      <c r="I131" s="13">
        <f t="shared" ref="I131:I139" si="195">H131*$E131</f>
        <v>0</v>
      </c>
      <c r="J131" s="12"/>
      <c r="K131" s="13">
        <f t="shared" si="189"/>
        <v>0</v>
      </c>
      <c r="L131" s="12"/>
      <c r="M131" s="13">
        <f t="shared" si="162"/>
        <v>0</v>
      </c>
      <c r="N131" s="12"/>
      <c r="O131" s="13">
        <f t="shared" si="163"/>
        <v>0</v>
      </c>
      <c r="P131" s="12"/>
      <c r="Q131" s="13">
        <f t="shared" si="164"/>
        <v>0</v>
      </c>
      <c r="R131" s="12"/>
      <c r="S131" s="13">
        <f t="shared" si="165"/>
        <v>0</v>
      </c>
      <c r="T131" s="12"/>
      <c r="U131" s="13">
        <f t="shared" si="166"/>
        <v>0</v>
      </c>
      <c r="V131" s="12"/>
      <c r="W131" s="13">
        <f t="shared" si="167"/>
        <v>0</v>
      </c>
      <c r="X131" s="12"/>
      <c r="Y131" s="13">
        <f t="shared" si="168"/>
        <v>0</v>
      </c>
      <c r="Z131" s="12"/>
      <c r="AA131" s="13">
        <f t="shared" si="169"/>
        <v>0</v>
      </c>
      <c r="AB131" s="12"/>
      <c r="AC131" s="13">
        <f t="shared" si="170"/>
        <v>0</v>
      </c>
      <c r="AD131" s="12"/>
      <c r="AE131" s="13">
        <f t="shared" si="171"/>
        <v>0</v>
      </c>
      <c r="AF131" s="14">
        <f t="shared" si="100"/>
        <v>0</v>
      </c>
      <c r="AG131" s="15">
        <f t="shared" si="172"/>
        <v>0</v>
      </c>
      <c r="AH131" s="16"/>
      <c r="AI131" s="13">
        <f t="shared" si="173"/>
        <v>0</v>
      </c>
      <c r="AJ131" s="17"/>
      <c r="AK131" s="13">
        <f t="shared" si="174"/>
        <v>0</v>
      </c>
      <c r="AL131" s="17"/>
      <c r="AM131" s="13">
        <f t="shared" si="175"/>
        <v>0</v>
      </c>
      <c r="AN131" s="18"/>
      <c r="AO131" s="13">
        <f t="shared" si="176"/>
        <v>0</v>
      </c>
      <c r="AP131" s="17"/>
      <c r="AQ131" s="13">
        <f t="shared" si="177"/>
        <v>0</v>
      </c>
      <c r="AR131" s="17"/>
      <c r="AS131" s="13">
        <f t="shared" si="178"/>
        <v>0</v>
      </c>
      <c r="AT131" s="19"/>
      <c r="AU131" s="13">
        <f t="shared" si="179"/>
        <v>0</v>
      </c>
      <c r="AV131" s="17"/>
      <c r="AW131" s="13">
        <f t="shared" si="180"/>
        <v>0</v>
      </c>
      <c r="AX131" s="17"/>
      <c r="AY131" s="13">
        <f t="shared" si="181"/>
        <v>0</v>
      </c>
      <c r="AZ131" s="19"/>
      <c r="BA131" s="13">
        <f t="shared" si="182"/>
        <v>0</v>
      </c>
      <c r="BB131" s="20"/>
      <c r="BC131" s="13">
        <f t="shared" si="190"/>
        <v>0</v>
      </c>
      <c r="BD131" s="20"/>
      <c r="BE131" s="13">
        <f t="shared" si="183"/>
        <v>0</v>
      </c>
      <c r="BF131" s="14">
        <f t="shared" si="101"/>
        <v>0</v>
      </c>
      <c r="BG131" s="15">
        <f t="shared" si="184"/>
        <v>0</v>
      </c>
      <c r="BH131" s="18"/>
      <c r="BI131" s="57">
        <f t="shared" si="129"/>
        <v>0</v>
      </c>
      <c r="BJ131" s="18"/>
      <c r="BK131" s="57">
        <f t="shared" si="130"/>
        <v>0</v>
      </c>
      <c r="BL131" s="18"/>
      <c r="BM131" s="57">
        <f t="shared" si="131"/>
        <v>0</v>
      </c>
      <c r="BN131" s="18"/>
      <c r="BO131" s="57">
        <f t="shared" si="132"/>
        <v>0</v>
      </c>
      <c r="BP131" s="18"/>
      <c r="BQ131" s="57">
        <f t="shared" si="133"/>
        <v>0</v>
      </c>
      <c r="BR131" s="18"/>
      <c r="BS131" s="57">
        <f t="shared" si="134"/>
        <v>0</v>
      </c>
      <c r="BT131" s="18"/>
      <c r="BU131" s="57">
        <f t="shared" si="135"/>
        <v>0</v>
      </c>
      <c r="BV131" s="18"/>
      <c r="BW131" s="57">
        <f t="shared" si="136"/>
        <v>0</v>
      </c>
      <c r="BX131" s="18"/>
      <c r="BY131" s="57">
        <f t="shared" si="137"/>
        <v>0</v>
      </c>
      <c r="BZ131" s="18"/>
      <c r="CA131" s="57">
        <f t="shared" si="138"/>
        <v>0</v>
      </c>
      <c r="CB131" s="18"/>
      <c r="CC131" s="57">
        <f t="shared" si="139"/>
        <v>0</v>
      </c>
      <c r="CD131" s="18"/>
      <c r="CE131" s="57">
        <f t="shared" si="140"/>
        <v>0</v>
      </c>
      <c r="CF131" s="14">
        <f t="shared" si="102"/>
        <v>0</v>
      </c>
      <c r="CG131" s="15">
        <f t="shared" si="185"/>
        <v>0</v>
      </c>
      <c r="CH131" s="12"/>
      <c r="CI131" s="13">
        <f t="shared" si="75"/>
        <v>0</v>
      </c>
      <c r="CJ131" s="12"/>
      <c r="CK131" s="13">
        <f t="shared" si="76"/>
        <v>0</v>
      </c>
      <c r="CL131" s="12"/>
      <c r="CM131" s="13">
        <f t="shared" si="77"/>
        <v>0</v>
      </c>
      <c r="CN131" s="12"/>
      <c r="CO131" s="13">
        <f t="shared" si="78"/>
        <v>0</v>
      </c>
      <c r="CP131" s="12"/>
      <c r="CQ131" s="13">
        <f t="shared" si="79"/>
        <v>0</v>
      </c>
      <c r="CR131" s="12"/>
      <c r="CS131" s="13">
        <f t="shared" si="80"/>
        <v>0</v>
      </c>
      <c r="CT131" s="12"/>
      <c r="CU131" s="13">
        <f t="shared" si="81"/>
        <v>0</v>
      </c>
      <c r="CV131" s="12"/>
      <c r="CW131" s="13">
        <f t="shared" si="82"/>
        <v>0</v>
      </c>
      <c r="CX131" s="12"/>
      <c r="CY131" s="13">
        <f t="shared" si="83"/>
        <v>0</v>
      </c>
      <c r="CZ131" s="12"/>
      <c r="DA131" s="13">
        <f t="shared" si="84"/>
        <v>0</v>
      </c>
      <c r="DB131" s="12"/>
      <c r="DC131" s="13">
        <f t="shared" si="85"/>
        <v>0</v>
      </c>
      <c r="DD131" s="12"/>
      <c r="DE131" s="13">
        <f t="shared" si="86"/>
        <v>0</v>
      </c>
      <c r="DF131" s="64">
        <f t="shared" si="87"/>
        <v>0</v>
      </c>
      <c r="DG131" s="15">
        <f t="shared" si="88"/>
        <v>0</v>
      </c>
      <c r="DH131" s="12"/>
      <c r="DI131" s="13">
        <f t="shared" si="191"/>
        <v>0</v>
      </c>
      <c r="DJ131" s="12"/>
      <c r="DK131" s="13">
        <f t="shared" si="90"/>
        <v>0</v>
      </c>
      <c r="DL131" s="12"/>
      <c r="DM131" s="13">
        <f t="shared" si="192"/>
        <v>0</v>
      </c>
      <c r="DN131" s="12"/>
      <c r="DO131" s="13">
        <f t="shared" si="193"/>
        <v>0</v>
      </c>
      <c r="DP131" s="12"/>
      <c r="DQ131" s="13">
        <f t="shared" si="91"/>
        <v>0</v>
      </c>
      <c r="DR131" s="12"/>
      <c r="DS131" s="13">
        <f t="shared" si="92"/>
        <v>0</v>
      </c>
      <c r="DT131" s="12"/>
      <c r="DU131" s="13">
        <f t="shared" si="73"/>
        <v>0</v>
      </c>
      <c r="DV131" s="12"/>
      <c r="DW131" s="13">
        <f t="shared" si="93"/>
        <v>0</v>
      </c>
      <c r="DX131" s="12"/>
      <c r="DY131" s="13">
        <f t="shared" si="94"/>
        <v>0</v>
      </c>
      <c r="DZ131" s="12"/>
      <c r="EA131" s="13">
        <f t="shared" si="95"/>
        <v>0</v>
      </c>
      <c r="EB131" s="12"/>
      <c r="EC131" s="13">
        <f t="shared" si="194"/>
        <v>0</v>
      </c>
      <c r="ED131" s="12"/>
      <c r="EE131" s="13">
        <f t="shared" si="96"/>
        <v>0</v>
      </c>
      <c r="EF131" s="24">
        <f t="shared" si="187"/>
        <v>0</v>
      </c>
      <c r="EG131" s="13">
        <f t="shared" si="98"/>
        <v>0</v>
      </c>
    </row>
    <row r="132" spans="1:137" ht="18" customHeight="1" x14ac:dyDescent="0.5">
      <c r="A132" s="10">
        <v>106</v>
      </c>
      <c r="B132" s="11" t="s">
        <v>93</v>
      </c>
      <c r="C132" s="11" t="s">
        <v>14</v>
      </c>
      <c r="D132" s="10">
        <f t="shared" si="188"/>
        <v>21</v>
      </c>
      <c r="E132" s="10">
        <v>0.64</v>
      </c>
      <c r="F132" s="10" t="s">
        <v>25</v>
      </c>
      <c r="G132" s="10"/>
      <c r="H132" s="12"/>
      <c r="I132" s="13">
        <f t="shared" si="195"/>
        <v>0</v>
      </c>
      <c r="J132" s="12"/>
      <c r="K132" s="13">
        <f t="shared" si="189"/>
        <v>0</v>
      </c>
      <c r="L132" s="12"/>
      <c r="M132" s="13">
        <f t="shared" si="162"/>
        <v>0</v>
      </c>
      <c r="N132" s="12"/>
      <c r="O132" s="13">
        <f t="shared" si="163"/>
        <v>0</v>
      </c>
      <c r="P132" s="12"/>
      <c r="Q132" s="13">
        <f t="shared" si="164"/>
        <v>0</v>
      </c>
      <c r="R132" s="12"/>
      <c r="S132" s="13">
        <f t="shared" si="165"/>
        <v>0</v>
      </c>
      <c r="T132" s="12"/>
      <c r="U132" s="13">
        <f t="shared" si="166"/>
        <v>0</v>
      </c>
      <c r="V132" s="12"/>
      <c r="W132" s="13">
        <f t="shared" si="167"/>
        <v>0</v>
      </c>
      <c r="X132" s="12"/>
      <c r="Y132" s="13">
        <f t="shared" si="168"/>
        <v>0</v>
      </c>
      <c r="Z132" s="12"/>
      <c r="AA132" s="13">
        <f t="shared" si="169"/>
        <v>0</v>
      </c>
      <c r="AB132" s="12"/>
      <c r="AC132" s="13">
        <f t="shared" si="170"/>
        <v>0</v>
      </c>
      <c r="AD132" s="12"/>
      <c r="AE132" s="13">
        <f t="shared" si="171"/>
        <v>0</v>
      </c>
      <c r="AF132" s="14">
        <f t="shared" si="100"/>
        <v>0</v>
      </c>
      <c r="AG132" s="15">
        <f t="shared" si="172"/>
        <v>0</v>
      </c>
      <c r="AH132" s="16"/>
      <c r="AI132" s="13">
        <f t="shared" si="173"/>
        <v>0</v>
      </c>
      <c r="AJ132" s="17"/>
      <c r="AK132" s="13">
        <f t="shared" si="174"/>
        <v>0</v>
      </c>
      <c r="AL132" s="17"/>
      <c r="AM132" s="13">
        <f t="shared" si="175"/>
        <v>0</v>
      </c>
      <c r="AN132" s="18"/>
      <c r="AO132" s="13">
        <f t="shared" si="176"/>
        <v>0</v>
      </c>
      <c r="AP132" s="17"/>
      <c r="AQ132" s="13">
        <f t="shared" si="177"/>
        <v>0</v>
      </c>
      <c r="AR132" s="17"/>
      <c r="AS132" s="13">
        <f t="shared" si="178"/>
        <v>0</v>
      </c>
      <c r="AT132" s="19"/>
      <c r="AU132" s="13">
        <f t="shared" si="179"/>
        <v>0</v>
      </c>
      <c r="AV132" s="17"/>
      <c r="AW132" s="13">
        <f t="shared" si="180"/>
        <v>0</v>
      </c>
      <c r="AX132" s="17"/>
      <c r="AY132" s="13">
        <f t="shared" si="181"/>
        <v>0</v>
      </c>
      <c r="AZ132" s="19"/>
      <c r="BA132" s="13">
        <f t="shared" si="182"/>
        <v>0</v>
      </c>
      <c r="BB132" s="20"/>
      <c r="BC132" s="13">
        <f t="shared" si="190"/>
        <v>0</v>
      </c>
      <c r="BD132" s="20"/>
      <c r="BE132" s="13">
        <f t="shared" si="183"/>
        <v>0</v>
      </c>
      <c r="BF132" s="14">
        <f t="shared" si="101"/>
        <v>0</v>
      </c>
      <c r="BG132" s="15">
        <f t="shared" si="184"/>
        <v>0</v>
      </c>
      <c r="BH132" s="18"/>
      <c r="BI132" s="57">
        <f t="shared" si="129"/>
        <v>0</v>
      </c>
      <c r="BJ132" s="18"/>
      <c r="BK132" s="57">
        <f t="shared" si="130"/>
        <v>0</v>
      </c>
      <c r="BL132" s="18"/>
      <c r="BM132" s="57">
        <f t="shared" si="131"/>
        <v>0</v>
      </c>
      <c r="BN132" s="18"/>
      <c r="BO132" s="57">
        <f t="shared" si="132"/>
        <v>0</v>
      </c>
      <c r="BP132" s="18"/>
      <c r="BQ132" s="57">
        <f t="shared" si="133"/>
        <v>0</v>
      </c>
      <c r="BR132" s="18"/>
      <c r="BS132" s="57">
        <f t="shared" si="134"/>
        <v>0</v>
      </c>
      <c r="BT132" s="18"/>
      <c r="BU132" s="57">
        <f t="shared" si="135"/>
        <v>0</v>
      </c>
      <c r="BV132" s="18"/>
      <c r="BW132" s="57">
        <f t="shared" si="136"/>
        <v>0</v>
      </c>
      <c r="BX132" s="18"/>
      <c r="BY132" s="57">
        <f t="shared" si="137"/>
        <v>0</v>
      </c>
      <c r="BZ132" s="18"/>
      <c r="CA132" s="57">
        <f t="shared" si="138"/>
        <v>0</v>
      </c>
      <c r="CB132" s="18"/>
      <c r="CC132" s="57">
        <f t="shared" si="139"/>
        <v>0</v>
      </c>
      <c r="CD132" s="18"/>
      <c r="CE132" s="57">
        <f t="shared" si="140"/>
        <v>0</v>
      </c>
      <c r="CF132" s="14">
        <f t="shared" si="102"/>
        <v>0</v>
      </c>
      <c r="CG132" s="15">
        <f t="shared" si="185"/>
        <v>0</v>
      </c>
      <c r="CH132" s="12"/>
      <c r="CI132" s="13">
        <f t="shared" si="75"/>
        <v>0</v>
      </c>
      <c r="CJ132" s="12"/>
      <c r="CK132" s="13">
        <f t="shared" si="76"/>
        <v>0</v>
      </c>
      <c r="CL132" s="12"/>
      <c r="CM132" s="13">
        <f t="shared" si="77"/>
        <v>0</v>
      </c>
      <c r="CN132" s="12"/>
      <c r="CO132" s="13">
        <f t="shared" si="78"/>
        <v>0</v>
      </c>
      <c r="CP132" s="12"/>
      <c r="CQ132" s="13">
        <f t="shared" si="79"/>
        <v>0</v>
      </c>
      <c r="CR132" s="12"/>
      <c r="CS132" s="13">
        <f t="shared" si="80"/>
        <v>0</v>
      </c>
      <c r="CT132" s="12"/>
      <c r="CU132" s="13">
        <f t="shared" si="81"/>
        <v>0</v>
      </c>
      <c r="CV132" s="12"/>
      <c r="CW132" s="13">
        <f t="shared" si="82"/>
        <v>0</v>
      </c>
      <c r="CX132" s="12"/>
      <c r="CY132" s="13">
        <f t="shared" si="83"/>
        <v>0</v>
      </c>
      <c r="CZ132" s="12"/>
      <c r="DA132" s="13">
        <f t="shared" si="84"/>
        <v>0</v>
      </c>
      <c r="DB132" s="12"/>
      <c r="DC132" s="13">
        <f t="shared" si="85"/>
        <v>0</v>
      </c>
      <c r="DD132" s="12"/>
      <c r="DE132" s="13">
        <f t="shared" si="86"/>
        <v>0</v>
      </c>
      <c r="DF132" s="64">
        <f t="shared" si="87"/>
        <v>0</v>
      </c>
      <c r="DG132" s="15">
        <f t="shared" si="88"/>
        <v>0</v>
      </c>
      <c r="DH132" s="12"/>
      <c r="DI132" s="13">
        <f t="shared" si="191"/>
        <v>0</v>
      </c>
      <c r="DJ132" s="12"/>
      <c r="DK132" s="13">
        <f t="shared" si="90"/>
        <v>0</v>
      </c>
      <c r="DL132" s="12"/>
      <c r="DM132" s="13">
        <f t="shared" si="192"/>
        <v>0</v>
      </c>
      <c r="DN132" s="12"/>
      <c r="DO132" s="13">
        <f t="shared" si="193"/>
        <v>0</v>
      </c>
      <c r="DP132" s="12"/>
      <c r="DQ132" s="13">
        <f t="shared" si="91"/>
        <v>0</v>
      </c>
      <c r="DR132" s="12"/>
      <c r="DS132" s="13">
        <f t="shared" si="92"/>
        <v>0</v>
      </c>
      <c r="DT132" s="12"/>
      <c r="DU132" s="13">
        <f t="shared" ref="DU132:DU147" si="196">DT132*$E132</f>
        <v>0</v>
      </c>
      <c r="DV132" s="12"/>
      <c r="DW132" s="13">
        <f t="shared" si="93"/>
        <v>0</v>
      </c>
      <c r="DX132" s="12"/>
      <c r="DY132" s="13">
        <f t="shared" si="94"/>
        <v>0</v>
      </c>
      <c r="DZ132" s="12"/>
      <c r="EA132" s="13">
        <f t="shared" si="95"/>
        <v>0</v>
      </c>
      <c r="EB132" s="12"/>
      <c r="EC132" s="13">
        <f t="shared" si="194"/>
        <v>0</v>
      </c>
      <c r="ED132" s="12"/>
      <c r="EE132" s="13">
        <f t="shared" si="96"/>
        <v>0</v>
      </c>
      <c r="EF132" s="24">
        <f t="shared" si="187"/>
        <v>0</v>
      </c>
      <c r="EG132" s="13">
        <f t="shared" si="98"/>
        <v>0</v>
      </c>
    </row>
    <row r="133" spans="1:137" ht="18" customHeight="1" x14ac:dyDescent="0.5">
      <c r="A133" s="10">
        <v>107</v>
      </c>
      <c r="B133" s="11" t="s">
        <v>95</v>
      </c>
      <c r="C133" s="11" t="s">
        <v>14</v>
      </c>
      <c r="D133" s="10">
        <f t="shared" si="188"/>
        <v>21</v>
      </c>
      <c r="E133" s="10">
        <v>0.64</v>
      </c>
      <c r="F133" s="10" t="s">
        <v>25</v>
      </c>
      <c r="G133" s="10"/>
      <c r="H133" s="12"/>
      <c r="I133" s="13">
        <f t="shared" si="195"/>
        <v>0</v>
      </c>
      <c r="J133" s="12"/>
      <c r="K133" s="13">
        <f t="shared" si="189"/>
        <v>0</v>
      </c>
      <c r="L133" s="12"/>
      <c r="M133" s="13">
        <f t="shared" si="162"/>
        <v>0</v>
      </c>
      <c r="N133" s="12"/>
      <c r="O133" s="13">
        <f t="shared" si="163"/>
        <v>0</v>
      </c>
      <c r="P133" s="12"/>
      <c r="Q133" s="13">
        <f t="shared" si="164"/>
        <v>0</v>
      </c>
      <c r="R133" s="12"/>
      <c r="S133" s="13">
        <f t="shared" si="165"/>
        <v>0</v>
      </c>
      <c r="T133" s="12"/>
      <c r="U133" s="13">
        <f t="shared" si="166"/>
        <v>0</v>
      </c>
      <c r="V133" s="12"/>
      <c r="W133" s="13">
        <f t="shared" si="167"/>
        <v>0</v>
      </c>
      <c r="X133" s="12"/>
      <c r="Y133" s="13">
        <f t="shared" si="168"/>
        <v>0</v>
      </c>
      <c r="Z133" s="12"/>
      <c r="AA133" s="13">
        <f t="shared" si="169"/>
        <v>0</v>
      </c>
      <c r="AB133" s="12"/>
      <c r="AC133" s="13">
        <f t="shared" si="170"/>
        <v>0</v>
      </c>
      <c r="AD133" s="12"/>
      <c r="AE133" s="13">
        <f t="shared" si="171"/>
        <v>0</v>
      </c>
      <c r="AF133" s="14">
        <f t="shared" si="100"/>
        <v>0</v>
      </c>
      <c r="AG133" s="15">
        <f t="shared" si="172"/>
        <v>0</v>
      </c>
      <c r="AH133" s="16"/>
      <c r="AI133" s="13">
        <f t="shared" si="173"/>
        <v>0</v>
      </c>
      <c r="AJ133" s="17"/>
      <c r="AK133" s="13">
        <f t="shared" si="174"/>
        <v>0</v>
      </c>
      <c r="AL133" s="17"/>
      <c r="AM133" s="13">
        <f t="shared" si="175"/>
        <v>0</v>
      </c>
      <c r="AN133" s="18"/>
      <c r="AO133" s="13">
        <f t="shared" si="176"/>
        <v>0</v>
      </c>
      <c r="AP133" s="17"/>
      <c r="AQ133" s="13">
        <f t="shared" si="177"/>
        <v>0</v>
      </c>
      <c r="AR133" s="17"/>
      <c r="AS133" s="13">
        <f t="shared" si="178"/>
        <v>0</v>
      </c>
      <c r="AT133" s="19"/>
      <c r="AU133" s="13">
        <f t="shared" si="179"/>
        <v>0</v>
      </c>
      <c r="AV133" s="17"/>
      <c r="AW133" s="13">
        <f t="shared" si="180"/>
        <v>0</v>
      </c>
      <c r="AX133" s="17"/>
      <c r="AY133" s="13">
        <f t="shared" si="181"/>
        <v>0</v>
      </c>
      <c r="AZ133" s="19"/>
      <c r="BA133" s="13">
        <f t="shared" si="182"/>
        <v>0</v>
      </c>
      <c r="BB133" s="20"/>
      <c r="BC133" s="13">
        <f t="shared" si="190"/>
        <v>0</v>
      </c>
      <c r="BD133" s="20"/>
      <c r="BE133" s="13">
        <f t="shared" si="183"/>
        <v>0</v>
      </c>
      <c r="BF133" s="14">
        <f t="shared" si="101"/>
        <v>0</v>
      </c>
      <c r="BG133" s="15">
        <f t="shared" si="184"/>
        <v>0</v>
      </c>
      <c r="BH133" s="18"/>
      <c r="BI133" s="57">
        <f t="shared" si="129"/>
        <v>0</v>
      </c>
      <c r="BJ133" s="18"/>
      <c r="BK133" s="57">
        <f t="shared" si="130"/>
        <v>0</v>
      </c>
      <c r="BL133" s="18"/>
      <c r="BM133" s="57">
        <f t="shared" si="131"/>
        <v>0</v>
      </c>
      <c r="BN133" s="18"/>
      <c r="BO133" s="57">
        <f t="shared" si="132"/>
        <v>0</v>
      </c>
      <c r="BP133" s="18"/>
      <c r="BQ133" s="57">
        <f t="shared" si="133"/>
        <v>0</v>
      </c>
      <c r="BR133" s="18"/>
      <c r="BS133" s="57">
        <f t="shared" si="134"/>
        <v>0</v>
      </c>
      <c r="BT133" s="18"/>
      <c r="BU133" s="57">
        <f t="shared" si="135"/>
        <v>0</v>
      </c>
      <c r="BV133" s="18"/>
      <c r="BW133" s="57">
        <f t="shared" si="136"/>
        <v>0</v>
      </c>
      <c r="BX133" s="18"/>
      <c r="BY133" s="57">
        <f t="shared" si="137"/>
        <v>0</v>
      </c>
      <c r="BZ133" s="18"/>
      <c r="CA133" s="57">
        <f t="shared" si="138"/>
        <v>0</v>
      </c>
      <c r="CB133" s="18"/>
      <c r="CC133" s="57">
        <f t="shared" si="139"/>
        <v>0</v>
      </c>
      <c r="CD133" s="18"/>
      <c r="CE133" s="57">
        <f t="shared" si="140"/>
        <v>0</v>
      </c>
      <c r="CF133" s="14">
        <f t="shared" si="102"/>
        <v>0</v>
      </c>
      <c r="CG133" s="15">
        <f t="shared" si="185"/>
        <v>0</v>
      </c>
      <c r="CH133" s="12"/>
      <c r="CI133" s="13">
        <f t="shared" si="75"/>
        <v>0</v>
      </c>
      <c r="CJ133" s="12"/>
      <c r="CK133" s="13">
        <f t="shared" si="76"/>
        <v>0</v>
      </c>
      <c r="CL133" s="12"/>
      <c r="CM133" s="13">
        <f t="shared" si="77"/>
        <v>0</v>
      </c>
      <c r="CN133" s="12"/>
      <c r="CO133" s="13">
        <f t="shared" si="78"/>
        <v>0</v>
      </c>
      <c r="CP133" s="12"/>
      <c r="CQ133" s="13">
        <f t="shared" si="79"/>
        <v>0</v>
      </c>
      <c r="CR133" s="12"/>
      <c r="CS133" s="13">
        <f t="shared" si="80"/>
        <v>0</v>
      </c>
      <c r="CT133" s="12"/>
      <c r="CU133" s="13">
        <f t="shared" si="81"/>
        <v>0</v>
      </c>
      <c r="CV133" s="12"/>
      <c r="CW133" s="13">
        <f t="shared" si="82"/>
        <v>0</v>
      </c>
      <c r="CX133" s="12"/>
      <c r="CY133" s="13">
        <f t="shared" si="83"/>
        <v>0</v>
      </c>
      <c r="CZ133" s="12"/>
      <c r="DA133" s="13">
        <f t="shared" si="84"/>
        <v>0</v>
      </c>
      <c r="DB133" s="12"/>
      <c r="DC133" s="13">
        <f t="shared" si="85"/>
        <v>0</v>
      </c>
      <c r="DD133" s="12"/>
      <c r="DE133" s="13">
        <f t="shared" si="86"/>
        <v>0</v>
      </c>
      <c r="DF133" s="64">
        <f t="shared" si="87"/>
        <v>0</v>
      </c>
      <c r="DG133" s="15">
        <f t="shared" si="88"/>
        <v>0</v>
      </c>
      <c r="DH133" s="12"/>
      <c r="DI133" s="13">
        <f t="shared" si="191"/>
        <v>0</v>
      </c>
      <c r="DJ133" s="12"/>
      <c r="DK133" s="13">
        <f t="shared" si="90"/>
        <v>0</v>
      </c>
      <c r="DL133" s="12"/>
      <c r="DM133" s="13">
        <f t="shared" si="192"/>
        <v>0</v>
      </c>
      <c r="DN133" s="12"/>
      <c r="DO133" s="13">
        <f t="shared" si="193"/>
        <v>0</v>
      </c>
      <c r="DP133" s="12"/>
      <c r="DQ133" s="13">
        <f t="shared" si="91"/>
        <v>0</v>
      </c>
      <c r="DR133" s="12"/>
      <c r="DS133" s="13">
        <f t="shared" ref="DS133:DS147" si="197">DR133*$E133</f>
        <v>0</v>
      </c>
      <c r="DT133" s="12"/>
      <c r="DU133" s="13">
        <f t="shared" si="196"/>
        <v>0</v>
      </c>
      <c r="DV133" s="12"/>
      <c r="DW133" s="13">
        <f t="shared" si="93"/>
        <v>0</v>
      </c>
      <c r="DX133" s="12"/>
      <c r="DY133" s="13">
        <f t="shared" si="94"/>
        <v>0</v>
      </c>
      <c r="DZ133" s="12"/>
      <c r="EA133" s="13">
        <f t="shared" si="95"/>
        <v>0</v>
      </c>
      <c r="EB133" s="12"/>
      <c r="EC133" s="13">
        <f t="shared" si="194"/>
        <v>0</v>
      </c>
      <c r="ED133" s="12"/>
      <c r="EE133" s="13">
        <f t="shared" si="96"/>
        <v>0</v>
      </c>
      <c r="EF133" s="24">
        <f t="shared" si="187"/>
        <v>0</v>
      </c>
      <c r="EG133" s="13">
        <f t="shared" si="98"/>
        <v>0</v>
      </c>
    </row>
    <row r="134" spans="1:137" ht="18" customHeight="1" x14ac:dyDescent="0.5">
      <c r="A134" s="10">
        <v>108</v>
      </c>
      <c r="B134" s="11" t="s">
        <v>96</v>
      </c>
      <c r="C134" s="11" t="s">
        <v>14</v>
      </c>
      <c r="D134" s="10">
        <f t="shared" si="188"/>
        <v>21</v>
      </c>
      <c r="E134" s="10">
        <v>0.64</v>
      </c>
      <c r="F134" s="10" t="s">
        <v>25</v>
      </c>
      <c r="G134" s="10"/>
      <c r="H134" s="12"/>
      <c r="I134" s="13">
        <f t="shared" si="195"/>
        <v>0</v>
      </c>
      <c r="J134" s="12"/>
      <c r="K134" s="13">
        <f t="shared" si="189"/>
        <v>0</v>
      </c>
      <c r="L134" s="12"/>
      <c r="M134" s="13">
        <f t="shared" si="162"/>
        <v>0</v>
      </c>
      <c r="N134" s="12"/>
      <c r="O134" s="13">
        <f t="shared" si="163"/>
        <v>0</v>
      </c>
      <c r="P134" s="12"/>
      <c r="Q134" s="13">
        <f t="shared" si="164"/>
        <v>0</v>
      </c>
      <c r="R134" s="12"/>
      <c r="S134" s="13">
        <f t="shared" si="165"/>
        <v>0</v>
      </c>
      <c r="T134" s="12"/>
      <c r="U134" s="13">
        <f t="shared" si="166"/>
        <v>0</v>
      </c>
      <c r="V134" s="12"/>
      <c r="W134" s="13">
        <f t="shared" si="167"/>
        <v>0</v>
      </c>
      <c r="X134" s="12"/>
      <c r="Y134" s="13">
        <f t="shared" si="168"/>
        <v>0</v>
      </c>
      <c r="Z134" s="12"/>
      <c r="AA134" s="13">
        <f t="shared" si="169"/>
        <v>0</v>
      </c>
      <c r="AB134" s="12"/>
      <c r="AC134" s="13">
        <f t="shared" si="170"/>
        <v>0</v>
      </c>
      <c r="AD134" s="12"/>
      <c r="AE134" s="13">
        <f t="shared" si="171"/>
        <v>0</v>
      </c>
      <c r="AF134" s="14">
        <f t="shared" si="100"/>
        <v>0</v>
      </c>
      <c r="AG134" s="15">
        <f t="shared" si="172"/>
        <v>0</v>
      </c>
      <c r="AH134" s="16"/>
      <c r="AI134" s="13">
        <f t="shared" si="173"/>
        <v>0</v>
      </c>
      <c r="AJ134" s="17"/>
      <c r="AK134" s="13">
        <f t="shared" si="174"/>
        <v>0</v>
      </c>
      <c r="AL134" s="17"/>
      <c r="AM134" s="13">
        <f t="shared" si="175"/>
        <v>0</v>
      </c>
      <c r="AN134" s="18"/>
      <c r="AO134" s="13">
        <f t="shared" si="176"/>
        <v>0</v>
      </c>
      <c r="AP134" s="17"/>
      <c r="AQ134" s="13">
        <f t="shared" si="177"/>
        <v>0</v>
      </c>
      <c r="AR134" s="17"/>
      <c r="AS134" s="13">
        <f t="shared" si="178"/>
        <v>0</v>
      </c>
      <c r="AT134" s="19"/>
      <c r="AU134" s="13">
        <f t="shared" si="179"/>
        <v>0</v>
      </c>
      <c r="AV134" s="17"/>
      <c r="AW134" s="13">
        <f t="shared" si="180"/>
        <v>0</v>
      </c>
      <c r="AX134" s="17"/>
      <c r="AY134" s="13">
        <f t="shared" si="181"/>
        <v>0</v>
      </c>
      <c r="AZ134" s="19"/>
      <c r="BA134" s="13">
        <f t="shared" si="182"/>
        <v>0</v>
      </c>
      <c r="BB134" s="20"/>
      <c r="BC134" s="13">
        <f t="shared" si="190"/>
        <v>0</v>
      </c>
      <c r="BD134" s="20"/>
      <c r="BE134" s="13">
        <f t="shared" si="183"/>
        <v>0</v>
      </c>
      <c r="BF134" s="14">
        <f t="shared" si="101"/>
        <v>0</v>
      </c>
      <c r="BG134" s="15">
        <f t="shared" si="184"/>
        <v>0</v>
      </c>
      <c r="BH134" s="18"/>
      <c r="BI134" s="57">
        <f t="shared" si="129"/>
        <v>0</v>
      </c>
      <c r="BJ134" s="18"/>
      <c r="BK134" s="57">
        <f t="shared" si="130"/>
        <v>0</v>
      </c>
      <c r="BL134" s="18"/>
      <c r="BM134" s="57">
        <f t="shared" si="131"/>
        <v>0</v>
      </c>
      <c r="BN134" s="18"/>
      <c r="BO134" s="57">
        <f t="shared" si="132"/>
        <v>0</v>
      </c>
      <c r="BP134" s="18"/>
      <c r="BQ134" s="57">
        <f t="shared" si="133"/>
        <v>0</v>
      </c>
      <c r="BR134" s="18"/>
      <c r="BS134" s="57">
        <f t="shared" si="134"/>
        <v>0</v>
      </c>
      <c r="BT134" s="18"/>
      <c r="BU134" s="57">
        <f t="shared" si="135"/>
        <v>0</v>
      </c>
      <c r="BV134" s="18"/>
      <c r="BW134" s="57">
        <f t="shared" si="136"/>
        <v>0</v>
      </c>
      <c r="BX134" s="18"/>
      <c r="BY134" s="57">
        <f t="shared" si="137"/>
        <v>0</v>
      </c>
      <c r="BZ134" s="18"/>
      <c r="CA134" s="57">
        <f t="shared" si="138"/>
        <v>0</v>
      </c>
      <c r="CB134" s="18"/>
      <c r="CC134" s="57">
        <f t="shared" si="139"/>
        <v>0</v>
      </c>
      <c r="CD134" s="18"/>
      <c r="CE134" s="57">
        <f t="shared" si="140"/>
        <v>0</v>
      </c>
      <c r="CF134" s="14">
        <f t="shared" si="102"/>
        <v>0</v>
      </c>
      <c r="CG134" s="15">
        <f t="shared" si="185"/>
        <v>0</v>
      </c>
      <c r="CH134" s="12"/>
      <c r="CI134" s="13">
        <f t="shared" si="75"/>
        <v>0</v>
      </c>
      <c r="CJ134" s="12"/>
      <c r="CK134" s="13">
        <f t="shared" si="76"/>
        <v>0</v>
      </c>
      <c r="CL134" s="12"/>
      <c r="CM134" s="13">
        <f t="shared" si="77"/>
        <v>0</v>
      </c>
      <c r="CN134" s="12"/>
      <c r="CO134" s="13">
        <f t="shared" si="78"/>
        <v>0</v>
      </c>
      <c r="CP134" s="12"/>
      <c r="CQ134" s="13">
        <f t="shared" si="79"/>
        <v>0</v>
      </c>
      <c r="CR134" s="12"/>
      <c r="CS134" s="13">
        <f t="shared" si="80"/>
        <v>0</v>
      </c>
      <c r="CT134" s="12"/>
      <c r="CU134" s="13">
        <f t="shared" si="81"/>
        <v>0</v>
      </c>
      <c r="CV134" s="12"/>
      <c r="CW134" s="13">
        <f t="shared" si="82"/>
        <v>0</v>
      </c>
      <c r="CX134" s="12"/>
      <c r="CY134" s="13">
        <f t="shared" si="83"/>
        <v>0</v>
      </c>
      <c r="CZ134" s="12"/>
      <c r="DA134" s="13">
        <f t="shared" si="84"/>
        <v>0</v>
      </c>
      <c r="DB134" s="12"/>
      <c r="DC134" s="13">
        <f t="shared" si="85"/>
        <v>0</v>
      </c>
      <c r="DD134" s="12"/>
      <c r="DE134" s="13">
        <f t="shared" si="86"/>
        <v>0</v>
      </c>
      <c r="DF134" s="64">
        <f t="shared" si="87"/>
        <v>0</v>
      </c>
      <c r="DG134" s="15">
        <f t="shared" si="88"/>
        <v>0</v>
      </c>
      <c r="DH134" s="12"/>
      <c r="DI134" s="13">
        <f t="shared" si="191"/>
        <v>0</v>
      </c>
      <c r="DJ134" s="12"/>
      <c r="DK134" s="13">
        <f t="shared" si="90"/>
        <v>0</v>
      </c>
      <c r="DL134" s="12"/>
      <c r="DM134" s="13">
        <f t="shared" si="192"/>
        <v>0</v>
      </c>
      <c r="DN134" s="12"/>
      <c r="DO134" s="13">
        <f t="shared" si="193"/>
        <v>0</v>
      </c>
      <c r="DP134" s="12"/>
      <c r="DQ134" s="13">
        <f t="shared" si="91"/>
        <v>0</v>
      </c>
      <c r="DR134" s="12"/>
      <c r="DS134" s="13">
        <f t="shared" si="197"/>
        <v>0</v>
      </c>
      <c r="DT134" s="12"/>
      <c r="DU134" s="13">
        <f t="shared" si="196"/>
        <v>0</v>
      </c>
      <c r="DV134" s="12"/>
      <c r="DW134" s="13">
        <f t="shared" si="93"/>
        <v>0</v>
      </c>
      <c r="DX134" s="12"/>
      <c r="DY134" s="13">
        <f t="shared" si="94"/>
        <v>0</v>
      </c>
      <c r="DZ134" s="12"/>
      <c r="EA134" s="13">
        <f t="shared" si="95"/>
        <v>0</v>
      </c>
      <c r="EB134" s="12"/>
      <c r="EC134" s="13">
        <f t="shared" si="194"/>
        <v>0</v>
      </c>
      <c r="ED134" s="12"/>
      <c r="EE134" s="13">
        <f t="shared" si="96"/>
        <v>0</v>
      </c>
      <c r="EF134" s="24">
        <f t="shared" si="187"/>
        <v>0</v>
      </c>
      <c r="EG134" s="13">
        <f t="shared" si="98"/>
        <v>0</v>
      </c>
    </row>
    <row r="135" spans="1:137" ht="18" customHeight="1" x14ac:dyDescent="0.5">
      <c r="A135" s="10">
        <v>109</v>
      </c>
      <c r="B135" s="11" t="s">
        <v>97</v>
      </c>
      <c r="C135" s="11" t="s">
        <v>14</v>
      </c>
      <c r="D135" s="10">
        <f t="shared" si="188"/>
        <v>21</v>
      </c>
      <c r="E135" s="10">
        <v>0.64</v>
      </c>
      <c r="F135" s="10" t="s">
        <v>25</v>
      </c>
      <c r="G135" s="10"/>
      <c r="H135" s="12"/>
      <c r="I135" s="13">
        <f t="shared" si="195"/>
        <v>0</v>
      </c>
      <c r="J135" s="12"/>
      <c r="K135" s="13">
        <f t="shared" si="189"/>
        <v>0</v>
      </c>
      <c r="L135" s="12"/>
      <c r="M135" s="13">
        <f t="shared" si="162"/>
        <v>0</v>
      </c>
      <c r="N135" s="12"/>
      <c r="O135" s="13">
        <f t="shared" si="163"/>
        <v>0</v>
      </c>
      <c r="P135" s="12"/>
      <c r="Q135" s="13">
        <f t="shared" si="164"/>
        <v>0</v>
      </c>
      <c r="R135" s="12"/>
      <c r="S135" s="13">
        <f t="shared" si="165"/>
        <v>0</v>
      </c>
      <c r="T135" s="12"/>
      <c r="U135" s="13">
        <f t="shared" si="166"/>
        <v>0</v>
      </c>
      <c r="V135" s="12"/>
      <c r="W135" s="13">
        <f t="shared" si="167"/>
        <v>0</v>
      </c>
      <c r="X135" s="12"/>
      <c r="Y135" s="13">
        <f t="shared" si="168"/>
        <v>0</v>
      </c>
      <c r="Z135" s="12"/>
      <c r="AA135" s="13">
        <f t="shared" si="169"/>
        <v>0</v>
      </c>
      <c r="AB135" s="12"/>
      <c r="AC135" s="13">
        <f t="shared" si="170"/>
        <v>0</v>
      </c>
      <c r="AD135" s="12"/>
      <c r="AE135" s="13">
        <f t="shared" si="171"/>
        <v>0</v>
      </c>
      <c r="AF135" s="14">
        <f t="shared" si="100"/>
        <v>0</v>
      </c>
      <c r="AG135" s="15">
        <f t="shared" si="172"/>
        <v>0</v>
      </c>
      <c r="AH135" s="16"/>
      <c r="AI135" s="13">
        <f t="shared" si="173"/>
        <v>0</v>
      </c>
      <c r="AJ135" s="17"/>
      <c r="AK135" s="13">
        <f t="shared" si="174"/>
        <v>0</v>
      </c>
      <c r="AL135" s="17"/>
      <c r="AM135" s="13">
        <f t="shared" si="175"/>
        <v>0</v>
      </c>
      <c r="AN135" s="18"/>
      <c r="AO135" s="13">
        <f t="shared" si="176"/>
        <v>0</v>
      </c>
      <c r="AP135" s="17"/>
      <c r="AQ135" s="13">
        <f t="shared" si="177"/>
        <v>0</v>
      </c>
      <c r="AR135" s="17"/>
      <c r="AS135" s="13">
        <f t="shared" si="178"/>
        <v>0</v>
      </c>
      <c r="AT135" s="19"/>
      <c r="AU135" s="13">
        <f t="shared" si="179"/>
        <v>0</v>
      </c>
      <c r="AV135" s="17"/>
      <c r="AW135" s="13">
        <f t="shared" si="180"/>
        <v>0</v>
      </c>
      <c r="AX135" s="17"/>
      <c r="AY135" s="13">
        <f t="shared" si="181"/>
        <v>0</v>
      </c>
      <c r="AZ135" s="19"/>
      <c r="BA135" s="13">
        <f t="shared" si="182"/>
        <v>0</v>
      </c>
      <c r="BB135" s="20"/>
      <c r="BC135" s="13">
        <f t="shared" si="190"/>
        <v>0</v>
      </c>
      <c r="BD135" s="20"/>
      <c r="BE135" s="13">
        <f t="shared" si="183"/>
        <v>0</v>
      </c>
      <c r="BF135" s="14">
        <f t="shared" si="101"/>
        <v>0</v>
      </c>
      <c r="BG135" s="15">
        <f t="shared" si="184"/>
        <v>0</v>
      </c>
      <c r="BH135" s="18"/>
      <c r="BI135" s="57">
        <f t="shared" si="129"/>
        <v>0</v>
      </c>
      <c r="BJ135" s="18"/>
      <c r="BK135" s="57">
        <f t="shared" si="130"/>
        <v>0</v>
      </c>
      <c r="BL135" s="18"/>
      <c r="BM135" s="57">
        <f t="shared" si="131"/>
        <v>0</v>
      </c>
      <c r="BN135" s="18"/>
      <c r="BO135" s="57">
        <f t="shared" si="132"/>
        <v>0</v>
      </c>
      <c r="BP135" s="18"/>
      <c r="BQ135" s="57">
        <f t="shared" si="133"/>
        <v>0</v>
      </c>
      <c r="BR135" s="18"/>
      <c r="BS135" s="57">
        <f t="shared" si="134"/>
        <v>0</v>
      </c>
      <c r="BT135" s="18"/>
      <c r="BU135" s="57">
        <f t="shared" si="135"/>
        <v>0</v>
      </c>
      <c r="BV135" s="18"/>
      <c r="BW135" s="57">
        <f t="shared" si="136"/>
        <v>0</v>
      </c>
      <c r="BX135" s="18"/>
      <c r="BY135" s="57">
        <f t="shared" si="137"/>
        <v>0</v>
      </c>
      <c r="BZ135" s="18"/>
      <c r="CA135" s="57">
        <f t="shared" si="138"/>
        <v>0</v>
      </c>
      <c r="CB135" s="18"/>
      <c r="CC135" s="57">
        <f t="shared" si="139"/>
        <v>0</v>
      </c>
      <c r="CD135" s="18"/>
      <c r="CE135" s="57">
        <f t="shared" si="140"/>
        <v>0</v>
      </c>
      <c r="CF135" s="14">
        <f t="shared" si="102"/>
        <v>0</v>
      </c>
      <c r="CG135" s="15">
        <f t="shared" si="185"/>
        <v>0</v>
      </c>
      <c r="CH135" s="12"/>
      <c r="CI135" s="13">
        <f t="shared" si="75"/>
        <v>0</v>
      </c>
      <c r="CJ135" s="12"/>
      <c r="CK135" s="13">
        <f t="shared" si="76"/>
        <v>0</v>
      </c>
      <c r="CL135" s="12"/>
      <c r="CM135" s="13">
        <f t="shared" si="77"/>
        <v>0</v>
      </c>
      <c r="CN135" s="12"/>
      <c r="CO135" s="13">
        <f t="shared" si="78"/>
        <v>0</v>
      </c>
      <c r="CP135" s="12"/>
      <c r="CQ135" s="13">
        <f t="shared" si="79"/>
        <v>0</v>
      </c>
      <c r="CR135" s="12"/>
      <c r="CS135" s="13">
        <f t="shared" si="80"/>
        <v>0</v>
      </c>
      <c r="CT135" s="12"/>
      <c r="CU135" s="13">
        <f t="shared" si="81"/>
        <v>0</v>
      </c>
      <c r="CV135" s="12"/>
      <c r="CW135" s="13">
        <f t="shared" si="82"/>
        <v>0</v>
      </c>
      <c r="CX135" s="12"/>
      <c r="CY135" s="13">
        <f t="shared" si="83"/>
        <v>0</v>
      </c>
      <c r="CZ135" s="12"/>
      <c r="DA135" s="13">
        <f t="shared" si="84"/>
        <v>0</v>
      </c>
      <c r="DB135" s="12"/>
      <c r="DC135" s="13">
        <f t="shared" si="85"/>
        <v>0</v>
      </c>
      <c r="DD135" s="12"/>
      <c r="DE135" s="13">
        <f t="shared" si="86"/>
        <v>0</v>
      </c>
      <c r="DF135" s="64">
        <f t="shared" si="87"/>
        <v>0</v>
      </c>
      <c r="DG135" s="15">
        <f t="shared" si="88"/>
        <v>0</v>
      </c>
      <c r="DH135" s="12"/>
      <c r="DI135" s="13">
        <f t="shared" si="191"/>
        <v>0</v>
      </c>
      <c r="DJ135" s="12"/>
      <c r="DK135" s="13">
        <f t="shared" ref="DK135:DK147" si="198">DJ135*$E135</f>
        <v>0</v>
      </c>
      <c r="DL135" s="12"/>
      <c r="DM135" s="13">
        <f t="shared" si="192"/>
        <v>0</v>
      </c>
      <c r="DN135" s="12"/>
      <c r="DO135" s="13">
        <f t="shared" si="193"/>
        <v>0</v>
      </c>
      <c r="DP135" s="12"/>
      <c r="DQ135" s="13">
        <f t="shared" si="91"/>
        <v>0</v>
      </c>
      <c r="DR135" s="12"/>
      <c r="DS135" s="13">
        <f t="shared" si="197"/>
        <v>0</v>
      </c>
      <c r="DT135" s="12"/>
      <c r="DU135" s="13">
        <f t="shared" si="196"/>
        <v>0</v>
      </c>
      <c r="DV135" s="12"/>
      <c r="DW135" s="13">
        <f t="shared" si="93"/>
        <v>0</v>
      </c>
      <c r="DX135" s="12"/>
      <c r="DY135" s="13">
        <f t="shared" si="94"/>
        <v>0</v>
      </c>
      <c r="DZ135" s="12"/>
      <c r="EA135" s="13">
        <f t="shared" si="95"/>
        <v>0</v>
      </c>
      <c r="EB135" s="12"/>
      <c r="EC135" s="13">
        <f t="shared" si="194"/>
        <v>0</v>
      </c>
      <c r="ED135" s="12"/>
      <c r="EE135" s="13">
        <f t="shared" si="96"/>
        <v>0</v>
      </c>
      <c r="EF135" s="24">
        <f t="shared" si="187"/>
        <v>0</v>
      </c>
      <c r="EG135" s="13">
        <f t="shared" si="98"/>
        <v>0</v>
      </c>
    </row>
    <row r="136" spans="1:137" ht="18" customHeight="1" x14ac:dyDescent="0.5">
      <c r="A136" s="10">
        <v>110</v>
      </c>
      <c r="B136" s="11" t="s">
        <v>98</v>
      </c>
      <c r="C136" s="11" t="s">
        <v>14</v>
      </c>
      <c r="D136" s="10">
        <f t="shared" si="188"/>
        <v>21</v>
      </c>
      <c r="E136" s="10">
        <v>0.64</v>
      </c>
      <c r="F136" s="10" t="s">
        <v>25</v>
      </c>
      <c r="G136" s="10"/>
      <c r="H136" s="12"/>
      <c r="I136" s="13">
        <f t="shared" si="195"/>
        <v>0</v>
      </c>
      <c r="J136" s="12"/>
      <c r="K136" s="13">
        <f t="shared" si="189"/>
        <v>0</v>
      </c>
      <c r="L136" s="12"/>
      <c r="M136" s="13">
        <f t="shared" si="162"/>
        <v>0</v>
      </c>
      <c r="N136" s="12"/>
      <c r="O136" s="13">
        <f t="shared" si="163"/>
        <v>0</v>
      </c>
      <c r="P136" s="12"/>
      <c r="Q136" s="13">
        <f t="shared" si="164"/>
        <v>0</v>
      </c>
      <c r="R136" s="12"/>
      <c r="S136" s="13">
        <f t="shared" si="165"/>
        <v>0</v>
      </c>
      <c r="T136" s="12"/>
      <c r="U136" s="13">
        <f t="shared" si="166"/>
        <v>0</v>
      </c>
      <c r="V136" s="12"/>
      <c r="W136" s="13">
        <f t="shared" si="167"/>
        <v>0</v>
      </c>
      <c r="X136" s="12"/>
      <c r="Y136" s="13">
        <f t="shared" si="168"/>
        <v>0</v>
      </c>
      <c r="Z136" s="12"/>
      <c r="AA136" s="13">
        <f t="shared" si="169"/>
        <v>0</v>
      </c>
      <c r="AB136" s="12"/>
      <c r="AC136" s="13">
        <f t="shared" si="170"/>
        <v>0</v>
      </c>
      <c r="AD136" s="12"/>
      <c r="AE136" s="13">
        <f t="shared" si="171"/>
        <v>0</v>
      </c>
      <c r="AF136" s="14">
        <f t="shared" si="100"/>
        <v>0</v>
      </c>
      <c r="AG136" s="15">
        <f t="shared" si="172"/>
        <v>0</v>
      </c>
      <c r="AH136" s="16"/>
      <c r="AI136" s="13">
        <f t="shared" si="173"/>
        <v>0</v>
      </c>
      <c r="AJ136" s="17"/>
      <c r="AK136" s="13">
        <f t="shared" si="174"/>
        <v>0</v>
      </c>
      <c r="AL136" s="17"/>
      <c r="AM136" s="13">
        <f t="shared" si="175"/>
        <v>0</v>
      </c>
      <c r="AN136" s="18"/>
      <c r="AO136" s="13">
        <f t="shared" si="176"/>
        <v>0</v>
      </c>
      <c r="AP136" s="17"/>
      <c r="AQ136" s="13">
        <f t="shared" si="177"/>
        <v>0</v>
      </c>
      <c r="AR136" s="17"/>
      <c r="AS136" s="13">
        <f t="shared" si="178"/>
        <v>0</v>
      </c>
      <c r="AT136" s="19"/>
      <c r="AU136" s="13">
        <f t="shared" si="179"/>
        <v>0</v>
      </c>
      <c r="AV136" s="17"/>
      <c r="AW136" s="13">
        <f t="shared" si="180"/>
        <v>0</v>
      </c>
      <c r="AX136" s="17"/>
      <c r="AY136" s="13">
        <f t="shared" si="181"/>
        <v>0</v>
      </c>
      <c r="AZ136" s="19"/>
      <c r="BA136" s="13">
        <f t="shared" si="182"/>
        <v>0</v>
      </c>
      <c r="BB136" s="20"/>
      <c r="BC136" s="13">
        <f t="shared" si="190"/>
        <v>0</v>
      </c>
      <c r="BD136" s="20"/>
      <c r="BE136" s="13">
        <f t="shared" si="183"/>
        <v>0</v>
      </c>
      <c r="BF136" s="14">
        <f t="shared" si="101"/>
        <v>0</v>
      </c>
      <c r="BG136" s="15">
        <f t="shared" si="184"/>
        <v>0</v>
      </c>
      <c r="BH136" s="18"/>
      <c r="BI136" s="57">
        <f t="shared" si="129"/>
        <v>0</v>
      </c>
      <c r="BJ136" s="18"/>
      <c r="BK136" s="57">
        <f t="shared" si="130"/>
        <v>0</v>
      </c>
      <c r="BL136" s="18"/>
      <c r="BM136" s="57">
        <f t="shared" si="131"/>
        <v>0</v>
      </c>
      <c r="BN136" s="18"/>
      <c r="BO136" s="57">
        <f t="shared" si="132"/>
        <v>0</v>
      </c>
      <c r="BP136" s="18"/>
      <c r="BQ136" s="57">
        <f t="shared" si="133"/>
        <v>0</v>
      </c>
      <c r="BR136" s="18"/>
      <c r="BS136" s="57">
        <f t="shared" si="134"/>
        <v>0</v>
      </c>
      <c r="BT136" s="18"/>
      <c r="BU136" s="57">
        <f t="shared" si="135"/>
        <v>0</v>
      </c>
      <c r="BV136" s="18"/>
      <c r="BW136" s="57">
        <f t="shared" si="136"/>
        <v>0</v>
      </c>
      <c r="BX136" s="18"/>
      <c r="BY136" s="57">
        <f t="shared" si="137"/>
        <v>0</v>
      </c>
      <c r="BZ136" s="18"/>
      <c r="CA136" s="57">
        <f t="shared" si="138"/>
        <v>0</v>
      </c>
      <c r="CB136" s="18"/>
      <c r="CC136" s="57">
        <f t="shared" si="139"/>
        <v>0</v>
      </c>
      <c r="CD136" s="18"/>
      <c r="CE136" s="57">
        <f t="shared" si="140"/>
        <v>0</v>
      </c>
      <c r="CF136" s="14">
        <f t="shared" si="102"/>
        <v>0</v>
      </c>
      <c r="CG136" s="15">
        <f t="shared" si="185"/>
        <v>0</v>
      </c>
      <c r="CH136" s="12"/>
      <c r="CI136" s="13">
        <f t="shared" si="75"/>
        <v>0</v>
      </c>
      <c r="CJ136" s="12"/>
      <c r="CK136" s="13">
        <f t="shared" si="76"/>
        <v>0</v>
      </c>
      <c r="CL136" s="12"/>
      <c r="CM136" s="13">
        <f t="shared" si="77"/>
        <v>0</v>
      </c>
      <c r="CN136" s="12"/>
      <c r="CO136" s="13">
        <f t="shared" si="78"/>
        <v>0</v>
      </c>
      <c r="CP136" s="12"/>
      <c r="CQ136" s="13">
        <f t="shared" si="79"/>
        <v>0</v>
      </c>
      <c r="CR136" s="12"/>
      <c r="CS136" s="13">
        <f t="shared" si="80"/>
        <v>0</v>
      </c>
      <c r="CT136" s="12"/>
      <c r="CU136" s="13">
        <f t="shared" si="81"/>
        <v>0</v>
      </c>
      <c r="CV136" s="12"/>
      <c r="CW136" s="13">
        <f t="shared" si="82"/>
        <v>0</v>
      </c>
      <c r="CX136" s="12"/>
      <c r="CY136" s="13">
        <f t="shared" si="83"/>
        <v>0</v>
      </c>
      <c r="CZ136" s="12"/>
      <c r="DA136" s="13">
        <f t="shared" si="84"/>
        <v>0</v>
      </c>
      <c r="DB136" s="12"/>
      <c r="DC136" s="13">
        <f t="shared" si="85"/>
        <v>0</v>
      </c>
      <c r="DD136" s="12"/>
      <c r="DE136" s="13">
        <f t="shared" si="86"/>
        <v>0</v>
      </c>
      <c r="DF136" s="64">
        <f t="shared" si="87"/>
        <v>0</v>
      </c>
      <c r="DG136" s="15">
        <f t="shared" si="88"/>
        <v>0</v>
      </c>
      <c r="DH136" s="12"/>
      <c r="DI136" s="13">
        <f t="shared" si="191"/>
        <v>0</v>
      </c>
      <c r="DJ136" s="12"/>
      <c r="DK136" s="13">
        <f t="shared" si="198"/>
        <v>0</v>
      </c>
      <c r="DL136" s="12"/>
      <c r="DM136" s="13">
        <f t="shared" si="192"/>
        <v>0</v>
      </c>
      <c r="DN136" s="12"/>
      <c r="DO136" s="13">
        <f t="shared" si="193"/>
        <v>0</v>
      </c>
      <c r="DP136" s="12"/>
      <c r="DQ136" s="13">
        <f t="shared" si="91"/>
        <v>0</v>
      </c>
      <c r="DR136" s="12"/>
      <c r="DS136" s="13">
        <f t="shared" si="197"/>
        <v>0</v>
      </c>
      <c r="DT136" s="12"/>
      <c r="DU136" s="13">
        <f t="shared" si="196"/>
        <v>0</v>
      </c>
      <c r="DV136" s="12"/>
      <c r="DW136" s="13">
        <f t="shared" si="93"/>
        <v>0</v>
      </c>
      <c r="DX136" s="12"/>
      <c r="DY136" s="13">
        <f t="shared" si="94"/>
        <v>0</v>
      </c>
      <c r="DZ136" s="12"/>
      <c r="EA136" s="13">
        <f t="shared" si="95"/>
        <v>0</v>
      </c>
      <c r="EB136" s="12"/>
      <c r="EC136" s="13">
        <f t="shared" si="194"/>
        <v>0</v>
      </c>
      <c r="ED136" s="12"/>
      <c r="EE136" s="13">
        <f t="shared" si="96"/>
        <v>0</v>
      </c>
      <c r="EF136" s="24">
        <f t="shared" si="187"/>
        <v>0</v>
      </c>
      <c r="EG136" s="13">
        <f t="shared" si="98"/>
        <v>0</v>
      </c>
    </row>
    <row r="137" spans="1:137" ht="18" customHeight="1" x14ac:dyDescent="0.5">
      <c r="A137" s="10">
        <v>111</v>
      </c>
      <c r="B137" s="11" t="s">
        <v>99</v>
      </c>
      <c r="C137" s="11" t="s">
        <v>14</v>
      </c>
      <c r="D137" s="10">
        <f t="shared" si="188"/>
        <v>21</v>
      </c>
      <c r="E137" s="10">
        <v>0.64</v>
      </c>
      <c r="F137" s="10" t="s">
        <v>23</v>
      </c>
      <c r="G137" s="10"/>
      <c r="H137" s="12"/>
      <c r="I137" s="13">
        <f t="shared" si="195"/>
        <v>0</v>
      </c>
      <c r="J137" s="12"/>
      <c r="K137" s="13">
        <f t="shared" si="189"/>
        <v>0</v>
      </c>
      <c r="L137" s="12"/>
      <c r="M137" s="13">
        <f t="shared" si="162"/>
        <v>0</v>
      </c>
      <c r="N137" s="12"/>
      <c r="O137" s="13">
        <f t="shared" si="163"/>
        <v>0</v>
      </c>
      <c r="P137" s="12"/>
      <c r="Q137" s="13">
        <f t="shared" si="164"/>
        <v>0</v>
      </c>
      <c r="R137" s="12"/>
      <c r="S137" s="13">
        <f t="shared" si="165"/>
        <v>0</v>
      </c>
      <c r="T137" s="12"/>
      <c r="U137" s="13">
        <f t="shared" si="166"/>
        <v>0</v>
      </c>
      <c r="V137" s="12"/>
      <c r="W137" s="13">
        <f t="shared" si="167"/>
        <v>0</v>
      </c>
      <c r="X137" s="12"/>
      <c r="Y137" s="13">
        <f t="shared" si="168"/>
        <v>0</v>
      </c>
      <c r="Z137" s="12"/>
      <c r="AA137" s="13">
        <f t="shared" si="169"/>
        <v>0</v>
      </c>
      <c r="AB137" s="12"/>
      <c r="AC137" s="13">
        <f t="shared" si="170"/>
        <v>0</v>
      </c>
      <c r="AD137" s="12"/>
      <c r="AE137" s="13">
        <f t="shared" si="171"/>
        <v>0</v>
      </c>
      <c r="AF137" s="14">
        <f t="shared" si="100"/>
        <v>0</v>
      </c>
      <c r="AG137" s="15">
        <f t="shared" si="172"/>
        <v>0</v>
      </c>
      <c r="AH137" s="16"/>
      <c r="AI137" s="13">
        <f t="shared" si="173"/>
        <v>0</v>
      </c>
      <c r="AJ137" s="17"/>
      <c r="AK137" s="13">
        <f t="shared" si="174"/>
        <v>0</v>
      </c>
      <c r="AL137" s="17"/>
      <c r="AM137" s="13">
        <f t="shared" si="175"/>
        <v>0</v>
      </c>
      <c r="AN137" s="18"/>
      <c r="AO137" s="13">
        <f t="shared" si="176"/>
        <v>0</v>
      </c>
      <c r="AP137" s="17"/>
      <c r="AQ137" s="13">
        <f t="shared" si="177"/>
        <v>0</v>
      </c>
      <c r="AR137" s="17"/>
      <c r="AS137" s="13">
        <f t="shared" si="178"/>
        <v>0</v>
      </c>
      <c r="AT137" s="19"/>
      <c r="AU137" s="13">
        <f t="shared" si="179"/>
        <v>0</v>
      </c>
      <c r="AV137" s="17"/>
      <c r="AW137" s="13">
        <f t="shared" si="180"/>
        <v>0</v>
      </c>
      <c r="AX137" s="17"/>
      <c r="AY137" s="13">
        <f t="shared" si="181"/>
        <v>0</v>
      </c>
      <c r="AZ137" s="19"/>
      <c r="BA137" s="13">
        <f t="shared" si="182"/>
        <v>0</v>
      </c>
      <c r="BB137" s="20"/>
      <c r="BC137" s="13">
        <f t="shared" si="190"/>
        <v>0</v>
      </c>
      <c r="BD137" s="20"/>
      <c r="BE137" s="13">
        <f t="shared" si="183"/>
        <v>0</v>
      </c>
      <c r="BF137" s="14">
        <f t="shared" si="101"/>
        <v>0</v>
      </c>
      <c r="BG137" s="15">
        <f t="shared" si="184"/>
        <v>0</v>
      </c>
      <c r="BH137" s="18"/>
      <c r="BI137" s="57">
        <f t="shared" si="129"/>
        <v>0</v>
      </c>
      <c r="BJ137" s="18"/>
      <c r="BK137" s="57">
        <f t="shared" si="130"/>
        <v>0</v>
      </c>
      <c r="BL137" s="18"/>
      <c r="BM137" s="57">
        <f t="shared" si="131"/>
        <v>0</v>
      </c>
      <c r="BN137" s="18"/>
      <c r="BO137" s="57">
        <f t="shared" si="132"/>
        <v>0</v>
      </c>
      <c r="BP137" s="18"/>
      <c r="BQ137" s="57">
        <f t="shared" si="133"/>
        <v>0</v>
      </c>
      <c r="BR137" s="18"/>
      <c r="BS137" s="57">
        <f t="shared" si="134"/>
        <v>0</v>
      </c>
      <c r="BT137" s="18"/>
      <c r="BU137" s="57">
        <f t="shared" si="135"/>
        <v>0</v>
      </c>
      <c r="BV137" s="18"/>
      <c r="BW137" s="57">
        <f t="shared" si="136"/>
        <v>0</v>
      </c>
      <c r="BX137" s="18"/>
      <c r="BY137" s="57">
        <f t="shared" si="137"/>
        <v>0</v>
      </c>
      <c r="BZ137" s="18"/>
      <c r="CA137" s="57">
        <f t="shared" si="138"/>
        <v>0</v>
      </c>
      <c r="CB137" s="18"/>
      <c r="CC137" s="57">
        <f t="shared" si="139"/>
        <v>0</v>
      </c>
      <c r="CD137" s="18"/>
      <c r="CE137" s="57">
        <f t="shared" si="140"/>
        <v>0</v>
      </c>
      <c r="CF137" s="14">
        <f t="shared" si="102"/>
        <v>0</v>
      </c>
      <c r="CG137" s="15">
        <f t="shared" si="185"/>
        <v>0</v>
      </c>
      <c r="CH137" s="12"/>
      <c r="CI137" s="13">
        <f t="shared" si="75"/>
        <v>0</v>
      </c>
      <c r="CJ137" s="12"/>
      <c r="CK137" s="13">
        <f t="shared" si="76"/>
        <v>0</v>
      </c>
      <c r="CL137" s="12"/>
      <c r="CM137" s="13">
        <f t="shared" si="77"/>
        <v>0</v>
      </c>
      <c r="CN137" s="12"/>
      <c r="CO137" s="13">
        <f t="shared" si="78"/>
        <v>0</v>
      </c>
      <c r="CP137" s="12"/>
      <c r="CQ137" s="13">
        <f t="shared" si="79"/>
        <v>0</v>
      </c>
      <c r="CR137" s="12"/>
      <c r="CS137" s="13">
        <f t="shared" si="80"/>
        <v>0</v>
      </c>
      <c r="CT137" s="12"/>
      <c r="CU137" s="13">
        <f t="shared" si="81"/>
        <v>0</v>
      </c>
      <c r="CV137" s="12"/>
      <c r="CW137" s="13">
        <f t="shared" si="82"/>
        <v>0</v>
      </c>
      <c r="CX137" s="12"/>
      <c r="CY137" s="13">
        <f t="shared" si="83"/>
        <v>0</v>
      </c>
      <c r="CZ137" s="12"/>
      <c r="DA137" s="13">
        <f t="shared" si="84"/>
        <v>0</v>
      </c>
      <c r="DB137" s="12"/>
      <c r="DC137" s="13">
        <f t="shared" si="85"/>
        <v>0</v>
      </c>
      <c r="DD137" s="12"/>
      <c r="DE137" s="13">
        <f t="shared" ref="DE137:DE147" si="199">DD137*$E137</f>
        <v>0</v>
      </c>
      <c r="DF137" s="64">
        <f t="shared" ref="DF137:DF147" si="200">SUM(CH137,CJ137,CL137,CN137,CP137,CR137,CT137,CV137,CX137,CZ137,DB137,DD137)</f>
        <v>0</v>
      </c>
      <c r="DG137" s="15">
        <f t="shared" si="88"/>
        <v>0</v>
      </c>
      <c r="DH137" s="12"/>
      <c r="DI137" s="13">
        <f t="shared" si="191"/>
        <v>0</v>
      </c>
      <c r="DJ137" s="12"/>
      <c r="DK137" s="13">
        <f t="shared" si="198"/>
        <v>0</v>
      </c>
      <c r="DL137" s="12"/>
      <c r="DM137" s="13">
        <f t="shared" si="192"/>
        <v>0</v>
      </c>
      <c r="DN137" s="12"/>
      <c r="DO137" s="13">
        <f t="shared" si="193"/>
        <v>0</v>
      </c>
      <c r="DP137" s="12"/>
      <c r="DQ137" s="13">
        <f t="shared" si="91"/>
        <v>0</v>
      </c>
      <c r="DR137" s="12"/>
      <c r="DS137" s="13">
        <f t="shared" si="197"/>
        <v>0</v>
      </c>
      <c r="DT137" s="12"/>
      <c r="DU137" s="13">
        <f t="shared" si="196"/>
        <v>0</v>
      </c>
      <c r="DV137" s="12"/>
      <c r="DW137" s="13">
        <f t="shared" si="93"/>
        <v>0</v>
      </c>
      <c r="DX137" s="12"/>
      <c r="DY137" s="13">
        <f t="shared" si="94"/>
        <v>0</v>
      </c>
      <c r="DZ137" s="12"/>
      <c r="EA137" s="13">
        <f t="shared" si="95"/>
        <v>0</v>
      </c>
      <c r="EB137" s="12"/>
      <c r="EC137" s="13">
        <f t="shared" si="194"/>
        <v>0</v>
      </c>
      <c r="ED137" s="12"/>
      <c r="EE137" s="13">
        <f t="shared" ref="EE137:EE147" si="201">ED137*$E137</f>
        <v>0</v>
      </c>
      <c r="EF137" s="24">
        <f t="shared" ref="EF137:EF147" si="202">SUM(DH137,DJ137,DL137,DN137,DP137,DR137,DT137,DV137,DX137,DZ137,EB137,ED137)</f>
        <v>0</v>
      </c>
      <c r="EG137" s="13">
        <f t="shared" si="98"/>
        <v>0</v>
      </c>
    </row>
    <row r="138" spans="1:137" ht="18" x14ac:dyDescent="0.5">
      <c r="A138" s="10">
        <v>112</v>
      </c>
      <c r="B138" s="11" t="s">
        <v>100</v>
      </c>
      <c r="C138" s="11"/>
      <c r="D138" s="10"/>
      <c r="E138" s="10">
        <v>0.64</v>
      </c>
      <c r="F138" s="10"/>
      <c r="G138" s="10"/>
      <c r="H138" s="12"/>
      <c r="I138" s="13"/>
      <c r="J138" s="12"/>
      <c r="K138" s="13"/>
      <c r="L138" s="12"/>
      <c r="M138" s="13"/>
      <c r="N138" s="12"/>
      <c r="O138" s="13"/>
      <c r="P138" s="12"/>
      <c r="Q138" s="13"/>
      <c r="R138" s="12"/>
      <c r="S138" s="13"/>
      <c r="T138" s="12"/>
      <c r="U138" s="13"/>
      <c r="V138" s="12"/>
      <c r="W138" s="13"/>
      <c r="X138" s="12"/>
      <c r="Y138" s="13"/>
      <c r="Z138" s="12"/>
      <c r="AA138" s="13"/>
      <c r="AB138" s="12"/>
      <c r="AC138" s="13"/>
      <c r="AD138" s="12"/>
      <c r="AE138" s="13"/>
      <c r="AF138" s="14"/>
      <c r="AG138" s="15"/>
      <c r="AH138" s="12"/>
      <c r="AI138" s="13"/>
      <c r="AJ138" s="12"/>
      <c r="AK138" s="13"/>
      <c r="AL138" s="12"/>
      <c r="AM138" s="13"/>
      <c r="AN138" s="12"/>
      <c r="AO138" s="13"/>
      <c r="AP138" s="12"/>
      <c r="AQ138" s="13"/>
      <c r="AR138" s="12"/>
      <c r="AS138" s="13"/>
      <c r="AT138" s="12"/>
      <c r="AU138" s="13"/>
      <c r="AV138" s="12"/>
      <c r="AW138" s="13"/>
      <c r="AX138" s="12"/>
      <c r="AY138" s="13"/>
      <c r="AZ138" s="12"/>
      <c r="BA138" s="13"/>
      <c r="BB138" s="12"/>
      <c r="BC138" s="13"/>
      <c r="BD138" s="12"/>
      <c r="BE138" s="13"/>
      <c r="BF138" s="14"/>
      <c r="BG138" s="15"/>
      <c r="BH138" s="18"/>
      <c r="BI138" s="57"/>
      <c r="BJ138" s="18"/>
      <c r="BK138" s="57"/>
      <c r="BL138" s="18"/>
      <c r="BM138" s="57"/>
      <c r="BN138" s="18"/>
      <c r="BO138" s="57"/>
      <c r="BP138" s="18"/>
      <c r="BQ138" s="57"/>
      <c r="BR138" s="18"/>
      <c r="BS138" s="57"/>
      <c r="BT138" s="18"/>
      <c r="BU138" s="57"/>
      <c r="BV138" s="18"/>
      <c r="BW138" s="57"/>
      <c r="BX138" s="18"/>
      <c r="BY138" s="57"/>
      <c r="BZ138" s="18"/>
      <c r="CA138" s="57"/>
      <c r="CB138" s="18"/>
      <c r="CC138" s="57"/>
      <c r="CD138" s="18"/>
      <c r="CE138" s="57"/>
      <c r="CF138" s="14"/>
      <c r="CG138" s="15"/>
      <c r="CH138" s="31"/>
      <c r="CI138" s="13">
        <f t="shared" si="75"/>
        <v>0</v>
      </c>
      <c r="CJ138" s="12"/>
      <c r="CK138" s="13">
        <f t="shared" si="76"/>
        <v>0</v>
      </c>
      <c r="CL138" s="12"/>
      <c r="CM138" s="13">
        <f t="shared" si="77"/>
        <v>0</v>
      </c>
      <c r="CN138" s="12"/>
      <c r="CO138" s="13">
        <f t="shared" si="78"/>
        <v>0</v>
      </c>
      <c r="CP138" s="12"/>
      <c r="CQ138" s="13">
        <f t="shared" si="79"/>
        <v>0</v>
      </c>
      <c r="CR138" s="12"/>
      <c r="CS138" s="13">
        <f t="shared" si="80"/>
        <v>0</v>
      </c>
      <c r="CT138" s="12"/>
      <c r="CU138" s="13">
        <f t="shared" si="81"/>
        <v>0</v>
      </c>
      <c r="CV138" s="12"/>
      <c r="CW138" s="13">
        <f t="shared" si="82"/>
        <v>0</v>
      </c>
      <c r="CX138" s="12"/>
      <c r="CY138" s="13">
        <f t="shared" si="83"/>
        <v>0</v>
      </c>
      <c r="CZ138" s="12"/>
      <c r="DA138" s="13">
        <f t="shared" si="84"/>
        <v>0</v>
      </c>
      <c r="DB138" s="12"/>
      <c r="DC138" s="13">
        <f t="shared" si="85"/>
        <v>0</v>
      </c>
      <c r="DD138" s="12"/>
      <c r="DE138" s="13">
        <f t="shared" si="199"/>
        <v>0</v>
      </c>
      <c r="DF138" s="64">
        <f t="shared" si="200"/>
        <v>0</v>
      </c>
      <c r="DG138" s="15">
        <f t="shared" si="88"/>
        <v>0</v>
      </c>
      <c r="DH138" s="31"/>
      <c r="DI138" s="13">
        <f t="shared" si="191"/>
        <v>0</v>
      </c>
      <c r="DJ138" s="12"/>
      <c r="DK138" s="13">
        <f t="shared" si="198"/>
        <v>0</v>
      </c>
      <c r="DL138" s="12"/>
      <c r="DM138" s="13">
        <f t="shared" si="192"/>
        <v>0</v>
      </c>
      <c r="DN138" s="12"/>
      <c r="DO138" s="13">
        <f t="shared" si="193"/>
        <v>0</v>
      </c>
      <c r="DP138" s="12"/>
      <c r="DQ138" s="13">
        <f t="shared" si="91"/>
        <v>0</v>
      </c>
      <c r="DR138" s="12"/>
      <c r="DS138" s="13">
        <f t="shared" si="197"/>
        <v>0</v>
      </c>
      <c r="DT138" s="12"/>
      <c r="DU138" s="13">
        <f t="shared" si="196"/>
        <v>0</v>
      </c>
      <c r="DV138" s="12"/>
      <c r="DW138" s="13">
        <f t="shared" si="93"/>
        <v>0</v>
      </c>
      <c r="DX138" s="12"/>
      <c r="DY138" s="13">
        <f t="shared" si="94"/>
        <v>0</v>
      </c>
      <c r="DZ138" s="12"/>
      <c r="EA138" s="13">
        <f t="shared" si="95"/>
        <v>0</v>
      </c>
      <c r="EB138" s="12"/>
      <c r="EC138" s="13">
        <f t="shared" si="194"/>
        <v>0</v>
      </c>
      <c r="ED138" s="12"/>
      <c r="EE138" s="13">
        <f t="shared" si="201"/>
        <v>0</v>
      </c>
      <c r="EF138" s="24">
        <f t="shared" si="202"/>
        <v>0</v>
      </c>
      <c r="EG138" s="13">
        <f t="shared" si="98"/>
        <v>0</v>
      </c>
    </row>
    <row r="139" spans="1:137" ht="18" customHeight="1" x14ac:dyDescent="0.5">
      <c r="A139" s="10">
        <v>113</v>
      </c>
      <c r="B139" s="11" t="s">
        <v>101</v>
      </c>
      <c r="C139" s="11"/>
      <c r="D139" s="10">
        <f>RANK(DF139,$DF$4:$DF$147)</f>
        <v>21</v>
      </c>
      <c r="E139" s="10">
        <v>0.64</v>
      </c>
      <c r="F139" s="10" t="s">
        <v>102</v>
      </c>
      <c r="G139" s="10"/>
      <c r="H139" s="12"/>
      <c r="I139" s="13">
        <f t="shared" si="195"/>
        <v>0</v>
      </c>
      <c r="J139" s="12"/>
      <c r="K139" s="13">
        <f t="shared" si="189"/>
        <v>0</v>
      </c>
      <c r="L139" s="12"/>
      <c r="M139" s="13">
        <f t="shared" si="162"/>
        <v>0</v>
      </c>
      <c r="N139" s="12"/>
      <c r="O139" s="13">
        <f t="shared" si="163"/>
        <v>0</v>
      </c>
      <c r="P139" s="12"/>
      <c r="Q139" s="13">
        <f t="shared" si="164"/>
        <v>0</v>
      </c>
      <c r="R139" s="12"/>
      <c r="S139" s="13">
        <f t="shared" si="165"/>
        <v>0</v>
      </c>
      <c r="T139" s="12"/>
      <c r="U139" s="13">
        <f t="shared" si="166"/>
        <v>0</v>
      </c>
      <c r="V139" s="12"/>
      <c r="W139" s="13">
        <f t="shared" si="167"/>
        <v>0</v>
      </c>
      <c r="X139" s="12"/>
      <c r="Y139" s="13">
        <f t="shared" si="168"/>
        <v>0</v>
      </c>
      <c r="Z139" s="12"/>
      <c r="AA139" s="13">
        <f t="shared" si="169"/>
        <v>0</v>
      </c>
      <c r="AB139" s="12"/>
      <c r="AC139" s="13">
        <f t="shared" si="170"/>
        <v>0</v>
      </c>
      <c r="AD139" s="12"/>
      <c r="AE139" s="13">
        <f t="shared" si="171"/>
        <v>0</v>
      </c>
      <c r="AF139" s="14">
        <f t="shared" si="100"/>
        <v>0</v>
      </c>
      <c r="AG139" s="15">
        <f t="shared" si="172"/>
        <v>0</v>
      </c>
      <c r="AH139" s="16"/>
      <c r="AI139" s="13">
        <f t="shared" si="173"/>
        <v>0</v>
      </c>
      <c r="AJ139" s="17"/>
      <c r="AK139" s="13">
        <f t="shared" si="174"/>
        <v>0</v>
      </c>
      <c r="AL139" s="17"/>
      <c r="AM139" s="13">
        <f t="shared" si="175"/>
        <v>0</v>
      </c>
      <c r="AN139" s="18"/>
      <c r="AO139" s="13">
        <f t="shared" si="176"/>
        <v>0</v>
      </c>
      <c r="AP139" s="17"/>
      <c r="AQ139" s="13">
        <f t="shared" si="177"/>
        <v>0</v>
      </c>
      <c r="AR139" s="17"/>
      <c r="AS139" s="13">
        <f t="shared" si="178"/>
        <v>0</v>
      </c>
      <c r="AT139" s="19"/>
      <c r="AU139" s="13">
        <f t="shared" si="179"/>
        <v>0</v>
      </c>
      <c r="AV139" s="17"/>
      <c r="AW139" s="13">
        <f t="shared" si="180"/>
        <v>0</v>
      </c>
      <c r="AX139" s="17"/>
      <c r="AY139" s="13">
        <f t="shared" si="181"/>
        <v>0</v>
      </c>
      <c r="AZ139" s="19"/>
      <c r="BA139" s="13">
        <f t="shared" si="182"/>
        <v>0</v>
      </c>
      <c r="BB139" s="20"/>
      <c r="BC139" s="13">
        <f t="shared" si="190"/>
        <v>0</v>
      </c>
      <c r="BD139" s="20"/>
      <c r="BE139" s="13">
        <f t="shared" si="183"/>
        <v>0</v>
      </c>
      <c r="BF139" s="14">
        <f t="shared" si="101"/>
        <v>0</v>
      </c>
      <c r="BG139" s="15">
        <f t="shared" si="184"/>
        <v>0</v>
      </c>
      <c r="BH139" s="18"/>
      <c r="BI139" s="57">
        <f t="shared" si="129"/>
        <v>0</v>
      </c>
      <c r="BJ139" s="18"/>
      <c r="BK139" s="57">
        <f t="shared" si="130"/>
        <v>0</v>
      </c>
      <c r="BL139" s="18"/>
      <c r="BM139" s="57">
        <f t="shared" si="131"/>
        <v>0</v>
      </c>
      <c r="BN139" s="18"/>
      <c r="BO139" s="57">
        <f t="shared" si="132"/>
        <v>0</v>
      </c>
      <c r="BP139" s="18"/>
      <c r="BQ139" s="57">
        <f t="shared" si="133"/>
        <v>0</v>
      </c>
      <c r="BR139" s="18"/>
      <c r="BS139" s="57">
        <f t="shared" si="134"/>
        <v>0</v>
      </c>
      <c r="BT139" s="18"/>
      <c r="BU139" s="57">
        <f t="shared" si="135"/>
        <v>0</v>
      </c>
      <c r="BV139" s="18"/>
      <c r="BW139" s="57">
        <f t="shared" si="136"/>
        <v>0</v>
      </c>
      <c r="BX139" s="18"/>
      <c r="BY139" s="57">
        <f t="shared" si="137"/>
        <v>0</v>
      </c>
      <c r="BZ139" s="18"/>
      <c r="CA139" s="57">
        <f t="shared" si="138"/>
        <v>0</v>
      </c>
      <c r="CB139" s="18"/>
      <c r="CC139" s="57">
        <f t="shared" si="139"/>
        <v>0</v>
      </c>
      <c r="CD139" s="18"/>
      <c r="CE139" s="57">
        <f t="shared" si="140"/>
        <v>0</v>
      </c>
      <c r="CF139" s="14">
        <f t="shared" si="102"/>
        <v>0</v>
      </c>
      <c r="CG139" s="15">
        <f t="shared" si="185"/>
        <v>0</v>
      </c>
      <c r="CH139" s="12"/>
      <c r="CI139" s="13">
        <f t="shared" si="75"/>
        <v>0</v>
      </c>
      <c r="CJ139" s="12"/>
      <c r="CK139" s="13">
        <f t="shared" si="76"/>
        <v>0</v>
      </c>
      <c r="CL139" s="12"/>
      <c r="CM139" s="13">
        <f t="shared" si="77"/>
        <v>0</v>
      </c>
      <c r="CN139" s="12"/>
      <c r="CO139" s="13">
        <f t="shared" si="78"/>
        <v>0</v>
      </c>
      <c r="CP139" s="12"/>
      <c r="CQ139" s="13">
        <f t="shared" si="79"/>
        <v>0</v>
      </c>
      <c r="CR139" s="12"/>
      <c r="CS139" s="13">
        <f t="shared" si="80"/>
        <v>0</v>
      </c>
      <c r="CT139" s="12"/>
      <c r="CU139" s="13">
        <f t="shared" si="81"/>
        <v>0</v>
      </c>
      <c r="CV139" s="12"/>
      <c r="CW139" s="13">
        <f t="shared" si="82"/>
        <v>0</v>
      </c>
      <c r="CX139" s="12"/>
      <c r="CY139" s="13">
        <f t="shared" si="83"/>
        <v>0</v>
      </c>
      <c r="CZ139" s="12"/>
      <c r="DA139" s="13">
        <f t="shared" si="84"/>
        <v>0</v>
      </c>
      <c r="DB139" s="12"/>
      <c r="DC139" s="13">
        <f t="shared" si="85"/>
        <v>0</v>
      </c>
      <c r="DD139" s="12"/>
      <c r="DE139" s="13">
        <f t="shared" si="199"/>
        <v>0</v>
      </c>
      <c r="DF139" s="64">
        <f t="shared" si="200"/>
        <v>0</v>
      </c>
      <c r="DG139" s="15">
        <f t="shared" si="88"/>
        <v>0</v>
      </c>
      <c r="DH139" s="12"/>
      <c r="DI139" s="13">
        <f t="shared" si="191"/>
        <v>0</v>
      </c>
      <c r="DJ139" s="12"/>
      <c r="DK139" s="13">
        <f t="shared" si="198"/>
        <v>0</v>
      </c>
      <c r="DL139" s="12"/>
      <c r="DM139" s="13">
        <f t="shared" si="192"/>
        <v>0</v>
      </c>
      <c r="DN139" s="12"/>
      <c r="DO139" s="13">
        <f t="shared" si="193"/>
        <v>0</v>
      </c>
      <c r="DP139" s="12"/>
      <c r="DQ139" s="13">
        <f t="shared" si="91"/>
        <v>0</v>
      </c>
      <c r="DR139" s="12"/>
      <c r="DS139" s="13">
        <f t="shared" si="197"/>
        <v>0</v>
      </c>
      <c r="DT139" s="12"/>
      <c r="DU139" s="13">
        <f t="shared" si="196"/>
        <v>0</v>
      </c>
      <c r="DV139" s="12"/>
      <c r="DW139" s="13">
        <f t="shared" si="93"/>
        <v>0</v>
      </c>
      <c r="DX139" s="12"/>
      <c r="DY139" s="13">
        <f t="shared" si="94"/>
        <v>0</v>
      </c>
      <c r="DZ139" s="12"/>
      <c r="EA139" s="13">
        <f t="shared" si="95"/>
        <v>0</v>
      </c>
      <c r="EB139" s="12"/>
      <c r="EC139" s="13">
        <f t="shared" si="194"/>
        <v>0</v>
      </c>
      <c r="ED139" s="12"/>
      <c r="EE139" s="13">
        <f t="shared" si="201"/>
        <v>0</v>
      </c>
      <c r="EF139" s="24">
        <f t="shared" si="202"/>
        <v>0</v>
      </c>
      <c r="EG139" s="13">
        <f t="shared" si="98"/>
        <v>0</v>
      </c>
    </row>
    <row r="140" spans="1:137" ht="18" customHeight="1" x14ac:dyDescent="0.5">
      <c r="A140" s="10">
        <v>114</v>
      </c>
      <c r="B140" s="11" t="s">
        <v>140</v>
      </c>
      <c r="C140" s="11"/>
      <c r="D140" s="10"/>
      <c r="E140" s="10"/>
      <c r="F140" s="10"/>
      <c r="G140" s="10"/>
      <c r="H140" s="12"/>
      <c r="I140" s="13"/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4"/>
      <c r="AG140" s="15"/>
      <c r="AH140" s="16"/>
      <c r="AI140" s="13"/>
      <c r="AJ140" s="17"/>
      <c r="AK140" s="13"/>
      <c r="AL140" s="17"/>
      <c r="AM140" s="13"/>
      <c r="AN140" s="18"/>
      <c r="AO140" s="13"/>
      <c r="AP140" s="17"/>
      <c r="AQ140" s="13"/>
      <c r="AR140" s="17"/>
      <c r="AS140" s="13"/>
      <c r="AT140" s="19"/>
      <c r="AU140" s="13"/>
      <c r="AV140" s="17"/>
      <c r="AW140" s="13"/>
      <c r="AX140" s="17"/>
      <c r="AY140" s="13"/>
      <c r="AZ140" s="19"/>
      <c r="BA140" s="13"/>
      <c r="BB140" s="20"/>
      <c r="BC140" s="13"/>
      <c r="BD140" s="20"/>
      <c r="BE140" s="13"/>
      <c r="BF140" s="14"/>
      <c r="BG140" s="15"/>
      <c r="BH140" s="18"/>
      <c r="BI140" s="57"/>
      <c r="BJ140" s="18"/>
      <c r="BK140" s="57"/>
      <c r="BL140" s="18"/>
      <c r="BM140" s="57"/>
      <c r="BN140" s="18"/>
      <c r="BO140" s="57"/>
      <c r="BP140" s="18"/>
      <c r="BQ140" s="57"/>
      <c r="BR140" s="18"/>
      <c r="BS140" s="57"/>
      <c r="BT140" s="18"/>
      <c r="BU140" s="57"/>
      <c r="BV140" s="18"/>
      <c r="BW140" s="57"/>
      <c r="BX140" s="18"/>
      <c r="BY140" s="57"/>
      <c r="BZ140" s="18"/>
      <c r="CA140" s="57"/>
      <c r="CB140" s="18"/>
      <c r="CC140" s="57"/>
      <c r="CD140" s="18"/>
      <c r="CE140" s="57"/>
      <c r="CF140" s="14"/>
      <c r="CG140" s="15"/>
      <c r="CH140" s="12"/>
      <c r="CI140" s="13"/>
      <c r="CJ140" s="12"/>
      <c r="CK140" s="13"/>
      <c r="CL140" s="12"/>
      <c r="CM140" s="13"/>
      <c r="CN140" s="12"/>
      <c r="CO140" s="13"/>
      <c r="CP140" s="12"/>
      <c r="CQ140" s="13"/>
      <c r="CR140" s="12"/>
      <c r="CS140" s="13"/>
      <c r="CT140" s="12"/>
      <c r="CU140" s="13"/>
      <c r="CV140" s="12"/>
      <c r="CW140" s="13"/>
      <c r="CX140" s="12"/>
      <c r="CY140" s="13"/>
      <c r="CZ140" s="12"/>
      <c r="DA140" s="13"/>
      <c r="DB140" s="12"/>
      <c r="DC140" s="13"/>
      <c r="DD140" s="12"/>
      <c r="DE140" s="13"/>
      <c r="DF140" s="64"/>
      <c r="DG140" s="15"/>
      <c r="DH140" s="12"/>
      <c r="DI140" s="13"/>
      <c r="DJ140" s="12"/>
      <c r="DK140" s="13"/>
      <c r="DL140" s="12"/>
      <c r="DM140" s="13"/>
      <c r="DN140" s="12"/>
      <c r="DO140" s="13"/>
      <c r="DP140" s="12"/>
      <c r="DQ140" s="13"/>
      <c r="DR140" s="12"/>
      <c r="DS140" s="13"/>
      <c r="DT140" s="12"/>
      <c r="DU140" s="13"/>
      <c r="DV140" s="12"/>
      <c r="DW140" s="13"/>
      <c r="DX140" s="12"/>
      <c r="DY140" s="13"/>
      <c r="DZ140" s="12"/>
      <c r="EA140" s="13"/>
      <c r="EB140" s="12"/>
      <c r="EC140" s="13"/>
      <c r="ED140" s="12"/>
      <c r="EE140" s="13"/>
      <c r="EF140" s="24"/>
      <c r="EG140" s="13"/>
    </row>
    <row r="141" spans="1:137" ht="18" customHeight="1" x14ac:dyDescent="0.5">
      <c r="A141" s="10">
        <v>115</v>
      </c>
      <c r="B141" s="11" t="s">
        <v>141</v>
      </c>
      <c r="C141" s="11"/>
      <c r="D141" s="10"/>
      <c r="E141" s="10"/>
      <c r="F141" s="10"/>
      <c r="G141" s="10"/>
      <c r="H141" s="12"/>
      <c r="I141" s="13"/>
      <c r="J141" s="12"/>
      <c r="K141" s="13"/>
      <c r="L141" s="12"/>
      <c r="M141" s="13"/>
      <c r="N141" s="12"/>
      <c r="O141" s="13"/>
      <c r="P141" s="12"/>
      <c r="Q141" s="13"/>
      <c r="R141" s="12"/>
      <c r="S141" s="13"/>
      <c r="T141" s="12"/>
      <c r="U141" s="13"/>
      <c r="V141" s="12"/>
      <c r="W141" s="13"/>
      <c r="X141" s="12"/>
      <c r="Y141" s="13"/>
      <c r="Z141" s="12"/>
      <c r="AA141" s="13"/>
      <c r="AB141" s="12"/>
      <c r="AC141" s="13"/>
      <c r="AD141" s="12"/>
      <c r="AE141" s="13"/>
      <c r="AF141" s="14"/>
      <c r="AG141" s="15"/>
      <c r="AH141" s="16"/>
      <c r="AI141" s="13"/>
      <c r="AJ141" s="17"/>
      <c r="AK141" s="13"/>
      <c r="AL141" s="17"/>
      <c r="AM141" s="13"/>
      <c r="AN141" s="18"/>
      <c r="AO141" s="13"/>
      <c r="AP141" s="17"/>
      <c r="AQ141" s="13"/>
      <c r="AR141" s="17"/>
      <c r="AS141" s="13"/>
      <c r="AT141" s="19"/>
      <c r="AU141" s="13"/>
      <c r="AV141" s="17"/>
      <c r="AW141" s="13"/>
      <c r="AX141" s="17"/>
      <c r="AY141" s="13"/>
      <c r="AZ141" s="19"/>
      <c r="BA141" s="13"/>
      <c r="BB141" s="20"/>
      <c r="BC141" s="13"/>
      <c r="BD141" s="20"/>
      <c r="BE141" s="13"/>
      <c r="BF141" s="14"/>
      <c r="BG141" s="15"/>
      <c r="BH141" s="18"/>
      <c r="BI141" s="57"/>
      <c r="BJ141" s="18"/>
      <c r="BK141" s="57"/>
      <c r="BL141" s="18"/>
      <c r="BM141" s="57"/>
      <c r="BN141" s="18"/>
      <c r="BO141" s="57"/>
      <c r="BP141" s="18"/>
      <c r="BQ141" s="57"/>
      <c r="BR141" s="18"/>
      <c r="BS141" s="57"/>
      <c r="BT141" s="18"/>
      <c r="BU141" s="57"/>
      <c r="BV141" s="18"/>
      <c r="BW141" s="57"/>
      <c r="BX141" s="18"/>
      <c r="BY141" s="57"/>
      <c r="BZ141" s="18"/>
      <c r="CA141" s="57"/>
      <c r="CB141" s="18"/>
      <c r="CC141" s="57"/>
      <c r="CD141" s="18"/>
      <c r="CE141" s="57"/>
      <c r="CF141" s="14"/>
      <c r="CG141" s="15"/>
      <c r="CH141" s="12"/>
      <c r="CI141" s="13"/>
      <c r="CJ141" s="12"/>
      <c r="CK141" s="13"/>
      <c r="CL141" s="12"/>
      <c r="CM141" s="13"/>
      <c r="CN141" s="12"/>
      <c r="CO141" s="13"/>
      <c r="CP141" s="12"/>
      <c r="CQ141" s="13"/>
      <c r="CR141" s="12"/>
      <c r="CS141" s="13"/>
      <c r="CT141" s="12"/>
      <c r="CU141" s="13"/>
      <c r="CV141" s="12"/>
      <c r="CW141" s="13"/>
      <c r="CX141" s="12"/>
      <c r="CY141" s="13"/>
      <c r="CZ141" s="12"/>
      <c r="DA141" s="13"/>
      <c r="DB141" s="12"/>
      <c r="DC141" s="13"/>
      <c r="DD141" s="12"/>
      <c r="DE141" s="13"/>
      <c r="DF141" s="64"/>
      <c r="DG141" s="15"/>
      <c r="DH141" s="12"/>
      <c r="DI141" s="13"/>
      <c r="DJ141" s="12"/>
      <c r="DK141" s="13"/>
      <c r="DL141" s="12"/>
      <c r="DM141" s="13"/>
      <c r="DN141" s="12"/>
      <c r="DO141" s="13"/>
      <c r="DP141" s="12"/>
      <c r="DQ141" s="13"/>
      <c r="DR141" s="12"/>
      <c r="DS141" s="13"/>
      <c r="DT141" s="12"/>
      <c r="DU141" s="13"/>
      <c r="DV141" s="12"/>
      <c r="DW141" s="13"/>
      <c r="DX141" s="12"/>
      <c r="DY141" s="13"/>
      <c r="DZ141" s="12"/>
      <c r="EA141" s="13"/>
      <c r="EB141" s="12"/>
      <c r="EC141" s="13"/>
      <c r="ED141" s="12"/>
      <c r="EE141" s="13"/>
      <c r="EF141" s="24"/>
      <c r="EG141" s="13"/>
    </row>
    <row r="142" spans="1:137" ht="18" customHeight="1" x14ac:dyDescent="0.5">
      <c r="A142" s="10"/>
      <c r="B142" s="11"/>
      <c r="C142" s="11"/>
      <c r="D142" s="10"/>
      <c r="E142" s="10"/>
      <c r="F142" s="10"/>
      <c r="G142" s="10"/>
      <c r="H142" s="12"/>
      <c r="I142" s="13"/>
      <c r="J142" s="12"/>
      <c r="K142" s="13"/>
      <c r="L142" s="12"/>
      <c r="M142" s="13"/>
      <c r="N142" s="12"/>
      <c r="O142" s="13"/>
      <c r="P142" s="12"/>
      <c r="Q142" s="13"/>
      <c r="R142" s="12"/>
      <c r="S142" s="13"/>
      <c r="T142" s="12"/>
      <c r="U142" s="13"/>
      <c r="V142" s="12"/>
      <c r="W142" s="13"/>
      <c r="X142" s="12"/>
      <c r="Y142" s="13"/>
      <c r="Z142" s="12"/>
      <c r="AA142" s="13"/>
      <c r="AB142" s="12"/>
      <c r="AC142" s="13"/>
      <c r="AD142" s="12"/>
      <c r="AE142" s="13"/>
      <c r="AF142" s="14"/>
      <c r="AG142" s="15"/>
      <c r="AH142" s="16"/>
      <c r="AI142" s="13"/>
      <c r="AJ142" s="17"/>
      <c r="AK142" s="13"/>
      <c r="AL142" s="17"/>
      <c r="AM142" s="13"/>
      <c r="AN142" s="18"/>
      <c r="AO142" s="13"/>
      <c r="AP142" s="17"/>
      <c r="AQ142" s="13"/>
      <c r="AR142" s="17"/>
      <c r="AS142" s="13"/>
      <c r="AT142" s="19"/>
      <c r="AU142" s="13"/>
      <c r="AV142" s="17"/>
      <c r="AW142" s="13"/>
      <c r="AX142" s="17"/>
      <c r="AY142" s="13"/>
      <c r="AZ142" s="19"/>
      <c r="BA142" s="13"/>
      <c r="BB142" s="20"/>
      <c r="BC142" s="13"/>
      <c r="BD142" s="20"/>
      <c r="BE142" s="13"/>
      <c r="BF142" s="14"/>
      <c r="BG142" s="15"/>
      <c r="BH142" s="18"/>
      <c r="BI142" s="57"/>
      <c r="BJ142" s="18"/>
      <c r="BK142" s="57"/>
      <c r="BL142" s="18"/>
      <c r="BM142" s="57"/>
      <c r="BN142" s="18"/>
      <c r="BO142" s="57"/>
      <c r="BP142" s="18"/>
      <c r="BQ142" s="57"/>
      <c r="BR142" s="18"/>
      <c r="BS142" s="57"/>
      <c r="BT142" s="18"/>
      <c r="BU142" s="57"/>
      <c r="BV142" s="18"/>
      <c r="BW142" s="57"/>
      <c r="BX142" s="18"/>
      <c r="BY142" s="57"/>
      <c r="BZ142" s="18"/>
      <c r="CA142" s="57"/>
      <c r="CB142" s="18"/>
      <c r="CC142" s="57"/>
      <c r="CD142" s="18"/>
      <c r="CE142" s="57"/>
      <c r="CF142" s="14"/>
      <c r="CG142" s="15"/>
      <c r="CH142" s="12"/>
      <c r="CI142" s="13">
        <f t="shared" si="75"/>
        <v>0</v>
      </c>
      <c r="CJ142" s="12"/>
      <c r="CK142" s="13">
        <f t="shared" si="76"/>
        <v>0</v>
      </c>
      <c r="CL142" s="12"/>
      <c r="CM142" s="13">
        <f t="shared" si="77"/>
        <v>0</v>
      </c>
      <c r="CN142" s="12"/>
      <c r="CO142" s="13">
        <f t="shared" si="78"/>
        <v>0</v>
      </c>
      <c r="CP142" s="12"/>
      <c r="CQ142" s="13">
        <f t="shared" si="79"/>
        <v>0</v>
      </c>
      <c r="CR142" s="12"/>
      <c r="CS142" s="13">
        <f t="shared" si="80"/>
        <v>0</v>
      </c>
      <c r="CT142" s="12"/>
      <c r="CU142" s="13">
        <f t="shared" si="81"/>
        <v>0</v>
      </c>
      <c r="CV142" s="12"/>
      <c r="CW142" s="13">
        <f t="shared" si="82"/>
        <v>0</v>
      </c>
      <c r="CX142" s="12"/>
      <c r="CY142" s="13">
        <f t="shared" si="83"/>
        <v>0</v>
      </c>
      <c r="CZ142" s="12"/>
      <c r="DA142" s="13">
        <f t="shared" si="84"/>
        <v>0</v>
      </c>
      <c r="DB142" s="12"/>
      <c r="DC142" s="13">
        <f t="shared" si="85"/>
        <v>0</v>
      </c>
      <c r="DD142" s="12"/>
      <c r="DE142" s="13">
        <f t="shared" si="199"/>
        <v>0</v>
      </c>
      <c r="DF142" s="64">
        <f t="shared" si="200"/>
        <v>0</v>
      </c>
      <c r="DG142" s="15">
        <f t="shared" si="88"/>
        <v>0</v>
      </c>
      <c r="DH142" s="12"/>
      <c r="DI142" s="13">
        <f t="shared" si="191"/>
        <v>0</v>
      </c>
      <c r="DJ142" s="12"/>
      <c r="DK142" s="13">
        <f t="shared" si="198"/>
        <v>0</v>
      </c>
      <c r="DL142" s="12"/>
      <c r="DM142" s="13">
        <f t="shared" si="192"/>
        <v>0</v>
      </c>
      <c r="DN142" s="12"/>
      <c r="DO142" s="13">
        <f t="shared" si="193"/>
        <v>0</v>
      </c>
      <c r="DP142" s="12"/>
      <c r="DQ142" s="13">
        <f t="shared" si="91"/>
        <v>0</v>
      </c>
      <c r="DR142" s="12"/>
      <c r="DS142" s="13">
        <f t="shared" si="197"/>
        <v>0</v>
      </c>
      <c r="DT142" s="12"/>
      <c r="DU142" s="13">
        <f t="shared" si="196"/>
        <v>0</v>
      </c>
      <c r="DV142" s="12"/>
      <c r="DW142" s="13">
        <f t="shared" si="93"/>
        <v>0</v>
      </c>
      <c r="DX142" s="12"/>
      <c r="DY142" s="13">
        <f t="shared" si="94"/>
        <v>0</v>
      </c>
      <c r="DZ142" s="12"/>
      <c r="EA142" s="13">
        <f t="shared" si="95"/>
        <v>0</v>
      </c>
      <c r="EB142" s="12"/>
      <c r="EC142" s="13">
        <f t="shared" si="194"/>
        <v>0</v>
      </c>
      <c r="ED142" s="12"/>
      <c r="EE142" s="13">
        <f t="shared" si="201"/>
        <v>0</v>
      </c>
      <c r="EF142" s="24">
        <f t="shared" si="202"/>
        <v>0</v>
      </c>
      <c r="EG142" s="13">
        <f t="shared" si="98"/>
        <v>0</v>
      </c>
    </row>
    <row r="143" spans="1:137" ht="18" customHeight="1" x14ac:dyDescent="0.5">
      <c r="A143" s="10">
        <v>116</v>
      </c>
      <c r="B143" s="11" t="s">
        <v>103</v>
      </c>
      <c r="C143" s="11" t="s">
        <v>14</v>
      </c>
      <c r="D143" s="10">
        <f>RANK(DF143,$DF$4:$DF$147)</f>
        <v>21</v>
      </c>
      <c r="E143" s="10">
        <v>0.7</v>
      </c>
      <c r="F143" s="10" t="s">
        <v>15</v>
      </c>
      <c r="G143" s="10"/>
      <c r="H143" s="12"/>
      <c r="I143" s="13">
        <f t="shared" ref="I143:I144" si="203">H143*$E143</f>
        <v>0</v>
      </c>
      <c r="J143" s="12">
        <v>22</v>
      </c>
      <c r="K143" s="13">
        <f t="shared" ref="K143:K144" si="204">J143*$E143</f>
        <v>15.399999999999999</v>
      </c>
      <c r="L143" s="12">
        <v>7</v>
      </c>
      <c r="M143" s="13">
        <f t="shared" ref="M143:M144" si="205">L143*$E143</f>
        <v>4.8999999999999995</v>
      </c>
      <c r="N143" s="12"/>
      <c r="O143" s="13">
        <f t="shared" ref="O143:O144" si="206">N143*$E143</f>
        <v>0</v>
      </c>
      <c r="P143" s="12"/>
      <c r="Q143" s="13">
        <f t="shared" ref="Q143:Q144" si="207">P143*$E143</f>
        <v>0</v>
      </c>
      <c r="R143" s="12"/>
      <c r="S143" s="13">
        <f t="shared" ref="S143:S144" si="208">R143*$E143</f>
        <v>0</v>
      </c>
      <c r="T143" s="12"/>
      <c r="U143" s="13">
        <f t="shared" ref="U143:U144" si="209">T143*$E143</f>
        <v>0</v>
      </c>
      <c r="V143" s="12"/>
      <c r="W143" s="13">
        <f t="shared" ref="W143:W144" si="210">V143*$E143</f>
        <v>0</v>
      </c>
      <c r="X143" s="12">
        <v>12</v>
      </c>
      <c r="Y143" s="13">
        <f t="shared" ref="Y143:Y144" si="211">X143*$E143</f>
        <v>8.3999999999999986</v>
      </c>
      <c r="Z143" s="12">
        <v>12</v>
      </c>
      <c r="AA143" s="13">
        <f t="shared" ref="AA143:AA144" si="212">Z143*$E143</f>
        <v>8.3999999999999986</v>
      </c>
      <c r="AB143" s="12"/>
      <c r="AC143" s="13">
        <f t="shared" ref="AC143:AC144" si="213">AB143*$E143</f>
        <v>0</v>
      </c>
      <c r="AD143" s="12">
        <v>12</v>
      </c>
      <c r="AE143" s="13">
        <f t="shared" ref="AE143:AE144" si="214">AD143*$E143</f>
        <v>8.3999999999999986</v>
      </c>
      <c r="AF143" s="14">
        <f t="shared" si="100"/>
        <v>5.416666666666667</v>
      </c>
      <c r="AG143" s="15">
        <f t="shared" ref="AG143:AG144" si="215">AF143*$E143</f>
        <v>3.7916666666666665</v>
      </c>
      <c r="AH143" s="12">
        <v>12</v>
      </c>
      <c r="AI143" s="13">
        <f t="shared" ref="AI143:AI144" si="216">AH143*$E143</f>
        <v>8.3999999999999986</v>
      </c>
      <c r="AJ143" s="12"/>
      <c r="AK143" s="13">
        <f t="shared" ref="AK143:AK144" si="217">AJ143*$E143</f>
        <v>0</v>
      </c>
      <c r="AL143" s="12"/>
      <c r="AM143" s="13">
        <f t="shared" ref="AM143:AM144" si="218">AL143*$E143</f>
        <v>0</v>
      </c>
      <c r="AN143" s="12"/>
      <c r="AO143" s="13">
        <f t="shared" ref="AO143:AO144" si="219">AN143*$E143</f>
        <v>0</v>
      </c>
      <c r="AP143" s="12"/>
      <c r="AQ143" s="13">
        <f t="shared" ref="AQ143:AQ144" si="220">AP143*$E143</f>
        <v>0</v>
      </c>
      <c r="AR143" s="12"/>
      <c r="AS143" s="13">
        <f t="shared" ref="AS143:AS144" si="221">AR143*$E143</f>
        <v>0</v>
      </c>
      <c r="AT143" s="12"/>
      <c r="AU143" s="13">
        <f t="shared" ref="AU143:AU144" si="222">AT143*$E143</f>
        <v>0</v>
      </c>
      <c r="AV143" s="12"/>
      <c r="AW143" s="13">
        <f t="shared" ref="AW143:AW144" si="223">AV143*$E143</f>
        <v>0</v>
      </c>
      <c r="AX143" s="12"/>
      <c r="AY143" s="13">
        <f t="shared" ref="AY143:AY144" si="224">AX143*$E143</f>
        <v>0</v>
      </c>
      <c r="AZ143" s="12"/>
      <c r="BA143" s="13">
        <f t="shared" ref="BA143:BA144" si="225">AZ143*$E143</f>
        <v>0</v>
      </c>
      <c r="BB143" s="12"/>
      <c r="BC143" s="13">
        <f t="shared" ref="BC143:BC144" si="226">BB143*$E143</f>
        <v>0</v>
      </c>
      <c r="BD143" s="12"/>
      <c r="BE143" s="13">
        <f t="shared" ref="BE143:BE144" si="227">BD143*$E143</f>
        <v>0</v>
      </c>
      <c r="BF143" s="14">
        <f t="shared" si="101"/>
        <v>1</v>
      </c>
      <c r="BG143" s="15">
        <f t="shared" si="184"/>
        <v>0.7</v>
      </c>
      <c r="BH143" s="18"/>
      <c r="BI143" s="57">
        <f t="shared" si="129"/>
        <v>0</v>
      </c>
      <c r="BJ143" s="18"/>
      <c r="BK143" s="57">
        <f t="shared" si="130"/>
        <v>0</v>
      </c>
      <c r="BL143" s="18"/>
      <c r="BM143" s="57">
        <f t="shared" si="131"/>
        <v>0</v>
      </c>
      <c r="BN143" s="18"/>
      <c r="BO143" s="57">
        <f t="shared" si="132"/>
        <v>0</v>
      </c>
      <c r="BP143" s="18"/>
      <c r="BQ143" s="57">
        <f t="shared" si="133"/>
        <v>0</v>
      </c>
      <c r="BR143" s="18"/>
      <c r="BS143" s="57">
        <f t="shared" si="134"/>
        <v>0</v>
      </c>
      <c r="BT143" s="18"/>
      <c r="BU143" s="57">
        <f t="shared" si="135"/>
        <v>0</v>
      </c>
      <c r="BV143" s="18"/>
      <c r="BW143" s="57">
        <f t="shared" si="136"/>
        <v>0</v>
      </c>
      <c r="BX143" s="18"/>
      <c r="BY143" s="57">
        <f t="shared" si="137"/>
        <v>0</v>
      </c>
      <c r="BZ143" s="18"/>
      <c r="CA143" s="57">
        <f t="shared" si="138"/>
        <v>0</v>
      </c>
      <c r="CB143" s="18"/>
      <c r="CC143" s="57">
        <f t="shared" si="139"/>
        <v>0</v>
      </c>
      <c r="CD143" s="18"/>
      <c r="CE143" s="57">
        <f t="shared" si="140"/>
        <v>0</v>
      </c>
      <c r="CF143" s="14">
        <f t="shared" si="102"/>
        <v>0</v>
      </c>
      <c r="CG143" s="15">
        <f t="shared" ref="CG143:CG144" si="228">CF143*$E143</f>
        <v>0</v>
      </c>
      <c r="CH143" s="12"/>
      <c r="CI143" s="13">
        <f t="shared" si="75"/>
        <v>0</v>
      </c>
      <c r="CJ143" s="12"/>
      <c r="CK143" s="13">
        <f t="shared" si="76"/>
        <v>0</v>
      </c>
      <c r="CL143" s="12"/>
      <c r="CM143" s="13">
        <f t="shared" si="77"/>
        <v>0</v>
      </c>
      <c r="CN143" s="12"/>
      <c r="CO143" s="13">
        <f t="shared" si="78"/>
        <v>0</v>
      </c>
      <c r="CP143" s="12"/>
      <c r="CQ143" s="13">
        <f t="shared" si="79"/>
        <v>0</v>
      </c>
      <c r="CR143" s="12"/>
      <c r="CS143" s="13">
        <f t="shared" si="80"/>
        <v>0</v>
      </c>
      <c r="CT143" s="12"/>
      <c r="CU143" s="13">
        <f t="shared" si="81"/>
        <v>0</v>
      </c>
      <c r="CV143" s="12"/>
      <c r="CW143" s="13">
        <f t="shared" si="82"/>
        <v>0</v>
      </c>
      <c r="CX143" s="12"/>
      <c r="CY143" s="13">
        <f t="shared" si="83"/>
        <v>0</v>
      </c>
      <c r="CZ143" s="12"/>
      <c r="DA143" s="13">
        <f t="shared" si="84"/>
        <v>0</v>
      </c>
      <c r="DB143" s="12"/>
      <c r="DC143" s="13">
        <f t="shared" si="85"/>
        <v>0</v>
      </c>
      <c r="DD143" s="12"/>
      <c r="DE143" s="13">
        <f t="shared" si="199"/>
        <v>0</v>
      </c>
      <c r="DF143" s="64">
        <f t="shared" si="200"/>
        <v>0</v>
      </c>
      <c r="DG143" s="15">
        <f t="shared" si="88"/>
        <v>0</v>
      </c>
      <c r="DH143" s="12"/>
      <c r="DI143" s="13">
        <f t="shared" si="191"/>
        <v>0</v>
      </c>
      <c r="DJ143" s="12"/>
      <c r="DK143" s="13">
        <f t="shared" si="198"/>
        <v>0</v>
      </c>
      <c r="DL143" s="12"/>
      <c r="DM143" s="13">
        <f t="shared" si="192"/>
        <v>0</v>
      </c>
      <c r="DN143" s="12"/>
      <c r="DO143" s="13">
        <f t="shared" si="193"/>
        <v>0</v>
      </c>
      <c r="DP143" s="12"/>
      <c r="DQ143" s="13">
        <f t="shared" si="91"/>
        <v>0</v>
      </c>
      <c r="DR143" s="12"/>
      <c r="DS143" s="13">
        <f t="shared" si="197"/>
        <v>0</v>
      </c>
      <c r="DT143" s="12"/>
      <c r="DU143" s="13">
        <f t="shared" si="196"/>
        <v>0</v>
      </c>
      <c r="DV143" s="12"/>
      <c r="DW143" s="13">
        <f t="shared" si="93"/>
        <v>0</v>
      </c>
      <c r="DX143" s="12"/>
      <c r="DY143" s="13">
        <f t="shared" si="94"/>
        <v>0</v>
      </c>
      <c r="DZ143" s="12"/>
      <c r="EA143" s="13">
        <f t="shared" si="95"/>
        <v>0</v>
      </c>
      <c r="EB143" s="12"/>
      <c r="EC143" s="13">
        <f t="shared" si="194"/>
        <v>0</v>
      </c>
      <c r="ED143" s="12"/>
      <c r="EE143" s="13">
        <f t="shared" si="201"/>
        <v>0</v>
      </c>
      <c r="EF143" s="24">
        <f t="shared" si="202"/>
        <v>0</v>
      </c>
      <c r="EG143" s="13">
        <f t="shared" si="98"/>
        <v>0</v>
      </c>
    </row>
    <row r="144" spans="1:137" ht="18" x14ac:dyDescent="0.5">
      <c r="A144" s="10">
        <v>117</v>
      </c>
      <c r="B144" s="11" t="s">
        <v>104</v>
      </c>
      <c r="C144" s="11"/>
      <c r="D144" s="10">
        <f>RANK(DF144,$DF$4:$DF$147)</f>
        <v>21</v>
      </c>
      <c r="E144" s="10">
        <v>20</v>
      </c>
      <c r="F144" s="10">
        <v>1</v>
      </c>
      <c r="G144" s="10"/>
      <c r="H144" s="12"/>
      <c r="I144" s="13">
        <f t="shared" si="203"/>
        <v>0</v>
      </c>
      <c r="J144" s="12"/>
      <c r="K144" s="13">
        <f t="shared" si="204"/>
        <v>0</v>
      </c>
      <c r="L144" s="12"/>
      <c r="M144" s="13">
        <f t="shared" si="205"/>
        <v>0</v>
      </c>
      <c r="N144" s="12"/>
      <c r="O144" s="13">
        <f t="shared" si="206"/>
        <v>0</v>
      </c>
      <c r="P144" s="12"/>
      <c r="Q144" s="13">
        <f t="shared" si="207"/>
        <v>0</v>
      </c>
      <c r="R144" s="12"/>
      <c r="S144" s="13">
        <f t="shared" si="208"/>
        <v>0</v>
      </c>
      <c r="T144" s="12"/>
      <c r="U144" s="13">
        <f t="shared" si="209"/>
        <v>0</v>
      </c>
      <c r="V144" s="12"/>
      <c r="W144" s="13">
        <f t="shared" si="210"/>
        <v>0</v>
      </c>
      <c r="X144" s="12"/>
      <c r="Y144" s="13">
        <f t="shared" si="211"/>
        <v>0</v>
      </c>
      <c r="Z144" s="12"/>
      <c r="AA144" s="13">
        <f t="shared" si="212"/>
        <v>0</v>
      </c>
      <c r="AB144" s="12"/>
      <c r="AC144" s="13">
        <f t="shared" si="213"/>
        <v>0</v>
      </c>
      <c r="AD144" s="12"/>
      <c r="AE144" s="13">
        <f t="shared" si="214"/>
        <v>0</v>
      </c>
      <c r="AF144" s="14">
        <f t="shared" si="100"/>
        <v>0</v>
      </c>
      <c r="AG144" s="15">
        <f t="shared" si="215"/>
        <v>0</v>
      </c>
      <c r="AH144" s="12"/>
      <c r="AI144" s="13">
        <f t="shared" si="216"/>
        <v>0</v>
      </c>
      <c r="AJ144" s="12"/>
      <c r="AK144" s="13">
        <f t="shared" si="217"/>
        <v>0</v>
      </c>
      <c r="AL144" s="12"/>
      <c r="AM144" s="13">
        <f t="shared" si="218"/>
        <v>0</v>
      </c>
      <c r="AN144" s="12"/>
      <c r="AO144" s="13">
        <f t="shared" si="219"/>
        <v>0</v>
      </c>
      <c r="AP144" s="12"/>
      <c r="AQ144" s="13">
        <f t="shared" si="220"/>
        <v>0</v>
      </c>
      <c r="AR144" s="12"/>
      <c r="AS144" s="13">
        <f t="shared" si="221"/>
        <v>0</v>
      </c>
      <c r="AT144" s="12"/>
      <c r="AU144" s="13">
        <f t="shared" si="222"/>
        <v>0</v>
      </c>
      <c r="AV144" s="12"/>
      <c r="AW144" s="13">
        <f t="shared" si="223"/>
        <v>0</v>
      </c>
      <c r="AX144" s="12"/>
      <c r="AY144" s="13">
        <f t="shared" si="224"/>
        <v>0</v>
      </c>
      <c r="AZ144" s="12"/>
      <c r="BA144" s="13">
        <f t="shared" si="225"/>
        <v>0</v>
      </c>
      <c r="BB144" s="12"/>
      <c r="BC144" s="13">
        <f t="shared" si="226"/>
        <v>0</v>
      </c>
      <c r="BD144" s="12"/>
      <c r="BE144" s="13">
        <f t="shared" si="227"/>
        <v>0</v>
      </c>
      <c r="BF144" s="14">
        <f t="shared" si="101"/>
        <v>0</v>
      </c>
      <c r="BG144" s="15">
        <f t="shared" si="184"/>
        <v>0</v>
      </c>
      <c r="BH144" s="18"/>
      <c r="BI144" s="57">
        <f t="shared" si="129"/>
        <v>0</v>
      </c>
      <c r="BJ144" s="18"/>
      <c r="BK144" s="57">
        <f t="shared" si="130"/>
        <v>0</v>
      </c>
      <c r="BL144" s="18"/>
      <c r="BM144" s="57">
        <f t="shared" si="131"/>
        <v>0</v>
      </c>
      <c r="BN144" s="18"/>
      <c r="BO144" s="57">
        <f t="shared" si="132"/>
        <v>0</v>
      </c>
      <c r="BP144" s="18"/>
      <c r="BQ144" s="57">
        <f t="shared" si="133"/>
        <v>0</v>
      </c>
      <c r="BR144" s="18"/>
      <c r="BS144" s="57">
        <f t="shared" si="134"/>
        <v>0</v>
      </c>
      <c r="BT144" s="18"/>
      <c r="BU144" s="57">
        <f t="shared" si="135"/>
        <v>0</v>
      </c>
      <c r="BV144" s="18"/>
      <c r="BW144" s="57">
        <f t="shared" si="136"/>
        <v>0</v>
      </c>
      <c r="BX144" s="18"/>
      <c r="BY144" s="57">
        <f t="shared" si="137"/>
        <v>0</v>
      </c>
      <c r="BZ144" s="18"/>
      <c r="CA144" s="57">
        <f t="shared" si="138"/>
        <v>0</v>
      </c>
      <c r="CB144" s="18"/>
      <c r="CC144" s="57">
        <f t="shared" si="139"/>
        <v>0</v>
      </c>
      <c r="CD144" s="18"/>
      <c r="CE144" s="57">
        <f t="shared" si="140"/>
        <v>0</v>
      </c>
      <c r="CF144" s="14">
        <f t="shared" si="102"/>
        <v>0</v>
      </c>
      <c r="CG144" s="15">
        <f t="shared" si="228"/>
        <v>0</v>
      </c>
      <c r="CH144" s="31"/>
      <c r="CI144" s="13">
        <f t="shared" ref="CI144:CI147" si="229">CH144*$E144</f>
        <v>0</v>
      </c>
      <c r="CJ144" s="12"/>
      <c r="CK144" s="13">
        <f t="shared" ref="CK144:CK147" si="230">CJ144*$E144</f>
        <v>0</v>
      </c>
      <c r="CL144" s="12"/>
      <c r="CM144" s="13">
        <f t="shared" ref="CM144:CM147" si="231">CL144*$E144</f>
        <v>0</v>
      </c>
      <c r="CN144" s="12"/>
      <c r="CO144" s="13">
        <f t="shared" ref="CO144:CO147" si="232">CN144*$E144</f>
        <v>0</v>
      </c>
      <c r="CP144" s="12"/>
      <c r="CQ144" s="13">
        <f t="shared" ref="CQ144:CQ147" si="233">CP144*E144</f>
        <v>0</v>
      </c>
      <c r="CR144" s="12"/>
      <c r="CS144" s="13">
        <f t="shared" ref="CS144:CS147" si="234">CR144*$E144</f>
        <v>0</v>
      </c>
      <c r="CT144" s="12"/>
      <c r="CU144" s="13">
        <f t="shared" ref="CU144:CU147" si="235">CT144*$E144</f>
        <v>0</v>
      </c>
      <c r="CV144" s="12"/>
      <c r="CW144" s="13">
        <f t="shared" ref="CW144:CW147" si="236">CV144*$E144</f>
        <v>0</v>
      </c>
      <c r="CX144" s="12"/>
      <c r="CY144" s="13">
        <f t="shared" ref="CY144:CY147" si="237">CX144*$E144</f>
        <v>0</v>
      </c>
      <c r="CZ144" s="12"/>
      <c r="DA144" s="13">
        <f t="shared" ref="DA144:DA147" si="238">CZ144*$E144</f>
        <v>0</v>
      </c>
      <c r="DB144" s="12"/>
      <c r="DC144" s="13">
        <f t="shared" ref="DC144:DC147" si="239">DB144*$E144</f>
        <v>0</v>
      </c>
      <c r="DD144" s="12"/>
      <c r="DE144" s="13">
        <f t="shared" si="199"/>
        <v>0</v>
      </c>
      <c r="DF144" s="64">
        <f t="shared" si="200"/>
        <v>0</v>
      </c>
      <c r="DG144" s="15">
        <f t="shared" ref="DG144:DG147" si="240">DF144*$E144</f>
        <v>0</v>
      </c>
      <c r="DH144" s="31"/>
      <c r="DI144" s="13">
        <f t="shared" si="191"/>
        <v>0</v>
      </c>
      <c r="DJ144" s="12"/>
      <c r="DK144" s="13">
        <f t="shared" si="198"/>
        <v>0</v>
      </c>
      <c r="DL144" s="12"/>
      <c r="DM144" s="13">
        <f t="shared" si="192"/>
        <v>0</v>
      </c>
      <c r="DN144" s="12"/>
      <c r="DO144" s="13">
        <f t="shared" si="193"/>
        <v>0</v>
      </c>
      <c r="DP144" s="12"/>
      <c r="DQ144" s="13">
        <f t="shared" ref="DQ144:DQ147" si="241">DP144*AE144</f>
        <v>0</v>
      </c>
      <c r="DR144" s="12"/>
      <c r="DS144" s="13">
        <f t="shared" si="197"/>
        <v>0</v>
      </c>
      <c r="DT144" s="12"/>
      <c r="DU144" s="13">
        <f t="shared" si="196"/>
        <v>0</v>
      </c>
      <c r="DV144" s="12"/>
      <c r="DW144" s="13">
        <f t="shared" ref="DW144:DW147" si="242">DV144*$E144</f>
        <v>0</v>
      </c>
      <c r="DX144" s="12"/>
      <c r="DY144" s="13">
        <f t="shared" ref="DY144:DY147" si="243">DX144*$E144</f>
        <v>0</v>
      </c>
      <c r="DZ144" s="12"/>
      <c r="EA144" s="13">
        <f t="shared" ref="EA144:EA147" si="244">DZ144*$E144</f>
        <v>0</v>
      </c>
      <c r="EB144" s="12"/>
      <c r="EC144" s="13">
        <f t="shared" si="194"/>
        <v>0</v>
      </c>
      <c r="ED144" s="12"/>
      <c r="EE144" s="13">
        <f t="shared" si="201"/>
        <v>0</v>
      </c>
      <c r="EF144" s="24">
        <f t="shared" si="202"/>
        <v>0</v>
      </c>
      <c r="EG144" s="13">
        <f t="shared" ref="EG144:EG147" si="245">EF144*$E144</f>
        <v>0</v>
      </c>
    </row>
    <row r="145" spans="1:137" ht="18" x14ac:dyDescent="0.5">
      <c r="A145" s="10">
        <v>118</v>
      </c>
      <c r="B145" s="11" t="s">
        <v>138</v>
      </c>
      <c r="C145" s="11"/>
      <c r="D145" s="10"/>
      <c r="E145" s="10"/>
      <c r="F145" s="10"/>
      <c r="G145" s="10"/>
      <c r="H145" s="12"/>
      <c r="I145" s="13"/>
      <c r="J145" s="12"/>
      <c r="K145" s="13"/>
      <c r="L145" s="12"/>
      <c r="M145" s="13"/>
      <c r="N145" s="12"/>
      <c r="O145" s="13"/>
      <c r="P145" s="12"/>
      <c r="Q145" s="13"/>
      <c r="R145" s="12"/>
      <c r="S145" s="13"/>
      <c r="T145" s="12"/>
      <c r="U145" s="13"/>
      <c r="V145" s="12"/>
      <c r="W145" s="13"/>
      <c r="X145" s="12"/>
      <c r="Y145" s="13"/>
      <c r="Z145" s="12"/>
      <c r="AA145" s="13"/>
      <c r="AB145" s="12"/>
      <c r="AC145" s="13"/>
      <c r="AD145" s="12"/>
      <c r="AE145" s="13"/>
      <c r="AF145" s="14"/>
      <c r="AG145" s="15"/>
      <c r="AH145" s="12"/>
      <c r="AI145" s="13"/>
      <c r="AJ145" s="12"/>
      <c r="AK145" s="13"/>
      <c r="AL145" s="12"/>
      <c r="AM145" s="13"/>
      <c r="AN145" s="12"/>
      <c r="AO145" s="13"/>
      <c r="AP145" s="12"/>
      <c r="AQ145" s="13"/>
      <c r="AR145" s="12"/>
      <c r="AS145" s="13"/>
      <c r="AT145" s="12"/>
      <c r="AU145" s="13"/>
      <c r="AV145" s="12"/>
      <c r="AW145" s="13"/>
      <c r="AX145" s="12"/>
      <c r="AY145" s="13"/>
      <c r="AZ145" s="12"/>
      <c r="BA145" s="13"/>
      <c r="BB145" s="12"/>
      <c r="BC145" s="13"/>
      <c r="BD145" s="12"/>
      <c r="BE145" s="13"/>
      <c r="BF145" s="14"/>
      <c r="BG145" s="15"/>
      <c r="BH145" s="18"/>
      <c r="BI145" s="57"/>
      <c r="BJ145" s="18"/>
      <c r="BK145" s="57"/>
      <c r="BL145" s="18"/>
      <c r="BM145" s="57"/>
      <c r="BN145" s="18"/>
      <c r="BO145" s="57"/>
      <c r="BP145" s="18"/>
      <c r="BQ145" s="57"/>
      <c r="BR145" s="18"/>
      <c r="BS145" s="57"/>
      <c r="BT145" s="18"/>
      <c r="BU145" s="57"/>
      <c r="BV145" s="18"/>
      <c r="BW145" s="57"/>
      <c r="BX145" s="18"/>
      <c r="BY145" s="57"/>
      <c r="BZ145" s="18"/>
      <c r="CA145" s="57"/>
      <c r="CB145" s="18"/>
      <c r="CC145" s="57"/>
      <c r="CD145" s="18"/>
      <c r="CE145" s="57"/>
      <c r="CF145" s="14"/>
      <c r="CG145" s="15"/>
      <c r="CH145" s="31"/>
      <c r="CI145" s="13">
        <f t="shared" si="229"/>
        <v>0</v>
      </c>
      <c r="CJ145" s="12"/>
      <c r="CK145" s="13">
        <f t="shared" si="230"/>
        <v>0</v>
      </c>
      <c r="CL145" s="12"/>
      <c r="CM145" s="13">
        <f t="shared" si="231"/>
        <v>0</v>
      </c>
      <c r="CN145" s="12"/>
      <c r="CO145" s="13">
        <f t="shared" si="232"/>
        <v>0</v>
      </c>
      <c r="CP145" s="12"/>
      <c r="CQ145" s="13">
        <f t="shared" si="233"/>
        <v>0</v>
      </c>
      <c r="CR145" s="12"/>
      <c r="CS145" s="13">
        <f t="shared" si="234"/>
        <v>0</v>
      </c>
      <c r="CT145" s="12"/>
      <c r="CU145" s="13">
        <f t="shared" si="235"/>
        <v>0</v>
      </c>
      <c r="CV145" s="12"/>
      <c r="CW145" s="13">
        <f t="shared" si="236"/>
        <v>0</v>
      </c>
      <c r="CX145" s="12"/>
      <c r="CY145" s="13">
        <f t="shared" si="237"/>
        <v>0</v>
      </c>
      <c r="CZ145" s="12"/>
      <c r="DA145" s="13">
        <f t="shared" si="238"/>
        <v>0</v>
      </c>
      <c r="DB145" s="12"/>
      <c r="DC145" s="13">
        <f t="shared" si="239"/>
        <v>0</v>
      </c>
      <c r="DD145" s="12"/>
      <c r="DE145" s="13">
        <f t="shared" si="199"/>
        <v>0</v>
      </c>
      <c r="DF145" s="64">
        <f t="shared" si="200"/>
        <v>0</v>
      </c>
      <c r="DG145" s="15">
        <f t="shared" si="240"/>
        <v>0</v>
      </c>
      <c r="DH145" s="31"/>
      <c r="DI145" s="13">
        <f t="shared" si="191"/>
        <v>0</v>
      </c>
      <c r="DJ145" s="12"/>
      <c r="DK145" s="13">
        <f t="shared" si="198"/>
        <v>0</v>
      </c>
      <c r="DL145" s="12"/>
      <c r="DM145" s="13">
        <f t="shared" si="192"/>
        <v>0</v>
      </c>
      <c r="DN145" s="12"/>
      <c r="DO145" s="13">
        <f t="shared" si="193"/>
        <v>0</v>
      </c>
      <c r="DP145" s="12"/>
      <c r="DQ145" s="13">
        <f t="shared" si="241"/>
        <v>0</v>
      </c>
      <c r="DR145" s="12"/>
      <c r="DS145" s="13">
        <f t="shared" si="197"/>
        <v>0</v>
      </c>
      <c r="DT145" s="12"/>
      <c r="DU145" s="13">
        <f t="shared" si="196"/>
        <v>0</v>
      </c>
      <c r="DV145" s="12"/>
      <c r="DW145" s="13">
        <f t="shared" si="242"/>
        <v>0</v>
      </c>
      <c r="DX145" s="12"/>
      <c r="DY145" s="13">
        <f t="shared" si="243"/>
        <v>0</v>
      </c>
      <c r="DZ145" s="12"/>
      <c r="EA145" s="13">
        <f t="shared" si="244"/>
        <v>0</v>
      </c>
      <c r="EB145" s="12"/>
      <c r="EC145" s="13">
        <f t="shared" si="194"/>
        <v>0</v>
      </c>
      <c r="ED145" s="12"/>
      <c r="EE145" s="13">
        <f t="shared" si="201"/>
        <v>0</v>
      </c>
      <c r="EF145" s="24">
        <f t="shared" si="202"/>
        <v>0</v>
      </c>
      <c r="EG145" s="13">
        <f t="shared" si="245"/>
        <v>0</v>
      </c>
    </row>
    <row r="146" spans="1:137" ht="18" x14ac:dyDescent="0.5">
      <c r="A146" s="10"/>
      <c r="B146" s="11"/>
      <c r="C146" s="11"/>
      <c r="D146" s="10"/>
      <c r="E146" s="10"/>
      <c r="F146" s="10"/>
      <c r="G146" s="10"/>
      <c r="H146" s="12"/>
      <c r="I146" s="13"/>
      <c r="J146" s="12"/>
      <c r="K146" s="13"/>
      <c r="L146" s="12"/>
      <c r="M146" s="13"/>
      <c r="N146" s="12"/>
      <c r="O146" s="13"/>
      <c r="P146" s="12"/>
      <c r="Q146" s="13"/>
      <c r="R146" s="12"/>
      <c r="S146" s="13"/>
      <c r="T146" s="12"/>
      <c r="U146" s="13"/>
      <c r="V146" s="12"/>
      <c r="W146" s="13"/>
      <c r="X146" s="12"/>
      <c r="Y146" s="13"/>
      <c r="Z146" s="12"/>
      <c r="AA146" s="13"/>
      <c r="AB146" s="12"/>
      <c r="AC146" s="13"/>
      <c r="AD146" s="12"/>
      <c r="AE146" s="13"/>
      <c r="AF146" s="14"/>
      <c r="AG146" s="15"/>
      <c r="AH146" s="12"/>
      <c r="AI146" s="13"/>
      <c r="AJ146" s="12"/>
      <c r="AK146" s="13"/>
      <c r="AL146" s="12"/>
      <c r="AM146" s="13"/>
      <c r="AN146" s="12"/>
      <c r="AO146" s="13"/>
      <c r="AP146" s="12"/>
      <c r="AQ146" s="13"/>
      <c r="AR146" s="12"/>
      <c r="AS146" s="13"/>
      <c r="AT146" s="12"/>
      <c r="AU146" s="13"/>
      <c r="AV146" s="12"/>
      <c r="AW146" s="13"/>
      <c r="AX146" s="12"/>
      <c r="AY146" s="13"/>
      <c r="AZ146" s="12"/>
      <c r="BA146" s="13"/>
      <c r="BB146" s="12"/>
      <c r="BC146" s="13"/>
      <c r="BD146" s="12"/>
      <c r="BE146" s="13"/>
      <c r="BF146" s="14"/>
      <c r="BG146" s="15"/>
      <c r="BH146" s="18"/>
      <c r="BI146" s="57"/>
      <c r="BJ146" s="18"/>
      <c r="BK146" s="57"/>
      <c r="BL146" s="18"/>
      <c r="BM146" s="57"/>
      <c r="BN146" s="18"/>
      <c r="BO146" s="57"/>
      <c r="BP146" s="18"/>
      <c r="BQ146" s="57"/>
      <c r="BR146" s="18"/>
      <c r="BS146" s="57"/>
      <c r="BT146" s="18"/>
      <c r="BU146" s="57"/>
      <c r="BV146" s="18"/>
      <c r="BW146" s="57"/>
      <c r="BX146" s="18"/>
      <c r="BY146" s="57"/>
      <c r="BZ146" s="18"/>
      <c r="CA146" s="57"/>
      <c r="CB146" s="18"/>
      <c r="CC146" s="57"/>
      <c r="CD146" s="18"/>
      <c r="CE146" s="57"/>
      <c r="CF146" s="14"/>
      <c r="CG146" s="15"/>
      <c r="CH146" s="31"/>
      <c r="CI146" s="13">
        <f t="shared" si="229"/>
        <v>0</v>
      </c>
      <c r="CJ146" s="12"/>
      <c r="CK146" s="13">
        <f t="shared" si="230"/>
        <v>0</v>
      </c>
      <c r="CL146" s="12"/>
      <c r="CM146" s="13">
        <f t="shared" si="231"/>
        <v>0</v>
      </c>
      <c r="CN146" s="12"/>
      <c r="CO146" s="13">
        <f t="shared" si="232"/>
        <v>0</v>
      </c>
      <c r="CP146" s="12"/>
      <c r="CQ146" s="13">
        <f t="shared" si="233"/>
        <v>0</v>
      </c>
      <c r="CR146" s="12"/>
      <c r="CS146" s="13">
        <f t="shared" si="234"/>
        <v>0</v>
      </c>
      <c r="CT146" s="12"/>
      <c r="CU146" s="13">
        <f t="shared" si="235"/>
        <v>0</v>
      </c>
      <c r="CV146" s="12"/>
      <c r="CW146" s="13">
        <f t="shared" si="236"/>
        <v>0</v>
      </c>
      <c r="CX146" s="12"/>
      <c r="CY146" s="13">
        <f t="shared" si="237"/>
        <v>0</v>
      </c>
      <c r="CZ146" s="12"/>
      <c r="DA146" s="13">
        <f t="shared" si="238"/>
        <v>0</v>
      </c>
      <c r="DB146" s="12"/>
      <c r="DC146" s="13">
        <f t="shared" si="239"/>
        <v>0</v>
      </c>
      <c r="DD146" s="12"/>
      <c r="DE146" s="13">
        <f t="shared" si="199"/>
        <v>0</v>
      </c>
      <c r="DF146" s="64">
        <f t="shared" si="200"/>
        <v>0</v>
      </c>
      <c r="DG146" s="15">
        <f t="shared" si="240"/>
        <v>0</v>
      </c>
      <c r="DH146" s="31"/>
      <c r="DI146" s="13">
        <f t="shared" si="191"/>
        <v>0</v>
      </c>
      <c r="DJ146" s="12"/>
      <c r="DK146" s="13">
        <f t="shared" si="198"/>
        <v>0</v>
      </c>
      <c r="DL146" s="12"/>
      <c r="DM146" s="13">
        <f t="shared" si="192"/>
        <v>0</v>
      </c>
      <c r="DN146" s="12"/>
      <c r="DO146" s="13">
        <f t="shared" si="193"/>
        <v>0</v>
      </c>
      <c r="DP146" s="12"/>
      <c r="DQ146" s="13">
        <f t="shared" si="241"/>
        <v>0</v>
      </c>
      <c r="DR146" s="12"/>
      <c r="DS146" s="13">
        <f t="shared" si="197"/>
        <v>0</v>
      </c>
      <c r="DT146" s="12"/>
      <c r="DU146" s="13">
        <f t="shared" si="196"/>
        <v>0</v>
      </c>
      <c r="DV146" s="12"/>
      <c r="DW146" s="13">
        <f t="shared" si="242"/>
        <v>0</v>
      </c>
      <c r="DX146" s="12"/>
      <c r="DY146" s="13">
        <f t="shared" si="243"/>
        <v>0</v>
      </c>
      <c r="DZ146" s="12"/>
      <c r="EA146" s="13">
        <f t="shared" si="244"/>
        <v>0</v>
      </c>
      <c r="EB146" s="12"/>
      <c r="EC146" s="13">
        <f t="shared" si="194"/>
        <v>0</v>
      </c>
      <c r="ED146" s="12"/>
      <c r="EE146" s="13">
        <f t="shared" si="201"/>
        <v>0</v>
      </c>
      <c r="EF146" s="24">
        <f t="shared" si="202"/>
        <v>0</v>
      </c>
      <c r="EG146" s="13">
        <f t="shared" si="245"/>
        <v>0</v>
      </c>
    </row>
    <row r="147" spans="1:137" ht="18" x14ac:dyDescent="0.5">
      <c r="A147" s="10"/>
      <c r="B147" s="16"/>
      <c r="C147" s="16"/>
      <c r="D147" s="10"/>
      <c r="E147" s="16"/>
      <c r="F147" s="33"/>
      <c r="G147" s="33"/>
      <c r="H147" s="12"/>
      <c r="I147" s="13"/>
      <c r="J147" s="12"/>
      <c r="K147" s="13"/>
      <c r="L147" s="12"/>
      <c r="M147" s="13"/>
      <c r="N147" s="12"/>
      <c r="O147" s="13"/>
      <c r="P147" s="12"/>
      <c r="Q147" s="13"/>
      <c r="R147" s="12"/>
      <c r="S147" s="13"/>
      <c r="T147" s="12"/>
      <c r="U147" s="13"/>
      <c r="V147" s="12"/>
      <c r="W147" s="13"/>
      <c r="X147" s="12"/>
      <c r="Y147" s="13"/>
      <c r="Z147" s="12"/>
      <c r="AA147" s="13"/>
      <c r="AB147" s="12"/>
      <c r="AC147" s="13"/>
      <c r="AD147" s="12"/>
      <c r="AE147" s="13"/>
      <c r="AF147" s="14"/>
      <c r="AG147" s="15"/>
      <c r="AH147" s="12"/>
      <c r="AI147" s="13"/>
      <c r="AJ147" s="12"/>
      <c r="AK147" s="13"/>
      <c r="AL147" s="12"/>
      <c r="AM147" s="13"/>
      <c r="AN147" s="12"/>
      <c r="AO147" s="13"/>
      <c r="AP147" s="12"/>
      <c r="AQ147" s="13"/>
      <c r="AR147" s="12"/>
      <c r="AS147" s="13"/>
      <c r="AT147" s="12"/>
      <c r="AU147" s="13"/>
      <c r="AV147" s="12"/>
      <c r="AW147" s="13"/>
      <c r="AX147" s="12"/>
      <c r="AY147" s="13"/>
      <c r="AZ147" s="12"/>
      <c r="BA147" s="13"/>
      <c r="BB147" s="12"/>
      <c r="BC147" s="13"/>
      <c r="BD147" s="12"/>
      <c r="BE147" s="13"/>
      <c r="BF147" s="14"/>
      <c r="BG147" s="15"/>
      <c r="BH147" s="18"/>
      <c r="BI147" s="57"/>
      <c r="BJ147" s="18"/>
      <c r="BK147" s="57"/>
      <c r="BL147" s="18"/>
      <c r="BM147" s="57"/>
      <c r="BN147" s="18"/>
      <c r="BO147" s="57"/>
      <c r="BP147" s="18"/>
      <c r="BQ147" s="57"/>
      <c r="BR147" s="18"/>
      <c r="BS147" s="57"/>
      <c r="BT147" s="18"/>
      <c r="BU147" s="57"/>
      <c r="BV147" s="18"/>
      <c r="BW147" s="57"/>
      <c r="BX147" s="18"/>
      <c r="BY147" s="57"/>
      <c r="BZ147" s="18"/>
      <c r="CA147" s="57"/>
      <c r="CB147" s="18"/>
      <c r="CC147" s="57"/>
      <c r="CD147" s="18"/>
      <c r="CE147" s="57"/>
      <c r="CF147" s="14"/>
      <c r="CG147" s="15"/>
      <c r="CH147" s="12"/>
      <c r="CI147" s="13">
        <f t="shared" si="229"/>
        <v>0</v>
      </c>
      <c r="CJ147" s="12"/>
      <c r="CK147" s="13">
        <f t="shared" si="230"/>
        <v>0</v>
      </c>
      <c r="CL147" s="12"/>
      <c r="CM147" s="13">
        <f t="shared" si="231"/>
        <v>0</v>
      </c>
      <c r="CN147" s="12"/>
      <c r="CO147" s="13">
        <f t="shared" si="232"/>
        <v>0</v>
      </c>
      <c r="CP147" s="12"/>
      <c r="CQ147" s="13">
        <f t="shared" si="233"/>
        <v>0</v>
      </c>
      <c r="CR147" s="12"/>
      <c r="CS147" s="13">
        <f t="shared" si="234"/>
        <v>0</v>
      </c>
      <c r="CT147" s="12"/>
      <c r="CU147" s="13">
        <f t="shared" si="235"/>
        <v>0</v>
      </c>
      <c r="CV147" s="12"/>
      <c r="CW147" s="13">
        <f t="shared" si="236"/>
        <v>0</v>
      </c>
      <c r="CX147" s="12"/>
      <c r="CY147" s="13">
        <f t="shared" si="237"/>
        <v>0</v>
      </c>
      <c r="CZ147" s="12"/>
      <c r="DA147" s="13">
        <f t="shared" si="238"/>
        <v>0</v>
      </c>
      <c r="DB147" s="12"/>
      <c r="DC147" s="13">
        <f t="shared" si="239"/>
        <v>0</v>
      </c>
      <c r="DD147" s="12"/>
      <c r="DE147" s="13">
        <f t="shared" si="199"/>
        <v>0</v>
      </c>
      <c r="DF147" s="64">
        <f t="shared" si="200"/>
        <v>0</v>
      </c>
      <c r="DG147" s="15">
        <f t="shared" si="240"/>
        <v>0</v>
      </c>
      <c r="DH147" s="12"/>
      <c r="DI147" s="13">
        <f t="shared" si="191"/>
        <v>0</v>
      </c>
      <c r="DJ147" s="12"/>
      <c r="DK147" s="13">
        <f t="shared" si="198"/>
        <v>0</v>
      </c>
      <c r="DL147" s="12"/>
      <c r="DM147" s="13">
        <f t="shared" si="192"/>
        <v>0</v>
      </c>
      <c r="DN147" s="12"/>
      <c r="DO147" s="13">
        <f t="shared" si="193"/>
        <v>0</v>
      </c>
      <c r="DP147" s="12"/>
      <c r="DQ147" s="13">
        <f t="shared" si="241"/>
        <v>0</v>
      </c>
      <c r="DR147" s="12"/>
      <c r="DS147" s="13">
        <f t="shared" si="197"/>
        <v>0</v>
      </c>
      <c r="DT147" s="12"/>
      <c r="DU147" s="13">
        <f t="shared" si="196"/>
        <v>0</v>
      </c>
      <c r="DV147" s="12"/>
      <c r="DW147" s="13">
        <f t="shared" si="242"/>
        <v>0</v>
      </c>
      <c r="DX147" s="12"/>
      <c r="DY147" s="13">
        <f t="shared" si="243"/>
        <v>0</v>
      </c>
      <c r="DZ147" s="12"/>
      <c r="EA147" s="13">
        <f t="shared" si="244"/>
        <v>0</v>
      </c>
      <c r="EB147" s="12"/>
      <c r="EC147" s="13">
        <f t="shared" si="194"/>
        <v>0</v>
      </c>
      <c r="ED147" s="12"/>
      <c r="EE147" s="13">
        <f t="shared" si="201"/>
        <v>0</v>
      </c>
      <c r="EF147" s="24">
        <f t="shared" si="202"/>
        <v>0</v>
      </c>
      <c r="EG147" s="13">
        <f t="shared" si="245"/>
        <v>0</v>
      </c>
    </row>
    <row r="148" spans="1:137" ht="18" x14ac:dyDescent="0.5">
      <c r="A148" s="34"/>
      <c r="B148" s="35" t="s">
        <v>105</v>
      </c>
      <c r="C148" s="35"/>
      <c r="D148" s="35"/>
      <c r="E148" s="36"/>
      <c r="F148" s="37"/>
      <c r="G148" s="37"/>
      <c r="H148" s="38">
        <f t="shared" ref="H148:AM148" si="246">SUM(H4:H147)</f>
        <v>285358</v>
      </c>
      <c r="I148" s="39">
        <f t="shared" si="246"/>
        <v>185180.78</v>
      </c>
      <c r="J148" s="38">
        <f t="shared" si="246"/>
        <v>265299</v>
      </c>
      <c r="K148" s="39">
        <f t="shared" si="246"/>
        <v>173179.26</v>
      </c>
      <c r="L148" s="38">
        <f t="shared" si="246"/>
        <v>337952</v>
      </c>
      <c r="M148" s="39">
        <f t="shared" si="246"/>
        <v>219847.95</v>
      </c>
      <c r="N148" s="38">
        <f t="shared" si="246"/>
        <v>303706</v>
      </c>
      <c r="O148" s="39">
        <f t="shared" si="246"/>
        <v>197944.9</v>
      </c>
      <c r="P148" s="38">
        <f t="shared" si="246"/>
        <v>366957</v>
      </c>
      <c r="Q148" s="39">
        <f t="shared" si="246"/>
        <v>238095.09000000003</v>
      </c>
      <c r="R148" s="38">
        <f t="shared" si="246"/>
        <v>333259</v>
      </c>
      <c r="S148" s="39">
        <f t="shared" si="246"/>
        <v>218441.14</v>
      </c>
      <c r="T148" s="38">
        <f t="shared" si="246"/>
        <v>294089</v>
      </c>
      <c r="U148" s="39">
        <f t="shared" si="246"/>
        <v>192043.21000000002</v>
      </c>
      <c r="V148" s="38">
        <f t="shared" si="246"/>
        <v>346406</v>
      </c>
      <c r="W148" s="39">
        <f t="shared" si="246"/>
        <v>226613.72</v>
      </c>
      <c r="X148" s="38">
        <f t="shared" si="246"/>
        <v>290124</v>
      </c>
      <c r="Y148" s="39">
        <f t="shared" si="246"/>
        <v>192315.12</v>
      </c>
      <c r="Z148" s="38">
        <f t="shared" si="246"/>
        <v>247021</v>
      </c>
      <c r="AA148" s="39">
        <f t="shared" si="246"/>
        <v>165927.72</v>
      </c>
      <c r="AB148" s="38">
        <f t="shared" si="246"/>
        <v>252029</v>
      </c>
      <c r="AC148" s="39">
        <f t="shared" si="246"/>
        <v>167403.13999999996</v>
      </c>
      <c r="AD148" s="38">
        <f t="shared" si="246"/>
        <v>320655</v>
      </c>
      <c r="AE148" s="39">
        <f t="shared" si="246"/>
        <v>216544.5</v>
      </c>
      <c r="AF148" s="40">
        <f t="shared" si="246"/>
        <v>303571.25000000012</v>
      </c>
      <c r="AG148" s="41">
        <f t="shared" si="246"/>
        <v>199461.37750000003</v>
      </c>
      <c r="AH148" s="38">
        <f t="shared" si="246"/>
        <v>325646</v>
      </c>
      <c r="AI148" s="39">
        <f t="shared" si="246"/>
        <v>221628.56000000003</v>
      </c>
      <c r="AJ148" s="38">
        <f t="shared" si="246"/>
        <v>268997</v>
      </c>
      <c r="AK148" s="39">
        <f t="shared" si="246"/>
        <v>180251.2</v>
      </c>
      <c r="AL148" s="38">
        <f t="shared" si="246"/>
        <v>343569</v>
      </c>
      <c r="AM148" s="39">
        <f t="shared" si="246"/>
        <v>234109.37999999998</v>
      </c>
      <c r="AN148" s="38">
        <f t="shared" ref="AN148:BS148" si="247">SUM(AN4:AN147)</f>
        <v>330260</v>
      </c>
      <c r="AO148" s="39">
        <f t="shared" si="247"/>
        <v>224285.99999999997</v>
      </c>
      <c r="AP148" s="38">
        <f t="shared" si="247"/>
        <v>346266</v>
      </c>
      <c r="AQ148" s="39">
        <f t="shared" si="247"/>
        <v>236673.48</v>
      </c>
      <c r="AR148" s="38">
        <f t="shared" si="247"/>
        <v>308961</v>
      </c>
      <c r="AS148" s="39">
        <f t="shared" si="247"/>
        <v>212208.12</v>
      </c>
      <c r="AT148" s="38">
        <f t="shared" si="247"/>
        <v>316734</v>
      </c>
      <c r="AU148" s="39">
        <f t="shared" si="247"/>
        <v>216206.28</v>
      </c>
      <c r="AV148" s="38">
        <f t="shared" si="247"/>
        <v>380944</v>
      </c>
      <c r="AW148" s="39">
        <f t="shared" si="247"/>
        <v>255979.2</v>
      </c>
      <c r="AX148" s="38">
        <f t="shared" si="247"/>
        <v>202293</v>
      </c>
      <c r="AY148" s="39">
        <f t="shared" si="247"/>
        <v>141859.87</v>
      </c>
      <c r="AZ148" s="38">
        <f t="shared" si="247"/>
        <v>226479</v>
      </c>
      <c r="BA148" s="39">
        <f t="shared" si="247"/>
        <v>156523.74</v>
      </c>
      <c r="BB148" s="38">
        <f t="shared" si="247"/>
        <v>262455</v>
      </c>
      <c r="BC148" s="39">
        <f t="shared" si="247"/>
        <v>181771.08000000002</v>
      </c>
      <c r="BD148" s="38">
        <f t="shared" si="247"/>
        <v>287068</v>
      </c>
      <c r="BE148" s="39">
        <f t="shared" si="247"/>
        <v>200616.88</v>
      </c>
      <c r="BF148" s="40">
        <f t="shared" si="247"/>
        <v>299972.66666666657</v>
      </c>
      <c r="BG148" s="41">
        <f t="shared" si="247"/>
        <v>205176.14916666667</v>
      </c>
      <c r="BH148" s="38">
        <f t="shared" si="247"/>
        <v>284980</v>
      </c>
      <c r="BI148" s="39">
        <f t="shared" si="247"/>
        <v>200645.96</v>
      </c>
      <c r="BJ148" s="38">
        <f t="shared" si="247"/>
        <v>250402</v>
      </c>
      <c r="BK148" s="39">
        <f t="shared" si="247"/>
        <v>175347.75999999998</v>
      </c>
      <c r="BL148" s="38">
        <f t="shared" si="247"/>
        <v>306180</v>
      </c>
      <c r="BM148" s="39">
        <f t="shared" si="247"/>
        <v>216101.84</v>
      </c>
      <c r="BN148" s="38">
        <f t="shared" si="247"/>
        <v>313206</v>
      </c>
      <c r="BO148" s="39">
        <f t="shared" si="247"/>
        <v>220161.03999999998</v>
      </c>
      <c r="BP148" s="38">
        <f t="shared" si="247"/>
        <v>319523</v>
      </c>
      <c r="BQ148" s="39">
        <f t="shared" si="247"/>
        <v>221018.78000000003</v>
      </c>
      <c r="BR148" s="38">
        <f t="shared" si="247"/>
        <v>319420</v>
      </c>
      <c r="BS148" s="39">
        <f t="shared" si="247"/>
        <v>227006.72</v>
      </c>
      <c r="BT148" s="38">
        <f t="shared" ref="BT148:CY148" si="248">SUM(BT4:BT147)</f>
        <v>309212</v>
      </c>
      <c r="BU148" s="39">
        <f t="shared" si="248"/>
        <v>219811.20000000001</v>
      </c>
      <c r="BV148" s="38">
        <f t="shared" si="248"/>
        <v>358266</v>
      </c>
      <c r="BW148" s="39">
        <f t="shared" si="248"/>
        <v>257544.8</v>
      </c>
      <c r="BX148" s="38">
        <f t="shared" si="248"/>
        <v>289469</v>
      </c>
      <c r="BY148" s="39">
        <f t="shared" si="248"/>
        <v>211684.06000000003</v>
      </c>
      <c r="BZ148" s="38">
        <f t="shared" si="248"/>
        <v>334424</v>
      </c>
      <c r="CA148" s="39">
        <f t="shared" si="248"/>
        <v>242242.68000000002</v>
      </c>
      <c r="CB148" s="38">
        <f t="shared" si="248"/>
        <v>251296</v>
      </c>
      <c r="CC148" s="39">
        <f t="shared" si="248"/>
        <v>181264.84</v>
      </c>
      <c r="CD148" s="38">
        <f t="shared" si="248"/>
        <v>298525</v>
      </c>
      <c r="CE148" s="39">
        <f t="shared" si="248"/>
        <v>220445.46000000002</v>
      </c>
      <c r="CF148" s="40">
        <f t="shared" si="248"/>
        <v>302908.58333333331</v>
      </c>
      <c r="CG148" s="41">
        <f t="shared" si="248"/>
        <v>216106.26166666669</v>
      </c>
      <c r="CH148" s="38">
        <f t="shared" si="248"/>
        <v>292067</v>
      </c>
      <c r="CI148" s="39">
        <f t="shared" si="248"/>
        <v>217035.26</v>
      </c>
      <c r="CJ148" s="38">
        <f t="shared" si="248"/>
        <v>293594</v>
      </c>
      <c r="CK148" s="39">
        <f t="shared" si="248"/>
        <v>215869.63999999998</v>
      </c>
      <c r="CL148" s="38">
        <f t="shared" si="248"/>
        <v>365124</v>
      </c>
      <c r="CM148" s="39">
        <f t="shared" si="248"/>
        <v>263664.64000000001</v>
      </c>
      <c r="CN148" s="38">
        <f t="shared" si="248"/>
        <v>250122</v>
      </c>
      <c r="CO148" s="39">
        <f t="shared" si="248"/>
        <v>175295.28000000003</v>
      </c>
      <c r="CP148" s="38">
        <f t="shared" si="248"/>
        <v>366424</v>
      </c>
      <c r="CQ148" s="39">
        <f t="shared" si="248"/>
        <v>272334.96000000002</v>
      </c>
      <c r="CR148" s="38">
        <f t="shared" si="248"/>
        <v>342708</v>
      </c>
      <c r="CS148" s="39">
        <f t="shared" si="248"/>
        <v>256131.19999999998</v>
      </c>
      <c r="CT148" s="38">
        <f t="shared" si="248"/>
        <v>319332</v>
      </c>
      <c r="CU148" s="39">
        <f t="shared" si="248"/>
        <v>237110.32</v>
      </c>
      <c r="CV148" s="38">
        <f t="shared" si="248"/>
        <v>306217</v>
      </c>
      <c r="CW148" s="39">
        <f t="shared" si="248"/>
        <v>234523.11000000004</v>
      </c>
      <c r="CX148" s="38">
        <f t="shared" si="248"/>
        <v>310551</v>
      </c>
      <c r="CY148" s="39">
        <f t="shared" si="248"/>
        <v>237489.63000000003</v>
      </c>
      <c r="CZ148" s="38">
        <f t="shared" ref="CZ148:EE148" si="249">SUM(CZ4:CZ147)</f>
        <v>302387</v>
      </c>
      <c r="DA148" s="39">
        <f t="shared" si="249"/>
        <v>227076.46000000002</v>
      </c>
      <c r="DB148" s="38">
        <f t="shared" si="249"/>
        <v>282632</v>
      </c>
      <c r="DC148" s="39">
        <f t="shared" si="249"/>
        <v>215962.82</v>
      </c>
      <c r="DD148" s="38">
        <f t="shared" si="249"/>
        <v>308173</v>
      </c>
      <c r="DE148" s="39">
        <f t="shared" si="249"/>
        <v>239119.66999999995</v>
      </c>
      <c r="DF148" s="38">
        <f t="shared" si="249"/>
        <v>3739331</v>
      </c>
      <c r="DG148" s="39">
        <f t="shared" si="249"/>
        <v>2791612.99</v>
      </c>
      <c r="DH148" s="38">
        <f t="shared" si="249"/>
        <v>299175</v>
      </c>
      <c r="DI148" s="39">
        <f t="shared" si="249"/>
        <v>233525.95</v>
      </c>
      <c r="DJ148" s="38">
        <f t="shared" si="249"/>
        <v>285899</v>
      </c>
      <c r="DK148" s="39">
        <f t="shared" si="249"/>
        <v>221678.60999999996</v>
      </c>
      <c r="DL148" s="38">
        <f t="shared" si="249"/>
        <v>197845</v>
      </c>
      <c r="DM148" s="39">
        <f t="shared" si="249"/>
        <v>157569.16999999995</v>
      </c>
      <c r="DN148" s="38">
        <f t="shared" si="249"/>
        <v>0</v>
      </c>
      <c r="DO148" s="39">
        <f t="shared" si="249"/>
        <v>0</v>
      </c>
      <c r="DP148" s="38">
        <f t="shared" si="249"/>
        <v>0</v>
      </c>
      <c r="DQ148" s="39">
        <f t="shared" si="249"/>
        <v>0</v>
      </c>
      <c r="DR148" s="38">
        <f t="shared" si="249"/>
        <v>0</v>
      </c>
      <c r="DS148" s="39">
        <f t="shared" si="249"/>
        <v>0</v>
      </c>
      <c r="DT148" s="38">
        <f t="shared" si="249"/>
        <v>0</v>
      </c>
      <c r="DU148" s="39">
        <f t="shared" si="249"/>
        <v>0</v>
      </c>
      <c r="DV148" s="38">
        <f t="shared" si="249"/>
        <v>0</v>
      </c>
      <c r="DW148" s="39">
        <f t="shared" si="249"/>
        <v>0</v>
      </c>
      <c r="DX148" s="38">
        <f t="shared" si="249"/>
        <v>0</v>
      </c>
      <c r="DY148" s="39">
        <f t="shared" si="249"/>
        <v>0</v>
      </c>
      <c r="DZ148" s="38">
        <f t="shared" si="249"/>
        <v>0</v>
      </c>
      <c r="EA148" s="39">
        <f t="shared" si="249"/>
        <v>0</v>
      </c>
      <c r="EB148" s="38">
        <f t="shared" si="249"/>
        <v>0</v>
      </c>
      <c r="EC148" s="39">
        <f t="shared" si="249"/>
        <v>0</v>
      </c>
      <c r="ED148" s="38">
        <f t="shared" si="249"/>
        <v>0</v>
      </c>
      <c r="EE148" s="39">
        <f t="shared" si="249"/>
        <v>0</v>
      </c>
      <c r="EF148" s="38">
        <f t="shared" ref="EF148:EG148" si="250">SUM(EF4:EF147)</f>
        <v>782919</v>
      </c>
      <c r="EG148" s="39">
        <f t="shared" si="250"/>
        <v>612773.73</v>
      </c>
    </row>
    <row r="149" spans="1:137" ht="18" x14ac:dyDescent="0.5">
      <c r="A149" s="10"/>
      <c r="B149" s="16"/>
      <c r="C149" s="16"/>
      <c r="D149" s="10"/>
      <c r="E149" s="10"/>
      <c r="F149" s="42"/>
      <c r="G149" s="33"/>
      <c r="H149" s="12"/>
      <c r="I149" s="13"/>
      <c r="J149" s="12"/>
      <c r="K149" s="13"/>
      <c r="L149" s="12"/>
      <c r="M149" s="13"/>
      <c r="N149" s="12"/>
      <c r="O149" s="13"/>
      <c r="P149" s="12"/>
      <c r="Q149" s="13"/>
      <c r="R149" s="12"/>
      <c r="S149" s="13"/>
      <c r="T149" s="12"/>
      <c r="U149" s="13"/>
      <c r="V149" s="12"/>
      <c r="W149" s="13"/>
      <c r="X149" s="12"/>
      <c r="Y149" s="13"/>
      <c r="Z149" s="12"/>
      <c r="AA149" s="13"/>
      <c r="AB149" s="12"/>
      <c r="AC149" s="13"/>
      <c r="AD149" s="12"/>
      <c r="AE149" s="13"/>
      <c r="AF149" s="14"/>
      <c r="AG149" s="15"/>
      <c r="AH149" s="12"/>
      <c r="AI149" s="13"/>
      <c r="AJ149" s="12"/>
      <c r="AK149" s="13"/>
      <c r="AL149" s="12"/>
      <c r="AM149" s="13"/>
      <c r="AN149" s="12"/>
      <c r="AO149" s="13"/>
      <c r="AP149" s="12"/>
      <c r="AQ149" s="13"/>
      <c r="AR149" s="12"/>
      <c r="AS149" s="13"/>
      <c r="AT149" s="12"/>
      <c r="AU149" s="13"/>
      <c r="AV149" s="12"/>
      <c r="AW149" s="13"/>
      <c r="AX149" s="12"/>
      <c r="AY149" s="13"/>
      <c r="AZ149" s="12"/>
      <c r="BA149" s="13"/>
      <c r="BB149" s="12"/>
      <c r="BC149" s="13"/>
      <c r="BD149" s="12"/>
      <c r="BE149" s="13"/>
      <c r="BF149" s="14"/>
      <c r="BG149" s="15"/>
      <c r="BH149" s="12"/>
      <c r="BI149" s="13"/>
      <c r="BJ149" s="12"/>
      <c r="BK149" s="13"/>
      <c r="BL149" s="12"/>
      <c r="BM149" s="13"/>
      <c r="BN149" s="12"/>
      <c r="BO149" s="13"/>
      <c r="BP149" s="12"/>
      <c r="BQ149" s="13"/>
      <c r="BR149" s="12"/>
      <c r="BS149" s="13"/>
      <c r="BT149" s="12"/>
      <c r="BU149" s="13"/>
      <c r="BV149" s="12"/>
      <c r="BW149" s="13"/>
      <c r="BX149" s="12"/>
      <c r="BY149" s="13"/>
      <c r="BZ149" s="12"/>
      <c r="CA149" s="13"/>
      <c r="CB149" s="12"/>
      <c r="CC149" s="13"/>
      <c r="CD149" s="12"/>
      <c r="CE149" s="13"/>
      <c r="CF149" s="14"/>
      <c r="CG149" s="15"/>
      <c r="CH149" s="12"/>
      <c r="CI149" s="13"/>
      <c r="CJ149" s="12"/>
      <c r="CK149" s="13"/>
      <c r="CL149" s="12"/>
      <c r="CM149" s="13"/>
      <c r="CN149" s="12"/>
      <c r="CO149" s="13"/>
      <c r="CP149" s="12"/>
      <c r="CQ149" s="13"/>
      <c r="CR149" s="12"/>
      <c r="CS149" s="13"/>
      <c r="CT149" s="12"/>
      <c r="CU149" s="13"/>
      <c r="CV149" s="12"/>
      <c r="CW149" s="13"/>
      <c r="CX149" s="12"/>
      <c r="CY149" s="13"/>
      <c r="CZ149" s="12"/>
      <c r="DA149" s="13"/>
      <c r="DB149" s="12"/>
      <c r="DC149" s="13"/>
      <c r="DD149" s="12"/>
      <c r="DE149" s="13"/>
      <c r="DF149" s="64"/>
      <c r="DG149" s="15"/>
      <c r="DH149" s="12"/>
      <c r="DI149" s="13"/>
      <c r="DJ149" s="12"/>
      <c r="DK149" s="13"/>
      <c r="DL149" s="12"/>
      <c r="DM149" s="13"/>
      <c r="DN149" s="12"/>
      <c r="DO149" s="13"/>
      <c r="DP149" s="12"/>
      <c r="DQ149" s="13"/>
      <c r="DR149" s="12"/>
      <c r="DS149" s="13"/>
      <c r="DT149" s="12"/>
      <c r="DU149" s="13"/>
      <c r="DV149" s="12"/>
      <c r="DW149" s="13"/>
      <c r="DX149" s="12"/>
      <c r="DY149" s="13"/>
      <c r="DZ149" s="12"/>
      <c r="EA149" s="13"/>
      <c r="EB149" s="12"/>
      <c r="EC149" s="13"/>
      <c r="ED149" s="12"/>
      <c r="EE149" s="13"/>
      <c r="EF149" s="24"/>
      <c r="EG149" s="13"/>
    </row>
    <row r="150" spans="1:137" ht="18" x14ac:dyDescent="0.5">
      <c r="A150" s="10">
        <v>112</v>
      </c>
      <c r="B150" s="16" t="s">
        <v>106</v>
      </c>
      <c r="C150" s="16" t="s">
        <v>14</v>
      </c>
      <c r="D150" s="10">
        <f t="shared" ref="D150:D163" si="251">RANK(DF150,$DF$149:$DF$168)</f>
        <v>1</v>
      </c>
      <c r="E150" s="10">
        <v>0.7</v>
      </c>
      <c r="F150" s="42" t="s">
        <v>15</v>
      </c>
      <c r="G150" s="61">
        <v>4500</v>
      </c>
      <c r="H150" s="12">
        <v>1709</v>
      </c>
      <c r="I150" s="13">
        <f t="shared" ref="I150:I168" si="252">H150*$E150</f>
        <v>1196.3</v>
      </c>
      <c r="J150" s="12">
        <v>860</v>
      </c>
      <c r="K150" s="13">
        <f t="shared" ref="K150:K168" si="253">J150*$E150</f>
        <v>602</v>
      </c>
      <c r="L150" s="12">
        <v>773</v>
      </c>
      <c r="M150" s="13">
        <f t="shared" ref="M150:M168" si="254">L150*$E150</f>
        <v>541.09999999999991</v>
      </c>
      <c r="N150" s="12">
        <v>814</v>
      </c>
      <c r="O150" s="13">
        <f t="shared" ref="O150:O168" si="255">N150*$E150</f>
        <v>569.79999999999995</v>
      </c>
      <c r="P150" s="12">
        <v>1383</v>
      </c>
      <c r="Q150" s="13">
        <f t="shared" ref="Q150:Q168" si="256">P150*$E150</f>
        <v>968.09999999999991</v>
      </c>
      <c r="R150" s="12">
        <v>929</v>
      </c>
      <c r="S150" s="13">
        <f t="shared" ref="S150:S168" si="257">R150*$E150</f>
        <v>650.29999999999995</v>
      </c>
      <c r="T150" s="12">
        <v>864</v>
      </c>
      <c r="U150" s="13">
        <f t="shared" ref="U150:U168" si="258">T150*$E150</f>
        <v>604.79999999999995</v>
      </c>
      <c r="V150" s="12">
        <v>797</v>
      </c>
      <c r="W150" s="13">
        <f t="shared" ref="W150:W168" si="259">V150*$E150</f>
        <v>557.9</v>
      </c>
      <c r="X150" s="12">
        <v>583</v>
      </c>
      <c r="Y150" s="13">
        <f t="shared" ref="Y150:Y168" si="260">X150*$E150</f>
        <v>408.09999999999997</v>
      </c>
      <c r="Z150" s="12">
        <v>685</v>
      </c>
      <c r="AA150" s="13">
        <f t="shared" ref="AA150:AA168" si="261">Z150*$E150</f>
        <v>479.49999999999994</v>
      </c>
      <c r="AB150" s="12">
        <v>131</v>
      </c>
      <c r="AC150" s="13">
        <f t="shared" ref="AC150:AC168" si="262">AB150*$E150</f>
        <v>91.699999999999989</v>
      </c>
      <c r="AD150" s="12">
        <v>631</v>
      </c>
      <c r="AE150" s="13">
        <f t="shared" ref="AE150:AE168" si="263">AD150*$E150</f>
        <v>441.7</v>
      </c>
      <c r="AF150" s="14">
        <f t="shared" ref="AF150:AF168" si="264">(AD150+AB150+Z150+X150+V150+T150+R150+P150+N150+L150+J150+H150)/12</f>
        <v>846.58333333333337</v>
      </c>
      <c r="AG150" s="15">
        <f t="shared" ref="AG150:AG168" si="265">AF150*$E150</f>
        <v>592.60833333333335</v>
      </c>
      <c r="AH150" s="12">
        <v>324</v>
      </c>
      <c r="AI150" s="13">
        <f t="shared" ref="AI150:AI168" si="266">AH150*$E150</f>
        <v>226.79999999999998</v>
      </c>
      <c r="AJ150" s="12">
        <v>182</v>
      </c>
      <c r="AK150" s="13">
        <f t="shared" ref="AK150:AK168" si="267">AJ150*$E150</f>
        <v>127.39999999999999</v>
      </c>
      <c r="AL150" s="12">
        <v>886</v>
      </c>
      <c r="AM150" s="13">
        <f t="shared" ref="AM150:AM168" si="268">AL150*$E150</f>
        <v>620.19999999999993</v>
      </c>
      <c r="AN150" s="12">
        <v>404</v>
      </c>
      <c r="AO150" s="13">
        <f t="shared" ref="AO150:AO168" si="269">AN150*$E150</f>
        <v>282.79999999999995</v>
      </c>
      <c r="AP150" s="12">
        <v>483</v>
      </c>
      <c r="AQ150" s="13">
        <f t="shared" ref="AQ150:AQ168" si="270">AP150*$E150</f>
        <v>338.09999999999997</v>
      </c>
      <c r="AR150" s="12">
        <v>142</v>
      </c>
      <c r="AS150" s="13">
        <f t="shared" ref="AS150:AS168" si="271">AR150*$E150</f>
        <v>99.399999999999991</v>
      </c>
      <c r="AT150" s="12">
        <v>108</v>
      </c>
      <c r="AU150" s="13">
        <f t="shared" ref="AU150:AU168" si="272">AT150*$E150</f>
        <v>75.599999999999994</v>
      </c>
      <c r="AV150" s="12">
        <v>204</v>
      </c>
      <c r="AW150" s="13">
        <f t="shared" ref="AW150:AW168" si="273">AV150*$E150</f>
        <v>142.79999999999998</v>
      </c>
      <c r="AX150" s="12">
        <v>429</v>
      </c>
      <c r="AY150" s="13">
        <f t="shared" ref="AY150:AY168" si="274">AX150*$E150</f>
        <v>300.29999999999995</v>
      </c>
      <c r="AZ150" s="12">
        <v>150</v>
      </c>
      <c r="BA150" s="13">
        <f t="shared" ref="BA150:BA168" si="275">AZ150*$E150</f>
        <v>105</v>
      </c>
      <c r="BB150" s="12">
        <v>150</v>
      </c>
      <c r="BC150" s="13">
        <f t="shared" ref="BC150:BC168" si="276">BB150*$E150</f>
        <v>105</v>
      </c>
      <c r="BD150" s="12">
        <v>192</v>
      </c>
      <c r="BE150" s="13">
        <f t="shared" ref="BE150:BE168" si="277">BD150*$E150</f>
        <v>134.39999999999998</v>
      </c>
      <c r="BF150" s="14">
        <f t="shared" ref="BF150:BF168" si="278">(BD150+BB150+AZ150+AX150+AV150+AT150+AR150+AP150+AN150+AL150+AJ150+AH150)/12</f>
        <v>304.5</v>
      </c>
      <c r="BG150" s="15">
        <f t="shared" ref="BG150:BG168" si="279">BF150*$E150</f>
        <v>213.14999999999998</v>
      </c>
      <c r="BH150" s="12">
        <v>348</v>
      </c>
      <c r="BI150" s="13">
        <f t="shared" ref="BI150:BI167" si="280">BH150*$E150</f>
        <v>243.6</v>
      </c>
      <c r="BJ150" s="12">
        <v>12</v>
      </c>
      <c r="BK150" s="13">
        <f t="shared" ref="BK150:BK167" si="281">BJ150*$E150</f>
        <v>8.3999999999999986</v>
      </c>
      <c r="BL150" s="12">
        <v>192</v>
      </c>
      <c r="BM150" s="13">
        <f t="shared" ref="BM150:BM167" si="282">BL150*$E150</f>
        <v>134.39999999999998</v>
      </c>
      <c r="BN150" s="12">
        <v>12</v>
      </c>
      <c r="BO150" s="13">
        <f t="shared" ref="BO150:BO167" si="283">BN150*$E150</f>
        <v>8.3999999999999986</v>
      </c>
      <c r="BP150" s="12">
        <v>240</v>
      </c>
      <c r="BQ150" s="13">
        <f t="shared" ref="BQ150:BQ167" si="284">BP150*$E150</f>
        <v>168</v>
      </c>
      <c r="BR150" s="12">
        <v>180</v>
      </c>
      <c r="BS150" s="13">
        <f t="shared" ref="BS150:BS167" si="285">BR150*$E150</f>
        <v>125.99999999999999</v>
      </c>
      <c r="BT150" s="12">
        <v>48</v>
      </c>
      <c r="BU150" s="13">
        <f t="shared" ref="BU150:BU167" si="286">BT150*$E150</f>
        <v>33.599999999999994</v>
      </c>
      <c r="BV150" s="12">
        <v>240</v>
      </c>
      <c r="BW150" s="13">
        <f t="shared" ref="BW150:BW167" si="287">BV150*$E150</f>
        <v>168</v>
      </c>
      <c r="BX150" s="12">
        <v>324</v>
      </c>
      <c r="BY150" s="13">
        <f t="shared" ref="BY150:BY167" si="288">BX150*$E150</f>
        <v>226.79999999999998</v>
      </c>
      <c r="BZ150" s="12">
        <v>300</v>
      </c>
      <c r="CA150" s="13">
        <f t="shared" ref="CA150:CA167" si="289">BZ150*$E150</f>
        <v>210</v>
      </c>
      <c r="CB150" s="12">
        <v>444</v>
      </c>
      <c r="CC150" s="13">
        <f t="shared" ref="CC150:CC167" si="290">CB150*$E150</f>
        <v>310.79999999999995</v>
      </c>
      <c r="CD150" s="12">
        <v>120</v>
      </c>
      <c r="CE150" s="13">
        <f t="shared" ref="CE150:CE167" si="291">CD150*$E150</f>
        <v>84</v>
      </c>
      <c r="CF150" s="14">
        <f t="shared" ref="CF150:CF167" si="292">(CD150+CB150+BZ150+BX150+BV150+BT150+BR150+BP150+BN150+BL150+BJ150+BH150)/12</f>
        <v>205</v>
      </c>
      <c r="CG150" s="15">
        <f t="shared" ref="CG150:CG167" si="293">CF150*$E150</f>
        <v>143.5</v>
      </c>
      <c r="CH150" s="12">
        <v>252</v>
      </c>
      <c r="CI150" s="13">
        <f t="shared" ref="CI150:CI168" si="294">CH150*$E150</f>
        <v>176.39999999999998</v>
      </c>
      <c r="CJ150" s="12">
        <v>192</v>
      </c>
      <c r="CK150" s="13">
        <f t="shared" ref="CK150:CK168" si="295">CJ150*$E150</f>
        <v>134.39999999999998</v>
      </c>
      <c r="CL150" s="12"/>
      <c r="CM150" s="13">
        <f t="shared" ref="CM150:CM168" si="296">CL150*$E150</f>
        <v>0</v>
      </c>
      <c r="CN150" s="12">
        <v>120</v>
      </c>
      <c r="CO150" s="13">
        <f t="shared" ref="CO150:CO168" si="297">CN150*$E150</f>
        <v>84</v>
      </c>
      <c r="CP150" s="12"/>
      <c r="CQ150" s="13">
        <f t="shared" ref="CQ150:CQ168" si="298">CP150*$E150</f>
        <v>0</v>
      </c>
      <c r="CR150" s="12">
        <v>12</v>
      </c>
      <c r="CS150" s="13">
        <f t="shared" ref="CS150:CS168" si="299">CR150*$E150</f>
        <v>8.3999999999999986</v>
      </c>
      <c r="CT150" s="12">
        <v>72</v>
      </c>
      <c r="CU150" s="13">
        <f t="shared" ref="CU150:CU168" si="300">CT150*$E150</f>
        <v>50.4</v>
      </c>
      <c r="CV150" s="12"/>
      <c r="CW150" s="13">
        <f t="shared" ref="CW150:CW168" si="301">CV150*$E150</f>
        <v>0</v>
      </c>
      <c r="CX150" s="12"/>
      <c r="CY150" s="13">
        <f t="shared" ref="CY150:CY168" si="302">CX150*$E150</f>
        <v>0</v>
      </c>
      <c r="CZ150" s="12">
        <v>24</v>
      </c>
      <c r="DA150" s="13">
        <f t="shared" ref="DA150:DA168" si="303">CZ150*$E150</f>
        <v>16.799999999999997</v>
      </c>
      <c r="DB150" s="12">
        <v>120</v>
      </c>
      <c r="DC150" s="13">
        <f t="shared" ref="DC150:DE168" si="304">DB150*$E150</f>
        <v>84</v>
      </c>
      <c r="DD150" s="12"/>
      <c r="DE150" s="13">
        <f t="shared" si="304"/>
        <v>0</v>
      </c>
      <c r="DF150" s="64">
        <f t="shared" ref="DF150:DF168" si="305">SUM(CH150,CJ150,CL150,CN150,CP150,CR150,CT150,CV150,CX150,CZ150,DB150,DD150)</f>
        <v>792</v>
      </c>
      <c r="DG150" s="15">
        <f t="shared" ref="DG150:DG168" si="306">DF150*$E150</f>
        <v>554.4</v>
      </c>
      <c r="DH150" s="12"/>
      <c r="DI150" s="13">
        <f t="shared" ref="DI150:DI156" si="307">DH150*$E150</f>
        <v>0</v>
      </c>
      <c r="DJ150" s="12">
        <v>60</v>
      </c>
      <c r="DK150" s="13">
        <f t="shared" ref="DK150:DK156" si="308">DJ150*$E150</f>
        <v>42</v>
      </c>
      <c r="DL150" s="12"/>
      <c r="DM150" s="13">
        <f t="shared" ref="DM150:DM156" si="309">DL150*$E150</f>
        <v>0</v>
      </c>
      <c r="DN150" s="12"/>
      <c r="DO150" s="13">
        <f t="shared" ref="DO150:DO151" si="310">DN150*$E150</f>
        <v>0</v>
      </c>
      <c r="DP150" s="12"/>
      <c r="DQ150" s="13">
        <f t="shared" ref="DQ150:DQ156" si="311">DP150*$E150</f>
        <v>0</v>
      </c>
      <c r="DR150" s="12"/>
      <c r="DS150" s="13">
        <f t="shared" ref="DS150:DS156" si="312">DR150*$E150</f>
        <v>0</v>
      </c>
      <c r="DT150" s="12"/>
      <c r="DU150" s="13">
        <f t="shared" ref="DU150:DU156" si="313">DT150*$E150</f>
        <v>0</v>
      </c>
      <c r="DV150" s="12"/>
      <c r="DW150" s="13">
        <f t="shared" ref="DW150:DW156" si="314">DV150*$E150</f>
        <v>0</v>
      </c>
      <c r="DX150" s="12"/>
      <c r="DY150" s="13">
        <f t="shared" ref="DY150:DY156" si="315">DX150*$E150</f>
        <v>0</v>
      </c>
      <c r="DZ150" s="12"/>
      <c r="EA150" s="13">
        <f t="shared" ref="EA150:EA156" si="316">DZ150*$E150</f>
        <v>0</v>
      </c>
      <c r="EB150" s="12"/>
      <c r="EC150" s="13">
        <f t="shared" ref="EC150:EC156" si="317">EB150*$E150</f>
        <v>0</v>
      </c>
      <c r="ED150" s="12"/>
      <c r="EE150" s="13">
        <f t="shared" ref="EE150:EE156" si="318">ED150*$E150</f>
        <v>0</v>
      </c>
      <c r="EF150" s="24">
        <f t="shared" ref="EF150" si="319">SUM(DH150,DJ150,DL150,DN150,DP150,DR150,DT150,DV150,DX150,DZ150,EB150,ED150)</f>
        <v>60</v>
      </c>
      <c r="EG150" s="13">
        <f t="shared" ref="EG150:EG156" si="320">EF150*$E150</f>
        <v>42</v>
      </c>
    </row>
    <row r="151" spans="1:137" ht="18" x14ac:dyDescent="0.5">
      <c r="A151" s="10">
        <v>113</v>
      </c>
      <c r="B151" s="16" t="s">
        <v>107</v>
      </c>
      <c r="C151" s="16" t="s">
        <v>14</v>
      </c>
      <c r="D151" s="10">
        <f t="shared" si="251"/>
        <v>3</v>
      </c>
      <c r="E151" s="10">
        <v>0.35</v>
      </c>
      <c r="F151" s="42" t="s">
        <v>23</v>
      </c>
      <c r="G151" s="61">
        <v>2300</v>
      </c>
      <c r="H151" s="12">
        <v>800</v>
      </c>
      <c r="I151" s="13">
        <f t="shared" si="252"/>
        <v>280</v>
      </c>
      <c r="J151" s="12">
        <v>477</v>
      </c>
      <c r="K151" s="13">
        <f t="shared" si="253"/>
        <v>166.95</v>
      </c>
      <c r="L151" s="12">
        <v>379</v>
      </c>
      <c r="M151" s="13">
        <f t="shared" si="254"/>
        <v>132.65</v>
      </c>
      <c r="N151" s="12">
        <v>384</v>
      </c>
      <c r="O151" s="13">
        <f t="shared" si="255"/>
        <v>134.39999999999998</v>
      </c>
      <c r="P151" s="12">
        <v>289</v>
      </c>
      <c r="Q151" s="13">
        <f t="shared" si="256"/>
        <v>101.14999999999999</v>
      </c>
      <c r="R151" s="12">
        <v>270</v>
      </c>
      <c r="S151" s="13">
        <f t="shared" si="257"/>
        <v>94.5</v>
      </c>
      <c r="T151" s="12">
        <v>129</v>
      </c>
      <c r="U151" s="13">
        <f t="shared" si="258"/>
        <v>45.15</v>
      </c>
      <c r="V151" s="12">
        <v>79</v>
      </c>
      <c r="W151" s="13">
        <f t="shared" si="259"/>
        <v>27.65</v>
      </c>
      <c r="X151" s="12">
        <v>179</v>
      </c>
      <c r="Y151" s="13">
        <f t="shared" si="260"/>
        <v>62.65</v>
      </c>
      <c r="Z151" s="12">
        <v>150</v>
      </c>
      <c r="AA151" s="13">
        <f t="shared" si="261"/>
        <v>52.5</v>
      </c>
      <c r="AB151" s="12">
        <v>176</v>
      </c>
      <c r="AC151" s="13">
        <f t="shared" si="262"/>
        <v>61.599999999999994</v>
      </c>
      <c r="AD151" s="12">
        <v>508</v>
      </c>
      <c r="AE151" s="13">
        <f t="shared" si="263"/>
        <v>177.79999999999998</v>
      </c>
      <c r="AF151" s="14">
        <f t="shared" si="264"/>
        <v>318.33333333333331</v>
      </c>
      <c r="AG151" s="15">
        <f t="shared" si="265"/>
        <v>111.41666666666666</v>
      </c>
      <c r="AH151" s="12">
        <v>185</v>
      </c>
      <c r="AI151" s="13">
        <f t="shared" si="266"/>
        <v>64.75</v>
      </c>
      <c r="AJ151" s="12">
        <v>149</v>
      </c>
      <c r="AK151" s="13">
        <f t="shared" si="267"/>
        <v>52.15</v>
      </c>
      <c r="AL151" s="12">
        <v>300</v>
      </c>
      <c r="AM151" s="13">
        <f t="shared" si="268"/>
        <v>105</v>
      </c>
      <c r="AN151" s="12">
        <v>65</v>
      </c>
      <c r="AO151" s="13">
        <f t="shared" si="269"/>
        <v>22.75</v>
      </c>
      <c r="AP151" s="12">
        <v>127</v>
      </c>
      <c r="AQ151" s="13">
        <f t="shared" si="270"/>
        <v>44.449999999999996</v>
      </c>
      <c r="AR151" s="12">
        <v>13</v>
      </c>
      <c r="AS151" s="13">
        <f t="shared" si="271"/>
        <v>4.55</v>
      </c>
      <c r="AT151" s="12">
        <v>24</v>
      </c>
      <c r="AU151" s="13">
        <f t="shared" si="272"/>
        <v>8.3999999999999986</v>
      </c>
      <c r="AV151" s="12">
        <v>122</v>
      </c>
      <c r="AW151" s="13">
        <f t="shared" si="273"/>
        <v>42.699999999999996</v>
      </c>
      <c r="AX151" s="12">
        <v>236</v>
      </c>
      <c r="AY151" s="13">
        <f t="shared" si="274"/>
        <v>82.6</v>
      </c>
      <c r="AZ151" s="12">
        <v>36</v>
      </c>
      <c r="BA151" s="13">
        <f t="shared" si="275"/>
        <v>12.6</v>
      </c>
      <c r="BB151" s="12">
        <v>96</v>
      </c>
      <c r="BC151" s="13">
        <f t="shared" si="276"/>
        <v>33.599999999999994</v>
      </c>
      <c r="BD151" s="12">
        <v>6</v>
      </c>
      <c r="BE151" s="13">
        <f t="shared" si="277"/>
        <v>2.0999999999999996</v>
      </c>
      <c r="BF151" s="14">
        <f t="shared" si="278"/>
        <v>113.25</v>
      </c>
      <c r="BG151" s="15">
        <f t="shared" si="279"/>
        <v>39.637499999999996</v>
      </c>
      <c r="BH151" s="12">
        <v>72</v>
      </c>
      <c r="BI151" s="13">
        <f t="shared" si="280"/>
        <v>25.2</v>
      </c>
      <c r="BJ151" s="12">
        <v>24</v>
      </c>
      <c r="BK151" s="13">
        <f t="shared" si="281"/>
        <v>8.3999999999999986</v>
      </c>
      <c r="BL151" s="12">
        <v>96</v>
      </c>
      <c r="BM151" s="13">
        <f t="shared" si="282"/>
        <v>33.599999999999994</v>
      </c>
      <c r="BN151" s="12"/>
      <c r="BO151" s="13">
        <f t="shared" si="283"/>
        <v>0</v>
      </c>
      <c r="BP151" s="12"/>
      <c r="BQ151" s="13">
        <f t="shared" si="284"/>
        <v>0</v>
      </c>
      <c r="BR151" s="12"/>
      <c r="BS151" s="13">
        <f t="shared" si="285"/>
        <v>0</v>
      </c>
      <c r="BT151" s="12"/>
      <c r="BU151" s="13">
        <f t="shared" si="286"/>
        <v>0</v>
      </c>
      <c r="BV151" s="12">
        <v>24</v>
      </c>
      <c r="BW151" s="13">
        <f t="shared" si="287"/>
        <v>8.3999999999999986</v>
      </c>
      <c r="BX151" s="12">
        <v>24</v>
      </c>
      <c r="BY151" s="13">
        <f t="shared" si="288"/>
        <v>8.3999999999999986</v>
      </c>
      <c r="BZ151" s="12"/>
      <c r="CA151" s="13">
        <f t="shared" si="289"/>
        <v>0</v>
      </c>
      <c r="CB151" s="12">
        <v>24</v>
      </c>
      <c r="CC151" s="13">
        <f t="shared" si="290"/>
        <v>8.3999999999999986</v>
      </c>
      <c r="CD151" s="12">
        <v>24</v>
      </c>
      <c r="CE151" s="13">
        <f t="shared" si="291"/>
        <v>8.3999999999999986</v>
      </c>
      <c r="CF151" s="14">
        <f t="shared" si="292"/>
        <v>24</v>
      </c>
      <c r="CG151" s="15">
        <f t="shared" si="293"/>
        <v>8.3999999999999986</v>
      </c>
      <c r="CH151" s="12">
        <v>48</v>
      </c>
      <c r="CI151" s="13">
        <f t="shared" si="294"/>
        <v>16.799999999999997</v>
      </c>
      <c r="CJ151" s="12">
        <v>96</v>
      </c>
      <c r="CK151" s="13">
        <f t="shared" si="295"/>
        <v>33.599999999999994</v>
      </c>
      <c r="CL151" s="12">
        <v>24</v>
      </c>
      <c r="CM151" s="13">
        <f t="shared" si="296"/>
        <v>8.3999999999999986</v>
      </c>
      <c r="CN151" s="12">
        <v>72</v>
      </c>
      <c r="CO151" s="13">
        <v>25.2</v>
      </c>
      <c r="CP151" s="12"/>
      <c r="CQ151" s="13">
        <f t="shared" si="298"/>
        <v>0</v>
      </c>
      <c r="CR151" s="12"/>
      <c r="CS151" s="13">
        <f t="shared" si="299"/>
        <v>0</v>
      </c>
      <c r="CT151" s="12"/>
      <c r="CU151" s="13">
        <f t="shared" si="300"/>
        <v>0</v>
      </c>
      <c r="CV151" s="12"/>
      <c r="CW151" s="13">
        <f t="shared" si="301"/>
        <v>0</v>
      </c>
      <c r="CX151" s="12"/>
      <c r="CY151" s="13">
        <f t="shared" si="302"/>
        <v>0</v>
      </c>
      <c r="CZ151" s="12">
        <v>72</v>
      </c>
      <c r="DA151" s="13">
        <f t="shared" si="303"/>
        <v>25.2</v>
      </c>
      <c r="DB151" s="12"/>
      <c r="DC151" s="13">
        <f t="shared" si="304"/>
        <v>0</v>
      </c>
      <c r="DD151" s="12"/>
      <c r="DE151" s="13">
        <f t="shared" si="304"/>
        <v>0</v>
      </c>
      <c r="DF151" s="64">
        <f>SUM(CH151,CJ151,CL151,CN151,CP151,CR151,CT151,CV151,CX151,CZ151,DB151,DD151)</f>
        <v>312</v>
      </c>
      <c r="DG151" s="15">
        <f t="shared" si="306"/>
        <v>109.19999999999999</v>
      </c>
      <c r="DH151" s="12"/>
      <c r="DI151" s="13">
        <f t="shared" si="307"/>
        <v>0</v>
      </c>
      <c r="DJ151" s="12"/>
      <c r="DK151" s="13">
        <f t="shared" si="308"/>
        <v>0</v>
      </c>
      <c r="DL151" s="12"/>
      <c r="DM151" s="13">
        <f t="shared" si="309"/>
        <v>0</v>
      </c>
      <c r="DN151" s="12"/>
      <c r="DO151" s="13">
        <f t="shared" si="310"/>
        <v>0</v>
      </c>
      <c r="DP151" s="12"/>
      <c r="DQ151" s="13">
        <f t="shared" si="311"/>
        <v>0</v>
      </c>
      <c r="DR151" s="12"/>
      <c r="DS151" s="13">
        <f t="shared" si="312"/>
        <v>0</v>
      </c>
      <c r="DT151" s="12"/>
      <c r="DU151" s="13">
        <f t="shared" si="313"/>
        <v>0</v>
      </c>
      <c r="DV151" s="12"/>
      <c r="DW151" s="13">
        <f t="shared" si="314"/>
        <v>0</v>
      </c>
      <c r="DX151" s="12"/>
      <c r="DY151" s="13">
        <f t="shared" si="315"/>
        <v>0</v>
      </c>
      <c r="DZ151" s="12"/>
      <c r="EA151" s="13">
        <f t="shared" si="316"/>
        <v>0</v>
      </c>
      <c r="EB151" s="12"/>
      <c r="EC151" s="13">
        <f t="shared" si="317"/>
        <v>0</v>
      </c>
      <c r="ED151" s="12"/>
      <c r="EE151" s="13">
        <f t="shared" si="318"/>
        <v>0</v>
      </c>
      <c r="EF151" s="24">
        <f>SUM(DH151,DJ151,DL151,DN151,DP151,DR151,DT151,DV151,DX151,DZ151,EB151,ED151)</f>
        <v>0</v>
      </c>
      <c r="EG151" s="13">
        <f t="shared" si="320"/>
        <v>0</v>
      </c>
    </row>
    <row r="152" spans="1:137" ht="18" x14ac:dyDescent="0.5">
      <c r="A152" s="10">
        <v>114</v>
      </c>
      <c r="B152" s="16" t="s">
        <v>108</v>
      </c>
      <c r="C152" s="16" t="s">
        <v>14</v>
      </c>
      <c r="D152" s="10">
        <f t="shared" si="251"/>
        <v>5</v>
      </c>
      <c r="E152" s="10">
        <v>0.17499999999999999</v>
      </c>
      <c r="F152" s="42" t="s">
        <v>109</v>
      </c>
      <c r="G152" s="61">
        <v>1300</v>
      </c>
      <c r="H152" s="12">
        <v>134</v>
      </c>
      <c r="I152" s="13">
        <f t="shared" si="252"/>
        <v>23.45</v>
      </c>
      <c r="J152" s="12">
        <v>511</v>
      </c>
      <c r="K152" s="13">
        <f t="shared" si="253"/>
        <v>89.424999999999997</v>
      </c>
      <c r="L152" s="12">
        <v>718</v>
      </c>
      <c r="M152" s="13">
        <f t="shared" si="254"/>
        <v>125.64999999999999</v>
      </c>
      <c r="N152" s="12">
        <v>871</v>
      </c>
      <c r="O152" s="13">
        <f t="shared" si="255"/>
        <v>152.42499999999998</v>
      </c>
      <c r="P152" s="12">
        <v>425</v>
      </c>
      <c r="Q152" s="13">
        <f t="shared" si="256"/>
        <v>74.375</v>
      </c>
      <c r="R152" s="12">
        <v>1053</v>
      </c>
      <c r="S152" s="13">
        <f t="shared" si="257"/>
        <v>184.27499999999998</v>
      </c>
      <c r="T152" s="12">
        <v>546</v>
      </c>
      <c r="U152" s="13">
        <f t="shared" si="258"/>
        <v>95.55</v>
      </c>
      <c r="V152" s="12">
        <v>903</v>
      </c>
      <c r="W152" s="13">
        <f t="shared" si="259"/>
        <v>158.02499999999998</v>
      </c>
      <c r="X152" s="12">
        <v>169</v>
      </c>
      <c r="Y152" s="13">
        <f t="shared" si="260"/>
        <v>29.574999999999999</v>
      </c>
      <c r="Z152" s="12">
        <v>215</v>
      </c>
      <c r="AA152" s="13">
        <f t="shared" si="261"/>
        <v>37.625</v>
      </c>
      <c r="AB152" s="12">
        <v>96</v>
      </c>
      <c r="AC152" s="13">
        <f t="shared" si="262"/>
        <v>16.799999999999997</v>
      </c>
      <c r="AD152" s="12">
        <v>1311</v>
      </c>
      <c r="AE152" s="13">
        <f t="shared" si="263"/>
        <v>229.42499999999998</v>
      </c>
      <c r="AF152" s="14">
        <f t="shared" si="264"/>
        <v>579.33333333333337</v>
      </c>
      <c r="AG152" s="15">
        <f t="shared" si="265"/>
        <v>101.38333333333334</v>
      </c>
      <c r="AH152" s="12">
        <v>229</v>
      </c>
      <c r="AI152" s="13">
        <f t="shared" si="266"/>
        <v>40.074999999999996</v>
      </c>
      <c r="AJ152" s="12">
        <v>385</v>
      </c>
      <c r="AK152" s="13">
        <f t="shared" si="267"/>
        <v>67.375</v>
      </c>
      <c r="AL152" s="12">
        <v>591</v>
      </c>
      <c r="AM152" s="13">
        <f t="shared" si="268"/>
        <v>103.425</v>
      </c>
      <c r="AN152" s="12">
        <v>481</v>
      </c>
      <c r="AO152" s="13">
        <f t="shared" si="269"/>
        <v>84.174999999999997</v>
      </c>
      <c r="AP152" s="12">
        <v>226</v>
      </c>
      <c r="AQ152" s="13">
        <f t="shared" si="270"/>
        <v>39.549999999999997</v>
      </c>
      <c r="AR152" s="12">
        <v>126</v>
      </c>
      <c r="AS152" s="13">
        <f t="shared" si="271"/>
        <v>22.049999999999997</v>
      </c>
      <c r="AT152" s="12"/>
      <c r="AU152" s="13">
        <f t="shared" si="272"/>
        <v>0</v>
      </c>
      <c r="AV152" s="12">
        <v>741</v>
      </c>
      <c r="AW152" s="13">
        <f t="shared" si="273"/>
        <v>129.67499999999998</v>
      </c>
      <c r="AX152" s="12">
        <v>267</v>
      </c>
      <c r="AY152" s="13">
        <f t="shared" si="274"/>
        <v>46.724999999999994</v>
      </c>
      <c r="AZ152" s="12">
        <v>97</v>
      </c>
      <c r="BA152" s="13">
        <f t="shared" si="275"/>
        <v>16.974999999999998</v>
      </c>
      <c r="BB152" s="12">
        <v>408</v>
      </c>
      <c r="BC152" s="13">
        <f t="shared" si="276"/>
        <v>71.399999999999991</v>
      </c>
      <c r="BD152" s="12">
        <v>6</v>
      </c>
      <c r="BE152" s="13">
        <f t="shared" si="277"/>
        <v>1.0499999999999998</v>
      </c>
      <c r="BF152" s="14">
        <f t="shared" si="278"/>
        <v>296.41666666666669</v>
      </c>
      <c r="BG152" s="15">
        <f t="shared" si="279"/>
        <v>51.872916666666669</v>
      </c>
      <c r="BH152" s="12"/>
      <c r="BI152" s="13">
        <f t="shared" si="280"/>
        <v>0</v>
      </c>
      <c r="BJ152" s="12"/>
      <c r="BK152" s="13">
        <f t="shared" si="281"/>
        <v>0</v>
      </c>
      <c r="BL152" s="12"/>
      <c r="BM152" s="13">
        <f t="shared" si="282"/>
        <v>0</v>
      </c>
      <c r="BN152" s="12"/>
      <c r="BO152" s="13">
        <f t="shared" si="283"/>
        <v>0</v>
      </c>
      <c r="BP152" s="12"/>
      <c r="BQ152" s="13">
        <f t="shared" si="284"/>
        <v>0</v>
      </c>
      <c r="BR152" s="12"/>
      <c r="BS152" s="13">
        <f t="shared" si="285"/>
        <v>0</v>
      </c>
      <c r="BT152" s="12"/>
      <c r="BU152" s="13">
        <f t="shared" si="286"/>
        <v>0</v>
      </c>
      <c r="BV152" s="12"/>
      <c r="BW152" s="13">
        <f t="shared" si="287"/>
        <v>0</v>
      </c>
      <c r="BX152" s="12"/>
      <c r="BY152" s="13">
        <f t="shared" si="288"/>
        <v>0</v>
      </c>
      <c r="BZ152" s="12"/>
      <c r="CA152" s="13">
        <f t="shared" si="289"/>
        <v>0</v>
      </c>
      <c r="CB152" s="12">
        <v>2</v>
      </c>
      <c r="CC152" s="13">
        <f t="shared" si="290"/>
        <v>0.35</v>
      </c>
      <c r="CD152" s="12"/>
      <c r="CE152" s="13">
        <f t="shared" si="291"/>
        <v>0</v>
      </c>
      <c r="CF152" s="14">
        <f t="shared" si="292"/>
        <v>0.16666666666666666</v>
      </c>
      <c r="CG152" s="15">
        <f t="shared" si="293"/>
        <v>2.9166666666666664E-2</v>
      </c>
      <c r="CH152" s="12"/>
      <c r="CI152" s="13">
        <f t="shared" si="294"/>
        <v>0</v>
      </c>
      <c r="CJ152" s="12"/>
      <c r="CK152" s="13">
        <f t="shared" si="295"/>
        <v>0</v>
      </c>
      <c r="CL152" s="12"/>
      <c r="CM152" s="13">
        <f t="shared" si="296"/>
        <v>0</v>
      </c>
      <c r="CN152" s="12"/>
      <c r="CO152" s="13">
        <f t="shared" si="297"/>
        <v>0</v>
      </c>
      <c r="CP152" s="12"/>
      <c r="CQ152" s="13">
        <f t="shared" si="298"/>
        <v>0</v>
      </c>
      <c r="CR152" s="12"/>
      <c r="CS152" s="13">
        <f t="shared" si="299"/>
        <v>0</v>
      </c>
      <c r="CT152" s="12"/>
      <c r="CU152" s="13">
        <f t="shared" si="300"/>
        <v>0</v>
      </c>
      <c r="CV152" s="12"/>
      <c r="CW152" s="13">
        <f t="shared" si="301"/>
        <v>0</v>
      </c>
      <c r="CX152" s="12"/>
      <c r="CY152" s="13">
        <f t="shared" si="302"/>
        <v>0</v>
      </c>
      <c r="CZ152" s="12"/>
      <c r="DA152" s="13">
        <f t="shared" si="303"/>
        <v>0</v>
      </c>
      <c r="DB152" s="12"/>
      <c r="DC152" s="13">
        <f t="shared" si="304"/>
        <v>0</v>
      </c>
      <c r="DD152" s="12"/>
      <c r="DE152" s="13">
        <f t="shared" si="304"/>
        <v>0</v>
      </c>
      <c r="DF152" s="64">
        <f t="shared" si="305"/>
        <v>0</v>
      </c>
      <c r="DG152" s="15">
        <f t="shared" si="306"/>
        <v>0</v>
      </c>
      <c r="DH152" s="12"/>
      <c r="DI152" s="13">
        <f t="shared" si="307"/>
        <v>0</v>
      </c>
      <c r="DJ152" s="12"/>
      <c r="DK152" s="13">
        <f t="shared" si="308"/>
        <v>0</v>
      </c>
      <c r="DL152" s="12"/>
      <c r="DM152" s="13">
        <f t="shared" si="309"/>
        <v>0</v>
      </c>
      <c r="DN152" s="12"/>
      <c r="DO152" s="13">
        <f t="shared" ref="DO152:DO156" si="321">DN152*$E152</f>
        <v>0</v>
      </c>
      <c r="DP152" s="12"/>
      <c r="DQ152" s="13">
        <f t="shared" si="311"/>
        <v>0</v>
      </c>
      <c r="DR152" s="12"/>
      <c r="DS152" s="13">
        <f t="shared" si="312"/>
        <v>0</v>
      </c>
      <c r="DT152" s="12"/>
      <c r="DU152" s="13">
        <f t="shared" si="313"/>
        <v>0</v>
      </c>
      <c r="DV152" s="12"/>
      <c r="DW152" s="13">
        <f t="shared" si="314"/>
        <v>0</v>
      </c>
      <c r="DX152" s="12"/>
      <c r="DY152" s="13">
        <f t="shared" si="315"/>
        <v>0</v>
      </c>
      <c r="DZ152" s="12"/>
      <c r="EA152" s="13">
        <f t="shared" si="316"/>
        <v>0</v>
      </c>
      <c r="EB152" s="12"/>
      <c r="EC152" s="13">
        <f t="shared" si="317"/>
        <v>0</v>
      </c>
      <c r="ED152" s="12"/>
      <c r="EE152" s="13">
        <f t="shared" si="318"/>
        <v>0</v>
      </c>
      <c r="EF152" s="24">
        <f t="shared" ref="EF152:EF156" si="322">SUM(DH152,DJ152,DL152,DN152,DP152,DR152,DT152,DV152,DX152,DZ152,EB152,ED152)</f>
        <v>0</v>
      </c>
      <c r="EG152" s="13">
        <f t="shared" si="320"/>
        <v>0</v>
      </c>
    </row>
    <row r="153" spans="1:137" ht="18" x14ac:dyDescent="0.5">
      <c r="A153" s="10">
        <v>115</v>
      </c>
      <c r="B153" s="16" t="s">
        <v>110</v>
      </c>
      <c r="C153" s="16" t="s">
        <v>14</v>
      </c>
      <c r="D153" s="10">
        <f t="shared" si="251"/>
        <v>2</v>
      </c>
      <c r="E153" s="10">
        <v>0.7</v>
      </c>
      <c r="F153" s="42" t="s">
        <v>15</v>
      </c>
      <c r="G153" s="61">
        <v>5200</v>
      </c>
      <c r="H153" s="12">
        <v>1806</v>
      </c>
      <c r="I153" s="13">
        <f t="shared" si="252"/>
        <v>1264.1999999999998</v>
      </c>
      <c r="J153" s="12">
        <v>475</v>
      </c>
      <c r="K153" s="13">
        <f t="shared" si="253"/>
        <v>332.5</v>
      </c>
      <c r="L153" s="12">
        <v>773</v>
      </c>
      <c r="M153" s="13">
        <f t="shared" si="254"/>
        <v>541.09999999999991</v>
      </c>
      <c r="N153" s="12">
        <v>719</v>
      </c>
      <c r="O153" s="13">
        <f t="shared" si="255"/>
        <v>503.29999999999995</v>
      </c>
      <c r="P153" s="12">
        <v>799</v>
      </c>
      <c r="Q153" s="13">
        <f t="shared" si="256"/>
        <v>559.29999999999995</v>
      </c>
      <c r="R153" s="12">
        <v>939</v>
      </c>
      <c r="S153" s="13">
        <f t="shared" si="257"/>
        <v>657.3</v>
      </c>
      <c r="T153" s="12">
        <v>705</v>
      </c>
      <c r="U153" s="13">
        <f t="shared" si="258"/>
        <v>493.49999999999994</v>
      </c>
      <c r="V153" s="12">
        <v>515</v>
      </c>
      <c r="W153" s="13">
        <f t="shared" si="259"/>
        <v>360.5</v>
      </c>
      <c r="X153" s="12">
        <v>816</v>
      </c>
      <c r="Y153" s="13">
        <f t="shared" si="260"/>
        <v>571.19999999999993</v>
      </c>
      <c r="Z153" s="12">
        <v>261</v>
      </c>
      <c r="AA153" s="13">
        <f t="shared" si="261"/>
        <v>182.7</v>
      </c>
      <c r="AB153" s="12">
        <v>543</v>
      </c>
      <c r="AC153" s="13">
        <f t="shared" si="262"/>
        <v>380.09999999999997</v>
      </c>
      <c r="AD153" s="12">
        <v>552</v>
      </c>
      <c r="AE153" s="13">
        <f t="shared" si="263"/>
        <v>386.4</v>
      </c>
      <c r="AF153" s="14">
        <f t="shared" si="264"/>
        <v>741.91666666666663</v>
      </c>
      <c r="AG153" s="15">
        <f t="shared" si="265"/>
        <v>519.34166666666658</v>
      </c>
      <c r="AH153" s="12">
        <v>762</v>
      </c>
      <c r="AI153" s="13">
        <f t="shared" si="266"/>
        <v>533.4</v>
      </c>
      <c r="AJ153" s="12">
        <v>430</v>
      </c>
      <c r="AK153" s="13">
        <f t="shared" si="267"/>
        <v>301</v>
      </c>
      <c r="AL153" s="12">
        <v>642</v>
      </c>
      <c r="AM153" s="13">
        <f t="shared" si="268"/>
        <v>449.4</v>
      </c>
      <c r="AN153" s="12">
        <v>205</v>
      </c>
      <c r="AO153" s="13">
        <f t="shared" si="269"/>
        <v>143.5</v>
      </c>
      <c r="AP153" s="12">
        <v>294</v>
      </c>
      <c r="AQ153" s="13">
        <f t="shared" si="270"/>
        <v>205.79999999999998</v>
      </c>
      <c r="AR153" s="12">
        <v>161</v>
      </c>
      <c r="AS153" s="13">
        <f t="shared" si="271"/>
        <v>112.69999999999999</v>
      </c>
      <c r="AT153" s="12">
        <v>228</v>
      </c>
      <c r="AU153" s="13">
        <f t="shared" si="272"/>
        <v>159.6</v>
      </c>
      <c r="AV153" s="12">
        <v>204</v>
      </c>
      <c r="AW153" s="13">
        <f t="shared" si="273"/>
        <v>142.79999999999998</v>
      </c>
      <c r="AX153" s="12">
        <v>347</v>
      </c>
      <c r="AY153" s="13">
        <f t="shared" si="274"/>
        <v>242.89999999999998</v>
      </c>
      <c r="AZ153" s="12">
        <v>161</v>
      </c>
      <c r="BA153" s="13">
        <f t="shared" si="275"/>
        <v>112.69999999999999</v>
      </c>
      <c r="BB153" s="12">
        <v>342</v>
      </c>
      <c r="BC153" s="13">
        <f t="shared" si="276"/>
        <v>239.39999999999998</v>
      </c>
      <c r="BD153" s="12">
        <v>276</v>
      </c>
      <c r="BE153" s="13">
        <f t="shared" si="277"/>
        <v>193.2</v>
      </c>
      <c r="BF153" s="14">
        <f t="shared" si="278"/>
        <v>337.66666666666669</v>
      </c>
      <c r="BG153" s="15">
        <f t="shared" si="279"/>
        <v>236.36666666666667</v>
      </c>
      <c r="BH153" s="12">
        <v>252</v>
      </c>
      <c r="BI153" s="13">
        <f t="shared" si="280"/>
        <v>176.39999999999998</v>
      </c>
      <c r="BJ153" s="12">
        <v>336</v>
      </c>
      <c r="BK153" s="13">
        <f t="shared" si="281"/>
        <v>235.2</v>
      </c>
      <c r="BL153" s="12">
        <v>456</v>
      </c>
      <c r="BM153" s="13">
        <f t="shared" si="282"/>
        <v>319.2</v>
      </c>
      <c r="BN153" s="12">
        <v>72</v>
      </c>
      <c r="BO153" s="13">
        <f t="shared" si="283"/>
        <v>50.4</v>
      </c>
      <c r="BP153" s="12">
        <v>183</v>
      </c>
      <c r="BQ153" s="13">
        <f t="shared" si="284"/>
        <v>128.1</v>
      </c>
      <c r="BR153" s="12">
        <v>84</v>
      </c>
      <c r="BS153" s="13">
        <f t="shared" si="285"/>
        <v>58.8</v>
      </c>
      <c r="BT153" s="12">
        <v>48</v>
      </c>
      <c r="BU153" s="13">
        <f t="shared" si="286"/>
        <v>33.599999999999994</v>
      </c>
      <c r="BV153" s="12">
        <v>216</v>
      </c>
      <c r="BW153" s="13">
        <f t="shared" si="287"/>
        <v>151.19999999999999</v>
      </c>
      <c r="BX153" s="12">
        <v>24</v>
      </c>
      <c r="BY153" s="13">
        <f t="shared" si="288"/>
        <v>16.799999999999997</v>
      </c>
      <c r="BZ153" s="12">
        <v>168</v>
      </c>
      <c r="CA153" s="13">
        <f t="shared" si="289"/>
        <v>117.6</v>
      </c>
      <c r="CB153" s="12">
        <v>246</v>
      </c>
      <c r="CC153" s="13">
        <f t="shared" si="290"/>
        <v>172.2</v>
      </c>
      <c r="CD153" s="12"/>
      <c r="CE153" s="13">
        <f t="shared" si="291"/>
        <v>0</v>
      </c>
      <c r="CF153" s="14">
        <f t="shared" si="292"/>
        <v>173.75</v>
      </c>
      <c r="CG153" s="15">
        <f t="shared" si="293"/>
        <v>121.62499999999999</v>
      </c>
      <c r="CH153" s="12">
        <v>120</v>
      </c>
      <c r="CI153" s="13">
        <f t="shared" si="294"/>
        <v>84</v>
      </c>
      <c r="CJ153" s="12"/>
      <c r="CK153" s="13">
        <f t="shared" si="295"/>
        <v>0</v>
      </c>
      <c r="CL153" s="12"/>
      <c r="CM153" s="13">
        <f t="shared" si="296"/>
        <v>0</v>
      </c>
      <c r="CN153" s="12"/>
      <c r="CO153" s="13">
        <f t="shared" si="297"/>
        <v>0</v>
      </c>
      <c r="CP153" s="12"/>
      <c r="CQ153" s="13">
        <f t="shared" si="298"/>
        <v>0</v>
      </c>
      <c r="CR153" s="12">
        <v>120</v>
      </c>
      <c r="CS153" s="13">
        <f t="shared" si="299"/>
        <v>84</v>
      </c>
      <c r="CT153" s="12">
        <v>60</v>
      </c>
      <c r="CU153" s="13">
        <f t="shared" si="300"/>
        <v>42</v>
      </c>
      <c r="CV153" s="12"/>
      <c r="CW153" s="13">
        <f t="shared" si="301"/>
        <v>0</v>
      </c>
      <c r="CX153" s="12">
        <v>12</v>
      </c>
      <c r="CY153" s="13">
        <f t="shared" si="302"/>
        <v>8.3999999999999986</v>
      </c>
      <c r="CZ153" s="12"/>
      <c r="DA153" s="13">
        <f t="shared" si="303"/>
        <v>0</v>
      </c>
      <c r="DB153" s="12">
        <v>1</v>
      </c>
      <c r="DC153" s="13">
        <f t="shared" si="304"/>
        <v>0.7</v>
      </c>
      <c r="DD153" s="12">
        <v>60</v>
      </c>
      <c r="DE153" s="13">
        <f t="shared" si="304"/>
        <v>42</v>
      </c>
      <c r="DF153" s="64">
        <f t="shared" si="305"/>
        <v>373</v>
      </c>
      <c r="DG153" s="15">
        <f t="shared" si="306"/>
        <v>261.09999999999997</v>
      </c>
      <c r="DH153" s="12">
        <v>42</v>
      </c>
      <c r="DI153" s="13">
        <f t="shared" si="307"/>
        <v>29.4</v>
      </c>
      <c r="DJ153" s="12"/>
      <c r="DK153" s="13">
        <f t="shared" si="308"/>
        <v>0</v>
      </c>
      <c r="DL153" s="12"/>
      <c r="DM153" s="13">
        <f t="shared" si="309"/>
        <v>0</v>
      </c>
      <c r="DN153" s="12"/>
      <c r="DO153" s="13">
        <f t="shared" si="321"/>
        <v>0</v>
      </c>
      <c r="DP153" s="12"/>
      <c r="DQ153" s="13">
        <f t="shared" si="311"/>
        <v>0</v>
      </c>
      <c r="DR153" s="12"/>
      <c r="DS153" s="13">
        <f t="shared" si="312"/>
        <v>0</v>
      </c>
      <c r="DT153" s="12"/>
      <c r="DU153" s="13">
        <f t="shared" si="313"/>
        <v>0</v>
      </c>
      <c r="DV153" s="12"/>
      <c r="DW153" s="13">
        <f t="shared" si="314"/>
        <v>0</v>
      </c>
      <c r="DX153" s="12"/>
      <c r="DY153" s="13">
        <f t="shared" si="315"/>
        <v>0</v>
      </c>
      <c r="DZ153" s="12"/>
      <c r="EA153" s="13">
        <f t="shared" si="316"/>
        <v>0</v>
      </c>
      <c r="EB153" s="12"/>
      <c r="EC153" s="13">
        <f t="shared" si="317"/>
        <v>0</v>
      </c>
      <c r="ED153" s="12"/>
      <c r="EE153" s="13">
        <f t="shared" si="318"/>
        <v>0</v>
      </c>
      <c r="EF153" s="24">
        <f t="shared" si="322"/>
        <v>42</v>
      </c>
      <c r="EG153" s="13">
        <f t="shared" si="320"/>
        <v>29.4</v>
      </c>
    </row>
    <row r="154" spans="1:137" ht="18" x14ac:dyDescent="0.5">
      <c r="A154" s="10">
        <v>116</v>
      </c>
      <c r="B154" s="16" t="s">
        <v>111</v>
      </c>
      <c r="C154" s="16" t="s">
        <v>14</v>
      </c>
      <c r="D154" s="10">
        <f t="shared" si="251"/>
        <v>4</v>
      </c>
      <c r="E154" s="10">
        <v>0.35</v>
      </c>
      <c r="F154" s="42" t="s">
        <v>23</v>
      </c>
      <c r="G154" s="61">
        <v>2600</v>
      </c>
      <c r="H154" s="12">
        <v>1171</v>
      </c>
      <c r="I154" s="13">
        <f t="shared" si="252"/>
        <v>409.84999999999997</v>
      </c>
      <c r="J154" s="12">
        <v>578</v>
      </c>
      <c r="K154" s="13">
        <f t="shared" si="253"/>
        <v>202.29999999999998</v>
      </c>
      <c r="L154" s="12">
        <v>592</v>
      </c>
      <c r="M154" s="13">
        <f t="shared" si="254"/>
        <v>207.2</v>
      </c>
      <c r="N154" s="12">
        <v>727</v>
      </c>
      <c r="O154" s="13">
        <f t="shared" si="255"/>
        <v>254.45</v>
      </c>
      <c r="P154" s="12">
        <v>342</v>
      </c>
      <c r="Q154" s="13">
        <f t="shared" si="256"/>
        <v>119.69999999999999</v>
      </c>
      <c r="R154" s="12">
        <v>303</v>
      </c>
      <c r="S154" s="13">
        <f t="shared" si="257"/>
        <v>106.05</v>
      </c>
      <c r="T154" s="12">
        <v>317</v>
      </c>
      <c r="U154" s="13">
        <f t="shared" si="258"/>
        <v>110.94999999999999</v>
      </c>
      <c r="V154" s="12">
        <v>168</v>
      </c>
      <c r="W154" s="13">
        <f t="shared" si="259"/>
        <v>58.8</v>
      </c>
      <c r="X154" s="12">
        <v>308</v>
      </c>
      <c r="Y154" s="13">
        <f t="shared" si="260"/>
        <v>107.8</v>
      </c>
      <c r="Z154" s="12">
        <v>332</v>
      </c>
      <c r="AA154" s="13">
        <f t="shared" si="261"/>
        <v>116.19999999999999</v>
      </c>
      <c r="AB154" s="12">
        <v>193</v>
      </c>
      <c r="AC154" s="13">
        <f t="shared" si="262"/>
        <v>67.55</v>
      </c>
      <c r="AD154" s="12">
        <v>486</v>
      </c>
      <c r="AE154" s="13">
        <f t="shared" si="263"/>
        <v>170.1</v>
      </c>
      <c r="AF154" s="14">
        <f t="shared" si="264"/>
        <v>459.75</v>
      </c>
      <c r="AG154" s="15">
        <f t="shared" si="265"/>
        <v>160.91249999999999</v>
      </c>
      <c r="AH154" s="12">
        <v>191</v>
      </c>
      <c r="AI154" s="13">
        <f t="shared" si="266"/>
        <v>66.849999999999994</v>
      </c>
      <c r="AJ154" s="12">
        <v>182</v>
      </c>
      <c r="AK154" s="13">
        <f t="shared" si="267"/>
        <v>63.699999999999996</v>
      </c>
      <c r="AL154" s="12">
        <v>217</v>
      </c>
      <c r="AM154" s="13">
        <f t="shared" si="268"/>
        <v>75.949999999999989</v>
      </c>
      <c r="AN154" s="12">
        <v>37</v>
      </c>
      <c r="AO154" s="13">
        <f t="shared" si="269"/>
        <v>12.95</v>
      </c>
      <c r="AP154" s="12">
        <v>72</v>
      </c>
      <c r="AQ154" s="13">
        <f t="shared" si="270"/>
        <v>25.2</v>
      </c>
      <c r="AR154" s="12">
        <v>72</v>
      </c>
      <c r="AS154" s="13">
        <f t="shared" si="271"/>
        <v>25.2</v>
      </c>
      <c r="AT154" s="12">
        <v>72</v>
      </c>
      <c r="AU154" s="13">
        <f t="shared" si="272"/>
        <v>25.2</v>
      </c>
      <c r="AV154" s="12">
        <v>48</v>
      </c>
      <c r="AW154" s="13">
        <f t="shared" si="273"/>
        <v>16.799999999999997</v>
      </c>
      <c r="AX154" s="12">
        <v>190</v>
      </c>
      <c r="AY154" s="13">
        <f t="shared" si="274"/>
        <v>66.5</v>
      </c>
      <c r="AZ154" s="12">
        <v>204</v>
      </c>
      <c r="BA154" s="13">
        <f t="shared" si="275"/>
        <v>71.399999999999991</v>
      </c>
      <c r="BB154" s="12">
        <v>102</v>
      </c>
      <c r="BC154" s="13">
        <f t="shared" si="276"/>
        <v>35.699999999999996</v>
      </c>
      <c r="BD154" s="12">
        <v>216</v>
      </c>
      <c r="BE154" s="13">
        <f t="shared" si="277"/>
        <v>75.599999999999994</v>
      </c>
      <c r="BF154" s="14">
        <f t="shared" si="278"/>
        <v>133.58333333333334</v>
      </c>
      <c r="BG154" s="15">
        <f t="shared" si="279"/>
        <v>46.75416666666667</v>
      </c>
      <c r="BH154" s="12">
        <v>72</v>
      </c>
      <c r="BI154" s="13">
        <f t="shared" si="280"/>
        <v>25.2</v>
      </c>
      <c r="BJ154" s="12">
        <v>126</v>
      </c>
      <c r="BK154" s="13">
        <f t="shared" si="281"/>
        <v>44.099999999999994</v>
      </c>
      <c r="BL154" s="12">
        <v>126</v>
      </c>
      <c r="BM154" s="13">
        <f t="shared" si="282"/>
        <v>44.099999999999994</v>
      </c>
      <c r="BN154" s="12">
        <v>96</v>
      </c>
      <c r="BO154" s="13">
        <f t="shared" si="283"/>
        <v>33.599999999999994</v>
      </c>
      <c r="BP154" s="12">
        <v>77</v>
      </c>
      <c r="BQ154" s="13">
        <f t="shared" si="284"/>
        <v>26.95</v>
      </c>
      <c r="BR154" s="12">
        <v>24</v>
      </c>
      <c r="BS154" s="13">
        <f t="shared" si="285"/>
        <v>8.3999999999999986</v>
      </c>
      <c r="BT154" s="12">
        <v>6</v>
      </c>
      <c r="BU154" s="13">
        <f t="shared" si="286"/>
        <v>2.0999999999999996</v>
      </c>
      <c r="BV154" s="12">
        <v>24</v>
      </c>
      <c r="BW154" s="13">
        <f t="shared" si="287"/>
        <v>8.3999999999999986</v>
      </c>
      <c r="BX154" s="12">
        <v>24</v>
      </c>
      <c r="BY154" s="13">
        <f t="shared" si="288"/>
        <v>8.3999999999999986</v>
      </c>
      <c r="BZ154" s="12"/>
      <c r="CA154" s="13">
        <f t="shared" si="289"/>
        <v>0</v>
      </c>
      <c r="CB154" s="12"/>
      <c r="CC154" s="13">
        <f t="shared" si="290"/>
        <v>0</v>
      </c>
      <c r="CD154" s="12">
        <v>120</v>
      </c>
      <c r="CE154" s="13">
        <f t="shared" si="291"/>
        <v>42</v>
      </c>
      <c r="CF154" s="14">
        <f t="shared" si="292"/>
        <v>57.916666666666664</v>
      </c>
      <c r="CG154" s="15">
        <f t="shared" si="293"/>
        <v>20.270833333333332</v>
      </c>
      <c r="CH154" s="12">
        <v>24</v>
      </c>
      <c r="CI154" s="13">
        <f t="shared" si="294"/>
        <v>8.3999999999999986</v>
      </c>
      <c r="CJ154" s="12"/>
      <c r="CK154" s="13">
        <f t="shared" si="295"/>
        <v>0</v>
      </c>
      <c r="CL154" s="12">
        <v>24</v>
      </c>
      <c r="CM154" s="13">
        <f t="shared" si="296"/>
        <v>8.3999999999999986</v>
      </c>
      <c r="CN154" s="12"/>
      <c r="CO154" s="13">
        <f t="shared" si="297"/>
        <v>0</v>
      </c>
      <c r="CP154" s="12">
        <v>24</v>
      </c>
      <c r="CQ154" s="13">
        <f t="shared" si="298"/>
        <v>8.3999999999999986</v>
      </c>
      <c r="CR154" s="12"/>
      <c r="CS154" s="13">
        <f t="shared" si="299"/>
        <v>0</v>
      </c>
      <c r="CT154" s="12"/>
      <c r="CU154" s="13">
        <f t="shared" si="300"/>
        <v>0</v>
      </c>
      <c r="CV154" s="12">
        <v>24</v>
      </c>
      <c r="CW154" s="13">
        <f t="shared" si="301"/>
        <v>8.3999999999999986</v>
      </c>
      <c r="CX154" s="12"/>
      <c r="CY154" s="13">
        <f t="shared" si="302"/>
        <v>0</v>
      </c>
      <c r="CZ154" s="12"/>
      <c r="DA154" s="13">
        <f t="shared" si="303"/>
        <v>0</v>
      </c>
      <c r="DB154" s="12"/>
      <c r="DC154" s="13">
        <f t="shared" si="304"/>
        <v>0</v>
      </c>
      <c r="DD154" s="12"/>
      <c r="DE154" s="13">
        <f t="shared" si="304"/>
        <v>0</v>
      </c>
      <c r="DF154" s="64">
        <f t="shared" si="305"/>
        <v>96</v>
      </c>
      <c r="DG154" s="15">
        <f t="shared" si="306"/>
        <v>33.599999999999994</v>
      </c>
      <c r="DH154" s="12">
        <v>12</v>
      </c>
      <c r="DI154" s="13">
        <f t="shared" si="307"/>
        <v>4.1999999999999993</v>
      </c>
      <c r="DJ154" s="12"/>
      <c r="DK154" s="13">
        <f t="shared" si="308"/>
        <v>0</v>
      </c>
      <c r="DL154" s="12"/>
      <c r="DM154" s="13">
        <f t="shared" si="309"/>
        <v>0</v>
      </c>
      <c r="DN154" s="12"/>
      <c r="DO154" s="13">
        <f t="shared" si="321"/>
        <v>0</v>
      </c>
      <c r="DP154" s="12"/>
      <c r="DQ154" s="13">
        <f t="shared" si="311"/>
        <v>0</v>
      </c>
      <c r="DR154" s="12"/>
      <c r="DS154" s="13">
        <f t="shared" si="312"/>
        <v>0</v>
      </c>
      <c r="DT154" s="12"/>
      <c r="DU154" s="13">
        <f t="shared" si="313"/>
        <v>0</v>
      </c>
      <c r="DV154" s="12"/>
      <c r="DW154" s="13">
        <f t="shared" si="314"/>
        <v>0</v>
      </c>
      <c r="DX154" s="12"/>
      <c r="DY154" s="13">
        <f t="shared" si="315"/>
        <v>0</v>
      </c>
      <c r="DZ154" s="12"/>
      <c r="EA154" s="13">
        <f t="shared" si="316"/>
        <v>0</v>
      </c>
      <c r="EB154" s="12"/>
      <c r="EC154" s="13">
        <f t="shared" si="317"/>
        <v>0</v>
      </c>
      <c r="ED154" s="12"/>
      <c r="EE154" s="13">
        <f t="shared" si="318"/>
        <v>0</v>
      </c>
      <c r="EF154" s="24">
        <f t="shared" si="322"/>
        <v>12</v>
      </c>
      <c r="EG154" s="13">
        <f t="shared" si="320"/>
        <v>4.1999999999999993</v>
      </c>
    </row>
    <row r="155" spans="1:137" ht="18" x14ac:dyDescent="0.5">
      <c r="A155" s="10">
        <v>117</v>
      </c>
      <c r="B155" s="16" t="s">
        <v>112</v>
      </c>
      <c r="C155" s="16" t="s">
        <v>14</v>
      </c>
      <c r="D155" s="10">
        <f t="shared" si="251"/>
        <v>5</v>
      </c>
      <c r="E155" s="10">
        <v>0.17499999999999999</v>
      </c>
      <c r="F155" s="42" t="s">
        <v>109</v>
      </c>
      <c r="G155" s="61">
        <v>1450</v>
      </c>
      <c r="H155" s="12">
        <v>1989</v>
      </c>
      <c r="I155" s="13">
        <f t="shared" si="252"/>
        <v>348.07499999999999</v>
      </c>
      <c r="J155" s="12">
        <v>1115</v>
      </c>
      <c r="K155" s="13">
        <f t="shared" si="253"/>
        <v>195.125</v>
      </c>
      <c r="L155" s="12">
        <v>686</v>
      </c>
      <c r="M155" s="13">
        <f t="shared" si="254"/>
        <v>120.05</v>
      </c>
      <c r="N155" s="12">
        <v>780</v>
      </c>
      <c r="O155" s="13">
        <f t="shared" si="255"/>
        <v>136.5</v>
      </c>
      <c r="P155" s="12">
        <v>632</v>
      </c>
      <c r="Q155" s="13">
        <f t="shared" si="256"/>
        <v>110.6</v>
      </c>
      <c r="R155" s="12">
        <v>768</v>
      </c>
      <c r="S155" s="13">
        <f t="shared" si="257"/>
        <v>134.39999999999998</v>
      </c>
      <c r="T155" s="12">
        <v>828</v>
      </c>
      <c r="U155" s="13">
        <f t="shared" si="258"/>
        <v>144.89999999999998</v>
      </c>
      <c r="V155" s="12">
        <v>730</v>
      </c>
      <c r="W155" s="13">
        <f t="shared" si="259"/>
        <v>127.74999999999999</v>
      </c>
      <c r="X155" s="12">
        <v>242</v>
      </c>
      <c r="Y155" s="13">
        <f t="shared" si="260"/>
        <v>42.349999999999994</v>
      </c>
      <c r="Z155" s="12">
        <v>333</v>
      </c>
      <c r="AA155" s="13">
        <f t="shared" si="261"/>
        <v>58.274999999999999</v>
      </c>
      <c r="AB155" s="12">
        <v>277</v>
      </c>
      <c r="AC155" s="13">
        <f t="shared" si="262"/>
        <v>48.474999999999994</v>
      </c>
      <c r="AD155" s="12">
        <v>986</v>
      </c>
      <c r="AE155" s="13">
        <f t="shared" si="263"/>
        <v>172.54999999999998</v>
      </c>
      <c r="AF155" s="14">
        <f t="shared" si="264"/>
        <v>780.5</v>
      </c>
      <c r="AG155" s="15">
        <f t="shared" si="265"/>
        <v>136.58749999999998</v>
      </c>
      <c r="AH155" s="12">
        <v>135</v>
      </c>
      <c r="AI155" s="13">
        <f t="shared" si="266"/>
        <v>23.625</v>
      </c>
      <c r="AJ155" s="12">
        <v>126</v>
      </c>
      <c r="AK155" s="13">
        <f t="shared" si="267"/>
        <v>22.049999999999997</v>
      </c>
      <c r="AL155" s="12">
        <v>438</v>
      </c>
      <c r="AM155" s="13">
        <f t="shared" si="268"/>
        <v>76.649999999999991</v>
      </c>
      <c r="AN155" s="12">
        <v>131</v>
      </c>
      <c r="AO155" s="13">
        <f t="shared" si="269"/>
        <v>22.924999999999997</v>
      </c>
      <c r="AP155" s="12">
        <v>48</v>
      </c>
      <c r="AQ155" s="13">
        <f t="shared" si="270"/>
        <v>8.3999999999999986</v>
      </c>
      <c r="AR155" s="12">
        <v>171</v>
      </c>
      <c r="AS155" s="13">
        <f t="shared" si="271"/>
        <v>29.924999999999997</v>
      </c>
      <c r="AT155" s="12"/>
      <c r="AU155" s="13">
        <f t="shared" si="272"/>
        <v>0</v>
      </c>
      <c r="AV155" s="12">
        <v>288</v>
      </c>
      <c r="AW155" s="13">
        <f t="shared" si="273"/>
        <v>50.4</v>
      </c>
      <c r="AX155" s="12">
        <v>218</v>
      </c>
      <c r="AY155" s="13">
        <f t="shared" si="274"/>
        <v>38.15</v>
      </c>
      <c r="AZ155" s="12">
        <v>209</v>
      </c>
      <c r="BA155" s="13">
        <f t="shared" si="275"/>
        <v>36.574999999999996</v>
      </c>
      <c r="BB155" s="12">
        <v>96</v>
      </c>
      <c r="BC155" s="13">
        <f t="shared" si="276"/>
        <v>16.799999999999997</v>
      </c>
      <c r="BD155" s="12">
        <v>168</v>
      </c>
      <c r="BE155" s="13">
        <f t="shared" si="277"/>
        <v>29.4</v>
      </c>
      <c r="BF155" s="14">
        <f t="shared" si="278"/>
        <v>169</v>
      </c>
      <c r="BG155" s="15">
        <f t="shared" si="279"/>
        <v>29.574999999999999</v>
      </c>
      <c r="BH155" s="12">
        <v>168</v>
      </c>
      <c r="BI155" s="13">
        <f t="shared" si="280"/>
        <v>29.4</v>
      </c>
      <c r="BJ155" s="12">
        <v>60</v>
      </c>
      <c r="BK155" s="13">
        <f t="shared" si="281"/>
        <v>10.5</v>
      </c>
      <c r="BL155" s="12">
        <v>108</v>
      </c>
      <c r="BM155" s="13">
        <f t="shared" si="282"/>
        <v>18.899999999999999</v>
      </c>
      <c r="BN155" s="12">
        <v>48</v>
      </c>
      <c r="BO155" s="13">
        <f t="shared" si="283"/>
        <v>8.3999999999999986</v>
      </c>
      <c r="BP155" s="12"/>
      <c r="BQ155" s="13">
        <f t="shared" si="284"/>
        <v>0</v>
      </c>
      <c r="BR155" s="12"/>
      <c r="BS155" s="13">
        <f t="shared" si="285"/>
        <v>0</v>
      </c>
      <c r="BT155" s="12">
        <v>12</v>
      </c>
      <c r="BU155" s="13">
        <f t="shared" si="286"/>
        <v>2.0999999999999996</v>
      </c>
      <c r="BV155" s="12">
        <v>96</v>
      </c>
      <c r="BW155" s="13">
        <f t="shared" si="287"/>
        <v>16.799999999999997</v>
      </c>
      <c r="BX155" s="12"/>
      <c r="BY155" s="13">
        <f t="shared" si="288"/>
        <v>0</v>
      </c>
      <c r="BZ155" s="12"/>
      <c r="CA155" s="13">
        <f t="shared" si="289"/>
        <v>0</v>
      </c>
      <c r="CB155" s="12"/>
      <c r="CC155" s="13">
        <f t="shared" si="290"/>
        <v>0</v>
      </c>
      <c r="CD155" s="12">
        <v>144</v>
      </c>
      <c r="CE155" s="13">
        <f t="shared" si="291"/>
        <v>25.2</v>
      </c>
      <c r="CF155" s="14">
        <f t="shared" si="292"/>
        <v>53</v>
      </c>
      <c r="CG155" s="15">
        <f t="shared" si="293"/>
        <v>9.2749999999999986</v>
      </c>
      <c r="CH155" s="12"/>
      <c r="CI155" s="13">
        <f t="shared" si="294"/>
        <v>0</v>
      </c>
      <c r="CJ155" s="12"/>
      <c r="CK155" s="13">
        <f t="shared" si="295"/>
        <v>0</v>
      </c>
      <c r="CL155" s="12"/>
      <c r="CM155" s="13">
        <f t="shared" si="296"/>
        <v>0</v>
      </c>
      <c r="CN155" s="12"/>
      <c r="CO155" s="13">
        <f t="shared" si="297"/>
        <v>0</v>
      </c>
      <c r="CP155" s="12"/>
      <c r="CQ155" s="13">
        <f t="shared" si="298"/>
        <v>0</v>
      </c>
      <c r="CR155" s="12"/>
      <c r="CS155" s="13">
        <f t="shared" si="299"/>
        <v>0</v>
      </c>
      <c r="CT155" s="12"/>
      <c r="CU155" s="13">
        <f t="shared" si="300"/>
        <v>0</v>
      </c>
      <c r="CV155" s="12"/>
      <c r="CW155" s="13">
        <f t="shared" si="301"/>
        <v>0</v>
      </c>
      <c r="CX155" s="12"/>
      <c r="CY155" s="13">
        <f t="shared" si="302"/>
        <v>0</v>
      </c>
      <c r="CZ155" s="12"/>
      <c r="DA155" s="13">
        <f t="shared" si="303"/>
        <v>0</v>
      </c>
      <c r="DB155" s="12"/>
      <c r="DC155" s="13">
        <f t="shared" si="304"/>
        <v>0</v>
      </c>
      <c r="DD155" s="12"/>
      <c r="DE155" s="13">
        <f t="shared" si="304"/>
        <v>0</v>
      </c>
      <c r="DF155" s="64">
        <f t="shared" si="305"/>
        <v>0</v>
      </c>
      <c r="DG155" s="15">
        <f t="shared" si="306"/>
        <v>0</v>
      </c>
      <c r="DH155" s="12">
        <v>24</v>
      </c>
      <c r="DI155" s="13">
        <f t="shared" si="307"/>
        <v>4.1999999999999993</v>
      </c>
      <c r="DJ155" s="12"/>
      <c r="DK155" s="13">
        <f t="shared" si="308"/>
        <v>0</v>
      </c>
      <c r="DL155" s="12"/>
      <c r="DM155" s="13">
        <f t="shared" si="309"/>
        <v>0</v>
      </c>
      <c r="DN155" s="12"/>
      <c r="DO155" s="13">
        <f t="shared" si="321"/>
        <v>0</v>
      </c>
      <c r="DP155" s="12"/>
      <c r="DQ155" s="13">
        <f t="shared" si="311"/>
        <v>0</v>
      </c>
      <c r="DR155" s="12"/>
      <c r="DS155" s="13">
        <f t="shared" si="312"/>
        <v>0</v>
      </c>
      <c r="DT155" s="12"/>
      <c r="DU155" s="13">
        <f t="shared" si="313"/>
        <v>0</v>
      </c>
      <c r="DV155" s="12"/>
      <c r="DW155" s="13">
        <f t="shared" si="314"/>
        <v>0</v>
      </c>
      <c r="DX155" s="12"/>
      <c r="DY155" s="13">
        <f t="shared" si="315"/>
        <v>0</v>
      </c>
      <c r="DZ155" s="12"/>
      <c r="EA155" s="13">
        <f t="shared" si="316"/>
        <v>0</v>
      </c>
      <c r="EB155" s="12"/>
      <c r="EC155" s="13">
        <f t="shared" si="317"/>
        <v>0</v>
      </c>
      <c r="ED155" s="12"/>
      <c r="EE155" s="13">
        <f t="shared" si="318"/>
        <v>0</v>
      </c>
      <c r="EF155" s="24">
        <f t="shared" si="322"/>
        <v>24</v>
      </c>
      <c r="EG155" s="13">
        <f t="shared" si="320"/>
        <v>4.1999999999999993</v>
      </c>
    </row>
    <row r="156" spans="1:137" ht="18" x14ac:dyDescent="0.5">
      <c r="A156" s="10">
        <v>118</v>
      </c>
      <c r="B156" s="16" t="s">
        <v>113</v>
      </c>
      <c r="C156" s="16" t="s">
        <v>14</v>
      </c>
      <c r="D156" s="10">
        <f t="shared" si="251"/>
        <v>5</v>
      </c>
      <c r="E156" s="10">
        <v>0.7</v>
      </c>
      <c r="F156" s="42" t="s">
        <v>15</v>
      </c>
      <c r="G156" s="61">
        <v>1700</v>
      </c>
      <c r="H156" s="12">
        <v>139</v>
      </c>
      <c r="I156" s="13">
        <f t="shared" si="252"/>
        <v>97.3</v>
      </c>
      <c r="J156" s="12">
        <v>72</v>
      </c>
      <c r="K156" s="13">
        <f t="shared" si="253"/>
        <v>50.4</v>
      </c>
      <c r="L156" s="12">
        <v>60</v>
      </c>
      <c r="M156" s="13">
        <f t="shared" si="254"/>
        <v>42</v>
      </c>
      <c r="N156" s="12"/>
      <c r="O156" s="13">
        <f t="shared" si="255"/>
        <v>0</v>
      </c>
      <c r="P156" s="12"/>
      <c r="Q156" s="13">
        <f t="shared" si="256"/>
        <v>0</v>
      </c>
      <c r="R156" s="12"/>
      <c r="S156" s="13">
        <f t="shared" si="257"/>
        <v>0</v>
      </c>
      <c r="T156" s="12"/>
      <c r="U156" s="13">
        <f t="shared" si="258"/>
        <v>0</v>
      </c>
      <c r="V156" s="12"/>
      <c r="W156" s="13">
        <f t="shared" si="259"/>
        <v>0</v>
      </c>
      <c r="X156" s="12">
        <v>24</v>
      </c>
      <c r="Y156" s="13">
        <f t="shared" si="260"/>
        <v>16.799999999999997</v>
      </c>
      <c r="Z156" s="12">
        <v>324</v>
      </c>
      <c r="AA156" s="13">
        <f t="shared" si="261"/>
        <v>226.79999999999998</v>
      </c>
      <c r="AB156" s="12"/>
      <c r="AC156" s="13">
        <f t="shared" si="262"/>
        <v>0</v>
      </c>
      <c r="AD156" s="12">
        <v>276</v>
      </c>
      <c r="AE156" s="13">
        <f t="shared" si="263"/>
        <v>193.2</v>
      </c>
      <c r="AF156" s="14">
        <f t="shared" si="264"/>
        <v>74.583333333333329</v>
      </c>
      <c r="AG156" s="15">
        <f t="shared" si="265"/>
        <v>52.208333333333329</v>
      </c>
      <c r="AH156" s="12">
        <v>1320</v>
      </c>
      <c r="AI156" s="13">
        <f t="shared" si="266"/>
        <v>923.99999999999989</v>
      </c>
      <c r="AJ156" s="12"/>
      <c r="AK156" s="13">
        <f t="shared" si="267"/>
        <v>0</v>
      </c>
      <c r="AL156" s="12">
        <v>180</v>
      </c>
      <c r="AM156" s="13">
        <f t="shared" si="268"/>
        <v>125.99999999999999</v>
      </c>
      <c r="AN156" s="12"/>
      <c r="AO156" s="13">
        <f t="shared" si="269"/>
        <v>0</v>
      </c>
      <c r="AP156" s="12">
        <v>180</v>
      </c>
      <c r="AQ156" s="13">
        <f t="shared" si="270"/>
        <v>125.99999999999999</v>
      </c>
      <c r="AR156" s="12">
        <v>240</v>
      </c>
      <c r="AS156" s="13">
        <f t="shared" si="271"/>
        <v>168</v>
      </c>
      <c r="AT156" s="12"/>
      <c r="AU156" s="13">
        <f t="shared" si="272"/>
        <v>0</v>
      </c>
      <c r="AV156" s="12">
        <v>60</v>
      </c>
      <c r="AW156" s="13">
        <f t="shared" si="273"/>
        <v>42</v>
      </c>
      <c r="AX156" s="12">
        <v>60</v>
      </c>
      <c r="AY156" s="13">
        <f t="shared" si="274"/>
        <v>42</v>
      </c>
      <c r="AZ156" s="12">
        <v>240</v>
      </c>
      <c r="BA156" s="13">
        <f t="shared" si="275"/>
        <v>168</v>
      </c>
      <c r="BB156" s="12"/>
      <c r="BC156" s="13">
        <f t="shared" si="276"/>
        <v>0</v>
      </c>
      <c r="BD156" s="12">
        <v>180</v>
      </c>
      <c r="BE156" s="13">
        <f t="shared" si="277"/>
        <v>125.99999999999999</v>
      </c>
      <c r="BF156" s="14">
        <f t="shared" si="278"/>
        <v>205</v>
      </c>
      <c r="BG156" s="15">
        <f t="shared" si="279"/>
        <v>143.5</v>
      </c>
      <c r="BH156" s="12">
        <v>24</v>
      </c>
      <c r="BI156" s="13">
        <f t="shared" si="280"/>
        <v>16.799999999999997</v>
      </c>
      <c r="BJ156" s="12"/>
      <c r="BK156" s="13">
        <f t="shared" si="281"/>
        <v>0</v>
      </c>
      <c r="BL156" s="12"/>
      <c r="BM156" s="13">
        <f t="shared" si="282"/>
        <v>0</v>
      </c>
      <c r="BN156" s="12">
        <v>180</v>
      </c>
      <c r="BO156" s="13">
        <f t="shared" si="283"/>
        <v>125.99999999999999</v>
      </c>
      <c r="BP156" s="12">
        <v>60</v>
      </c>
      <c r="BQ156" s="13">
        <f t="shared" si="284"/>
        <v>42</v>
      </c>
      <c r="BR156" s="12"/>
      <c r="BS156" s="13">
        <f t="shared" si="285"/>
        <v>0</v>
      </c>
      <c r="BT156" s="12"/>
      <c r="BU156" s="13">
        <f t="shared" si="286"/>
        <v>0</v>
      </c>
      <c r="BV156" s="12">
        <v>156</v>
      </c>
      <c r="BW156" s="13">
        <f t="shared" si="287"/>
        <v>109.19999999999999</v>
      </c>
      <c r="BX156" s="12"/>
      <c r="BY156" s="13">
        <f t="shared" si="288"/>
        <v>0</v>
      </c>
      <c r="BZ156" s="12"/>
      <c r="CA156" s="13">
        <f t="shared" si="289"/>
        <v>0</v>
      </c>
      <c r="CB156" s="12"/>
      <c r="CC156" s="13">
        <f t="shared" si="290"/>
        <v>0</v>
      </c>
      <c r="CD156" s="12"/>
      <c r="CE156" s="13">
        <f t="shared" si="291"/>
        <v>0</v>
      </c>
      <c r="CF156" s="14">
        <f t="shared" si="292"/>
        <v>35</v>
      </c>
      <c r="CG156" s="15">
        <f t="shared" si="293"/>
        <v>24.5</v>
      </c>
      <c r="CH156" s="12"/>
      <c r="CI156" s="13">
        <f t="shared" si="294"/>
        <v>0</v>
      </c>
      <c r="CJ156" s="12"/>
      <c r="CK156" s="13">
        <f t="shared" si="295"/>
        <v>0</v>
      </c>
      <c r="CL156" s="12"/>
      <c r="CM156" s="13">
        <f t="shared" si="296"/>
        <v>0</v>
      </c>
      <c r="CN156" s="12"/>
      <c r="CO156" s="13">
        <f t="shared" si="297"/>
        <v>0</v>
      </c>
      <c r="CP156" s="12"/>
      <c r="CQ156" s="13">
        <f t="shared" si="298"/>
        <v>0</v>
      </c>
      <c r="CR156" s="12"/>
      <c r="CS156" s="13">
        <f t="shared" si="299"/>
        <v>0</v>
      </c>
      <c r="CT156" s="12"/>
      <c r="CU156" s="13">
        <f t="shared" si="300"/>
        <v>0</v>
      </c>
      <c r="CV156" s="12"/>
      <c r="CW156" s="13">
        <f t="shared" si="301"/>
        <v>0</v>
      </c>
      <c r="CX156" s="12"/>
      <c r="CY156" s="13">
        <f t="shared" si="302"/>
        <v>0</v>
      </c>
      <c r="CZ156" s="12"/>
      <c r="DA156" s="13">
        <f t="shared" si="303"/>
        <v>0</v>
      </c>
      <c r="DB156" s="12"/>
      <c r="DC156" s="13">
        <f t="shared" si="304"/>
        <v>0</v>
      </c>
      <c r="DD156" s="12"/>
      <c r="DE156" s="13">
        <f t="shared" si="304"/>
        <v>0</v>
      </c>
      <c r="DF156" s="64">
        <f t="shared" si="305"/>
        <v>0</v>
      </c>
      <c r="DG156" s="15">
        <f t="shared" si="306"/>
        <v>0</v>
      </c>
      <c r="DH156" s="12"/>
      <c r="DI156" s="13">
        <f t="shared" si="307"/>
        <v>0</v>
      </c>
      <c r="DJ156" s="12"/>
      <c r="DK156" s="13">
        <f t="shared" si="308"/>
        <v>0</v>
      </c>
      <c r="DL156" s="12"/>
      <c r="DM156" s="13">
        <f t="shared" si="309"/>
        <v>0</v>
      </c>
      <c r="DN156" s="12"/>
      <c r="DO156" s="13">
        <f t="shared" si="321"/>
        <v>0</v>
      </c>
      <c r="DP156" s="12"/>
      <c r="DQ156" s="13">
        <f t="shared" si="311"/>
        <v>0</v>
      </c>
      <c r="DR156" s="12"/>
      <c r="DS156" s="13">
        <f t="shared" si="312"/>
        <v>0</v>
      </c>
      <c r="DT156" s="12"/>
      <c r="DU156" s="13">
        <f t="shared" si="313"/>
        <v>0</v>
      </c>
      <c r="DV156" s="12"/>
      <c r="DW156" s="13">
        <f t="shared" si="314"/>
        <v>0</v>
      </c>
      <c r="DX156" s="12"/>
      <c r="DY156" s="13">
        <f t="shared" si="315"/>
        <v>0</v>
      </c>
      <c r="DZ156" s="12"/>
      <c r="EA156" s="13">
        <f t="shared" si="316"/>
        <v>0</v>
      </c>
      <c r="EB156" s="12"/>
      <c r="EC156" s="13">
        <f t="shared" si="317"/>
        <v>0</v>
      </c>
      <c r="ED156" s="12"/>
      <c r="EE156" s="13">
        <f t="shared" si="318"/>
        <v>0</v>
      </c>
      <c r="EF156" s="24">
        <f t="shared" si="322"/>
        <v>0</v>
      </c>
      <c r="EG156" s="13">
        <f t="shared" si="320"/>
        <v>0</v>
      </c>
    </row>
    <row r="157" spans="1:137" ht="18" x14ac:dyDescent="0.5">
      <c r="A157" s="10">
        <v>119</v>
      </c>
      <c r="B157" s="16" t="s">
        <v>133</v>
      </c>
      <c r="C157" s="16" t="s">
        <v>14</v>
      </c>
      <c r="D157" s="10">
        <f t="shared" si="251"/>
        <v>5</v>
      </c>
      <c r="E157" s="10">
        <v>0.7</v>
      </c>
      <c r="F157" s="42" t="s">
        <v>15</v>
      </c>
      <c r="G157" s="61"/>
      <c r="H157" s="12"/>
      <c r="I157" s="13"/>
      <c r="J157" s="12"/>
      <c r="K157" s="13"/>
      <c r="L157" s="12"/>
      <c r="M157" s="13"/>
      <c r="N157" s="12"/>
      <c r="O157" s="13"/>
      <c r="P157" s="12"/>
      <c r="Q157" s="13"/>
      <c r="R157" s="12"/>
      <c r="S157" s="13"/>
      <c r="T157" s="12"/>
      <c r="U157" s="13"/>
      <c r="V157" s="12"/>
      <c r="W157" s="13"/>
      <c r="X157" s="12"/>
      <c r="Y157" s="13"/>
      <c r="Z157" s="12"/>
      <c r="AA157" s="13"/>
      <c r="AB157" s="12"/>
      <c r="AC157" s="13"/>
      <c r="AD157" s="12"/>
      <c r="AE157" s="13"/>
      <c r="AF157" s="14"/>
      <c r="AG157" s="15"/>
      <c r="AH157" s="12"/>
      <c r="AI157" s="13"/>
      <c r="AJ157" s="12"/>
      <c r="AK157" s="13"/>
      <c r="AL157" s="12"/>
      <c r="AM157" s="13"/>
      <c r="AN157" s="12"/>
      <c r="AO157" s="13"/>
      <c r="AP157" s="12"/>
      <c r="AQ157" s="13"/>
      <c r="AR157" s="12"/>
      <c r="AS157" s="13"/>
      <c r="AT157" s="12"/>
      <c r="AU157" s="13"/>
      <c r="AV157" s="12"/>
      <c r="AW157" s="13"/>
      <c r="AX157" s="12"/>
      <c r="AY157" s="13"/>
      <c r="AZ157" s="12"/>
      <c r="BA157" s="13"/>
      <c r="BB157" s="12"/>
      <c r="BC157" s="13"/>
      <c r="BD157" s="12"/>
      <c r="BE157" s="13"/>
      <c r="BF157" s="14"/>
      <c r="BG157" s="15"/>
      <c r="BH157" s="12"/>
      <c r="BI157" s="13"/>
      <c r="BJ157" s="12"/>
      <c r="BK157" s="13"/>
      <c r="BL157" s="12"/>
      <c r="BM157" s="13"/>
      <c r="BN157" s="12"/>
      <c r="BO157" s="13"/>
      <c r="BP157" s="12"/>
      <c r="BQ157" s="13"/>
      <c r="BR157" s="12"/>
      <c r="BS157" s="13"/>
      <c r="BT157" s="12"/>
      <c r="BU157" s="13"/>
      <c r="BV157" s="12"/>
      <c r="BW157" s="13"/>
      <c r="BX157" s="12"/>
      <c r="BY157" s="13"/>
      <c r="BZ157" s="12"/>
      <c r="CA157" s="13"/>
      <c r="CB157" s="12"/>
      <c r="CC157" s="13"/>
      <c r="CD157" s="12"/>
      <c r="CE157" s="13"/>
      <c r="CF157" s="14"/>
      <c r="CG157" s="15"/>
      <c r="CH157" s="12"/>
      <c r="CI157" s="13"/>
      <c r="CJ157" s="12"/>
      <c r="CK157" s="13"/>
      <c r="CL157" s="12"/>
      <c r="CM157" s="13"/>
      <c r="CN157" s="12"/>
      <c r="CO157" s="13"/>
      <c r="CP157" s="12"/>
      <c r="CQ157" s="13"/>
      <c r="CR157" s="12"/>
      <c r="CS157" s="13"/>
      <c r="CT157" s="12"/>
      <c r="CU157" s="13"/>
      <c r="CV157" s="12"/>
      <c r="CW157" s="13"/>
      <c r="CX157" s="12"/>
      <c r="CY157" s="13"/>
      <c r="CZ157" s="12"/>
      <c r="DA157" s="13"/>
      <c r="DB157" s="12"/>
      <c r="DC157" s="13"/>
      <c r="DD157" s="12"/>
      <c r="DE157" s="13"/>
      <c r="DF157" s="64"/>
      <c r="DG157" s="15"/>
      <c r="DH157" s="12"/>
      <c r="DI157" s="13"/>
      <c r="DJ157" s="12"/>
      <c r="DK157" s="13"/>
      <c r="DL157" s="12"/>
      <c r="DM157" s="13"/>
      <c r="DN157" s="12"/>
      <c r="DO157" s="13"/>
      <c r="DP157" s="12"/>
      <c r="DQ157" s="13"/>
      <c r="DR157" s="12"/>
      <c r="DS157" s="13"/>
      <c r="DT157" s="12"/>
      <c r="DU157" s="13"/>
      <c r="DV157" s="12"/>
      <c r="DW157" s="13"/>
      <c r="DX157" s="12"/>
      <c r="DY157" s="13"/>
      <c r="DZ157" s="12"/>
      <c r="EA157" s="13"/>
      <c r="EB157" s="12"/>
      <c r="EC157" s="13"/>
      <c r="ED157" s="12"/>
      <c r="EE157" s="13"/>
      <c r="EF157" s="24"/>
      <c r="EG157" s="13"/>
    </row>
    <row r="158" spans="1:137" ht="18" x14ac:dyDescent="0.5">
      <c r="A158" s="10">
        <v>120</v>
      </c>
      <c r="B158" s="16" t="s">
        <v>134</v>
      </c>
      <c r="C158" s="16" t="s">
        <v>14</v>
      </c>
      <c r="D158" s="10">
        <f t="shared" si="251"/>
        <v>5</v>
      </c>
      <c r="E158" s="10">
        <v>0.7</v>
      </c>
      <c r="F158" s="42" t="s">
        <v>15</v>
      </c>
      <c r="G158" s="61"/>
      <c r="H158" s="12"/>
      <c r="I158" s="13"/>
      <c r="J158" s="12"/>
      <c r="K158" s="13"/>
      <c r="L158" s="12"/>
      <c r="M158" s="13"/>
      <c r="N158" s="12"/>
      <c r="O158" s="13"/>
      <c r="P158" s="12"/>
      <c r="Q158" s="13"/>
      <c r="R158" s="12"/>
      <c r="S158" s="13"/>
      <c r="T158" s="12"/>
      <c r="U158" s="13"/>
      <c r="V158" s="12"/>
      <c r="W158" s="13"/>
      <c r="X158" s="12"/>
      <c r="Y158" s="13"/>
      <c r="Z158" s="12"/>
      <c r="AA158" s="13"/>
      <c r="AB158" s="12"/>
      <c r="AC158" s="13"/>
      <c r="AD158" s="12"/>
      <c r="AE158" s="13"/>
      <c r="AF158" s="14"/>
      <c r="AG158" s="15"/>
      <c r="AH158" s="12"/>
      <c r="AI158" s="13"/>
      <c r="AJ158" s="12"/>
      <c r="AK158" s="13"/>
      <c r="AL158" s="12"/>
      <c r="AM158" s="13"/>
      <c r="AN158" s="12"/>
      <c r="AO158" s="13"/>
      <c r="AP158" s="12"/>
      <c r="AQ158" s="13"/>
      <c r="AR158" s="12"/>
      <c r="AS158" s="13"/>
      <c r="AT158" s="12"/>
      <c r="AU158" s="13"/>
      <c r="AV158" s="12"/>
      <c r="AW158" s="13"/>
      <c r="AX158" s="12"/>
      <c r="AY158" s="13"/>
      <c r="AZ158" s="12"/>
      <c r="BA158" s="13"/>
      <c r="BB158" s="12"/>
      <c r="BC158" s="13"/>
      <c r="BD158" s="12"/>
      <c r="BE158" s="13"/>
      <c r="BF158" s="14"/>
      <c r="BG158" s="15"/>
      <c r="BH158" s="12"/>
      <c r="BI158" s="13"/>
      <c r="BJ158" s="12"/>
      <c r="BK158" s="13"/>
      <c r="BL158" s="12"/>
      <c r="BM158" s="13"/>
      <c r="BN158" s="12"/>
      <c r="BO158" s="13"/>
      <c r="BP158" s="12"/>
      <c r="BQ158" s="13"/>
      <c r="BR158" s="12"/>
      <c r="BS158" s="13"/>
      <c r="BT158" s="12"/>
      <c r="BU158" s="13"/>
      <c r="BV158" s="12"/>
      <c r="BW158" s="13"/>
      <c r="BX158" s="12"/>
      <c r="BY158" s="13"/>
      <c r="BZ158" s="12"/>
      <c r="CA158" s="13"/>
      <c r="CB158" s="12"/>
      <c r="CC158" s="13"/>
      <c r="CD158" s="12"/>
      <c r="CE158" s="13"/>
      <c r="CF158" s="14"/>
      <c r="CG158" s="15"/>
      <c r="CH158" s="12"/>
      <c r="CI158" s="13"/>
      <c r="CJ158" s="12"/>
      <c r="CK158" s="13"/>
      <c r="CL158" s="12"/>
      <c r="CM158" s="13"/>
      <c r="CN158" s="12"/>
      <c r="CO158" s="13"/>
      <c r="CP158" s="12"/>
      <c r="CQ158" s="13"/>
      <c r="CR158" s="12"/>
      <c r="CS158" s="13"/>
      <c r="CT158" s="12"/>
      <c r="CU158" s="13"/>
      <c r="CV158" s="12"/>
      <c r="CW158" s="13"/>
      <c r="CX158" s="12"/>
      <c r="CY158" s="13"/>
      <c r="CZ158" s="12"/>
      <c r="DA158" s="13"/>
      <c r="DB158" s="12"/>
      <c r="DC158" s="13"/>
      <c r="DD158" s="12"/>
      <c r="DE158" s="13"/>
      <c r="DF158" s="64"/>
      <c r="DG158" s="15"/>
      <c r="DH158" s="12"/>
      <c r="DI158" s="13"/>
      <c r="DJ158" s="12"/>
      <c r="DK158" s="13"/>
      <c r="DL158" s="12"/>
      <c r="DM158" s="13"/>
      <c r="DN158" s="12"/>
      <c r="DO158" s="13"/>
      <c r="DP158" s="12"/>
      <c r="DQ158" s="13"/>
      <c r="DR158" s="12"/>
      <c r="DS158" s="13"/>
      <c r="DT158" s="12"/>
      <c r="DU158" s="13"/>
      <c r="DV158" s="12"/>
      <c r="DW158" s="13"/>
      <c r="DX158" s="12"/>
      <c r="DY158" s="13"/>
      <c r="DZ158" s="12"/>
      <c r="EA158" s="13"/>
      <c r="EB158" s="12"/>
      <c r="EC158" s="13"/>
      <c r="ED158" s="12"/>
      <c r="EE158" s="13"/>
      <c r="EF158" s="24"/>
      <c r="EG158" s="13"/>
    </row>
    <row r="159" spans="1:137" ht="18" x14ac:dyDescent="0.5">
      <c r="A159" s="10">
        <v>121</v>
      </c>
      <c r="B159" s="16" t="s">
        <v>114</v>
      </c>
      <c r="C159" s="16" t="s">
        <v>14</v>
      </c>
      <c r="D159" s="10">
        <f t="shared" si="251"/>
        <v>5</v>
      </c>
      <c r="E159" s="10">
        <v>0.7</v>
      </c>
      <c r="F159" s="42" t="s">
        <v>15</v>
      </c>
      <c r="G159" s="61"/>
      <c r="H159" s="12"/>
      <c r="I159" s="13">
        <f t="shared" si="252"/>
        <v>0</v>
      </c>
      <c r="J159" s="12"/>
      <c r="K159" s="13">
        <f t="shared" si="253"/>
        <v>0</v>
      </c>
      <c r="L159" s="12"/>
      <c r="M159" s="13">
        <f t="shared" si="254"/>
        <v>0</v>
      </c>
      <c r="N159" s="12"/>
      <c r="O159" s="13">
        <f t="shared" si="255"/>
        <v>0</v>
      </c>
      <c r="P159" s="12"/>
      <c r="Q159" s="13">
        <f t="shared" si="256"/>
        <v>0</v>
      </c>
      <c r="R159" s="12"/>
      <c r="S159" s="13">
        <f t="shared" si="257"/>
        <v>0</v>
      </c>
      <c r="T159" s="12"/>
      <c r="U159" s="13">
        <f t="shared" si="258"/>
        <v>0</v>
      </c>
      <c r="V159" s="12"/>
      <c r="W159" s="13">
        <f t="shared" si="259"/>
        <v>0</v>
      </c>
      <c r="X159" s="12"/>
      <c r="Y159" s="13">
        <f t="shared" si="260"/>
        <v>0</v>
      </c>
      <c r="Z159" s="12"/>
      <c r="AA159" s="13">
        <f t="shared" si="261"/>
        <v>0</v>
      </c>
      <c r="AB159" s="12"/>
      <c r="AC159" s="13">
        <f t="shared" si="262"/>
        <v>0</v>
      </c>
      <c r="AD159" s="12"/>
      <c r="AE159" s="13">
        <f t="shared" si="263"/>
        <v>0</v>
      </c>
      <c r="AF159" s="14">
        <f t="shared" si="264"/>
        <v>0</v>
      </c>
      <c r="AG159" s="15">
        <f t="shared" si="265"/>
        <v>0</v>
      </c>
      <c r="AH159" s="12"/>
      <c r="AI159" s="13">
        <f t="shared" si="266"/>
        <v>0</v>
      </c>
      <c r="AJ159" s="12"/>
      <c r="AK159" s="13">
        <f t="shared" si="267"/>
        <v>0</v>
      </c>
      <c r="AL159" s="12"/>
      <c r="AM159" s="13">
        <f t="shared" si="268"/>
        <v>0</v>
      </c>
      <c r="AN159" s="12"/>
      <c r="AO159" s="13">
        <f t="shared" si="269"/>
        <v>0</v>
      </c>
      <c r="AP159" s="12"/>
      <c r="AQ159" s="13">
        <f t="shared" si="270"/>
        <v>0</v>
      </c>
      <c r="AR159" s="12"/>
      <c r="AS159" s="13">
        <f t="shared" si="271"/>
        <v>0</v>
      </c>
      <c r="AT159" s="12"/>
      <c r="AU159" s="13">
        <f t="shared" si="272"/>
        <v>0</v>
      </c>
      <c r="AV159" s="12"/>
      <c r="AW159" s="13">
        <f t="shared" si="273"/>
        <v>0</v>
      </c>
      <c r="AX159" s="12"/>
      <c r="AY159" s="13">
        <f t="shared" si="274"/>
        <v>0</v>
      </c>
      <c r="AZ159" s="12"/>
      <c r="BA159" s="13">
        <f t="shared" si="275"/>
        <v>0</v>
      </c>
      <c r="BB159" s="12"/>
      <c r="BC159" s="13">
        <f t="shared" si="276"/>
        <v>0</v>
      </c>
      <c r="BD159" s="12"/>
      <c r="BE159" s="13">
        <f t="shared" si="277"/>
        <v>0</v>
      </c>
      <c r="BF159" s="14">
        <f t="shared" si="278"/>
        <v>0</v>
      </c>
      <c r="BG159" s="15">
        <f t="shared" si="279"/>
        <v>0</v>
      </c>
      <c r="BH159" s="12"/>
      <c r="BI159" s="13">
        <f t="shared" si="280"/>
        <v>0</v>
      </c>
      <c r="BJ159" s="12"/>
      <c r="BK159" s="13">
        <f t="shared" si="281"/>
        <v>0</v>
      </c>
      <c r="BL159" s="12"/>
      <c r="BM159" s="13">
        <f t="shared" si="282"/>
        <v>0</v>
      </c>
      <c r="BN159" s="12"/>
      <c r="BO159" s="13">
        <f t="shared" si="283"/>
        <v>0</v>
      </c>
      <c r="BP159" s="12"/>
      <c r="BQ159" s="13">
        <f t="shared" si="284"/>
        <v>0</v>
      </c>
      <c r="BR159" s="12"/>
      <c r="BS159" s="13">
        <f t="shared" si="285"/>
        <v>0</v>
      </c>
      <c r="BT159" s="12"/>
      <c r="BU159" s="13">
        <f t="shared" si="286"/>
        <v>0</v>
      </c>
      <c r="BV159" s="12"/>
      <c r="BW159" s="13">
        <f t="shared" si="287"/>
        <v>0</v>
      </c>
      <c r="BX159" s="12"/>
      <c r="BY159" s="13">
        <f t="shared" si="288"/>
        <v>0</v>
      </c>
      <c r="BZ159" s="12"/>
      <c r="CA159" s="13">
        <f t="shared" si="289"/>
        <v>0</v>
      </c>
      <c r="CB159" s="12"/>
      <c r="CC159" s="13">
        <f t="shared" si="290"/>
        <v>0</v>
      </c>
      <c r="CD159" s="12"/>
      <c r="CE159" s="13">
        <f t="shared" si="291"/>
        <v>0</v>
      </c>
      <c r="CF159" s="14">
        <f t="shared" si="292"/>
        <v>0</v>
      </c>
      <c r="CG159" s="15">
        <f t="shared" si="293"/>
        <v>0</v>
      </c>
      <c r="CH159" s="12"/>
      <c r="CI159" s="13">
        <f t="shared" si="294"/>
        <v>0</v>
      </c>
      <c r="CJ159" s="12"/>
      <c r="CK159" s="13">
        <f t="shared" si="295"/>
        <v>0</v>
      </c>
      <c r="CL159" s="12"/>
      <c r="CM159" s="13">
        <f t="shared" si="296"/>
        <v>0</v>
      </c>
      <c r="CN159" s="12"/>
      <c r="CO159" s="13">
        <f t="shared" si="297"/>
        <v>0</v>
      </c>
      <c r="CP159" s="12"/>
      <c r="CQ159" s="13">
        <f t="shared" si="298"/>
        <v>0</v>
      </c>
      <c r="CR159" s="12"/>
      <c r="CS159" s="13">
        <f t="shared" si="299"/>
        <v>0</v>
      </c>
      <c r="CT159" s="12"/>
      <c r="CU159" s="13">
        <f t="shared" si="300"/>
        <v>0</v>
      </c>
      <c r="CV159" s="12"/>
      <c r="CW159" s="13">
        <f t="shared" si="301"/>
        <v>0</v>
      </c>
      <c r="CX159" s="12"/>
      <c r="CY159" s="13">
        <f t="shared" si="302"/>
        <v>0</v>
      </c>
      <c r="CZ159" s="12"/>
      <c r="DA159" s="13">
        <f t="shared" si="303"/>
        <v>0</v>
      </c>
      <c r="DB159" s="12"/>
      <c r="DC159" s="13">
        <f t="shared" si="304"/>
        <v>0</v>
      </c>
      <c r="DD159" s="12"/>
      <c r="DE159" s="13">
        <f t="shared" si="304"/>
        <v>0</v>
      </c>
      <c r="DF159" s="64">
        <f t="shared" si="305"/>
        <v>0</v>
      </c>
      <c r="DG159" s="15">
        <f t="shared" si="306"/>
        <v>0</v>
      </c>
      <c r="DH159" s="12"/>
      <c r="DI159" s="13">
        <f t="shared" ref="DI159:DI168" si="323">DH159*$E159</f>
        <v>0</v>
      </c>
      <c r="DJ159" s="12"/>
      <c r="DK159" s="13">
        <f t="shared" ref="DK159:DK168" si="324">DJ159*$E159</f>
        <v>0</v>
      </c>
      <c r="DL159" s="12"/>
      <c r="DM159" s="13">
        <f t="shared" ref="DM159:DM168" si="325">DL159*$E159</f>
        <v>0</v>
      </c>
      <c r="DN159" s="12"/>
      <c r="DO159" s="13">
        <f t="shared" ref="DO159:DO168" si="326">DN159*$E159</f>
        <v>0</v>
      </c>
      <c r="DP159" s="12"/>
      <c r="DQ159" s="13">
        <f t="shared" ref="DQ159:DQ168" si="327">DP159*$E159</f>
        <v>0</v>
      </c>
      <c r="DR159" s="12"/>
      <c r="DS159" s="13">
        <f t="shared" ref="DS159:DS168" si="328">DR159*$E159</f>
        <v>0</v>
      </c>
      <c r="DT159" s="12"/>
      <c r="DU159" s="13">
        <f t="shared" ref="DU159:DU168" si="329">DT159*$E159</f>
        <v>0</v>
      </c>
      <c r="DV159" s="12"/>
      <c r="DW159" s="13">
        <f t="shared" ref="DW159:DW168" si="330">DV159*$E159</f>
        <v>0</v>
      </c>
      <c r="DX159" s="12"/>
      <c r="DY159" s="13">
        <f t="shared" ref="DY159:DY168" si="331">DX159*$E159</f>
        <v>0</v>
      </c>
      <c r="DZ159" s="12"/>
      <c r="EA159" s="13">
        <f t="shared" ref="EA159:EA168" si="332">DZ159*$E159</f>
        <v>0</v>
      </c>
      <c r="EB159" s="12"/>
      <c r="EC159" s="13">
        <f t="shared" ref="EC159:EC168" si="333">EB159*$E159</f>
        <v>0</v>
      </c>
      <c r="ED159" s="12"/>
      <c r="EE159" s="13">
        <f t="shared" ref="EE159:EE168" si="334">ED159*$E159</f>
        <v>0</v>
      </c>
      <c r="EF159" s="24">
        <f t="shared" ref="EF159:EF168" si="335">SUM(DH159,DJ159,DL159,DN159,DP159,DR159,DT159,DV159,DX159,DZ159,EB159,ED159)</f>
        <v>0</v>
      </c>
      <c r="EG159" s="13">
        <f t="shared" ref="EG159:EG168" si="336">EF159*$E159</f>
        <v>0</v>
      </c>
    </row>
    <row r="160" spans="1:137" ht="18" x14ac:dyDescent="0.5">
      <c r="A160" s="10">
        <v>122</v>
      </c>
      <c r="B160" s="16" t="s">
        <v>115</v>
      </c>
      <c r="C160" s="16" t="s">
        <v>14</v>
      </c>
      <c r="D160" s="10">
        <f t="shared" si="251"/>
        <v>5</v>
      </c>
      <c r="E160" s="10">
        <v>0.35</v>
      </c>
      <c r="F160" s="42" t="s">
        <v>23</v>
      </c>
      <c r="G160" s="61"/>
      <c r="H160" s="12"/>
      <c r="I160" s="13">
        <f t="shared" si="252"/>
        <v>0</v>
      </c>
      <c r="J160" s="12"/>
      <c r="K160" s="13">
        <f t="shared" si="253"/>
        <v>0</v>
      </c>
      <c r="L160" s="12"/>
      <c r="M160" s="13">
        <f t="shared" si="254"/>
        <v>0</v>
      </c>
      <c r="N160" s="12"/>
      <c r="O160" s="13">
        <f t="shared" si="255"/>
        <v>0</v>
      </c>
      <c r="P160" s="12"/>
      <c r="Q160" s="13">
        <f t="shared" si="256"/>
        <v>0</v>
      </c>
      <c r="R160" s="12"/>
      <c r="S160" s="13">
        <f t="shared" si="257"/>
        <v>0</v>
      </c>
      <c r="T160" s="12"/>
      <c r="U160" s="13">
        <f t="shared" si="258"/>
        <v>0</v>
      </c>
      <c r="V160" s="12"/>
      <c r="W160" s="13">
        <f t="shared" si="259"/>
        <v>0</v>
      </c>
      <c r="X160" s="12"/>
      <c r="Y160" s="13">
        <f t="shared" si="260"/>
        <v>0</v>
      </c>
      <c r="Z160" s="12"/>
      <c r="AA160" s="13">
        <f t="shared" si="261"/>
        <v>0</v>
      </c>
      <c r="AB160" s="12"/>
      <c r="AC160" s="13">
        <f t="shared" si="262"/>
        <v>0</v>
      </c>
      <c r="AD160" s="12"/>
      <c r="AE160" s="13">
        <f t="shared" si="263"/>
        <v>0</v>
      </c>
      <c r="AF160" s="14">
        <f t="shared" si="264"/>
        <v>0</v>
      </c>
      <c r="AG160" s="15">
        <f t="shared" si="265"/>
        <v>0</v>
      </c>
      <c r="AH160" s="12"/>
      <c r="AI160" s="13">
        <f t="shared" si="266"/>
        <v>0</v>
      </c>
      <c r="AJ160" s="12"/>
      <c r="AK160" s="13">
        <f t="shared" si="267"/>
        <v>0</v>
      </c>
      <c r="AL160" s="12"/>
      <c r="AM160" s="13">
        <f t="shared" si="268"/>
        <v>0</v>
      </c>
      <c r="AN160" s="12"/>
      <c r="AO160" s="13">
        <f t="shared" si="269"/>
        <v>0</v>
      </c>
      <c r="AP160" s="12"/>
      <c r="AQ160" s="13">
        <f t="shared" si="270"/>
        <v>0</v>
      </c>
      <c r="AR160" s="12"/>
      <c r="AS160" s="13">
        <f t="shared" si="271"/>
        <v>0</v>
      </c>
      <c r="AT160" s="12"/>
      <c r="AU160" s="13">
        <f t="shared" si="272"/>
        <v>0</v>
      </c>
      <c r="AV160" s="12"/>
      <c r="AW160" s="13">
        <f t="shared" si="273"/>
        <v>0</v>
      </c>
      <c r="AX160" s="12"/>
      <c r="AY160" s="13">
        <f t="shared" si="274"/>
        <v>0</v>
      </c>
      <c r="AZ160" s="12"/>
      <c r="BA160" s="13">
        <f t="shared" si="275"/>
        <v>0</v>
      </c>
      <c r="BB160" s="12"/>
      <c r="BC160" s="13">
        <f t="shared" si="276"/>
        <v>0</v>
      </c>
      <c r="BD160" s="12"/>
      <c r="BE160" s="13">
        <f t="shared" si="277"/>
        <v>0</v>
      </c>
      <c r="BF160" s="14">
        <f t="shared" si="278"/>
        <v>0</v>
      </c>
      <c r="BG160" s="15">
        <f t="shared" si="279"/>
        <v>0</v>
      </c>
      <c r="BH160" s="12"/>
      <c r="BI160" s="13">
        <f t="shared" si="280"/>
        <v>0</v>
      </c>
      <c r="BJ160" s="12"/>
      <c r="BK160" s="13">
        <f t="shared" si="281"/>
        <v>0</v>
      </c>
      <c r="BL160" s="12"/>
      <c r="BM160" s="13">
        <f t="shared" si="282"/>
        <v>0</v>
      </c>
      <c r="BN160" s="12"/>
      <c r="BO160" s="13">
        <f t="shared" si="283"/>
        <v>0</v>
      </c>
      <c r="BP160" s="12"/>
      <c r="BQ160" s="13">
        <f t="shared" si="284"/>
        <v>0</v>
      </c>
      <c r="BR160" s="12"/>
      <c r="BS160" s="13">
        <f t="shared" si="285"/>
        <v>0</v>
      </c>
      <c r="BT160" s="12"/>
      <c r="BU160" s="13">
        <f t="shared" si="286"/>
        <v>0</v>
      </c>
      <c r="BV160" s="12"/>
      <c r="BW160" s="13">
        <f t="shared" si="287"/>
        <v>0</v>
      </c>
      <c r="BX160" s="12"/>
      <c r="BY160" s="13">
        <f t="shared" si="288"/>
        <v>0</v>
      </c>
      <c r="BZ160" s="12"/>
      <c r="CA160" s="13">
        <f t="shared" si="289"/>
        <v>0</v>
      </c>
      <c r="CB160" s="12"/>
      <c r="CC160" s="13">
        <f t="shared" si="290"/>
        <v>0</v>
      </c>
      <c r="CD160" s="12"/>
      <c r="CE160" s="13">
        <f t="shared" si="291"/>
        <v>0</v>
      </c>
      <c r="CF160" s="14">
        <f t="shared" si="292"/>
        <v>0</v>
      </c>
      <c r="CG160" s="15">
        <f t="shared" si="293"/>
        <v>0</v>
      </c>
      <c r="CH160" s="12"/>
      <c r="CI160" s="13">
        <f t="shared" si="294"/>
        <v>0</v>
      </c>
      <c r="CJ160" s="12"/>
      <c r="CK160" s="13">
        <f t="shared" si="295"/>
        <v>0</v>
      </c>
      <c r="CL160" s="12"/>
      <c r="CM160" s="13">
        <f t="shared" si="296"/>
        <v>0</v>
      </c>
      <c r="CN160" s="12"/>
      <c r="CO160" s="13">
        <f t="shared" si="297"/>
        <v>0</v>
      </c>
      <c r="CP160" s="12"/>
      <c r="CQ160" s="13">
        <f t="shared" si="298"/>
        <v>0</v>
      </c>
      <c r="CR160" s="12"/>
      <c r="CS160" s="13">
        <f t="shared" si="299"/>
        <v>0</v>
      </c>
      <c r="CT160" s="12"/>
      <c r="CU160" s="13">
        <f t="shared" si="300"/>
        <v>0</v>
      </c>
      <c r="CV160" s="12"/>
      <c r="CW160" s="13">
        <f t="shared" si="301"/>
        <v>0</v>
      </c>
      <c r="CX160" s="12"/>
      <c r="CY160" s="13">
        <f t="shared" si="302"/>
        <v>0</v>
      </c>
      <c r="CZ160" s="12"/>
      <c r="DA160" s="13">
        <f t="shared" si="303"/>
        <v>0</v>
      </c>
      <c r="DB160" s="12"/>
      <c r="DC160" s="13">
        <f t="shared" si="304"/>
        <v>0</v>
      </c>
      <c r="DD160" s="12"/>
      <c r="DE160" s="13">
        <f t="shared" si="304"/>
        <v>0</v>
      </c>
      <c r="DF160" s="64">
        <f t="shared" si="305"/>
        <v>0</v>
      </c>
      <c r="DG160" s="15">
        <f t="shared" si="306"/>
        <v>0</v>
      </c>
      <c r="DH160" s="12"/>
      <c r="DI160" s="13">
        <f t="shared" si="323"/>
        <v>0</v>
      </c>
      <c r="DJ160" s="12"/>
      <c r="DK160" s="13">
        <f t="shared" si="324"/>
        <v>0</v>
      </c>
      <c r="DL160" s="12"/>
      <c r="DM160" s="13">
        <f t="shared" si="325"/>
        <v>0</v>
      </c>
      <c r="DN160" s="12"/>
      <c r="DO160" s="13">
        <f t="shared" si="326"/>
        <v>0</v>
      </c>
      <c r="DP160" s="12"/>
      <c r="DQ160" s="13">
        <f t="shared" si="327"/>
        <v>0</v>
      </c>
      <c r="DR160" s="12"/>
      <c r="DS160" s="13">
        <f t="shared" si="328"/>
        <v>0</v>
      </c>
      <c r="DT160" s="12"/>
      <c r="DU160" s="13">
        <f t="shared" si="329"/>
        <v>0</v>
      </c>
      <c r="DV160" s="12"/>
      <c r="DW160" s="13">
        <f t="shared" si="330"/>
        <v>0</v>
      </c>
      <c r="DX160" s="12"/>
      <c r="DY160" s="13">
        <f t="shared" si="331"/>
        <v>0</v>
      </c>
      <c r="DZ160" s="12"/>
      <c r="EA160" s="13">
        <f t="shared" si="332"/>
        <v>0</v>
      </c>
      <c r="EB160" s="12"/>
      <c r="EC160" s="13">
        <f t="shared" si="333"/>
        <v>0</v>
      </c>
      <c r="ED160" s="12"/>
      <c r="EE160" s="13">
        <f t="shared" si="334"/>
        <v>0</v>
      </c>
      <c r="EF160" s="24">
        <f t="shared" si="335"/>
        <v>0</v>
      </c>
      <c r="EG160" s="13">
        <f t="shared" si="336"/>
        <v>0</v>
      </c>
    </row>
    <row r="161" spans="1:137" ht="18" x14ac:dyDescent="0.5">
      <c r="A161" s="10">
        <v>123</v>
      </c>
      <c r="B161" s="16" t="s">
        <v>116</v>
      </c>
      <c r="C161" s="16" t="s">
        <v>14</v>
      </c>
      <c r="D161" s="10">
        <f t="shared" si="251"/>
        <v>5</v>
      </c>
      <c r="E161" s="10">
        <v>0.7</v>
      </c>
      <c r="F161" s="42" t="s">
        <v>15</v>
      </c>
      <c r="G161" s="61"/>
      <c r="H161" s="12"/>
      <c r="I161" s="13">
        <f t="shared" si="252"/>
        <v>0</v>
      </c>
      <c r="J161" s="12"/>
      <c r="K161" s="13">
        <f t="shared" si="253"/>
        <v>0</v>
      </c>
      <c r="L161" s="12"/>
      <c r="M161" s="13">
        <f t="shared" si="254"/>
        <v>0</v>
      </c>
      <c r="N161" s="12"/>
      <c r="O161" s="13">
        <f t="shared" si="255"/>
        <v>0</v>
      </c>
      <c r="P161" s="12"/>
      <c r="Q161" s="13">
        <f t="shared" si="256"/>
        <v>0</v>
      </c>
      <c r="R161" s="12"/>
      <c r="S161" s="13">
        <f t="shared" si="257"/>
        <v>0</v>
      </c>
      <c r="T161" s="12"/>
      <c r="U161" s="13">
        <f t="shared" si="258"/>
        <v>0</v>
      </c>
      <c r="V161" s="12"/>
      <c r="W161" s="13">
        <f t="shared" si="259"/>
        <v>0</v>
      </c>
      <c r="X161" s="12"/>
      <c r="Y161" s="13">
        <f t="shared" si="260"/>
        <v>0</v>
      </c>
      <c r="Z161" s="12"/>
      <c r="AA161" s="13">
        <f t="shared" si="261"/>
        <v>0</v>
      </c>
      <c r="AB161" s="12"/>
      <c r="AC161" s="13">
        <f t="shared" si="262"/>
        <v>0</v>
      </c>
      <c r="AD161" s="12"/>
      <c r="AE161" s="13">
        <f t="shared" si="263"/>
        <v>0</v>
      </c>
      <c r="AF161" s="14">
        <f t="shared" si="264"/>
        <v>0</v>
      </c>
      <c r="AG161" s="15">
        <f t="shared" si="265"/>
        <v>0</v>
      </c>
      <c r="AH161" s="12"/>
      <c r="AI161" s="13">
        <f t="shared" si="266"/>
        <v>0</v>
      </c>
      <c r="AJ161" s="12"/>
      <c r="AK161" s="13">
        <f t="shared" si="267"/>
        <v>0</v>
      </c>
      <c r="AL161" s="12"/>
      <c r="AM161" s="13">
        <f t="shared" si="268"/>
        <v>0</v>
      </c>
      <c r="AN161" s="12"/>
      <c r="AO161" s="13">
        <f t="shared" si="269"/>
        <v>0</v>
      </c>
      <c r="AP161" s="12"/>
      <c r="AQ161" s="13">
        <f t="shared" si="270"/>
        <v>0</v>
      </c>
      <c r="AR161" s="12"/>
      <c r="AS161" s="13">
        <f t="shared" si="271"/>
        <v>0</v>
      </c>
      <c r="AT161" s="12"/>
      <c r="AU161" s="13">
        <f t="shared" si="272"/>
        <v>0</v>
      </c>
      <c r="AV161" s="12"/>
      <c r="AW161" s="13">
        <f t="shared" si="273"/>
        <v>0</v>
      </c>
      <c r="AX161" s="12"/>
      <c r="AY161" s="13">
        <f t="shared" si="274"/>
        <v>0</v>
      </c>
      <c r="AZ161" s="12"/>
      <c r="BA161" s="13">
        <f t="shared" si="275"/>
        <v>0</v>
      </c>
      <c r="BB161" s="12"/>
      <c r="BC161" s="13">
        <f t="shared" si="276"/>
        <v>0</v>
      </c>
      <c r="BD161" s="12"/>
      <c r="BE161" s="13">
        <f t="shared" si="277"/>
        <v>0</v>
      </c>
      <c r="BF161" s="14">
        <f t="shared" si="278"/>
        <v>0</v>
      </c>
      <c r="BG161" s="15">
        <f t="shared" si="279"/>
        <v>0</v>
      </c>
      <c r="BH161" s="12"/>
      <c r="BI161" s="13">
        <f t="shared" si="280"/>
        <v>0</v>
      </c>
      <c r="BJ161" s="12"/>
      <c r="BK161" s="13">
        <f t="shared" si="281"/>
        <v>0</v>
      </c>
      <c r="BL161" s="12"/>
      <c r="BM161" s="13">
        <f t="shared" si="282"/>
        <v>0</v>
      </c>
      <c r="BN161" s="12"/>
      <c r="BO161" s="13">
        <f t="shared" si="283"/>
        <v>0</v>
      </c>
      <c r="BP161" s="12"/>
      <c r="BQ161" s="13">
        <f t="shared" si="284"/>
        <v>0</v>
      </c>
      <c r="BR161" s="12"/>
      <c r="BS161" s="13">
        <f t="shared" si="285"/>
        <v>0</v>
      </c>
      <c r="BT161" s="12"/>
      <c r="BU161" s="13">
        <f t="shared" si="286"/>
        <v>0</v>
      </c>
      <c r="BV161" s="12"/>
      <c r="BW161" s="13">
        <f t="shared" si="287"/>
        <v>0</v>
      </c>
      <c r="BX161" s="12"/>
      <c r="BY161" s="13">
        <f t="shared" si="288"/>
        <v>0</v>
      </c>
      <c r="BZ161" s="12"/>
      <c r="CA161" s="13">
        <f t="shared" si="289"/>
        <v>0</v>
      </c>
      <c r="CB161" s="12"/>
      <c r="CC161" s="13">
        <f t="shared" si="290"/>
        <v>0</v>
      </c>
      <c r="CD161" s="12"/>
      <c r="CE161" s="13">
        <f t="shared" si="291"/>
        <v>0</v>
      </c>
      <c r="CF161" s="14">
        <f t="shared" si="292"/>
        <v>0</v>
      </c>
      <c r="CG161" s="15">
        <f t="shared" si="293"/>
        <v>0</v>
      </c>
      <c r="CH161" s="12"/>
      <c r="CI161" s="13">
        <f t="shared" si="294"/>
        <v>0</v>
      </c>
      <c r="CJ161" s="12"/>
      <c r="CK161" s="13">
        <f t="shared" si="295"/>
        <v>0</v>
      </c>
      <c r="CL161" s="12"/>
      <c r="CM161" s="13">
        <f t="shared" si="296"/>
        <v>0</v>
      </c>
      <c r="CN161" s="12"/>
      <c r="CO161" s="13">
        <f t="shared" si="297"/>
        <v>0</v>
      </c>
      <c r="CP161" s="12"/>
      <c r="CQ161" s="13">
        <f t="shared" si="298"/>
        <v>0</v>
      </c>
      <c r="CR161" s="12"/>
      <c r="CS161" s="13">
        <f t="shared" si="299"/>
        <v>0</v>
      </c>
      <c r="CT161" s="12"/>
      <c r="CU161" s="13">
        <f t="shared" si="300"/>
        <v>0</v>
      </c>
      <c r="CV161" s="12"/>
      <c r="CW161" s="13">
        <f t="shared" si="301"/>
        <v>0</v>
      </c>
      <c r="CX161" s="12"/>
      <c r="CY161" s="13">
        <f t="shared" si="302"/>
        <v>0</v>
      </c>
      <c r="CZ161" s="12"/>
      <c r="DA161" s="13">
        <f t="shared" si="303"/>
        <v>0</v>
      </c>
      <c r="DB161" s="12"/>
      <c r="DC161" s="13">
        <f t="shared" si="304"/>
        <v>0</v>
      </c>
      <c r="DD161" s="12"/>
      <c r="DE161" s="13">
        <f t="shared" si="304"/>
        <v>0</v>
      </c>
      <c r="DF161" s="64">
        <f t="shared" si="305"/>
        <v>0</v>
      </c>
      <c r="DG161" s="15">
        <f t="shared" si="306"/>
        <v>0</v>
      </c>
      <c r="DH161" s="12"/>
      <c r="DI161" s="13">
        <f t="shared" si="323"/>
        <v>0</v>
      </c>
      <c r="DJ161" s="12"/>
      <c r="DK161" s="13">
        <f t="shared" si="324"/>
        <v>0</v>
      </c>
      <c r="DL161" s="12"/>
      <c r="DM161" s="13">
        <f t="shared" si="325"/>
        <v>0</v>
      </c>
      <c r="DN161" s="12"/>
      <c r="DO161" s="13">
        <f t="shared" si="326"/>
        <v>0</v>
      </c>
      <c r="DP161" s="12"/>
      <c r="DQ161" s="13">
        <f t="shared" si="327"/>
        <v>0</v>
      </c>
      <c r="DR161" s="12"/>
      <c r="DS161" s="13">
        <f t="shared" si="328"/>
        <v>0</v>
      </c>
      <c r="DT161" s="12"/>
      <c r="DU161" s="13">
        <f t="shared" si="329"/>
        <v>0</v>
      </c>
      <c r="DV161" s="12"/>
      <c r="DW161" s="13">
        <f t="shared" si="330"/>
        <v>0</v>
      </c>
      <c r="DX161" s="12"/>
      <c r="DY161" s="13">
        <f t="shared" si="331"/>
        <v>0</v>
      </c>
      <c r="DZ161" s="12"/>
      <c r="EA161" s="13">
        <f t="shared" si="332"/>
        <v>0</v>
      </c>
      <c r="EB161" s="12"/>
      <c r="EC161" s="13">
        <f t="shared" si="333"/>
        <v>0</v>
      </c>
      <c r="ED161" s="12"/>
      <c r="EE161" s="13">
        <f t="shared" si="334"/>
        <v>0</v>
      </c>
      <c r="EF161" s="24">
        <f t="shared" si="335"/>
        <v>0</v>
      </c>
      <c r="EG161" s="13">
        <f t="shared" si="336"/>
        <v>0</v>
      </c>
    </row>
    <row r="162" spans="1:137" ht="18" x14ac:dyDescent="0.5">
      <c r="A162" s="10">
        <v>124</v>
      </c>
      <c r="B162" s="16" t="s">
        <v>117</v>
      </c>
      <c r="C162" s="16" t="s">
        <v>14</v>
      </c>
      <c r="D162" s="10">
        <f t="shared" si="251"/>
        <v>5</v>
      </c>
      <c r="E162" s="10">
        <v>0.35</v>
      </c>
      <c r="F162" s="42" t="s">
        <v>23</v>
      </c>
      <c r="G162" s="61"/>
      <c r="H162" s="12"/>
      <c r="I162" s="13">
        <f t="shared" si="252"/>
        <v>0</v>
      </c>
      <c r="J162" s="12"/>
      <c r="K162" s="13">
        <f t="shared" si="253"/>
        <v>0</v>
      </c>
      <c r="L162" s="12"/>
      <c r="M162" s="13">
        <f t="shared" si="254"/>
        <v>0</v>
      </c>
      <c r="N162" s="12"/>
      <c r="O162" s="13">
        <f t="shared" si="255"/>
        <v>0</v>
      </c>
      <c r="P162" s="12"/>
      <c r="Q162" s="13">
        <f t="shared" si="256"/>
        <v>0</v>
      </c>
      <c r="R162" s="12"/>
      <c r="S162" s="13">
        <f t="shared" si="257"/>
        <v>0</v>
      </c>
      <c r="T162" s="12"/>
      <c r="U162" s="13">
        <f t="shared" si="258"/>
        <v>0</v>
      </c>
      <c r="V162" s="12"/>
      <c r="W162" s="13">
        <f t="shared" si="259"/>
        <v>0</v>
      </c>
      <c r="X162" s="12"/>
      <c r="Y162" s="13">
        <f t="shared" si="260"/>
        <v>0</v>
      </c>
      <c r="Z162" s="12"/>
      <c r="AA162" s="13">
        <f t="shared" si="261"/>
        <v>0</v>
      </c>
      <c r="AB162" s="12"/>
      <c r="AC162" s="13">
        <f t="shared" si="262"/>
        <v>0</v>
      </c>
      <c r="AD162" s="12"/>
      <c r="AE162" s="13">
        <f t="shared" si="263"/>
        <v>0</v>
      </c>
      <c r="AF162" s="14">
        <f t="shared" si="264"/>
        <v>0</v>
      </c>
      <c r="AG162" s="15">
        <f t="shared" si="265"/>
        <v>0</v>
      </c>
      <c r="AH162" s="12"/>
      <c r="AI162" s="13">
        <f t="shared" si="266"/>
        <v>0</v>
      </c>
      <c r="AJ162" s="12"/>
      <c r="AK162" s="13">
        <f t="shared" si="267"/>
        <v>0</v>
      </c>
      <c r="AL162" s="12"/>
      <c r="AM162" s="13">
        <f t="shared" si="268"/>
        <v>0</v>
      </c>
      <c r="AN162" s="12"/>
      <c r="AO162" s="13">
        <f t="shared" si="269"/>
        <v>0</v>
      </c>
      <c r="AP162" s="12"/>
      <c r="AQ162" s="13">
        <f t="shared" si="270"/>
        <v>0</v>
      </c>
      <c r="AR162" s="12"/>
      <c r="AS162" s="13">
        <f t="shared" si="271"/>
        <v>0</v>
      </c>
      <c r="AT162" s="12"/>
      <c r="AU162" s="13">
        <f t="shared" si="272"/>
        <v>0</v>
      </c>
      <c r="AV162" s="12"/>
      <c r="AW162" s="13">
        <f t="shared" si="273"/>
        <v>0</v>
      </c>
      <c r="AX162" s="12"/>
      <c r="AY162" s="13">
        <f t="shared" si="274"/>
        <v>0</v>
      </c>
      <c r="AZ162" s="12"/>
      <c r="BA162" s="13">
        <f t="shared" si="275"/>
        <v>0</v>
      </c>
      <c r="BB162" s="12"/>
      <c r="BC162" s="13">
        <f t="shared" si="276"/>
        <v>0</v>
      </c>
      <c r="BD162" s="12"/>
      <c r="BE162" s="13">
        <f t="shared" si="277"/>
        <v>0</v>
      </c>
      <c r="BF162" s="14">
        <f t="shared" si="278"/>
        <v>0</v>
      </c>
      <c r="BG162" s="15">
        <f t="shared" si="279"/>
        <v>0</v>
      </c>
      <c r="BH162" s="12"/>
      <c r="BI162" s="13">
        <f t="shared" si="280"/>
        <v>0</v>
      </c>
      <c r="BJ162" s="12"/>
      <c r="BK162" s="13">
        <f t="shared" si="281"/>
        <v>0</v>
      </c>
      <c r="BL162" s="12"/>
      <c r="BM162" s="13">
        <f t="shared" si="282"/>
        <v>0</v>
      </c>
      <c r="BN162" s="12"/>
      <c r="BO162" s="13">
        <f t="shared" si="283"/>
        <v>0</v>
      </c>
      <c r="BP162" s="12"/>
      <c r="BQ162" s="13">
        <f t="shared" si="284"/>
        <v>0</v>
      </c>
      <c r="BR162" s="12"/>
      <c r="BS162" s="13">
        <f t="shared" si="285"/>
        <v>0</v>
      </c>
      <c r="BT162" s="12"/>
      <c r="BU162" s="13">
        <f t="shared" si="286"/>
        <v>0</v>
      </c>
      <c r="BV162" s="12"/>
      <c r="BW162" s="13">
        <f t="shared" si="287"/>
        <v>0</v>
      </c>
      <c r="BX162" s="12"/>
      <c r="BY162" s="13">
        <f t="shared" si="288"/>
        <v>0</v>
      </c>
      <c r="BZ162" s="12"/>
      <c r="CA162" s="13">
        <f t="shared" si="289"/>
        <v>0</v>
      </c>
      <c r="CB162" s="12"/>
      <c r="CC162" s="13">
        <f t="shared" si="290"/>
        <v>0</v>
      </c>
      <c r="CD162" s="12"/>
      <c r="CE162" s="13">
        <f t="shared" si="291"/>
        <v>0</v>
      </c>
      <c r="CF162" s="14">
        <f t="shared" si="292"/>
        <v>0</v>
      </c>
      <c r="CG162" s="15">
        <f t="shared" si="293"/>
        <v>0</v>
      </c>
      <c r="CH162" s="12"/>
      <c r="CI162" s="13">
        <f t="shared" si="294"/>
        <v>0</v>
      </c>
      <c r="CJ162" s="12"/>
      <c r="CK162" s="13">
        <f t="shared" si="295"/>
        <v>0</v>
      </c>
      <c r="CL162" s="12"/>
      <c r="CM162" s="13">
        <f t="shared" si="296"/>
        <v>0</v>
      </c>
      <c r="CN162" s="12"/>
      <c r="CO162" s="13">
        <f t="shared" si="297"/>
        <v>0</v>
      </c>
      <c r="CP162" s="12"/>
      <c r="CQ162" s="13">
        <f t="shared" si="298"/>
        <v>0</v>
      </c>
      <c r="CR162" s="12"/>
      <c r="CS162" s="13">
        <f t="shared" si="299"/>
        <v>0</v>
      </c>
      <c r="CT162" s="12"/>
      <c r="CU162" s="13">
        <f t="shared" si="300"/>
        <v>0</v>
      </c>
      <c r="CV162" s="12"/>
      <c r="CW162" s="13">
        <f t="shared" si="301"/>
        <v>0</v>
      </c>
      <c r="CX162" s="12"/>
      <c r="CY162" s="13">
        <f t="shared" si="302"/>
        <v>0</v>
      </c>
      <c r="CZ162" s="12"/>
      <c r="DA162" s="13">
        <f t="shared" si="303"/>
        <v>0</v>
      </c>
      <c r="DB162" s="12"/>
      <c r="DC162" s="13">
        <f t="shared" si="304"/>
        <v>0</v>
      </c>
      <c r="DD162" s="12"/>
      <c r="DE162" s="13">
        <f t="shared" si="304"/>
        <v>0</v>
      </c>
      <c r="DF162" s="64">
        <f t="shared" si="305"/>
        <v>0</v>
      </c>
      <c r="DG162" s="15">
        <f t="shared" si="306"/>
        <v>0</v>
      </c>
      <c r="DH162" s="12"/>
      <c r="DI162" s="13">
        <f t="shared" si="323"/>
        <v>0</v>
      </c>
      <c r="DJ162" s="12"/>
      <c r="DK162" s="13">
        <f t="shared" si="324"/>
        <v>0</v>
      </c>
      <c r="DL162" s="12"/>
      <c r="DM162" s="13">
        <f t="shared" si="325"/>
        <v>0</v>
      </c>
      <c r="DN162" s="12"/>
      <c r="DO162" s="13">
        <f t="shared" si="326"/>
        <v>0</v>
      </c>
      <c r="DP162" s="12"/>
      <c r="DQ162" s="13">
        <f t="shared" si="327"/>
        <v>0</v>
      </c>
      <c r="DR162" s="12"/>
      <c r="DS162" s="13">
        <f t="shared" si="328"/>
        <v>0</v>
      </c>
      <c r="DT162" s="12"/>
      <c r="DU162" s="13">
        <f t="shared" si="329"/>
        <v>0</v>
      </c>
      <c r="DV162" s="12"/>
      <c r="DW162" s="13">
        <f t="shared" si="330"/>
        <v>0</v>
      </c>
      <c r="DX162" s="12"/>
      <c r="DY162" s="13">
        <f t="shared" si="331"/>
        <v>0</v>
      </c>
      <c r="DZ162" s="12"/>
      <c r="EA162" s="13">
        <f t="shared" si="332"/>
        <v>0</v>
      </c>
      <c r="EB162" s="12"/>
      <c r="EC162" s="13">
        <f t="shared" si="333"/>
        <v>0</v>
      </c>
      <c r="ED162" s="12"/>
      <c r="EE162" s="13">
        <f t="shared" si="334"/>
        <v>0</v>
      </c>
      <c r="EF162" s="24">
        <f t="shared" si="335"/>
        <v>0</v>
      </c>
      <c r="EG162" s="13">
        <f t="shared" si="336"/>
        <v>0</v>
      </c>
    </row>
    <row r="163" spans="1:137" ht="18" x14ac:dyDescent="0.5">
      <c r="A163" s="10">
        <v>125</v>
      </c>
      <c r="B163" s="16" t="s">
        <v>118</v>
      </c>
      <c r="C163" s="16" t="s">
        <v>14</v>
      </c>
      <c r="D163" s="10">
        <f t="shared" si="251"/>
        <v>5</v>
      </c>
      <c r="E163" s="10">
        <v>0.7</v>
      </c>
      <c r="F163" s="42" t="s">
        <v>119</v>
      </c>
      <c r="G163" s="61"/>
      <c r="H163" s="12"/>
      <c r="I163" s="13">
        <f t="shared" si="252"/>
        <v>0</v>
      </c>
      <c r="J163" s="12"/>
      <c r="K163" s="13">
        <f t="shared" si="253"/>
        <v>0</v>
      </c>
      <c r="L163" s="12"/>
      <c r="M163" s="13">
        <f t="shared" si="254"/>
        <v>0</v>
      </c>
      <c r="N163" s="12"/>
      <c r="O163" s="13">
        <f t="shared" si="255"/>
        <v>0</v>
      </c>
      <c r="P163" s="12"/>
      <c r="Q163" s="13">
        <f t="shared" si="256"/>
        <v>0</v>
      </c>
      <c r="R163" s="12"/>
      <c r="S163" s="13">
        <f t="shared" si="257"/>
        <v>0</v>
      </c>
      <c r="T163" s="12"/>
      <c r="U163" s="13">
        <f t="shared" si="258"/>
        <v>0</v>
      </c>
      <c r="V163" s="12"/>
      <c r="W163" s="13">
        <f t="shared" si="259"/>
        <v>0</v>
      </c>
      <c r="X163" s="12"/>
      <c r="Y163" s="13">
        <f t="shared" si="260"/>
        <v>0</v>
      </c>
      <c r="Z163" s="12"/>
      <c r="AA163" s="13">
        <f t="shared" si="261"/>
        <v>0</v>
      </c>
      <c r="AB163" s="12"/>
      <c r="AC163" s="13">
        <f t="shared" si="262"/>
        <v>0</v>
      </c>
      <c r="AD163" s="12"/>
      <c r="AE163" s="13">
        <f t="shared" si="263"/>
        <v>0</v>
      </c>
      <c r="AF163" s="14">
        <f t="shared" si="264"/>
        <v>0</v>
      </c>
      <c r="AG163" s="15">
        <f t="shared" si="265"/>
        <v>0</v>
      </c>
      <c r="AH163" s="12"/>
      <c r="AI163" s="13">
        <f t="shared" si="266"/>
        <v>0</v>
      </c>
      <c r="AJ163" s="12"/>
      <c r="AK163" s="13">
        <f t="shared" si="267"/>
        <v>0</v>
      </c>
      <c r="AL163" s="12"/>
      <c r="AM163" s="13">
        <f t="shared" si="268"/>
        <v>0</v>
      </c>
      <c r="AN163" s="12"/>
      <c r="AO163" s="13">
        <f t="shared" si="269"/>
        <v>0</v>
      </c>
      <c r="AP163" s="12"/>
      <c r="AQ163" s="13">
        <f t="shared" si="270"/>
        <v>0</v>
      </c>
      <c r="AR163" s="12"/>
      <c r="AS163" s="13">
        <f t="shared" si="271"/>
        <v>0</v>
      </c>
      <c r="AT163" s="12"/>
      <c r="AU163" s="13">
        <f t="shared" si="272"/>
        <v>0</v>
      </c>
      <c r="AV163" s="12"/>
      <c r="AW163" s="13">
        <f t="shared" si="273"/>
        <v>0</v>
      </c>
      <c r="AX163" s="12"/>
      <c r="AY163" s="13">
        <f t="shared" si="274"/>
        <v>0</v>
      </c>
      <c r="AZ163" s="12"/>
      <c r="BA163" s="13">
        <f t="shared" si="275"/>
        <v>0</v>
      </c>
      <c r="BB163" s="12"/>
      <c r="BC163" s="13">
        <f t="shared" si="276"/>
        <v>0</v>
      </c>
      <c r="BD163" s="12"/>
      <c r="BE163" s="13">
        <f t="shared" si="277"/>
        <v>0</v>
      </c>
      <c r="BF163" s="14">
        <f t="shared" si="278"/>
        <v>0</v>
      </c>
      <c r="BG163" s="15">
        <f t="shared" si="279"/>
        <v>0</v>
      </c>
      <c r="BH163" s="12"/>
      <c r="BI163" s="13">
        <f t="shared" si="280"/>
        <v>0</v>
      </c>
      <c r="BJ163" s="12"/>
      <c r="BK163" s="13">
        <f t="shared" si="281"/>
        <v>0</v>
      </c>
      <c r="BL163" s="12"/>
      <c r="BM163" s="13">
        <f t="shared" si="282"/>
        <v>0</v>
      </c>
      <c r="BN163" s="12"/>
      <c r="BO163" s="13">
        <f t="shared" si="283"/>
        <v>0</v>
      </c>
      <c r="BP163" s="12"/>
      <c r="BQ163" s="13">
        <f t="shared" si="284"/>
        <v>0</v>
      </c>
      <c r="BR163" s="12"/>
      <c r="BS163" s="13">
        <f t="shared" si="285"/>
        <v>0</v>
      </c>
      <c r="BT163" s="12"/>
      <c r="BU163" s="13">
        <f t="shared" si="286"/>
        <v>0</v>
      </c>
      <c r="BV163" s="12"/>
      <c r="BW163" s="13">
        <f t="shared" si="287"/>
        <v>0</v>
      </c>
      <c r="BX163" s="12"/>
      <c r="BY163" s="13">
        <f t="shared" si="288"/>
        <v>0</v>
      </c>
      <c r="BZ163" s="12"/>
      <c r="CA163" s="13">
        <f t="shared" si="289"/>
        <v>0</v>
      </c>
      <c r="CB163" s="12"/>
      <c r="CC163" s="13">
        <f t="shared" si="290"/>
        <v>0</v>
      </c>
      <c r="CD163" s="12"/>
      <c r="CE163" s="13">
        <f t="shared" si="291"/>
        <v>0</v>
      </c>
      <c r="CF163" s="14">
        <f t="shared" si="292"/>
        <v>0</v>
      </c>
      <c r="CG163" s="15">
        <f t="shared" si="293"/>
        <v>0</v>
      </c>
      <c r="CH163" s="12"/>
      <c r="CI163" s="13">
        <f t="shared" si="294"/>
        <v>0</v>
      </c>
      <c r="CJ163" s="12"/>
      <c r="CK163" s="13">
        <f t="shared" si="295"/>
        <v>0</v>
      </c>
      <c r="CL163" s="12"/>
      <c r="CM163" s="13">
        <f t="shared" si="296"/>
        <v>0</v>
      </c>
      <c r="CN163" s="12"/>
      <c r="CO163" s="13">
        <f t="shared" si="297"/>
        <v>0</v>
      </c>
      <c r="CP163" s="12"/>
      <c r="CQ163" s="13">
        <f t="shared" si="298"/>
        <v>0</v>
      </c>
      <c r="CR163" s="12"/>
      <c r="CS163" s="13">
        <f t="shared" si="299"/>
        <v>0</v>
      </c>
      <c r="CT163" s="12"/>
      <c r="CU163" s="13">
        <f t="shared" si="300"/>
        <v>0</v>
      </c>
      <c r="CV163" s="12"/>
      <c r="CW163" s="13">
        <f t="shared" si="301"/>
        <v>0</v>
      </c>
      <c r="CX163" s="12"/>
      <c r="CY163" s="13">
        <f t="shared" si="302"/>
        <v>0</v>
      </c>
      <c r="CZ163" s="12"/>
      <c r="DA163" s="13">
        <f t="shared" si="303"/>
        <v>0</v>
      </c>
      <c r="DB163" s="12"/>
      <c r="DC163" s="13">
        <f t="shared" si="304"/>
        <v>0</v>
      </c>
      <c r="DD163" s="12"/>
      <c r="DE163" s="13">
        <f t="shared" si="304"/>
        <v>0</v>
      </c>
      <c r="DF163" s="64">
        <f t="shared" si="305"/>
        <v>0</v>
      </c>
      <c r="DG163" s="15">
        <f t="shared" si="306"/>
        <v>0</v>
      </c>
      <c r="DH163" s="12"/>
      <c r="DI163" s="13">
        <f t="shared" si="323"/>
        <v>0</v>
      </c>
      <c r="DJ163" s="12"/>
      <c r="DK163" s="13">
        <f t="shared" si="324"/>
        <v>0</v>
      </c>
      <c r="DL163" s="12"/>
      <c r="DM163" s="13">
        <f t="shared" si="325"/>
        <v>0</v>
      </c>
      <c r="DN163" s="12"/>
      <c r="DO163" s="13">
        <f t="shared" si="326"/>
        <v>0</v>
      </c>
      <c r="DP163" s="12"/>
      <c r="DQ163" s="13">
        <f t="shared" si="327"/>
        <v>0</v>
      </c>
      <c r="DR163" s="12"/>
      <c r="DS163" s="13">
        <f t="shared" si="328"/>
        <v>0</v>
      </c>
      <c r="DT163" s="12"/>
      <c r="DU163" s="13">
        <f t="shared" si="329"/>
        <v>0</v>
      </c>
      <c r="DV163" s="12"/>
      <c r="DW163" s="13">
        <f t="shared" si="330"/>
        <v>0</v>
      </c>
      <c r="DX163" s="12"/>
      <c r="DY163" s="13">
        <f t="shared" si="331"/>
        <v>0</v>
      </c>
      <c r="DZ163" s="12"/>
      <c r="EA163" s="13">
        <f t="shared" si="332"/>
        <v>0</v>
      </c>
      <c r="EB163" s="12"/>
      <c r="EC163" s="13">
        <f t="shared" si="333"/>
        <v>0</v>
      </c>
      <c r="ED163" s="12"/>
      <c r="EE163" s="13">
        <f t="shared" si="334"/>
        <v>0</v>
      </c>
      <c r="EF163" s="24">
        <f t="shared" si="335"/>
        <v>0</v>
      </c>
      <c r="EG163" s="13">
        <f t="shared" si="336"/>
        <v>0</v>
      </c>
    </row>
    <row r="164" spans="1:137" ht="18" x14ac:dyDescent="0.5">
      <c r="A164" s="10">
        <v>126</v>
      </c>
      <c r="B164" s="16" t="s">
        <v>120</v>
      </c>
      <c r="C164" s="16"/>
      <c r="D164" s="10"/>
      <c r="E164" s="10">
        <v>0.7</v>
      </c>
      <c r="F164" s="42"/>
      <c r="G164" s="61">
        <v>5200</v>
      </c>
      <c r="H164" s="12">
        <v>824</v>
      </c>
      <c r="I164" s="13">
        <f t="shared" si="252"/>
        <v>576.79999999999995</v>
      </c>
      <c r="J164" s="12">
        <v>483</v>
      </c>
      <c r="K164" s="13">
        <f t="shared" si="253"/>
        <v>338.09999999999997</v>
      </c>
      <c r="L164" s="12">
        <v>120</v>
      </c>
      <c r="M164" s="13">
        <f t="shared" si="254"/>
        <v>84</v>
      </c>
      <c r="N164" s="12"/>
      <c r="O164" s="13">
        <f t="shared" si="255"/>
        <v>0</v>
      </c>
      <c r="P164" s="12"/>
      <c r="Q164" s="13">
        <f t="shared" si="256"/>
        <v>0</v>
      </c>
      <c r="R164" s="12"/>
      <c r="S164" s="13">
        <f t="shared" si="257"/>
        <v>0</v>
      </c>
      <c r="T164" s="12"/>
      <c r="U164" s="13">
        <f t="shared" si="258"/>
        <v>0</v>
      </c>
      <c r="V164" s="12"/>
      <c r="W164" s="13">
        <f t="shared" si="259"/>
        <v>0</v>
      </c>
      <c r="X164" s="12"/>
      <c r="Y164" s="13">
        <f t="shared" si="260"/>
        <v>0</v>
      </c>
      <c r="Z164" s="12"/>
      <c r="AA164" s="13">
        <f t="shared" si="261"/>
        <v>0</v>
      </c>
      <c r="AB164" s="12"/>
      <c r="AC164" s="13">
        <f t="shared" si="262"/>
        <v>0</v>
      </c>
      <c r="AD164" s="12"/>
      <c r="AE164" s="13">
        <f t="shared" si="263"/>
        <v>0</v>
      </c>
      <c r="AF164" s="14">
        <f t="shared" si="264"/>
        <v>118.91666666666667</v>
      </c>
      <c r="AG164" s="15">
        <f t="shared" si="265"/>
        <v>83.24166666666666</v>
      </c>
      <c r="AH164" s="12"/>
      <c r="AI164" s="13">
        <f t="shared" si="266"/>
        <v>0</v>
      </c>
      <c r="AJ164" s="12"/>
      <c r="AK164" s="13">
        <f t="shared" si="267"/>
        <v>0</v>
      </c>
      <c r="AL164" s="12"/>
      <c r="AM164" s="13">
        <f t="shared" si="268"/>
        <v>0</v>
      </c>
      <c r="AN164" s="12"/>
      <c r="AO164" s="13">
        <f t="shared" si="269"/>
        <v>0</v>
      </c>
      <c r="AP164" s="12"/>
      <c r="AQ164" s="13">
        <f t="shared" si="270"/>
        <v>0</v>
      </c>
      <c r="AR164" s="12"/>
      <c r="AS164" s="13">
        <f t="shared" si="271"/>
        <v>0</v>
      </c>
      <c r="AT164" s="12"/>
      <c r="AU164" s="13">
        <f t="shared" si="272"/>
        <v>0</v>
      </c>
      <c r="AV164" s="12"/>
      <c r="AW164" s="13">
        <f t="shared" si="273"/>
        <v>0</v>
      </c>
      <c r="AX164" s="12"/>
      <c r="AY164" s="13">
        <f t="shared" si="274"/>
        <v>0</v>
      </c>
      <c r="AZ164" s="12"/>
      <c r="BA164" s="13">
        <f t="shared" si="275"/>
        <v>0</v>
      </c>
      <c r="BB164" s="12"/>
      <c r="BC164" s="13">
        <f t="shared" si="276"/>
        <v>0</v>
      </c>
      <c r="BD164" s="12"/>
      <c r="BE164" s="13">
        <f t="shared" si="277"/>
        <v>0</v>
      </c>
      <c r="BF164" s="14">
        <f t="shared" si="278"/>
        <v>0</v>
      </c>
      <c r="BG164" s="15">
        <f t="shared" si="279"/>
        <v>0</v>
      </c>
      <c r="BH164" s="12"/>
      <c r="BI164" s="13">
        <f t="shared" si="280"/>
        <v>0</v>
      </c>
      <c r="BJ164" s="12"/>
      <c r="BK164" s="13">
        <f t="shared" si="281"/>
        <v>0</v>
      </c>
      <c r="BL164" s="12"/>
      <c r="BM164" s="13">
        <f t="shared" si="282"/>
        <v>0</v>
      </c>
      <c r="BN164" s="12"/>
      <c r="BO164" s="13">
        <f t="shared" si="283"/>
        <v>0</v>
      </c>
      <c r="BP164" s="12"/>
      <c r="BQ164" s="13">
        <f t="shared" si="284"/>
        <v>0</v>
      </c>
      <c r="BR164" s="12"/>
      <c r="BS164" s="13">
        <f t="shared" si="285"/>
        <v>0</v>
      </c>
      <c r="BT164" s="12"/>
      <c r="BU164" s="13">
        <f t="shared" si="286"/>
        <v>0</v>
      </c>
      <c r="BV164" s="12"/>
      <c r="BW164" s="13">
        <f t="shared" si="287"/>
        <v>0</v>
      </c>
      <c r="BX164" s="12"/>
      <c r="BY164" s="13">
        <f t="shared" si="288"/>
        <v>0</v>
      </c>
      <c r="BZ164" s="12"/>
      <c r="CA164" s="13">
        <f t="shared" si="289"/>
        <v>0</v>
      </c>
      <c r="CB164" s="12"/>
      <c r="CC164" s="13">
        <f t="shared" si="290"/>
        <v>0</v>
      </c>
      <c r="CD164" s="12"/>
      <c r="CE164" s="13">
        <f t="shared" si="291"/>
        <v>0</v>
      </c>
      <c r="CF164" s="14">
        <f t="shared" si="292"/>
        <v>0</v>
      </c>
      <c r="CG164" s="15">
        <f t="shared" si="293"/>
        <v>0</v>
      </c>
      <c r="CH164" s="12"/>
      <c r="CI164" s="13">
        <f t="shared" si="294"/>
        <v>0</v>
      </c>
      <c r="CJ164" s="12"/>
      <c r="CK164" s="13">
        <f t="shared" si="295"/>
        <v>0</v>
      </c>
      <c r="CL164" s="12"/>
      <c r="CM164" s="13">
        <f t="shared" si="296"/>
        <v>0</v>
      </c>
      <c r="CN164" s="12"/>
      <c r="CO164" s="13">
        <f t="shared" si="297"/>
        <v>0</v>
      </c>
      <c r="CP164" s="12"/>
      <c r="CQ164" s="13">
        <f t="shared" si="298"/>
        <v>0</v>
      </c>
      <c r="CR164" s="12"/>
      <c r="CS164" s="13">
        <f t="shared" si="299"/>
        <v>0</v>
      </c>
      <c r="CT164" s="12"/>
      <c r="CU164" s="13">
        <f t="shared" si="300"/>
        <v>0</v>
      </c>
      <c r="CV164" s="12"/>
      <c r="CW164" s="13">
        <f t="shared" si="301"/>
        <v>0</v>
      </c>
      <c r="CX164" s="12"/>
      <c r="CY164" s="13">
        <f t="shared" si="302"/>
        <v>0</v>
      </c>
      <c r="CZ164" s="12"/>
      <c r="DA164" s="13">
        <f t="shared" si="303"/>
        <v>0</v>
      </c>
      <c r="DB164" s="12"/>
      <c r="DC164" s="13">
        <f t="shared" si="304"/>
        <v>0</v>
      </c>
      <c r="DD164" s="12"/>
      <c r="DE164" s="13">
        <f t="shared" si="304"/>
        <v>0</v>
      </c>
      <c r="DF164" s="64">
        <f t="shared" si="305"/>
        <v>0</v>
      </c>
      <c r="DG164" s="15">
        <f t="shared" si="306"/>
        <v>0</v>
      </c>
      <c r="DH164" s="12"/>
      <c r="DI164" s="13">
        <f t="shared" si="323"/>
        <v>0</v>
      </c>
      <c r="DJ164" s="12"/>
      <c r="DK164" s="13">
        <f t="shared" si="324"/>
        <v>0</v>
      </c>
      <c r="DL164" s="12"/>
      <c r="DM164" s="13">
        <f t="shared" si="325"/>
        <v>0</v>
      </c>
      <c r="DN164" s="12"/>
      <c r="DO164" s="13">
        <f t="shared" si="326"/>
        <v>0</v>
      </c>
      <c r="DP164" s="12"/>
      <c r="DQ164" s="13">
        <f t="shared" si="327"/>
        <v>0</v>
      </c>
      <c r="DR164" s="12"/>
      <c r="DS164" s="13">
        <f t="shared" si="328"/>
        <v>0</v>
      </c>
      <c r="DT164" s="12"/>
      <c r="DU164" s="13">
        <f t="shared" si="329"/>
        <v>0</v>
      </c>
      <c r="DV164" s="12"/>
      <c r="DW164" s="13">
        <f t="shared" si="330"/>
        <v>0</v>
      </c>
      <c r="DX164" s="12"/>
      <c r="DY164" s="13">
        <f t="shared" si="331"/>
        <v>0</v>
      </c>
      <c r="DZ164" s="12"/>
      <c r="EA164" s="13">
        <f t="shared" si="332"/>
        <v>0</v>
      </c>
      <c r="EB164" s="12"/>
      <c r="EC164" s="13">
        <f t="shared" si="333"/>
        <v>0</v>
      </c>
      <c r="ED164" s="12"/>
      <c r="EE164" s="13">
        <f t="shared" si="334"/>
        <v>0</v>
      </c>
      <c r="EF164" s="24">
        <f t="shared" si="335"/>
        <v>0</v>
      </c>
      <c r="EG164" s="13">
        <f t="shared" si="336"/>
        <v>0</v>
      </c>
    </row>
    <row r="165" spans="1:137" ht="18" x14ac:dyDescent="0.5">
      <c r="A165" s="10">
        <v>127</v>
      </c>
      <c r="B165" s="16" t="s">
        <v>121</v>
      </c>
      <c r="C165" s="16"/>
      <c r="D165" s="10"/>
      <c r="E165" s="10">
        <v>0.35</v>
      </c>
      <c r="F165" s="42"/>
      <c r="G165" s="61">
        <v>4500</v>
      </c>
      <c r="H165" s="12"/>
      <c r="I165" s="13">
        <f t="shared" si="252"/>
        <v>0</v>
      </c>
      <c r="J165" s="12"/>
      <c r="K165" s="13">
        <f t="shared" si="253"/>
        <v>0</v>
      </c>
      <c r="L165" s="12"/>
      <c r="M165" s="13">
        <f t="shared" si="254"/>
        <v>0</v>
      </c>
      <c r="N165" s="12">
        <v>85</v>
      </c>
      <c r="O165" s="13">
        <f t="shared" si="255"/>
        <v>29.749999999999996</v>
      </c>
      <c r="P165" s="12">
        <v>33</v>
      </c>
      <c r="Q165" s="13">
        <f t="shared" si="256"/>
        <v>11.549999999999999</v>
      </c>
      <c r="R165" s="12"/>
      <c r="S165" s="13">
        <f t="shared" si="257"/>
        <v>0</v>
      </c>
      <c r="T165" s="12"/>
      <c r="U165" s="13">
        <f t="shared" si="258"/>
        <v>0</v>
      </c>
      <c r="V165" s="12"/>
      <c r="W165" s="13">
        <f t="shared" si="259"/>
        <v>0</v>
      </c>
      <c r="X165" s="12"/>
      <c r="Y165" s="13">
        <f t="shared" si="260"/>
        <v>0</v>
      </c>
      <c r="Z165" s="12"/>
      <c r="AA165" s="13">
        <f t="shared" si="261"/>
        <v>0</v>
      </c>
      <c r="AB165" s="12"/>
      <c r="AC165" s="13">
        <f t="shared" si="262"/>
        <v>0</v>
      </c>
      <c r="AD165" s="12"/>
      <c r="AE165" s="13">
        <f t="shared" si="263"/>
        <v>0</v>
      </c>
      <c r="AF165" s="14">
        <f t="shared" si="264"/>
        <v>9.8333333333333339</v>
      </c>
      <c r="AG165" s="15">
        <f t="shared" si="265"/>
        <v>3.4416666666666669</v>
      </c>
      <c r="AH165" s="12"/>
      <c r="AI165" s="13">
        <f t="shared" si="266"/>
        <v>0</v>
      </c>
      <c r="AJ165" s="12"/>
      <c r="AK165" s="13">
        <f t="shared" si="267"/>
        <v>0</v>
      </c>
      <c r="AL165" s="12"/>
      <c r="AM165" s="13">
        <f t="shared" si="268"/>
        <v>0</v>
      </c>
      <c r="AN165" s="12"/>
      <c r="AO165" s="13">
        <f t="shared" si="269"/>
        <v>0</v>
      </c>
      <c r="AP165" s="12"/>
      <c r="AQ165" s="13">
        <f t="shared" si="270"/>
        <v>0</v>
      </c>
      <c r="AR165" s="12"/>
      <c r="AS165" s="13">
        <f t="shared" si="271"/>
        <v>0</v>
      </c>
      <c r="AT165" s="12"/>
      <c r="AU165" s="13">
        <f t="shared" si="272"/>
        <v>0</v>
      </c>
      <c r="AV165" s="12"/>
      <c r="AW165" s="13">
        <f t="shared" si="273"/>
        <v>0</v>
      </c>
      <c r="AX165" s="12"/>
      <c r="AY165" s="13">
        <f t="shared" si="274"/>
        <v>0</v>
      </c>
      <c r="AZ165" s="12"/>
      <c r="BA165" s="13">
        <f t="shared" si="275"/>
        <v>0</v>
      </c>
      <c r="BB165" s="12"/>
      <c r="BC165" s="13">
        <f t="shared" si="276"/>
        <v>0</v>
      </c>
      <c r="BD165" s="12"/>
      <c r="BE165" s="13">
        <f t="shared" si="277"/>
        <v>0</v>
      </c>
      <c r="BF165" s="14">
        <f t="shared" si="278"/>
        <v>0</v>
      </c>
      <c r="BG165" s="15">
        <f t="shared" si="279"/>
        <v>0</v>
      </c>
      <c r="BH165" s="12"/>
      <c r="BI165" s="13">
        <f t="shared" si="280"/>
        <v>0</v>
      </c>
      <c r="BJ165" s="12"/>
      <c r="BK165" s="13">
        <f t="shared" si="281"/>
        <v>0</v>
      </c>
      <c r="BL165" s="12"/>
      <c r="BM165" s="13">
        <f t="shared" si="282"/>
        <v>0</v>
      </c>
      <c r="BN165" s="12"/>
      <c r="BO165" s="13">
        <f t="shared" si="283"/>
        <v>0</v>
      </c>
      <c r="BP165" s="12"/>
      <c r="BQ165" s="13">
        <f t="shared" si="284"/>
        <v>0</v>
      </c>
      <c r="BR165" s="12"/>
      <c r="BS165" s="13">
        <f t="shared" si="285"/>
        <v>0</v>
      </c>
      <c r="BT165" s="12"/>
      <c r="BU165" s="13">
        <f t="shared" si="286"/>
        <v>0</v>
      </c>
      <c r="BV165" s="12"/>
      <c r="BW165" s="13">
        <f t="shared" si="287"/>
        <v>0</v>
      </c>
      <c r="BX165" s="12"/>
      <c r="BY165" s="13">
        <f t="shared" si="288"/>
        <v>0</v>
      </c>
      <c r="BZ165" s="12"/>
      <c r="CA165" s="13">
        <f t="shared" si="289"/>
        <v>0</v>
      </c>
      <c r="CB165" s="12"/>
      <c r="CC165" s="13">
        <f t="shared" si="290"/>
        <v>0</v>
      </c>
      <c r="CD165" s="12"/>
      <c r="CE165" s="13">
        <f t="shared" si="291"/>
        <v>0</v>
      </c>
      <c r="CF165" s="14">
        <f t="shared" si="292"/>
        <v>0</v>
      </c>
      <c r="CG165" s="15">
        <f t="shared" si="293"/>
        <v>0</v>
      </c>
      <c r="CH165" s="12"/>
      <c r="CI165" s="13">
        <f t="shared" si="294"/>
        <v>0</v>
      </c>
      <c r="CJ165" s="12"/>
      <c r="CK165" s="13">
        <f t="shared" si="295"/>
        <v>0</v>
      </c>
      <c r="CL165" s="12"/>
      <c r="CM165" s="13">
        <f t="shared" si="296"/>
        <v>0</v>
      </c>
      <c r="CN165" s="12"/>
      <c r="CO165" s="13">
        <f t="shared" si="297"/>
        <v>0</v>
      </c>
      <c r="CP165" s="12"/>
      <c r="CQ165" s="13">
        <f t="shared" si="298"/>
        <v>0</v>
      </c>
      <c r="CR165" s="12"/>
      <c r="CS165" s="13">
        <f t="shared" si="299"/>
        <v>0</v>
      </c>
      <c r="CT165" s="12"/>
      <c r="CU165" s="13">
        <f t="shared" si="300"/>
        <v>0</v>
      </c>
      <c r="CV165" s="12"/>
      <c r="CW165" s="13">
        <f t="shared" si="301"/>
        <v>0</v>
      </c>
      <c r="CX165" s="12"/>
      <c r="CY165" s="13">
        <f t="shared" si="302"/>
        <v>0</v>
      </c>
      <c r="CZ165" s="12"/>
      <c r="DA165" s="13">
        <f t="shared" si="303"/>
        <v>0</v>
      </c>
      <c r="DB165" s="12"/>
      <c r="DC165" s="13">
        <f t="shared" si="304"/>
        <v>0</v>
      </c>
      <c r="DD165" s="12"/>
      <c r="DE165" s="13">
        <f t="shared" si="304"/>
        <v>0</v>
      </c>
      <c r="DF165" s="64">
        <f t="shared" si="305"/>
        <v>0</v>
      </c>
      <c r="DG165" s="15">
        <f t="shared" si="306"/>
        <v>0</v>
      </c>
      <c r="DH165" s="12"/>
      <c r="DI165" s="13">
        <f t="shared" si="323"/>
        <v>0</v>
      </c>
      <c r="DJ165" s="12"/>
      <c r="DK165" s="13">
        <f t="shared" si="324"/>
        <v>0</v>
      </c>
      <c r="DL165" s="12"/>
      <c r="DM165" s="13">
        <f t="shared" si="325"/>
        <v>0</v>
      </c>
      <c r="DN165" s="12"/>
      <c r="DO165" s="13">
        <f t="shared" si="326"/>
        <v>0</v>
      </c>
      <c r="DP165" s="12"/>
      <c r="DQ165" s="13">
        <f t="shared" si="327"/>
        <v>0</v>
      </c>
      <c r="DR165" s="12"/>
      <c r="DS165" s="13">
        <f t="shared" si="328"/>
        <v>0</v>
      </c>
      <c r="DT165" s="12"/>
      <c r="DU165" s="13">
        <f t="shared" si="329"/>
        <v>0</v>
      </c>
      <c r="DV165" s="12"/>
      <c r="DW165" s="13">
        <f t="shared" si="330"/>
        <v>0</v>
      </c>
      <c r="DX165" s="12"/>
      <c r="DY165" s="13">
        <f t="shared" si="331"/>
        <v>0</v>
      </c>
      <c r="DZ165" s="12"/>
      <c r="EA165" s="13">
        <f t="shared" si="332"/>
        <v>0</v>
      </c>
      <c r="EB165" s="12"/>
      <c r="EC165" s="13">
        <f t="shared" si="333"/>
        <v>0</v>
      </c>
      <c r="ED165" s="12"/>
      <c r="EE165" s="13">
        <f t="shared" si="334"/>
        <v>0</v>
      </c>
      <c r="EF165" s="24">
        <f t="shared" si="335"/>
        <v>0</v>
      </c>
      <c r="EG165" s="13">
        <f t="shared" si="336"/>
        <v>0</v>
      </c>
    </row>
    <row r="166" spans="1:137" ht="18" x14ac:dyDescent="0.5">
      <c r="A166" s="10">
        <v>128</v>
      </c>
      <c r="B166" s="16" t="s">
        <v>122</v>
      </c>
      <c r="C166" s="16"/>
      <c r="D166" s="10"/>
      <c r="E166" s="10">
        <v>0.17499999999999999</v>
      </c>
      <c r="F166" s="42"/>
      <c r="G166" s="61">
        <v>2500</v>
      </c>
      <c r="H166" s="12"/>
      <c r="I166" s="13">
        <f t="shared" si="252"/>
        <v>0</v>
      </c>
      <c r="J166" s="12"/>
      <c r="K166" s="13">
        <f t="shared" si="253"/>
        <v>0</v>
      </c>
      <c r="L166" s="12"/>
      <c r="M166" s="13">
        <f t="shared" si="254"/>
        <v>0</v>
      </c>
      <c r="N166" s="12">
        <v>71</v>
      </c>
      <c r="O166" s="13">
        <f t="shared" si="255"/>
        <v>12.424999999999999</v>
      </c>
      <c r="P166" s="12">
        <v>48</v>
      </c>
      <c r="Q166" s="13">
        <f t="shared" si="256"/>
        <v>8.3999999999999986</v>
      </c>
      <c r="R166" s="12"/>
      <c r="S166" s="13">
        <f t="shared" si="257"/>
        <v>0</v>
      </c>
      <c r="T166" s="12"/>
      <c r="U166" s="13">
        <f t="shared" si="258"/>
        <v>0</v>
      </c>
      <c r="V166" s="12"/>
      <c r="W166" s="13">
        <f t="shared" si="259"/>
        <v>0</v>
      </c>
      <c r="X166" s="12"/>
      <c r="Y166" s="13">
        <f t="shared" si="260"/>
        <v>0</v>
      </c>
      <c r="Z166" s="12"/>
      <c r="AA166" s="13">
        <f t="shared" si="261"/>
        <v>0</v>
      </c>
      <c r="AB166" s="12"/>
      <c r="AC166" s="13">
        <f t="shared" si="262"/>
        <v>0</v>
      </c>
      <c r="AD166" s="12"/>
      <c r="AE166" s="13">
        <f t="shared" si="263"/>
        <v>0</v>
      </c>
      <c r="AF166" s="14">
        <f t="shared" si="264"/>
        <v>9.9166666666666661</v>
      </c>
      <c r="AG166" s="15">
        <f t="shared" si="265"/>
        <v>1.7354166666666664</v>
      </c>
      <c r="AH166" s="12"/>
      <c r="AI166" s="13">
        <f t="shared" si="266"/>
        <v>0</v>
      </c>
      <c r="AJ166" s="12"/>
      <c r="AK166" s="13">
        <f t="shared" si="267"/>
        <v>0</v>
      </c>
      <c r="AL166" s="12"/>
      <c r="AM166" s="13">
        <f t="shared" si="268"/>
        <v>0</v>
      </c>
      <c r="AN166" s="12"/>
      <c r="AO166" s="13">
        <f t="shared" si="269"/>
        <v>0</v>
      </c>
      <c r="AP166" s="12"/>
      <c r="AQ166" s="13">
        <f t="shared" si="270"/>
        <v>0</v>
      </c>
      <c r="AR166" s="12"/>
      <c r="AS166" s="13">
        <f t="shared" si="271"/>
        <v>0</v>
      </c>
      <c r="AT166" s="12"/>
      <c r="AU166" s="13">
        <f t="shared" si="272"/>
        <v>0</v>
      </c>
      <c r="AV166" s="12"/>
      <c r="AW166" s="13">
        <f t="shared" si="273"/>
        <v>0</v>
      </c>
      <c r="AX166" s="12"/>
      <c r="AY166" s="13">
        <f t="shared" si="274"/>
        <v>0</v>
      </c>
      <c r="AZ166" s="12"/>
      <c r="BA166" s="13">
        <f t="shared" si="275"/>
        <v>0</v>
      </c>
      <c r="BB166" s="12"/>
      <c r="BC166" s="13">
        <f t="shared" si="276"/>
        <v>0</v>
      </c>
      <c r="BD166" s="12"/>
      <c r="BE166" s="13">
        <f t="shared" si="277"/>
        <v>0</v>
      </c>
      <c r="BF166" s="14">
        <f t="shared" si="278"/>
        <v>0</v>
      </c>
      <c r="BG166" s="15">
        <f t="shared" si="279"/>
        <v>0</v>
      </c>
      <c r="BH166" s="12"/>
      <c r="BI166" s="13">
        <f t="shared" si="280"/>
        <v>0</v>
      </c>
      <c r="BJ166" s="12"/>
      <c r="BK166" s="13">
        <f t="shared" si="281"/>
        <v>0</v>
      </c>
      <c r="BL166" s="12"/>
      <c r="BM166" s="13">
        <f t="shared" si="282"/>
        <v>0</v>
      </c>
      <c r="BN166" s="12"/>
      <c r="BO166" s="13">
        <f t="shared" si="283"/>
        <v>0</v>
      </c>
      <c r="BP166" s="12"/>
      <c r="BQ166" s="13">
        <f t="shared" si="284"/>
        <v>0</v>
      </c>
      <c r="BR166" s="12"/>
      <c r="BS166" s="13">
        <f t="shared" si="285"/>
        <v>0</v>
      </c>
      <c r="BT166" s="12"/>
      <c r="BU166" s="13">
        <f t="shared" si="286"/>
        <v>0</v>
      </c>
      <c r="BV166" s="12"/>
      <c r="BW166" s="13">
        <f t="shared" si="287"/>
        <v>0</v>
      </c>
      <c r="BX166" s="12"/>
      <c r="BY166" s="13">
        <f t="shared" si="288"/>
        <v>0</v>
      </c>
      <c r="BZ166" s="12"/>
      <c r="CA166" s="13">
        <f t="shared" si="289"/>
        <v>0</v>
      </c>
      <c r="CB166" s="12"/>
      <c r="CC166" s="13">
        <f t="shared" si="290"/>
        <v>0</v>
      </c>
      <c r="CD166" s="12"/>
      <c r="CE166" s="13">
        <f t="shared" si="291"/>
        <v>0</v>
      </c>
      <c r="CF166" s="14">
        <f t="shared" si="292"/>
        <v>0</v>
      </c>
      <c r="CG166" s="15">
        <f t="shared" si="293"/>
        <v>0</v>
      </c>
      <c r="CH166" s="12"/>
      <c r="CI166" s="13">
        <f t="shared" si="294"/>
        <v>0</v>
      </c>
      <c r="CJ166" s="12"/>
      <c r="CK166" s="13">
        <f t="shared" si="295"/>
        <v>0</v>
      </c>
      <c r="CL166" s="12"/>
      <c r="CM166" s="13">
        <f t="shared" si="296"/>
        <v>0</v>
      </c>
      <c r="CN166" s="12"/>
      <c r="CO166" s="13">
        <f t="shared" si="297"/>
        <v>0</v>
      </c>
      <c r="CP166" s="12"/>
      <c r="CQ166" s="13">
        <f t="shared" si="298"/>
        <v>0</v>
      </c>
      <c r="CR166" s="12"/>
      <c r="CS166" s="13">
        <f t="shared" si="299"/>
        <v>0</v>
      </c>
      <c r="CT166" s="12"/>
      <c r="CU166" s="13">
        <f t="shared" si="300"/>
        <v>0</v>
      </c>
      <c r="CV166" s="12"/>
      <c r="CW166" s="13">
        <f t="shared" si="301"/>
        <v>0</v>
      </c>
      <c r="CX166" s="12"/>
      <c r="CY166" s="13">
        <f t="shared" si="302"/>
        <v>0</v>
      </c>
      <c r="CZ166" s="12"/>
      <c r="DA166" s="13">
        <f t="shared" si="303"/>
        <v>0</v>
      </c>
      <c r="DB166" s="12"/>
      <c r="DC166" s="13">
        <f t="shared" si="304"/>
        <v>0</v>
      </c>
      <c r="DD166" s="12"/>
      <c r="DE166" s="13">
        <f t="shared" si="304"/>
        <v>0</v>
      </c>
      <c r="DF166" s="64">
        <f t="shared" si="305"/>
        <v>0</v>
      </c>
      <c r="DG166" s="15">
        <f t="shared" si="306"/>
        <v>0</v>
      </c>
      <c r="DH166" s="12"/>
      <c r="DI166" s="13">
        <f t="shared" si="323"/>
        <v>0</v>
      </c>
      <c r="DJ166" s="12"/>
      <c r="DK166" s="13">
        <f t="shared" si="324"/>
        <v>0</v>
      </c>
      <c r="DL166" s="12"/>
      <c r="DM166" s="13">
        <f t="shared" si="325"/>
        <v>0</v>
      </c>
      <c r="DN166" s="12"/>
      <c r="DO166" s="13">
        <f t="shared" si="326"/>
        <v>0</v>
      </c>
      <c r="DP166" s="12"/>
      <c r="DQ166" s="13">
        <f t="shared" si="327"/>
        <v>0</v>
      </c>
      <c r="DR166" s="12"/>
      <c r="DS166" s="13">
        <f t="shared" si="328"/>
        <v>0</v>
      </c>
      <c r="DT166" s="12"/>
      <c r="DU166" s="13">
        <f t="shared" si="329"/>
        <v>0</v>
      </c>
      <c r="DV166" s="12"/>
      <c r="DW166" s="13">
        <f t="shared" si="330"/>
        <v>0</v>
      </c>
      <c r="DX166" s="12"/>
      <c r="DY166" s="13">
        <f t="shared" si="331"/>
        <v>0</v>
      </c>
      <c r="DZ166" s="12"/>
      <c r="EA166" s="13">
        <f t="shared" si="332"/>
        <v>0</v>
      </c>
      <c r="EB166" s="12"/>
      <c r="EC166" s="13">
        <f t="shared" si="333"/>
        <v>0</v>
      </c>
      <c r="ED166" s="12"/>
      <c r="EE166" s="13">
        <f t="shared" si="334"/>
        <v>0</v>
      </c>
      <c r="EF166" s="24">
        <f t="shared" si="335"/>
        <v>0</v>
      </c>
      <c r="EG166" s="13">
        <f t="shared" si="336"/>
        <v>0</v>
      </c>
    </row>
    <row r="167" spans="1:137" ht="18" x14ac:dyDescent="0.5">
      <c r="A167" s="10">
        <v>129</v>
      </c>
      <c r="B167" s="16" t="s">
        <v>123</v>
      </c>
      <c r="C167" s="16"/>
      <c r="D167" s="10"/>
      <c r="E167" s="10">
        <v>0.17499999999999999</v>
      </c>
      <c r="F167" s="42"/>
      <c r="G167" s="61">
        <v>2500</v>
      </c>
      <c r="H167" s="12"/>
      <c r="I167" s="13">
        <f t="shared" si="252"/>
        <v>0</v>
      </c>
      <c r="J167" s="12"/>
      <c r="K167" s="13">
        <f t="shared" si="253"/>
        <v>0</v>
      </c>
      <c r="L167" s="12"/>
      <c r="M167" s="13">
        <f t="shared" si="254"/>
        <v>0</v>
      </c>
      <c r="N167" s="12">
        <v>12</v>
      </c>
      <c r="O167" s="13">
        <f t="shared" si="255"/>
        <v>2.0999999999999996</v>
      </c>
      <c r="P167" s="12">
        <v>25</v>
      </c>
      <c r="Q167" s="13">
        <f t="shared" si="256"/>
        <v>4.375</v>
      </c>
      <c r="R167" s="12"/>
      <c r="S167" s="13">
        <f t="shared" si="257"/>
        <v>0</v>
      </c>
      <c r="T167" s="12">
        <v>4</v>
      </c>
      <c r="U167" s="13">
        <f t="shared" si="258"/>
        <v>0.7</v>
      </c>
      <c r="V167" s="12"/>
      <c r="W167" s="13">
        <f t="shared" si="259"/>
        <v>0</v>
      </c>
      <c r="X167" s="12"/>
      <c r="Y167" s="13">
        <f t="shared" si="260"/>
        <v>0</v>
      </c>
      <c r="Z167" s="12">
        <v>15</v>
      </c>
      <c r="AA167" s="13">
        <f t="shared" si="261"/>
        <v>2.625</v>
      </c>
      <c r="AB167" s="12"/>
      <c r="AC167" s="13">
        <f t="shared" si="262"/>
        <v>0</v>
      </c>
      <c r="AD167" s="12"/>
      <c r="AE167" s="13">
        <f t="shared" si="263"/>
        <v>0</v>
      </c>
      <c r="AF167" s="14">
        <f t="shared" si="264"/>
        <v>4.666666666666667</v>
      </c>
      <c r="AG167" s="15">
        <f t="shared" si="265"/>
        <v>0.81666666666666665</v>
      </c>
      <c r="AH167" s="12"/>
      <c r="AI167" s="13">
        <f t="shared" si="266"/>
        <v>0</v>
      </c>
      <c r="AJ167" s="12"/>
      <c r="AK167" s="13">
        <f t="shared" si="267"/>
        <v>0</v>
      </c>
      <c r="AL167" s="12"/>
      <c r="AM167" s="13">
        <f t="shared" si="268"/>
        <v>0</v>
      </c>
      <c r="AN167" s="12"/>
      <c r="AO167" s="13">
        <f t="shared" si="269"/>
        <v>0</v>
      </c>
      <c r="AP167" s="12"/>
      <c r="AQ167" s="13">
        <f t="shared" si="270"/>
        <v>0</v>
      </c>
      <c r="AR167" s="12"/>
      <c r="AS167" s="13">
        <f t="shared" si="271"/>
        <v>0</v>
      </c>
      <c r="AT167" s="12"/>
      <c r="AU167" s="13">
        <f t="shared" si="272"/>
        <v>0</v>
      </c>
      <c r="AV167" s="12"/>
      <c r="AW167" s="13">
        <f t="shared" si="273"/>
        <v>0</v>
      </c>
      <c r="AX167" s="12"/>
      <c r="AY167" s="13">
        <f t="shared" si="274"/>
        <v>0</v>
      </c>
      <c r="AZ167" s="12"/>
      <c r="BA167" s="13">
        <f t="shared" si="275"/>
        <v>0</v>
      </c>
      <c r="BB167" s="12"/>
      <c r="BC167" s="13">
        <f t="shared" si="276"/>
        <v>0</v>
      </c>
      <c r="BD167" s="12"/>
      <c r="BE167" s="13">
        <f t="shared" si="277"/>
        <v>0</v>
      </c>
      <c r="BF167" s="14">
        <f t="shared" si="278"/>
        <v>0</v>
      </c>
      <c r="BG167" s="15">
        <f t="shared" si="279"/>
        <v>0</v>
      </c>
      <c r="BH167" s="12"/>
      <c r="BI167" s="13">
        <f t="shared" si="280"/>
        <v>0</v>
      </c>
      <c r="BJ167" s="12"/>
      <c r="BK167" s="13">
        <f t="shared" si="281"/>
        <v>0</v>
      </c>
      <c r="BL167" s="12"/>
      <c r="BM167" s="13">
        <f t="shared" si="282"/>
        <v>0</v>
      </c>
      <c r="BN167" s="12"/>
      <c r="BO167" s="13">
        <f t="shared" si="283"/>
        <v>0</v>
      </c>
      <c r="BP167" s="12"/>
      <c r="BQ167" s="13">
        <f t="shared" si="284"/>
        <v>0</v>
      </c>
      <c r="BR167" s="12"/>
      <c r="BS167" s="13">
        <f t="shared" si="285"/>
        <v>0</v>
      </c>
      <c r="BT167" s="12"/>
      <c r="BU167" s="13">
        <f t="shared" si="286"/>
        <v>0</v>
      </c>
      <c r="BV167" s="12"/>
      <c r="BW167" s="13">
        <f t="shared" si="287"/>
        <v>0</v>
      </c>
      <c r="BX167" s="12"/>
      <c r="BY167" s="13">
        <f t="shared" si="288"/>
        <v>0</v>
      </c>
      <c r="BZ167" s="12"/>
      <c r="CA167" s="13">
        <f t="shared" si="289"/>
        <v>0</v>
      </c>
      <c r="CB167" s="12"/>
      <c r="CC167" s="13">
        <f t="shared" si="290"/>
        <v>0</v>
      </c>
      <c r="CD167" s="12"/>
      <c r="CE167" s="13">
        <f t="shared" si="291"/>
        <v>0</v>
      </c>
      <c r="CF167" s="14">
        <f t="shared" si="292"/>
        <v>0</v>
      </c>
      <c r="CG167" s="15">
        <f t="shared" si="293"/>
        <v>0</v>
      </c>
      <c r="CH167" s="12"/>
      <c r="CI167" s="13">
        <f t="shared" si="294"/>
        <v>0</v>
      </c>
      <c r="CJ167" s="12"/>
      <c r="CK167" s="13">
        <f t="shared" si="295"/>
        <v>0</v>
      </c>
      <c r="CL167" s="12"/>
      <c r="CM167" s="13">
        <f t="shared" si="296"/>
        <v>0</v>
      </c>
      <c r="CN167" s="12"/>
      <c r="CO167" s="13">
        <f t="shared" si="297"/>
        <v>0</v>
      </c>
      <c r="CP167" s="12"/>
      <c r="CQ167" s="13">
        <f t="shared" si="298"/>
        <v>0</v>
      </c>
      <c r="CR167" s="12"/>
      <c r="CS167" s="13">
        <f t="shared" si="299"/>
        <v>0</v>
      </c>
      <c r="CT167" s="12"/>
      <c r="CU167" s="13">
        <f t="shared" si="300"/>
        <v>0</v>
      </c>
      <c r="CV167" s="12"/>
      <c r="CW167" s="13">
        <f t="shared" si="301"/>
        <v>0</v>
      </c>
      <c r="CX167" s="12"/>
      <c r="CY167" s="13">
        <f t="shared" si="302"/>
        <v>0</v>
      </c>
      <c r="CZ167" s="12"/>
      <c r="DA167" s="13">
        <f t="shared" si="303"/>
        <v>0</v>
      </c>
      <c r="DB167" s="12"/>
      <c r="DC167" s="13">
        <f t="shared" si="304"/>
        <v>0</v>
      </c>
      <c r="DD167" s="12"/>
      <c r="DE167" s="13">
        <f t="shared" si="304"/>
        <v>0</v>
      </c>
      <c r="DF167" s="64">
        <f t="shared" si="305"/>
        <v>0</v>
      </c>
      <c r="DG167" s="15">
        <f t="shared" si="306"/>
        <v>0</v>
      </c>
      <c r="DH167" s="12"/>
      <c r="DI167" s="13">
        <f t="shared" si="323"/>
        <v>0</v>
      </c>
      <c r="DJ167" s="12"/>
      <c r="DK167" s="13">
        <f t="shared" si="324"/>
        <v>0</v>
      </c>
      <c r="DL167" s="12"/>
      <c r="DM167" s="13">
        <f t="shared" si="325"/>
        <v>0</v>
      </c>
      <c r="DN167" s="12"/>
      <c r="DO167" s="13">
        <f t="shared" si="326"/>
        <v>0</v>
      </c>
      <c r="DP167" s="12"/>
      <c r="DQ167" s="13">
        <f t="shared" si="327"/>
        <v>0</v>
      </c>
      <c r="DR167" s="12"/>
      <c r="DS167" s="13">
        <f t="shared" si="328"/>
        <v>0</v>
      </c>
      <c r="DT167" s="12"/>
      <c r="DU167" s="13">
        <f t="shared" si="329"/>
        <v>0</v>
      </c>
      <c r="DV167" s="12"/>
      <c r="DW167" s="13">
        <f t="shared" si="330"/>
        <v>0</v>
      </c>
      <c r="DX167" s="12"/>
      <c r="DY167" s="13">
        <f t="shared" si="331"/>
        <v>0</v>
      </c>
      <c r="DZ167" s="12"/>
      <c r="EA167" s="13">
        <f t="shared" si="332"/>
        <v>0</v>
      </c>
      <c r="EB167" s="12"/>
      <c r="EC167" s="13">
        <f t="shared" si="333"/>
        <v>0</v>
      </c>
      <c r="ED167" s="12"/>
      <c r="EE167" s="13">
        <f t="shared" si="334"/>
        <v>0</v>
      </c>
      <c r="EF167" s="24">
        <f t="shared" si="335"/>
        <v>0</v>
      </c>
      <c r="EG167" s="13">
        <f t="shared" si="336"/>
        <v>0</v>
      </c>
    </row>
    <row r="168" spans="1:137" ht="18" x14ac:dyDescent="0.5">
      <c r="A168" s="10"/>
      <c r="B168" s="16"/>
      <c r="C168" s="16"/>
      <c r="D168" s="10"/>
      <c r="E168" s="10"/>
      <c r="F168" s="42"/>
      <c r="G168" s="33"/>
      <c r="H168" s="12"/>
      <c r="I168" s="13">
        <f t="shared" si="252"/>
        <v>0</v>
      </c>
      <c r="J168" s="12"/>
      <c r="K168" s="13">
        <f t="shared" si="253"/>
        <v>0</v>
      </c>
      <c r="L168" s="12"/>
      <c r="M168" s="13">
        <f t="shared" si="254"/>
        <v>0</v>
      </c>
      <c r="N168" s="12"/>
      <c r="O168" s="13">
        <f t="shared" si="255"/>
        <v>0</v>
      </c>
      <c r="P168" s="12"/>
      <c r="Q168" s="13">
        <f t="shared" si="256"/>
        <v>0</v>
      </c>
      <c r="R168" s="12"/>
      <c r="S168" s="13">
        <f t="shared" si="257"/>
        <v>0</v>
      </c>
      <c r="T168" s="12"/>
      <c r="U168" s="13">
        <f t="shared" si="258"/>
        <v>0</v>
      </c>
      <c r="V168" s="12"/>
      <c r="W168" s="13">
        <f t="shared" si="259"/>
        <v>0</v>
      </c>
      <c r="X168" s="12"/>
      <c r="Y168" s="13">
        <f t="shared" si="260"/>
        <v>0</v>
      </c>
      <c r="Z168" s="12"/>
      <c r="AA168" s="13">
        <f t="shared" si="261"/>
        <v>0</v>
      </c>
      <c r="AB168" s="12"/>
      <c r="AC168" s="13">
        <f t="shared" si="262"/>
        <v>0</v>
      </c>
      <c r="AD168" s="12"/>
      <c r="AE168" s="13">
        <f t="shared" si="263"/>
        <v>0</v>
      </c>
      <c r="AF168" s="14">
        <f t="shared" si="264"/>
        <v>0</v>
      </c>
      <c r="AG168" s="15">
        <f t="shared" si="265"/>
        <v>0</v>
      </c>
      <c r="AH168" s="12"/>
      <c r="AI168" s="13">
        <f t="shared" si="266"/>
        <v>0</v>
      </c>
      <c r="AJ168" s="12"/>
      <c r="AK168" s="13">
        <f t="shared" si="267"/>
        <v>0</v>
      </c>
      <c r="AL168" s="12"/>
      <c r="AM168" s="13">
        <f t="shared" si="268"/>
        <v>0</v>
      </c>
      <c r="AN168" s="12"/>
      <c r="AO168" s="13">
        <f t="shared" si="269"/>
        <v>0</v>
      </c>
      <c r="AP168" s="12"/>
      <c r="AQ168" s="13">
        <f t="shared" si="270"/>
        <v>0</v>
      </c>
      <c r="AR168" s="12"/>
      <c r="AS168" s="13">
        <f t="shared" si="271"/>
        <v>0</v>
      </c>
      <c r="AT168" s="12"/>
      <c r="AU168" s="13">
        <f t="shared" si="272"/>
        <v>0</v>
      </c>
      <c r="AV168" s="12"/>
      <c r="AW168" s="13">
        <f t="shared" si="273"/>
        <v>0</v>
      </c>
      <c r="AX168" s="12"/>
      <c r="AY168" s="13">
        <f t="shared" si="274"/>
        <v>0</v>
      </c>
      <c r="AZ168" s="12"/>
      <c r="BA168" s="13">
        <f t="shared" si="275"/>
        <v>0</v>
      </c>
      <c r="BB168" s="12"/>
      <c r="BC168" s="13">
        <f t="shared" si="276"/>
        <v>0</v>
      </c>
      <c r="BD168" s="12"/>
      <c r="BE168" s="13">
        <f t="shared" si="277"/>
        <v>0</v>
      </c>
      <c r="BF168" s="14">
        <f t="shared" si="278"/>
        <v>0</v>
      </c>
      <c r="BG168" s="15">
        <f t="shared" si="279"/>
        <v>0</v>
      </c>
      <c r="BH168" s="12"/>
      <c r="BI168" s="13"/>
      <c r="BJ168" s="12"/>
      <c r="BK168" s="13"/>
      <c r="BL168" s="12"/>
      <c r="BM168" s="13"/>
      <c r="BN168" s="12"/>
      <c r="BO168" s="13"/>
      <c r="BP168" s="12"/>
      <c r="BQ168" s="13"/>
      <c r="BR168" s="12"/>
      <c r="BS168" s="13"/>
      <c r="BT168" s="12"/>
      <c r="BU168" s="13"/>
      <c r="BV168" s="12"/>
      <c r="BW168" s="13"/>
      <c r="BX168" s="12"/>
      <c r="BY168" s="13"/>
      <c r="BZ168" s="12"/>
      <c r="CA168" s="13"/>
      <c r="CB168" s="12"/>
      <c r="CC168" s="13"/>
      <c r="CD168" s="12"/>
      <c r="CE168" s="13"/>
      <c r="CF168" s="14"/>
      <c r="CG168" s="15"/>
      <c r="CH168" s="12"/>
      <c r="CI168" s="13">
        <f t="shared" si="294"/>
        <v>0</v>
      </c>
      <c r="CJ168" s="12"/>
      <c r="CK168" s="13">
        <f t="shared" si="295"/>
        <v>0</v>
      </c>
      <c r="CL168" s="12"/>
      <c r="CM168" s="13">
        <f t="shared" si="296"/>
        <v>0</v>
      </c>
      <c r="CN168" s="12"/>
      <c r="CO168" s="13">
        <f t="shared" si="297"/>
        <v>0</v>
      </c>
      <c r="CP168" s="12"/>
      <c r="CQ168" s="13">
        <f t="shared" si="298"/>
        <v>0</v>
      </c>
      <c r="CR168" s="12"/>
      <c r="CS168" s="13">
        <f t="shared" si="299"/>
        <v>0</v>
      </c>
      <c r="CT168" s="12"/>
      <c r="CU168" s="13">
        <f t="shared" si="300"/>
        <v>0</v>
      </c>
      <c r="CV168" s="12"/>
      <c r="CW168" s="13">
        <f t="shared" si="301"/>
        <v>0</v>
      </c>
      <c r="CX168" s="12"/>
      <c r="CY168" s="13">
        <f t="shared" si="302"/>
        <v>0</v>
      </c>
      <c r="CZ168" s="12"/>
      <c r="DA168" s="13">
        <f t="shared" si="303"/>
        <v>0</v>
      </c>
      <c r="DB168" s="12"/>
      <c r="DC168" s="13">
        <f t="shared" si="304"/>
        <v>0</v>
      </c>
      <c r="DD168" s="12"/>
      <c r="DE168" s="13">
        <f t="shared" si="304"/>
        <v>0</v>
      </c>
      <c r="DF168" s="64">
        <f t="shared" si="305"/>
        <v>0</v>
      </c>
      <c r="DG168" s="15">
        <f t="shared" si="306"/>
        <v>0</v>
      </c>
      <c r="DH168" s="12"/>
      <c r="DI168" s="13">
        <f t="shared" si="323"/>
        <v>0</v>
      </c>
      <c r="DJ168" s="12"/>
      <c r="DK168" s="13">
        <f t="shared" si="324"/>
        <v>0</v>
      </c>
      <c r="DL168" s="12"/>
      <c r="DM168" s="13">
        <f t="shared" si="325"/>
        <v>0</v>
      </c>
      <c r="DN168" s="12"/>
      <c r="DO168" s="13">
        <f t="shared" si="326"/>
        <v>0</v>
      </c>
      <c r="DP168" s="12"/>
      <c r="DQ168" s="13">
        <f t="shared" si="327"/>
        <v>0</v>
      </c>
      <c r="DR168" s="12"/>
      <c r="DS168" s="13">
        <f t="shared" si="328"/>
        <v>0</v>
      </c>
      <c r="DT168" s="12"/>
      <c r="DU168" s="13">
        <f t="shared" si="329"/>
        <v>0</v>
      </c>
      <c r="DV168" s="12"/>
      <c r="DW168" s="13">
        <f t="shared" si="330"/>
        <v>0</v>
      </c>
      <c r="DX168" s="12"/>
      <c r="DY168" s="13">
        <f t="shared" si="331"/>
        <v>0</v>
      </c>
      <c r="DZ168" s="12"/>
      <c r="EA168" s="13">
        <f t="shared" si="332"/>
        <v>0</v>
      </c>
      <c r="EB168" s="12"/>
      <c r="EC168" s="13">
        <f t="shared" si="333"/>
        <v>0</v>
      </c>
      <c r="ED168" s="12"/>
      <c r="EE168" s="13">
        <f t="shared" si="334"/>
        <v>0</v>
      </c>
      <c r="EF168" s="24">
        <f t="shared" si="335"/>
        <v>0</v>
      </c>
      <c r="EG168" s="13">
        <f t="shared" si="336"/>
        <v>0</v>
      </c>
    </row>
    <row r="169" spans="1:137" ht="18" x14ac:dyDescent="0.5">
      <c r="A169" s="43"/>
      <c r="B169" s="35" t="s">
        <v>124</v>
      </c>
      <c r="C169" s="35"/>
      <c r="D169" s="35"/>
      <c r="E169" s="35"/>
      <c r="F169" s="37"/>
      <c r="G169" s="37"/>
      <c r="H169" s="38">
        <f t="shared" ref="H169:AM169" si="337">SUM(H149:H168)</f>
        <v>8572</v>
      </c>
      <c r="I169" s="39">
        <f t="shared" si="337"/>
        <v>4195.9749999999995</v>
      </c>
      <c r="J169" s="38">
        <f t="shared" si="337"/>
        <v>4571</v>
      </c>
      <c r="K169" s="39">
        <f t="shared" si="337"/>
        <v>1976.8</v>
      </c>
      <c r="L169" s="38">
        <f t="shared" si="337"/>
        <v>4101</v>
      </c>
      <c r="M169" s="39">
        <f t="shared" si="337"/>
        <v>1793.7499999999998</v>
      </c>
      <c r="N169" s="38">
        <f t="shared" si="337"/>
        <v>4463</v>
      </c>
      <c r="O169" s="39">
        <f t="shared" si="337"/>
        <v>1795.1499999999996</v>
      </c>
      <c r="P169" s="38">
        <f t="shared" si="337"/>
        <v>3976</v>
      </c>
      <c r="Q169" s="39">
        <f t="shared" si="337"/>
        <v>1957.55</v>
      </c>
      <c r="R169" s="38">
        <f t="shared" si="337"/>
        <v>4262</v>
      </c>
      <c r="S169" s="39">
        <f t="shared" si="337"/>
        <v>1826.8249999999998</v>
      </c>
      <c r="T169" s="38">
        <f t="shared" si="337"/>
        <v>3393</v>
      </c>
      <c r="U169" s="39">
        <f t="shared" si="337"/>
        <v>1495.55</v>
      </c>
      <c r="V169" s="38">
        <f t="shared" si="337"/>
        <v>3192</v>
      </c>
      <c r="W169" s="39">
        <f t="shared" si="337"/>
        <v>1290.6249999999998</v>
      </c>
      <c r="X169" s="38">
        <f t="shared" si="337"/>
        <v>2321</v>
      </c>
      <c r="Y169" s="39">
        <f t="shared" si="337"/>
        <v>1238.4749999999997</v>
      </c>
      <c r="Z169" s="38">
        <f t="shared" si="337"/>
        <v>2315</v>
      </c>
      <c r="AA169" s="39">
        <f t="shared" si="337"/>
        <v>1156.2250000000001</v>
      </c>
      <c r="AB169" s="38">
        <f t="shared" si="337"/>
        <v>1416</v>
      </c>
      <c r="AC169" s="39">
        <f t="shared" si="337"/>
        <v>666.22499999999991</v>
      </c>
      <c r="AD169" s="38">
        <f t="shared" si="337"/>
        <v>4750</v>
      </c>
      <c r="AE169" s="39">
        <f t="shared" si="337"/>
        <v>1771.1749999999997</v>
      </c>
      <c r="AF169" s="40">
        <f t="shared" si="337"/>
        <v>3944.333333333333</v>
      </c>
      <c r="AG169" s="41">
        <f t="shared" si="337"/>
        <v>1763.6937499999997</v>
      </c>
      <c r="AH169" s="38">
        <f t="shared" si="337"/>
        <v>3146</v>
      </c>
      <c r="AI169" s="39">
        <f t="shared" si="337"/>
        <v>1879.4999999999998</v>
      </c>
      <c r="AJ169" s="38">
        <f t="shared" si="337"/>
        <v>1454</v>
      </c>
      <c r="AK169" s="39">
        <f t="shared" si="337"/>
        <v>633.67499999999995</v>
      </c>
      <c r="AL169" s="38">
        <f t="shared" si="337"/>
        <v>3254</v>
      </c>
      <c r="AM169" s="39">
        <f t="shared" si="337"/>
        <v>1556.625</v>
      </c>
      <c r="AN169" s="38">
        <f t="shared" ref="AN169:BS169" si="338">SUM(AN149:AN168)</f>
        <v>1323</v>
      </c>
      <c r="AO169" s="39">
        <f t="shared" si="338"/>
        <v>569.09999999999991</v>
      </c>
      <c r="AP169" s="38">
        <f t="shared" si="338"/>
        <v>1430</v>
      </c>
      <c r="AQ169" s="39">
        <f t="shared" si="338"/>
        <v>787.5</v>
      </c>
      <c r="AR169" s="38">
        <f t="shared" si="338"/>
        <v>925</v>
      </c>
      <c r="AS169" s="39">
        <f t="shared" si="338"/>
        <v>461.82499999999999</v>
      </c>
      <c r="AT169" s="38">
        <f t="shared" si="338"/>
        <v>432</v>
      </c>
      <c r="AU169" s="39">
        <f t="shared" si="338"/>
        <v>268.8</v>
      </c>
      <c r="AV169" s="38">
        <f t="shared" si="338"/>
        <v>1667</v>
      </c>
      <c r="AW169" s="39">
        <f t="shared" si="338"/>
        <v>567.17499999999995</v>
      </c>
      <c r="AX169" s="38">
        <f t="shared" si="338"/>
        <v>1747</v>
      </c>
      <c r="AY169" s="39">
        <f t="shared" si="338"/>
        <v>819.17499999999995</v>
      </c>
      <c r="AZ169" s="38">
        <f t="shared" si="338"/>
        <v>1097</v>
      </c>
      <c r="BA169" s="39">
        <f t="shared" si="338"/>
        <v>523.25</v>
      </c>
      <c r="BB169" s="38">
        <f t="shared" si="338"/>
        <v>1194</v>
      </c>
      <c r="BC169" s="39">
        <f t="shared" si="338"/>
        <v>501.9</v>
      </c>
      <c r="BD169" s="38">
        <f t="shared" si="338"/>
        <v>1044</v>
      </c>
      <c r="BE169" s="39">
        <f t="shared" si="338"/>
        <v>561.75</v>
      </c>
      <c r="BF169" s="38">
        <f t="shared" si="338"/>
        <v>1559.4166666666667</v>
      </c>
      <c r="BG169" s="39">
        <f t="shared" si="338"/>
        <v>760.85625000000005</v>
      </c>
      <c r="BH169" s="38">
        <f t="shared" si="338"/>
        <v>936</v>
      </c>
      <c r="BI169" s="39">
        <f t="shared" si="338"/>
        <v>516.59999999999991</v>
      </c>
      <c r="BJ169" s="38">
        <f t="shared" si="338"/>
        <v>558</v>
      </c>
      <c r="BK169" s="39">
        <f t="shared" si="338"/>
        <v>306.60000000000002</v>
      </c>
      <c r="BL169" s="38">
        <f t="shared" si="338"/>
        <v>978</v>
      </c>
      <c r="BM169" s="39">
        <f t="shared" si="338"/>
        <v>550.19999999999993</v>
      </c>
      <c r="BN169" s="38">
        <f t="shared" si="338"/>
        <v>408</v>
      </c>
      <c r="BO169" s="39">
        <f t="shared" si="338"/>
        <v>226.79999999999995</v>
      </c>
      <c r="BP169" s="38">
        <f t="shared" si="338"/>
        <v>560</v>
      </c>
      <c r="BQ169" s="39">
        <f t="shared" si="338"/>
        <v>365.05</v>
      </c>
      <c r="BR169" s="38">
        <f t="shared" si="338"/>
        <v>288</v>
      </c>
      <c r="BS169" s="39">
        <f t="shared" si="338"/>
        <v>193.2</v>
      </c>
      <c r="BT169" s="38">
        <f t="shared" ref="BT169:CY169" si="339">SUM(BT149:BT168)</f>
        <v>114</v>
      </c>
      <c r="BU169" s="39">
        <f t="shared" si="339"/>
        <v>71.399999999999977</v>
      </c>
      <c r="BV169" s="38">
        <f t="shared" si="339"/>
        <v>756</v>
      </c>
      <c r="BW169" s="39">
        <f t="shared" si="339"/>
        <v>462</v>
      </c>
      <c r="BX169" s="38">
        <f t="shared" si="339"/>
        <v>396</v>
      </c>
      <c r="BY169" s="39">
        <f t="shared" si="339"/>
        <v>260.39999999999998</v>
      </c>
      <c r="BZ169" s="38">
        <f t="shared" si="339"/>
        <v>468</v>
      </c>
      <c r="CA169" s="39">
        <f t="shared" si="339"/>
        <v>327.60000000000002</v>
      </c>
      <c r="CB169" s="38">
        <f t="shared" si="339"/>
        <v>716</v>
      </c>
      <c r="CC169" s="39">
        <f t="shared" si="339"/>
        <v>491.74999999999994</v>
      </c>
      <c r="CD169" s="38">
        <f t="shared" si="339"/>
        <v>408</v>
      </c>
      <c r="CE169" s="39">
        <f t="shared" si="339"/>
        <v>159.6</v>
      </c>
      <c r="CF169" s="40">
        <f t="shared" si="339"/>
        <v>548.83333333333326</v>
      </c>
      <c r="CG169" s="41">
        <f t="shared" si="339"/>
        <v>327.59999999999997</v>
      </c>
      <c r="CH169" s="38">
        <f t="shared" si="339"/>
        <v>444</v>
      </c>
      <c r="CI169" s="39">
        <f t="shared" si="339"/>
        <v>285.59999999999997</v>
      </c>
      <c r="CJ169" s="38">
        <f t="shared" si="339"/>
        <v>288</v>
      </c>
      <c r="CK169" s="39">
        <f t="shared" si="339"/>
        <v>167.99999999999997</v>
      </c>
      <c r="CL169" s="38">
        <f t="shared" si="339"/>
        <v>48</v>
      </c>
      <c r="CM169" s="39">
        <f t="shared" si="339"/>
        <v>16.799999999999997</v>
      </c>
      <c r="CN169" s="38">
        <f t="shared" si="339"/>
        <v>192</v>
      </c>
      <c r="CO169" s="39">
        <f t="shared" si="339"/>
        <v>109.2</v>
      </c>
      <c r="CP169" s="38">
        <f t="shared" si="339"/>
        <v>24</v>
      </c>
      <c r="CQ169" s="39">
        <f t="shared" si="339"/>
        <v>8.3999999999999986</v>
      </c>
      <c r="CR169" s="38">
        <f t="shared" si="339"/>
        <v>132</v>
      </c>
      <c r="CS169" s="39">
        <f t="shared" si="339"/>
        <v>92.4</v>
      </c>
      <c r="CT169" s="38">
        <f t="shared" si="339"/>
        <v>132</v>
      </c>
      <c r="CU169" s="39">
        <f t="shared" si="339"/>
        <v>92.4</v>
      </c>
      <c r="CV169" s="38">
        <f t="shared" si="339"/>
        <v>24</v>
      </c>
      <c r="CW169" s="39">
        <f t="shared" si="339"/>
        <v>8.3999999999999986</v>
      </c>
      <c r="CX169" s="38">
        <f t="shared" si="339"/>
        <v>12</v>
      </c>
      <c r="CY169" s="39">
        <f t="shared" si="339"/>
        <v>8.3999999999999986</v>
      </c>
      <c r="CZ169" s="38">
        <f t="shared" ref="CZ169:DY169" si="340">SUM(CZ149:CZ168)</f>
        <v>96</v>
      </c>
      <c r="DA169" s="39">
        <f t="shared" si="340"/>
        <v>42</v>
      </c>
      <c r="DB169" s="38">
        <f t="shared" si="340"/>
        <v>121</v>
      </c>
      <c r="DC169" s="39">
        <f t="shared" si="340"/>
        <v>84.7</v>
      </c>
      <c r="DD169" s="38">
        <f>SUM(DD149:DD168)</f>
        <v>60</v>
      </c>
      <c r="DE169" s="39">
        <f t="shared" si="340"/>
        <v>42</v>
      </c>
      <c r="DF169" s="38">
        <f t="shared" si="340"/>
        <v>1573</v>
      </c>
      <c r="DG169" s="39">
        <f t="shared" si="340"/>
        <v>958.29999999999984</v>
      </c>
      <c r="DH169" s="38">
        <f t="shared" si="340"/>
        <v>78</v>
      </c>
      <c r="DI169" s="39">
        <f t="shared" si="340"/>
        <v>37.799999999999997</v>
      </c>
      <c r="DJ169" s="38">
        <f t="shared" si="340"/>
        <v>60</v>
      </c>
      <c r="DK169" s="39">
        <f t="shared" si="340"/>
        <v>42</v>
      </c>
      <c r="DL169" s="38">
        <f t="shared" si="340"/>
        <v>0</v>
      </c>
      <c r="DM169" s="39">
        <f t="shared" si="340"/>
        <v>0</v>
      </c>
      <c r="DN169" s="38">
        <f t="shared" si="340"/>
        <v>0</v>
      </c>
      <c r="DO169" s="39">
        <f t="shared" si="340"/>
        <v>0</v>
      </c>
      <c r="DP169" s="38">
        <f t="shared" si="340"/>
        <v>0</v>
      </c>
      <c r="DQ169" s="39">
        <f t="shared" si="340"/>
        <v>0</v>
      </c>
      <c r="DR169" s="38">
        <f t="shared" si="340"/>
        <v>0</v>
      </c>
      <c r="DS169" s="39">
        <f t="shared" si="340"/>
        <v>0</v>
      </c>
      <c r="DT169" s="38">
        <f t="shared" si="340"/>
        <v>0</v>
      </c>
      <c r="DU169" s="39">
        <f t="shared" si="340"/>
        <v>0</v>
      </c>
      <c r="DV169" s="38">
        <f t="shared" si="340"/>
        <v>0</v>
      </c>
      <c r="DW169" s="39">
        <f t="shared" si="340"/>
        <v>0</v>
      </c>
      <c r="DX169" s="38">
        <f t="shared" si="340"/>
        <v>0</v>
      </c>
      <c r="DY169" s="39">
        <f t="shared" si="340"/>
        <v>0</v>
      </c>
      <c r="DZ169" s="38">
        <f t="shared" ref="DZ169:EC169" si="341">SUM(DZ149:DZ168)</f>
        <v>0</v>
      </c>
      <c r="EA169" s="39">
        <f t="shared" si="341"/>
        <v>0</v>
      </c>
      <c r="EB169" s="38">
        <f t="shared" si="341"/>
        <v>0</v>
      </c>
      <c r="EC169" s="39">
        <f t="shared" si="341"/>
        <v>0</v>
      </c>
      <c r="ED169" s="38">
        <f>SUM(ED149:ED168)</f>
        <v>0</v>
      </c>
      <c r="EE169" s="39">
        <f t="shared" ref="EE169:EG169" si="342">SUM(EE149:EE168)</f>
        <v>0</v>
      </c>
      <c r="EF169" s="38">
        <f t="shared" si="342"/>
        <v>138</v>
      </c>
      <c r="EG169" s="39">
        <f t="shared" si="342"/>
        <v>79.800000000000011</v>
      </c>
    </row>
    <row r="170" spans="1:137" ht="18" x14ac:dyDescent="0.5">
      <c r="A170" s="44"/>
      <c r="B170" s="45" t="s">
        <v>125</v>
      </c>
      <c r="C170" s="45"/>
      <c r="D170" s="45"/>
      <c r="E170" s="45"/>
      <c r="F170" s="45"/>
      <c r="G170" s="46"/>
      <c r="H170" s="47">
        <f t="shared" ref="H170:AM170" si="343">+H148+H169</f>
        <v>293930</v>
      </c>
      <c r="I170" s="48">
        <f t="shared" si="343"/>
        <v>189376.755</v>
      </c>
      <c r="J170" s="47">
        <f t="shared" si="343"/>
        <v>269870</v>
      </c>
      <c r="K170" s="48">
        <f t="shared" si="343"/>
        <v>175156.06</v>
      </c>
      <c r="L170" s="47">
        <f t="shared" si="343"/>
        <v>342053</v>
      </c>
      <c r="M170" s="48">
        <f t="shared" si="343"/>
        <v>221641.7</v>
      </c>
      <c r="N170" s="47">
        <f t="shared" si="343"/>
        <v>308169</v>
      </c>
      <c r="O170" s="48">
        <f t="shared" si="343"/>
        <v>199740.05</v>
      </c>
      <c r="P170" s="47">
        <f t="shared" si="343"/>
        <v>370933</v>
      </c>
      <c r="Q170" s="48">
        <f t="shared" si="343"/>
        <v>240052.64</v>
      </c>
      <c r="R170" s="47">
        <f t="shared" si="343"/>
        <v>337521</v>
      </c>
      <c r="S170" s="48">
        <f t="shared" si="343"/>
        <v>220267.96500000003</v>
      </c>
      <c r="T170" s="47">
        <f t="shared" si="343"/>
        <v>297482</v>
      </c>
      <c r="U170" s="48">
        <f t="shared" si="343"/>
        <v>193538.76</v>
      </c>
      <c r="V170" s="47">
        <f t="shared" si="343"/>
        <v>349598</v>
      </c>
      <c r="W170" s="48">
        <f t="shared" si="343"/>
        <v>227904.345</v>
      </c>
      <c r="X170" s="47">
        <f t="shared" si="343"/>
        <v>292445</v>
      </c>
      <c r="Y170" s="48">
        <f t="shared" si="343"/>
        <v>193553.595</v>
      </c>
      <c r="Z170" s="47">
        <f t="shared" si="343"/>
        <v>249336</v>
      </c>
      <c r="AA170" s="48">
        <f t="shared" si="343"/>
        <v>167083.94500000001</v>
      </c>
      <c r="AB170" s="47">
        <f t="shared" si="343"/>
        <v>253445</v>
      </c>
      <c r="AC170" s="48">
        <f t="shared" si="343"/>
        <v>168069.36499999996</v>
      </c>
      <c r="AD170" s="47">
        <f t="shared" si="343"/>
        <v>325405</v>
      </c>
      <c r="AE170" s="48">
        <f t="shared" si="343"/>
        <v>218315.67499999999</v>
      </c>
      <c r="AF170" s="49">
        <f>+AF148+AF169</f>
        <v>307515.58333333343</v>
      </c>
      <c r="AG170" s="41">
        <f t="shared" si="343"/>
        <v>201225.07125000004</v>
      </c>
      <c r="AH170" s="47">
        <f t="shared" si="343"/>
        <v>328792</v>
      </c>
      <c r="AI170" s="48">
        <f t="shared" si="343"/>
        <v>223508.06000000003</v>
      </c>
      <c r="AJ170" s="47">
        <f t="shared" si="343"/>
        <v>270451</v>
      </c>
      <c r="AK170" s="48">
        <f t="shared" si="343"/>
        <v>180884.875</v>
      </c>
      <c r="AL170" s="47">
        <f t="shared" si="343"/>
        <v>346823</v>
      </c>
      <c r="AM170" s="48">
        <f t="shared" si="343"/>
        <v>235666.00499999998</v>
      </c>
      <c r="AN170" s="47">
        <f t="shared" ref="AN170:BS170" si="344">+AN148+AN169</f>
        <v>331583</v>
      </c>
      <c r="AO170" s="48">
        <f t="shared" si="344"/>
        <v>224855.09999999998</v>
      </c>
      <c r="AP170" s="47">
        <f t="shared" si="344"/>
        <v>347696</v>
      </c>
      <c r="AQ170" s="48">
        <f t="shared" si="344"/>
        <v>237460.98</v>
      </c>
      <c r="AR170" s="47">
        <f t="shared" si="344"/>
        <v>309886</v>
      </c>
      <c r="AS170" s="48">
        <f t="shared" si="344"/>
        <v>212669.94500000001</v>
      </c>
      <c r="AT170" s="47">
        <f t="shared" si="344"/>
        <v>317166</v>
      </c>
      <c r="AU170" s="48">
        <f t="shared" si="344"/>
        <v>216475.08</v>
      </c>
      <c r="AV170" s="47">
        <f t="shared" si="344"/>
        <v>382611</v>
      </c>
      <c r="AW170" s="48">
        <f t="shared" si="344"/>
        <v>256546.375</v>
      </c>
      <c r="AX170" s="47">
        <f t="shared" si="344"/>
        <v>204040</v>
      </c>
      <c r="AY170" s="48">
        <f t="shared" si="344"/>
        <v>142679.04499999998</v>
      </c>
      <c r="AZ170" s="47">
        <f t="shared" si="344"/>
        <v>227576</v>
      </c>
      <c r="BA170" s="48">
        <f t="shared" si="344"/>
        <v>157046.99</v>
      </c>
      <c r="BB170" s="47">
        <f t="shared" si="344"/>
        <v>263649</v>
      </c>
      <c r="BC170" s="48">
        <f t="shared" si="344"/>
        <v>182272.98</v>
      </c>
      <c r="BD170" s="47">
        <f t="shared" si="344"/>
        <v>288112</v>
      </c>
      <c r="BE170" s="48">
        <f t="shared" si="344"/>
        <v>201178.63</v>
      </c>
      <c r="BF170" s="47">
        <f t="shared" si="344"/>
        <v>301532.08333333326</v>
      </c>
      <c r="BG170" s="48">
        <f t="shared" si="344"/>
        <v>205937.00541666668</v>
      </c>
      <c r="BH170" s="47">
        <f t="shared" si="344"/>
        <v>285916</v>
      </c>
      <c r="BI170" s="48">
        <f t="shared" si="344"/>
        <v>201162.56</v>
      </c>
      <c r="BJ170" s="47">
        <f t="shared" si="344"/>
        <v>250960</v>
      </c>
      <c r="BK170" s="48">
        <f t="shared" si="344"/>
        <v>175654.36</v>
      </c>
      <c r="BL170" s="47">
        <f t="shared" si="344"/>
        <v>307158</v>
      </c>
      <c r="BM170" s="48">
        <f t="shared" si="344"/>
        <v>216652.04</v>
      </c>
      <c r="BN170" s="47">
        <f t="shared" si="344"/>
        <v>313614</v>
      </c>
      <c r="BO170" s="48">
        <f t="shared" si="344"/>
        <v>220387.83999999997</v>
      </c>
      <c r="BP170" s="47">
        <f t="shared" si="344"/>
        <v>320083</v>
      </c>
      <c r="BQ170" s="48">
        <f t="shared" si="344"/>
        <v>221383.83000000002</v>
      </c>
      <c r="BR170" s="47">
        <f t="shared" si="344"/>
        <v>319708</v>
      </c>
      <c r="BS170" s="48">
        <f t="shared" si="344"/>
        <v>227199.92</v>
      </c>
      <c r="BT170" s="47">
        <f t="shared" ref="BT170:CY170" si="345">+BT148+BT169</f>
        <v>309326</v>
      </c>
      <c r="BU170" s="48">
        <f t="shared" si="345"/>
        <v>219882.6</v>
      </c>
      <c r="BV170" s="47">
        <f t="shared" si="345"/>
        <v>359022</v>
      </c>
      <c r="BW170" s="48">
        <f t="shared" si="345"/>
        <v>258006.8</v>
      </c>
      <c r="BX170" s="47">
        <f t="shared" si="345"/>
        <v>289865</v>
      </c>
      <c r="BY170" s="48">
        <f t="shared" si="345"/>
        <v>211944.46000000002</v>
      </c>
      <c r="BZ170" s="47">
        <f t="shared" si="345"/>
        <v>334892</v>
      </c>
      <c r="CA170" s="48">
        <f t="shared" si="345"/>
        <v>242570.28000000003</v>
      </c>
      <c r="CB170" s="47">
        <f t="shared" si="345"/>
        <v>252012</v>
      </c>
      <c r="CC170" s="48">
        <f t="shared" si="345"/>
        <v>181756.59</v>
      </c>
      <c r="CD170" s="47">
        <f t="shared" si="345"/>
        <v>298933</v>
      </c>
      <c r="CE170" s="48">
        <f t="shared" si="345"/>
        <v>220605.06000000003</v>
      </c>
      <c r="CF170" s="49">
        <f t="shared" si="345"/>
        <v>303457.41666666663</v>
      </c>
      <c r="CG170" s="41">
        <f t="shared" si="345"/>
        <v>216433.86166666669</v>
      </c>
      <c r="CH170" s="50">
        <f t="shared" si="345"/>
        <v>292511</v>
      </c>
      <c r="CI170" s="48">
        <f t="shared" si="345"/>
        <v>217320.86000000002</v>
      </c>
      <c r="CJ170" s="50">
        <f t="shared" si="345"/>
        <v>293882</v>
      </c>
      <c r="CK170" s="48">
        <f t="shared" si="345"/>
        <v>216037.63999999998</v>
      </c>
      <c r="CL170" s="50">
        <f t="shared" si="345"/>
        <v>365172</v>
      </c>
      <c r="CM170" s="48">
        <f t="shared" si="345"/>
        <v>263681.44</v>
      </c>
      <c r="CN170" s="47">
        <f t="shared" si="345"/>
        <v>250314</v>
      </c>
      <c r="CO170" s="48">
        <f t="shared" si="345"/>
        <v>175404.48000000004</v>
      </c>
      <c r="CP170" s="47">
        <f t="shared" si="345"/>
        <v>366448</v>
      </c>
      <c r="CQ170" s="48">
        <f t="shared" si="345"/>
        <v>272343.36000000004</v>
      </c>
      <c r="CR170" s="47">
        <f t="shared" si="345"/>
        <v>342840</v>
      </c>
      <c r="CS170" s="48">
        <f t="shared" si="345"/>
        <v>256223.59999999998</v>
      </c>
      <c r="CT170" s="47">
        <f t="shared" si="345"/>
        <v>319464</v>
      </c>
      <c r="CU170" s="48">
        <f t="shared" si="345"/>
        <v>237202.72</v>
      </c>
      <c r="CV170" s="47">
        <f t="shared" si="345"/>
        <v>306241</v>
      </c>
      <c r="CW170" s="48">
        <f t="shared" si="345"/>
        <v>234531.51000000004</v>
      </c>
      <c r="CX170" s="47">
        <f t="shared" si="345"/>
        <v>310563</v>
      </c>
      <c r="CY170" s="48">
        <f t="shared" si="345"/>
        <v>237498.03000000003</v>
      </c>
      <c r="CZ170" s="47">
        <f t="shared" ref="CZ170:DY170" si="346">+CZ148+CZ169</f>
        <v>302483</v>
      </c>
      <c r="DA170" s="48">
        <f t="shared" si="346"/>
        <v>227118.46000000002</v>
      </c>
      <c r="DB170" s="47">
        <f t="shared" si="346"/>
        <v>282753</v>
      </c>
      <c r="DC170" s="48">
        <f t="shared" si="346"/>
        <v>216047.52000000002</v>
      </c>
      <c r="DD170" s="47">
        <f>+DD148+DD169</f>
        <v>308233</v>
      </c>
      <c r="DE170" s="48">
        <f t="shared" si="346"/>
        <v>239161.66999999995</v>
      </c>
      <c r="DF170" s="47">
        <f t="shared" si="346"/>
        <v>3740904</v>
      </c>
      <c r="DG170" s="48">
        <f t="shared" si="346"/>
        <v>2792571.29</v>
      </c>
      <c r="DH170" s="50">
        <f t="shared" si="346"/>
        <v>299253</v>
      </c>
      <c r="DI170" s="48">
        <f t="shared" si="346"/>
        <v>233563.75</v>
      </c>
      <c r="DJ170" s="50">
        <f t="shared" si="346"/>
        <v>285959</v>
      </c>
      <c r="DK170" s="48">
        <f t="shared" si="346"/>
        <v>221720.60999999996</v>
      </c>
      <c r="DL170" s="50">
        <f t="shared" si="346"/>
        <v>197845</v>
      </c>
      <c r="DM170" s="48">
        <f t="shared" si="346"/>
        <v>157569.16999999995</v>
      </c>
      <c r="DN170" s="47">
        <f t="shared" si="346"/>
        <v>0</v>
      </c>
      <c r="DO170" s="48">
        <f t="shared" si="346"/>
        <v>0</v>
      </c>
      <c r="DP170" s="47">
        <f t="shared" si="346"/>
        <v>0</v>
      </c>
      <c r="DQ170" s="48">
        <f t="shared" si="346"/>
        <v>0</v>
      </c>
      <c r="DR170" s="47">
        <f t="shared" si="346"/>
        <v>0</v>
      </c>
      <c r="DS170" s="48">
        <f t="shared" si="346"/>
        <v>0</v>
      </c>
      <c r="DT170" s="47">
        <f t="shared" si="346"/>
        <v>0</v>
      </c>
      <c r="DU170" s="48">
        <f t="shared" si="346"/>
        <v>0</v>
      </c>
      <c r="DV170" s="47">
        <f t="shared" si="346"/>
        <v>0</v>
      </c>
      <c r="DW170" s="48">
        <f t="shared" si="346"/>
        <v>0</v>
      </c>
      <c r="DX170" s="47">
        <f t="shared" si="346"/>
        <v>0</v>
      </c>
      <c r="DY170" s="48">
        <f t="shared" si="346"/>
        <v>0</v>
      </c>
      <c r="DZ170" s="47">
        <f t="shared" ref="DZ170:EC170" si="347">+DZ148+DZ169</f>
        <v>0</v>
      </c>
      <c r="EA170" s="48">
        <f t="shared" si="347"/>
        <v>0</v>
      </c>
      <c r="EB170" s="47">
        <f t="shared" si="347"/>
        <v>0</v>
      </c>
      <c r="EC170" s="48">
        <f t="shared" si="347"/>
        <v>0</v>
      </c>
      <c r="ED170" s="47">
        <f>+ED148+ED169</f>
        <v>0</v>
      </c>
      <c r="EE170" s="48">
        <f t="shared" ref="EE170:EG170" si="348">+EE148+EE169</f>
        <v>0</v>
      </c>
      <c r="EF170" s="47">
        <f t="shared" si="348"/>
        <v>783057</v>
      </c>
      <c r="EG170" s="48">
        <f t="shared" si="348"/>
        <v>612853.53</v>
      </c>
    </row>
    <row r="171" spans="1:137" ht="21.75" customHeight="1" x14ac:dyDescent="0.5">
      <c r="AF171" s="51">
        <f>+AF170*12</f>
        <v>3690187.0000000009</v>
      </c>
      <c r="BF171" s="51">
        <f>+BF170*12</f>
        <v>3618384.9999999991</v>
      </c>
      <c r="CF171" s="51">
        <f>+CF170*12</f>
        <v>3641488.9999999995</v>
      </c>
    </row>
    <row r="173" spans="1:137" ht="18" x14ac:dyDescent="0.5">
      <c r="CJ173" s="53"/>
      <c r="CK173" s="54"/>
      <c r="CL173" s="53"/>
      <c r="CM173" s="54"/>
      <c r="CN173" s="53"/>
      <c r="CO173" s="54"/>
      <c r="CP173" s="53"/>
      <c r="CQ173" s="54"/>
      <c r="CT173" s="55"/>
      <c r="CU173" s="56"/>
      <c r="CV173" s="53"/>
      <c r="CW173" s="54"/>
      <c r="DJ173" s="53"/>
      <c r="DK173" s="54"/>
      <c r="DL173" s="53"/>
      <c r="DM173" s="54"/>
      <c r="DN173" s="53"/>
      <c r="DO173" s="54"/>
      <c r="DP173" s="53"/>
      <c r="DQ173" s="54"/>
      <c r="DT173" s="55"/>
      <c r="DU173" s="56"/>
      <c r="DV173" s="53"/>
      <c r="DW173" s="54"/>
    </row>
    <row r="174" spans="1:137" ht="18" x14ac:dyDescent="0.5">
      <c r="CZ174" s="53"/>
      <c r="DA174" s="54"/>
      <c r="DZ174" s="53"/>
      <c r="EA174" s="54"/>
    </row>
    <row r="175" spans="1:137" ht="21.75" customHeight="1" x14ac:dyDescent="0.5">
      <c r="H175" s="51">
        <v>293930</v>
      </c>
    </row>
  </sheetData>
  <mergeCells count="75">
    <mergeCell ref="T2:U2"/>
    <mergeCell ref="A1:G1"/>
    <mergeCell ref="CH1:DG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L2:M2"/>
    <mergeCell ref="N2:O2"/>
    <mergeCell ref="P2:Q2"/>
    <mergeCell ref="R2:S2"/>
    <mergeCell ref="AR2:AS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BP2:BQ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CN2:CO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DB2:DC2"/>
    <mergeCell ref="DD2:DE2"/>
    <mergeCell ref="DF2:DG2"/>
    <mergeCell ref="CP2:CQ2"/>
    <mergeCell ref="CR2:CS2"/>
    <mergeCell ref="CT2:CU2"/>
    <mergeCell ref="CV2:CW2"/>
    <mergeCell ref="CX2:CY2"/>
    <mergeCell ref="CZ2:DA2"/>
    <mergeCell ref="DH1:EG1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</mergeCells>
  <pageMargins left="0.33" right="0.7" top="0.2" bottom="0.75" header="0.2" footer="0.3"/>
  <pageSetup paperSize="5" scale="8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9-MLM (SKU)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2025-04-08T09:22:19Z</dcterms:created>
  <dcterms:modified xsi:type="dcterms:W3CDTF">2026-03-16T05:20:10Z</dcterms:modified>
</cp:coreProperties>
</file>