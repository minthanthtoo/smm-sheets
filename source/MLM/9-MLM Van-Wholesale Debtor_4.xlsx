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15\Desktop\20.03.2026 Debtors\"/>
    </mc:Choice>
  </mc:AlternateContent>
  <xr:revisionPtr revIDLastSave="0" documentId="13_ncr:1_{9FE48011-C064-4714-9BB9-DCC2C6E3744D}" xr6:coauthVersionLast="47" xr6:coauthVersionMax="47" xr10:uidLastSave="{00000000-0000-0000-0000-000000000000}"/>
  <bookViews>
    <workbookView xWindow="10212" yWindow="0" windowWidth="12972" windowHeight="12168" xr2:uid="{00000000-000D-0000-FFFF-FFFF00000000}"/>
  </bookViews>
  <sheets>
    <sheet name="Van+Wholesale Debtors" sheetId="1" r:id="rId1"/>
  </sheets>
  <externalReferences>
    <externalReference r:id="rId2"/>
    <externalReference r:id="rId3"/>
  </externalReferences>
  <definedNames>
    <definedName name="_xlnm._FilterDatabase" localSheetId="0" hidden="1">'Van+Wholesale Debtors'!$A$2:$Q$57</definedName>
    <definedName name="aa">#REF!</definedName>
    <definedName name="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ft">#REF!</definedName>
    <definedName name="cr">#REF!</definedName>
    <definedName name="crs">#REF!</definedName>
    <definedName name="cwer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tyu">#REF!</definedName>
    <definedName name="Full_Print">#REF!</definedName>
    <definedName name="fusales4">#REF!</definedName>
    <definedName name="gg">#REF!</definedName>
    <definedName name="gggggg">#REF!</definedName>
    <definedName name="Header_Row">ROW(#REF!)</definedName>
    <definedName name="hjj">#REF!</definedName>
    <definedName name="hj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 localSheetId="0">IF([0]!Values_Entered,Header_Row+[0]!Number_of_Payments,Header_Row)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lsoq1">#REF!</definedName>
    <definedName name="mms">#REF!</definedName>
    <definedName name="neew">#REF!</definedName>
    <definedName name="New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rinc">#REF!</definedName>
    <definedName name="princeee">#REF!</definedName>
    <definedName name="_xlnm.Print_Area" localSheetId="0">'Van+Wholesale Debtors'!$A$1:$R$58</definedName>
    <definedName name="Print_Area_Reset" localSheetId="0">OFFSET(Full_Print,0,0,'Van+Wholesale Debtors'!Last_Row)</definedName>
    <definedName name="Print_Area_Reset">OFFSET(Full_Print,0,0,Last_Row)</definedName>
    <definedName name="_xlnm.Print_Titles" localSheetId="0">'Van+Wholesale Debtors'!$1:$2</definedName>
    <definedName name="Rate">#REF!</definedName>
    <definedName name="rty">#REF!</definedName>
    <definedName name="s">#REF!</definedName>
    <definedName name="Salees">#REF!</definedName>
    <definedName name="sale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khfkgf">#REF!</definedName>
    <definedName name="wert">#REF!</definedName>
    <definedName name="YMO4">#REF!</definedName>
    <definedName name="YMO5">#REF!</definedName>
    <definedName name="Ymow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I30" i="1" s="1"/>
  <c r="Q30" i="1"/>
  <c r="H29" i="1"/>
  <c r="I29" i="1" s="1"/>
  <c r="Q29" i="1"/>
  <c r="H10" i="1"/>
  <c r="I10" i="1" s="1"/>
  <c r="Q10" i="1"/>
  <c r="H27" i="1"/>
  <c r="I27" i="1" s="1"/>
  <c r="H28" i="1"/>
  <c r="I28" i="1" s="1"/>
  <c r="Q28" i="1"/>
  <c r="Q27" i="1"/>
  <c r="H25" i="1"/>
  <c r="I25" i="1" s="1"/>
  <c r="H26" i="1"/>
  <c r="I26" i="1" s="1"/>
  <c r="Q26" i="1"/>
  <c r="Q25" i="1"/>
  <c r="H22" i="1"/>
  <c r="I22" i="1" s="1"/>
  <c r="H23" i="1"/>
  <c r="I23" i="1" s="1"/>
  <c r="H24" i="1"/>
  <c r="I24" i="1" s="1"/>
  <c r="Q24" i="1"/>
  <c r="Q23" i="1"/>
  <c r="Q22" i="1"/>
  <c r="H11" i="1"/>
  <c r="I11" i="1" s="1"/>
  <c r="Q11" i="1"/>
  <c r="H20" i="1"/>
  <c r="I20" i="1" s="1"/>
  <c r="H21" i="1"/>
  <c r="I21" i="1" s="1"/>
  <c r="Q21" i="1"/>
  <c r="Q20" i="1"/>
  <c r="H9" i="1"/>
  <c r="I9" i="1" s="1"/>
  <c r="Q9" i="1"/>
  <c r="H17" i="1"/>
  <c r="I17" i="1" s="1"/>
  <c r="H18" i="1"/>
  <c r="I18" i="1" s="1"/>
  <c r="H19" i="1"/>
  <c r="I19" i="1" s="1"/>
  <c r="Q19" i="1"/>
  <c r="Q18" i="1"/>
  <c r="Q17" i="1"/>
  <c r="H16" i="1"/>
  <c r="I16" i="1" s="1"/>
  <c r="Q16" i="1"/>
  <c r="K35" i="1"/>
  <c r="O35" i="1"/>
  <c r="H12" i="1"/>
  <c r="I12" i="1" s="1"/>
  <c r="H13" i="1"/>
  <c r="I13" i="1" s="1"/>
  <c r="Q13" i="1"/>
  <c r="Q12" i="1"/>
  <c r="H14" i="1"/>
  <c r="I14" i="1" s="1"/>
  <c r="H15" i="1"/>
  <c r="I15" i="1" s="1"/>
  <c r="Q15" i="1"/>
  <c r="Q14" i="1"/>
  <c r="H8" i="1"/>
  <c r="I8" i="1" s="1"/>
  <c r="Q8" i="1"/>
  <c r="Q32" i="1"/>
  <c r="H32" i="1"/>
  <c r="I32" i="1" s="1"/>
  <c r="H7" i="1"/>
  <c r="I7" i="1" s="1"/>
  <c r="Q7" i="1"/>
  <c r="H6" i="1"/>
  <c r="I6" i="1" s="1"/>
  <c r="Q6" i="1"/>
  <c r="Q31" i="1"/>
  <c r="H5" i="1"/>
  <c r="I5" i="1" s="1"/>
  <c r="Q5" i="1"/>
  <c r="H39" i="1"/>
  <c r="I39" i="1" s="1"/>
  <c r="Q39" i="1"/>
  <c r="H4" i="1"/>
  <c r="I4" i="1" s="1"/>
  <c r="Q4" i="1"/>
  <c r="H44" i="1"/>
  <c r="I44" i="1" s="1"/>
  <c r="Q44" i="1"/>
  <c r="H48" i="1"/>
  <c r="I48" i="1" s="1"/>
  <c r="Q48" i="1"/>
  <c r="H33" i="1"/>
  <c r="I33" i="1" s="1"/>
  <c r="Q33" i="1"/>
  <c r="K41" i="1"/>
  <c r="H42" i="1"/>
  <c r="I42" i="1" s="1"/>
  <c r="Q42" i="1"/>
  <c r="H47" i="1"/>
  <c r="I47" i="1" s="1"/>
  <c r="Q47" i="1"/>
  <c r="L49" i="1"/>
  <c r="K49" i="1"/>
  <c r="Q46" i="1"/>
  <c r="H46" i="1"/>
  <c r="I46" i="1" s="1"/>
  <c r="Q45" i="1"/>
  <c r="H45" i="1"/>
  <c r="I45" i="1" s="1"/>
  <c r="Q43" i="1"/>
  <c r="H43" i="1"/>
  <c r="I43" i="1" s="1"/>
  <c r="O41" i="1"/>
  <c r="O49" i="1"/>
  <c r="H37" i="1"/>
  <c r="I37" i="1" s="1"/>
  <c r="Q37" i="1"/>
  <c r="H36" i="1"/>
  <c r="I36" i="1" s="1"/>
  <c r="Q36" i="1"/>
  <c r="Q38" i="1"/>
  <c r="H34" i="1"/>
  <c r="I34" i="1" s="1"/>
  <c r="Q34" i="1"/>
  <c r="M49" i="1"/>
  <c r="N49" i="1"/>
  <c r="P49" i="1"/>
  <c r="P35" i="1"/>
  <c r="L35" i="1"/>
  <c r="N35" i="1"/>
  <c r="M35" i="1"/>
  <c r="H38" i="1"/>
  <c r="I38" i="1" s="1"/>
  <c r="P41" i="1"/>
  <c r="N41" i="1"/>
  <c r="M41" i="1"/>
  <c r="L41" i="1"/>
  <c r="H3" i="1"/>
  <c r="I3" i="1" s="1"/>
  <c r="H31" i="1"/>
  <c r="I31" i="1" s="1"/>
  <c r="H40" i="1"/>
  <c r="I40" i="1" s="1"/>
  <c r="Q40" i="1"/>
  <c r="Q35" i="1" l="1"/>
  <c r="Q41" i="1"/>
  <c r="K51" i="1"/>
  <c r="Q49" i="1"/>
  <c r="O51" i="1"/>
  <c r="N51" i="1"/>
  <c r="M51" i="1"/>
  <c r="P51" i="1"/>
  <c r="L51" i="1"/>
  <c r="Q51" i="1" l="1"/>
  <c r="F58" i="1"/>
  <c r="F59" i="1"/>
  <c r="F60" i="1"/>
  <c r="F62" i="1"/>
  <c r="F61" i="1"/>
  <c r="F63" i="1" l="1"/>
  <c r="F64" i="1" s="1"/>
</calcChain>
</file>

<file path=xl/sharedStrings.xml><?xml version="1.0" encoding="utf-8"?>
<sst xmlns="http://schemas.openxmlformats.org/spreadsheetml/2006/main" count="255" uniqueCount="145">
  <si>
    <t>No</t>
  </si>
  <si>
    <t>Customer Names</t>
  </si>
  <si>
    <t>Township (Area)</t>
  </si>
  <si>
    <t>Contact.No</t>
  </si>
  <si>
    <t>Responsible by</t>
  </si>
  <si>
    <t>Vou: Date</t>
  </si>
  <si>
    <t>Today</t>
  </si>
  <si>
    <t>Period</t>
  </si>
  <si>
    <t>Vr.No</t>
  </si>
  <si>
    <t>BE</t>
  </si>
  <si>
    <t>Whisky</t>
  </si>
  <si>
    <t>Formula</t>
  </si>
  <si>
    <t>ခေါင်ရည်</t>
  </si>
  <si>
    <t>OP</t>
  </si>
  <si>
    <t>Care+</t>
  </si>
  <si>
    <t>Total Amount</t>
  </si>
  <si>
    <t>မှတ်ချက်</t>
  </si>
  <si>
    <t>ဒေါ်ထွန်းမေ</t>
  </si>
  <si>
    <t>Daw Htun May</t>
  </si>
  <si>
    <t>မော်လမြိုင်</t>
  </si>
  <si>
    <t>09-964700502</t>
  </si>
  <si>
    <t>ဒေါ်နွယ်နွယ်ရီ(ရွှေတောင်ကြား)</t>
  </si>
  <si>
    <t>Daw Nwe Nwe Yi</t>
  </si>
  <si>
    <t>ရေးမြို့</t>
  </si>
  <si>
    <t>09-5113142/09-256937311</t>
  </si>
  <si>
    <t>ကျော်စတား</t>
  </si>
  <si>
    <t>Kyaw Star</t>
  </si>
  <si>
    <t>09-457621398</t>
  </si>
  <si>
    <t>ကိုထိုက်စိုး</t>
  </si>
  <si>
    <t>Ko Htike Soe</t>
  </si>
  <si>
    <t>အစင်</t>
  </si>
  <si>
    <t>09-425355361</t>
  </si>
  <si>
    <t>ကိုမောင်+မသူဇာ</t>
  </si>
  <si>
    <t>Ko Mg+Ma Thu Zar</t>
  </si>
  <si>
    <t>09-790249970</t>
  </si>
  <si>
    <t>ကိုမျိုးအောင်</t>
  </si>
  <si>
    <t>Ko Myo Aung</t>
  </si>
  <si>
    <t>09-449009929</t>
  </si>
  <si>
    <t>WholeSales Debtors Total</t>
  </si>
  <si>
    <t>ဒေါ်စိန်ယုံ</t>
  </si>
  <si>
    <t>Daw Sein Yone</t>
  </si>
  <si>
    <t>မုဒုံမြို့</t>
  </si>
  <si>
    <t>09-790151429</t>
  </si>
  <si>
    <t>ဇီးဖြူသောင်</t>
  </si>
  <si>
    <t>Thailand</t>
  </si>
  <si>
    <t>09-798051154</t>
  </si>
  <si>
    <t>ပေါင်မြို့</t>
  </si>
  <si>
    <t>မမွှေး</t>
  </si>
  <si>
    <t>Ma Hmwe</t>
  </si>
  <si>
    <t>ကမမောင်း</t>
  </si>
  <si>
    <t>09-766714772</t>
  </si>
  <si>
    <t>သထုံမြို့</t>
  </si>
  <si>
    <t>လပြည့်</t>
  </si>
  <si>
    <t>La Pyae</t>
  </si>
  <si>
    <t>09-784110786</t>
  </si>
  <si>
    <t>တော်၀င်</t>
  </si>
  <si>
    <t>Taw Win</t>
  </si>
  <si>
    <t>ဘီးလင်းမြို့</t>
  </si>
  <si>
    <t>09-785962626</t>
  </si>
  <si>
    <t>ကိုစိုးနိုင်</t>
  </si>
  <si>
    <t>Ko Soe Naing</t>
  </si>
  <si>
    <t>09-769135301</t>
  </si>
  <si>
    <t>Semi-WholeSales Debtors Total</t>
  </si>
  <si>
    <t>ဒေါ်မိုးမိုးမြင့်</t>
  </si>
  <si>
    <t>Daw Moe Moe Myint</t>
  </si>
  <si>
    <t>09-425261762</t>
  </si>
  <si>
    <t>MKT Total</t>
  </si>
  <si>
    <t>WholeSales+MKT Total</t>
  </si>
  <si>
    <t xml:space="preserve">                                    </t>
  </si>
  <si>
    <t>လအတွင်း</t>
  </si>
  <si>
    <t>တစ်လကြာ</t>
  </si>
  <si>
    <t>နှစ်လကြာ</t>
  </si>
  <si>
    <t>သုံးလမှ တနှစ်အတွင်းအကြွေး</t>
  </si>
  <si>
    <t>တနှစ်ကျော် နှစ်နှစ်အတွင်းအကြွေး</t>
  </si>
  <si>
    <t>2-နှစ်ကျော် 3-နှစ်အတွင်းအကြွေး</t>
  </si>
  <si>
    <t xml:space="preserve">       </t>
  </si>
  <si>
    <t>3-နှစ်ကျော် 4-နှစ်အတွင်းအကြွေး</t>
  </si>
  <si>
    <t>4-နှစ်ကျော် 5-နှစ်အတွင်းအကြွေး</t>
  </si>
  <si>
    <t>5-နှစ်ကျော် 6-နှစ်အတွင်းအကြွေး</t>
  </si>
  <si>
    <t xml:space="preserve"> </t>
  </si>
  <si>
    <t>ကြို-BE/OP</t>
  </si>
  <si>
    <t>Vr,6487</t>
  </si>
  <si>
    <t>မချော</t>
  </si>
  <si>
    <t>Ma Chaw</t>
  </si>
  <si>
    <t>09-751915370</t>
  </si>
  <si>
    <t>Vr,6523</t>
  </si>
  <si>
    <t>Vr,6535</t>
  </si>
  <si>
    <t>ကိုထွန်းနိုင်</t>
  </si>
  <si>
    <t>Ko Tun Naing</t>
  </si>
  <si>
    <t>09-660609970</t>
  </si>
  <si>
    <t>ရွှေပင်လယ်-မထိုက်</t>
  </si>
  <si>
    <t>Ma Wint War Htike</t>
  </si>
  <si>
    <t>09-698560605</t>
  </si>
  <si>
    <t>Vr,05569</t>
  </si>
  <si>
    <t>ကိုမောင်လေး</t>
  </si>
  <si>
    <t>ko Maung Lay</t>
  </si>
  <si>
    <t>သံဖြူဇရပ်</t>
  </si>
  <si>
    <t>09-425282396</t>
  </si>
  <si>
    <t>Vr,6589</t>
  </si>
  <si>
    <t>U Soe Win</t>
  </si>
  <si>
    <t>09-254802660</t>
  </si>
  <si>
    <t>Vr,05577</t>
  </si>
  <si>
    <t>ဦးစိုး၀င်း</t>
  </si>
  <si>
    <t>Vr,05920</t>
  </si>
  <si>
    <t>ဦးပြည်အေး</t>
  </si>
  <si>
    <t>U Pyae Aye</t>
  </si>
  <si>
    <t>09-425282641</t>
  </si>
  <si>
    <t>Vr,05585</t>
  </si>
  <si>
    <t>Vr,05925</t>
  </si>
  <si>
    <t>Vr,05947</t>
  </si>
  <si>
    <t>Vr,05968</t>
  </si>
  <si>
    <t>Vr,05977</t>
  </si>
  <si>
    <t>Vr,05991</t>
  </si>
  <si>
    <t>Vr,06062</t>
  </si>
  <si>
    <t>Vr,06094</t>
  </si>
  <si>
    <t>Vr,05996</t>
  </si>
  <si>
    <t>Vr,05826</t>
  </si>
  <si>
    <t>Vr,05829</t>
  </si>
  <si>
    <t>Vr,06097</t>
  </si>
  <si>
    <t>Vr,06154</t>
  </si>
  <si>
    <t>Vr,06157</t>
  </si>
  <si>
    <t>Vr,06158</t>
  </si>
  <si>
    <t>Vr,06159</t>
  </si>
  <si>
    <t>Vr,06175</t>
  </si>
  <si>
    <t>Vr,06176</t>
  </si>
  <si>
    <t>Vr,06177</t>
  </si>
  <si>
    <t>SMM SHWE MYANMAR BEVERAGES CO.,LTD.(မော်လမြိုင်)၏(20.3.2026)နေ့ ထိကုန်ကြွေးစာရင်း</t>
  </si>
  <si>
    <t>Vr,06187</t>
  </si>
  <si>
    <t>Vr,06190</t>
  </si>
  <si>
    <t>Vr,06253</t>
  </si>
  <si>
    <t>Vr,06200</t>
  </si>
  <si>
    <t>Vr,06255</t>
  </si>
  <si>
    <t>Vr,06263</t>
  </si>
  <si>
    <t>Vr,06268</t>
  </si>
  <si>
    <t>Vr,06228</t>
  </si>
  <si>
    <t>Vr,05839</t>
  </si>
  <si>
    <t>Vr,06271</t>
  </si>
  <si>
    <t>Vr,06276</t>
  </si>
  <si>
    <t>Vr,06282</t>
  </si>
  <si>
    <t>Vr,06285</t>
  </si>
  <si>
    <t>Vr,06289</t>
  </si>
  <si>
    <t>Vr,06288</t>
  </si>
  <si>
    <t>Vr,06292</t>
  </si>
  <si>
    <t>Vr,05841</t>
  </si>
  <si>
    <t>Vr,06300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</si>
</sst>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14">
    <font>
      <sz val="11"/>
      <color theme="1"/>
      <name val="Aptos Narrow"/>
      <family val="2"/>
      <scheme val="minor"/>
    </font>
    <font>
      <sz val="11"/>
      <name val="Pyidaungsu"/>
    </font>
    <font>
      <sz val="10"/>
      <name val="Pyidaungsu"/>
    </font>
    <font>
      <sz val="12"/>
      <name val="Pyidaungsu"/>
    </font>
    <font>
      <sz val="11"/>
      <name val="Zawgyi-One"/>
    </font>
    <font>
      <sz val="10"/>
      <color theme="1"/>
      <name val="Pyidaungsu"/>
    </font>
    <font>
      <sz val="11"/>
      <color rgb="FFFF0000"/>
      <name val="Pyidaungsu"/>
    </font>
    <font>
      <sz val="11"/>
      <color theme="1"/>
      <name val="Pyidaungsu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Pyidaungsu"/>
      <family val="2"/>
    </font>
    <font>
      <sz val="12"/>
      <name val="Pyidaungsu"/>
      <family val="2"/>
    </font>
    <font>
      <sz val="11"/>
      <color rgb="FFFF0000"/>
      <name val="Pyidaungsu"/>
      <family val="2"/>
    </font>
    <font>
      <b/>
      <sz val="10"/>
      <name val="Pyidaungsu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/>
    <xf numFmtId="41" fontId="2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1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1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1" fontId="2" fillId="0" borderId="0" xfId="0" applyNumberFormat="1" applyFont="1" applyAlignment="1">
      <alignment horizontal="center"/>
    </xf>
    <xf numFmtId="41" fontId="5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41" fontId="6" fillId="3" borderId="1" xfId="0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1" applyNumberFormat="1" applyFont="1" applyFill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41" fontId="2" fillId="6" borderId="1" xfId="0" applyNumberFormat="1" applyFont="1" applyFill="1" applyBorder="1" applyAlignment="1">
      <alignment vertical="center"/>
    </xf>
    <xf numFmtId="41" fontId="2" fillId="6" borderId="1" xfId="0" applyNumberFormat="1" applyFont="1" applyFill="1" applyBorder="1" applyAlignment="1">
      <alignment horizontal="center" vertical="center"/>
    </xf>
    <xf numFmtId="41" fontId="2" fillId="5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14" fontId="2" fillId="3" borderId="6" xfId="0" applyNumberFormat="1" applyFont="1" applyFill="1" applyBorder="1" applyAlignment="1">
      <alignment horizontal="center" vertical="center"/>
    </xf>
    <xf numFmtId="41" fontId="6" fillId="3" borderId="5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1" fontId="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41" fontId="1" fillId="3" borderId="1" xfId="0" applyNumberFormat="1" applyFont="1" applyFill="1" applyBorder="1" applyAlignment="1">
      <alignment horizontal="center" vertical="center"/>
    </xf>
    <xf numFmtId="14" fontId="2" fillId="0" borderId="0" xfId="1" applyNumberFormat="1" applyFont="1" applyFill="1"/>
    <xf numFmtId="164" fontId="2" fillId="0" borderId="0" xfId="1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1" fillId="4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164" fontId="1" fillId="7" borderId="0" xfId="0" applyNumberFormat="1" applyFont="1" applyFill="1" applyAlignment="1">
      <alignment vertical="center"/>
    </xf>
    <xf numFmtId="0" fontId="1" fillId="8" borderId="0" xfId="0" applyFont="1" applyFill="1" applyAlignment="1">
      <alignment horizontal="left" vertical="center"/>
    </xf>
    <xf numFmtId="164" fontId="1" fillId="8" borderId="0" xfId="0" applyNumberFormat="1" applyFont="1" applyFill="1" applyAlignment="1">
      <alignment vertical="center"/>
    </xf>
    <xf numFmtId="0" fontId="1" fillId="9" borderId="0" xfId="0" applyFont="1" applyFill="1" applyAlignment="1">
      <alignment horizontal="left" vertical="center"/>
    </xf>
    <xf numFmtId="164" fontId="1" fillId="9" borderId="0" xfId="0" applyNumberFormat="1" applyFont="1" applyFill="1" applyAlignment="1">
      <alignment vertical="center"/>
    </xf>
    <xf numFmtId="164" fontId="1" fillId="0" borderId="3" xfId="1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10" fillId="0" borderId="1" xfId="0" applyFont="1" applyBorder="1" applyAlignment="1">
      <alignment horizontal="left" vertical="center"/>
    </xf>
    <xf numFmtId="41" fontId="10" fillId="0" borderId="1" xfId="0" applyNumberFormat="1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vertical="center"/>
    </xf>
    <xf numFmtId="164" fontId="10" fillId="0" borderId="1" xfId="1" applyNumberFormat="1" applyFont="1" applyFill="1" applyBorder="1" applyAlignment="1">
      <alignment horizontal="center" vertical="center"/>
    </xf>
    <xf numFmtId="41" fontId="12" fillId="3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165" fontId="6" fillId="3" borderId="3" xfId="0" applyNumberFormat="1" applyFont="1" applyFill="1" applyBorder="1" applyAlignment="1">
      <alignment horizontal="left" vertical="center"/>
    </xf>
    <xf numFmtId="165" fontId="6" fillId="3" borderId="4" xfId="0" applyNumberFormat="1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dmin/Downloads/SLP%20Daily_1.xlsx" TargetMode="External"/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381"/>
  <sheetViews>
    <sheetView tabSelected="1" zoomScale="90" zoomScaleNormal="90" zoomScaleSheetLayoutView="70" workbookViewId="0">
      <pane xSplit="2" ySplit="2" topLeftCell="I38" activePane="bottomRight" state="frozen"/>
      <selection pane="topRight" activeCell="C1" sqref="C1"/>
      <selection pane="bottomLeft" activeCell="A3" sqref="A3"/>
      <selection pane="bottomRight" activeCell="Q3" sqref="Q3:Q48"/>
    </sheetView>
  </sheetViews>
  <sheetFormatPr defaultColWidth="16.88671875" defaultRowHeight="15.9" customHeight="1"/>
  <cols>
    <col min="1" max="1" width="8.109375" style="4" customWidth="1"/>
    <col min="2" max="2" width="25.33203125" style="5" customWidth="1"/>
    <col min="3" max="3" width="20.6640625" style="5" customWidth="1"/>
    <col min="4" max="4" width="24.44140625" style="5" customWidth="1"/>
    <col min="5" max="5" width="21.6640625" style="6" customWidth="1"/>
    <col min="6" max="6" width="19.44140625" style="7" customWidth="1"/>
    <col min="7" max="7" width="14.88671875" style="7" customWidth="1"/>
    <col min="8" max="8" width="12.109375" style="7" customWidth="1"/>
    <col min="9" max="9" width="11.109375" style="8" bestFit="1" customWidth="1"/>
    <col min="10" max="10" width="12.44140625" style="9" customWidth="1"/>
    <col min="11" max="11" width="15.109375" style="9" customWidth="1"/>
    <col min="12" max="12" width="14.44140625" style="9" customWidth="1"/>
    <col min="13" max="13" width="14.6640625" style="9" hidden="1" customWidth="1"/>
    <col min="14" max="14" width="14.33203125" style="9" hidden="1" customWidth="1"/>
    <col min="15" max="15" width="14.6640625" style="9" customWidth="1"/>
    <col min="16" max="16" width="11.88671875" style="9" hidden="1" customWidth="1"/>
    <col min="17" max="17" width="16.5546875" style="10" customWidth="1"/>
    <col min="18" max="18" width="21" style="11" customWidth="1"/>
    <col min="19" max="19" width="7.5546875" style="11" bestFit="1" customWidth="1"/>
    <col min="20" max="20" width="11.6640625" style="4" customWidth="1"/>
    <col min="21" max="21" width="12.5546875" style="4" bestFit="1" customWidth="1"/>
    <col min="22" max="22" width="16.88671875" style="12"/>
    <col min="23" max="23" width="16.88671875" style="4"/>
    <col min="24" max="24" width="16.88671875" style="13"/>
    <col min="25" max="30" width="16.88671875" style="4"/>
    <col min="31" max="31" width="16.88671875" style="13"/>
    <col min="32" max="16384" width="16.88671875" style="4"/>
  </cols>
  <sheetData>
    <row r="1" spans="1:31" ht="24.75" customHeight="1">
      <c r="A1" s="87" t="s">
        <v>126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4"/>
      <c r="V1" s="4"/>
      <c r="X1" s="4"/>
      <c r="AE1" s="4"/>
    </row>
    <row r="2" spans="1:31" s="1" customFormat="1" ht="21.75" customHeight="1">
      <c r="A2" s="14" t="s">
        <v>0</v>
      </c>
      <c r="B2" s="14" t="s">
        <v>1</v>
      </c>
      <c r="C2" s="14"/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12</v>
      </c>
      <c r="O2" s="16" t="s">
        <v>13</v>
      </c>
      <c r="P2" s="16" t="s">
        <v>14</v>
      </c>
      <c r="Q2" s="14" t="s">
        <v>15</v>
      </c>
      <c r="R2" s="14" t="s">
        <v>16</v>
      </c>
    </row>
    <row r="3" spans="1:31" s="2" customFormat="1" ht="20.25" customHeight="1">
      <c r="A3" s="17">
        <v>1</v>
      </c>
      <c r="B3" s="81" t="s">
        <v>17</v>
      </c>
      <c r="C3" s="82" t="s">
        <v>18</v>
      </c>
      <c r="D3" s="82" t="s">
        <v>19</v>
      </c>
      <c r="E3" s="18" t="s">
        <v>20</v>
      </c>
      <c r="F3" s="19"/>
      <c r="G3" s="77">
        <v>46095</v>
      </c>
      <c r="H3" s="20">
        <f t="shared" ref="H3:H34" ca="1" si="0">TODAY()</f>
        <v>46103</v>
      </c>
      <c r="I3" s="21" t="str">
        <f t="shared" ref="I3" ca="1" si="1">DATEDIF(G3,H3,"M")&amp;"-Months"</f>
        <v>0-Months</v>
      </c>
      <c r="J3" s="73" t="s">
        <v>130</v>
      </c>
      <c r="K3" s="17">
        <v>1944000</v>
      </c>
      <c r="L3" s="23"/>
      <c r="M3" s="22"/>
      <c r="N3" s="22"/>
      <c r="O3" s="22"/>
      <c r="P3" s="22"/>
      <c r="Q3" s="17">
        <v>1944000</v>
      </c>
      <c r="R3" s="22"/>
      <c r="S3" s="24"/>
      <c r="T3" s="25"/>
      <c r="V3" s="26"/>
      <c r="X3" s="27"/>
      <c r="AE3" s="27"/>
    </row>
    <row r="4" spans="1:31" s="2" customFormat="1" ht="18" customHeight="1">
      <c r="A4" s="17">
        <v>2</v>
      </c>
      <c r="B4" s="81" t="s">
        <v>21</v>
      </c>
      <c r="C4" s="82" t="s">
        <v>22</v>
      </c>
      <c r="D4" s="82" t="s">
        <v>23</v>
      </c>
      <c r="E4" s="72" t="s">
        <v>24</v>
      </c>
      <c r="F4" s="19"/>
      <c r="G4" s="20">
        <v>46073</v>
      </c>
      <c r="H4" s="20">
        <f t="shared" ca="1" si="0"/>
        <v>46103</v>
      </c>
      <c r="I4" s="21" t="str">
        <f t="shared" ref="I4" ca="1" si="2">DATEDIF(G4,H4,"M")&amp;"-Months"</f>
        <v>1-Months</v>
      </c>
      <c r="J4" s="73" t="s">
        <v>103</v>
      </c>
      <c r="K4" s="22">
        <v>1792000</v>
      </c>
      <c r="L4" s="22"/>
      <c r="M4" s="22"/>
      <c r="N4" s="22"/>
      <c r="O4" s="22"/>
      <c r="P4" s="22"/>
      <c r="Q4" s="28">
        <f t="shared" ref="Q4:Q34" si="3">SUM(K4:P4)</f>
        <v>1792000</v>
      </c>
      <c r="R4" s="29"/>
      <c r="S4" s="24"/>
      <c r="T4" s="25"/>
    </row>
    <row r="5" spans="1:31" s="2" customFormat="1" ht="18" customHeight="1">
      <c r="A5" s="17">
        <v>3</v>
      </c>
      <c r="B5" s="75" t="s">
        <v>21</v>
      </c>
      <c r="C5" s="72" t="s">
        <v>22</v>
      </c>
      <c r="D5" s="72" t="s">
        <v>23</v>
      </c>
      <c r="E5" s="72" t="s">
        <v>24</v>
      </c>
      <c r="F5" s="19"/>
      <c r="G5" s="20">
        <v>46074</v>
      </c>
      <c r="H5" s="20">
        <f t="shared" ca="1" si="0"/>
        <v>46103</v>
      </c>
      <c r="I5" s="21" t="str">
        <f t="shared" ref="I5" ca="1" si="4">DATEDIF(G5,H5,"M")&amp;"-Months"</f>
        <v>1-Months</v>
      </c>
      <c r="J5" s="73" t="s">
        <v>108</v>
      </c>
      <c r="K5" s="22">
        <v>5670000</v>
      </c>
      <c r="L5" s="22"/>
      <c r="M5" s="22"/>
      <c r="N5" s="22"/>
      <c r="O5" s="22"/>
      <c r="P5" s="22"/>
      <c r="Q5" s="28">
        <f t="shared" si="3"/>
        <v>5670000</v>
      </c>
      <c r="R5" s="29"/>
      <c r="S5" s="24"/>
      <c r="T5" s="25"/>
    </row>
    <row r="6" spans="1:31" s="2" customFormat="1" ht="18" customHeight="1">
      <c r="A6" s="17">
        <v>4</v>
      </c>
      <c r="B6" s="75" t="s">
        <v>21</v>
      </c>
      <c r="C6" s="72" t="s">
        <v>22</v>
      </c>
      <c r="D6" s="72" t="s">
        <v>23</v>
      </c>
      <c r="E6" s="72" t="s">
        <v>24</v>
      </c>
      <c r="F6" s="19"/>
      <c r="G6" s="20">
        <v>46080</v>
      </c>
      <c r="H6" s="20">
        <f t="shared" ca="1" si="0"/>
        <v>46103</v>
      </c>
      <c r="I6" s="21" t="str">
        <f t="shared" ref="I6" ca="1" si="5">DATEDIF(G6,H6,"M")&amp;"-Months"</f>
        <v>0-Months</v>
      </c>
      <c r="J6" s="73" t="s">
        <v>110</v>
      </c>
      <c r="K6" s="22">
        <v>1890000</v>
      </c>
      <c r="L6" s="22"/>
      <c r="M6" s="22"/>
      <c r="N6" s="22"/>
      <c r="O6" s="22"/>
      <c r="P6" s="22"/>
      <c r="Q6" s="28">
        <f t="shared" si="3"/>
        <v>1890000</v>
      </c>
      <c r="R6" s="29"/>
      <c r="S6" s="24"/>
      <c r="T6" s="25"/>
    </row>
    <row r="7" spans="1:31" s="2" customFormat="1" ht="18" customHeight="1">
      <c r="A7" s="17">
        <v>5</v>
      </c>
      <c r="B7" s="75" t="s">
        <v>21</v>
      </c>
      <c r="C7" s="72" t="s">
        <v>22</v>
      </c>
      <c r="D7" s="72" t="s">
        <v>23</v>
      </c>
      <c r="E7" s="72" t="s">
        <v>24</v>
      </c>
      <c r="F7" s="19"/>
      <c r="G7" s="20">
        <v>46081</v>
      </c>
      <c r="H7" s="20">
        <f t="shared" ca="1" si="0"/>
        <v>46103</v>
      </c>
      <c r="I7" s="21" t="str">
        <f t="shared" ref="I7" ca="1" si="6">DATEDIF(G7,H7,"M")&amp;"-Months"</f>
        <v>0-Months</v>
      </c>
      <c r="J7" s="73" t="s">
        <v>111</v>
      </c>
      <c r="K7" s="22">
        <v>7560000</v>
      </c>
      <c r="L7" s="22"/>
      <c r="M7" s="22"/>
      <c r="N7" s="22"/>
      <c r="O7" s="22"/>
      <c r="P7" s="22"/>
      <c r="Q7" s="28">
        <f t="shared" si="3"/>
        <v>7560000</v>
      </c>
      <c r="R7" s="29"/>
      <c r="S7" s="24"/>
      <c r="T7" s="25"/>
    </row>
    <row r="8" spans="1:31" s="2" customFormat="1" ht="18" customHeight="1">
      <c r="A8" s="17">
        <v>6</v>
      </c>
      <c r="B8" s="75" t="s">
        <v>21</v>
      </c>
      <c r="C8" s="72" t="s">
        <v>22</v>
      </c>
      <c r="D8" s="72" t="s">
        <v>23</v>
      </c>
      <c r="E8" s="72" t="s">
        <v>24</v>
      </c>
      <c r="F8" s="19"/>
      <c r="G8" s="20">
        <v>46088</v>
      </c>
      <c r="H8" s="20">
        <f t="shared" ca="1" si="0"/>
        <v>46103</v>
      </c>
      <c r="I8" s="21" t="str">
        <f t="shared" ref="I8" ca="1" si="7">DATEDIF(G8,H8,"M")&amp;"-Months"</f>
        <v>0-Months</v>
      </c>
      <c r="J8" s="73" t="s">
        <v>114</v>
      </c>
      <c r="K8" s="22">
        <v>9450000</v>
      </c>
      <c r="L8" s="22"/>
      <c r="M8" s="22"/>
      <c r="N8" s="22"/>
      <c r="O8" s="22"/>
      <c r="P8" s="22"/>
      <c r="Q8" s="28">
        <f t="shared" si="3"/>
        <v>9450000</v>
      </c>
      <c r="R8" s="29"/>
      <c r="S8" s="24"/>
      <c r="T8" s="25"/>
    </row>
    <row r="9" spans="1:31" s="2" customFormat="1" ht="18" customHeight="1">
      <c r="A9" s="17">
        <v>7</v>
      </c>
      <c r="B9" s="75" t="s">
        <v>21</v>
      </c>
      <c r="C9" s="72" t="s">
        <v>22</v>
      </c>
      <c r="D9" s="72" t="s">
        <v>23</v>
      </c>
      <c r="E9" s="72" t="s">
        <v>24</v>
      </c>
      <c r="F9" s="19"/>
      <c r="G9" s="20">
        <v>46095</v>
      </c>
      <c r="H9" s="20">
        <f t="shared" ca="1" si="0"/>
        <v>46103</v>
      </c>
      <c r="I9" s="21" t="str">
        <f t="shared" ref="I9" ca="1" si="8">DATEDIF(G9,H9,"M")&amp;"-Months"</f>
        <v>0-Months</v>
      </c>
      <c r="J9" s="73" t="s">
        <v>129</v>
      </c>
      <c r="K9" s="22">
        <v>9450000</v>
      </c>
      <c r="L9" s="22"/>
      <c r="M9" s="22"/>
      <c r="N9" s="22"/>
      <c r="O9" s="22"/>
      <c r="P9" s="22"/>
      <c r="Q9" s="28">
        <f t="shared" si="3"/>
        <v>9450000</v>
      </c>
      <c r="R9" s="29"/>
      <c r="S9" s="24"/>
      <c r="T9" s="25"/>
    </row>
    <row r="10" spans="1:31" s="2" customFormat="1" ht="18" customHeight="1">
      <c r="A10" s="17">
        <v>8</v>
      </c>
      <c r="B10" s="75" t="s">
        <v>21</v>
      </c>
      <c r="C10" s="72" t="s">
        <v>22</v>
      </c>
      <c r="D10" s="72" t="s">
        <v>23</v>
      </c>
      <c r="E10" s="72" t="s">
        <v>24</v>
      </c>
      <c r="F10" s="19"/>
      <c r="G10" s="20">
        <v>46100</v>
      </c>
      <c r="H10" s="20">
        <f t="shared" ca="1" si="0"/>
        <v>46103</v>
      </c>
      <c r="I10" s="21" t="str">
        <f t="shared" ref="I10" ca="1" si="9">DATEDIF(G10,H10,"M")&amp;"-Months"</f>
        <v>0-Months</v>
      </c>
      <c r="J10" s="73" t="s">
        <v>140</v>
      </c>
      <c r="K10" s="22">
        <v>10150000</v>
      </c>
      <c r="L10" s="22"/>
      <c r="M10" s="22"/>
      <c r="N10" s="22"/>
      <c r="O10" s="22"/>
      <c r="P10" s="22"/>
      <c r="Q10" s="28">
        <f t="shared" si="3"/>
        <v>10150000</v>
      </c>
      <c r="R10" s="29"/>
      <c r="S10" s="24"/>
      <c r="T10" s="25"/>
    </row>
    <row r="11" spans="1:31" s="2" customFormat="1" ht="18" customHeight="1">
      <c r="A11" s="17">
        <v>9</v>
      </c>
      <c r="B11" s="75" t="s">
        <v>21</v>
      </c>
      <c r="C11" s="72" t="s">
        <v>22</v>
      </c>
      <c r="D11" s="72" t="s">
        <v>23</v>
      </c>
      <c r="E11" s="72" t="s">
        <v>24</v>
      </c>
      <c r="F11" s="19"/>
      <c r="G11" s="20">
        <v>46100</v>
      </c>
      <c r="H11" s="20">
        <f t="shared" ca="1" si="0"/>
        <v>46103</v>
      </c>
      <c r="I11" s="21" t="str">
        <f t="shared" ref="I11" ca="1" si="10">DATEDIF(G11,H11,"M")&amp;"-Months"</f>
        <v>0-Months</v>
      </c>
      <c r="J11" s="73" t="s">
        <v>141</v>
      </c>
      <c r="K11" s="22">
        <v>2196000</v>
      </c>
      <c r="L11" s="22"/>
      <c r="M11" s="22"/>
      <c r="N11" s="22"/>
      <c r="O11" s="22"/>
      <c r="P11" s="22"/>
      <c r="Q11" s="28">
        <f t="shared" si="3"/>
        <v>2196000</v>
      </c>
      <c r="R11" s="29"/>
      <c r="S11" s="24"/>
      <c r="T11" s="25"/>
    </row>
    <row r="12" spans="1:31" s="2" customFormat="1" ht="18" customHeight="1">
      <c r="A12" s="17">
        <v>10</v>
      </c>
      <c r="B12" s="75" t="s">
        <v>87</v>
      </c>
      <c r="C12" s="72" t="s">
        <v>88</v>
      </c>
      <c r="D12" s="72" t="s">
        <v>23</v>
      </c>
      <c r="E12" s="72" t="s">
        <v>89</v>
      </c>
      <c r="F12" s="19"/>
      <c r="G12" s="20">
        <v>46090</v>
      </c>
      <c r="H12" s="20">
        <f t="shared" ca="1" si="0"/>
        <v>46103</v>
      </c>
      <c r="I12" s="21" t="str">
        <f t="shared" ref="I12:I13" ca="1" si="11">DATEDIF(G12,H12,"M")&amp;"-Months"</f>
        <v>0-Months</v>
      </c>
      <c r="J12" s="73" t="s">
        <v>120</v>
      </c>
      <c r="K12" s="22">
        <v>9774000</v>
      </c>
      <c r="L12" s="22"/>
      <c r="M12" s="22"/>
      <c r="N12" s="22"/>
      <c r="O12" s="22"/>
      <c r="P12" s="22"/>
      <c r="Q12" s="28">
        <f t="shared" si="3"/>
        <v>9774000</v>
      </c>
      <c r="R12" s="29"/>
      <c r="S12" s="24"/>
      <c r="T12" s="25"/>
    </row>
    <row r="13" spans="1:31" s="2" customFormat="1" ht="18" customHeight="1">
      <c r="A13" s="17">
        <v>11</v>
      </c>
      <c r="B13" s="75" t="s">
        <v>87</v>
      </c>
      <c r="C13" s="72" t="s">
        <v>88</v>
      </c>
      <c r="D13" s="72" t="s">
        <v>23</v>
      </c>
      <c r="E13" s="72" t="s">
        <v>89</v>
      </c>
      <c r="F13" s="19"/>
      <c r="G13" s="20">
        <v>46090</v>
      </c>
      <c r="H13" s="20">
        <f t="shared" ca="1" si="0"/>
        <v>46103</v>
      </c>
      <c r="I13" s="21" t="str">
        <f t="shared" ca="1" si="11"/>
        <v>0-Months</v>
      </c>
      <c r="J13" s="73" t="s">
        <v>121</v>
      </c>
      <c r="K13" s="22"/>
      <c r="L13" s="22"/>
      <c r="M13" s="22"/>
      <c r="N13" s="22"/>
      <c r="O13" s="22">
        <v>1220000</v>
      </c>
      <c r="P13" s="22"/>
      <c r="Q13" s="28">
        <f t="shared" si="3"/>
        <v>1220000</v>
      </c>
      <c r="R13" s="29"/>
      <c r="S13" s="24"/>
      <c r="T13" s="25"/>
    </row>
    <row r="14" spans="1:31" s="2" customFormat="1" ht="18" customHeight="1">
      <c r="A14" s="17">
        <v>12</v>
      </c>
      <c r="B14" s="81" t="s">
        <v>25</v>
      </c>
      <c r="C14" s="82" t="s">
        <v>26</v>
      </c>
      <c r="D14" s="82" t="s">
        <v>23</v>
      </c>
      <c r="E14" s="72" t="s">
        <v>27</v>
      </c>
      <c r="F14" s="19"/>
      <c r="G14" s="77">
        <v>46090</v>
      </c>
      <c r="H14" s="20">
        <f t="shared" ca="1" si="0"/>
        <v>46103</v>
      </c>
      <c r="I14" s="21" t="str">
        <f t="shared" ref="I14:I15" ca="1" si="12">DATEDIF(G14,H14,"M")&amp;"-Months"</f>
        <v>0-Months</v>
      </c>
      <c r="J14" s="73" t="s">
        <v>118</v>
      </c>
      <c r="K14" s="22">
        <v>9774000</v>
      </c>
      <c r="L14" s="22"/>
      <c r="M14" s="22"/>
      <c r="N14" s="22"/>
      <c r="O14" s="22"/>
      <c r="P14" s="22"/>
      <c r="Q14" s="23">
        <f t="shared" si="3"/>
        <v>9774000</v>
      </c>
      <c r="R14" s="29"/>
      <c r="S14" s="11"/>
    </row>
    <row r="15" spans="1:31" s="2" customFormat="1" ht="18" customHeight="1">
      <c r="A15" s="17">
        <v>13</v>
      </c>
      <c r="B15" s="75" t="s">
        <v>25</v>
      </c>
      <c r="C15" s="72" t="s">
        <v>26</v>
      </c>
      <c r="D15" s="72" t="s">
        <v>23</v>
      </c>
      <c r="E15" s="72" t="s">
        <v>27</v>
      </c>
      <c r="F15" s="19"/>
      <c r="G15" s="77">
        <v>46090</v>
      </c>
      <c r="H15" s="20">
        <f t="shared" ca="1" si="0"/>
        <v>46103</v>
      </c>
      <c r="I15" s="21" t="str">
        <f t="shared" ca="1" si="12"/>
        <v>0-Months</v>
      </c>
      <c r="J15" s="73" t="s">
        <v>119</v>
      </c>
      <c r="K15" s="22">
        <v>5832000</v>
      </c>
      <c r="L15" s="22"/>
      <c r="M15" s="22"/>
      <c r="N15" s="22"/>
      <c r="O15" s="22"/>
      <c r="P15" s="22"/>
      <c r="Q15" s="23">
        <f t="shared" si="3"/>
        <v>5832000</v>
      </c>
      <c r="R15" s="29"/>
      <c r="S15" s="11"/>
    </row>
    <row r="16" spans="1:31" s="2" customFormat="1" ht="18" customHeight="1">
      <c r="A16" s="17">
        <v>14</v>
      </c>
      <c r="B16" s="75" t="s">
        <v>25</v>
      </c>
      <c r="C16" s="72" t="s">
        <v>26</v>
      </c>
      <c r="D16" s="72" t="s">
        <v>23</v>
      </c>
      <c r="E16" s="72" t="s">
        <v>27</v>
      </c>
      <c r="F16" s="19"/>
      <c r="G16" s="77">
        <v>46091</v>
      </c>
      <c r="H16" s="20">
        <f t="shared" ca="1" si="0"/>
        <v>46103</v>
      </c>
      <c r="I16" s="21" t="str">
        <f t="shared" ref="I16" ca="1" si="13">DATEDIF(G16,H16,"M")&amp;"-Months"</f>
        <v>0-Months</v>
      </c>
      <c r="J16" s="73" t="s">
        <v>122</v>
      </c>
      <c r="K16" s="22">
        <v>4023000</v>
      </c>
      <c r="L16" s="22"/>
      <c r="M16" s="22"/>
      <c r="N16" s="22"/>
      <c r="O16" s="22"/>
      <c r="P16" s="22"/>
      <c r="Q16" s="23">
        <f t="shared" si="3"/>
        <v>4023000</v>
      </c>
      <c r="R16" s="29"/>
      <c r="S16" s="11"/>
    </row>
    <row r="17" spans="1:19" s="2" customFormat="1" ht="18" customHeight="1">
      <c r="A17" s="17">
        <v>15</v>
      </c>
      <c r="B17" s="75" t="s">
        <v>25</v>
      </c>
      <c r="C17" s="72" t="s">
        <v>26</v>
      </c>
      <c r="D17" s="72" t="s">
        <v>23</v>
      </c>
      <c r="E17" s="72" t="s">
        <v>27</v>
      </c>
      <c r="F17" s="19"/>
      <c r="G17" s="77">
        <v>46092</v>
      </c>
      <c r="H17" s="20">
        <f t="shared" ca="1" si="0"/>
        <v>46103</v>
      </c>
      <c r="I17" s="21" t="str">
        <f t="shared" ref="I17:I19" ca="1" si="14">DATEDIF(G17,H17,"M")&amp;"-Months"</f>
        <v>0-Months</v>
      </c>
      <c r="J17" s="73" t="s">
        <v>123</v>
      </c>
      <c r="K17" s="22">
        <v>1134000</v>
      </c>
      <c r="L17" s="22"/>
      <c r="M17" s="22"/>
      <c r="N17" s="22"/>
      <c r="O17" s="22"/>
      <c r="P17" s="22"/>
      <c r="Q17" s="23">
        <f t="shared" si="3"/>
        <v>1134000</v>
      </c>
      <c r="R17" s="29"/>
      <c r="S17" s="11"/>
    </row>
    <row r="18" spans="1:19" s="2" customFormat="1" ht="18" customHeight="1">
      <c r="A18" s="17">
        <v>16</v>
      </c>
      <c r="B18" s="75" t="s">
        <v>25</v>
      </c>
      <c r="C18" s="72" t="s">
        <v>26</v>
      </c>
      <c r="D18" s="72" t="s">
        <v>23</v>
      </c>
      <c r="E18" s="72" t="s">
        <v>27</v>
      </c>
      <c r="F18" s="19"/>
      <c r="G18" s="77">
        <v>46092</v>
      </c>
      <c r="H18" s="20">
        <f t="shared" ca="1" si="0"/>
        <v>46103</v>
      </c>
      <c r="I18" s="21" t="str">
        <f t="shared" ca="1" si="14"/>
        <v>0-Months</v>
      </c>
      <c r="J18" s="73" t="s">
        <v>124</v>
      </c>
      <c r="K18" s="22">
        <v>3942000</v>
      </c>
      <c r="L18" s="22"/>
      <c r="M18" s="22"/>
      <c r="N18" s="22"/>
      <c r="O18" s="22"/>
      <c r="P18" s="22"/>
      <c r="Q18" s="23">
        <f t="shared" si="3"/>
        <v>3942000</v>
      </c>
      <c r="R18" s="29"/>
      <c r="S18" s="11"/>
    </row>
    <row r="19" spans="1:19" s="2" customFormat="1" ht="18" customHeight="1">
      <c r="A19" s="17">
        <v>17</v>
      </c>
      <c r="B19" s="75" t="s">
        <v>25</v>
      </c>
      <c r="C19" s="72" t="s">
        <v>26</v>
      </c>
      <c r="D19" s="72" t="s">
        <v>23</v>
      </c>
      <c r="E19" s="72" t="s">
        <v>27</v>
      </c>
      <c r="F19" s="19"/>
      <c r="G19" s="77">
        <v>46092</v>
      </c>
      <c r="H19" s="20">
        <f t="shared" ca="1" si="0"/>
        <v>46103</v>
      </c>
      <c r="I19" s="21" t="str">
        <f t="shared" ca="1" si="14"/>
        <v>0-Months</v>
      </c>
      <c r="J19" s="73" t="s">
        <v>125</v>
      </c>
      <c r="K19" s="22">
        <v>2835000</v>
      </c>
      <c r="L19" s="22"/>
      <c r="M19" s="22"/>
      <c r="N19" s="22"/>
      <c r="O19" s="22"/>
      <c r="P19" s="22"/>
      <c r="Q19" s="23">
        <f t="shared" si="3"/>
        <v>2835000</v>
      </c>
      <c r="R19" s="29"/>
      <c r="S19" s="11"/>
    </row>
    <row r="20" spans="1:19" s="2" customFormat="1" ht="18" customHeight="1">
      <c r="A20" s="17">
        <v>18</v>
      </c>
      <c r="B20" s="75" t="s">
        <v>25</v>
      </c>
      <c r="C20" s="72" t="s">
        <v>26</v>
      </c>
      <c r="D20" s="72" t="s">
        <v>23</v>
      </c>
      <c r="E20" s="72" t="s">
        <v>27</v>
      </c>
      <c r="F20" s="19"/>
      <c r="G20" s="77">
        <v>46094</v>
      </c>
      <c r="H20" s="20">
        <f t="shared" ca="1" si="0"/>
        <v>46103</v>
      </c>
      <c r="I20" s="21" t="str">
        <f t="shared" ref="I20:I21" ca="1" si="15">DATEDIF(G20,H20,"M")&amp;"-Months"</f>
        <v>0-Months</v>
      </c>
      <c r="J20" s="73" t="s">
        <v>127</v>
      </c>
      <c r="K20" s="22">
        <v>1026000</v>
      </c>
      <c r="L20" s="22"/>
      <c r="M20" s="22"/>
      <c r="N20" s="22"/>
      <c r="O20" s="22"/>
      <c r="P20" s="22"/>
      <c r="Q20" s="23">
        <f t="shared" si="3"/>
        <v>1026000</v>
      </c>
      <c r="R20" s="29"/>
      <c r="S20" s="11"/>
    </row>
    <row r="21" spans="1:19" s="2" customFormat="1" ht="18" customHeight="1">
      <c r="A21" s="17">
        <v>19</v>
      </c>
      <c r="B21" s="75" t="s">
        <v>25</v>
      </c>
      <c r="C21" s="72" t="s">
        <v>26</v>
      </c>
      <c r="D21" s="72" t="s">
        <v>23</v>
      </c>
      <c r="E21" s="72" t="s">
        <v>27</v>
      </c>
      <c r="F21" s="19"/>
      <c r="G21" s="77">
        <v>46094</v>
      </c>
      <c r="H21" s="20">
        <f t="shared" ca="1" si="0"/>
        <v>46103</v>
      </c>
      <c r="I21" s="21" t="str">
        <f t="shared" ca="1" si="15"/>
        <v>0-Months</v>
      </c>
      <c r="J21" s="73" t="s">
        <v>128</v>
      </c>
      <c r="K21" s="22">
        <v>1182600</v>
      </c>
      <c r="L21" s="22"/>
      <c r="M21" s="22"/>
      <c r="N21" s="22"/>
      <c r="O21" s="22"/>
      <c r="P21" s="22"/>
      <c r="Q21" s="23">
        <f t="shared" si="3"/>
        <v>1182600</v>
      </c>
      <c r="R21" s="29"/>
      <c r="S21" s="11"/>
    </row>
    <row r="22" spans="1:19" s="2" customFormat="1" ht="18" customHeight="1">
      <c r="A22" s="17">
        <v>20</v>
      </c>
      <c r="B22" s="75" t="s">
        <v>25</v>
      </c>
      <c r="C22" s="72" t="s">
        <v>26</v>
      </c>
      <c r="D22" s="72" t="s">
        <v>23</v>
      </c>
      <c r="E22" s="72" t="s">
        <v>27</v>
      </c>
      <c r="F22" s="19"/>
      <c r="G22" s="77">
        <v>46096</v>
      </c>
      <c r="H22" s="20">
        <f t="shared" ca="1" si="0"/>
        <v>46103</v>
      </c>
      <c r="I22" s="21" t="str">
        <f t="shared" ref="I22:I24" ca="1" si="16">DATEDIF(G22,H22,"M")&amp;"-Months"</f>
        <v>0-Months</v>
      </c>
      <c r="J22" s="73" t="s">
        <v>131</v>
      </c>
      <c r="K22" s="22">
        <v>2619000</v>
      </c>
      <c r="L22" s="22"/>
      <c r="M22" s="22"/>
      <c r="N22" s="22"/>
      <c r="O22" s="22"/>
      <c r="P22" s="22"/>
      <c r="Q22" s="23">
        <f t="shared" si="3"/>
        <v>2619000</v>
      </c>
      <c r="R22" s="29"/>
      <c r="S22" s="11"/>
    </row>
    <row r="23" spans="1:19" s="2" customFormat="1" ht="18" customHeight="1">
      <c r="A23" s="17">
        <v>21</v>
      </c>
      <c r="B23" s="75" t="s">
        <v>25</v>
      </c>
      <c r="C23" s="72" t="s">
        <v>26</v>
      </c>
      <c r="D23" s="72" t="s">
        <v>23</v>
      </c>
      <c r="E23" s="72" t="s">
        <v>27</v>
      </c>
      <c r="F23" s="19"/>
      <c r="G23" s="77">
        <v>46097</v>
      </c>
      <c r="H23" s="20">
        <f t="shared" ca="1" si="0"/>
        <v>46103</v>
      </c>
      <c r="I23" s="21" t="str">
        <f t="shared" ca="1" si="16"/>
        <v>0-Months</v>
      </c>
      <c r="J23" s="73" t="s">
        <v>132</v>
      </c>
      <c r="K23" s="22">
        <v>5075000</v>
      </c>
      <c r="L23" s="22"/>
      <c r="M23" s="22"/>
      <c r="N23" s="22"/>
      <c r="O23" s="22"/>
      <c r="P23" s="22"/>
      <c r="Q23" s="23">
        <f t="shared" si="3"/>
        <v>5075000</v>
      </c>
      <c r="R23" s="29"/>
      <c r="S23" s="11"/>
    </row>
    <row r="24" spans="1:19" s="2" customFormat="1" ht="18" customHeight="1">
      <c r="A24" s="17">
        <v>22</v>
      </c>
      <c r="B24" s="75" t="s">
        <v>25</v>
      </c>
      <c r="C24" s="72" t="s">
        <v>26</v>
      </c>
      <c r="D24" s="72" t="s">
        <v>23</v>
      </c>
      <c r="E24" s="72" t="s">
        <v>27</v>
      </c>
      <c r="F24" s="19"/>
      <c r="G24" s="77">
        <v>46097</v>
      </c>
      <c r="H24" s="20">
        <f t="shared" ca="1" si="0"/>
        <v>46103</v>
      </c>
      <c r="I24" s="21" t="str">
        <f t="shared" ca="1" si="16"/>
        <v>0-Months</v>
      </c>
      <c r="J24" s="73" t="s">
        <v>133</v>
      </c>
      <c r="K24" s="22">
        <v>3403800</v>
      </c>
      <c r="L24" s="22"/>
      <c r="M24" s="22"/>
      <c r="N24" s="22"/>
      <c r="O24" s="22"/>
      <c r="P24" s="22"/>
      <c r="Q24" s="23">
        <f t="shared" si="3"/>
        <v>3403800</v>
      </c>
      <c r="R24" s="29"/>
      <c r="S24" s="11"/>
    </row>
    <row r="25" spans="1:19" s="2" customFormat="1" ht="18" customHeight="1">
      <c r="A25" s="17">
        <v>23</v>
      </c>
      <c r="B25" s="75" t="s">
        <v>25</v>
      </c>
      <c r="C25" s="72" t="s">
        <v>26</v>
      </c>
      <c r="D25" s="72" t="s">
        <v>23</v>
      </c>
      <c r="E25" s="72" t="s">
        <v>27</v>
      </c>
      <c r="F25" s="19"/>
      <c r="G25" s="77">
        <v>46098</v>
      </c>
      <c r="H25" s="20">
        <f t="shared" ca="1" si="0"/>
        <v>46103</v>
      </c>
      <c r="I25" s="21" t="str">
        <f t="shared" ref="I25:I26" ca="1" si="17">DATEDIF(G25,H25,"M")&amp;"-Months"</f>
        <v>0-Months</v>
      </c>
      <c r="J25" s="73" t="s">
        <v>136</v>
      </c>
      <c r="K25" s="22">
        <v>10482000</v>
      </c>
      <c r="L25" s="22"/>
      <c r="M25" s="22"/>
      <c r="N25" s="22"/>
      <c r="O25" s="22"/>
      <c r="P25" s="22"/>
      <c r="Q25" s="23">
        <f t="shared" si="3"/>
        <v>10482000</v>
      </c>
      <c r="R25" s="29"/>
      <c r="S25" s="11"/>
    </row>
    <row r="26" spans="1:19" s="2" customFormat="1" ht="18" customHeight="1">
      <c r="A26" s="17">
        <v>24</v>
      </c>
      <c r="B26" s="75" t="s">
        <v>25</v>
      </c>
      <c r="C26" s="72" t="s">
        <v>26</v>
      </c>
      <c r="D26" s="72" t="s">
        <v>23</v>
      </c>
      <c r="E26" s="72" t="s">
        <v>27</v>
      </c>
      <c r="F26" s="19"/>
      <c r="G26" s="77">
        <v>46098</v>
      </c>
      <c r="H26" s="20">
        <f t="shared" ca="1" si="0"/>
        <v>46103</v>
      </c>
      <c r="I26" s="21" t="str">
        <f t="shared" ca="1" si="17"/>
        <v>0-Months</v>
      </c>
      <c r="J26" s="73" t="s">
        <v>137</v>
      </c>
      <c r="K26" s="22">
        <v>3294000</v>
      </c>
      <c r="L26" s="22"/>
      <c r="M26" s="22"/>
      <c r="N26" s="22"/>
      <c r="O26" s="22"/>
      <c r="P26" s="22"/>
      <c r="Q26" s="23">
        <f t="shared" si="3"/>
        <v>3294000</v>
      </c>
      <c r="R26" s="29"/>
      <c r="S26" s="11"/>
    </row>
    <row r="27" spans="1:19" s="2" customFormat="1" ht="18" customHeight="1">
      <c r="A27" s="17">
        <v>25</v>
      </c>
      <c r="B27" s="75" t="s">
        <v>25</v>
      </c>
      <c r="C27" s="72" t="s">
        <v>26</v>
      </c>
      <c r="D27" s="72" t="s">
        <v>23</v>
      </c>
      <c r="E27" s="72" t="s">
        <v>27</v>
      </c>
      <c r="F27" s="19"/>
      <c r="G27" s="77">
        <v>46099</v>
      </c>
      <c r="H27" s="20">
        <f t="shared" ca="1" si="0"/>
        <v>46103</v>
      </c>
      <c r="I27" s="21" t="str">
        <f t="shared" ref="I27:I28" ca="1" si="18">DATEDIF(G27,H27,"M")&amp;"-Months"</f>
        <v>0-Months</v>
      </c>
      <c r="J27" s="73" t="s">
        <v>138</v>
      </c>
      <c r="K27" s="22">
        <v>5647000</v>
      </c>
      <c r="L27" s="22"/>
      <c r="M27" s="22"/>
      <c r="N27" s="22"/>
      <c r="O27" s="22"/>
      <c r="P27" s="22"/>
      <c r="Q27" s="23">
        <f t="shared" si="3"/>
        <v>5647000</v>
      </c>
      <c r="R27" s="29"/>
      <c r="S27" s="11"/>
    </row>
    <row r="28" spans="1:19" s="2" customFormat="1" ht="18" customHeight="1">
      <c r="A28" s="17">
        <v>26</v>
      </c>
      <c r="B28" s="75" t="s">
        <v>25</v>
      </c>
      <c r="C28" s="72" t="s">
        <v>26</v>
      </c>
      <c r="D28" s="72" t="s">
        <v>23</v>
      </c>
      <c r="E28" s="72" t="s">
        <v>27</v>
      </c>
      <c r="F28" s="19"/>
      <c r="G28" s="77">
        <v>46099</v>
      </c>
      <c r="H28" s="20">
        <f t="shared" ca="1" si="0"/>
        <v>46103</v>
      </c>
      <c r="I28" s="21" t="str">
        <f t="shared" ca="1" si="18"/>
        <v>0-Months</v>
      </c>
      <c r="J28" s="73" t="s">
        <v>139</v>
      </c>
      <c r="K28" s="22">
        <v>1098000</v>
      </c>
      <c r="L28" s="22"/>
      <c r="M28" s="22"/>
      <c r="N28" s="22"/>
      <c r="O28" s="22"/>
      <c r="P28" s="22"/>
      <c r="Q28" s="23">
        <f t="shared" si="3"/>
        <v>1098000</v>
      </c>
      <c r="R28" s="29"/>
      <c r="S28" s="11"/>
    </row>
    <row r="29" spans="1:19" s="2" customFormat="1" ht="18" customHeight="1">
      <c r="A29" s="17">
        <v>27</v>
      </c>
      <c r="B29" s="75" t="s">
        <v>25</v>
      </c>
      <c r="C29" s="72" t="s">
        <v>26</v>
      </c>
      <c r="D29" s="72" t="s">
        <v>23</v>
      </c>
      <c r="E29" s="72" t="s">
        <v>27</v>
      </c>
      <c r="F29" s="19"/>
      <c r="G29" s="77">
        <v>46100</v>
      </c>
      <c r="H29" s="20">
        <f t="shared" ca="1" si="0"/>
        <v>46103</v>
      </c>
      <c r="I29" s="21" t="str">
        <f t="shared" ref="I29" ca="1" si="19">DATEDIF(G29,H29,"M")&amp;"-Months"</f>
        <v>0-Months</v>
      </c>
      <c r="J29" s="73" t="s">
        <v>142</v>
      </c>
      <c r="K29" s="22">
        <v>2552200</v>
      </c>
      <c r="L29" s="22"/>
      <c r="M29" s="22"/>
      <c r="N29" s="22"/>
      <c r="O29" s="22"/>
      <c r="P29" s="22"/>
      <c r="Q29" s="23">
        <f t="shared" si="3"/>
        <v>2552200</v>
      </c>
      <c r="R29" s="29"/>
      <c r="S29" s="11"/>
    </row>
    <row r="30" spans="1:19" s="2" customFormat="1" ht="18" customHeight="1">
      <c r="A30" s="17">
        <v>28</v>
      </c>
      <c r="B30" s="75" t="s">
        <v>25</v>
      </c>
      <c r="C30" s="72" t="s">
        <v>26</v>
      </c>
      <c r="D30" s="72" t="s">
        <v>23</v>
      </c>
      <c r="E30" s="72" t="s">
        <v>27</v>
      </c>
      <c r="F30" s="19"/>
      <c r="G30" s="77">
        <v>46101</v>
      </c>
      <c r="H30" s="20">
        <f t="shared" ca="1" si="0"/>
        <v>46103</v>
      </c>
      <c r="I30" s="21" t="str">
        <f t="shared" ref="I30" ca="1" si="20">DATEDIF(G30,H30,"M")&amp;"-Months"</f>
        <v>0-Months</v>
      </c>
      <c r="J30" s="73" t="s">
        <v>144</v>
      </c>
      <c r="K30" s="22">
        <v>4499200</v>
      </c>
      <c r="L30" s="22"/>
      <c r="M30" s="22"/>
      <c r="N30" s="22"/>
      <c r="O30" s="22"/>
      <c r="P30" s="22"/>
      <c r="Q30" s="23">
        <f t="shared" si="3"/>
        <v>4499200</v>
      </c>
      <c r="R30" s="29"/>
      <c r="S30" s="11"/>
    </row>
    <row r="31" spans="1:19" s="2" customFormat="1" ht="18" customHeight="1">
      <c r="A31" s="17">
        <v>29</v>
      </c>
      <c r="B31" s="80" t="s">
        <v>28</v>
      </c>
      <c r="C31" s="72" t="s">
        <v>29</v>
      </c>
      <c r="D31" s="72" t="s">
        <v>30</v>
      </c>
      <c r="E31" s="18" t="s">
        <v>31</v>
      </c>
      <c r="F31" s="19"/>
      <c r="G31" s="20">
        <v>46053</v>
      </c>
      <c r="H31" s="20">
        <f t="shared" ca="1" si="0"/>
        <v>46103</v>
      </c>
      <c r="I31" s="21" t="str">
        <f t="shared" ref="I31" ca="1" si="21">DATEDIF(G31,H31,"M")&amp;"-Months"</f>
        <v>1-Months</v>
      </c>
      <c r="J31" s="73" t="s">
        <v>109</v>
      </c>
      <c r="K31" s="22">
        <v>9936000</v>
      </c>
      <c r="L31" s="22"/>
      <c r="M31" s="22"/>
      <c r="N31" s="22"/>
      <c r="O31" s="22"/>
      <c r="P31" s="22"/>
      <c r="Q31" s="23">
        <f t="shared" si="3"/>
        <v>9936000</v>
      </c>
      <c r="R31" s="29"/>
      <c r="S31" s="11"/>
    </row>
    <row r="32" spans="1:19" s="2" customFormat="1" ht="18" customHeight="1">
      <c r="A32" s="17">
        <v>30</v>
      </c>
      <c r="B32" s="72" t="s">
        <v>32</v>
      </c>
      <c r="C32" s="72" t="s">
        <v>33</v>
      </c>
      <c r="D32" s="72" t="s">
        <v>23</v>
      </c>
      <c r="E32" s="74" t="s">
        <v>34</v>
      </c>
      <c r="F32" s="19"/>
      <c r="G32" s="20">
        <v>46086</v>
      </c>
      <c r="H32" s="20">
        <f t="shared" ref="H32:H33" ca="1" si="22">TODAY()</f>
        <v>46103</v>
      </c>
      <c r="I32" s="21" t="str">
        <f t="shared" ref="I32" ca="1" si="23">DATEDIF(G32,H32,"M")&amp;"-Months"</f>
        <v>0-Months</v>
      </c>
      <c r="J32" s="73" t="s">
        <v>113</v>
      </c>
      <c r="K32" s="17">
        <v>12312000</v>
      </c>
      <c r="L32" s="23"/>
      <c r="M32" s="22"/>
      <c r="N32" s="22"/>
      <c r="O32" s="22"/>
      <c r="P32" s="22"/>
      <c r="Q32" s="23">
        <f t="shared" si="3"/>
        <v>12312000</v>
      </c>
      <c r="R32" s="29"/>
      <c r="S32" s="11"/>
    </row>
    <row r="33" spans="1:20" s="2" customFormat="1" ht="18" customHeight="1">
      <c r="A33" s="17">
        <v>31</v>
      </c>
      <c r="B33" s="82" t="s">
        <v>90</v>
      </c>
      <c r="C33" s="82" t="s">
        <v>91</v>
      </c>
      <c r="D33" s="82" t="s">
        <v>30</v>
      </c>
      <c r="E33" s="74" t="s">
        <v>92</v>
      </c>
      <c r="F33" s="19"/>
      <c r="G33" s="20">
        <v>46063</v>
      </c>
      <c r="H33" s="20">
        <f t="shared" ca="1" si="22"/>
        <v>46103</v>
      </c>
      <c r="I33" s="21" t="str">
        <f t="shared" ref="I33" ca="1" si="24">DATEDIF(G33,H33,"M")&amp;"-Months"</f>
        <v>1-Months</v>
      </c>
      <c r="J33" s="73" t="s">
        <v>98</v>
      </c>
      <c r="K33" s="17">
        <v>-5670000</v>
      </c>
      <c r="L33" s="23"/>
      <c r="M33" s="22"/>
      <c r="N33" s="22"/>
      <c r="O33" s="22"/>
      <c r="P33" s="22"/>
      <c r="Q33" s="23">
        <f t="shared" si="3"/>
        <v>-5670000</v>
      </c>
      <c r="R33" s="29"/>
      <c r="S33" s="11"/>
    </row>
    <row r="34" spans="1:20" s="2" customFormat="1" ht="20.25" customHeight="1">
      <c r="A34" s="17">
        <v>32</v>
      </c>
      <c r="B34" s="72" t="s">
        <v>35</v>
      </c>
      <c r="C34" s="72" t="s">
        <v>36</v>
      </c>
      <c r="D34" s="72" t="s">
        <v>19</v>
      </c>
      <c r="E34" s="74" t="s">
        <v>37</v>
      </c>
      <c r="F34" s="19"/>
      <c r="G34" s="20">
        <v>46003</v>
      </c>
      <c r="H34" s="20">
        <f t="shared" ca="1" si="0"/>
        <v>46103</v>
      </c>
      <c r="I34" s="21" t="str">
        <f t="shared" ref="I34" ca="1" si="25">DATEDIF(G34,H34,"M")&amp;"-Months"</f>
        <v>3-Months</v>
      </c>
      <c r="J34" s="73" t="s">
        <v>81</v>
      </c>
      <c r="K34" s="17"/>
      <c r="L34" s="23"/>
      <c r="M34" s="22"/>
      <c r="N34" s="22"/>
      <c r="O34" s="22">
        <v>-8625000</v>
      </c>
      <c r="P34" s="22"/>
      <c r="Q34" s="23">
        <f t="shared" si="3"/>
        <v>-8625000</v>
      </c>
      <c r="R34" s="29"/>
      <c r="S34" s="11"/>
    </row>
    <row r="35" spans="1:20" s="3" customFormat="1" ht="18.75" customHeight="1">
      <c r="A35" s="17"/>
      <c r="B35" s="89" t="s">
        <v>38</v>
      </c>
      <c r="C35" s="90"/>
      <c r="D35" s="91"/>
      <c r="E35" s="30"/>
      <c r="F35" s="31"/>
      <c r="G35" s="32"/>
      <c r="H35" s="32"/>
      <c r="I35" s="33"/>
      <c r="J35" s="34"/>
      <c r="K35" s="35">
        <f>SUM(K3:K34)</f>
        <v>144872800</v>
      </c>
      <c r="L35" s="35">
        <f>SUM(L14:L31)</f>
        <v>0</v>
      </c>
      <c r="M35" s="35" t="e">
        <f>SUM(#REF!)</f>
        <v>#REF!</v>
      </c>
      <c r="N35" s="35" t="e">
        <f>SUM(#REF!)</f>
        <v>#REF!</v>
      </c>
      <c r="O35" s="35">
        <f>SUM(O3:O34)</f>
        <v>-7405000</v>
      </c>
      <c r="P35" s="35">
        <f>SUM(P3:P31)</f>
        <v>0</v>
      </c>
      <c r="Q35" s="79">
        <f>SUM(Q3:Q34)</f>
        <v>137467800</v>
      </c>
      <c r="R35" s="36"/>
      <c r="S35" s="37"/>
      <c r="T35" s="38"/>
    </row>
    <row r="36" spans="1:20" s="2" customFormat="1" ht="18" customHeight="1">
      <c r="A36" s="17">
        <v>33</v>
      </c>
      <c r="B36" s="76" t="s">
        <v>82</v>
      </c>
      <c r="C36" s="76" t="s">
        <v>83</v>
      </c>
      <c r="D36" s="76" t="s">
        <v>43</v>
      </c>
      <c r="E36" s="72" t="s">
        <v>84</v>
      </c>
      <c r="F36" s="19"/>
      <c r="G36" s="20">
        <v>46024</v>
      </c>
      <c r="H36" s="20">
        <f t="shared" ref="H36:H39" ca="1" si="26">TODAY()</f>
        <v>46103</v>
      </c>
      <c r="I36" s="21" t="str">
        <f t="shared" ref="I36" ca="1" si="27">DATEDIF(G36,H36,"M")&amp;"-Months"</f>
        <v>2-Months</v>
      </c>
      <c r="J36" s="73" t="s">
        <v>85</v>
      </c>
      <c r="K36" s="78">
        <v>-7954000</v>
      </c>
      <c r="L36" s="23"/>
      <c r="M36" s="22"/>
      <c r="N36" s="22"/>
      <c r="O36" s="22"/>
      <c r="P36" s="22"/>
      <c r="Q36" s="23">
        <f t="shared" ref="Q36:Q39" si="28">SUM(K36:P36)</f>
        <v>-7954000</v>
      </c>
      <c r="R36" s="29"/>
      <c r="S36" s="24"/>
      <c r="T36" s="25"/>
    </row>
    <row r="37" spans="1:20" s="2" customFormat="1" ht="18" customHeight="1">
      <c r="A37" s="17">
        <v>34</v>
      </c>
      <c r="B37" s="76" t="s">
        <v>82</v>
      </c>
      <c r="C37" s="76" t="s">
        <v>83</v>
      </c>
      <c r="D37" s="76" t="s">
        <v>43</v>
      </c>
      <c r="E37" s="72" t="s">
        <v>84</v>
      </c>
      <c r="F37" s="19"/>
      <c r="G37" s="20">
        <v>46032</v>
      </c>
      <c r="H37" s="20">
        <f t="shared" ca="1" si="26"/>
        <v>46103</v>
      </c>
      <c r="I37" s="21" t="str">
        <f t="shared" ref="I37" ca="1" si="29">DATEDIF(G37,H37,"M")&amp;"-Months"</f>
        <v>2-Months</v>
      </c>
      <c r="J37" s="73" t="s">
        <v>86</v>
      </c>
      <c r="K37" s="78">
        <v>-4196000</v>
      </c>
      <c r="L37" s="23"/>
      <c r="M37" s="22"/>
      <c r="N37" s="22"/>
      <c r="O37" s="22"/>
      <c r="P37" s="22"/>
      <c r="Q37" s="23">
        <f t="shared" si="28"/>
        <v>-4196000</v>
      </c>
      <c r="R37" s="29"/>
      <c r="S37" s="24"/>
      <c r="T37" s="25"/>
    </row>
    <row r="38" spans="1:20" s="2" customFormat="1" ht="18" customHeight="1">
      <c r="A38" s="17">
        <v>35</v>
      </c>
      <c r="B38" s="83" t="s">
        <v>44</v>
      </c>
      <c r="C38" s="83" t="s">
        <v>44</v>
      </c>
      <c r="D38" s="83" t="s">
        <v>41</v>
      </c>
      <c r="E38" s="18" t="s">
        <v>45</v>
      </c>
      <c r="F38" s="19"/>
      <c r="G38" s="20">
        <v>46098</v>
      </c>
      <c r="H38" s="20">
        <f ca="1">TODAY()</f>
        <v>46103</v>
      </c>
      <c r="I38" s="21" t="str">
        <f t="shared" ref="I38:I39" ca="1" si="30">DATEDIF(G38,H38,"M")&amp;"-Months"</f>
        <v>0-Months</v>
      </c>
      <c r="J38" s="73" t="s">
        <v>135</v>
      </c>
      <c r="K38" s="17">
        <v>1330000</v>
      </c>
      <c r="L38" s="23"/>
      <c r="M38" s="22"/>
      <c r="N38" s="22"/>
      <c r="O38" s="22"/>
      <c r="P38" s="22"/>
      <c r="Q38" s="23">
        <f t="shared" si="28"/>
        <v>1330000</v>
      </c>
      <c r="R38" s="21"/>
      <c r="S38" s="24"/>
      <c r="T38" s="25"/>
    </row>
    <row r="39" spans="1:20" s="2" customFormat="1" ht="18" customHeight="1">
      <c r="A39" s="17">
        <v>36</v>
      </c>
      <c r="B39" s="76" t="s">
        <v>104</v>
      </c>
      <c r="C39" s="76" t="s">
        <v>105</v>
      </c>
      <c r="D39" s="76" t="s">
        <v>46</v>
      </c>
      <c r="E39" s="72" t="s">
        <v>106</v>
      </c>
      <c r="F39" s="19"/>
      <c r="G39" s="20">
        <v>46073</v>
      </c>
      <c r="H39" s="20">
        <f t="shared" ca="1" si="26"/>
        <v>46103</v>
      </c>
      <c r="I39" s="21" t="str">
        <f t="shared" ca="1" si="30"/>
        <v>1-Months</v>
      </c>
      <c r="J39" s="73" t="s">
        <v>107</v>
      </c>
      <c r="K39" s="17">
        <v>1628000</v>
      </c>
      <c r="L39" s="23"/>
      <c r="M39" s="22"/>
      <c r="N39" s="22"/>
      <c r="O39" s="22"/>
      <c r="P39" s="22"/>
      <c r="Q39" s="23">
        <f t="shared" si="28"/>
        <v>1628000</v>
      </c>
      <c r="R39" s="21"/>
      <c r="S39" s="24"/>
      <c r="T39" s="25"/>
    </row>
    <row r="40" spans="1:20" s="2" customFormat="1" ht="18" customHeight="1">
      <c r="A40" s="17">
        <v>37</v>
      </c>
      <c r="B40" s="82" t="s">
        <v>55</v>
      </c>
      <c r="C40" s="82" t="s">
        <v>56</v>
      </c>
      <c r="D40" s="82" t="s">
        <v>57</v>
      </c>
      <c r="E40" s="18" t="s">
        <v>58</v>
      </c>
      <c r="F40" s="19"/>
      <c r="G40" s="20">
        <v>46098</v>
      </c>
      <c r="H40" s="20">
        <f t="shared" ref="H40" ca="1" si="31">TODAY()</f>
        <v>46103</v>
      </c>
      <c r="I40" s="21" t="str">
        <f ca="1">DATEDIF(G40,H40,"M")&amp;"-Months"</f>
        <v>0-Months</v>
      </c>
      <c r="J40" s="73" t="s">
        <v>134</v>
      </c>
      <c r="K40" s="17">
        <v>6300000</v>
      </c>
      <c r="L40" s="23"/>
      <c r="M40" s="22"/>
      <c r="N40" s="22"/>
      <c r="O40" s="22"/>
      <c r="P40" s="22"/>
      <c r="Q40" s="23">
        <f t="shared" ref="Q40" si="32">SUM(K40:P40)</f>
        <v>6300000</v>
      </c>
      <c r="R40" s="29"/>
      <c r="S40" s="11"/>
      <c r="T40" s="25"/>
    </row>
    <row r="41" spans="1:20" s="3" customFormat="1" ht="20.25" customHeight="1">
      <c r="A41" s="17"/>
      <c r="B41" s="89" t="s">
        <v>62</v>
      </c>
      <c r="C41" s="90"/>
      <c r="D41" s="91"/>
      <c r="E41" s="47"/>
      <c r="F41" s="48"/>
      <c r="G41" s="32"/>
      <c r="H41" s="32"/>
      <c r="I41" s="49"/>
      <c r="J41" s="34"/>
      <c r="K41" s="50">
        <f t="shared" ref="K41:Q41" si="33">SUM(K36:K40)</f>
        <v>-2892000</v>
      </c>
      <c r="L41" s="34">
        <f t="shared" si="33"/>
        <v>0</v>
      </c>
      <c r="M41" s="34">
        <f t="shared" si="33"/>
        <v>0</v>
      </c>
      <c r="N41" s="34">
        <f t="shared" si="33"/>
        <v>0</v>
      </c>
      <c r="O41" s="34">
        <f t="shared" si="33"/>
        <v>0</v>
      </c>
      <c r="P41" s="34">
        <f t="shared" si="33"/>
        <v>0</v>
      </c>
      <c r="Q41" s="34">
        <f t="shared" si="33"/>
        <v>-2892000</v>
      </c>
      <c r="R41" s="51"/>
      <c r="S41" s="37"/>
      <c r="T41" s="38"/>
    </row>
    <row r="42" spans="1:20" s="2" customFormat="1" ht="20.25" customHeight="1">
      <c r="A42" s="17">
        <v>38</v>
      </c>
      <c r="B42" s="72" t="s">
        <v>63</v>
      </c>
      <c r="C42" s="72" t="s">
        <v>64</v>
      </c>
      <c r="D42" s="72" t="s">
        <v>41</v>
      </c>
      <c r="E42" s="18" t="s">
        <v>65</v>
      </c>
      <c r="F42" s="19"/>
      <c r="G42" s="20">
        <v>46090</v>
      </c>
      <c r="H42" s="20">
        <f t="shared" ref="H42:H48" ca="1" si="34">TODAY()</f>
        <v>46103</v>
      </c>
      <c r="I42" s="21" t="str">
        <f t="shared" ref="I42:I45" ca="1" si="35">DATEDIF(G42,H42,"M")&amp;"-Months"</f>
        <v>0-Months</v>
      </c>
      <c r="J42" s="73" t="s">
        <v>116</v>
      </c>
      <c r="K42" s="17">
        <v>504000</v>
      </c>
      <c r="L42" s="23"/>
      <c r="M42" s="22"/>
      <c r="N42" s="22"/>
      <c r="O42" s="22"/>
      <c r="P42" s="22"/>
      <c r="Q42" s="23">
        <f t="shared" ref="Q42" si="36">SUM(K42:P42)</f>
        <v>504000</v>
      </c>
      <c r="R42" s="21"/>
      <c r="S42" s="24"/>
      <c r="T42" s="25"/>
    </row>
    <row r="43" spans="1:20" s="2" customFormat="1" ht="20.25" customHeight="1">
      <c r="A43" s="17">
        <v>39</v>
      </c>
      <c r="B43" s="83" t="s">
        <v>39</v>
      </c>
      <c r="C43" s="83" t="s">
        <v>40</v>
      </c>
      <c r="D43" s="83" t="s">
        <v>41</v>
      </c>
      <c r="E43" s="72" t="s">
        <v>42</v>
      </c>
      <c r="F43" s="19"/>
      <c r="G43" s="20">
        <v>46100</v>
      </c>
      <c r="H43" s="20">
        <f t="shared" ca="1" si="34"/>
        <v>46103</v>
      </c>
      <c r="I43" s="21" t="str">
        <f t="shared" ca="1" si="35"/>
        <v>0-Months</v>
      </c>
      <c r="J43" s="73" t="s">
        <v>143</v>
      </c>
      <c r="K43" s="17">
        <v>1330000</v>
      </c>
      <c r="L43" s="23"/>
      <c r="M43" s="22"/>
      <c r="N43" s="22"/>
      <c r="O43" s="22"/>
      <c r="P43" s="22"/>
      <c r="Q43" s="23">
        <f t="shared" ref="Q43:Q48" si="37">SUM(K43:P43)</f>
        <v>1330000</v>
      </c>
      <c r="R43" s="29"/>
      <c r="S43" s="24"/>
      <c r="T43" s="25"/>
    </row>
    <row r="44" spans="1:20" s="2" customFormat="1" ht="20.25" customHeight="1">
      <c r="A44" s="17">
        <v>40</v>
      </c>
      <c r="B44" s="76" t="s">
        <v>102</v>
      </c>
      <c r="C44" s="76" t="s">
        <v>99</v>
      </c>
      <c r="D44" s="72" t="s">
        <v>57</v>
      </c>
      <c r="E44" s="72" t="s">
        <v>100</v>
      </c>
      <c r="F44" s="19"/>
      <c r="G44" s="20">
        <v>46066</v>
      </c>
      <c r="H44" s="20">
        <f t="shared" ca="1" si="34"/>
        <v>46103</v>
      </c>
      <c r="I44" s="21" t="str">
        <f t="shared" ref="I44" ca="1" si="38">DATEDIF(G44,H44,"M")&amp;"-Months"</f>
        <v>1-Months</v>
      </c>
      <c r="J44" s="73" t="s">
        <v>101</v>
      </c>
      <c r="K44" s="17">
        <v>980000</v>
      </c>
      <c r="L44" s="23"/>
      <c r="M44" s="22"/>
      <c r="N44" s="22"/>
      <c r="O44" s="22"/>
      <c r="P44" s="22"/>
      <c r="Q44" s="23">
        <f t="shared" si="37"/>
        <v>980000</v>
      </c>
      <c r="R44" s="29"/>
      <c r="S44" s="24"/>
      <c r="T44" s="25"/>
    </row>
    <row r="45" spans="1:20" s="2" customFormat="1" ht="20.25" customHeight="1">
      <c r="A45" s="17">
        <v>41</v>
      </c>
      <c r="B45" s="72" t="s">
        <v>47</v>
      </c>
      <c r="C45" s="72" t="s">
        <v>48</v>
      </c>
      <c r="D45" s="72" t="s">
        <v>49</v>
      </c>
      <c r="E45" s="18" t="s">
        <v>50</v>
      </c>
      <c r="F45" s="19"/>
      <c r="G45" s="20">
        <v>46085</v>
      </c>
      <c r="H45" s="20">
        <f t="shared" ca="1" si="34"/>
        <v>46103</v>
      </c>
      <c r="I45" s="21" t="str">
        <f t="shared" ca="1" si="35"/>
        <v>0-Months</v>
      </c>
      <c r="J45" s="73" t="s">
        <v>112</v>
      </c>
      <c r="K45" s="17">
        <v>4340000</v>
      </c>
      <c r="L45" s="23"/>
      <c r="M45" s="22"/>
      <c r="N45" s="22"/>
      <c r="O45" s="22"/>
      <c r="P45" s="22"/>
      <c r="Q45" s="23">
        <f t="shared" si="37"/>
        <v>4340000</v>
      </c>
      <c r="R45" s="73"/>
      <c r="S45" s="24"/>
      <c r="T45" s="25"/>
    </row>
    <row r="46" spans="1:20" s="2" customFormat="1" ht="20.25" customHeight="1">
      <c r="A46" s="17">
        <v>42</v>
      </c>
      <c r="B46" s="72" t="s">
        <v>52</v>
      </c>
      <c r="C46" s="72" t="s">
        <v>53</v>
      </c>
      <c r="D46" s="72" t="s">
        <v>51</v>
      </c>
      <c r="E46" s="18" t="s">
        <v>54</v>
      </c>
      <c r="F46" s="19"/>
      <c r="G46" s="20">
        <v>46063</v>
      </c>
      <c r="H46" s="20">
        <f t="shared" ca="1" si="34"/>
        <v>46103</v>
      </c>
      <c r="I46" s="42" t="str">
        <f ca="1">DATEDIF(G46,H46,"M")&amp;"-Months"</f>
        <v>1-Months</v>
      </c>
      <c r="J46" s="73" t="s">
        <v>93</v>
      </c>
      <c r="K46" s="43">
        <v>1750000</v>
      </c>
      <c r="L46" s="44"/>
      <c r="M46" s="45"/>
      <c r="N46" s="45"/>
      <c r="O46" s="45"/>
      <c r="P46" s="45"/>
      <c r="Q46" s="46">
        <f t="shared" si="37"/>
        <v>1750000</v>
      </c>
      <c r="R46" s="29"/>
      <c r="S46" s="24"/>
      <c r="T46" s="25"/>
    </row>
    <row r="47" spans="1:20" s="2" customFormat="1" ht="20.25" customHeight="1">
      <c r="A47" s="17">
        <v>43</v>
      </c>
      <c r="B47" s="72" t="s">
        <v>59</v>
      </c>
      <c r="C47" s="72" t="s">
        <v>60</v>
      </c>
      <c r="D47" s="72" t="s">
        <v>46</v>
      </c>
      <c r="E47" s="18" t="s">
        <v>61</v>
      </c>
      <c r="F47" s="19"/>
      <c r="G47" s="20">
        <v>46088</v>
      </c>
      <c r="H47" s="20">
        <f t="shared" ca="1" si="34"/>
        <v>46103</v>
      </c>
      <c r="I47" s="21" t="str">
        <f t="shared" ref="I47" ca="1" si="39">DATEDIF(G47,H47,"M")&amp;"-Months"</f>
        <v>0-Months</v>
      </c>
      <c r="J47" s="73" t="s">
        <v>115</v>
      </c>
      <c r="K47" s="17">
        <v>912000</v>
      </c>
      <c r="L47" s="23"/>
      <c r="M47" s="22"/>
      <c r="N47" s="22"/>
      <c r="O47" s="22"/>
      <c r="P47" s="22"/>
      <c r="Q47" s="23">
        <f t="shared" si="37"/>
        <v>912000</v>
      </c>
      <c r="R47" s="21"/>
      <c r="S47" s="24"/>
      <c r="T47" s="25"/>
    </row>
    <row r="48" spans="1:20" s="2" customFormat="1" ht="20.25" customHeight="1">
      <c r="A48" s="17">
        <v>44</v>
      </c>
      <c r="B48" s="72" t="s">
        <v>94</v>
      </c>
      <c r="C48" s="72" t="s">
        <v>95</v>
      </c>
      <c r="D48" s="72" t="s">
        <v>96</v>
      </c>
      <c r="E48" s="72" t="s">
        <v>97</v>
      </c>
      <c r="F48" s="19"/>
      <c r="G48" s="20">
        <v>46090</v>
      </c>
      <c r="H48" s="20">
        <f t="shared" ca="1" si="34"/>
        <v>46103</v>
      </c>
      <c r="I48" s="21" t="str">
        <f t="shared" ref="I48" ca="1" si="40">DATEDIF(G48,H48,"M")&amp;"-Months"</f>
        <v>0-Months</v>
      </c>
      <c r="J48" s="73" t="s">
        <v>117</v>
      </c>
      <c r="K48" s="17">
        <v>59400</v>
      </c>
      <c r="L48" s="23"/>
      <c r="M48" s="22"/>
      <c r="N48" s="22"/>
      <c r="O48" s="22"/>
      <c r="P48" s="22"/>
      <c r="Q48" s="23">
        <f t="shared" si="37"/>
        <v>59400</v>
      </c>
      <c r="R48" s="21"/>
      <c r="S48" s="24"/>
      <c r="T48" s="25"/>
    </row>
    <row r="49" spans="1:31" s="2" customFormat="1" ht="21" customHeight="1">
      <c r="A49" s="52"/>
      <c r="B49" s="92" t="s">
        <v>66</v>
      </c>
      <c r="C49" s="85"/>
      <c r="D49" s="85"/>
      <c r="E49" s="86"/>
      <c r="F49" s="52"/>
      <c r="G49" s="32"/>
      <c r="H49" s="32"/>
      <c r="I49" s="33"/>
      <c r="J49" s="53"/>
      <c r="K49" s="35">
        <f>SUM(K42:K48)</f>
        <v>9875400</v>
      </c>
      <c r="L49" s="35">
        <f>SUM(L42)</f>
        <v>0</v>
      </c>
      <c r="M49" s="35">
        <f>SUM(M42)</f>
        <v>0</v>
      </c>
      <c r="N49" s="35">
        <f>SUM(N42)</f>
        <v>0</v>
      </c>
      <c r="O49" s="35">
        <f>SUM(O42:O42)</f>
        <v>0</v>
      </c>
      <c r="P49" s="35">
        <f>SUM(P42)</f>
        <v>0</v>
      </c>
      <c r="Q49" s="35">
        <f>SUM(K49:P49)</f>
        <v>9875400</v>
      </c>
      <c r="R49" s="33"/>
      <c r="S49" s="24"/>
      <c r="T49" s="25"/>
    </row>
    <row r="50" spans="1:31" s="2" customFormat="1" ht="18.75" customHeight="1">
      <c r="A50" s="17"/>
      <c r="B50" s="18"/>
      <c r="C50" s="18"/>
      <c r="D50" s="18"/>
      <c r="E50" s="18"/>
      <c r="F50" s="29"/>
      <c r="G50" s="20"/>
      <c r="H50" s="20"/>
      <c r="I50" s="39"/>
      <c r="J50" s="40"/>
      <c r="K50" s="41"/>
      <c r="L50" s="41"/>
      <c r="M50" s="41"/>
      <c r="N50" s="41"/>
      <c r="O50" s="41"/>
      <c r="P50" s="41"/>
      <c r="Q50" s="41"/>
      <c r="R50" s="21"/>
      <c r="S50" s="24"/>
      <c r="T50" s="25"/>
    </row>
    <row r="51" spans="1:31" s="3" customFormat="1" ht="20.25" customHeight="1">
      <c r="A51" s="54"/>
      <c r="B51" s="84" t="s">
        <v>67</v>
      </c>
      <c r="C51" s="85"/>
      <c r="D51" s="86"/>
      <c r="E51" s="54"/>
      <c r="F51" s="54"/>
      <c r="G51" s="36"/>
      <c r="H51" s="36"/>
      <c r="I51" s="51"/>
      <c r="J51" s="55"/>
      <c r="K51" s="55">
        <f t="shared" ref="K51:Q51" si="41">K35+K41+K49</f>
        <v>151856200</v>
      </c>
      <c r="L51" s="55">
        <f t="shared" si="41"/>
        <v>0</v>
      </c>
      <c r="M51" s="55" t="e">
        <f t="shared" si="41"/>
        <v>#REF!</v>
      </c>
      <c r="N51" s="55" t="e">
        <f t="shared" si="41"/>
        <v>#REF!</v>
      </c>
      <c r="O51" s="55">
        <f t="shared" si="41"/>
        <v>-7405000</v>
      </c>
      <c r="P51" s="55">
        <f t="shared" si="41"/>
        <v>0</v>
      </c>
      <c r="Q51" s="55">
        <f t="shared" si="41"/>
        <v>144451200</v>
      </c>
      <c r="R51" s="51"/>
      <c r="S51" s="37"/>
      <c r="T51" s="38"/>
    </row>
    <row r="52" spans="1:31" ht="22.5" customHeight="1">
      <c r="F52" s="11"/>
      <c r="G52" s="11"/>
      <c r="H52" s="11"/>
      <c r="S52" s="24"/>
      <c r="T52" s="56"/>
      <c r="V52" s="4"/>
      <c r="X52" s="4"/>
      <c r="AE52" s="4"/>
    </row>
    <row r="53" spans="1:31" ht="22.5" customHeight="1">
      <c r="D53" s="6"/>
      <c r="G53" s="11"/>
      <c r="H53" s="11"/>
      <c r="L53" s="9" t="s">
        <v>68</v>
      </c>
      <c r="S53" s="24"/>
      <c r="T53" s="56"/>
      <c r="V53" s="4"/>
      <c r="X53" s="4"/>
      <c r="AE53" s="4"/>
    </row>
    <row r="54" spans="1:31" ht="22.5" customHeight="1">
      <c r="B54" s="57"/>
      <c r="C54" s="57"/>
      <c r="D54" s="58" t="s">
        <v>69</v>
      </c>
      <c r="E54" s="58"/>
      <c r="F54" s="59">
        <v>149140200</v>
      </c>
      <c r="G54" s="37"/>
      <c r="H54" s="60"/>
      <c r="I54" s="61"/>
      <c r="S54" s="24"/>
      <c r="T54" s="56"/>
      <c r="V54" s="4"/>
      <c r="X54" s="4"/>
      <c r="AE54" s="4"/>
    </row>
    <row r="55" spans="1:31" ht="19.5" customHeight="1">
      <c r="B55" s="57"/>
      <c r="C55" s="57"/>
      <c r="D55" s="58" t="s">
        <v>70</v>
      </c>
      <c r="E55" s="58"/>
      <c r="F55" s="59">
        <v>21756000</v>
      </c>
      <c r="G55" s="37"/>
      <c r="H55" s="60"/>
      <c r="I55" s="61"/>
      <c r="S55" s="24"/>
      <c r="T55" s="56"/>
      <c r="V55" s="4"/>
      <c r="X55" s="4"/>
      <c r="AE55" s="4"/>
    </row>
    <row r="56" spans="1:31" ht="18.75" customHeight="1">
      <c r="B56" s="57"/>
      <c r="C56" s="57"/>
      <c r="D56" s="58" t="s">
        <v>71</v>
      </c>
      <c r="E56" s="58"/>
      <c r="F56" s="59"/>
      <c r="G56" s="37"/>
      <c r="H56" s="60"/>
      <c r="I56" s="61"/>
      <c r="S56" s="24"/>
      <c r="T56" s="56"/>
      <c r="V56" s="4"/>
      <c r="X56" s="4"/>
      <c r="AE56" s="4"/>
    </row>
    <row r="57" spans="1:31" ht="19.5" customHeight="1">
      <c r="B57" s="57"/>
      <c r="C57" s="57"/>
      <c r="D57" s="62" t="s">
        <v>72</v>
      </c>
      <c r="E57" s="62"/>
      <c r="F57" s="63"/>
      <c r="G57" s="37"/>
      <c r="H57" s="60"/>
      <c r="I57" s="61"/>
      <c r="S57" s="24"/>
      <c r="T57" s="56"/>
      <c r="V57" s="4"/>
      <c r="X57" s="4"/>
      <c r="AE57" s="4"/>
    </row>
    <row r="58" spans="1:31" ht="22.5" hidden="1" customHeight="1">
      <c r="B58" s="57"/>
      <c r="C58" s="57"/>
      <c r="D58" s="64" t="s">
        <v>73</v>
      </c>
      <c r="E58" s="64"/>
      <c r="F58" s="65">
        <f ca="1">SUMIF($I:$I,"13-Months",$Q:$Q)+SUMIF($I:$I,"14-Months",$Q:$Q)+SUMIF($I:$I,"15-Months",$Q:$Q)+SUMIF($I:$I,"16-Months",$Q:$Q)+SUMIF($I:$I,"17-Months",$Q:$Q)+SUMIF($I:$I,"18-Months",$Q:$Q)+SUMIF($I:$I,"19-Months",$Q:$Q)+SUMIF($I:$I,"20-Months",$Q:$Q)+SUMIF($I:$I,"21-Months",$Q:$Q)+SUMIF($I:$I,"22-Months",$Q:$Q)++SUMIF($I:$I,"23-Months",$Q:$Q)++SUMIF($I:$I,"24-Months",$Q:$Q)</f>
        <v>0</v>
      </c>
      <c r="G58" s="37"/>
      <c r="H58" s="60"/>
      <c r="I58" s="61"/>
      <c r="S58" s="24"/>
      <c r="T58" s="56"/>
      <c r="V58" s="4"/>
      <c r="X58" s="4"/>
      <c r="AE58" s="4"/>
    </row>
    <row r="59" spans="1:31" ht="22.5" hidden="1" customHeight="1">
      <c r="B59" s="57"/>
      <c r="C59" s="57"/>
      <c r="D59" s="66" t="s">
        <v>74</v>
      </c>
      <c r="E59" s="66"/>
      <c r="F59" s="67">
        <f ca="1">SUMIF($I:$I,"25-Months",$Q:$Q)+SUMIF($I:$I,"26-Months",$Q:$Q)+SUMIF($I:$I,"27-Months",$Q:$Q)+SUMIF($I:$I,"28-Months",$Q:$Q)+SUMIF($I:$I,"29-Months",$Q:$Q)+SUMIF($I:$I,"30-Months",$Q:$Q)+SUMIF($I:$I,"31-Months",$Q:$Q)+SUMIF($I:$I,"32-Months",$Q:$Q)+SUMIF($I:$I,"33-Months",$Q:$Q)+SUMIF($I:$I,"34-Months",$Q:$Q)++SUMIF($I:$I,"35-Months",$Q:$Q)++SUMIF($I:$I,"36-Months",$Q:$Q)</f>
        <v>0</v>
      </c>
      <c r="G59" s="37"/>
      <c r="H59" s="60"/>
      <c r="I59" s="61" t="s">
        <v>75</v>
      </c>
      <c r="S59" s="24"/>
      <c r="T59" s="56"/>
      <c r="V59" s="4"/>
      <c r="X59" s="4"/>
      <c r="AE59" s="4"/>
    </row>
    <row r="60" spans="1:31" ht="22.5" hidden="1" customHeight="1">
      <c r="B60" s="57"/>
      <c r="C60" s="57"/>
      <c r="D60" s="68" t="s">
        <v>76</v>
      </c>
      <c r="E60" s="68"/>
      <c r="F60" s="69">
        <f ca="1">SUMIF($I:$I,"37-Months",$Q:$Q)+SUMIF($I:$I,"38-Months",$Q:$Q)+SUMIF($I:$I,"39-Months",$Q:$Q)+SUMIF($I:$I,"40-Months",$Q:$Q)+SUMIF($I:$I,"41-Months",$Q:$Q)+SUMIF($I:$I,"42-Months",$Q:$Q)+SUMIF($I:$I,"43-Months",$Q:$Q)+SUMIF($I:$I,"44-Months",$Q:$Q)+SUMIF($I:$I,"45-Months",$Q:$Q)+SUMIF($I:$I,"46-Months",$Q:$Q)++SUMIF($I:$I,"47-Months",$Q:$Q)++SUMIF($I:$I,"48-Months",$Q:$Q)</f>
        <v>0</v>
      </c>
      <c r="G60" s="37"/>
      <c r="H60" s="60"/>
      <c r="I60" s="61"/>
      <c r="S60" s="24"/>
      <c r="T60" s="56"/>
      <c r="V60" s="4"/>
      <c r="X60" s="4"/>
      <c r="AE60" s="4"/>
    </row>
    <row r="61" spans="1:31" ht="22.5" hidden="1" customHeight="1">
      <c r="B61" s="57"/>
      <c r="C61" s="57"/>
      <c r="D61" s="68" t="s">
        <v>77</v>
      </c>
      <c r="E61" s="68"/>
      <c r="F61" s="69">
        <f ca="1">SUMIF($I:$I,"49-Months",$Q:$Q)+SUMIF($I:$I,"50-Months",$Q:$Q)+SUMIF($I:$I,"51-Months",$Q:$Q)+SUMIF($I:$I,"52-Months",$Q:$Q)+SUMIF($I:$I,"53-Months",$Q:$Q)+SUMIF($I:$I,"54-Months",$Q:$Q)+SUMIF($I:$I,"55-Months",$Q:$Q)+SUMIF($I:$I,"56-Months",$Q:$Q)+SUMIF($I:$I,"57-Months",$Q:$Q)+SUMIF($I:$I,"58-Months",$Q:$Q)++SUMIF($I:$I,"59-Months",$Q:$Q)++SUMIF($I:$I,"60-Months",$Q:$Q)</f>
        <v>0</v>
      </c>
      <c r="G61" s="37"/>
      <c r="H61" s="60"/>
      <c r="I61" s="61"/>
      <c r="S61" s="24"/>
      <c r="T61" s="56"/>
      <c r="V61" s="4"/>
      <c r="X61" s="4"/>
      <c r="AE61" s="4"/>
    </row>
    <row r="62" spans="1:31" ht="22.5" hidden="1" customHeight="1">
      <c r="B62" s="57"/>
      <c r="C62" s="57"/>
      <c r="D62" s="68" t="s">
        <v>78</v>
      </c>
      <c r="E62" s="68"/>
      <c r="F62" s="69">
        <f ca="1">SUMIF($I:$I,"61-Months",$Q:$Q)+SUMIF($I:$I,"62-Months",$Q:$Q)+SUMIF($I:$I,"63-Months",$Q:$Q)+SUMIF($I:$I,"64-Months",$Q:$Q)+SUMIF($I:$I,"65-Months",$Q:$Q)+SUMIF($I:$I,"66-Months",$Q:$Q)+SUMIF($I:$I,"67-Months",$Q:$Q)+SUMIF($I:$I,"68-Months",$Q:$Q)+SUMIF($I:$I,"69-Months",$Q:$Q)+SUMIF($I:$I,"70-Months",$Q:$Q)++SUMIF($I:$I,"71-Months",$Q:$Q)++SUMIF($I:$I,"72-Months",$Q:$Q)</f>
        <v>0</v>
      </c>
      <c r="G62" s="37"/>
      <c r="H62" s="60"/>
      <c r="I62" s="61"/>
      <c r="S62" s="24"/>
      <c r="T62" s="56"/>
      <c r="V62" s="4"/>
      <c r="X62" s="4"/>
      <c r="AE62" s="4"/>
    </row>
    <row r="63" spans="1:31" ht="19.5" customHeight="1">
      <c r="D63" s="58"/>
      <c r="E63" s="58"/>
      <c r="F63" s="70">
        <f ca="1">SUBTOTAL(9,F54:F62)</f>
        <v>170896200</v>
      </c>
      <c r="G63" s="11"/>
      <c r="H63" s="11"/>
      <c r="I63" s="8" t="s">
        <v>79</v>
      </c>
      <c r="S63" s="24"/>
      <c r="T63" s="56"/>
      <c r="V63" s="4"/>
      <c r="X63" s="4"/>
      <c r="AE63" s="4"/>
    </row>
    <row r="64" spans="1:31" ht="19.5" customHeight="1">
      <c r="D64" s="5" t="s">
        <v>80</v>
      </c>
      <c r="F64" s="9">
        <f ca="1">Q51-F63</f>
        <v>-26445000</v>
      </c>
      <c r="G64" s="11"/>
      <c r="H64" s="11"/>
      <c r="R64" s="4"/>
      <c r="S64" s="24"/>
      <c r="T64" s="56"/>
      <c r="V64" s="4"/>
      <c r="X64" s="4"/>
      <c r="AE64" s="4"/>
    </row>
    <row r="65" spans="6:31" ht="18" customHeight="1">
      <c r="F65" s="11"/>
      <c r="G65" s="11"/>
      <c r="H65" s="11"/>
      <c r="Q65" s="4"/>
      <c r="R65" s="4"/>
      <c r="S65" s="56"/>
      <c r="V65" s="4"/>
      <c r="X65" s="4"/>
      <c r="AE65" s="4"/>
    </row>
    <row r="66" spans="6:31" ht="18" customHeight="1">
      <c r="F66" s="11"/>
      <c r="G66" s="11"/>
      <c r="H66" s="11"/>
      <c r="Q66" s="4"/>
      <c r="R66" s="4"/>
      <c r="S66" s="56"/>
      <c r="V66" s="4"/>
      <c r="X66" s="4"/>
      <c r="AE66" s="4"/>
    </row>
    <row r="67" spans="6:31" ht="18" customHeight="1">
      <c r="F67" s="11"/>
      <c r="G67" s="11"/>
      <c r="H67" s="11"/>
      <c r="J67" s="4"/>
      <c r="K67" s="4"/>
      <c r="L67" s="4"/>
      <c r="M67" s="4"/>
      <c r="N67" s="4"/>
      <c r="O67" s="4"/>
      <c r="P67" s="4"/>
      <c r="Q67" s="4"/>
      <c r="R67" s="4"/>
      <c r="S67" s="56"/>
      <c r="V67" s="4"/>
      <c r="X67" s="4"/>
      <c r="AE67" s="4"/>
    </row>
    <row r="68" spans="6:31" ht="18" customHeight="1">
      <c r="F68" s="11"/>
      <c r="G68" s="11"/>
      <c r="H68" s="11"/>
      <c r="J68" s="4"/>
      <c r="K68" s="4"/>
      <c r="L68" s="4"/>
      <c r="M68" s="4"/>
      <c r="N68" s="4"/>
      <c r="O68" s="4"/>
      <c r="P68" s="4"/>
      <c r="Q68" s="4"/>
      <c r="R68" s="4"/>
      <c r="V68" s="4"/>
      <c r="X68" s="4"/>
      <c r="AE68" s="4"/>
    </row>
    <row r="69" spans="6:31" ht="18" customHeight="1">
      <c r="F69" s="11"/>
      <c r="G69" s="11"/>
      <c r="H69" s="11"/>
      <c r="J69" s="4"/>
      <c r="K69" s="4"/>
      <c r="L69" s="4"/>
      <c r="M69" s="4"/>
      <c r="N69" s="4"/>
      <c r="O69" s="4"/>
      <c r="P69" s="4"/>
      <c r="Q69" s="4"/>
      <c r="R69" s="4"/>
      <c r="V69" s="4"/>
      <c r="X69" s="4"/>
      <c r="AE69" s="4"/>
    </row>
    <row r="70" spans="6:31" ht="18" customHeight="1">
      <c r="F70" s="11"/>
      <c r="G70" s="11"/>
      <c r="H70" s="11"/>
      <c r="J70" s="4"/>
      <c r="K70" s="4"/>
      <c r="L70" s="4"/>
      <c r="M70" s="4"/>
      <c r="N70" s="4"/>
      <c r="O70" s="4"/>
      <c r="P70" s="4"/>
      <c r="Q70" s="4"/>
      <c r="R70" s="4"/>
      <c r="S70" s="4"/>
      <c r="V70" s="4"/>
      <c r="X70" s="4"/>
      <c r="AE70" s="4"/>
    </row>
    <row r="71" spans="6:31" ht="18" customHeight="1">
      <c r="F71" s="11"/>
      <c r="G71" s="11"/>
      <c r="H71" s="11"/>
      <c r="J71" s="4"/>
      <c r="K71" s="4"/>
      <c r="L71" s="4"/>
      <c r="M71" s="4"/>
      <c r="N71" s="4"/>
      <c r="O71" s="4"/>
      <c r="P71" s="4"/>
      <c r="Q71" s="4"/>
      <c r="R71" s="4"/>
      <c r="V71" s="4"/>
      <c r="X71" s="4"/>
      <c r="AE71" s="4"/>
    </row>
    <row r="72" spans="6:31" ht="18" customHeight="1">
      <c r="F72" s="11"/>
      <c r="G72" s="11"/>
      <c r="H72" s="11"/>
      <c r="J72" s="4"/>
      <c r="K72" s="4"/>
      <c r="L72" s="4"/>
      <c r="M72" s="4"/>
      <c r="N72" s="4"/>
      <c r="O72" s="4"/>
      <c r="P72" s="4"/>
      <c r="Q72" s="4"/>
      <c r="R72" s="4"/>
      <c r="V72" s="4"/>
      <c r="X72" s="4"/>
      <c r="AE72" s="4"/>
    </row>
    <row r="73" spans="6:31" ht="18" customHeight="1">
      <c r="F73" s="11"/>
      <c r="G73" s="11"/>
      <c r="H73" s="11"/>
      <c r="J73" s="4"/>
      <c r="K73" s="4"/>
      <c r="L73" s="4"/>
      <c r="M73" s="4"/>
      <c r="N73" s="4"/>
      <c r="O73" s="4"/>
      <c r="P73" s="4"/>
      <c r="R73" s="4"/>
      <c r="V73" s="4"/>
      <c r="X73" s="4"/>
      <c r="AE73" s="4"/>
    </row>
    <row r="74" spans="6:31" ht="18" customHeight="1">
      <c r="F74" s="11"/>
      <c r="G74" s="11"/>
      <c r="H74" s="11"/>
      <c r="J74" s="4"/>
      <c r="K74" s="4"/>
      <c r="L74" s="4"/>
      <c r="M74" s="4"/>
      <c r="N74" s="4"/>
      <c r="O74" s="4"/>
      <c r="P74" s="4"/>
      <c r="Q74" s="4"/>
      <c r="R74" s="4"/>
      <c r="V74" s="4"/>
      <c r="X74" s="4"/>
      <c r="AE74" s="4"/>
    </row>
    <row r="75" spans="6:31" ht="18" customHeight="1">
      <c r="F75" s="11"/>
      <c r="G75" s="11"/>
      <c r="H75" s="11"/>
      <c r="J75" s="4"/>
      <c r="K75" s="4"/>
      <c r="L75" s="4"/>
      <c r="M75" s="4"/>
      <c r="N75" s="4"/>
      <c r="O75" s="4"/>
      <c r="P75" s="4"/>
      <c r="Q75" s="4"/>
      <c r="R75" s="4"/>
      <c r="V75" s="4"/>
      <c r="X75" s="4"/>
      <c r="AE75" s="4"/>
    </row>
    <row r="76" spans="6:31" ht="18" customHeight="1">
      <c r="F76" s="11"/>
      <c r="G76" s="11"/>
      <c r="H76" s="11"/>
      <c r="J76" s="4"/>
      <c r="K76" s="4"/>
      <c r="L76" s="4"/>
      <c r="M76" s="4"/>
      <c r="N76" s="4"/>
      <c r="O76" s="4"/>
      <c r="P76" s="4"/>
      <c r="Q76" s="4"/>
      <c r="R76" s="4"/>
      <c r="V76" s="4"/>
      <c r="X76" s="4"/>
      <c r="AE76" s="4"/>
    </row>
    <row r="77" spans="6:31" ht="18" customHeight="1">
      <c r="F77" s="11"/>
      <c r="G77" s="11"/>
      <c r="H77" s="11"/>
      <c r="J77" s="4"/>
      <c r="K77" s="4"/>
      <c r="L77" s="4"/>
      <c r="M77" s="4"/>
      <c r="N77" s="4"/>
      <c r="O77" s="4"/>
      <c r="P77" s="4"/>
      <c r="Q77" s="4"/>
      <c r="R77" s="4"/>
      <c r="V77" s="4"/>
      <c r="X77" s="4"/>
      <c r="AE77" s="4"/>
    </row>
    <row r="78" spans="6:31" ht="18" customHeight="1">
      <c r="F78" s="11"/>
      <c r="G78" s="11"/>
      <c r="H78" s="11"/>
      <c r="J78" s="4"/>
      <c r="K78" s="4"/>
      <c r="L78" s="4"/>
      <c r="M78" s="4"/>
      <c r="N78" s="4"/>
      <c r="O78" s="4"/>
      <c r="P78" s="4"/>
      <c r="Q78" s="4"/>
      <c r="R78" s="4"/>
      <c r="V78" s="4"/>
      <c r="X78" s="4"/>
      <c r="AE78" s="4"/>
    </row>
    <row r="79" spans="6:31" ht="18" customHeight="1">
      <c r="F79" s="11"/>
      <c r="G79" s="11"/>
      <c r="H79" s="11"/>
      <c r="J79" s="4"/>
      <c r="K79" s="4"/>
      <c r="L79" s="4"/>
      <c r="M79" s="4"/>
      <c r="N79" s="4"/>
      <c r="O79" s="4"/>
      <c r="P79" s="4"/>
      <c r="Q79" s="4"/>
      <c r="R79" s="4"/>
      <c r="V79" s="4"/>
      <c r="X79" s="4"/>
      <c r="AE79" s="4"/>
    </row>
    <row r="80" spans="6:31" ht="18" customHeight="1">
      <c r="F80" s="11"/>
      <c r="G80" s="11"/>
      <c r="H80" s="11"/>
      <c r="J80" s="4"/>
      <c r="K80" s="4"/>
      <c r="L80" s="4"/>
      <c r="M80" s="4"/>
      <c r="N80" s="4"/>
      <c r="O80" s="4"/>
      <c r="P80" s="4"/>
      <c r="Q80" s="4"/>
      <c r="R80" s="4"/>
      <c r="V80" s="4"/>
      <c r="X80" s="4"/>
      <c r="AE80" s="4"/>
    </row>
    <row r="81" spans="6:31" ht="18" customHeight="1">
      <c r="F81" s="11"/>
      <c r="G81" s="11"/>
      <c r="H81" s="11"/>
      <c r="J81" s="4"/>
      <c r="K81" s="4"/>
      <c r="L81" s="4"/>
      <c r="M81" s="4"/>
      <c r="N81" s="4"/>
      <c r="O81" s="4"/>
      <c r="P81" s="4"/>
      <c r="Q81" s="4"/>
      <c r="R81" s="4"/>
      <c r="V81" s="4"/>
      <c r="X81" s="4"/>
      <c r="AE81" s="4"/>
    </row>
    <row r="82" spans="6:31" ht="18" customHeight="1">
      <c r="F82" s="11"/>
      <c r="G82" s="11"/>
      <c r="H82" s="11"/>
      <c r="J82" s="4"/>
      <c r="K82" s="4"/>
      <c r="L82" s="4"/>
      <c r="M82" s="4"/>
      <c r="N82" s="4"/>
      <c r="O82" s="4"/>
      <c r="P82" s="4"/>
      <c r="Q82" s="4"/>
      <c r="R82" s="4"/>
      <c r="V82" s="4"/>
      <c r="X82" s="4"/>
      <c r="AE82" s="4"/>
    </row>
    <row r="83" spans="6:31" ht="18" customHeight="1">
      <c r="F83" s="11"/>
      <c r="G83" s="11"/>
      <c r="H83" s="11"/>
      <c r="J83" s="4"/>
      <c r="K83" s="4"/>
      <c r="L83" s="4"/>
      <c r="M83" s="4"/>
      <c r="N83" s="4"/>
      <c r="O83" s="4"/>
      <c r="P83" s="4"/>
      <c r="Q83" s="4"/>
      <c r="R83" s="4"/>
      <c r="V83" s="4"/>
      <c r="X83" s="4"/>
      <c r="AE83" s="4"/>
    </row>
    <row r="84" spans="6:31" ht="18" customHeight="1">
      <c r="F84" s="11"/>
      <c r="G84" s="11"/>
      <c r="H84" s="11"/>
      <c r="J84" s="4"/>
      <c r="K84" s="4"/>
      <c r="L84" s="4"/>
      <c r="M84" s="4"/>
      <c r="N84" s="4"/>
      <c r="O84" s="4"/>
      <c r="P84" s="4"/>
      <c r="Q84" s="4"/>
      <c r="R84" s="4"/>
      <c r="S84" s="4"/>
      <c r="V84" s="4"/>
      <c r="X84" s="4"/>
      <c r="AE84" s="4"/>
    </row>
    <row r="85" spans="6:31" ht="18" customHeight="1">
      <c r="F85" s="11"/>
      <c r="G85" s="11"/>
      <c r="H85" s="11"/>
      <c r="J85" s="4"/>
      <c r="K85" s="4"/>
      <c r="L85" s="4"/>
      <c r="M85" s="4"/>
      <c r="N85" s="4"/>
      <c r="O85" s="4"/>
      <c r="P85" s="4"/>
      <c r="Q85" s="4"/>
      <c r="R85" s="4"/>
      <c r="V85" s="4"/>
      <c r="X85" s="4"/>
      <c r="AE85" s="4"/>
    </row>
    <row r="86" spans="6:31" ht="18" customHeight="1">
      <c r="F86" s="11"/>
      <c r="G86" s="11"/>
      <c r="H86" s="11"/>
      <c r="J86" s="4"/>
      <c r="K86" s="4"/>
      <c r="L86" s="4"/>
      <c r="M86" s="4"/>
      <c r="N86" s="4"/>
      <c r="O86" s="4"/>
      <c r="P86" s="4"/>
      <c r="Q86" s="4"/>
      <c r="R86" s="4"/>
      <c r="V86" s="4"/>
      <c r="X86" s="4"/>
      <c r="AE86" s="4"/>
    </row>
    <row r="87" spans="6:31" ht="18" customHeight="1">
      <c r="F87" s="11"/>
      <c r="G87" s="11"/>
      <c r="H87" s="11"/>
      <c r="J87" s="4"/>
      <c r="K87" s="4"/>
      <c r="L87" s="4"/>
      <c r="M87" s="4"/>
      <c r="N87" s="4"/>
      <c r="O87" s="4"/>
      <c r="P87" s="4"/>
      <c r="Q87" s="4"/>
      <c r="R87" s="4"/>
      <c r="V87" s="4"/>
      <c r="X87" s="4"/>
      <c r="AE87" s="4"/>
    </row>
    <row r="88" spans="6:31" ht="18" customHeight="1">
      <c r="F88" s="11"/>
      <c r="G88" s="11"/>
      <c r="H88" s="11"/>
      <c r="J88" s="4"/>
      <c r="K88" s="4"/>
      <c r="L88" s="4"/>
      <c r="M88" s="4"/>
      <c r="N88" s="4"/>
      <c r="O88" s="4"/>
      <c r="P88" s="4"/>
      <c r="Q88" s="4"/>
      <c r="R88" s="4"/>
      <c r="V88" s="4"/>
      <c r="X88" s="4"/>
      <c r="AE88" s="4"/>
    </row>
    <row r="89" spans="6:31" ht="18" customHeight="1">
      <c r="F89" s="11"/>
      <c r="G89" s="11"/>
      <c r="H89" s="11"/>
      <c r="J89" s="4"/>
      <c r="K89" s="4"/>
      <c r="L89" s="4"/>
      <c r="M89" s="4"/>
      <c r="N89" s="4"/>
      <c r="O89" s="4"/>
      <c r="P89" s="4"/>
      <c r="Q89" s="4"/>
      <c r="R89" s="4"/>
    </row>
    <row r="90" spans="6:31" ht="18" customHeight="1">
      <c r="F90" s="11"/>
      <c r="G90" s="11"/>
      <c r="H90" s="11"/>
      <c r="J90" s="4"/>
      <c r="K90" s="4"/>
      <c r="L90" s="4"/>
      <c r="M90" s="4"/>
      <c r="N90" s="4"/>
      <c r="O90" s="4"/>
      <c r="P90" s="4"/>
      <c r="Q90" s="4"/>
      <c r="R90" s="4"/>
    </row>
    <row r="91" spans="6:31" ht="18" customHeight="1">
      <c r="F91" s="11"/>
      <c r="G91" s="11"/>
      <c r="H91" s="11"/>
      <c r="J91" s="4"/>
      <c r="K91" s="4"/>
      <c r="L91" s="4"/>
      <c r="M91" s="4"/>
      <c r="N91" s="4"/>
      <c r="O91" s="4"/>
      <c r="P91" s="4"/>
      <c r="Q91" s="4"/>
      <c r="R91" s="4"/>
    </row>
    <row r="92" spans="6:31" ht="18" customHeight="1">
      <c r="F92" s="11"/>
      <c r="G92" s="11"/>
      <c r="H92" s="11"/>
      <c r="J92" s="4"/>
      <c r="K92" s="4"/>
      <c r="L92" s="4"/>
      <c r="M92" s="4"/>
      <c r="N92" s="4"/>
      <c r="O92" s="4"/>
      <c r="P92" s="4"/>
      <c r="Q92" s="4"/>
      <c r="R92" s="4"/>
    </row>
    <row r="93" spans="6:31" ht="18" customHeight="1">
      <c r="F93" s="11"/>
      <c r="G93" s="11"/>
      <c r="H93" s="11"/>
      <c r="J93" s="4"/>
      <c r="K93" s="4"/>
      <c r="L93" s="4"/>
      <c r="M93" s="4"/>
      <c r="N93" s="4"/>
      <c r="O93" s="4"/>
      <c r="P93" s="4"/>
      <c r="Q93" s="4"/>
      <c r="R93" s="4"/>
    </row>
    <row r="94" spans="6:31" ht="18" customHeight="1">
      <c r="F94" s="11"/>
      <c r="G94" s="11"/>
      <c r="H94" s="11"/>
      <c r="J94" s="4"/>
      <c r="K94" s="4"/>
      <c r="L94" s="4"/>
      <c r="M94" s="4"/>
      <c r="N94" s="4"/>
      <c r="O94" s="4"/>
      <c r="P94" s="4"/>
      <c r="Q94" s="4"/>
      <c r="R94" s="4"/>
      <c r="V94" s="4"/>
      <c r="X94" s="4"/>
      <c r="AE94" s="4"/>
    </row>
    <row r="95" spans="6:31" ht="18" customHeight="1">
      <c r="F95" s="11"/>
      <c r="G95" s="11"/>
      <c r="H95" s="11"/>
      <c r="J95" s="4"/>
      <c r="K95" s="4"/>
      <c r="L95" s="4"/>
      <c r="M95" s="4"/>
      <c r="N95" s="4"/>
      <c r="O95" s="4"/>
      <c r="P95" s="4"/>
      <c r="Q95" s="4"/>
      <c r="R95" s="4"/>
    </row>
    <row r="96" spans="6:31" ht="18" customHeight="1">
      <c r="F96" s="11"/>
      <c r="G96" s="11"/>
      <c r="H96" s="11"/>
      <c r="J96" s="4"/>
      <c r="K96" s="4"/>
      <c r="L96" s="4"/>
      <c r="M96" s="4"/>
      <c r="N96" s="4"/>
      <c r="O96" s="4"/>
      <c r="P96" s="4"/>
      <c r="Q96" s="4"/>
      <c r="R96" s="4"/>
    </row>
    <row r="97" spans="6:31" ht="18" customHeight="1">
      <c r="F97" s="11"/>
      <c r="G97" s="11"/>
      <c r="H97" s="11"/>
      <c r="J97" s="4"/>
      <c r="K97" s="4"/>
      <c r="L97" s="4"/>
      <c r="M97" s="4"/>
      <c r="N97" s="4"/>
      <c r="O97" s="4"/>
      <c r="P97" s="4"/>
      <c r="Q97" s="4"/>
      <c r="R97" s="4"/>
    </row>
    <row r="98" spans="6:31" ht="18" customHeight="1">
      <c r="F98" s="11"/>
      <c r="G98" s="11"/>
      <c r="H98" s="11"/>
      <c r="J98" s="4"/>
      <c r="K98" s="4"/>
      <c r="L98" s="4"/>
      <c r="M98" s="4"/>
      <c r="N98" s="4"/>
      <c r="O98" s="4"/>
      <c r="P98" s="4"/>
      <c r="Q98" s="4"/>
      <c r="R98" s="4"/>
    </row>
    <row r="99" spans="6:31" ht="18" customHeight="1">
      <c r="F99" s="11"/>
      <c r="G99" s="11"/>
      <c r="H99" s="11"/>
      <c r="J99" s="4"/>
      <c r="K99" s="4"/>
      <c r="L99" s="4"/>
      <c r="M99" s="4"/>
      <c r="N99" s="4"/>
      <c r="O99" s="4"/>
      <c r="P99" s="4"/>
      <c r="Q99" s="4"/>
      <c r="R99" s="4"/>
    </row>
    <row r="100" spans="6:31" ht="18" customHeight="1">
      <c r="F100" s="11"/>
      <c r="G100" s="11"/>
      <c r="H100" s="11"/>
      <c r="J100" s="4"/>
      <c r="K100" s="4"/>
      <c r="L100" s="4"/>
      <c r="M100" s="4"/>
      <c r="N100" s="4"/>
      <c r="O100" s="4"/>
      <c r="P100" s="4"/>
      <c r="Q100" s="4"/>
      <c r="R100" s="4"/>
    </row>
    <row r="101" spans="6:31" ht="18" customHeight="1">
      <c r="F101" s="11"/>
      <c r="G101" s="11"/>
      <c r="H101" s="11"/>
      <c r="J101" s="4"/>
      <c r="K101" s="4"/>
      <c r="L101" s="4"/>
      <c r="M101" s="4"/>
      <c r="N101" s="4"/>
      <c r="O101" s="4"/>
      <c r="P101" s="4"/>
      <c r="Q101" s="4"/>
      <c r="R101" s="4"/>
    </row>
    <row r="102" spans="6:31" ht="18" customHeight="1">
      <c r="F102" s="11"/>
      <c r="G102" s="11"/>
      <c r="H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V102" s="4"/>
      <c r="X102" s="4"/>
      <c r="AE102" s="4"/>
    </row>
    <row r="103" spans="6:31" ht="18" customHeight="1">
      <c r="F103" s="11"/>
      <c r="G103" s="11"/>
      <c r="H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V103" s="4"/>
      <c r="X103" s="4"/>
      <c r="AE103" s="4"/>
    </row>
    <row r="104" spans="6:31" ht="18" customHeight="1">
      <c r="F104" s="11"/>
      <c r="G104" s="11"/>
      <c r="H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V104" s="4"/>
      <c r="X104" s="4"/>
      <c r="AE104" s="4"/>
    </row>
    <row r="105" spans="6:31" ht="18" customHeight="1">
      <c r="F105" s="11"/>
      <c r="G105" s="11"/>
      <c r="H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V105" s="4"/>
      <c r="X105" s="4"/>
      <c r="AE105" s="4"/>
    </row>
    <row r="106" spans="6:31" ht="18" customHeight="1">
      <c r="F106" s="11"/>
      <c r="G106" s="11"/>
      <c r="H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V106" s="4"/>
      <c r="X106" s="4"/>
      <c r="AE106" s="4"/>
    </row>
    <row r="107" spans="6:31" ht="18" customHeight="1">
      <c r="F107" s="11"/>
      <c r="G107" s="11"/>
      <c r="H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V107" s="4"/>
      <c r="X107" s="4"/>
      <c r="AE107" s="4"/>
    </row>
    <row r="108" spans="6:31" ht="18" customHeight="1">
      <c r="F108" s="11"/>
      <c r="G108" s="11"/>
      <c r="H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V108" s="4"/>
      <c r="X108" s="4"/>
      <c r="AE108" s="4"/>
    </row>
    <row r="109" spans="6:31" ht="18" customHeight="1">
      <c r="F109" s="11"/>
      <c r="G109" s="11"/>
      <c r="H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V109" s="4"/>
      <c r="X109" s="4"/>
      <c r="AE109" s="4"/>
    </row>
    <row r="110" spans="6:31" ht="18" customHeight="1">
      <c r="F110" s="11"/>
      <c r="G110" s="11"/>
      <c r="H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V110" s="4"/>
      <c r="X110" s="4"/>
      <c r="AE110" s="4"/>
    </row>
    <row r="111" spans="6:31" ht="18" customHeight="1">
      <c r="F111" s="11"/>
      <c r="G111" s="11"/>
      <c r="H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V111" s="4"/>
      <c r="X111" s="4"/>
      <c r="AE111" s="4"/>
    </row>
    <row r="112" spans="6:31" ht="18" customHeight="1">
      <c r="F112" s="11"/>
      <c r="G112" s="11"/>
      <c r="H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V112" s="4"/>
      <c r="X112" s="4"/>
      <c r="AE112" s="4"/>
    </row>
    <row r="113" spans="6:31" ht="18" customHeight="1">
      <c r="F113" s="11"/>
      <c r="G113" s="11"/>
      <c r="H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V113" s="4"/>
      <c r="X113" s="4"/>
      <c r="AE113" s="4"/>
    </row>
    <row r="114" spans="6:31" ht="18" customHeight="1">
      <c r="F114" s="11"/>
      <c r="G114" s="11"/>
      <c r="H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V114" s="4"/>
      <c r="X114" s="4"/>
      <c r="AE114" s="4"/>
    </row>
    <row r="115" spans="6:31" ht="18" customHeight="1">
      <c r="F115" s="11"/>
      <c r="G115" s="11"/>
      <c r="H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V115" s="4"/>
      <c r="X115" s="4"/>
      <c r="AE115" s="4"/>
    </row>
    <row r="116" spans="6:31" ht="18" customHeight="1">
      <c r="F116" s="11"/>
      <c r="G116" s="11"/>
      <c r="H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V116" s="4"/>
      <c r="X116" s="4"/>
      <c r="AE116" s="4"/>
    </row>
    <row r="117" spans="6:31" ht="18" customHeight="1">
      <c r="F117" s="11"/>
      <c r="G117" s="11"/>
      <c r="H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V117" s="4"/>
      <c r="X117" s="4"/>
      <c r="AE117" s="4"/>
    </row>
    <row r="118" spans="6:31" ht="18" customHeight="1">
      <c r="F118" s="11"/>
      <c r="G118" s="11"/>
      <c r="H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V118" s="4"/>
      <c r="X118" s="4"/>
      <c r="AE118" s="4"/>
    </row>
    <row r="119" spans="6:31" ht="18" customHeight="1">
      <c r="F119" s="11"/>
      <c r="G119" s="11"/>
      <c r="H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V119" s="4"/>
      <c r="X119" s="4"/>
      <c r="AE119" s="4"/>
    </row>
    <row r="120" spans="6:31" ht="18" customHeight="1">
      <c r="F120" s="11"/>
      <c r="G120" s="11"/>
      <c r="H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V120" s="4"/>
      <c r="X120" s="4"/>
      <c r="AE120" s="4"/>
    </row>
    <row r="121" spans="6:31" ht="18" customHeight="1">
      <c r="F121" s="11"/>
      <c r="G121" s="11"/>
      <c r="H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V121" s="4"/>
      <c r="X121" s="4"/>
      <c r="AE121" s="4"/>
    </row>
    <row r="122" spans="6:31" ht="18" customHeight="1">
      <c r="F122" s="11"/>
      <c r="G122" s="11"/>
      <c r="H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V122" s="4"/>
      <c r="X122" s="4"/>
      <c r="AE122" s="4"/>
    </row>
    <row r="123" spans="6:31" ht="18" customHeight="1">
      <c r="F123" s="11"/>
      <c r="G123" s="11"/>
      <c r="H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V123" s="4"/>
      <c r="X123" s="4"/>
      <c r="AE123" s="4"/>
    </row>
    <row r="124" spans="6:31" ht="18" customHeight="1">
      <c r="F124" s="11"/>
      <c r="G124" s="11"/>
      <c r="H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V124" s="4"/>
      <c r="X124" s="4"/>
      <c r="AE124" s="4"/>
    </row>
    <row r="125" spans="6:31" ht="18" customHeight="1">
      <c r="F125" s="11"/>
      <c r="G125" s="11"/>
      <c r="H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V125" s="4"/>
      <c r="X125" s="4"/>
      <c r="AE125" s="4"/>
    </row>
    <row r="126" spans="6:31" ht="18" customHeight="1">
      <c r="F126" s="11"/>
      <c r="G126" s="11"/>
      <c r="H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V126" s="4"/>
      <c r="X126" s="4"/>
      <c r="AE126" s="4"/>
    </row>
    <row r="127" spans="6:31" ht="18" customHeight="1">
      <c r="F127" s="11"/>
      <c r="G127" s="11"/>
      <c r="H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V127" s="4"/>
      <c r="X127" s="4"/>
      <c r="AE127" s="4"/>
    </row>
    <row r="128" spans="6:31" ht="18" customHeight="1">
      <c r="F128" s="11"/>
      <c r="G128" s="11"/>
      <c r="H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V128" s="4"/>
      <c r="X128" s="4"/>
      <c r="AE128" s="4"/>
    </row>
    <row r="129" spans="6:31" ht="18" customHeight="1">
      <c r="F129" s="11"/>
      <c r="G129" s="11"/>
      <c r="H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V129" s="4"/>
      <c r="X129" s="4"/>
      <c r="AE129" s="4"/>
    </row>
    <row r="130" spans="6:31" ht="18" customHeight="1">
      <c r="F130" s="11"/>
      <c r="G130" s="11"/>
      <c r="H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V130" s="4"/>
      <c r="X130" s="4"/>
      <c r="AE130" s="4"/>
    </row>
    <row r="131" spans="6:31" ht="18" customHeight="1">
      <c r="F131" s="11"/>
      <c r="G131" s="11"/>
      <c r="H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V131" s="4"/>
      <c r="X131" s="4"/>
      <c r="AE131" s="4"/>
    </row>
    <row r="132" spans="6:31" ht="18" customHeight="1">
      <c r="F132" s="11"/>
      <c r="G132" s="11"/>
      <c r="H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V132" s="4"/>
      <c r="X132" s="4"/>
      <c r="AE132" s="4"/>
    </row>
    <row r="133" spans="6:31" ht="18" customHeight="1">
      <c r="F133" s="11"/>
      <c r="G133" s="11"/>
      <c r="H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V133" s="4"/>
      <c r="X133" s="4"/>
      <c r="AE133" s="4"/>
    </row>
    <row r="134" spans="6:31" ht="18" customHeight="1">
      <c r="F134" s="11"/>
      <c r="G134" s="11"/>
      <c r="H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V134" s="4"/>
      <c r="X134" s="4"/>
      <c r="AE134" s="4"/>
    </row>
    <row r="135" spans="6:31" ht="18" customHeight="1">
      <c r="F135" s="11"/>
      <c r="G135" s="11"/>
      <c r="H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V135" s="4"/>
      <c r="X135" s="4"/>
      <c r="AE135" s="4"/>
    </row>
    <row r="136" spans="6:31" ht="18" customHeight="1">
      <c r="F136" s="11"/>
      <c r="G136" s="11"/>
      <c r="H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V136" s="4"/>
      <c r="X136" s="4"/>
      <c r="AE136" s="4"/>
    </row>
    <row r="137" spans="6:31" ht="18" customHeight="1">
      <c r="F137" s="11"/>
      <c r="G137" s="11"/>
      <c r="H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V137" s="4"/>
      <c r="X137" s="4"/>
      <c r="AE137" s="4"/>
    </row>
    <row r="138" spans="6:31" ht="18" customHeight="1">
      <c r="F138" s="11"/>
      <c r="G138" s="11"/>
      <c r="H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V138" s="4"/>
      <c r="X138" s="4"/>
      <c r="AE138" s="4"/>
    </row>
    <row r="139" spans="6:31" ht="18" customHeight="1">
      <c r="F139" s="11"/>
      <c r="G139" s="11"/>
      <c r="H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V139" s="4"/>
      <c r="X139" s="4"/>
      <c r="AE139" s="4"/>
    </row>
    <row r="140" spans="6:31" ht="18" customHeight="1">
      <c r="F140" s="11"/>
      <c r="G140" s="11"/>
      <c r="H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V140" s="4"/>
      <c r="X140" s="4"/>
      <c r="AE140" s="4"/>
    </row>
    <row r="141" spans="6:31" ht="18" customHeight="1">
      <c r="F141" s="11"/>
      <c r="G141" s="11"/>
      <c r="H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V141" s="4"/>
      <c r="X141" s="4"/>
      <c r="AE141" s="4"/>
    </row>
    <row r="142" spans="6:31" ht="18" customHeight="1">
      <c r="F142" s="11"/>
      <c r="G142" s="11"/>
      <c r="H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V142" s="4"/>
      <c r="X142" s="4"/>
      <c r="AE142" s="4"/>
    </row>
    <row r="143" spans="6:31" ht="18" customHeight="1">
      <c r="F143" s="11"/>
      <c r="G143" s="11"/>
      <c r="H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V143" s="4"/>
      <c r="X143" s="4"/>
      <c r="AE143" s="4"/>
    </row>
    <row r="144" spans="6:31" ht="18" customHeight="1">
      <c r="F144" s="11"/>
      <c r="G144" s="11"/>
      <c r="H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V144" s="4"/>
      <c r="X144" s="4"/>
      <c r="AE144" s="4"/>
    </row>
    <row r="145" spans="6:31" ht="18" customHeight="1">
      <c r="F145" s="11"/>
      <c r="G145" s="11"/>
      <c r="H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V145" s="4"/>
      <c r="X145" s="4"/>
      <c r="AE145" s="4"/>
    </row>
    <row r="146" spans="6:31" ht="18" customHeight="1">
      <c r="F146" s="11"/>
      <c r="G146" s="11"/>
      <c r="H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V146" s="4"/>
      <c r="X146" s="4"/>
      <c r="AE146" s="4"/>
    </row>
    <row r="147" spans="6:31" ht="18" customHeight="1">
      <c r="F147" s="11"/>
      <c r="G147" s="11"/>
      <c r="H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V147" s="4"/>
      <c r="X147" s="4"/>
      <c r="AE147" s="4"/>
    </row>
    <row r="148" spans="6:31" ht="18" customHeight="1">
      <c r="F148" s="11"/>
      <c r="G148" s="11"/>
      <c r="H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V148" s="4"/>
      <c r="X148" s="4"/>
      <c r="AE148" s="4"/>
    </row>
    <row r="149" spans="6:31" ht="18" customHeight="1">
      <c r="F149" s="11"/>
      <c r="G149" s="11"/>
      <c r="H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V149" s="4"/>
      <c r="X149" s="4"/>
      <c r="AE149" s="4"/>
    </row>
    <row r="150" spans="6:31" ht="18" customHeight="1">
      <c r="F150" s="11"/>
      <c r="G150" s="11"/>
      <c r="H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V150" s="4"/>
      <c r="X150" s="4"/>
      <c r="AE150" s="4"/>
    </row>
    <row r="151" spans="6:31" ht="18" customHeight="1">
      <c r="F151" s="11"/>
      <c r="G151" s="11"/>
      <c r="H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V151" s="4"/>
      <c r="X151" s="4"/>
      <c r="AE151" s="4"/>
    </row>
    <row r="152" spans="6:31" ht="18" customHeight="1">
      <c r="F152" s="11"/>
      <c r="G152" s="11"/>
      <c r="H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V152" s="4"/>
      <c r="X152" s="4"/>
      <c r="AE152" s="4"/>
    </row>
    <row r="153" spans="6:31" ht="18" customHeight="1">
      <c r="F153" s="11"/>
      <c r="G153" s="11"/>
      <c r="H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V153" s="4"/>
      <c r="X153" s="4"/>
      <c r="AE153" s="4"/>
    </row>
    <row r="154" spans="6:31" ht="18" customHeight="1">
      <c r="F154" s="11"/>
      <c r="G154" s="11"/>
      <c r="H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V154" s="4"/>
      <c r="X154" s="4"/>
      <c r="AE154" s="4"/>
    </row>
    <row r="155" spans="6:31" ht="18" customHeight="1">
      <c r="F155" s="11"/>
      <c r="G155" s="11"/>
      <c r="H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V155" s="4"/>
      <c r="X155" s="4"/>
      <c r="AE155" s="4"/>
    </row>
    <row r="156" spans="6:31" ht="18" customHeight="1">
      <c r="F156" s="11"/>
      <c r="G156" s="11"/>
      <c r="H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V156" s="4"/>
      <c r="X156" s="4"/>
      <c r="AE156" s="4"/>
    </row>
    <row r="157" spans="6:31" ht="18" customHeight="1">
      <c r="F157" s="11"/>
      <c r="G157" s="11"/>
      <c r="H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V157" s="4"/>
      <c r="X157" s="4"/>
      <c r="AE157" s="4"/>
    </row>
    <row r="158" spans="6:31" ht="18" customHeight="1">
      <c r="F158" s="11"/>
      <c r="G158" s="11"/>
      <c r="H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V158" s="4"/>
      <c r="X158" s="4"/>
      <c r="AE158" s="4"/>
    </row>
    <row r="159" spans="6:31" ht="18" customHeight="1">
      <c r="F159" s="11"/>
      <c r="G159" s="11"/>
      <c r="H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V159" s="4"/>
      <c r="X159" s="4"/>
      <c r="AE159" s="4"/>
    </row>
    <row r="160" spans="6:31" ht="18" customHeight="1">
      <c r="F160" s="11"/>
      <c r="G160" s="11"/>
      <c r="H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V160" s="4"/>
      <c r="X160" s="4"/>
      <c r="AE160" s="4"/>
    </row>
    <row r="161" spans="6:31" ht="18" customHeight="1">
      <c r="F161" s="11"/>
      <c r="G161" s="11"/>
      <c r="H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V161" s="4"/>
      <c r="X161" s="4"/>
      <c r="AE161" s="4"/>
    </row>
    <row r="162" spans="6:31" ht="18" customHeight="1">
      <c r="F162" s="11"/>
      <c r="G162" s="11"/>
      <c r="H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V162" s="4"/>
      <c r="X162" s="4"/>
      <c r="AE162" s="4"/>
    </row>
    <row r="163" spans="6:31" ht="18" customHeight="1">
      <c r="F163" s="11"/>
      <c r="G163" s="11"/>
      <c r="H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V163" s="4"/>
      <c r="X163" s="4"/>
      <c r="AE163" s="4"/>
    </row>
    <row r="164" spans="6:31" ht="18" customHeight="1">
      <c r="F164" s="11"/>
      <c r="G164" s="11"/>
      <c r="H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V164" s="4"/>
      <c r="X164" s="4"/>
      <c r="AE164" s="4"/>
    </row>
    <row r="165" spans="6:31" ht="18" customHeight="1">
      <c r="F165" s="11"/>
      <c r="G165" s="11"/>
      <c r="H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V165" s="4"/>
      <c r="X165" s="4"/>
      <c r="AE165" s="4"/>
    </row>
    <row r="166" spans="6:31" ht="18" customHeight="1">
      <c r="F166" s="11"/>
      <c r="G166" s="11"/>
      <c r="H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V166" s="4"/>
      <c r="X166" s="4"/>
      <c r="AE166" s="4"/>
    </row>
    <row r="167" spans="6:31" ht="18" customHeight="1">
      <c r="F167" s="11"/>
      <c r="G167" s="11"/>
      <c r="H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V167" s="4"/>
      <c r="X167" s="4"/>
      <c r="AE167" s="4"/>
    </row>
    <row r="168" spans="6:31" ht="18" customHeight="1">
      <c r="F168" s="11"/>
      <c r="G168" s="11"/>
      <c r="H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V168" s="4"/>
      <c r="X168" s="4"/>
      <c r="AE168" s="4"/>
    </row>
    <row r="169" spans="6:31" ht="18" customHeight="1">
      <c r="F169" s="11"/>
      <c r="G169" s="11"/>
      <c r="H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V169" s="4"/>
      <c r="X169" s="4"/>
      <c r="AE169" s="4"/>
    </row>
    <row r="170" spans="6:31" ht="18" customHeight="1">
      <c r="F170" s="11"/>
      <c r="G170" s="11"/>
      <c r="H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V170" s="4"/>
      <c r="X170" s="4"/>
      <c r="AE170" s="4"/>
    </row>
    <row r="171" spans="6:31" ht="18" customHeight="1">
      <c r="F171" s="11"/>
      <c r="G171" s="11"/>
      <c r="H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V171" s="4"/>
      <c r="X171" s="4"/>
      <c r="AE171" s="4"/>
    </row>
    <row r="172" spans="6:31" ht="18" customHeight="1">
      <c r="F172" s="11"/>
      <c r="G172" s="11"/>
      <c r="H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V172" s="4"/>
      <c r="X172" s="4"/>
      <c r="AE172" s="4"/>
    </row>
    <row r="173" spans="6:31" ht="18" customHeight="1">
      <c r="F173" s="11"/>
      <c r="G173" s="11"/>
      <c r="H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V173" s="4"/>
      <c r="X173" s="4"/>
      <c r="AE173" s="4"/>
    </row>
    <row r="174" spans="6:31" ht="18" customHeight="1">
      <c r="F174" s="11"/>
      <c r="G174" s="11"/>
      <c r="H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V174" s="4"/>
      <c r="X174" s="4"/>
      <c r="AE174" s="4"/>
    </row>
    <row r="175" spans="6:31" ht="18" customHeight="1">
      <c r="F175" s="11"/>
      <c r="G175" s="11"/>
      <c r="H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V175" s="4"/>
      <c r="X175" s="4"/>
      <c r="AE175" s="4"/>
    </row>
    <row r="176" spans="6:31" ht="18" customHeight="1">
      <c r="F176" s="11"/>
      <c r="G176" s="11"/>
      <c r="H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V176" s="4"/>
      <c r="X176" s="4"/>
      <c r="AE176" s="4"/>
    </row>
    <row r="177" spans="6:31" ht="18" customHeight="1">
      <c r="F177" s="11"/>
      <c r="G177" s="11"/>
      <c r="H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V177" s="4"/>
      <c r="X177" s="4"/>
      <c r="AE177" s="4"/>
    </row>
    <row r="178" spans="6:31" ht="18" customHeight="1">
      <c r="F178" s="11"/>
      <c r="G178" s="11"/>
      <c r="H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V178" s="4"/>
      <c r="X178" s="4"/>
      <c r="AE178" s="4"/>
    </row>
    <row r="179" spans="6:31" ht="18" customHeight="1">
      <c r="F179" s="11"/>
      <c r="G179" s="11"/>
      <c r="H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V179" s="4"/>
      <c r="X179" s="4"/>
      <c r="AE179" s="4"/>
    </row>
    <row r="180" spans="6:31" ht="18" customHeight="1">
      <c r="F180" s="11"/>
      <c r="G180" s="11"/>
      <c r="H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V180" s="4"/>
      <c r="X180" s="4"/>
      <c r="AE180" s="4"/>
    </row>
    <row r="181" spans="6:31" ht="18" customHeight="1">
      <c r="F181" s="11"/>
      <c r="G181" s="11"/>
      <c r="H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V181" s="4"/>
      <c r="X181" s="4"/>
      <c r="AE181" s="4"/>
    </row>
    <row r="182" spans="6:31" ht="18" customHeight="1">
      <c r="F182" s="11"/>
      <c r="G182" s="11"/>
      <c r="H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V182" s="4"/>
      <c r="X182" s="4"/>
      <c r="AE182" s="4"/>
    </row>
    <row r="183" spans="6:31" ht="18" customHeight="1">
      <c r="F183" s="11"/>
      <c r="G183" s="11"/>
      <c r="H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V183" s="4"/>
      <c r="X183" s="4"/>
      <c r="AE183" s="4"/>
    </row>
    <row r="184" spans="6:31" ht="18" customHeight="1">
      <c r="F184" s="11"/>
      <c r="G184" s="11"/>
      <c r="H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V184" s="4"/>
      <c r="X184" s="4"/>
      <c r="AE184" s="4"/>
    </row>
    <row r="185" spans="6:31" ht="18" customHeight="1">
      <c r="F185" s="11"/>
      <c r="G185" s="11"/>
      <c r="H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V185" s="4"/>
      <c r="X185" s="4"/>
      <c r="AE185" s="4"/>
    </row>
    <row r="186" spans="6:31" ht="18" customHeight="1">
      <c r="F186" s="11"/>
      <c r="G186" s="11"/>
      <c r="H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V186" s="4"/>
      <c r="X186" s="4"/>
      <c r="AE186" s="4"/>
    </row>
    <row r="187" spans="6:31" ht="18" customHeight="1">
      <c r="F187" s="11"/>
      <c r="G187" s="11"/>
      <c r="H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V187" s="4"/>
      <c r="X187" s="4"/>
      <c r="AE187" s="4"/>
    </row>
    <row r="188" spans="6:31" ht="18" customHeight="1">
      <c r="F188" s="11"/>
      <c r="G188" s="11"/>
      <c r="H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V188" s="4"/>
      <c r="X188" s="4"/>
      <c r="AE188" s="4"/>
    </row>
    <row r="189" spans="6:31" ht="18" customHeight="1">
      <c r="F189" s="11"/>
      <c r="G189" s="11"/>
      <c r="H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V189" s="4"/>
      <c r="X189" s="4"/>
      <c r="AE189" s="4"/>
    </row>
    <row r="190" spans="6:31" ht="18" customHeight="1">
      <c r="F190" s="11"/>
      <c r="G190" s="11"/>
      <c r="H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V190" s="4"/>
      <c r="X190" s="4"/>
      <c r="AE190" s="4"/>
    </row>
    <row r="191" spans="6:31" ht="18" customHeight="1">
      <c r="F191" s="11"/>
      <c r="G191" s="11"/>
      <c r="H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V191" s="4"/>
      <c r="X191" s="4"/>
      <c r="AE191" s="4"/>
    </row>
    <row r="192" spans="6:31" ht="18" customHeight="1">
      <c r="F192" s="11"/>
      <c r="G192" s="11"/>
      <c r="H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V192" s="4"/>
      <c r="X192" s="4"/>
      <c r="AE192" s="4"/>
    </row>
    <row r="193" spans="6:31" ht="18" customHeight="1">
      <c r="F193" s="11"/>
      <c r="G193" s="11"/>
      <c r="H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V193" s="4"/>
      <c r="X193" s="4"/>
      <c r="AE193" s="4"/>
    </row>
    <row r="194" spans="6:31" ht="18" customHeight="1">
      <c r="F194" s="11"/>
      <c r="G194" s="11"/>
      <c r="H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V194" s="4"/>
      <c r="X194" s="4"/>
      <c r="AE194" s="4"/>
    </row>
    <row r="195" spans="6:31" ht="18" customHeight="1">
      <c r="F195" s="11"/>
      <c r="G195" s="11"/>
      <c r="H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V195" s="4"/>
      <c r="X195" s="4"/>
      <c r="AE195" s="4"/>
    </row>
    <row r="196" spans="6:31" ht="18" customHeight="1">
      <c r="F196" s="11"/>
      <c r="G196" s="11"/>
      <c r="H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V196" s="4"/>
      <c r="X196" s="4"/>
      <c r="AE196" s="4"/>
    </row>
    <row r="197" spans="6:31" ht="18" customHeight="1">
      <c r="F197" s="11"/>
      <c r="G197" s="11"/>
      <c r="H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V197" s="4"/>
      <c r="X197" s="4"/>
      <c r="AE197" s="4"/>
    </row>
    <row r="198" spans="6:31" ht="18" customHeight="1">
      <c r="F198" s="11"/>
      <c r="G198" s="11"/>
      <c r="H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V198" s="4"/>
      <c r="X198" s="4"/>
      <c r="AE198" s="4"/>
    </row>
    <row r="199" spans="6:31" ht="18" customHeight="1">
      <c r="F199" s="11"/>
      <c r="G199" s="11"/>
      <c r="H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V199" s="4"/>
      <c r="X199" s="4"/>
      <c r="AE199" s="4"/>
    </row>
    <row r="200" spans="6:31" ht="18" customHeight="1">
      <c r="F200" s="11"/>
      <c r="G200" s="11"/>
      <c r="H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V200" s="4"/>
      <c r="X200" s="4"/>
      <c r="AE200" s="4"/>
    </row>
    <row r="201" spans="6:31" ht="18" customHeight="1">
      <c r="F201" s="11"/>
      <c r="G201" s="11"/>
      <c r="H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V201" s="4"/>
      <c r="X201" s="4"/>
      <c r="AE201" s="4"/>
    </row>
    <row r="202" spans="6:31" ht="18" customHeight="1">
      <c r="F202" s="11"/>
      <c r="G202" s="11"/>
      <c r="H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V202" s="4"/>
      <c r="X202" s="4"/>
      <c r="AE202" s="4"/>
    </row>
    <row r="203" spans="6:31" ht="18" customHeight="1">
      <c r="F203" s="11"/>
      <c r="G203" s="11"/>
      <c r="H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V203" s="4"/>
      <c r="X203" s="4"/>
      <c r="AE203" s="4"/>
    </row>
    <row r="204" spans="6:31" ht="18" customHeight="1">
      <c r="F204" s="11"/>
      <c r="G204" s="11"/>
      <c r="H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V204" s="4"/>
      <c r="X204" s="4"/>
      <c r="AE204" s="4"/>
    </row>
    <row r="205" spans="6:31" ht="18" customHeight="1">
      <c r="F205" s="11"/>
      <c r="G205" s="11"/>
      <c r="H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V205" s="4"/>
      <c r="X205" s="4"/>
      <c r="AE205" s="4"/>
    </row>
    <row r="206" spans="6:31" ht="18" customHeight="1">
      <c r="F206" s="11"/>
      <c r="G206" s="11"/>
      <c r="H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V206" s="4"/>
      <c r="X206" s="4"/>
      <c r="AE206" s="4"/>
    </row>
    <row r="207" spans="6:31" ht="18" customHeight="1">
      <c r="F207" s="11"/>
      <c r="G207" s="11"/>
      <c r="H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V207" s="4"/>
      <c r="X207" s="4"/>
      <c r="AE207" s="4"/>
    </row>
    <row r="208" spans="6:31" ht="18" customHeight="1">
      <c r="F208" s="11"/>
      <c r="G208" s="11"/>
      <c r="H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V208" s="4"/>
      <c r="X208" s="4"/>
      <c r="AE208" s="4"/>
    </row>
    <row r="209" spans="5:31" ht="18" customHeight="1">
      <c r="F209" s="11"/>
      <c r="G209" s="11"/>
      <c r="H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V209" s="4"/>
      <c r="X209" s="4"/>
      <c r="AE209" s="4"/>
    </row>
    <row r="210" spans="5:31" ht="18" customHeight="1">
      <c r="F210" s="11"/>
      <c r="G210" s="11"/>
      <c r="H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V210" s="4"/>
      <c r="X210" s="4"/>
      <c r="AE210" s="4"/>
    </row>
    <row r="211" spans="5:31" ht="18" customHeight="1">
      <c r="F211" s="11"/>
      <c r="G211" s="11"/>
      <c r="H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V211" s="4"/>
      <c r="X211" s="4"/>
      <c r="AE211" s="4"/>
    </row>
    <row r="212" spans="5:31" ht="18" customHeight="1">
      <c r="E212" s="5"/>
      <c r="F212" s="4"/>
      <c r="G212" s="4"/>
      <c r="H212" s="4"/>
      <c r="I212" s="71"/>
      <c r="J212" s="4"/>
      <c r="K212" s="4"/>
      <c r="L212" s="4"/>
      <c r="M212" s="4"/>
      <c r="N212" s="4"/>
      <c r="O212" s="4"/>
      <c r="P212" s="4"/>
      <c r="Q212" s="4"/>
      <c r="R212" s="4"/>
      <c r="S212" s="4"/>
      <c r="V212" s="4"/>
      <c r="X212" s="4"/>
      <c r="AE212" s="4"/>
    </row>
    <row r="213" spans="5:31" ht="18" customHeight="1">
      <c r="E213" s="5"/>
      <c r="F213" s="4"/>
      <c r="G213" s="4"/>
      <c r="H213" s="4"/>
      <c r="I213" s="71"/>
      <c r="J213" s="4"/>
      <c r="K213" s="4"/>
      <c r="L213" s="4"/>
      <c r="M213" s="4"/>
      <c r="N213" s="4"/>
      <c r="O213" s="4"/>
      <c r="P213" s="4"/>
      <c r="Q213" s="4"/>
      <c r="R213" s="4"/>
      <c r="S213" s="4"/>
      <c r="V213" s="4"/>
      <c r="X213" s="4"/>
      <c r="AE213" s="4"/>
    </row>
    <row r="214" spans="5:31" ht="18" customHeight="1">
      <c r="E214" s="5"/>
      <c r="F214" s="4"/>
      <c r="G214" s="4"/>
      <c r="H214" s="4"/>
      <c r="I214" s="71"/>
      <c r="J214" s="4"/>
      <c r="K214" s="4"/>
      <c r="L214" s="4"/>
      <c r="M214" s="4"/>
      <c r="N214" s="4"/>
      <c r="O214" s="4"/>
      <c r="P214" s="4"/>
      <c r="Q214" s="4"/>
      <c r="R214" s="4"/>
      <c r="S214" s="4"/>
      <c r="V214" s="4"/>
      <c r="X214" s="4"/>
      <c r="AE214" s="4"/>
    </row>
    <row r="215" spans="5:31" ht="18" customHeight="1">
      <c r="E215" s="5"/>
      <c r="F215" s="4"/>
      <c r="G215" s="4"/>
      <c r="H215" s="4"/>
      <c r="I215" s="71"/>
      <c r="J215" s="4"/>
      <c r="K215" s="4"/>
      <c r="L215" s="4"/>
      <c r="M215" s="4"/>
      <c r="N215" s="4"/>
      <c r="O215" s="4"/>
      <c r="P215" s="4"/>
      <c r="Q215" s="4"/>
      <c r="R215" s="4"/>
      <c r="S215" s="4"/>
      <c r="V215" s="4"/>
      <c r="X215" s="4"/>
      <c r="AE215" s="4"/>
    </row>
    <row r="216" spans="5:31" ht="18" customHeight="1">
      <c r="E216" s="5"/>
      <c r="F216" s="4"/>
      <c r="G216" s="4"/>
      <c r="H216" s="4"/>
      <c r="I216" s="71"/>
      <c r="J216" s="4"/>
      <c r="K216" s="4"/>
      <c r="L216" s="4"/>
      <c r="M216" s="4"/>
      <c r="N216" s="4"/>
      <c r="O216" s="4"/>
      <c r="P216" s="4"/>
      <c r="Q216" s="4"/>
      <c r="R216" s="4"/>
      <c r="S216" s="4"/>
      <c r="V216" s="4"/>
      <c r="X216" s="4"/>
      <c r="AE216" s="4"/>
    </row>
    <row r="217" spans="5:31" ht="18" customHeight="1">
      <c r="E217" s="5"/>
      <c r="F217" s="4"/>
      <c r="G217" s="4"/>
      <c r="H217" s="4"/>
      <c r="I217" s="71"/>
      <c r="J217" s="4"/>
      <c r="K217" s="4"/>
      <c r="L217" s="4"/>
      <c r="M217" s="4"/>
      <c r="N217" s="4"/>
      <c r="O217" s="4"/>
      <c r="P217" s="4"/>
      <c r="Q217" s="4"/>
      <c r="R217" s="4"/>
      <c r="S217" s="4"/>
      <c r="V217" s="4"/>
      <c r="X217" s="4"/>
      <c r="AE217" s="4"/>
    </row>
    <row r="218" spans="5:31" ht="18" customHeight="1">
      <c r="E218" s="5"/>
      <c r="F218" s="4"/>
      <c r="G218" s="4"/>
      <c r="H218" s="4"/>
      <c r="I218" s="71"/>
      <c r="J218" s="4"/>
      <c r="K218" s="4"/>
      <c r="L218" s="4"/>
      <c r="M218" s="4"/>
      <c r="N218" s="4"/>
      <c r="O218" s="4"/>
      <c r="P218" s="4"/>
      <c r="Q218" s="4"/>
      <c r="R218" s="4"/>
      <c r="S218" s="4"/>
      <c r="V218" s="4"/>
      <c r="X218" s="4"/>
      <c r="AE218" s="4"/>
    </row>
    <row r="219" spans="5:31" ht="18" customHeight="1">
      <c r="E219" s="5"/>
      <c r="F219" s="4"/>
      <c r="G219" s="4"/>
      <c r="H219" s="4"/>
      <c r="I219" s="71"/>
      <c r="J219" s="4"/>
      <c r="K219" s="4"/>
      <c r="L219" s="4"/>
      <c r="M219" s="4"/>
      <c r="N219" s="4"/>
      <c r="O219" s="4"/>
      <c r="P219" s="4"/>
      <c r="Q219" s="4"/>
      <c r="R219" s="4"/>
      <c r="S219" s="4"/>
      <c r="V219" s="4"/>
      <c r="X219" s="4"/>
      <c r="AE219" s="4"/>
    </row>
    <row r="220" spans="5:31" ht="18" customHeight="1">
      <c r="E220" s="5"/>
      <c r="F220" s="4"/>
      <c r="G220" s="4"/>
      <c r="H220" s="4"/>
      <c r="I220" s="71"/>
      <c r="J220" s="4"/>
      <c r="K220" s="4"/>
      <c r="L220" s="4"/>
      <c r="M220" s="4"/>
      <c r="N220" s="4"/>
      <c r="O220" s="4"/>
      <c r="P220" s="4"/>
      <c r="Q220" s="4"/>
      <c r="R220" s="4"/>
      <c r="S220" s="4"/>
      <c r="V220" s="4"/>
      <c r="X220" s="4"/>
      <c r="AE220" s="4"/>
    </row>
    <row r="221" spans="5:31" ht="18" customHeight="1">
      <c r="E221" s="5"/>
      <c r="F221" s="4"/>
      <c r="G221" s="4"/>
      <c r="H221" s="4"/>
      <c r="I221" s="71"/>
      <c r="J221" s="4"/>
      <c r="K221" s="4"/>
      <c r="L221" s="4"/>
      <c r="M221" s="4"/>
      <c r="N221" s="4"/>
      <c r="O221" s="4"/>
      <c r="P221" s="4"/>
      <c r="Q221" s="4"/>
      <c r="R221" s="4"/>
      <c r="S221" s="4"/>
      <c r="V221" s="4"/>
      <c r="X221" s="4"/>
      <c r="AE221" s="4"/>
    </row>
    <row r="222" spans="5:31" ht="18" customHeight="1">
      <c r="E222" s="5"/>
      <c r="F222" s="4"/>
      <c r="G222" s="4"/>
      <c r="H222" s="4"/>
      <c r="I222" s="71"/>
      <c r="J222" s="4"/>
      <c r="K222" s="4"/>
      <c r="L222" s="4"/>
      <c r="M222" s="4"/>
      <c r="N222" s="4"/>
      <c r="O222" s="4"/>
      <c r="P222" s="4"/>
      <c r="Q222" s="4"/>
      <c r="R222" s="4"/>
      <c r="S222" s="4"/>
      <c r="V222" s="4"/>
      <c r="X222" s="4"/>
      <c r="AE222" s="4"/>
    </row>
    <row r="223" spans="5:31" ht="18" customHeight="1">
      <c r="E223" s="5"/>
      <c r="F223" s="4"/>
      <c r="G223" s="4"/>
      <c r="H223" s="4"/>
      <c r="I223" s="71"/>
      <c r="J223" s="4"/>
      <c r="K223" s="4"/>
      <c r="L223" s="4"/>
      <c r="M223" s="4"/>
      <c r="N223" s="4"/>
      <c r="O223" s="4"/>
      <c r="P223" s="4"/>
      <c r="Q223" s="4"/>
      <c r="R223" s="4"/>
      <c r="S223" s="4"/>
      <c r="V223" s="4"/>
      <c r="X223" s="4"/>
      <c r="AE223" s="4"/>
    </row>
    <row r="224" spans="5:31" ht="18" customHeight="1">
      <c r="E224" s="5"/>
      <c r="F224" s="4"/>
      <c r="G224" s="4"/>
      <c r="H224" s="4"/>
      <c r="I224" s="71"/>
      <c r="J224" s="4"/>
      <c r="K224" s="4"/>
      <c r="L224" s="4"/>
      <c r="M224" s="4"/>
      <c r="N224" s="4"/>
      <c r="O224" s="4"/>
      <c r="P224" s="4"/>
      <c r="Q224" s="4"/>
      <c r="R224" s="4"/>
      <c r="S224" s="4"/>
      <c r="V224" s="4"/>
      <c r="X224" s="4"/>
      <c r="AE224" s="4"/>
    </row>
    <row r="225" spans="5:31" ht="18" customHeight="1">
      <c r="E225" s="5"/>
      <c r="F225" s="4"/>
      <c r="G225" s="4"/>
      <c r="H225" s="4"/>
      <c r="I225" s="71"/>
      <c r="J225" s="4"/>
      <c r="K225" s="4"/>
      <c r="L225" s="4"/>
      <c r="M225" s="4"/>
      <c r="N225" s="4"/>
      <c r="O225" s="4"/>
      <c r="P225" s="4"/>
      <c r="Q225" s="4"/>
      <c r="R225" s="4"/>
      <c r="S225" s="4"/>
      <c r="V225" s="4"/>
      <c r="X225" s="4"/>
      <c r="AE225" s="4"/>
    </row>
    <row r="226" spans="5:31" ht="18" customHeight="1">
      <c r="E226" s="5"/>
      <c r="F226" s="4"/>
      <c r="G226" s="4"/>
      <c r="H226" s="4"/>
      <c r="I226" s="71"/>
      <c r="J226" s="4"/>
      <c r="K226" s="4"/>
      <c r="L226" s="4"/>
      <c r="M226" s="4"/>
      <c r="N226" s="4"/>
      <c r="O226" s="4"/>
      <c r="P226" s="4"/>
      <c r="Q226" s="4"/>
      <c r="R226" s="4"/>
      <c r="S226" s="4"/>
      <c r="V226" s="4"/>
      <c r="X226" s="4"/>
      <c r="AE226" s="4"/>
    </row>
    <row r="227" spans="5:31" ht="18" customHeight="1">
      <c r="E227" s="5"/>
      <c r="F227" s="4"/>
      <c r="G227" s="4"/>
      <c r="H227" s="4"/>
      <c r="I227" s="71"/>
      <c r="J227" s="4"/>
      <c r="K227" s="4"/>
      <c r="L227" s="4"/>
      <c r="M227" s="4"/>
      <c r="N227" s="4"/>
      <c r="O227" s="4"/>
      <c r="P227" s="4"/>
      <c r="Q227" s="4"/>
      <c r="R227" s="4"/>
      <c r="S227" s="4"/>
      <c r="V227" s="4"/>
      <c r="X227" s="4"/>
      <c r="AE227" s="4"/>
    </row>
    <row r="228" spans="5:31" ht="18" customHeight="1">
      <c r="E228" s="5"/>
      <c r="F228" s="4"/>
      <c r="G228" s="4"/>
      <c r="H228" s="4"/>
      <c r="I228" s="71"/>
      <c r="J228" s="4"/>
      <c r="K228" s="4"/>
      <c r="L228" s="4"/>
      <c r="M228" s="4"/>
      <c r="N228" s="4"/>
      <c r="O228" s="4"/>
      <c r="P228" s="4"/>
      <c r="Q228" s="4"/>
      <c r="R228" s="4"/>
      <c r="S228" s="4"/>
      <c r="V228" s="4"/>
      <c r="X228" s="4"/>
      <c r="AE228" s="4"/>
    </row>
    <row r="229" spans="5:31" ht="18" customHeight="1">
      <c r="E229" s="5"/>
      <c r="F229" s="4"/>
      <c r="G229" s="4"/>
      <c r="H229" s="4"/>
      <c r="I229" s="71"/>
      <c r="J229" s="4"/>
      <c r="K229" s="4"/>
      <c r="L229" s="4"/>
      <c r="M229" s="4"/>
      <c r="N229" s="4"/>
      <c r="O229" s="4"/>
      <c r="P229" s="4"/>
      <c r="Q229" s="4"/>
      <c r="R229" s="4"/>
      <c r="S229" s="4"/>
      <c r="V229" s="4"/>
      <c r="X229" s="4"/>
      <c r="AE229" s="4"/>
    </row>
    <row r="230" spans="5:31" ht="18" customHeight="1">
      <c r="E230" s="5"/>
      <c r="F230" s="4"/>
      <c r="G230" s="4"/>
      <c r="H230" s="4"/>
      <c r="I230" s="71"/>
      <c r="J230" s="4"/>
      <c r="K230" s="4"/>
      <c r="L230" s="4"/>
      <c r="M230" s="4"/>
      <c r="N230" s="4"/>
      <c r="O230" s="4"/>
      <c r="P230" s="4"/>
      <c r="Q230" s="4"/>
      <c r="R230" s="4"/>
      <c r="S230" s="4"/>
      <c r="V230" s="4"/>
      <c r="X230" s="4"/>
      <c r="AE230" s="4"/>
    </row>
    <row r="231" spans="5:31" ht="18" customHeight="1">
      <c r="E231" s="5"/>
      <c r="F231" s="4"/>
      <c r="G231" s="4"/>
      <c r="H231" s="4"/>
      <c r="I231" s="71"/>
      <c r="J231" s="4"/>
      <c r="K231" s="4"/>
      <c r="L231" s="4"/>
      <c r="M231" s="4"/>
      <c r="N231" s="4"/>
      <c r="O231" s="4"/>
      <c r="P231" s="4"/>
      <c r="Q231" s="4"/>
      <c r="R231" s="4"/>
      <c r="S231" s="4"/>
      <c r="V231" s="4"/>
      <c r="X231" s="4"/>
      <c r="AE231" s="4"/>
    </row>
    <row r="232" spans="5:31" ht="18" customHeight="1">
      <c r="E232" s="5"/>
      <c r="F232" s="4"/>
      <c r="G232" s="4"/>
      <c r="H232" s="4"/>
      <c r="I232" s="71"/>
      <c r="J232" s="4"/>
      <c r="K232" s="4"/>
      <c r="L232" s="4"/>
      <c r="M232" s="4"/>
      <c r="N232" s="4"/>
      <c r="O232" s="4"/>
      <c r="P232" s="4"/>
      <c r="Q232" s="4"/>
      <c r="R232" s="4"/>
      <c r="S232" s="4"/>
      <c r="V232" s="4"/>
      <c r="X232" s="4"/>
      <c r="AE232" s="4"/>
    </row>
    <row r="233" spans="5:31" ht="18" customHeight="1">
      <c r="E233" s="5"/>
      <c r="F233" s="4"/>
      <c r="G233" s="4"/>
      <c r="H233" s="4"/>
      <c r="I233" s="71"/>
      <c r="J233" s="4"/>
      <c r="K233" s="4"/>
      <c r="L233" s="4"/>
      <c r="M233" s="4"/>
      <c r="N233" s="4"/>
      <c r="O233" s="4"/>
      <c r="P233" s="4"/>
      <c r="Q233" s="4"/>
      <c r="R233" s="4"/>
      <c r="S233" s="4"/>
      <c r="V233" s="4"/>
      <c r="X233" s="4"/>
      <c r="AE233" s="4"/>
    </row>
    <row r="234" spans="5:31" ht="18" customHeight="1">
      <c r="E234" s="5"/>
      <c r="F234" s="4"/>
      <c r="G234" s="4"/>
      <c r="H234" s="4"/>
      <c r="I234" s="71"/>
      <c r="J234" s="4"/>
      <c r="K234" s="4"/>
      <c r="L234" s="4"/>
      <c r="M234" s="4"/>
      <c r="N234" s="4"/>
      <c r="O234" s="4"/>
      <c r="P234" s="4"/>
      <c r="Q234" s="4"/>
      <c r="R234" s="4"/>
      <c r="S234" s="4"/>
      <c r="V234" s="4"/>
      <c r="X234" s="4"/>
      <c r="AE234" s="4"/>
    </row>
    <row r="235" spans="5:31" ht="18" customHeight="1">
      <c r="E235" s="5"/>
      <c r="F235" s="4"/>
      <c r="G235" s="4"/>
      <c r="H235" s="4"/>
      <c r="I235" s="71"/>
      <c r="J235" s="4"/>
      <c r="K235" s="4"/>
      <c r="L235" s="4"/>
      <c r="M235" s="4"/>
      <c r="N235" s="4"/>
      <c r="O235" s="4"/>
      <c r="P235" s="4"/>
      <c r="Q235" s="4"/>
      <c r="R235" s="4"/>
      <c r="S235" s="4"/>
      <c r="V235" s="4"/>
      <c r="X235" s="4"/>
      <c r="AE235" s="4"/>
    </row>
    <row r="236" spans="5:31" ht="18" customHeight="1">
      <c r="E236" s="5"/>
      <c r="F236" s="4"/>
      <c r="G236" s="4"/>
      <c r="H236" s="4"/>
      <c r="I236" s="71"/>
      <c r="J236" s="4"/>
      <c r="K236" s="4"/>
      <c r="L236" s="4"/>
      <c r="M236" s="4"/>
      <c r="N236" s="4"/>
      <c r="O236" s="4"/>
      <c r="P236" s="4"/>
      <c r="Q236" s="4"/>
      <c r="R236" s="4"/>
      <c r="S236" s="4"/>
      <c r="V236" s="4"/>
      <c r="X236" s="4"/>
      <c r="AE236" s="4"/>
    </row>
    <row r="237" spans="5:31" ht="18" customHeight="1">
      <c r="E237" s="5"/>
      <c r="F237" s="4"/>
      <c r="G237" s="4"/>
      <c r="H237" s="4"/>
      <c r="I237" s="71"/>
      <c r="J237" s="4"/>
      <c r="K237" s="4"/>
      <c r="L237" s="4"/>
      <c r="M237" s="4"/>
      <c r="N237" s="4"/>
      <c r="O237" s="4"/>
      <c r="P237" s="4"/>
      <c r="Q237" s="4"/>
      <c r="R237" s="4"/>
      <c r="S237" s="4"/>
      <c r="V237" s="4"/>
      <c r="X237" s="4"/>
      <c r="AE237" s="4"/>
    </row>
    <row r="238" spans="5:31" ht="18" customHeight="1">
      <c r="E238" s="5"/>
      <c r="F238" s="4"/>
      <c r="G238" s="4"/>
      <c r="H238" s="4"/>
      <c r="I238" s="71"/>
      <c r="J238" s="4"/>
      <c r="K238" s="4"/>
      <c r="L238" s="4"/>
      <c r="M238" s="4"/>
      <c r="N238" s="4"/>
      <c r="O238" s="4"/>
      <c r="P238" s="4"/>
      <c r="Q238" s="4"/>
      <c r="R238" s="4"/>
      <c r="S238" s="4"/>
      <c r="V238" s="4"/>
      <c r="X238" s="4"/>
      <c r="AE238" s="4"/>
    </row>
    <row r="239" spans="5:31" ht="18" customHeight="1">
      <c r="E239" s="5"/>
      <c r="F239" s="4"/>
      <c r="G239" s="4"/>
      <c r="H239" s="4"/>
      <c r="I239" s="71"/>
      <c r="J239" s="4"/>
      <c r="K239" s="4"/>
      <c r="L239" s="4"/>
      <c r="M239" s="4"/>
      <c r="N239" s="4"/>
      <c r="O239" s="4"/>
      <c r="P239" s="4"/>
      <c r="Q239" s="4"/>
      <c r="R239" s="4"/>
      <c r="S239" s="4"/>
      <c r="V239" s="4"/>
      <c r="X239" s="4"/>
      <c r="AE239" s="4"/>
    </row>
    <row r="240" spans="5:31" ht="18" customHeight="1">
      <c r="E240" s="5"/>
      <c r="F240" s="4"/>
      <c r="G240" s="4"/>
      <c r="H240" s="4"/>
      <c r="I240" s="71"/>
      <c r="J240" s="4"/>
      <c r="K240" s="4"/>
      <c r="L240" s="4"/>
      <c r="M240" s="4"/>
      <c r="N240" s="4"/>
      <c r="O240" s="4"/>
      <c r="P240" s="4"/>
      <c r="Q240" s="4"/>
      <c r="R240" s="4"/>
      <c r="S240" s="4"/>
      <c r="V240" s="4"/>
      <c r="X240" s="4"/>
      <c r="AE240" s="4"/>
    </row>
    <row r="241" spans="5:31" ht="18" customHeight="1">
      <c r="E241" s="5"/>
      <c r="F241" s="4"/>
      <c r="G241" s="4"/>
      <c r="H241" s="4"/>
      <c r="I241" s="71"/>
      <c r="J241" s="4"/>
      <c r="K241" s="4"/>
      <c r="L241" s="4"/>
      <c r="M241" s="4"/>
      <c r="N241" s="4"/>
      <c r="O241" s="4"/>
      <c r="P241" s="4"/>
      <c r="Q241" s="4"/>
      <c r="R241" s="4"/>
      <c r="S241" s="4"/>
      <c r="V241" s="4"/>
      <c r="X241" s="4"/>
      <c r="AE241" s="4"/>
    </row>
    <row r="242" spans="5:31" ht="18" customHeight="1">
      <c r="E242" s="5"/>
      <c r="F242" s="4"/>
      <c r="G242" s="4"/>
      <c r="H242" s="4"/>
      <c r="I242" s="71"/>
      <c r="J242" s="4"/>
      <c r="K242" s="4"/>
      <c r="L242" s="4"/>
      <c r="M242" s="4"/>
      <c r="N242" s="4"/>
      <c r="O242" s="4"/>
      <c r="P242" s="4"/>
      <c r="Q242" s="4"/>
      <c r="R242" s="4"/>
      <c r="S242" s="4"/>
      <c r="V242" s="4"/>
      <c r="X242" s="4"/>
      <c r="AE242" s="4"/>
    </row>
    <row r="243" spans="5:31" ht="18" customHeight="1">
      <c r="E243" s="5"/>
      <c r="F243" s="4"/>
      <c r="G243" s="4"/>
      <c r="H243" s="4"/>
      <c r="I243" s="71"/>
      <c r="J243" s="4"/>
      <c r="K243" s="4"/>
      <c r="L243" s="4"/>
      <c r="M243" s="4"/>
      <c r="N243" s="4"/>
      <c r="O243" s="4"/>
      <c r="P243" s="4"/>
      <c r="Q243" s="4"/>
      <c r="R243" s="4"/>
      <c r="S243" s="4"/>
      <c r="V243" s="4"/>
      <c r="X243" s="4"/>
      <c r="AE243" s="4"/>
    </row>
    <row r="244" spans="5:31" ht="18" customHeight="1">
      <c r="E244" s="5"/>
      <c r="F244" s="4"/>
      <c r="G244" s="4"/>
      <c r="H244" s="4"/>
      <c r="I244" s="71"/>
      <c r="J244" s="4"/>
      <c r="K244" s="4"/>
      <c r="L244" s="4"/>
      <c r="M244" s="4"/>
      <c r="N244" s="4"/>
      <c r="O244" s="4"/>
      <c r="P244" s="4"/>
      <c r="Q244" s="4"/>
      <c r="R244" s="4"/>
      <c r="S244" s="4"/>
      <c r="V244" s="4"/>
      <c r="X244" s="4"/>
      <c r="AE244" s="4"/>
    </row>
    <row r="245" spans="5:31" ht="18" customHeight="1">
      <c r="E245" s="5"/>
      <c r="F245" s="4"/>
      <c r="G245" s="4"/>
      <c r="H245" s="4"/>
      <c r="I245" s="71"/>
      <c r="J245" s="4"/>
      <c r="K245" s="4"/>
      <c r="L245" s="4"/>
      <c r="M245" s="4"/>
      <c r="N245" s="4"/>
      <c r="O245" s="4"/>
      <c r="P245" s="4"/>
      <c r="Q245" s="4"/>
      <c r="R245" s="4"/>
      <c r="S245" s="4"/>
      <c r="V245" s="4"/>
      <c r="X245" s="4"/>
      <c r="AE245" s="4"/>
    </row>
    <row r="246" spans="5:31" ht="18" customHeight="1">
      <c r="E246" s="5"/>
      <c r="F246" s="4"/>
      <c r="G246" s="4"/>
      <c r="H246" s="4"/>
      <c r="I246" s="71"/>
      <c r="J246" s="4"/>
      <c r="K246" s="4"/>
      <c r="L246" s="4"/>
      <c r="M246" s="4"/>
      <c r="N246" s="4"/>
      <c r="O246" s="4"/>
      <c r="P246" s="4"/>
      <c r="Q246" s="4"/>
      <c r="R246" s="4"/>
      <c r="S246" s="4"/>
      <c r="V246" s="4"/>
      <c r="X246" s="4"/>
      <c r="AE246" s="4"/>
    </row>
    <row r="247" spans="5:31" ht="18" customHeight="1">
      <c r="E247" s="5"/>
      <c r="F247" s="4"/>
      <c r="G247" s="4"/>
      <c r="H247" s="4"/>
      <c r="I247" s="71"/>
      <c r="J247" s="4"/>
      <c r="K247" s="4"/>
      <c r="L247" s="4"/>
      <c r="M247" s="4"/>
      <c r="N247" s="4"/>
      <c r="O247" s="4"/>
      <c r="P247" s="4"/>
      <c r="Q247" s="4"/>
      <c r="R247" s="4"/>
      <c r="S247" s="4"/>
      <c r="V247" s="4"/>
      <c r="X247" s="4"/>
      <c r="AE247" s="4"/>
    </row>
    <row r="248" spans="5:31" ht="18" customHeight="1">
      <c r="E248" s="5"/>
      <c r="F248" s="4"/>
      <c r="G248" s="4"/>
      <c r="H248" s="4"/>
      <c r="I248" s="71"/>
      <c r="J248" s="4"/>
      <c r="K248" s="4"/>
      <c r="L248" s="4"/>
      <c r="M248" s="4"/>
      <c r="N248" s="4"/>
      <c r="O248" s="4"/>
      <c r="P248" s="4"/>
      <c r="Q248" s="4"/>
      <c r="R248" s="4"/>
      <c r="S248" s="4"/>
      <c r="V248" s="4"/>
      <c r="X248" s="4"/>
      <c r="AE248" s="4"/>
    </row>
    <row r="249" spans="5:31" ht="18" customHeight="1">
      <c r="F249" s="11"/>
      <c r="G249" s="11"/>
      <c r="H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V249" s="4"/>
      <c r="X249" s="4"/>
      <c r="AE249" s="4"/>
    </row>
    <row r="250" spans="5:31" ht="18" customHeight="1">
      <c r="F250" s="11"/>
      <c r="G250" s="11"/>
      <c r="H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V250" s="4"/>
      <c r="X250" s="4"/>
      <c r="AE250" s="4"/>
    </row>
    <row r="251" spans="5:31" ht="18" customHeight="1">
      <c r="F251" s="11"/>
      <c r="G251" s="11"/>
      <c r="H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V251" s="4"/>
      <c r="X251" s="4"/>
      <c r="AE251" s="4"/>
    </row>
    <row r="252" spans="5:31" ht="18" customHeight="1">
      <c r="F252" s="11"/>
      <c r="G252" s="11"/>
      <c r="H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V252" s="4"/>
      <c r="X252" s="4"/>
      <c r="AE252" s="4"/>
    </row>
    <row r="253" spans="5:31" ht="18" customHeight="1">
      <c r="F253" s="11"/>
      <c r="G253" s="11"/>
      <c r="H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V253" s="4"/>
      <c r="X253" s="4"/>
      <c r="AE253" s="4"/>
    </row>
    <row r="254" spans="5:31" ht="18" customHeight="1">
      <c r="F254" s="11"/>
      <c r="G254" s="11"/>
      <c r="H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V254" s="4"/>
      <c r="X254" s="4"/>
      <c r="AE254" s="4"/>
    </row>
    <row r="255" spans="5:31" ht="18" customHeight="1">
      <c r="F255" s="11"/>
      <c r="G255" s="11"/>
      <c r="H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V255" s="4"/>
      <c r="X255" s="4"/>
      <c r="AE255" s="4"/>
    </row>
    <row r="256" spans="5:31" ht="18" customHeight="1">
      <c r="F256" s="11"/>
      <c r="G256" s="11"/>
      <c r="H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V256" s="4"/>
      <c r="X256" s="4"/>
      <c r="AE256" s="4"/>
    </row>
    <row r="257" spans="6:31" ht="18" customHeight="1">
      <c r="F257" s="11"/>
      <c r="G257" s="11"/>
      <c r="H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V257" s="4"/>
      <c r="X257" s="4"/>
      <c r="AE257" s="4"/>
    </row>
    <row r="258" spans="6:31" ht="18" customHeight="1">
      <c r="F258" s="11"/>
      <c r="G258" s="11"/>
      <c r="H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V258" s="4"/>
      <c r="X258" s="4"/>
      <c r="AE258" s="4"/>
    </row>
    <row r="259" spans="6:31" ht="18" customHeight="1">
      <c r="F259" s="11"/>
      <c r="G259" s="11"/>
      <c r="H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V259" s="4"/>
      <c r="X259" s="4"/>
      <c r="AE259" s="4"/>
    </row>
    <row r="260" spans="6:31" ht="18" customHeight="1">
      <c r="F260" s="11"/>
      <c r="G260" s="11"/>
      <c r="H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V260" s="4"/>
      <c r="X260" s="4"/>
      <c r="AE260" s="4"/>
    </row>
    <row r="261" spans="6:31" ht="18" customHeight="1">
      <c r="F261" s="11"/>
      <c r="G261" s="11"/>
      <c r="H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V261" s="4"/>
      <c r="X261" s="4"/>
      <c r="AE261" s="4"/>
    </row>
    <row r="262" spans="6:31" ht="18" customHeight="1">
      <c r="F262" s="11"/>
      <c r="G262" s="11"/>
      <c r="H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V262" s="4"/>
      <c r="X262" s="4"/>
      <c r="AE262" s="4"/>
    </row>
    <row r="263" spans="6:31" ht="18" customHeight="1">
      <c r="F263" s="11"/>
      <c r="G263" s="11"/>
      <c r="H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V263" s="4"/>
      <c r="X263" s="4"/>
      <c r="AE263" s="4"/>
    </row>
    <row r="264" spans="6:31" ht="18" customHeight="1">
      <c r="F264" s="11"/>
      <c r="G264" s="11"/>
      <c r="H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V264" s="4"/>
      <c r="X264" s="4"/>
      <c r="AE264" s="4"/>
    </row>
    <row r="265" spans="6:31" ht="18" customHeight="1">
      <c r="F265" s="11"/>
      <c r="G265" s="11"/>
      <c r="H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V265" s="4"/>
      <c r="X265" s="4"/>
      <c r="AE265" s="4"/>
    </row>
    <row r="266" spans="6:31" ht="18" customHeight="1">
      <c r="F266" s="11"/>
      <c r="G266" s="11"/>
      <c r="H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V266" s="4"/>
      <c r="X266" s="4"/>
      <c r="AE266" s="4"/>
    </row>
    <row r="267" spans="6:31" ht="18" customHeight="1">
      <c r="F267" s="11"/>
      <c r="G267" s="11"/>
      <c r="H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V267" s="4"/>
      <c r="X267" s="4"/>
      <c r="AE267" s="4"/>
    </row>
    <row r="268" spans="6:31" ht="18" customHeight="1">
      <c r="F268" s="11"/>
      <c r="G268" s="11"/>
      <c r="H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V268" s="4"/>
      <c r="X268" s="4"/>
      <c r="AE268" s="4"/>
    </row>
    <row r="269" spans="6:31" ht="18" customHeight="1">
      <c r="F269" s="11"/>
      <c r="G269" s="11"/>
      <c r="H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V269" s="4"/>
      <c r="X269" s="4"/>
      <c r="AE269" s="4"/>
    </row>
    <row r="270" spans="6:31" ht="18" customHeight="1">
      <c r="F270" s="11"/>
      <c r="G270" s="11"/>
      <c r="H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V270" s="4"/>
      <c r="X270" s="4"/>
      <c r="AE270" s="4"/>
    </row>
    <row r="271" spans="6:31" ht="18" customHeight="1">
      <c r="F271" s="11"/>
      <c r="G271" s="11"/>
      <c r="H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V271" s="4"/>
      <c r="X271" s="4"/>
      <c r="AE271" s="4"/>
    </row>
    <row r="272" spans="6:31" ht="18" customHeight="1">
      <c r="F272" s="11"/>
      <c r="G272" s="11"/>
      <c r="H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V272" s="4"/>
      <c r="X272" s="4"/>
      <c r="AE272" s="4"/>
    </row>
    <row r="273" spans="6:31" ht="18" customHeight="1">
      <c r="F273" s="11"/>
      <c r="G273" s="11"/>
      <c r="H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V273" s="4"/>
      <c r="X273" s="4"/>
      <c r="AE273" s="4"/>
    </row>
    <row r="274" spans="6:31" ht="18" customHeight="1">
      <c r="F274" s="11"/>
      <c r="G274" s="11"/>
      <c r="H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V274" s="4"/>
      <c r="X274" s="4"/>
      <c r="AE274" s="4"/>
    </row>
    <row r="275" spans="6:31" ht="18" customHeight="1">
      <c r="F275" s="11"/>
      <c r="G275" s="11"/>
      <c r="H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V275" s="4"/>
      <c r="X275" s="4"/>
      <c r="AE275" s="4"/>
    </row>
    <row r="276" spans="6:31" ht="18" customHeight="1">
      <c r="F276" s="11"/>
      <c r="G276" s="11"/>
      <c r="H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V276" s="4"/>
      <c r="X276" s="4"/>
      <c r="AE276" s="4"/>
    </row>
    <row r="277" spans="6:31" ht="18" customHeight="1">
      <c r="F277" s="11"/>
      <c r="G277" s="11"/>
      <c r="H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V277" s="4"/>
      <c r="X277" s="4"/>
      <c r="AE277" s="4"/>
    </row>
    <row r="278" spans="6:31" ht="18" customHeight="1">
      <c r="F278" s="11"/>
      <c r="G278" s="11"/>
      <c r="H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V278" s="4"/>
      <c r="X278" s="4"/>
      <c r="AE278" s="4"/>
    </row>
    <row r="279" spans="6:31" ht="18" customHeight="1">
      <c r="F279" s="11"/>
      <c r="G279" s="11"/>
      <c r="H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V279" s="4"/>
      <c r="X279" s="4"/>
      <c r="AE279" s="4"/>
    </row>
    <row r="280" spans="6:31" ht="18" customHeight="1">
      <c r="F280" s="11"/>
      <c r="G280" s="11"/>
      <c r="H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V280" s="4"/>
      <c r="X280" s="4"/>
      <c r="AE280" s="4"/>
    </row>
    <row r="281" spans="6:31" ht="18" customHeight="1">
      <c r="F281" s="11"/>
      <c r="G281" s="11"/>
      <c r="H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V281" s="4"/>
      <c r="X281" s="4"/>
      <c r="AE281" s="4"/>
    </row>
    <row r="282" spans="6:31" ht="18" customHeight="1">
      <c r="F282" s="11"/>
      <c r="G282" s="11"/>
      <c r="H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V282" s="4"/>
      <c r="X282" s="4"/>
      <c r="AE282" s="4"/>
    </row>
    <row r="283" spans="6:31" ht="18" customHeight="1">
      <c r="F283" s="11"/>
      <c r="G283" s="11"/>
      <c r="H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V283" s="4"/>
      <c r="X283" s="4"/>
      <c r="AE283" s="4"/>
    </row>
    <row r="284" spans="6:31" ht="18" customHeight="1">
      <c r="F284" s="11"/>
      <c r="G284" s="11"/>
      <c r="H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V284" s="4"/>
      <c r="X284" s="4"/>
      <c r="AE284" s="4"/>
    </row>
    <row r="285" spans="6:31" ht="18" customHeight="1">
      <c r="F285" s="11"/>
      <c r="G285" s="11"/>
      <c r="H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V285" s="4"/>
      <c r="X285" s="4"/>
      <c r="AE285" s="4"/>
    </row>
    <row r="286" spans="6:31" ht="18" customHeight="1">
      <c r="F286" s="11"/>
      <c r="G286" s="11"/>
      <c r="H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V286" s="4"/>
      <c r="X286" s="4"/>
      <c r="AE286" s="4"/>
    </row>
    <row r="287" spans="6:31" ht="18" customHeight="1">
      <c r="F287" s="11"/>
      <c r="G287" s="11"/>
      <c r="H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V287" s="4"/>
      <c r="X287" s="4"/>
      <c r="AE287" s="4"/>
    </row>
    <row r="288" spans="6:31" ht="18" customHeight="1">
      <c r="F288" s="11"/>
      <c r="G288" s="11"/>
      <c r="H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V288" s="4"/>
      <c r="X288" s="4"/>
      <c r="AE288" s="4"/>
    </row>
    <row r="289" spans="6:31" ht="18" customHeight="1">
      <c r="F289" s="11"/>
      <c r="G289" s="11"/>
      <c r="H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V289" s="4"/>
      <c r="X289" s="4"/>
      <c r="AE289" s="4"/>
    </row>
    <row r="290" spans="6:31" ht="18" customHeight="1">
      <c r="F290" s="11"/>
      <c r="G290" s="11"/>
      <c r="H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V290" s="4"/>
      <c r="X290" s="4"/>
      <c r="AE290" s="4"/>
    </row>
    <row r="291" spans="6:31" ht="18" customHeight="1">
      <c r="F291" s="11"/>
      <c r="G291" s="11"/>
      <c r="H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V291" s="4"/>
      <c r="X291" s="4"/>
      <c r="AE291" s="4"/>
    </row>
    <row r="292" spans="6:31" ht="18" customHeight="1">
      <c r="F292" s="11"/>
      <c r="G292" s="11"/>
      <c r="H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V292" s="4"/>
      <c r="X292" s="4"/>
      <c r="AE292" s="4"/>
    </row>
    <row r="293" spans="6:31" ht="18" customHeight="1">
      <c r="F293" s="11"/>
      <c r="G293" s="11"/>
      <c r="H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V293" s="4"/>
      <c r="X293" s="4"/>
      <c r="AE293" s="4"/>
    </row>
    <row r="294" spans="6:31" ht="18" customHeight="1">
      <c r="F294" s="11"/>
      <c r="G294" s="11"/>
      <c r="H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V294" s="4"/>
      <c r="X294" s="4"/>
      <c r="AE294" s="4"/>
    </row>
    <row r="295" spans="6:31" ht="18" customHeight="1">
      <c r="F295" s="11"/>
      <c r="G295" s="11"/>
      <c r="H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V295" s="4"/>
      <c r="X295" s="4"/>
      <c r="AE295" s="4"/>
    </row>
    <row r="296" spans="6:31" ht="18" customHeight="1">
      <c r="F296" s="11"/>
      <c r="G296" s="11"/>
      <c r="H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V296" s="4"/>
      <c r="X296" s="4"/>
      <c r="AE296" s="4"/>
    </row>
    <row r="297" spans="6:31" ht="18" customHeight="1">
      <c r="F297" s="11"/>
      <c r="G297" s="11"/>
      <c r="H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V297" s="4"/>
      <c r="X297" s="4"/>
      <c r="AE297" s="4"/>
    </row>
    <row r="298" spans="6:31" ht="18" customHeight="1">
      <c r="F298" s="11"/>
      <c r="G298" s="11"/>
      <c r="H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V298" s="4"/>
      <c r="X298" s="4"/>
      <c r="AE298" s="4"/>
    </row>
    <row r="299" spans="6:31" ht="18" customHeight="1">
      <c r="F299" s="11"/>
      <c r="G299" s="11"/>
      <c r="H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V299" s="4"/>
      <c r="X299" s="4"/>
      <c r="AE299" s="4"/>
    </row>
    <row r="300" spans="6:31" ht="18" customHeight="1">
      <c r="F300" s="11"/>
      <c r="G300" s="11"/>
      <c r="H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V300" s="4"/>
      <c r="X300" s="4"/>
      <c r="AE300" s="4"/>
    </row>
    <row r="301" spans="6:31" ht="18" customHeight="1">
      <c r="F301" s="11"/>
      <c r="G301" s="11"/>
      <c r="H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V301" s="4"/>
      <c r="X301" s="4"/>
      <c r="AE301" s="4"/>
    </row>
    <row r="302" spans="6:31" ht="18" customHeight="1">
      <c r="F302" s="11"/>
      <c r="G302" s="11"/>
      <c r="H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V302" s="4"/>
      <c r="X302" s="4"/>
      <c r="AE302" s="4"/>
    </row>
    <row r="303" spans="6:31" ht="18" customHeight="1">
      <c r="F303" s="11"/>
      <c r="G303" s="11"/>
      <c r="H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V303" s="4"/>
      <c r="X303" s="4"/>
      <c r="AE303" s="4"/>
    </row>
    <row r="304" spans="6:31" ht="18" customHeight="1">
      <c r="F304" s="11"/>
      <c r="G304" s="11"/>
      <c r="H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V304" s="4"/>
      <c r="X304" s="4"/>
      <c r="AE304" s="4"/>
    </row>
    <row r="305" spans="6:31" ht="18" customHeight="1">
      <c r="F305" s="11"/>
      <c r="G305" s="11"/>
      <c r="H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V305" s="4"/>
      <c r="X305" s="4"/>
      <c r="AE305" s="4"/>
    </row>
    <row r="306" spans="6:31" ht="18" customHeight="1">
      <c r="F306" s="11"/>
      <c r="G306" s="11"/>
      <c r="H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V306" s="4"/>
      <c r="X306" s="4"/>
      <c r="AE306" s="4"/>
    </row>
    <row r="307" spans="6:31" ht="18" customHeight="1">
      <c r="F307" s="11"/>
      <c r="G307" s="11"/>
      <c r="H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V307" s="4"/>
      <c r="X307" s="4"/>
      <c r="AE307" s="4"/>
    </row>
    <row r="308" spans="6:31" ht="18" customHeight="1">
      <c r="F308" s="11"/>
      <c r="G308" s="11"/>
      <c r="H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V308" s="4"/>
      <c r="X308" s="4"/>
      <c r="AE308" s="4"/>
    </row>
    <row r="309" spans="6:31" ht="18" customHeight="1">
      <c r="F309" s="11"/>
      <c r="G309" s="11"/>
      <c r="H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V309" s="4"/>
      <c r="X309" s="4"/>
      <c r="AE309" s="4"/>
    </row>
    <row r="310" spans="6:31" ht="18" customHeight="1">
      <c r="F310" s="11"/>
      <c r="G310" s="11"/>
      <c r="H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V310" s="4"/>
      <c r="X310" s="4"/>
      <c r="AE310" s="4"/>
    </row>
    <row r="311" spans="6:31" ht="18" customHeight="1">
      <c r="F311" s="11"/>
      <c r="G311" s="11"/>
      <c r="H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V311" s="4"/>
      <c r="X311" s="4"/>
      <c r="AE311" s="4"/>
    </row>
    <row r="312" spans="6:31" ht="18" customHeight="1">
      <c r="F312" s="11"/>
      <c r="G312" s="11"/>
      <c r="H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V312" s="4"/>
      <c r="X312" s="4"/>
      <c r="AE312" s="4"/>
    </row>
    <row r="313" spans="6:31" ht="18" customHeight="1">
      <c r="F313" s="11"/>
      <c r="G313" s="11"/>
      <c r="H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V313" s="4"/>
      <c r="X313" s="4"/>
      <c r="AE313" s="4"/>
    </row>
    <row r="314" spans="6:31" ht="18" customHeight="1">
      <c r="F314" s="11"/>
      <c r="G314" s="11"/>
      <c r="H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V314" s="4"/>
      <c r="X314" s="4"/>
      <c r="AE314" s="4"/>
    </row>
    <row r="315" spans="6:31" ht="18" customHeight="1">
      <c r="F315" s="11"/>
      <c r="G315" s="11"/>
      <c r="H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V315" s="4"/>
      <c r="X315" s="4"/>
      <c r="AE315" s="4"/>
    </row>
    <row r="316" spans="6:31" ht="18" customHeight="1">
      <c r="F316" s="11"/>
      <c r="G316" s="11"/>
      <c r="H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V316" s="4"/>
      <c r="X316" s="4"/>
      <c r="AE316" s="4"/>
    </row>
    <row r="317" spans="6:31" ht="18" customHeight="1">
      <c r="F317" s="11"/>
      <c r="G317" s="11"/>
      <c r="H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V317" s="4"/>
      <c r="X317" s="4"/>
      <c r="AE317" s="4"/>
    </row>
    <row r="318" spans="6:31" ht="18" customHeight="1">
      <c r="F318" s="11"/>
      <c r="G318" s="11"/>
      <c r="H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V318" s="4"/>
      <c r="X318" s="4"/>
      <c r="AE318" s="4"/>
    </row>
    <row r="319" spans="6:31" ht="18" customHeight="1">
      <c r="F319" s="11"/>
      <c r="G319" s="11"/>
      <c r="H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V319" s="4"/>
      <c r="X319" s="4"/>
      <c r="AE319" s="4"/>
    </row>
    <row r="320" spans="6:31" ht="18" customHeight="1">
      <c r="F320" s="11"/>
      <c r="G320" s="11"/>
      <c r="H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V320" s="4"/>
      <c r="X320" s="4"/>
      <c r="AE320" s="4"/>
    </row>
    <row r="321" spans="6:31" ht="18" customHeight="1">
      <c r="F321" s="11"/>
      <c r="G321" s="11"/>
      <c r="H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V321" s="4"/>
      <c r="X321" s="4"/>
      <c r="AE321" s="4"/>
    </row>
    <row r="322" spans="6:31" ht="18" customHeight="1">
      <c r="F322" s="11"/>
      <c r="G322" s="11"/>
      <c r="H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V322" s="4"/>
      <c r="X322" s="4"/>
      <c r="AE322" s="4"/>
    </row>
    <row r="323" spans="6:31" ht="18" customHeight="1">
      <c r="F323" s="11"/>
      <c r="G323" s="11"/>
      <c r="H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V323" s="4"/>
      <c r="X323" s="4"/>
      <c r="AE323" s="4"/>
    </row>
    <row r="324" spans="6:31" ht="18" customHeight="1">
      <c r="F324" s="11"/>
      <c r="G324" s="11"/>
      <c r="H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V324" s="4"/>
      <c r="X324" s="4"/>
      <c r="AE324" s="4"/>
    </row>
    <row r="325" spans="6:31" ht="18" customHeight="1">
      <c r="F325" s="11"/>
      <c r="G325" s="11"/>
      <c r="H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V325" s="4"/>
      <c r="X325" s="4"/>
      <c r="AE325" s="4"/>
    </row>
    <row r="326" spans="6:31" ht="18" customHeight="1">
      <c r="F326" s="11"/>
      <c r="G326" s="11"/>
      <c r="H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V326" s="4"/>
      <c r="X326" s="4"/>
      <c r="AE326" s="4"/>
    </row>
    <row r="327" spans="6:31" ht="18" customHeight="1">
      <c r="F327" s="11"/>
      <c r="G327" s="11"/>
      <c r="H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V327" s="4"/>
      <c r="X327" s="4"/>
      <c r="AE327" s="4"/>
    </row>
    <row r="328" spans="6:31" ht="18" customHeight="1">
      <c r="F328" s="11"/>
      <c r="G328" s="11"/>
      <c r="H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V328" s="4"/>
      <c r="X328" s="4"/>
      <c r="AE328" s="4"/>
    </row>
    <row r="329" spans="6:31" ht="18" customHeight="1">
      <c r="F329" s="11"/>
      <c r="G329" s="11"/>
      <c r="H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V329" s="4"/>
      <c r="X329" s="4"/>
      <c r="AE329" s="4"/>
    </row>
    <row r="330" spans="6:31" ht="18" customHeight="1">
      <c r="F330" s="11"/>
      <c r="G330" s="11"/>
      <c r="H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V330" s="4"/>
      <c r="X330" s="4"/>
      <c r="AE330" s="4"/>
    </row>
    <row r="331" spans="6:31" ht="18" customHeight="1">
      <c r="F331" s="11"/>
      <c r="G331" s="11"/>
      <c r="H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V331" s="4"/>
      <c r="X331" s="4"/>
      <c r="AE331" s="4"/>
    </row>
    <row r="332" spans="6:31" ht="18" customHeight="1">
      <c r="F332" s="11"/>
      <c r="G332" s="11"/>
      <c r="H332" s="11"/>
      <c r="J332" s="4"/>
      <c r="K332" s="4"/>
      <c r="L332" s="4"/>
      <c r="M332" s="4"/>
      <c r="N332" s="4"/>
      <c r="O332" s="4"/>
      <c r="P332" s="4"/>
      <c r="Q332" s="4"/>
      <c r="S332" s="4"/>
      <c r="V332" s="4"/>
      <c r="X332" s="4"/>
      <c r="AE332" s="4"/>
    </row>
    <row r="333" spans="6:31" ht="18" customHeight="1">
      <c r="F333" s="11"/>
      <c r="G333" s="11"/>
      <c r="H333" s="11"/>
      <c r="J333" s="4"/>
      <c r="K333" s="4"/>
      <c r="L333" s="4"/>
      <c r="M333" s="4"/>
      <c r="N333" s="4"/>
      <c r="O333" s="4"/>
      <c r="P333" s="4"/>
      <c r="S333" s="4"/>
      <c r="V333" s="4"/>
      <c r="X333" s="4"/>
      <c r="AE333" s="4"/>
    </row>
    <row r="334" spans="6:31" ht="18" customHeight="1">
      <c r="F334" s="11"/>
      <c r="G334" s="11"/>
      <c r="H334" s="11"/>
      <c r="J334" s="4"/>
      <c r="K334" s="4"/>
      <c r="L334" s="4"/>
      <c r="M334" s="4"/>
      <c r="N334" s="4"/>
      <c r="O334" s="4"/>
      <c r="P334" s="4"/>
      <c r="S334" s="4"/>
      <c r="V334" s="4"/>
      <c r="X334" s="4"/>
      <c r="AE334" s="4"/>
    </row>
    <row r="335" spans="6:31" ht="18" customHeight="1">
      <c r="S335" s="4"/>
      <c r="V335" s="4"/>
      <c r="X335" s="4"/>
      <c r="AE335" s="4"/>
    </row>
    <row r="336" spans="6:31" ht="18" customHeight="1">
      <c r="S336" s="4"/>
      <c r="V336" s="4"/>
      <c r="X336" s="4"/>
      <c r="AE336" s="4"/>
    </row>
    <row r="337" spans="19:31" ht="18" customHeight="1">
      <c r="S337" s="4"/>
      <c r="V337" s="4"/>
      <c r="X337" s="4"/>
      <c r="AE337" s="4"/>
    </row>
    <row r="338" spans="19:31" ht="18" customHeight="1">
      <c r="S338" s="4"/>
      <c r="V338" s="4"/>
      <c r="X338" s="4"/>
      <c r="AE338" s="4"/>
    </row>
    <row r="339" spans="19:31" ht="18" customHeight="1">
      <c r="S339" s="4"/>
      <c r="V339" s="4"/>
      <c r="X339" s="4"/>
      <c r="AE339" s="4"/>
    </row>
    <row r="340" spans="19:31" ht="18" customHeight="1">
      <c r="S340" s="4"/>
      <c r="V340" s="4"/>
      <c r="X340" s="4"/>
      <c r="AE340" s="4"/>
    </row>
    <row r="341" spans="19:31" ht="18" customHeight="1">
      <c r="S341" s="4"/>
      <c r="V341" s="4"/>
      <c r="X341" s="4"/>
      <c r="AE341" s="4"/>
    </row>
    <row r="342" spans="19:31" ht="18" customHeight="1">
      <c r="S342" s="4"/>
      <c r="V342" s="4"/>
      <c r="X342" s="4"/>
      <c r="AE342" s="4"/>
    </row>
    <row r="343" spans="19:31" ht="18" customHeight="1">
      <c r="S343" s="4"/>
      <c r="V343" s="4"/>
      <c r="X343" s="4"/>
      <c r="AE343" s="4"/>
    </row>
    <row r="344" spans="19:31" ht="18" customHeight="1">
      <c r="S344" s="4"/>
      <c r="V344" s="4"/>
      <c r="X344" s="4"/>
      <c r="AE344" s="4"/>
    </row>
    <row r="345" spans="19:31" ht="18" customHeight="1">
      <c r="S345" s="4"/>
      <c r="V345" s="4"/>
      <c r="X345" s="4"/>
      <c r="AE345" s="4"/>
    </row>
    <row r="346" spans="19:31" ht="18" customHeight="1">
      <c r="S346" s="4"/>
      <c r="V346" s="4"/>
      <c r="X346" s="4"/>
      <c r="AE346" s="4"/>
    </row>
    <row r="347" spans="19:31" ht="18" customHeight="1">
      <c r="S347" s="4"/>
      <c r="V347" s="4"/>
      <c r="X347" s="4"/>
      <c r="AE347" s="4"/>
    </row>
    <row r="348" spans="19:31" ht="18" customHeight="1">
      <c r="S348" s="4"/>
      <c r="V348" s="4"/>
      <c r="X348" s="4"/>
      <c r="AE348" s="4"/>
    </row>
    <row r="349" spans="19:31" ht="18" customHeight="1">
      <c r="S349" s="4"/>
      <c r="V349" s="4"/>
      <c r="X349" s="4"/>
      <c r="AE349" s="4"/>
    </row>
    <row r="350" spans="19:31" ht="18" customHeight="1">
      <c r="S350" s="4"/>
      <c r="V350" s="4"/>
      <c r="X350" s="4"/>
      <c r="AE350" s="4"/>
    </row>
    <row r="351" spans="19:31" ht="18" customHeight="1">
      <c r="S351" s="4"/>
      <c r="V351" s="4"/>
      <c r="X351" s="4"/>
      <c r="AE351" s="4"/>
    </row>
    <row r="352" spans="19:31" ht="18" customHeight="1">
      <c r="S352" s="4"/>
      <c r="V352" s="4"/>
      <c r="X352" s="4"/>
      <c r="AE352" s="4"/>
    </row>
    <row r="353" spans="19:31" ht="18" customHeight="1">
      <c r="S353" s="4"/>
      <c r="V353" s="4"/>
      <c r="X353" s="4"/>
      <c r="AE353" s="4"/>
    </row>
    <row r="354" spans="19:31" ht="18" customHeight="1">
      <c r="S354" s="4"/>
      <c r="V354" s="4"/>
      <c r="X354" s="4"/>
      <c r="AE354" s="4"/>
    </row>
    <row r="355" spans="19:31" ht="18" customHeight="1">
      <c r="S355" s="4"/>
      <c r="V355" s="4"/>
      <c r="X355" s="4"/>
      <c r="AE355" s="4"/>
    </row>
    <row r="356" spans="19:31" ht="18" customHeight="1">
      <c r="S356" s="4"/>
      <c r="V356" s="4"/>
      <c r="X356" s="4"/>
      <c r="AE356" s="4"/>
    </row>
    <row r="357" spans="19:31" ht="18" customHeight="1">
      <c r="S357" s="4"/>
      <c r="V357" s="4"/>
      <c r="X357" s="4"/>
      <c r="AE357" s="4"/>
    </row>
    <row r="358" spans="19:31" ht="18" customHeight="1">
      <c r="S358" s="4"/>
      <c r="V358" s="4"/>
      <c r="X358" s="4"/>
      <c r="AE358" s="4"/>
    </row>
    <row r="359" spans="19:31" ht="18" customHeight="1">
      <c r="S359" s="4"/>
      <c r="V359" s="4"/>
      <c r="X359" s="4"/>
      <c r="AE359" s="4"/>
    </row>
    <row r="360" spans="19:31" ht="18" customHeight="1">
      <c r="S360" s="4"/>
      <c r="V360" s="4"/>
      <c r="X360" s="4"/>
      <c r="AE360" s="4"/>
    </row>
    <row r="361" spans="19:31" ht="18" customHeight="1">
      <c r="S361" s="4"/>
      <c r="V361" s="4"/>
      <c r="X361" s="4"/>
      <c r="AE361" s="4"/>
    </row>
    <row r="362" spans="19:31" ht="18" customHeight="1">
      <c r="S362" s="4"/>
      <c r="V362" s="4"/>
      <c r="X362" s="4"/>
      <c r="AE362" s="4"/>
    </row>
    <row r="363" spans="19:31" ht="18" customHeight="1">
      <c r="S363" s="4"/>
      <c r="V363" s="4"/>
      <c r="X363" s="4"/>
      <c r="AE363" s="4"/>
    </row>
    <row r="364" spans="19:31" ht="18" customHeight="1">
      <c r="S364" s="4"/>
      <c r="V364" s="4"/>
      <c r="X364" s="4"/>
      <c r="AE364" s="4"/>
    </row>
    <row r="365" spans="19:31" ht="18" customHeight="1">
      <c r="S365" s="4"/>
      <c r="V365" s="4"/>
      <c r="X365" s="4"/>
      <c r="AE365" s="4"/>
    </row>
    <row r="366" spans="19:31" ht="18" customHeight="1">
      <c r="S366" s="4"/>
      <c r="V366" s="4"/>
      <c r="X366" s="4"/>
      <c r="AE366" s="4"/>
    </row>
    <row r="367" spans="19:31" ht="18" customHeight="1">
      <c r="S367" s="4"/>
      <c r="V367" s="4"/>
      <c r="X367" s="4"/>
      <c r="AE367" s="4"/>
    </row>
    <row r="368" spans="19:31" ht="18" customHeight="1">
      <c r="S368" s="4"/>
      <c r="V368" s="4"/>
      <c r="X368" s="4"/>
      <c r="AE368" s="4"/>
    </row>
    <row r="369" spans="19:31" ht="18" customHeight="1">
      <c r="S369" s="4"/>
      <c r="V369" s="4"/>
      <c r="X369" s="4"/>
      <c r="AE369" s="4"/>
    </row>
    <row r="370" spans="19:31" ht="18" customHeight="1"/>
    <row r="371" spans="19:31" ht="18" customHeight="1"/>
    <row r="372" spans="19:31" ht="18" customHeight="1"/>
    <row r="373" spans="19:31" ht="18" customHeight="1"/>
    <row r="374" spans="19:31" ht="18" customHeight="1"/>
    <row r="375" spans="19:31" ht="18" customHeight="1"/>
    <row r="376" spans="19:31" ht="18" customHeight="1"/>
    <row r="377" spans="19:31" ht="18" customHeight="1"/>
    <row r="378" spans="19:31" ht="18" customHeight="1"/>
    <row r="379" spans="19:31" ht="18" customHeight="1"/>
    <row r="380" spans="19:31" ht="18" customHeight="1"/>
    <row r="381" spans="19:31" ht="18" customHeight="1"/>
  </sheetData>
  <autoFilter ref="A2:Q57" xr:uid="{00000000-0009-0000-0000-000000000000}"/>
  <mergeCells count="5">
    <mergeCell ref="B51:D51"/>
    <mergeCell ref="A1:R1"/>
    <mergeCell ref="B35:D35"/>
    <mergeCell ref="B41:D41"/>
    <mergeCell ref="B49:E49"/>
  </mergeCells>
  <phoneticPr fontId="9" type="noConversion"/>
  <printOptions horizontalCentered="1"/>
  <pageMargins left="0" right="0" top="0" bottom="0" header="0" footer="0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Van+Wholesale Debtors</vt:lpstr>
      <vt:lpstr>'Van+Wholesale Debtors'!Print_Area</vt:lpstr>
      <vt:lpstr>'Van+Wholesale Debtors'!Print_Titles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15</cp:lastModifiedBy>
  <cp:lastPrinted>2026-01-07T10:47:37Z</cp:lastPrinted>
  <dcterms:created xsi:type="dcterms:W3CDTF">2025-02-11T03:24:33Z</dcterms:created>
  <dcterms:modified xsi:type="dcterms:W3CDTF">2026-03-22T06:05:01Z</dcterms:modified>
</cp:coreProperties>
</file>