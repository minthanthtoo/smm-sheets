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o Sai-2025\Ko Sai Report Up\Ko Sai Sales 2026\"/>
    </mc:Choice>
  </mc:AlternateContent>
  <xr:revisionPtr revIDLastSave="0" documentId="13_ncr:1_{E2D3046F-62B9-4C1F-92D6-9939FDFF3521}" xr6:coauthVersionLast="47" xr6:coauthVersionMax="47" xr10:uidLastSave="{00000000-0000-0000-0000-000000000000}"/>
  <bookViews>
    <workbookView xWindow="390" yWindow="390" windowWidth="19515" windowHeight="15300" tabRatio="623" firstSheet="1" activeTab="2" xr2:uid="{F1B1545C-7465-4F0E-9056-04C4D2C8053F}"/>
  </bookViews>
  <sheets>
    <sheet name="2025 Follow up sales " sheetId="103" state="hidden" r:id="rId1"/>
    <sheet name="FUS-Working" sheetId="53" r:id="rId2"/>
    <sheet name="MLM FU" sheetId="120" r:id="rId3"/>
    <sheet name="Kyaw Star" sheetId="106" r:id="rId4"/>
    <sheet name="Daw Nwe Nwe Yi" sheetId="107" r:id="rId5"/>
    <sheet name="Pyae Hlan" sheetId="108" r:id="rId6"/>
    <sheet name="Ko Myo Aung" sheetId="113" r:id="rId7"/>
    <sheet name="Ko Htike Soe" sheetId="118" r:id="rId8"/>
    <sheet name="U Min Lwin" sheetId="109" r:id="rId9"/>
    <sheet name="Ko Htun Naing" sheetId="112" r:id="rId10"/>
    <sheet name="Daw Htun May" sheetId="111" r:id="rId11"/>
    <sheet name="Shwe Pin Lal" sheetId="110" r:id="rId12"/>
    <sheet name="Ko Nyi Nyi Swe" sheetId="115" r:id="rId13"/>
    <sheet name="Lin Thit" sheetId="117" r:id="rId14"/>
    <sheet name="Ko Mg+Ma Thu Zar" sheetId="114" r:id="rId15"/>
    <sheet name="Moe San Char Li " sheetId="116" r:id="rId16"/>
    <sheet name="Ko Mya Khat" sheetId="119" r:id="rId17"/>
  </sheets>
  <externalReferences>
    <externalReference r:id="rId18"/>
    <externalReference r:id="rId19"/>
  </externalReferences>
  <definedNames>
    <definedName name="_xlnm._FilterDatabase" localSheetId="0" hidden="1">'2025 Follow up sales '!$A$15:$N$165</definedName>
    <definedName name="_xlnm._FilterDatabase" localSheetId="2" hidden="1">'MLM FU'!$A$15:$N$90</definedName>
    <definedName name="a">#REF!</definedName>
    <definedName name="aa" localSheetId="0">#REF!</definedName>
    <definedName name="aa" localSheetId="2">#REF!</definedName>
    <definedName name="aa">#REF!</definedName>
    <definedName name="aaa" localSheetId="0">#REF!</definedName>
    <definedName name="aaa" localSheetId="2">#REF!</definedName>
    <definedName name="aaa">#REF!</definedName>
    <definedName name="aaaaa">#REF!</definedName>
    <definedName name="aaaaaaa" localSheetId="0">#REF!</definedName>
    <definedName name="aaaaaaa" localSheetId="2">#REF!</definedName>
    <definedName name="aaaaaaa">#REF!</definedName>
    <definedName name="asd" localSheetId="0">'[1]Market ( Mar) '!#REF!</definedName>
    <definedName name="asd" localSheetId="2">'[1]Market ( Mar) '!#REF!</definedName>
    <definedName name="asd">'[1]Market ( Mar) '!#REF!</definedName>
    <definedName name="atr" localSheetId="0">#REF!</definedName>
    <definedName name="atr" localSheetId="2">#REF!</definedName>
    <definedName name="atr">#REF!</definedName>
    <definedName name="b" localSheetId="0">#REF!</definedName>
    <definedName name="b" localSheetId="2">#REF!</definedName>
    <definedName name="b">#REF!</definedName>
    <definedName name="bb" localSheetId="0">#REF!</definedName>
    <definedName name="bb" localSheetId="2">#REF!</definedName>
    <definedName name="bb">#REF!</definedName>
    <definedName name="Beg_Bal" localSheetId="0">#REF!</definedName>
    <definedName name="Beg_Bal" localSheetId="2">#REF!</definedName>
    <definedName name="Beg_Bal">#REF!</definedName>
    <definedName name="Cash_Cr" localSheetId="0">#REF!</definedName>
    <definedName name="Cash_Cr" localSheetId="2">#REF!</definedName>
    <definedName name="Cash_Cr">#REF!</definedName>
    <definedName name="Cash_Dr" localSheetId="0">#REF!</definedName>
    <definedName name="Cash_Dr" localSheetId="2">#REF!</definedName>
    <definedName name="Cash_Dr">#REF!</definedName>
    <definedName name="cc" localSheetId="0">#REF!</definedName>
    <definedName name="cc" localSheetId="2">#REF!</definedName>
    <definedName name="cc">#REF!</definedName>
    <definedName name="ccc" localSheetId="0">#REF!</definedName>
    <definedName name="ccc" localSheetId="2">#REF!</definedName>
    <definedName name="ccc">#REF!</definedName>
    <definedName name="cft" localSheetId="2">#REF!</definedName>
    <definedName name="cft">#REF!</definedName>
    <definedName name="cr" localSheetId="0">#REF!</definedName>
    <definedName name="cr" localSheetId="2">#REF!</definedName>
    <definedName name="cr">#REF!</definedName>
    <definedName name="crs" localSheetId="0">#REF!</definedName>
    <definedName name="crs" localSheetId="2">#REF!</definedName>
    <definedName name="crs">#REF!</definedName>
    <definedName name="cvvvv">#REF!</definedName>
    <definedName name="cwer" localSheetId="2">#REF!</definedName>
    <definedName name="cwer">#REF!</definedName>
    <definedName name="Data" localSheetId="0">#REF!</definedName>
    <definedName name="Data" localSheetId="2">#REF!</definedName>
    <definedName name="Data">#REF!</definedName>
    <definedName name="dd" localSheetId="0">#REF!</definedName>
    <definedName name="dd" localSheetId="2">#REF!</definedName>
    <definedName name="dd">#REF!</definedName>
    <definedName name="ddd" localSheetId="0">#REF!</definedName>
    <definedName name="ddd" localSheetId="2">#REF!</definedName>
    <definedName name="ddd">#REF!</definedName>
    <definedName name="dddd">OFFSET(Full_Print,0,0,Last_Row)</definedName>
    <definedName name="dr" localSheetId="0">#REF!</definedName>
    <definedName name="dr" localSheetId="2">#REF!</definedName>
    <definedName name="dr">#REF!</definedName>
    <definedName name="drs" localSheetId="0">#REF!</definedName>
    <definedName name="drs" localSheetId="2">#REF!</definedName>
    <definedName name="drs">#REF!</definedName>
    <definedName name="dsfas">#REF!</definedName>
    <definedName name="eeee">#REF!</definedName>
    <definedName name="eeeee">'[1]Market ( Mar) '!#REF!</definedName>
    <definedName name="End_Bal" localSheetId="0">#REF!</definedName>
    <definedName name="End_Bal" localSheetId="2">#REF!</definedName>
    <definedName name="End_Bal">#REF!</definedName>
    <definedName name="Extra_Pay" localSheetId="0">#REF!</definedName>
    <definedName name="Extra_Pay" localSheetId="2">#REF!</definedName>
    <definedName name="Extra_Pay">#REF!</definedName>
    <definedName name="fgf" localSheetId="0">#REF!</definedName>
    <definedName name="fgf" localSheetId="2">#REF!</definedName>
    <definedName name="fgf">#REF!</definedName>
    <definedName name="fgjhj" localSheetId="0">#REF!</definedName>
    <definedName name="fgjhj" localSheetId="2">#REF!</definedName>
    <definedName name="fgjhj">#REF!</definedName>
    <definedName name="ftyu" localSheetId="2">#REF!</definedName>
    <definedName name="ftyu">#REF!</definedName>
    <definedName name="Full_Print" localSheetId="0">#REF!</definedName>
    <definedName name="Full_Print" localSheetId="2">#REF!</definedName>
    <definedName name="Full_Print">#REF!</definedName>
    <definedName name="fusales4" localSheetId="2">#REF!</definedName>
    <definedName name="fusales4">#REF!</definedName>
    <definedName name="gg" localSheetId="2">#REF!</definedName>
    <definedName name="gg">#REF!</definedName>
    <definedName name="gggggg" localSheetId="2">#REF!</definedName>
    <definedName name="gggggg">#REF!</definedName>
    <definedName name="Header_Row">ROW(#REF!)</definedName>
    <definedName name="hjj" localSheetId="0">#REF!</definedName>
    <definedName name="hjj" localSheetId="2">#REF!</definedName>
    <definedName name="hjj">#REF!</definedName>
    <definedName name="hjjj" localSheetId="2">#REF!</definedName>
    <definedName name="hjjj">#REF!</definedName>
    <definedName name="hjkjk" localSheetId="0">#REF!</definedName>
    <definedName name="hjkjk" localSheetId="2">#REF!</definedName>
    <definedName name="hjkjk">#REF!</definedName>
    <definedName name="hmjhj" localSheetId="0">#REF!</definedName>
    <definedName name="hmjhj" localSheetId="2">#REF!</definedName>
    <definedName name="hmjhj">#REF!</definedName>
    <definedName name="ii">#REF!</definedName>
    <definedName name="III">#REF!</definedName>
    <definedName name="Int" localSheetId="0">#REF!</definedName>
    <definedName name="Int" localSheetId="2">#REF!</definedName>
    <definedName name="Int">#REF!</definedName>
    <definedName name="Interest_Rate" localSheetId="0">#REF!</definedName>
    <definedName name="Interest_Rate" localSheetId="2">#REF!</definedName>
    <definedName name="Interest_Rate">#REF!</definedName>
    <definedName name="jbkjkl" localSheetId="0">#REF!</definedName>
    <definedName name="jbkjkl" localSheetId="2">#REF!</definedName>
    <definedName name="jbkjkl">#REF!</definedName>
    <definedName name="Journal_Cr" localSheetId="0">#REF!</definedName>
    <definedName name="Journal_Cr" localSheetId="2">#REF!</definedName>
    <definedName name="Journal_Cr">#REF!</definedName>
    <definedName name="Journal_Dr" localSheetId="0">#REF!</definedName>
    <definedName name="Journal_Dr" localSheetId="2">#REF!</definedName>
    <definedName name="Journal_Dr">#REF!</definedName>
    <definedName name="kdt" localSheetId="0">#REF!</definedName>
    <definedName name="kdt" localSheetId="2">#REF!</definedName>
    <definedName name="kdt">#REF!</definedName>
    <definedName name="kk">IF(Loan_Amount*Interest_Rate*Loan_Years*Loan_Start&gt;0,1,0)</definedName>
    <definedName name="kluyufuf">#REF!</definedName>
    <definedName name="Last_Row" localSheetId="0">IF('2025 Follow up sales '!Values_Entered,Header_Row+'2025 Follow up sales '!Number_of_Payments,Header_Row)</definedName>
    <definedName name="Last_Row" localSheetId="2">IF('MLM FU'!Values_Entered,Header_Row+'MLM FU'!Number_of_Payments,Header_Row)</definedName>
    <definedName name="Last_Row">IF(Values_Entered,Header_Row+Number_of_Payments,Header_Row)</definedName>
    <definedName name="Loan_Amount" localSheetId="0">#REF!</definedName>
    <definedName name="Loan_Amount" localSheetId="2">#REF!</definedName>
    <definedName name="Loan_Amount">#REF!</definedName>
    <definedName name="Loan_Start" localSheetId="0">#REF!</definedName>
    <definedName name="Loan_Start" localSheetId="2">#REF!</definedName>
    <definedName name="Loan_Start">#REF!</definedName>
    <definedName name="Loan_Years" localSheetId="0">#REF!</definedName>
    <definedName name="Loan_Years" localSheetId="2">#REF!</definedName>
    <definedName name="Loan_Years">#REF!</definedName>
    <definedName name="LSO" localSheetId="0">#REF!</definedName>
    <definedName name="LSO" localSheetId="2">#REF!</definedName>
    <definedName name="LSO">#REF!</definedName>
    <definedName name="lsoq" localSheetId="0">#REF!</definedName>
    <definedName name="lsoq" localSheetId="2">#REF!</definedName>
    <definedName name="lsoq">#REF!</definedName>
    <definedName name="lsoq1" localSheetId="2">#REF!</definedName>
    <definedName name="lsoq1">#REF!</definedName>
    <definedName name="mmmkk">#REF!</definedName>
    <definedName name="mms" localSheetId="0">#REF!</definedName>
    <definedName name="mms" localSheetId="2">#REF!</definedName>
    <definedName name="mms">#REF!</definedName>
    <definedName name="neew" localSheetId="0">#REF!</definedName>
    <definedName name="neew" localSheetId="2">#REF!</definedName>
    <definedName name="neew">#REF!</definedName>
    <definedName name="New" localSheetId="0">#REF!</definedName>
    <definedName name="New" localSheetId="2">#REF!</definedName>
    <definedName name="New">#REF!</definedName>
    <definedName name="NOV">#REF!</definedName>
    <definedName name="Num_Pmt_Per_Year" localSheetId="0">#REF!</definedName>
    <definedName name="Num_Pmt_Per_Year" localSheetId="2">#REF!</definedName>
    <definedName name="Num_Pmt_Per_Year">#REF!</definedName>
    <definedName name="Number_of_Payments" localSheetId="0">MATCH(0.01,'2025 Follow up sales '!End_Bal,-1)+1</definedName>
    <definedName name="Number_of_Payments" localSheetId="2">MATCH(0.01,'MLM FU'!End_Bal,-1)+1</definedName>
    <definedName name="Number_of_Payments">MATCH(0.01,End_Bal,-1)+1</definedName>
    <definedName name="ooo">#REF!</definedName>
    <definedName name="Opening_Cr" localSheetId="0">#REF!</definedName>
    <definedName name="Opening_Cr" localSheetId="2">#REF!</definedName>
    <definedName name="Opening_Cr">#REF!</definedName>
    <definedName name="Opening_Dr" localSheetId="0">#REF!</definedName>
    <definedName name="Opening_Dr" localSheetId="2">#REF!</definedName>
    <definedName name="Opening_Dr">#REF!</definedName>
    <definedName name="Pay_Date" localSheetId="0">#REF!</definedName>
    <definedName name="Pay_Date" localSheetId="2">#REF!</definedName>
    <definedName name="Pay_Date">#REF!</definedName>
    <definedName name="Pay_Num" localSheetId="0">#REF!</definedName>
    <definedName name="Pay_Num" localSheetId="2">#REF!</definedName>
    <definedName name="Pay_Num">#REF!</definedName>
    <definedName name="Payment_Date" localSheetId="0">DATE(YEAR('2025 Follow up sales '!Loan_Start),MONTH('2025 Follow up sales '!Loan_Start)+Payment_Number,DAY('2025 Follow up sales '!Loan_Start))</definedName>
    <definedName name="Payment_Date" localSheetId="2">DATE(YEAR('MLM FU'!Loan_Start),MONTH('MLM FU'!Loan_Start)+Payment_Number,DAY('MLM FU'!Loan_Start))</definedName>
    <definedName name="Payment_Date">DATE(YEAR(Loan_Start),MONTH(Loan_Start)+Payment_Number,DAY(Loan_Start))</definedName>
    <definedName name="Princ" localSheetId="0">#REF!</definedName>
    <definedName name="Princ" localSheetId="2">#REF!</definedName>
    <definedName name="Princ">#REF!</definedName>
    <definedName name="princeee" localSheetId="2">#REF!</definedName>
    <definedName name="princeee">#REF!</definedName>
    <definedName name="Print_Area_Reset" localSheetId="0">OFFSET('2025 Follow up sales '!Full_Print,0,0,'2025 Follow up sales '!Last_Row)</definedName>
    <definedName name="Print_Area_Reset" localSheetId="2">OFFSET('MLM FU'!Full_Print,0,0,'MLM FU'!Last_Row)</definedName>
    <definedName name="Print_Area_Reset">OFFSET(Full_Print,0,0,Last_Row)</definedName>
    <definedName name="qqqqqq">#REF!</definedName>
    <definedName name="Rate" localSheetId="2">#REF!</definedName>
    <definedName name="Rate">#REF!</definedName>
    <definedName name="rty" localSheetId="2">#REF!</definedName>
    <definedName name="rty">#REF!</definedName>
    <definedName name="s" localSheetId="0">#REF!</definedName>
    <definedName name="s" localSheetId="2">#REF!</definedName>
    <definedName name="s">#REF!</definedName>
    <definedName name="Salees" localSheetId="2">#REF!</definedName>
    <definedName name="Salees">#REF!</definedName>
    <definedName name="sales" localSheetId="2">#REF!</definedName>
    <definedName name="sales">#REF!</definedName>
    <definedName name="Sched_Pay" localSheetId="0">#REF!</definedName>
    <definedName name="Sched_Pay" localSheetId="2">#REF!</definedName>
    <definedName name="Sched_Pay">#REF!</definedName>
    <definedName name="Scheduled_Extra_Payments" localSheetId="0">#REF!</definedName>
    <definedName name="Scheduled_Extra_Payments" localSheetId="2">#REF!</definedName>
    <definedName name="Scheduled_Extra_Payments">#REF!</definedName>
    <definedName name="Scheduled_Interest_Rate" localSheetId="0">#REF!</definedName>
    <definedName name="Scheduled_Interest_Rate" localSheetId="2">#REF!</definedName>
    <definedName name="Scheduled_Interest_Rate">#REF!</definedName>
    <definedName name="Scheduled_Monthly_Payment" localSheetId="0">#REF!</definedName>
    <definedName name="Scheduled_Monthly_Payment" localSheetId="2">#REF!</definedName>
    <definedName name="Scheduled_Monthly_Payment">#REF!</definedName>
    <definedName name="smm" localSheetId="0">#REF!</definedName>
    <definedName name="smm" localSheetId="2">#REF!</definedName>
    <definedName name="smm">#REF!</definedName>
    <definedName name="smmm" localSheetId="0">'[1]Market ( Mar) '!#REF!</definedName>
    <definedName name="smmm" localSheetId="2">'[1]Market ( Mar) '!#REF!</definedName>
    <definedName name="smmm">'[1]Market ( Mar) '!#REF!</definedName>
    <definedName name="tdk" localSheetId="0">#REF!</definedName>
    <definedName name="tdk" localSheetId="2">#REF!</definedName>
    <definedName name="tdk">#REF!</definedName>
    <definedName name="Total_Interest" localSheetId="0">#REF!</definedName>
    <definedName name="Total_Interest" localSheetId="2">#REF!</definedName>
    <definedName name="Total_Interest">#REF!</definedName>
    <definedName name="Total_Pay" localSheetId="0">#REF!</definedName>
    <definedName name="Total_Pay" localSheetId="2">#REF!</definedName>
    <definedName name="Total_Pay">#REF!</definedName>
    <definedName name="Total_Payment" localSheetId="0">Scheduled_Payment+Extra_Payment</definedName>
    <definedName name="Total_Payment" localSheetId="2">Scheduled_Payment+Extra_Payment</definedName>
    <definedName name="Total_Payment">Scheduled_Payment+Extra_Payment</definedName>
    <definedName name="TYPE1">'[2]1.2.22'!$AV$7:$AV$8</definedName>
    <definedName name="TYPE2">'[2]19.2.22'!$AV$7:$AV$9</definedName>
    <definedName name="TYPE3">'[2]20.2.22'!$AV$7:$AV$9</definedName>
    <definedName name="TYPE4">'[2]19.2.22'!$AV$7:$AV$9</definedName>
    <definedName name="uuu">#REF!</definedName>
    <definedName name="Values_Entered" localSheetId="0">IF('2025 Follow up sales '!Loan_Amount*'2025 Follow up sales '!Interest_Rate*'2025 Follow up sales '!Loan_Years*'2025 Follow up sales '!Loan_Start&gt;0,1,0)</definedName>
    <definedName name="Values_Entered" localSheetId="2">IF('MLM FU'!Loan_Amount*'MLM FU'!Interest_Rate*'MLM FU'!Loan_Years*'MLM FU'!Loan_Start&gt;0,1,0)</definedName>
    <definedName name="Values_Entered">IF(Loan_Amount*Interest_Rate*Loan_Years*Loan_Start&gt;0,1,0)</definedName>
    <definedName name="vkhfkgf" localSheetId="0">#REF!</definedName>
    <definedName name="vkhfkgf" localSheetId="2">#REF!</definedName>
    <definedName name="vkhfkgf">#REF!</definedName>
    <definedName name="wert" localSheetId="2">#REF!</definedName>
    <definedName name="wert">#REF!</definedName>
    <definedName name="xdfrg">#REF!</definedName>
    <definedName name="y">#REF!</definedName>
    <definedName name="yhhg123">#N/A</definedName>
    <definedName name="YMO4" localSheetId="2">#REF!</definedName>
    <definedName name="YMO4">#REF!</definedName>
    <definedName name="YMO5" localSheetId="2">#REF!</definedName>
    <definedName name="YMO5">#REF!</definedName>
    <definedName name="Ymowy" localSheetId="2">#REF!</definedName>
    <definedName name="Ymowy">#REF!</definedName>
    <definedName name="yy">#REF!</definedName>
    <definedName name="yyyyy">#REF!</definedName>
    <definedName name="zx">#REF!</definedName>
    <definedName name="zx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93" i="120" l="1"/>
  <c r="AI92" i="120"/>
  <c r="AI73" i="120"/>
  <c r="AI74" i="120"/>
  <c r="AI75" i="120"/>
  <c r="AI76" i="120"/>
  <c r="AI77" i="120"/>
  <c r="AI78" i="120"/>
  <c r="AI79" i="120"/>
  <c r="AI80" i="120"/>
  <c r="AI81" i="120"/>
  <c r="AI82" i="120"/>
  <c r="AI83" i="120"/>
  <c r="AI84" i="120"/>
  <c r="AI85" i="120"/>
  <c r="AI72" i="120"/>
  <c r="AI42" i="120"/>
  <c r="AI43" i="120"/>
  <c r="AI44" i="120"/>
  <c r="AI45" i="120"/>
  <c r="AI46" i="120"/>
  <c r="AI47" i="120"/>
  <c r="AI48" i="120"/>
  <c r="AI49" i="120"/>
  <c r="AI50" i="120"/>
  <c r="AI51" i="120"/>
  <c r="AI52" i="120"/>
  <c r="AI53" i="120"/>
  <c r="AI54" i="120"/>
  <c r="AI55" i="120"/>
  <c r="AI56" i="120"/>
  <c r="AI57" i="120"/>
  <c r="AI58" i="120"/>
  <c r="AI59" i="120"/>
  <c r="AI60" i="120"/>
  <c r="AI61" i="120"/>
  <c r="AI62" i="120"/>
  <c r="AI63" i="120"/>
  <c r="AI64" i="120"/>
  <c r="AI41" i="120"/>
  <c r="AI20" i="120"/>
  <c r="AI21" i="120"/>
  <c r="AI22" i="120"/>
  <c r="AI23" i="120"/>
  <c r="AI24" i="120"/>
  <c r="AI25" i="120"/>
  <c r="AI26" i="120"/>
  <c r="AI27" i="120"/>
  <c r="AI28" i="120"/>
  <c r="AI29" i="120"/>
  <c r="AI30" i="120"/>
  <c r="AI31" i="120"/>
  <c r="AI32" i="120"/>
  <c r="AI19" i="120"/>
  <c r="AH96" i="120"/>
  <c r="AG96" i="120"/>
  <c r="AN39" i="108"/>
  <c r="AO39" i="108"/>
  <c r="AJ31" i="115"/>
  <c r="AK31" i="115"/>
  <c r="AL31" i="115"/>
  <c r="AJ32" i="115"/>
  <c r="AK32" i="115"/>
  <c r="AL32" i="115"/>
  <c r="AP34" i="117" l="1"/>
  <c r="AQ34" i="117"/>
  <c r="AR34" i="117"/>
  <c r="AQ42" i="113"/>
  <c r="AR42" i="113"/>
  <c r="AP42" i="113"/>
  <c r="AN40" i="111"/>
  <c r="AO40" i="111"/>
  <c r="AM40" i="111"/>
  <c r="AN36" i="108"/>
  <c r="AO36" i="108"/>
  <c r="AQ41" i="113"/>
  <c r="AQ49" i="113" s="1"/>
  <c r="AR41" i="113"/>
  <c r="AP41" i="113"/>
  <c r="AK33" i="120"/>
  <c r="AK34" i="120"/>
  <c r="AV102" i="106" l="1"/>
  <c r="AV101" i="106"/>
  <c r="AV103" i="106"/>
  <c r="AV104" i="106"/>
  <c r="AV105" i="106"/>
  <c r="AV106" i="106"/>
  <c r="AV107" i="106"/>
  <c r="AV108" i="106"/>
  <c r="AV109" i="106"/>
  <c r="AV110" i="106"/>
  <c r="AV111" i="106"/>
  <c r="AV112" i="106"/>
  <c r="AV113" i="106"/>
  <c r="AV114" i="106"/>
  <c r="AV115" i="106"/>
  <c r="AV116" i="106"/>
  <c r="AV100" i="106"/>
  <c r="AV99" i="106"/>
  <c r="AQ32" i="117"/>
  <c r="AR32" i="117"/>
  <c r="AP32" i="117"/>
  <c r="AV32" i="117"/>
  <c r="AV98" i="106"/>
  <c r="AN38" i="111"/>
  <c r="AO38" i="111"/>
  <c r="AM38" i="111"/>
  <c r="AC20" i="120"/>
  <c r="AD20" i="120"/>
  <c r="AC21" i="120"/>
  <c r="AD21" i="120"/>
  <c r="AC22" i="120"/>
  <c r="AD22" i="120"/>
  <c r="AC23" i="120"/>
  <c r="AD23" i="120"/>
  <c r="AC24" i="120"/>
  <c r="AD24" i="120"/>
  <c r="AC25" i="120"/>
  <c r="AD25" i="120"/>
  <c r="AC26" i="120"/>
  <c r="AD26" i="120"/>
  <c r="AC27" i="120"/>
  <c r="AD27" i="120"/>
  <c r="AC28" i="120"/>
  <c r="AD28" i="120"/>
  <c r="AC29" i="120"/>
  <c r="AD29" i="120"/>
  <c r="AC30" i="120"/>
  <c r="AD30" i="120"/>
  <c r="AC31" i="120"/>
  <c r="AD31" i="120"/>
  <c r="AC32" i="120"/>
  <c r="AD32" i="120"/>
  <c r="AC34" i="120"/>
  <c r="AD34" i="120"/>
  <c r="AD19" i="120"/>
  <c r="AC19" i="120"/>
  <c r="AF23" i="120"/>
  <c r="AF24" i="120"/>
  <c r="AF29" i="120"/>
  <c r="AF34" i="120"/>
  <c r="AO37" i="119"/>
  <c r="AN37" i="119"/>
  <c r="AM37" i="119"/>
  <c r="AO36" i="119"/>
  <c r="AO38" i="119" s="1"/>
  <c r="AN36" i="119"/>
  <c r="AN38" i="119" s="1"/>
  <c r="AM36" i="119"/>
  <c r="AM38" i="119" s="1"/>
  <c r="AR25" i="116"/>
  <c r="AQ25" i="116"/>
  <c r="AP25" i="116"/>
  <c r="AR24" i="116"/>
  <c r="AR26" i="116" s="1"/>
  <c r="AQ24" i="116"/>
  <c r="AQ26" i="116" s="1"/>
  <c r="AP24" i="116"/>
  <c r="AP26" i="116" s="1"/>
  <c r="AO61" i="114"/>
  <c r="AN61" i="114"/>
  <c r="AM61" i="114"/>
  <c r="AO60" i="114"/>
  <c r="AN60" i="114"/>
  <c r="AM60" i="114"/>
  <c r="AO59" i="114"/>
  <c r="AN59" i="114"/>
  <c r="AM59" i="114"/>
  <c r="AO58" i="114"/>
  <c r="AN58" i="114"/>
  <c r="AM58" i="114"/>
  <c r="AO57" i="114"/>
  <c r="AN57" i="114"/>
  <c r="AM57" i="114"/>
  <c r="AO56" i="114"/>
  <c r="AN56" i="114"/>
  <c r="AM56" i="114"/>
  <c r="AO55" i="114"/>
  <c r="AN55" i="114"/>
  <c r="AM55" i="114"/>
  <c r="AO54" i="114"/>
  <c r="AN54" i="114"/>
  <c r="AM54" i="114"/>
  <c r="AO53" i="114"/>
  <c r="AN53" i="114"/>
  <c r="AM53" i="114"/>
  <c r="AO52" i="114"/>
  <c r="AN52" i="114"/>
  <c r="AM52" i="114"/>
  <c r="AO51" i="114"/>
  <c r="AN51" i="114"/>
  <c r="AM51" i="114"/>
  <c r="AO50" i="114"/>
  <c r="AN50" i="114"/>
  <c r="AM50" i="114"/>
  <c r="AO49" i="114"/>
  <c r="AN49" i="114"/>
  <c r="AM49" i="114"/>
  <c r="AO48" i="114"/>
  <c r="AN48" i="114"/>
  <c r="AM48" i="114"/>
  <c r="AR33" i="117"/>
  <c r="AQ33" i="117"/>
  <c r="AP33" i="117"/>
  <c r="AL30" i="115"/>
  <c r="AK30" i="115"/>
  <c r="AJ30" i="115"/>
  <c r="AL29" i="115"/>
  <c r="AK29" i="115"/>
  <c r="AJ29" i="115"/>
  <c r="AO29" i="110"/>
  <c r="AN29" i="110"/>
  <c r="AM29" i="110"/>
  <c r="AO28" i="110"/>
  <c r="AN28" i="110"/>
  <c r="AM28" i="110"/>
  <c r="AO27" i="110"/>
  <c r="AN27" i="110"/>
  <c r="AM27" i="110"/>
  <c r="AO43" i="111"/>
  <c r="AN43" i="111"/>
  <c r="AM43" i="111"/>
  <c r="AO42" i="111"/>
  <c r="AN42" i="111"/>
  <c r="AM42" i="111"/>
  <c r="AO41" i="111"/>
  <c r="AN41" i="111"/>
  <c r="AM41" i="111"/>
  <c r="AO39" i="111"/>
  <c r="AN39" i="111"/>
  <c r="AM39" i="111"/>
  <c r="AR28" i="112"/>
  <c r="AQ28" i="112"/>
  <c r="AP28" i="112"/>
  <c r="AR27" i="112"/>
  <c r="AQ27" i="112"/>
  <c r="AP27" i="112"/>
  <c r="AR26" i="112"/>
  <c r="AQ26" i="112"/>
  <c r="AQ29" i="112" s="1"/>
  <c r="AP26" i="112"/>
  <c r="AP29" i="112" s="1"/>
  <c r="AR54" i="109"/>
  <c r="AQ54" i="109"/>
  <c r="AP54" i="109"/>
  <c r="AR53" i="109"/>
  <c r="AQ53" i="109"/>
  <c r="AP53" i="109"/>
  <c r="AR52" i="109"/>
  <c r="AQ52" i="109"/>
  <c r="AP52" i="109"/>
  <c r="AR51" i="109"/>
  <c r="AQ51" i="109"/>
  <c r="AP51" i="109"/>
  <c r="AR50" i="109"/>
  <c r="AQ50" i="109"/>
  <c r="AP50" i="109"/>
  <c r="AR49" i="109"/>
  <c r="AQ49" i="109"/>
  <c r="AP49" i="109"/>
  <c r="AR48" i="109"/>
  <c r="AQ48" i="109"/>
  <c r="AP48" i="109"/>
  <c r="AR47" i="109"/>
  <c r="AQ47" i="109"/>
  <c r="AP47" i="109"/>
  <c r="AR46" i="109"/>
  <c r="AQ46" i="109"/>
  <c r="AP46" i="109"/>
  <c r="AR45" i="109"/>
  <c r="AQ45" i="109"/>
  <c r="AP45" i="109"/>
  <c r="AR44" i="109"/>
  <c r="AQ44" i="109"/>
  <c r="AP44" i="109"/>
  <c r="AX409" i="118"/>
  <c r="AX410" i="118" s="1"/>
  <c r="AW409" i="118"/>
  <c r="AW410" i="118" s="1"/>
  <c r="AV409" i="118"/>
  <c r="AV410" i="118" s="1"/>
  <c r="AR48" i="113"/>
  <c r="AQ48" i="113"/>
  <c r="AP48" i="113"/>
  <c r="AR47" i="113"/>
  <c r="AQ47" i="113"/>
  <c r="AP47" i="113"/>
  <c r="AR46" i="113"/>
  <c r="AQ46" i="113"/>
  <c r="AP46" i="113"/>
  <c r="AR45" i="113"/>
  <c r="AQ45" i="113"/>
  <c r="AP45" i="113"/>
  <c r="AR44" i="113"/>
  <c r="AQ44" i="113"/>
  <c r="AP44" i="113"/>
  <c r="AR43" i="113"/>
  <c r="AQ43" i="113"/>
  <c r="AP43" i="113"/>
  <c r="AR40" i="113"/>
  <c r="AQ40" i="113"/>
  <c r="AP40" i="113"/>
  <c r="AO40" i="108"/>
  <c r="AN40" i="108"/>
  <c r="AM40" i="108"/>
  <c r="AM39" i="108"/>
  <c r="AO38" i="108"/>
  <c r="AN38" i="108"/>
  <c r="AM38" i="108"/>
  <c r="AO37" i="108"/>
  <c r="AN37" i="108"/>
  <c r="AM37" i="108"/>
  <c r="AM36" i="108"/>
  <c r="AO35" i="108"/>
  <c r="AN35" i="108"/>
  <c r="AM35" i="108"/>
  <c r="AO54" i="107"/>
  <c r="AN54" i="107"/>
  <c r="AM54" i="107"/>
  <c r="AO53" i="107"/>
  <c r="AN53" i="107"/>
  <c r="AM53" i="107"/>
  <c r="AO52" i="107"/>
  <c r="AN52" i="107"/>
  <c r="AM52" i="107"/>
  <c r="AO51" i="107"/>
  <c r="AN51" i="107"/>
  <c r="AM51" i="107"/>
  <c r="AO50" i="107"/>
  <c r="AN50" i="107"/>
  <c r="AM50" i="107"/>
  <c r="AO49" i="107"/>
  <c r="AN49" i="107"/>
  <c r="AM49" i="107"/>
  <c r="AO48" i="107"/>
  <c r="AN48" i="107"/>
  <c r="AM48" i="107"/>
  <c r="AO47" i="107"/>
  <c r="AN47" i="107"/>
  <c r="AM47" i="107"/>
  <c r="AO46" i="107"/>
  <c r="AN46" i="107"/>
  <c r="AM46" i="107"/>
  <c r="AO45" i="107"/>
  <c r="AN45" i="107"/>
  <c r="AM45" i="107"/>
  <c r="AB117" i="106"/>
  <c r="AA117" i="106"/>
  <c r="AX116" i="106"/>
  <c r="AW116" i="106"/>
  <c r="AX115" i="106"/>
  <c r="AW115" i="106"/>
  <c r="AX114" i="106"/>
  <c r="AW114" i="106"/>
  <c r="AX113" i="106"/>
  <c r="AW113" i="106"/>
  <c r="AX112" i="106"/>
  <c r="AW112" i="106"/>
  <c r="AX111" i="106"/>
  <c r="AW111" i="106"/>
  <c r="AX110" i="106"/>
  <c r="AW110" i="106"/>
  <c r="AX109" i="106"/>
  <c r="AW109" i="106"/>
  <c r="AX108" i="106"/>
  <c r="AW108" i="106"/>
  <c r="AX107" i="106"/>
  <c r="AW107" i="106"/>
  <c r="AX106" i="106"/>
  <c r="AW106" i="106"/>
  <c r="AX105" i="106"/>
  <c r="AW105" i="106"/>
  <c r="AX104" i="106"/>
  <c r="AW104" i="106"/>
  <c r="AX103" i="106"/>
  <c r="AW103" i="106"/>
  <c r="AX102" i="106"/>
  <c r="AW102" i="106"/>
  <c r="AX101" i="106"/>
  <c r="AW101" i="106"/>
  <c r="AX100" i="106"/>
  <c r="AW100" i="106"/>
  <c r="AX99" i="106"/>
  <c r="AW99" i="106"/>
  <c r="AX98" i="106"/>
  <c r="AW98" i="106"/>
  <c r="AG73" i="120"/>
  <c r="AE73" i="120"/>
  <c r="AF80" i="120"/>
  <c r="AC73" i="120"/>
  <c r="AD74" i="120"/>
  <c r="AD80" i="120"/>
  <c r="AH47" i="120"/>
  <c r="AK47" i="120" s="1"/>
  <c r="AE63" i="120"/>
  <c r="AC47" i="120"/>
  <c r="AD47" i="120"/>
  <c r="AD48" i="120"/>
  <c r="AC50" i="120"/>
  <c r="AC55" i="120"/>
  <c r="AD61" i="120"/>
  <c r="AC62" i="120"/>
  <c r="AD64" i="120"/>
  <c r="AH26" i="120"/>
  <c r="AK26" i="120" s="1"/>
  <c r="AH30" i="120"/>
  <c r="AK30" i="120" s="1"/>
  <c r="AG34" i="120"/>
  <c r="AH34" i="120"/>
  <c r="AE34" i="120"/>
  <c r="P215" i="53"/>
  <c r="DE213" i="53"/>
  <c r="DD213" i="53"/>
  <c r="DC213" i="53"/>
  <c r="DB213" i="53"/>
  <c r="DA213" i="53"/>
  <c r="CZ213" i="53"/>
  <c r="CY213" i="53"/>
  <c r="CX213" i="53"/>
  <c r="CW213" i="53"/>
  <c r="CV213" i="53"/>
  <c r="CU213" i="53"/>
  <c r="CT213" i="53"/>
  <c r="CS213" i="53"/>
  <c r="CR213" i="53"/>
  <c r="CQ213" i="53"/>
  <c r="CP213" i="53"/>
  <c r="CO213" i="53"/>
  <c r="CN213" i="53"/>
  <c r="CM213" i="53"/>
  <c r="CL213" i="53"/>
  <c r="CK213" i="53"/>
  <c r="CJ213" i="53"/>
  <c r="CI213" i="53"/>
  <c r="CH213" i="53"/>
  <c r="CG213" i="53"/>
  <c r="CF213" i="53"/>
  <c r="CE213" i="53"/>
  <c r="CD213" i="53"/>
  <c r="CC213" i="53"/>
  <c r="CB213" i="53"/>
  <c r="CA213" i="53"/>
  <c r="BZ213" i="53"/>
  <c r="BY213" i="53"/>
  <c r="BU213" i="53"/>
  <c r="BT213" i="53"/>
  <c r="BS213" i="53"/>
  <c r="BR213" i="53"/>
  <c r="BQ213" i="53"/>
  <c r="BP213" i="53"/>
  <c r="BO213" i="53"/>
  <c r="BN213" i="53"/>
  <c r="BM213" i="53"/>
  <c r="BL213" i="53"/>
  <c r="BK213" i="53"/>
  <c r="BJ213" i="53"/>
  <c r="BI213" i="53"/>
  <c r="BH213" i="53"/>
  <c r="BG213" i="53"/>
  <c r="BF213" i="53"/>
  <c r="BE213" i="53"/>
  <c r="BD213" i="53"/>
  <c r="BC213" i="53"/>
  <c r="BB213" i="53"/>
  <c r="BA213" i="53"/>
  <c r="AZ213" i="53"/>
  <c r="AY213" i="53"/>
  <c r="AX213" i="53"/>
  <c r="AW213" i="53"/>
  <c r="AV213" i="53"/>
  <c r="AU213" i="53"/>
  <c r="AR213" i="53"/>
  <c r="AN213" i="53"/>
  <c r="AM213" i="53"/>
  <c r="AL213" i="53"/>
  <c r="AK213" i="53"/>
  <c r="AJ213" i="53"/>
  <c r="AI213" i="53"/>
  <c r="AH213" i="53"/>
  <c r="AG213" i="53"/>
  <c r="AF213" i="53"/>
  <c r="AE213" i="53"/>
  <c r="AD213" i="53"/>
  <c r="AC213" i="53"/>
  <c r="AB213" i="53"/>
  <c r="AA213" i="53"/>
  <c r="Z213" i="53"/>
  <c r="Y213" i="53"/>
  <c r="X213" i="53"/>
  <c r="W213" i="53"/>
  <c r="V213" i="53"/>
  <c r="U213" i="53"/>
  <c r="T213" i="53"/>
  <c r="S213" i="53"/>
  <c r="R213" i="53"/>
  <c r="Q213" i="53"/>
  <c r="P213" i="53"/>
  <c r="O213" i="53"/>
  <c r="N213" i="53"/>
  <c r="M213" i="53"/>
  <c r="L213" i="53"/>
  <c r="K213" i="53"/>
  <c r="AT213" i="53"/>
  <c r="AS213" i="53"/>
  <c r="AQ212" i="53"/>
  <c r="AD92" i="120" s="1"/>
  <c r="AP212" i="53"/>
  <c r="AP213" i="53" s="1"/>
  <c r="AO212" i="53"/>
  <c r="AO213" i="53" s="1"/>
  <c r="DE208" i="53"/>
  <c r="DD208" i="53"/>
  <c r="DC208" i="53"/>
  <c r="DB208" i="53"/>
  <c r="DA208" i="53"/>
  <c r="CZ208" i="53"/>
  <c r="CY208" i="53"/>
  <c r="CX208" i="53"/>
  <c r="CW208" i="53"/>
  <c r="CV208" i="53"/>
  <c r="CU208" i="53"/>
  <c r="CT208" i="53"/>
  <c r="CS208" i="53"/>
  <c r="CR208" i="53"/>
  <c r="CQ208" i="53"/>
  <c r="CP208" i="53"/>
  <c r="CO208" i="53"/>
  <c r="CN208" i="53"/>
  <c r="CM208" i="53"/>
  <c r="CL208" i="53"/>
  <c r="CK208" i="53"/>
  <c r="CJ208" i="53"/>
  <c r="CI208" i="53"/>
  <c r="CH208" i="53"/>
  <c r="CG208" i="53"/>
  <c r="CF208" i="53"/>
  <c r="CE208" i="53"/>
  <c r="CD208" i="53"/>
  <c r="CC208" i="53"/>
  <c r="CB208" i="53"/>
  <c r="CB215" i="53" s="1"/>
  <c r="CA208" i="53"/>
  <c r="BZ208" i="53"/>
  <c r="BY208" i="53"/>
  <c r="BU208" i="53"/>
  <c r="BT208" i="53"/>
  <c r="BS208" i="53"/>
  <c r="BR208" i="53"/>
  <c r="BQ208" i="53"/>
  <c r="BP208" i="53"/>
  <c r="BO208" i="53"/>
  <c r="BN208" i="53"/>
  <c r="BM208" i="53"/>
  <c r="BL208" i="53"/>
  <c r="BK208" i="53"/>
  <c r="BJ208" i="53"/>
  <c r="BI208" i="53"/>
  <c r="BH208" i="53"/>
  <c r="BG208" i="53"/>
  <c r="BF208" i="53"/>
  <c r="BE208" i="53"/>
  <c r="BD208" i="53"/>
  <c r="BC208" i="53"/>
  <c r="BB208" i="53"/>
  <c r="BA208" i="53"/>
  <c r="AZ208" i="53"/>
  <c r="AY208" i="53"/>
  <c r="AX208" i="53"/>
  <c r="AW208" i="53"/>
  <c r="AV208" i="53"/>
  <c r="AU208" i="53"/>
  <c r="AT208" i="53"/>
  <c r="AS208" i="53"/>
  <c r="AR208" i="53"/>
  <c r="AN208" i="53"/>
  <c r="AM208" i="53"/>
  <c r="AL208" i="53"/>
  <c r="AK208" i="53"/>
  <c r="AJ208" i="53"/>
  <c r="AI208" i="53"/>
  <c r="AH208" i="53"/>
  <c r="AG208" i="53"/>
  <c r="AF208" i="53"/>
  <c r="AE208" i="53"/>
  <c r="AD208" i="53"/>
  <c r="AC208" i="53"/>
  <c r="AB208" i="53"/>
  <c r="AA208" i="53"/>
  <c r="Z208" i="53"/>
  <c r="Y208" i="53"/>
  <c r="X208" i="53"/>
  <c r="W208" i="53"/>
  <c r="V208" i="53"/>
  <c r="U208" i="53"/>
  <c r="T208" i="53"/>
  <c r="S208" i="53"/>
  <c r="R208" i="53"/>
  <c r="Q208" i="53"/>
  <c r="P208" i="53"/>
  <c r="O208" i="53"/>
  <c r="N208" i="53"/>
  <c r="M208" i="53"/>
  <c r="L208" i="53"/>
  <c r="K208" i="53"/>
  <c r="AQ207" i="53"/>
  <c r="BX207" i="53" s="1"/>
  <c r="DH207" i="53" s="1"/>
  <c r="AH85" i="120" s="1"/>
  <c r="AK85" i="120" s="1"/>
  <c r="AP207" i="53"/>
  <c r="BW207" i="53" s="1"/>
  <c r="DG207" i="53" s="1"/>
  <c r="AG85" i="120" s="1"/>
  <c r="AO207" i="53"/>
  <c r="BV207" i="53" s="1"/>
  <c r="DF207" i="53" s="1"/>
  <c r="AQ206" i="53"/>
  <c r="BX206" i="53" s="1"/>
  <c r="DH206" i="53" s="1"/>
  <c r="AH84" i="120" s="1"/>
  <c r="AK84" i="120" s="1"/>
  <c r="AP206" i="53"/>
  <c r="BW206" i="53" s="1"/>
  <c r="DG206" i="53" s="1"/>
  <c r="AG84" i="120" s="1"/>
  <c r="AO206" i="53"/>
  <c r="BV206" i="53" s="1"/>
  <c r="DF206" i="53" s="1"/>
  <c r="AQ205" i="53"/>
  <c r="BX205" i="53" s="1"/>
  <c r="DH205" i="53" s="1"/>
  <c r="AH83" i="120" s="1"/>
  <c r="AK83" i="120" s="1"/>
  <c r="AP205" i="53"/>
  <c r="BW205" i="53" s="1"/>
  <c r="DG205" i="53" s="1"/>
  <c r="AG83" i="120" s="1"/>
  <c r="AO205" i="53"/>
  <c r="BV205" i="53" s="1"/>
  <c r="DF205" i="53" s="1"/>
  <c r="AQ204" i="53"/>
  <c r="AD82" i="120" s="1"/>
  <c r="AP204" i="53"/>
  <c r="AC82" i="120" s="1"/>
  <c r="AO204" i="53"/>
  <c r="BV204" i="53" s="1"/>
  <c r="DF204" i="53" s="1"/>
  <c r="AQ203" i="53"/>
  <c r="BX203" i="53" s="1"/>
  <c r="DH203" i="53" s="1"/>
  <c r="AH81" i="120" s="1"/>
  <c r="AK81" i="120" s="1"/>
  <c r="AP203" i="53"/>
  <c r="BW203" i="53" s="1"/>
  <c r="DG203" i="53" s="1"/>
  <c r="AG81" i="120" s="1"/>
  <c r="AO203" i="53"/>
  <c r="BV203" i="53" s="1"/>
  <c r="DF203" i="53" s="1"/>
  <c r="AQ202" i="53"/>
  <c r="BX202" i="53" s="1"/>
  <c r="DH202" i="53" s="1"/>
  <c r="AH80" i="120" s="1"/>
  <c r="AK80" i="120" s="1"/>
  <c r="AP202" i="53"/>
  <c r="BW202" i="53" s="1"/>
  <c r="DG202" i="53" s="1"/>
  <c r="AG80" i="120" s="1"/>
  <c r="AO202" i="53"/>
  <c r="BV202" i="53" s="1"/>
  <c r="DF202" i="53" s="1"/>
  <c r="AQ201" i="53"/>
  <c r="BX201" i="53" s="1"/>
  <c r="DH201" i="53" s="1"/>
  <c r="AH79" i="120" s="1"/>
  <c r="AK79" i="120" s="1"/>
  <c r="AP201" i="53"/>
  <c r="BW201" i="53" s="1"/>
  <c r="DG201" i="53" s="1"/>
  <c r="AG79" i="120" s="1"/>
  <c r="AO201" i="53"/>
  <c r="BV201" i="53" s="1"/>
  <c r="DF201" i="53" s="1"/>
  <c r="AQ200" i="53"/>
  <c r="BX200" i="53" s="1"/>
  <c r="DH200" i="53" s="1"/>
  <c r="AH78" i="120" s="1"/>
  <c r="AK78" i="120" s="1"/>
  <c r="AP200" i="53"/>
  <c r="BW200" i="53" s="1"/>
  <c r="DG200" i="53" s="1"/>
  <c r="AG78" i="120" s="1"/>
  <c r="AO200" i="53"/>
  <c r="BV200" i="53" s="1"/>
  <c r="DF200" i="53" s="1"/>
  <c r="AQ199" i="53"/>
  <c r="BX199" i="53" s="1"/>
  <c r="DH199" i="53" s="1"/>
  <c r="AH77" i="120" s="1"/>
  <c r="AK77" i="120" s="1"/>
  <c r="AP199" i="53"/>
  <c r="BW199" i="53" s="1"/>
  <c r="DG199" i="53" s="1"/>
  <c r="AG77" i="120" s="1"/>
  <c r="AO199" i="53"/>
  <c r="BV199" i="53" s="1"/>
  <c r="DF199" i="53" s="1"/>
  <c r="AQ198" i="53"/>
  <c r="BX198" i="53" s="1"/>
  <c r="DH198" i="53" s="1"/>
  <c r="AH76" i="120" s="1"/>
  <c r="AK76" i="120" s="1"/>
  <c r="AP198" i="53"/>
  <c r="BW198" i="53" s="1"/>
  <c r="DG198" i="53" s="1"/>
  <c r="AG76" i="120" s="1"/>
  <c r="AO198" i="53"/>
  <c r="BV198" i="53" s="1"/>
  <c r="DF198" i="53" s="1"/>
  <c r="AQ197" i="53"/>
  <c r="BX197" i="53" s="1"/>
  <c r="DH197" i="53" s="1"/>
  <c r="AH75" i="120" s="1"/>
  <c r="AK75" i="120" s="1"/>
  <c r="AP197" i="53"/>
  <c r="BW197" i="53" s="1"/>
  <c r="DG197" i="53" s="1"/>
  <c r="AG75" i="120" s="1"/>
  <c r="AO197" i="53"/>
  <c r="BV197" i="53" s="1"/>
  <c r="DF197" i="53" s="1"/>
  <c r="AQ196" i="53"/>
  <c r="BX196" i="53" s="1"/>
  <c r="DH196" i="53" s="1"/>
  <c r="AH74" i="120" s="1"/>
  <c r="AK74" i="120" s="1"/>
  <c r="AP196" i="53"/>
  <c r="BW196" i="53" s="1"/>
  <c r="AO196" i="53"/>
  <c r="BV196" i="53" s="1"/>
  <c r="DF196" i="53" s="1"/>
  <c r="AQ195" i="53"/>
  <c r="BX195" i="53" s="1"/>
  <c r="DH195" i="53" s="1"/>
  <c r="AH73" i="120" s="1"/>
  <c r="AK73" i="120" s="1"/>
  <c r="AP195" i="53"/>
  <c r="BW195" i="53" s="1"/>
  <c r="DG195" i="53" s="1"/>
  <c r="AO195" i="53"/>
  <c r="BV195" i="53" s="1"/>
  <c r="DF195" i="53" s="1"/>
  <c r="AQ194" i="53"/>
  <c r="AD72" i="120" s="1"/>
  <c r="AP194" i="53"/>
  <c r="AC72" i="120" s="1"/>
  <c r="AO194" i="53"/>
  <c r="BV194" i="53" s="1"/>
  <c r="DE190" i="53"/>
  <c r="DD190" i="53"/>
  <c r="DC190" i="53"/>
  <c r="DB190" i="53"/>
  <c r="DA190" i="53"/>
  <c r="CZ190" i="53"/>
  <c r="CY190" i="53"/>
  <c r="CX190" i="53"/>
  <c r="CW190" i="53"/>
  <c r="CV190" i="53"/>
  <c r="CU190" i="53"/>
  <c r="CT190" i="53"/>
  <c r="CS190" i="53"/>
  <c r="CR190" i="53"/>
  <c r="CQ190" i="53"/>
  <c r="CP190" i="53"/>
  <c r="CO190" i="53"/>
  <c r="CN190" i="53"/>
  <c r="CM190" i="53"/>
  <c r="CL190" i="53"/>
  <c r="CK190" i="53"/>
  <c r="CJ190" i="53"/>
  <c r="CI190" i="53"/>
  <c r="CH190" i="53"/>
  <c r="CG190" i="53"/>
  <c r="CF190" i="53"/>
  <c r="CE190" i="53"/>
  <c r="CD190" i="53"/>
  <c r="CC190" i="53"/>
  <c r="CB190" i="53"/>
  <c r="CA190" i="53"/>
  <c r="BZ190" i="53"/>
  <c r="BY190" i="53"/>
  <c r="BU190" i="53"/>
  <c r="BT190" i="53"/>
  <c r="BS190" i="53"/>
  <c r="BR190" i="53"/>
  <c r="BQ190" i="53"/>
  <c r="BP190" i="53"/>
  <c r="BO190" i="53"/>
  <c r="BN190" i="53"/>
  <c r="BM190" i="53"/>
  <c r="BL190" i="53"/>
  <c r="BK190" i="53"/>
  <c r="BJ190" i="53"/>
  <c r="BI190" i="53"/>
  <c r="BH190" i="53"/>
  <c r="BG190" i="53"/>
  <c r="BF190" i="53"/>
  <c r="BE190" i="53"/>
  <c r="BD190" i="53"/>
  <c r="BC190" i="53"/>
  <c r="BB190" i="53"/>
  <c r="BA190" i="53"/>
  <c r="AZ190" i="53"/>
  <c r="AY190" i="53"/>
  <c r="AX190" i="53"/>
  <c r="AW190" i="53"/>
  <c r="AV190" i="53"/>
  <c r="AU190" i="53"/>
  <c r="AT190" i="53"/>
  <c r="AS190" i="53"/>
  <c r="AR190" i="53"/>
  <c r="AN190" i="53"/>
  <c r="AM190" i="53"/>
  <c r="AL190" i="53"/>
  <c r="AK190" i="53"/>
  <c r="AJ190" i="53"/>
  <c r="AI190" i="53"/>
  <c r="AH190" i="53"/>
  <c r="AG190" i="53"/>
  <c r="AF190" i="53"/>
  <c r="AE190" i="53"/>
  <c r="AD190" i="53"/>
  <c r="AC190" i="53"/>
  <c r="AB190" i="53"/>
  <c r="AA190" i="53"/>
  <c r="Z190" i="53"/>
  <c r="Y190" i="53"/>
  <c r="X190" i="53"/>
  <c r="W190" i="53"/>
  <c r="V190" i="53"/>
  <c r="U190" i="53"/>
  <c r="T190" i="53"/>
  <c r="S190" i="53"/>
  <c r="R190" i="53"/>
  <c r="Q190" i="53"/>
  <c r="P190" i="53"/>
  <c r="O190" i="53"/>
  <c r="N190" i="53"/>
  <c r="M190" i="53"/>
  <c r="L190" i="53"/>
  <c r="K190" i="53"/>
  <c r="AQ189" i="53"/>
  <c r="BX189" i="53" s="1"/>
  <c r="DH189" i="53" s="1"/>
  <c r="AH64" i="120" s="1"/>
  <c r="AK64" i="120" s="1"/>
  <c r="AP189" i="53"/>
  <c r="BW189" i="53" s="1"/>
  <c r="DG189" i="53" s="1"/>
  <c r="AG64" i="120" s="1"/>
  <c r="AO189" i="53"/>
  <c r="BV189" i="53" s="1"/>
  <c r="DF189" i="53" s="1"/>
  <c r="AQ188" i="53"/>
  <c r="BX188" i="53" s="1"/>
  <c r="DH188" i="53" s="1"/>
  <c r="AH63" i="120" s="1"/>
  <c r="AK63" i="120" s="1"/>
  <c r="AP188" i="53"/>
  <c r="BW188" i="53" s="1"/>
  <c r="DG188" i="53" s="1"/>
  <c r="AG63" i="120" s="1"/>
  <c r="AO188" i="53"/>
  <c r="BV188" i="53" s="1"/>
  <c r="DF188" i="53" s="1"/>
  <c r="AQ187" i="53"/>
  <c r="BX187" i="53" s="1"/>
  <c r="DH187" i="53" s="1"/>
  <c r="AH62" i="120" s="1"/>
  <c r="AK62" i="120" s="1"/>
  <c r="AP187" i="53"/>
  <c r="BW187" i="53" s="1"/>
  <c r="DG187" i="53" s="1"/>
  <c r="AG62" i="120" s="1"/>
  <c r="AO187" i="53"/>
  <c r="BV187" i="53" s="1"/>
  <c r="DF187" i="53" s="1"/>
  <c r="AQ186" i="53"/>
  <c r="BX186" i="53" s="1"/>
  <c r="DH186" i="53" s="1"/>
  <c r="AH61" i="120" s="1"/>
  <c r="AK61" i="120" s="1"/>
  <c r="AP186" i="53"/>
  <c r="BW186" i="53" s="1"/>
  <c r="DG186" i="53" s="1"/>
  <c r="AG61" i="120" s="1"/>
  <c r="AO186" i="53"/>
  <c r="BV186" i="53" s="1"/>
  <c r="DF186" i="53" s="1"/>
  <c r="AQ185" i="53"/>
  <c r="BX185" i="53" s="1"/>
  <c r="DH185" i="53" s="1"/>
  <c r="AH60" i="120" s="1"/>
  <c r="AK60" i="120" s="1"/>
  <c r="AP185" i="53"/>
  <c r="BW185" i="53" s="1"/>
  <c r="DG185" i="53" s="1"/>
  <c r="AG60" i="120" s="1"/>
  <c r="AO185" i="53"/>
  <c r="BV185" i="53" s="1"/>
  <c r="DF185" i="53" s="1"/>
  <c r="AQ184" i="53"/>
  <c r="BX184" i="53" s="1"/>
  <c r="DH184" i="53" s="1"/>
  <c r="AH59" i="120" s="1"/>
  <c r="AK59" i="120" s="1"/>
  <c r="AP184" i="53"/>
  <c r="BW184" i="53" s="1"/>
  <c r="DG184" i="53" s="1"/>
  <c r="AG59" i="120" s="1"/>
  <c r="AO184" i="53"/>
  <c r="BV184" i="53" s="1"/>
  <c r="DF184" i="53" s="1"/>
  <c r="AQ183" i="53"/>
  <c r="BX183" i="53" s="1"/>
  <c r="DH183" i="53" s="1"/>
  <c r="AH58" i="120" s="1"/>
  <c r="AK58" i="120" s="1"/>
  <c r="AP183" i="53"/>
  <c r="BW183" i="53" s="1"/>
  <c r="DG183" i="53" s="1"/>
  <c r="AG58" i="120" s="1"/>
  <c r="AO183" i="53"/>
  <c r="BV183" i="53" s="1"/>
  <c r="DF183" i="53" s="1"/>
  <c r="AQ182" i="53"/>
  <c r="BX182" i="53" s="1"/>
  <c r="DH182" i="53" s="1"/>
  <c r="AH57" i="120" s="1"/>
  <c r="AK57" i="120" s="1"/>
  <c r="AP182" i="53"/>
  <c r="BW182" i="53" s="1"/>
  <c r="DG182" i="53" s="1"/>
  <c r="AG57" i="120" s="1"/>
  <c r="AO182" i="53"/>
  <c r="BV182" i="53" s="1"/>
  <c r="DF182" i="53" s="1"/>
  <c r="AQ181" i="53"/>
  <c r="AD56" i="120" s="1"/>
  <c r="AP181" i="53"/>
  <c r="AC56" i="120" s="1"/>
  <c r="AO181" i="53"/>
  <c r="BV181" i="53" s="1"/>
  <c r="DF181" i="53" s="1"/>
  <c r="AQ180" i="53"/>
  <c r="BX180" i="53" s="1"/>
  <c r="DH180" i="53" s="1"/>
  <c r="AH55" i="120" s="1"/>
  <c r="AK55" i="120" s="1"/>
  <c r="AP180" i="53"/>
  <c r="BW180" i="53" s="1"/>
  <c r="DG180" i="53" s="1"/>
  <c r="AG55" i="120" s="1"/>
  <c r="AO180" i="53"/>
  <c r="BV180" i="53" s="1"/>
  <c r="DF180" i="53" s="1"/>
  <c r="AQ179" i="53"/>
  <c r="BX179" i="53" s="1"/>
  <c r="DH179" i="53" s="1"/>
  <c r="AH54" i="120" s="1"/>
  <c r="AK54" i="120" s="1"/>
  <c r="AP179" i="53"/>
  <c r="BW179" i="53" s="1"/>
  <c r="DG179" i="53" s="1"/>
  <c r="AG54" i="120" s="1"/>
  <c r="AO179" i="53"/>
  <c r="BV179" i="53" s="1"/>
  <c r="DF179" i="53" s="1"/>
  <c r="AQ178" i="53"/>
  <c r="BX178" i="53" s="1"/>
  <c r="DH178" i="53" s="1"/>
  <c r="AH53" i="120" s="1"/>
  <c r="AK53" i="120" s="1"/>
  <c r="AP178" i="53"/>
  <c r="BW178" i="53" s="1"/>
  <c r="DG178" i="53" s="1"/>
  <c r="AG53" i="120" s="1"/>
  <c r="AO178" i="53"/>
  <c r="BV178" i="53" s="1"/>
  <c r="DF178" i="53" s="1"/>
  <c r="AQ177" i="53"/>
  <c r="AD52" i="120" s="1"/>
  <c r="AP177" i="53"/>
  <c r="BW177" i="53" s="1"/>
  <c r="DG177" i="53" s="1"/>
  <c r="AG52" i="120" s="1"/>
  <c r="AO177" i="53"/>
  <c r="BV177" i="53" s="1"/>
  <c r="DF177" i="53" s="1"/>
  <c r="AQ176" i="53"/>
  <c r="BX176" i="53" s="1"/>
  <c r="DH176" i="53" s="1"/>
  <c r="AH51" i="120" s="1"/>
  <c r="AK51" i="120" s="1"/>
  <c r="AP176" i="53"/>
  <c r="BW176" i="53" s="1"/>
  <c r="DG176" i="53" s="1"/>
  <c r="AG51" i="120" s="1"/>
  <c r="AO176" i="53"/>
  <c r="BV176" i="53" s="1"/>
  <c r="DF176" i="53" s="1"/>
  <c r="AQ175" i="53"/>
  <c r="BX175" i="53" s="1"/>
  <c r="DH175" i="53" s="1"/>
  <c r="AH50" i="120" s="1"/>
  <c r="AK50" i="120" s="1"/>
  <c r="AP175" i="53"/>
  <c r="BW175" i="53" s="1"/>
  <c r="DG175" i="53" s="1"/>
  <c r="AG50" i="120" s="1"/>
  <c r="AO175" i="53"/>
  <c r="BV175" i="53" s="1"/>
  <c r="DF175" i="53" s="1"/>
  <c r="AQ174" i="53"/>
  <c r="AD49" i="120" s="1"/>
  <c r="AP174" i="53"/>
  <c r="BW174" i="53" s="1"/>
  <c r="DG174" i="53" s="1"/>
  <c r="AG49" i="120" s="1"/>
  <c r="AO174" i="53"/>
  <c r="BV174" i="53" s="1"/>
  <c r="DF174" i="53" s="1"/>
  <c r="AQ173" i="53"/>
  <c r="BX173" i="53" s="1"/>
  <c r="DH173" i="53" s="1"/>
  <c r="AH48" i="120" s="1"/>
  <c r="AK48" i="120" s="1"/>
  <c r="AP173" i="53"/>
  <c r="BW173" i="53" s="1"/>
  <c r="DG173" i="53" s="1"/>
  <c r="AG48" i="120" s="1"/>
  <c r="AO173" i="53"/>
  <c r="BV173" i="53" s="1"/>
  <c r="DF173" i="53" s="1"/>
  <c r="AQ172" i="53"/>
  <c r="BX172" i="53" s="1"/>
  <c r="DH172" i="53" s="1"/>
  <c r="AP172" i="53"/>
  <c r="BW172" i="53" s="1"/>
  <c r="DG172" i="53" s="1"/>
  <c r="AG47" i="120" s="1"/>
  <c r="AO172" i="53"/>
  <c r="BV172" i="53" s="1"/>
  <c r="DF172" i="53" s="1"/>
  <c r="AQ171" i="53"/>
  <c r="BX171" i="53" s="1"/>
  <c r="DH171" i="53" s="1"/>
  <c r="AH46" i="120" s="1"/>
  <c r="AK46" i="120" s="1"/>
  <c r="AP171" i="53"/>
  <c r="BW171" i="53" s="1"/>
  <c r="DG171" i="53" s="1"/>
  <c r="AG46" i="120" s="1"/>
  <c r="AO171" i="53"/>
  <c r="BV171" i="53" s="1"/>
  <c r="DF171" i="53" s="1"/>
  <c r="AQ170" i="53"/>
  <c r="AD45" i="120" s="1"/>
  <c r="AP170" i="53"/>
  <c r="AC45" i="120" s="1"/>
  <c r="AO170" i="53"/>
  <c r="BV170" i="53" s="1"/>
  <c r="DF170" i="53" s="1"/>
  <c r="AQ169" i="53"/>
  <c r="BX169" i="53" s="1"/>
  <c r="DH169" i="53" s="1"/>
  <c r="AH44" i="120" s="1"/>
  <c r="AK44" i="120" s="1"/>
  <c r="AP169" i="53"/>
  <c r="BW169" i="53" s="1"/>
  <c r="DG169" i="53" s="1"/>
  <c r="AG44" i="120" s="1"/>
  <c r="AO169" i="53"/>
  <c r="BV169" i="53" s="1"/>
  <c r="DF169" i="53" s="1"/>
  <c r="AQ168" i="53"/>
  <c r="AD43" i="120" s="1"/>
  <c r="AP168" i="53"/>
  <c r="BW168" i="53" s="1"/>
  <c r="AO168" i="53"/>
  <c r="BV168" i="53" s="1"/>
  <c r="DF168" i="53" s="1"/>
  <c r="AQ167" i="53"/>
  <c r="BX167" i="53" s="1"/>
  <c r="DH167" i="53" s="1"/>
  <c r="AH42" i="120" s="1"/>
  <c r="AK42" i="120" s="1"/>
  <c r="AP167" i="53"/>
  <c r="BW167" i="53" s="1"/>
  <c r="DG167" i="53" s="1"/>
  <c r="AG42" i="120" s="1"/>
  <c r="AO167" i="53"/>
  <c r="BV167" i="53" s="1"/>
  <c r="DF167" i="53" s="1"/>
  <c r="AQ166" i="53"/>
  <c r="AD41" i="120" s="1"/>
  <c r="AP166" i="53"/>
  <c r="AC41" i="120" s="1"/>
  <c r="AO166" i="53"/>
  <c r="BV166" i="53" s="1"/>
  <c r="DF166" i="53" s="1"/>
  <c r="DE162" i="53"/>
  <c r="DE215" i="53" s="1"/>
  <c r="DD162" i="53"/>
  <c r="DD215" i="53" s="1"/>
  <c r="DC162" i="53"/>
  <c r="DB162" i="53"/>
  <c r="DA162" i="53"/>
  <c r="CZ162" i="53"/>
  <c r="CY162" i="53"/>
  <c r="CX162" i="53"/>
  <c r="CW162" i="53"/>
  <c r="CV162" i="53"/>
  <c r="CU162" i="53"/>
  <c r="CU215" i="53" s="1"/>
  <c r="CT162" i="53"/>
  <c r="CT215" i="53" s="1"/>
  <c r="CS162" i="53"/>
  <c r="CS215" i="53" s="1"/>
  <c r="CR162" i="53"/>
  <c r="CR215" i="53" s="1"/>
  <c r="CQ162" i="53"/>
  <c r="CQ215" i="53" s="1"/>
  <c r="CP162" i="53"/>
  <c r="CO162" i="53"/>
  <c r="CN162" i="53"/>
  <c r="CM162" i="53"/>
  <c r="CL162" i="53"/>
  <c r="CK162" i="53"/>
  <c r="CK215" i="53" s="1"/>
  <c r="CJ162" i="53"/>
  <c r="CI162" i="53"/>
  <c r="CI215" i="53" s="1"/>
  <c r="CH162" i="53"/>
  <c r="CH215" i="53" s="1"/>
  <c r="CG162" i="53"/>
  <c r="CG215" i="53" s="1"/>
  <c r="CF162" i="53"/>
  <c r="CF215" i="53" s="1"/>
  <c r="CE162" i="53"/>
  <c r="CD162" i="53"/>
  <c r="CC162" i="53"/>
  <c r="CB162" i="53"/>
  <c r="CA162" i="53"/>
  <c r="BZ162" i="53"/>
  <c r="BY162" i="53"/>
  <c r="BY215" i="53" s="1"/>
  <c r="BU162" i="53"/>
  <c r="BT162" i="53"/>
  <c r="BS162" i="53"/>
  <c r="BR162" i="53"/>
  <c r="BQ162" i="53"/>
  <c r="BP162" i="53"/>
  <c r="BO162" i="53"/>
  <c r="BN162" i="53"/>
  <c r="BM162" i="53"/>
  <c r="BL162" i="53"/>
  <c r="BK162" i="53"/>
  <c r="BJ162" i="53"/>
  <c r="BI162" i="53"/>
  <c r="BH162" i="53"/>
  <c r="BG162" i="53"/>
  <c r="BF162" i="53"/>
  <c r="BE162" i="53"/>
  <c r="BD162" i="53"/>
  <c r="BC162" i="53"/>
  <c r="BB162" i="53"/>
  <c r="BA162" i="53"/>
  <c r="AZ162" i="53"/>
  <c r="AY162" i="53"/>
  <c r="AX162" i="53"/>
  <c r="AW162" i="53"/>
  <c r="AV162" i="53"/>
  <c r="AU162" i="53"/>
  <c r="AT162" i="53"/>
  <c r="AS162" i="53"/>
  <c r="AR162" i="53"/>
  <c r="AN162" i="53"/>
  <c r="AM162" i="53"/>
  <c r="AL162" i="53"/>
  <c r="AK162" i="53"/>
  <c r="AJ162" i="53"/>
  <c r="AI162" i="53"/>
  <c r="AH162" i="53"/>
  <c r="AG162" i="53"/>
  <c r="AF162" i="53"/>
  <c r="AE162" i="53"/>
  <c r="AD162" i="53"/>
  <c r="AC162" i="53"/>
  <c r="AB162" i="53"/>
  <c r="AA162" i="53"/>
  <c r="Z162" i="53"/>
  <c r="Y162" i="53"/>
  <c r="Y215" i="53" s="1"/>
  <c r="X162" i="53"/>
  <c r="W162" i="53"/>
  <c r="V162" i="53"/>
  <c r="U162" i="53"/>
  <c r="T162" i="53"/>
  <c r="S162" i="53"/>
  <c r="R162" i="53"/>
  <c r="Q162" i="53"/>
  <c r="Q215" i="53" s="1"/>
  <c r="P162" i="53"/>
  <c r="O162" i="53"/>
  <c r="O215" i="53" s="1"/>
  <c r="N162" i="53"/>
  <c r="N215" i="53" s="1"/>
  <c r="M162" i="53"/>
  <c r="L162" i="53"/>
  <c r="K162" i="53"/>
  <c r="AQ161" i="53"/>
  <c r="BX161" i="53" s="1"/>
  <c r="DH161" i="53" s="1"/>
  <c r="AH32" i="120" s="1"/>
  <c r="AK32" i="120" s="1"/>
  <c r="AP161" i="53"/>
  <c r="BW161" i="53" s="1"/>
  <c r="DG161" i="53" s="1"/>
  <c r="AG32" i="120" s="1"/>
  <c r="AO161" i="53"/>
  <c r="BV161" i="53" s="1"/>
  <c r="DF161" i="53" s="1"/>
  <c r="AQ160" i="53"/>
  <c r="BX160" i="53" s="1"/>
  <c r="DH160" i="53" s="1"/>
  <c r="AH31" i="120" s="1"/>
  <c r="AK31" i="120" s="1"/>
  <c r="AP160" i="53"/>
  <c r="BW160" i="53" s="1"/>
  <c r="DG160" i="53" s="1"/>
  <c r="AG31" i="120" s="1"/>
  <c r="AO160" i="53"/>
  <c r="BV160" i="53" s="1"/>
  <c r="DF160" i="53" s="1"/>
  <c r="AQ159" i="53"/>
  <c r="BX159" i="53" s="1"/>
  <c r="DH159" i="53" s="1"/>
  <c r="AP159" i="53"/>
  <c r="BW159" i="53" s="1"/>
  <c r="DG159" i="53" s="1"/>
  <c r="AG30" i="120" s="1"/>
  <c r="AO159" i="53"/>
  <c r="BV159" i="53" s="1"/>
  <c r="DF159" i="53" s="1"/>
  <c r="AQ158" i="53"/>
  <c r="BX158" i="53" s="1"/>
  <c r="DH158" i="53" s="1"/>
  <c r="AH29" i="120" s="1"/>
  <c r="AK29" i="120" s="1"/>
  <c r="AP158" i="53"/>
  <c r="AO158" i="53"/>
  <c r="BV158" i="53" s="1"/>
  <c r="DF158" i="53" s="1"/>
  <c r="AQ157" i="53"/>
  <c r="BX157" i="53" s="1"/>
  <c r="DH157" i="53" s="1"/>
  <c r="AH28" i="120" s="1"/>
  <c r="AK28" i="120" s="1"/>
  <c r="AP157" i="53"/>
  <c r="BW157" i="53" s="1"/>
  <c r="DG157" i="53" s="1"/>
  <c r="AG28" i="120" s="1"/>
  <c r="AO157" i="53"/>
  <c r="BV157" i="53" s="1"/>
  <c r="DF157" i="53" s="1"/>
  <c r="AQ156" i="53"/>
  <c r="BX156" i="53" s="1"/>
  <c r="DH156" i="53" s="1"/>
  <c r="AH27" i="120" s="1"/>
  <c r="AK27" i="120" s="1"/>
  <c r="AP156" i="53"/>
  <c r="BW156" i="53" s="1"/>
  <c r="AO156" i="53"/>
  <c r="BV156" i="53" s="1"/>
  <c r="DF156" i="53" s="1"/>
  <c r="AQ155" i="53"/>
  <c r="BX155" i="53" s="1"/>
  <c r="DH155" i="53" s="1"/>
  <c r="AP155" i="53"/>
  <c r="BW155" i="53" s="1"/>
  <c r="DG155" i="53" s="1"/>
  <c r="AG26" i="120" s="1"/>
  <c r="AO155" i="53"/>
  <c r="BV155" i="53" s="1"/>
  <c r="DF155" i="53" s="1"/>
  <c r="AQ154" i="53"/>
  <c r="BX154" i="53" s="1"/>
  <c r="DH154" i="53" s="1"/>
  <c r="AH25" i="120" s="1"/>
  <c r="AK25" i="120" s="1"/>
  <c r="AP154" i="53"/>
  <c r="AO154" i="53"/>
  <c r="BV154" i="53" s="1"/>
  <c r="DF154" i="53" s="1"/>
  <c r="AQ153" i="53"/>
  <c r="BX153" i="53" s="1"/>
  <c r="DH153" i="53" s="1"/>
  <c r="AH24" i="120" s="1"/>
  <c r="AK24" i="120" s="1"/>
  <c r="AP153" i="53"/>
  <c r="BW153" i="53" s="1"/>
  <c r="DG153" i="53" s="1"/>
  <c r="AG24" i="120" s="1"/>
  <c r="AO153" i="53"/>
  <c r="BV153" i="53" s="1"/>
  <c r="DF153" i="53" s="1"/>
  <c r="AQ152" i="53"/>
  <c r="BX152" i="53" s="1"/>
  <c r="DH152" i="53" s="1"/>
  <c r="AH23" i="120" s="1"/>
  <c r="AK23" i="120" s="1"/>
  <c r="AP152" i="53"/>
  <c r="AO152" i="53"/>
  <c r="BV152" i="53" s="1"/>
  <c r="DF152" i="53" s="1"/>
  <c r="AQ151" i="53"/>
  <c r="BX151" i="53" s="1"/>
  <c r="DH151" i="53" s="1"/>
  <c r="AH22" i="120" s="1"/>
  <c r="AK22" i="120" s="1"/>
  <c r="AP151" i="53"/>
  <c r="BW151" i="53" s="1"/>
  <c r="DG151" i="53" s="1"/>
  <c r="AG22" i="120" s="1"/>
  <c r="AO151" i="53"/>
  <c r="BV151" i="53" s="1"/>
  <c r="DF151" i="53" s="1"/>
  <c r="AQ150" i="53"/>
  <c r="BX150" i="53" s="1"/>
  <c r="DH150" i="53" s="1"/>
  <c r="AH21" i="120" s="1"/>
  <c r="AK21" i="120" s="1"/>
  <c r="AP150" i="53"/>
  <c r="BW150" i="53" s="1"/>
  <c r="DG150" i="53" s="1"/>
  <c r="AG21" i="120" s="1"/>
  <c r="AO150" i="53"/>
  <c r="AQ149" i="53"/>
  <c r="BX149" i="53" s="1"/>
  <c r="DH149" i="53" s="1"/>
  <c r="AH20" i="120" s="1"/>
  <c r="AK20" i="120" s="1"/>
  <c r="AP149" i="53"/>
  <c r="BW149" i="53" s="1"/>
  <c r="DG149" i="53" s="1"/>
  <c r="AG20" i="120" s="1"/>
  <c r="AO149" i="53"/>
  <c r="BV149" i="53" s="1"/>
  <c r="DF149" i="53" s="1"/>
  <c r="AQ148" i="53"/>
  <c r="BX148" i="53" s="1"/>
  <c r="DH148" i="53" s="1"/>
  <c r="AH19" i="120" s="1"/>
  <c r="AK19" i="120" s="1"/>
  <c r="AP148" i="53"/>
  <c r="BW148" i="53" s="1"/>
  <c r="DG148" i="53" s="1"/>
  <c r="AG19" i="120" s="1"/>
  <c r="AO148" i="53"/>
  <c r="BV148" i="53" s="1"/>
  <c r="DF148" i="53" s="1"/>
  <c r="AJ92" i="120"/>
  <c r="AJ73" i="120"/>
  <c r="AJ74" i="120"/>
  <c r="AJ75" i="120"/>
  <c r="AJ76" i="120"/>
  <c r="AJ77" i="120"/>
  <c r="AJ78" i="120"/>
  <c r="AJ79" i="120"/>
  <c r="AJ80" i="120"/>
  <c r="AJ81" i="120"/>
  <c r="AJ82" i="120"/>
  <c r="AJ83" i="120"/>
  <c r="AJ84" i="120"/>
  <c r="AJ85" i="120"/>
  <c r="AJ42" i="120"/>
  <c r="AJ43" i="120"/>
  <c r="AJ44" i="120"/>
  <c r="AJ45" i="120"/>
  <c r="AJ46" i="120"/>
  <c r="AJ47" i="120"/>
  <c r="AJ48" i="120"/>
  <c r="AJ49" i="120"/>
  <c r="AJ50" i="120"/>
  <c r="AJ51" i="120"/>
  <c r="AJ52" i="120"/>
  <c r="AJ53" i="120"/>
  <c r="AJ54" i="120"/>
  <c r="AJ55" i="120"/>
  <c r="AJ56" i="120"/>
  <c r="AJ57" i="120"/>
  <c r="AJ58" i="120"/>
  <c r="AJ59" i="120"/>
  <c r="AJ60" i="120"/>
  <c r="AJ61" i="120"/>
  <c r="AJ62" i="120"/>
  <c r="AJ63" i="120"/>
  <c r="AJ64" i="120"/>
  <c r="AJ20" i="120"/>
  <c r="AJ21" i="120"/>
  <c r="AJ22" i="120"/>
  <c r="AJ23" i="120"/>
  <c r="AJ24" i="120"/>
  <c r="AJ25" i="120"/>
  <c r="AJ26" i="120"/>
  <c r="AJ27" i="120"/>
  <c r="AJ28" i="120"/>
  <c r="AJ29" i="120"/>
  <c r="AJ30" i="120"/>
  <c r="AJ31" i="120"/>
  <c r="AJ32" i="120"/>
  <c r="AJ33" i="120"/>
  <c r="AL33" i="120" s="1"/>
  <c r="AJ34" i="120"/>
  <c r="AL34" i="120" s="1"/>
  <c r="AJ34" i="115" l="1"/>
  <c r="AL34" i="115"/>
  <c r="AK34" i="115"/>
  <c r="AP36" i="117"/>
  <c r="AQ36" i="117"/>
  <c r="BP215" i="53"/>
  <c r="BM215" i="53"/>
  <c r="AE32" i="120"/>
  <c r="AU215" i="53"/>
  <c r="AF30" i="120"/>
  <c r="AF21" i="120"/>
  <c r="AF31" i="120"/>
  <c r="AF27" i="120"/>
  <c r="AF19" i="120"/>
  <c r="AF28" i="120"/>
  <c r="AF22" i="120"/>
  <c r="AF32" i="120"/>
  <c r="AF25" i="120"/>
  <c r="AF20" i="120"/>
  <c r="AF26" i="120"/>
  <c r="AR215" i="53"/>
  <c r="AE59" i="120"/>
  <c r="AM30" i="110"/>
  <c r="AN30" i="110"/>
  <c r="AO30" i="110"/>
  <c r="AR29" i="112"/>
  <c r="AR55" i="109"/>
  <c r="AN215" i="53"/>
  <c r="AM215" i="53"/>
  <c r="AL215" i="53"/>
  <c r="AK215" i="53"/>
  <c r="AC215" i="53"/>
  <c r="AE58" i="120"/>
  <c r="AB215" i="53"/>
  <c r="Z215" i="53"/>
  <c r="AC53" i="120"/>
  <c r="AF59" i="120"/>
  <c r="AE19" i="120"/>
  <c r="AF85" i="120"/>
  <c r="AF78" i="120"/>
  <c r="AE78" i="120"/>
  <c r="AD85" i="120"/>
  <c r="AF74" i="120"/>
  <c r="AE79" i="120"/>
  <c r="AC79" i="120"/>
  <c r="AD78" i="120"/>
  <c r="AC78" i="120"/>
  <c r="DG196" i="53"/>
  <c r="AG74" i="120" s="1"/>
  <c r="AE74" i="120"/>
  <c r="AD81" i="120"/>
  <c r="AF81" i="120"/>
  <c r="AC81" i="120"/>
  <c r="AC74" i="120"/>
  <c r="AE81" i="120"/>
  <c r="AD73" i="120"/>
  <c r="AF73" i="120"/>
  <c r="AC80" i="120"/>
  <c r="AE80" i="120"/>
  <c r="AD79" i="120"/>
  <c r="AF79" i="120"/>
  <c r="AE85" i="120"/>
  <c r="AD84" i="120"/>
  <c r="AD77" i="120"/>
  <c r="AF84" i="120"/>
  <c r="AF77" i="120"/>
  <c r="AC85" i="120"/>
  <c r="AC84" i="120"/>
  <c r="AC77" i="120"/>
  <c r="AE84" i="120"/>
  <c r="AE77" i="120"/>
  <c r="AD83" i="120"/>
  <c r="AD76" i="120"/>
  <c r="AF83" i="120"/>
  <c r="AF76" i="120"/>
  <c r="AC83" i="120"/>
  <c r="AC76" i="120"/>
  <c r="AE83" i="120"/>
  <c r="AE76" i="120"/>
  <c r="AC49" i="120"/>
  <c r="AC61" i="120"/>
  <c r="AD60" i="120"/>
  <c r="AD46" i="120"/>
  <c r="AE52" i="120"/>
  <c r="AC63" i="120"/>
  <c r="AF57" i="120"/>
  <c r="AF53" i="120"/>
  <c r="BX168" i="53"/>
  <c r="DH168" i="53" s="1"/>
  <c r="AH43" i="120" s="1"/>
  <c r="AK43" i="120" s="1"/>
  <c r="AC60" i="120"/>
  <c r="AD42" i="120"/>
  <c r="AF50" i="120"/>
  <c r="BX174" i="53"/>
  <c r="DH174" i="53" s="1"/>
  <c r="AH49" i="120" s="1"/>
  <c r="AK49" i="120" s="1"/>
  <c r="AC58" i="120"/>
  <c r="AC42" i="120"/>
  <c r="AE50" i="120"/>
  <c r="AF46" i="120"/>
  <c r="AC54" i="120"/>
  <c r="AE64" i="120"/>
  <c r="AE46" i="120"/>
  <c r="AF64" i="120"/>
  <c r="AD53" i="120"/>
  <c r="AF63" i="120"/>
  <c r="AF44" i="120"/>
  <c r="AD54" i="120"/>
  <c r="AC48" i="120"/>
  <c r="AE51" i="120"/>
  <c r="AC57" i="120"/>
  <c r="AC44" i="120"/>
  <c r="AF60" i="120"/>
  <c r="AF47" i="120"/>
  <c r="AD62" i="120"/>
  <c r="AD55" i="120"/>
  <c r="AC43" i="120"/>
  <c r="AE60" i="120"/>
  <c r="AE53" i="120"/>
  <c r="AE47" i="120"/>
  <c r="AF58" i="120"/>
  <c r="BX170" i="53"/>
  <c r="AD59" i="120"/>
  <c r="AE57" i="120"/>
  <c r="AF51" i="120"/>
  <c r="BW170" i="53"/>
  <c r="AE44" i="120"/>
  <c r="BX177" i="53"/>
  <c r="AC59" i="120"/>
  <c r="AC52" i="120"/>
  <c r="AC46" i="120"/>
  <c r="AF62" i="120"/>
  <c r="AF55" i="120"/>
  <c r="AF42" i="120"/>
  <c r="AD58" i="120"/>
  <c r="AD51" i="120"/>
  <c r="AE62" i="120"/>
  <c r="AE55" i="120"/>
  <c r="AE49" i="120"/>
  <c r="AE42" i="120"/>
  <c r="AC51" i="120"/>
  <c r="AF61" i="120"/>
  <c r="AF54" i="120"/>
  <c r="AF48" i="120"/>
  <c r="AC64" i="120"/>
  <c r="AD63" i="120"/>
  <c r="AD57" i="120"/>
  <c r="AD50" i="120"/>
  <c r="AD44" i="120"/>
  <c r="AE61" i="120"/>
  <c r="AE54" i="120"/>
  <c r="AE48" i="120"/>
  <c r="AE20" i="120"/>
  <c r="BW158" i="53"/>
  <c r="DG158" i="53" s="1"/>
  <c r="AG29" i="120" s="1"/>
  <c r="DG156" i="53"/>
  <c r="AG27" i="120" s="1"/>
  <c r="AE27" i="120"/>
  <c r="AO162" i="53"/>
  <c r="AE24" i="120"/>
  <c r="AE22" i="120"/>
  <c r="AE21" i="120"/>
  <c r="BW154" i="53"/>
  <c r="AE31" i="120"/>
  <c r="AE30" i="120"/>
  <c r="AE28" i="120"/>
  <c r="BW152" i="53"/>
  <c r="AE26" i="120"/>
  <c r="BV212" i="53"/>
  <c r="DF212" i="53" s="1"/>
  <c r="DF213" i="53" s="1"/>
  <c r="AC92" i="120"/>
  <c r="BW166" i="53"/>
  <c r="BX166" i="53"/>
  <c r="DG168" i="53"/>
  <c r="AG43" i="120" s="1"/>
  <c r="AE43" i="120"/>
  <c r="BW181" i="53"/>
  <c r="BX181" i="53"/>
  <c r="AP190" i="53"/>
  <c r="M215" i="53"/>
  <c r="AD75" i="120"/>
  <c r="AC75" i="120"/>
  <c r="AF75" i="120"/>
  <c r="AE75" i="120"/>
  <c r="BX204" i="53"/>
  <c r="BW204" i="53"/>
  <c r="AM62" i="114"/>
  <c r="AN62" i="114"/>
  <c r="AO62" i="114"/>
  <c r="AR36" i="117"/>
  <c r="AM44" i="111"/>
  <c r="AN44" i="111"/>
  <c r="AO44" i="111"/>
  <c r="AO55" i="107"/>
  <c r="AM55" i="107"/>
  <c r="AN55" i="107"/>
  <c r="AN41" i="108"/>
  <c r="AO41" i="108"/>
  <c r="AM41" i="108"/>
  <c r="AR49" i="113"/>
  <c r="AP49" i="113"/>
  <c r="AQ55" i="109"/>
  <c r="AP55" i="109"/>
  <c r="AV117" i="106"/>
  <c r="AW117" i="106"/>
  <c r="AX117" i="106"/>
  <c r="CV215" i="53"/>
  <c r="CW215" i="53"/>
  <c r="BZ215" i="53"/>
  <c r="CL215" i="53"/>
  <c r="CX215" i="53"/>
  <c r="CM215" i="53"/>
  <c r="CY215" i="53"/>
  <c r="CZ215" i="53"/>
  <c r="CJ215" i="53"/>
  <c r="AY215" i="53"/>
  <c r="AZ215" i="53"/>
  <c r="BL215" i="53"/>
  <c r="BA215" i="53"/>
  <c r="BB215" i="53"/>
  <c r="BN215" i="53"/>
  <c r="AW215" i="53"/>
  <c r="BI215" i="53"/>
  <c r="BU215" i="53"/>
  <c r="AX215" i="53"/>
  <c r="BJ215" i="53"/>
  <c r="AT215" i="53"/>
  <c r="AQ208" i="53"/>
  <c r="AO208" i="53"/>
  <c r="AP208" i="53"/>
  <c r="K215" i="53"/>
  <c r="R215" i="53"/>
  <c r="AD215" i="53"/>
  <c r="L215" i="53"/>
  <c r="X215" i="53"/>
  <c r="AJ215" i="53"/>
  <c r="CA215" i="53"/>
  <c r="CN215" i="53"/>
  <c r="CO215" i="53"/>
  <c r="CP215" i="53"/>
  <c r="DB215" i="53"/>
  <c r="AS215" i="53"/>
  <c r="BQ215" i="53"/>
  <c r="BF215" i="53"/>
  <c r="BR215" i="53"/>
  <c r="AV215" i="53"/>
  <c r="BH215" i="53"/>
  <c r="BT215" i="53"/>
  <c r="BK215" i="53"/>
  <c r="AE215" i="53"/>
  <c r="AA215" i="53"/>
  <c r="AO190" i="53"/>
  <c r="V215" i="53"/>
  <c r="AH215" i="53"/>
  <c r="W215" i="53"/>
  <c r="AI215" i="53"/>
  <c r="CC215" i="53"/>
  <c r="DA215" i="53"/>
  <c r="CD215" i="53"/>
  <c r="CE215" i="53"/>
  <c r="DC215" i="53"/>
  <c r="BC215" i="53"/>
  <c r="BO215" i="53"/>
  <c r="BD215" i="53"/>
  <c r="BE215" i="53"/>
  <c r="BS215" i="53"/>
  <c r="BG215" i="53"/>
  <c r="S215" i="53"/>
  <c r="U215" i="53"/>
  <c r="AG215" i="53"/>
  <c r="T215" i="53"/>
  <c r="AF215" i="53"/>
  <c r="DH162" i="53"/>
  <c r="DF190" i="53"/>
  <c r="BV208" i="53"/>
  <c r="AQ190" i="53"/>
  <c r="BW194" i="53"/>
  <c r="AE72" i="120" s="1"/>
  <c r="BV150" i="53"/>
  <c r="DF150" i="53" s="1"/>
  <c r="DF162" i="53" s="1"/>
  <c r="BX162" i="53"/>
  <c r="DF194" i="53"/>
  <c r="DF208" i="53" s="1"/>
  <c r="BW212" i="53"/>
  <c r="AE92" i="120" s="1"/>
  <c r="BX194" i="53"/>
  <c r="AF72" i="120" s="1"/>
  <c r="BV190" i="53"/>
  <c r="AP162" i="53"/>
  <c r="AQ162" i="53"/>
  <c r="AQ213" i="53"/>
  <c r="BX212" i="53"/>
  <c r="AF92" i="120" s="1"/>
  <c r="AT141" i="53"/>
  <c r="AS141" i="53"/>
  <c r="BW190" i="53" l="1"/>
  <c r="AF49" i="120"/>
  <c r="AE29" i="120"/>
  <c r="BV213" i="53"/>
  <c r="AF43" i="120"/>
  <c r="DH170" i="53"/>
  <c r="AH45" i="120" s="1"/>
  <c r="AK45" i="120" s="1"/>
  <c r="AF45" i="120"/>
  <c r="DH177" i="53"/>
  <c r="AH52" i="120" s="1"/>
  <c r="AK52" i="120" s="1"/>
  <c r="AF52" i="120"/>
  <c r="BX190" i="53"/>
  <c r="DG170" i="53"/>
  <c r="AG45" i="120" s="1"/>
  <c r="AE45" i="120"/>
  <c r="DG154" i="53"/>
  <c r="AG25" i="120" s="1"/>
  <c r="AE25" i="120"/>
  <c r="DG152" i="53"/>
  <c r="AE23" i="120"/>
  <c r="BW162" i="53"/>
  <c r="DH166" i="53"/>
  <c r="AH41" i="120" s="1"/>
  <c r="AK41" i="120" s="1"/>
  <c r="AF41" i="120"/>
  <c r="DG166" i="53"/>
  <c r="AG41" i="120" s="1"/>
  <c r="AE41" i="120"/>
  <c r="DH181" i="53"/>
  <c r="AF56" i="120"/>
  <c r="DG181" i="53"/>
  <c r="AE56" i="120"/>
  <c r="DG204" i="53"/>
  <c r="AG82" i="120" s="1"/>
  <c r="AE82" i="120"/>
  <c r="DH204" i="53"/>
  <c r="AH82" i="120" s="1"/>
  <c r="AK82" i="120" s="1"/>
  <c r="AF82" i="120"/>
  <c r="AO215" i="53"/>
  <c r="AP215" i="53"/>
  <c r="DF215" i="53"/>
  <c r="AQ215" i="53"/>
  <c r="BV162" i="53"/>
  <c r="BV215" i="53" s="1"/>
  <c r="BX213" i="53"/>
  <c r="DH212" i="53"/>
  <c r="DG194" i="53"/>
  <c r="AG72" i="120" s="1"/>
  <c r="BW208" i="53"/>
  <c r="DH194" i="53"/>
  <c r="BX208" i="53"/>
  <c r="BW213" i="53"/>
  <c r="DG212" i="53"/>
  <c r="AM31" i="107"/>
  <c r="AN31" i="107"/>
  <c r="AO31" i="107"/>
  <c r="BX215" i="53" l="1"/>
  <c r="DH208" i="53"/>
  <c r="AH72" i="120"/>
  <c r="AK72" i="120" s="1"/>
  <c r="BW215" i="53"/>
  <c r="AG23" i="120"/>
  <c r="DG162" i="53"/>
  <c r="DH213" i="53"/>
  <c r="AH92" i="120"/>
  <c r="AK92" i="120" s="1"/>
  <c r="DG213" i="53"/>
  <c r="AG92" i="120"/>
  <c r="AG56" i="120"/>
  <c r="DG190" i="53"/>
  <c r="AH56" i="120"/>
  <c r="AK56" i="120" s="1"/>
  <c r="DH190" i="53"/>
  <c r="DG208" i="53"/>
  <c r="AQ36" i="109"/>
  <c r="AR36" i="109"/>
  <c r="AP36" i="109"/>
  <c r="AM19" i="110"/>
  <c r="AN19" i="110"/>
  <c r="AO19" i="110"/>
  <c r="AM40" i="114"/>
  <c r="AN40" i="114"/>
  <c r="AO40" i="114"/>
  <c r="AQ17" i="112"/>
  <c r="AR17" i="112"/>
  <c r="AP17" i="112"/>
  <c r="AP18" i="112"/>
  <c r="AQ18" i="112"/>
  <c r="AR18" i="112"/>
  <c r="DH215" i="53" l="1"/>
  <c r="DG215" i="53"/>
  <c r="AV51" i="106"/>
  <c r="AW51" i="106"/>
  <c r="AV52" i="106"/>
  <c r="AW52" i="106"/>
  <c r="AV53" i="106"/>
  <c r="AW53" i="106"/>
  <c r="AV54" i="106"/>
  <c r="AW54" i="106"/>
  <c r="AV55" i="106"/>
  <c r="AW55" i="106"/>
  <c r="AV56" i="106"/>
  <c r="AW56" i="106"/>
  <c r="AQ23" i="117"/>
  <c r="AR23" i="117"/>
  <c r="AP23" i="117"/>
  <c r="AQ28" i="113"/>
  <c r="AN25" i="108"/>
  <c r="AO25" i="108"/>
  <c r="AX46" i="106"/>
  <c r="AX47" i="106"/>
  <c r="AX48" i="106"/>
  <c r="AX49" i="106"/>
  <c r="AX50" i="106"/>
  <c r="AX51" i="106"/>
  <c r="AW46" i="106"/>
  <c r="AW47" i="106"/>
  <c r="AW48" i="106"/>
  <c r="AW49" i="106"/>
  <c r="AW50" i="106"/>
  <c r="AV46" i="106"/>
  <c r="AV47" i="106"/>
  <c r="AV48" i="106"/>
  <c r="AV49" i="106"/>
  <c r="AV50" i="106"/>
  <c r="AQ30" i="109"/>
  <c r="AR30" i="109"/>
  <c r="AP30" i="109"/>
  <c r="AO23" i="108" l="1"/>
  <c r="AN23" i="108"/>
  <c r="AK19" i="115"/>
  <c r="AL19" i="115"/>
  <c r="AJ19" i="115"/>
  <c r="AV45" i="106"/>
  <c r="AW45" i="106"/>
  <c r="AX45" i="106"/>
  <c r="AV39" i="106"/>
  <c r="AW39" i="106"/>
  <c r="AV40" i="106"/>
  <c r="AW40" i="106"/>
  <c r="AV41" i="106"/>
  <c r="AW41" i="106"/>
  <c r="AV42" i="106"/>
  <c r="AW42" i="106"/>
  <c r="AV43" i="106"/>
  <c r="AW43" i="106"/>
  <c r="AV44" i="106"/>
  <c r="AW44" i="106"/>
  <c r="AW38" i="106"/>
  <c r="AW787" i="106" s="1"/>
  <c r="AV38" i="106"/>
  <c r="Y79" i="120"/>
  <c r="Y80" i="120"/>
  <c r="V34" i="120"/>
  <c r="T54" i="120"/>
  <c r="AO28" i="119"/>
  <c r="AN28" i="119"/>
  <c r="AM28" i="119"/>
  <c r="AO27" i="119"/>
  <c r="AN27" i="119"/>
  <c r="AM27" i="119"/>
  <c r="AR17" i="116"/>
  <c r="AQ17" i="116"/>
  <c r="AP17" i="116"/>
  <c r="AR16" i="116"/>
  <c r="AQ16" i="116"/>
  <c r="AP16" i="116"/>
  <c r="AO39" i="114"/>
  <c r="AN39" i="114"/>
  <c r="AM39" i="114"/>
  <c r="AO38" i="114"/>
  <c r="AN38" i="114"/>
  <c r="AM38" i="114"/>
  <c r="AO37" i="114"/>
  <c r="AN37" i="114"/>
  <c r="AM37" i="114"/>
  <c r="AO36" i="114"/>
  <c r="AN36" i="114"/>
  <c r="AM36" i="114"/>
  <c r="AO35" i="114"/>
  <c r="AN35" i="114"/>
  <c r="AM35" i="114"/>
  <c r="AO34" i="114"/>
  <c r="AN34" i="114"/>
  <c r="AM34" i="114"/>
  <c r="AO33" i="114"/>
  <c r="AN33" i="114"/>
  <c r="AM33" i="114"/>
  <c r="AO32" i="114"/>
  <c r="AN32" i="114"/>
  <c r="AM32" i="114"/>
  <c r="AO31" i="114"/>
  <c r="AN31" i="114"/>
  <c r="AM31" i="114"/>
  <c r="AO30" i="114"/>
  <c r="AN30" i="114"/>
  <c r="AM30" i="114"/>
  <c r="AO29" i="114"/>
  <c r="AN29" i="114"/>
  <c r="AM29" i="114"/>
  <c r="AO28" i="114"/>
  <c r="AN28" i="114"/>
  <c r="AM28" i="114"/>
  <c r="AO27" i="114"/>
  <c r="AN27" i="114"/>
  <c r="AM27" i="114"/>
  <c r="AR24" i="117"/>
  <c r="AQ24" i="117"/>
  <c r="AP24" i="117"/>
  <c r="AR22" i="117"/>
  <c r="AQ22" i="117"/>
  <c r="AP22" i="117"/>
  <c r="AL21" i="115"/>
  <c r="AK21" i="115"/>
  <c r="AJ21" i="115"/>
  <c r="AL20" i="115"/>
  <c r="AK20" i="115"/>
  <c r="AJ20" i="115"/>
  <c r="AO18" i="110"/>
  <c r="AN18" i="110"/>
  <c r="AM18" i="110"/>
  <c r="AO17" i="110"/>
  <c r="AN17" i="110"/>
  <c r="AM17" i="110"/>
  <c r="AO30" i="111"/>
  <c r="AN30" i="111"/>
  <c r="AM30" i="111"/>
  <c r="AO29" i="111"/>
  <c r="AN29" i="111"/>
  <c r="AM29" i="111"/>
  <c r="AO28" i="111"/>
  <c r="AN28" i="111"/>
  <c r="AM28" i="111"/>
  <c r="AO27" i="111"/>
  <c r="AN27" i="111"/>
  <c r="AM27" i="111"/>
  <c r="AO26" i="111"/>
  <c r="AN26" i="111"/>
  <c r="AM26" i="111"/>
  <c r="AO25" i="111"/>
  <c r="AN25" i="111"/>
  <c r="AM25" i="111"/>
  <c r="AR16" i="112"/>
  <c r="AR19" i="112" s="1"/>
  <c r="AQ16" i="112"/>
  <c r="AQ19" i="112" s="1"/>
  <c r="AP16" i="112"/>
  <c r="AP19" i="112" s="1"/>
  <c r="AR35" i="109"/>
  <c r="AQ35" i="109"/>
  <c r="AP35" i="109"/>
  <c r="AR34" i="109"/>
  <c r="AQ34" i="109"/>
  <c r="AP34" i="109"/>
  <c r="AR33" i="109"/>
  <c r="AQ33" i="109"/>
  <c r="AP33" i="109"/>
  <c r="AR32" i="109"/>
  <c r="AQ32" i="109"/>
  <c r="AP32" i="109"/>
  <c r="AR31" i="109"/>
  <c r="AQ31" i="109"/>
  <c r="AP31" i="109"/>
  <c r="AR29" i="109"/>
  <c r="AQ29" i="109"/>
  <c r="AP29" i="109"/>
  <c r="AR28" i="109"/>
  <c r="AQ28" i="109"/>
  <c r="AP28" i="109"/>
  <c r="AR27" i="109"/>
  <c r="AQ27" i="109"/>
  <c r="AP27" i="109"/>
  <c r="AR26" i="109"/>
  <c r="AQ26" i="109"/>
  <c r="AP26" i="109"/>
  <c r="AX401" i="118"/>
  <c r="AW401" i="118"/>
  <c r="AW402" i="118" s="1"/>
  <c r="AV401" i="118"/>
  <c r="AV402" i="118" s="1"/>
  <c r="AR32" i="113"/>
  <c r="AQ32" i="113"/>
  <c r="AP32" i="113"/>
  <c r="AR31" i="113"/>
  <c r="AQ31" i="113"/>
  <c r="AP31" i="113"/>
  <c r="AR30" i="113"/>
  <c r="AQ30" i="113"/>
  <c r="AP30" i="113"/>
  <c r="AR29" i="113"/>
  <c r="AQ29" i="113"/>
  <c r="AP29" i="113"/>
  <c r="AR28" i="113"/>
  <c r="AP28" i="113"/>
  <c r="AR27" i="113"/>
  <c r="AQ27" i="113"/>
  <c r="AP27" i="113"/>
  <c r="AR26" i="113"/>
  <c r="AQ26" i="113"/>
  <c r="AP26" i="113"/>
  <c r="AR25" i="113"/>
  <c r="AQ25" i="113"/>
  <c r="AP25" i="113"/>
  <c r="AR24" i="113"/>
  <c r="AQ24" i="113"/>
  <c r="AP24" i="113"/>
  <c r="AO27" i="108"/>
  <c r="AN27" i="108"/>
  <c r="AM27" i="108"/>
  <c r="AO26" i="108"/>
  <c r="AN26" i="108"/>
  <c r="AM26" i="108"/>
  <c r="AM25" i="108"/>
  <c r="AO24" i="108"/>
  <c r="AN24" i="108"/>
  <c r="AM24" i="108"/>
  <c r="AM23" i="108"/>
  <c r="AO22" i="108"/>
  <c r="AN22" i="108"/>
  <c r="AM22" i="108"/>
  <c r="AO36" i="107"/>
  <c r="AN36" i="107"/>
  <c r="AM36" i="107"/>
  <c r="AO35" i="107"/>
  <c r="AN35" i="107"/>
  <c r="AM35" i="107"/>
  <c r="AO34" i="107"/>
  <c r="AN34" i="107"/>
  <c r="AM34" i="107"/>
  <c r="AO33" i="107"/>
  <c r="AN33" i="107"/>
  <c r="AM33" i="107"/>
  <c r="AO32" i="107"/>
  <c r="AN32" i="107"/>
  <c r="AM32" i="107"/>
  <c r="AO30" i="107"/>
  <c r="AN30" i="107"/>
  <c r="AM30" i="107"/>
  <c r="AO29" i="107"/>
  <c r="AN29" i="107"/>
  <c r="AM29" i="107"/>
  <c r="AO28" i="107"/>
  <c r="AN28" i="107"/>
  <c r="AM28" i="107"/>
  <c r="AO27" i="107"/>
  <c r="AN27" i="107"/>
  <c r="AM27" i="107"/>
  <c r="AB784" i="106"/>
  <c r="AA784" i="106"/>
  <c r="AX783" i="106"/>
  <c r="AW783" i="106"/>
  <c r="AV783" i="106"/>
  <c r="AX782" i="106"/>
  <c r="AW782" i="106"/>
  <c r="AV782" i="106"/>
  <c r="AX781" i="106"/>
  <c r="AW781" i="106"/>
  <c r="AV781" i="106"/>
  <c r="AX780" i="106"/>
  <c r="AW780" i="106"/>
  <c r="AV780" i="106"/>
  <c r="AX779" i="106"/>
  <c r="AW779" i="106"/>
  <c r="AV779" i="106"/>
  <c r="AX778" i="106"/>
  <c r="AW778" i="106"/>
  <c r="AV778" i="106"/>
  <c r="AX777" i="106"/>
  <c r="AW777" i="106"/>
  <c r="AV777" i="106"/>
  <c r="AX776" i="106"/>
  <c r="AW776" i="106"/>
  <c r="AV776" i="106"/>
  <c r="AX775" i="106"/>
  <c r="AW775" i="106"/>
  <c r="AV775" i="106"/>
  <c r="AX774" i="106"/>
  <c r="AW774" i="106"/>
  <c r="AV774" i="106"/>
  <c r="AX773" i="106"/>
  <c r="AW773" i="106"/>
  <c r="AV773" i="106"/>
  <c r="AX772" i="106"/>
  <c r="AW772" i="106"/>
  <c r="AV772" i="106"/>
  <c r="AX771" i="106"/>
  <c r="AW771" i="106"/>
  <c r="AV771" i="106"/>
  <c r="AX770" i="106"/>
  <c r="AW770" i="106"/>
  <c r="AV770" i="106"/>
  <c r="AX769" i="106"/>
  <c r="AW769" i="106"/>
  <c r="AV769" i="106"/>
  <c r="AX768" i="106"/>
  <c r="AW768" i="106"/>
  <c r="AV768" i="106"/>
  <c r="AX767" i="106"/>
  <c r="AW767" i="106"/>
  <c r="AV767" i="106"/>
  <c r="AX766" i="106"/>
  <c r="AW766" i="106"/>
  <c r="AV766" i="106"/>
  <c r="AX765" i="106"/>
  <c r="AW765" i="106"/>
  <c r="AV765" i="106"/>
  <c r="AX764" i="106"/>
  <c r="AW764" i="106"/>
  <c r="AV764" i="106"/>
  <c r="AX763" i="106"/>
  <c r="AW763" i="106"/>
  <c r="AV763" i="106"/>
  <c r="AX762" i="106"/>
  <c r="AW762" i="106"/>
  <c r="AV762" i="106"/>
  <c r="AB754" i="106"/>
  <c r="AA754" i="106"/>
  <c r="AX753" i="106"/>
  <c r="AW753" i="106"/>
  <c r="AV753" i="106"/>
  <c r="AX752" i="106"/>
  <c r="AW752" i="106"/>
  <c r="AV752" i="106"/>
  <c r="AX751" i="106"/>
  <c r="AW751" i="106"/>
  <c r="AV751" i="106"/>
  <c r="AX750" i="106"/>
  <c r="AW750" i="106"/>
  <c r="AV750" i="106"/>
  <c r="AX749" i="106"/>
  <c r="AW749" i="106"/>
  <c r="AV749" i="106"/>
  <c r="AX748" i="106"/>
  <c r="AW748" i="106"/>
  <c r="AV748" i="106"/>
  <c r="AX747" i="106"/>
  <c r="AW747" i="106"/>
  <c r="AV747" i="106"/>
  <c r="AX746" i="106"/>
  <c r="AW746" i="106"/>
  <c r="AV746" i="106"/>
  <c r="AX745" i="106"/>
  <c r="AW745" i="106"/>
  <c r="AV745" i="106"/>
  <c r="AX744" i="106"/>
  <c r="AW744" i="106"/>
  <c r="AV744" i="106"/>
  <c r="AX743" i="106"/>
  <c r="AW743" i="106"/>
  <c r="AV743" i="106"/>
  <c r="AX742" i="106"/>
  <c r="AW742" i="106"/>
  <c r="AV742" i="106"/>
  <c r="AX741" i="106"/>
  <c r="AW741" i="106"/>
  <c r="AV741" i="106"/>
  <c r="AX740" i="106"/>
  <c r="AW740" i="106"/>
  <c r="AV740" i="106"/>
  <c r="AX739" i="106"/>
  <c r="AW739" i="106"/>
  <c r="AV739" i="106"/>
  <c r="AX738" i="106"/>
  <c r="AW738" i="106"/>
  <c r="AV738" i="106"/>
  <c r="AX737" i="106"/>
  <c r="AW737" i="106"/>
  <c r="AV737" i="106"/>
  <c r="AX736" i="106"/>
  <c r="AW736" i="106"/>
  <c r="AV736" i="106"/>
  <c r="AX735" i="106"/>
  <c r="AW735" i="106"/>
  <c r="AV735" i="106"/>
  <c r="AX734" i="106"/>
  <c r="AW734" i="106"/>
  <c r="AV734" i="106"/>
  <c r="AX733" i="106"/>
  <c r="AW733" i="106"/>
  <c r="AV733" i="106"/>
  <c r="AB726" i="106"/>
  <c r="AA726" i="106"/>
  <c r="AX725" i="106"/>
  <c r="AW725" i="106"/>
  <c r="AV725" i="106"/>
  <c r="AX724" i="106"/>
  <c r="AW724" i="106"/>
  <c r="AV724" i="106"/>
  <c r="AX723" i="106"/>
  <c r="AW723" i="106"/>
  <c r="AV723" i="106"/>
  <c r="AX722" i="106"/>
  <c r="AW722" i="106"/>
  <c r="AV722" i="106"/>
  <c r="AX721" i="106"/>
  <c r="AW721" i="106"/>
  <c r="AV721" i="106"/>
  <c r="AX720" i="106"/>
  <c r="AW720" i="106"/>
  <c r="AV720" i="106"/>
  <c r="AX719" i="106"/>
  <c r="AW719" i="106"/>
  <c r="AV719" i="106"/>
  <c r="AX718" i="106"/>
  <c r="AW718" i="106"/>
  <c r="AV718" i="106"/>
  <c r="AX717" i="106"/>
  <c r="AW717" i="106"/>
  <c r="AV717" i="106"/>
  <c r="AX716" i="106"/>
  <c r="AW716" i="106"/>
  <c r="AV716" i="106"/>
  <c r="AX715" i="106"/>
  <c r="AW715" i="106"/>
  <c r="AV715" i="106"/>
  <c r="AX714" i="106"/>
  <c r="AW714" i="106"/>
  <c r="AV714" i="106"/>
  <c r="AX713" i="106"/>
  <c r="AW713" i="106"/>
  <c r="AV713" i="106"/>
  <c r="AX712" i="106"/>
  <c r="AW712" i="106"/>
  <c r="AV712" i="106"/>
  <c r="AX711" i="106"/>
  <c r="AW711" i="106"/>
  <c r="AV711" i="106"/>
  <c r="AX710" i="106"/>
  <c r="AW710" i="106"/>
  <c r="AV710" i="106"/>
  <c r="AX709" i="106"/>
  <c r="AW709" i="106"/>
  <c r="AV709" i="106"/>
  <c r="AX708" i="106"/>
  <c r="AW708" i="106"/>
  <c r="AV708" i="106"/>
  <c r="AX707" i="106"/>
  <c r="AW707" i="106"/>
  <c r="AV707" i="106"/>
  <c r="AX706" i="106"/>
  <c r="AW706" i="106"/>
  <c r="AV706" i="106"/>
  <c r="AX705" i="106"/>
  <c r="AW705" i="106"/>
  <c r="AV705" i="106"/>
  <c r="AB698" i="106"/>
  <c r="AA698" i="106"/>
  <c r="AX697" i="106"/>
  <c r="AW697" i="106"/>
  <c r="AV697" i="106"/>
  <c r="AX696" i="106"/>
  <c r="AW696" i="106"/>
  <c r="AV696" i="106"/>
  <c r="AX695" i="106"/>
  <c r="AW695" i="106"/>
  <c r="AV695" i="106"/>
  <c r="AX694" i="106"/>
  <c r="AW694" i="106"/>
  <c r="AV694" i="106"/>
  <c r="AX693" i="106"/>
  <c r="AW693" i="106"/>
  <c r="AV693" i="106"/>
  <c r="AX692" i="106"/>
  <c r="AW692" i="106"/>
  <c r="AV692" i="106"/>
  <c r="AX691" i="106"/>
  <c r="AW691" i="106"/>
  <c r="AV691" i="106"/>
  <c r="AX690" i="106"/>
  <c r="AW690" i="106"/>
  <c r="AV690" i="106"/>
  <c r="AX689" i="106"/>
  <c r="AW689" i="106"/>
  <c r="AV689" i="106"/>
  <c r="AX688" i="106"/>
  <c r="AW688" i="106"/>
  <c r="AV688" i="106"/>
  <c r="AX687" i="106"/>
  <c r="AW687" i="106"/>
  <c r="AV687" i="106"/>
  <c r="AX686" i="106"/>
  <c r="AW686" i="106"/>
  <c r="AV686" i="106"/>
  <c r="AX685" i="106"/>
  <c r="AW685" i="106"/>
  <c r="AV685" i="106"/>
  <c r="AX684" i="106"/>
  <c r="AW684" i="106"/>
  <c r="AV684" i="106"/>
  <c r="AX683" i="106"/>
  <c r="AW683" i="106"/>
  <c r="AV683" i="106"/>
  <c r="AX682" i="106"/>
  <c r="AW682" i="106"/>
  <c r="AV682" i="106"/>
  <c r="AX681" i="106"/>
  <c r="AW681" i="106"/>
  <c r="AV681" i="106"/>
  <c r="AX680" i="106"/>
  <c r="AW680" i="106"/>
  <c r="AV680" i="106"/>
  <c r="AX679" i="106"/>
  <c r="AW679" i="106"/>
  <c r="AV679" i="106"/>
  <c r="AX678" i="106"/>
  <c r="AW678" i="106"/>
  <c r="AV678" i="106"/>
  <c r="AX677" i="106"/>
  <c r="AW677" i="106"/>
  <c r="AV677" i="106"/>
  <c r="AB669" i="106"/>
  <c r="AA669" i="106"/>
  <c r="AX668" i="106"/>
  <c r="AW668" i="106"/>
  <c r="AV668" i="106"/>
  <c r="AX667" i="106"/>
  <c r="AW667" i="106"/>
  <c r="AV667" i="106"/>
  <c r="AX666" i="106"/>
  <c r="AW666" i="106"/>
  <c r="AV666" i="106"/>
  <c r="AX665" i="106"/>
  <c r="AW665" i="106"/>
  <c r="AV665" i="106"/>
  <c r="AX664" i="106"/>
  <c r="AW664" i="106"/>
  <c r="AV664" i="106"/>
  <c r="AX663" i="106"/>
  <c r="AW663" i="106"/>
  <c r="AV663" i="106"/>
  <c r="AX662" i="106"/>
  <c r="AW662" i="106"/>
  <c r="AV662" i="106"/>
  <c r="AX661" i="106"/>
  <c r="AW661" i="106"/>
  <c r="AV661" i="106"/>
  <c r="AX660" i="106"/>
  <c r="AW660" i="106"/>
  <c r="AV660" i="106"/>
  <c r="AX659" i="106"/>
  <c r="AW659" i="106"/>
  <c r="AV659" i="106"/>
  <c r="AX658" i="106"/>
  <c r="AW658" i="106"/>
  <c r="AV658" i="106"/>
  <c r="AX657" i="106"/>
  <c r="AW657" i="106"/>
  <c r="AV657" i="106"/>
  <c r="AX656" i="106"/>
  <c r="AW656" i="106"/>
  <c r="AV656" i="106"/>
  <c r="AX655" i="106"/>
  <c r="AW655" i="106"/>
  <c r="AV655" i="106"/>
  <c r="AX654" i="106"/>
  <c r="AW654" i="106"/>
  <c r="AV654" i="106"/>
  <c r="AX653" i="106"/>
  <c r="AW653" i="106"/>
  <c r="AV653" i="106"/>
  <c r="AX652" i="106"/>
  <c r="AW652" i="106"/>
  <c r="AV652" i="106"/>
  <c r="AX651" i="106"/>
  <c r="AW651" i="106"/>
  <c r="AV651" i="106"/>
  <c r="AX650" i="106"/>
  <c r="AW650" i="106"/>
  <c r="AV650" i="106"/>
  <c r="AX649" i="106"/>
  <c r="AW649" i="106"/>
  <c r="AV649" i="106"/>
  <c r="AX648" i="106"/>
  <c r="AW648" i="106"/>
  <c r="AV648" i="106"/>
  <c r="AX647" i="106"/>
  <c r="AW647" i="106"/>
  <c r="AV647" i="106"/>
  <c r="AX646" i="106"/>
  <c r="AW646" i="106"/>
  <c r="AV646" i="106"/>
  <c r="AX645" i="106"/>
  <c r="AW645" i="106"/>
  <c r="AV645" i="106"/>
  <c r="AX644" i="106"/>
  <c r="AW644" i="106"/>
  <c r="AV644" i="106"/>
  <c r="AX643" i="106"/>
  <c r="AW643" i="106"/>
  <c r="AV643" i="106"/>
  <c r="AX642" i="106"/>
  <c r="AW642" i="106"/>
  <c r="AV642" i="106"/>
  <c r="AX641" i="106"/>
  <c r="AW641" i="106"/>
  <c r="AV641" i="106"/>
  <c r="AX640" i="106"/>
  <c r="AW640" i="106"/>
  <c r="AV640" i="106"/>
  <c r="AB632" i="106"/>
  <c r="AA632" i="106"/>
  <c r="AX631" i="106"/>
  <c r="AW631" i="106"/>
  <c r="AV631" i="106"/>
  <c r="AX630" i="106"/>
  <c r="AW630" i="106"/>
  <c r="AV630" i="106"/>
  <c r="AX629" i="106"/>
  <c r="AW629" i="106"/>
  <c r="AV629" i="106"/>
  <c r="AX628" i="106"/>
  <c r="AW628" i="106"/>
  <c r="AV628" i="106"/>
  <c r="AX627" i="106"/>
  <c r="AW627" i="106"/>
  <c r="AV627" i="106"/>
  <c r="AX626" i="106"/>
  <c r="AW626" i="106"/>
  <c r="AV626" i="106"/>
  <c r="AX625" i="106"/>
  <c r="AW625" i="106"/>
  <c r="AV625" i="106"/>
  <c r="AX624" i="106"/>
  <c r="AW624" i="106"/>
  <c r="AV624" i="106"/>
  <c r="AX623" i="106"/>
  <c r="AW623" i="106"/>
  <c r="AV623" i="106"/>
  <c r="AX622" i="106"/>
  <c r="AW622" i="106"/>
  <c r="AV622" i="106"/>
  <c r="AX621" i="106"/>
  <c r="AW621" i="106"/>
  <c r="AV621" i="106"/>
  <c r="AX620" i="106"/>
  <c r="AW620" i="106"/>
  <c r="AV620" i="106"/>
  <c r="AX619" i="106"/>
  <c r="AW619" i="106"/>
  <c r="AV619" i="106"/>
  <c r="AX618" i="106"/>
  <c r="AW618" i="106"/>
  <c r="AV618" i="106"/>
  <c r="AX617" i="106"/>
  <c r="AW617" i="106"/>
  <c r="AV617" i="106"/>
  <c r="AX616" i="106"/>
  <c r="AW616" i="106"/>
  <c r="AV616" i="106"/>
  <c r="AX615" i="106"/>
  <c r="AW615" i="106"/>
  <c r="AV615" i="106"/>
  <c r="AX614" i="106"/>
  <c r="AW614" i="106"/>
  <c r="AV614" i="106"/>
  <c r="AX613" i="106"/>
  <c r="AW613" i="106"/>
  <c r="AV613" i="106"/>
  <c r="AX612" i="106"/>
  <c r="AW612" i="106"/>
  <c r="AV612" i="106"/>
  <c r="AX611" i="106"/>
  <c r="AW611" i="106"/>
  <c r="AV611" i="106"/>
  <c r="AX610" i="106"/>
  <c r="AW610" i="106"/>
  <c r="AV610" i="106"/>
  <c r="AX609" i="106"/>
  <c r="AW609" i="106"/>
  <c r="AV609" i="106"/>
  <c r="AX608" i="106"/>
  <c r="AW608" i="106"/>
  <c r="AV608" i="106"/>
  <c r="AX607" i="106"/>
  <c r="AW607" i="106"/>
  <c r="AV607" i="106"/>
  <c r="AX606" i="106"/>
  <c r="AW606" i="106"/>
  <c r="AV606" i="106"/>
  <c r="AX605" i="106"/>
  <c r="AW605" i="106"/>
  <c r="AV605" i="106"/>
  <c r="AX604" i="106"/>
  <c r="AW604" i="106"/>
  <c r="AV604" i="106"/>
  <c r="AB596" i="106"/>
  <c r="AA596" i="106"/>
  <c r="AX595" i="106"/>
  <c r="AW595" i="106"/>
  <c r="AV595" i="106"/>
  <c r="AX594" i="106"/>
  <c r="AW594" i="106"/>
  <c r="AV594" i="106"/>
  <c r="AX593" i="106"/>
  <c r="AW593" i="106"/>
  <c r="AV593" i="106"/>
  <c r="AX592" i="106"/>
  <c r="AW592" i="106"/>
  <c r="AV592" i="106"/>
  <c r="AX591" i="106"/>
  <c r="AW591" i="106"/>
  <c r="AV591" i="106"/>
  <c r="AX590" i="106"/>
  <c r="AW590" i="106"/>
  <c r="AV590" i="106"/>
  <c r="AX589" i="106"/>
  <c r="AW589" i="106"/>
  <c r="AV589" i="106"/>
  <c r="AX588" i="106"/>
  <c r="AW588" i="106"/>
  <c r="AV588" i="106"/>
  <c r="AX587" i="106"/>
  <c r="AW587" i="106"/>
  <c r="AV587" i="106"/>
  <c r="AX586" i="106"/>
  <c r="AW586" i="106"/>
  <c r="AV586" i="106"/>
  <c r="AX585" i="106"/>
  <c r="AW585" i="106"/>
  <c r="AV585" i="106"/>
  <c r="AX584" i="106"/>
  <c r="AW584" i="106"/>
  <c r="AV584" i="106"/>
  <c r="AX583" i="106"/>
  <c r="AW583" i="106"/>
  <c r="AV583" i="106"/>
  <c r="AX582" i="106"/>
  <c r="AW582" i="106"/>
  <c r="AV582" i="106"/>
  <c r="AX581" i="106"/>
  <c r="AW581" i="106"/>
  <c r="AV581" i="106"/>
  <c r="AX580" i="106"/>
  <c r="AW580" i="106"/>
  <c r="AV580" i="106"/>
  <c r="AX579" i="106"/>
  <c r="AW579" i="106"/>
  <c r="AV579" i="106"/>
  <c r="AX578" i="106"/>
  <c r="AW578" i="106"/>
  <c r="AV578" i="106"/>
  <c r="AX577" i="106"/>
  <c r="AW577" i="106"/>
  <c r="AV577" i="106"/>
  <c r="AX576" i="106"/>
  <c r="AW576" i="106"/>
  <c r="AV576" i="106"/>
  <c r="AX575" i="106"/>
  <c r="AW575" i="106"/>
  <c r="AV575" i="106"/>
  <c r="AX574" i="106"/>
  <c r="AW574" i="106"/>
  <c r="AV574" i="106"/>
  <c r="AX573" i="106"/>
  <c r="AW573" i="106"/>
  <c r="AV573" i="106"/>
  <c r="AX572" i="106"/>
  <c r="AW572" i="106"/>
  <c r="AV572" i="106"/>
  <c r="AX571" i="106"/>
  <c r="AW571" i="106"/>
  <c r="AV571" i="106"/>
  <c r="AX570" i="106"/>
  <c r="AW570" i="106"/>
  <c r="AV570" i="106"/>
  <c r="AX569" i="106"/>
  <c r="AW569" i="106"/>
  <c r="AV569" i="106"/>
  <c r="AX568" i="106"/>
  <c r="AW568" i="106"/>
  <c r="AV568" i="106"/>
  <c r="AB560" i="106"/>
  <c r="AA560" i="106"/>
  <c r="AX559" i="106"/>
  <c r="AW559" i="106"/>
  <c r="AV559" i="106"/>
  <c r="AX558" i="106"/>
  <c r="AW558" i="106"/>
  <c r="AV558" i="106"/>
  <c r="AX557" i="106"/>
  <c r="AW557" i="106"/>
  <c r="AV557" i="106"/>
  <c r="AX556" i="106"/>
  <c r="AW556" i="106"/>
  <c r="AV556" i="106"/>
  <c r="AX555" i="106"/>
  <c r="AW555" i="106"/>
  <c r="AV555" i="106"/>
  <c r="AX554" i="106"/>
  <c r="AW554" i="106"/>
  <c r="AV554" i="106"/>
  <c r="AX553" i="106"/>
  <c r="AW553" i="106"/>
  <c r="AV553" i="106"/>
  <c r="AX552" i="106"/>
  <c r="AW552" i="106"/>
  <c r="AV552" i="106"/>
  <c r="AX551" i="106"/>
  <c r="AW551" i="106"/>
  <c r="AV551" i="106"/>
  <c r="AX550" i="106"/>
  <c r="AW550" i="106"/>
  <c r="AV550" i="106"/>
  <c r="AX549" i="106"/>
  <c r="AW549" i="106"/>
  <c r="AV549" i="106"/>
  <c r="AX548" i="106"/>
  <c r="AW548" i="106"/>
  <c r="AV548" i="106"/>
  <c r="AX547" i="106"/>
  <c r="AW547" i="106"/>
  <c r="AV547" i="106"/>
  <c r="AX546" i="106"/>
  <c r="AW546" i="106"/>
  <c r="AV546" i="106"/>
  <c r="AX545" i="106"/>
  <c r="AW545" i="106"/>
  <c r="AV545" i="106"/>
  <c r="AX544" i="106"/>
  <c r="AW544" i="106"/>
  <c r="AV544" i="106"/>
  <c r="AX543" i="106"/>
  <c r="AW543" i="106"/>
  <c r="AV543" i="106"/>
  <c r="AX542" i="106"/>
  <c r="AW542" i="106"/>
  <c r="AV542" i="106"/>
  <c r="AX541" i="106"/>
  <c r="AW541" i="106"/>
  <c r="AV541" i="106"/>
  <c r="AX540" i="106"/>
  <c r="AW540" i="106"/>
  <c r="AV540" i="106"/>
  <c r="AX539" i="106"/>
  <c r="AW539" i="106"/>
  <c r="AV539" i="106"/>
  <c r="AX538" i="106"/>
  <c r="AW538" i="106"/>
  <c r="AV538" i="106"/>
  <c r="AX537" i="106"/>
  <c r="AW537" i="106"/>
  <c r="AV537" i="106"/>
  <c r="AX536" i="106"/>
  <c r="AW536" i="106"/>
  <c r="AV536" i="106"/>
  <c r="AX535" i="106"/>
  <c r="AW535" i="106"/>
  <c r="AV535" i="106"/>
  <c r="AX534" i="106"/>
  <c r="AW534" i="106"/>
  <c r="AV534" i="106"/>
  <c r="AX533" i="106"/>
  <c r="AW533" i="106"/>
  <c r="AV533" i="106"/>
  <c r="AX532" i="106"/>
  <c r="AW532" i="106"/>
  <c r="AV532" i="106"/>
  <c r="AB525" i="106"/>
  <c r="AA525" i="106"/>
  <c r="AX524" i="106"/>
  <c r="AW524" i="106"/>
  <c r="AV524" i="106"/>
  <c r="AX523" i="106"/>
  <c r="AW523" i="106"/>
  <c r="AV523" i="106"/>
  <c r="AX522" i="106"/>
  <c r="AW522" i="106"/>
  <c r="AV522" i="106"/>
  <c r="AX521" i="106"/>
  <c r="AW521" i="106"/>
  <c r="AV521" i="106"/>
  <c r="AX520" i="106"/>
  <c r="AW520" i="106"/>
  <c r="AV520" i="106"/>
  <c r="AX519" i="106"/>
  <c r="AW519" i="106"/>
  <c r="AV519" i="106"/>
  <c r="AX518" i="106"/>
  <c r="AW518" i="106"/>
  <c r="AV518" i="106"/>
  <c r="AX517" i="106"/>
  <c r="AW517" i="106"/>
  <c r="AV517" i="106"/>
  <c r="AX516" i="106"/>
  <c r="AW516" i="106"/>
  <c r="AV516" i="106"/>
  <c r="AX515" i="106"/>
  <c r="AW515" i="106"/>
  <c r="AV515" i="106"/>
  <c r="AX514" i="106"/>
  <c r="AW514" i="106"/>
  <c r="AV514" i="106"/>
  <c r="AX513" i="106"/>
  <c r="AW513" i="106"/>
  <c r="AV513" i="106"/>
  <c r="AX512" i="106"/>
  <c r="AW512" i="106"/>
  <c r="AV512" i="106"/>
  <c r="AX511" i="106"/>
  <c r="AW511" i="106"/>
  <c r="AV511" i="106"/>
  <c r="AX510" i="106"/>
  <c r="AW510" i="106"/>
  <c r="AV510" i="106"/>
  <c r="AX509" i="106"/>
  <c r="AW509" i="106"/>
  <c r="AV509" i="106"/>
  <c r="AX508" i="106"/>
  <c r="AW508" i="106"/>
  <c r="AV508" i="106"/>
  <c r="AX507" i="106"/>
  <c r="AW507" i="106"/>
  <c r="AV507" i="106"/>
  <c r="AX506" i="106"/>
  <c r="AW506" i="106"/>
  <c r="AV506" i="106"/>
  <c r="AX505" i="106"/>
  <c r="AW505" i="106"/>
  <c r="AV505" i="106"/>
  <c r="AX504" i="106"/>
  <c r="AW504" i="106"/>
  <c r="AV504" i="106"/>
  <c r="AX503" i="106"/>
  <c r="AW503" i="106"/>
  <c r="AV503" i="106"/>
  <c r="AX502" i="106"/>
  <c r="AW502" i="106"/>
  <c r="AV502" i="106"/>
  <c r="AX501" i="106"/>
  <c r="AW501" i="106"/>
  <c r="AV501" i="106"/>
  <c r="AX500" i="106"/>
  <c r="AW500" i="106"/>
  <c r="AV500" i="106"/>
  <c r="AX499" i="106"/>
  <c r="AW499" i="106"/>
  <c r="AV499" i="106"/>
  <c r="AX498" i="106"/>
  <c r="AW498" i="106"/>
  <c r="AV498" i="106"/>
  <c r="AB490" i="106"/>
  <c r="AA490" i="106"/>
  <c r="AX489" i="106"/>
  <c r="AW489" i="106"/>
  <c r="AV489" i="106"/>
  <c r="AX488" i="106"/>
  <c r="AW488" i="106"/>
  <c r="AV488" i="106"/>
  <c r="AX487" i="106"/>
  <c r="AW487" i="106"/>
  <c r="AV487" i="106"/>
  <c r="AX486" i="106"/>
  <c r="AW486" i="106"/>
  <c r="AV486" i="106"/>
  <c r="AX485" i="106"/>
  <c r="AW485" i="106"/>
  <c r="AV485" i="106"/>
  <c r="AX484" i="106"/>
  <c r="AW484" i="106"/>
  <c r="AV484" i="106"/>
  <c r="AX483" i="106"/>
  <c r="AW483" i="106"/>
  <c r="AV483" i="106"/>
  <c r="AX482" i="106"/>
  <c r="AW482" i="106"/>
  <c r="AV482" i="106"/>
  <c r="AX481" i="106"/>
  <c r="AW481" i="106"/>
  <c r="AV481" i="106"/>
  <c r="AX480" i="106"/>
  <c r="AW480" i="106"/>
  <c r="AV480" i="106"/>
  <c r="AX479" i="106"/>
  <c r="AW479" i="106"/>
  <c r="AV479" i="106"/>
  <c r="AX478" i="106"/>
  <c r="AW478" i="106"/>
  <c r="AV478" i="106"/>
  <c r="AX477" i="106"/>
  <c r="AW477" i="106"/>
  <c r="AV477" i="106"/>
  <c r="AX476" i="106"/>
  <c r="AW476" i="106"/>
  <c r="AV476" i="106"/>
  <c r="AX475" i="106"/>
  <c r="AW475" i="106"/>
  <c r="AV475" i="106"/>
  <c r="AX474" i="106"/>
  <c r="AW474" i="106"/>
  <c r="AV474" i="106"/>
  <c r="AX473" i="106"/>
  <c r="AW473" i="106"/>
  <c r="AV473" i="106"/>
  <c r="AX472" i="106"/>
  <c r="AW472" i="106"/>
  <c r="AV472" i="106"/>
  <c r="AX471" i="106"/>
  <c r="AW471" i="106"/>
  <c r="AV471" i="106"/>
  <c r="AX470" i="106"/>
  <c r="AW470" i="106"/>
  <c r="AV470" i="106"/>
  <c r="AX469" i="106"/>
  <c r="AW469" i="106"/>
  <c r="AV469" i="106"/>
  <c r="AX468" i="106"/>
  <c r="AW468" i="106"/>
  <c r="AV468" i="106"/>
  <c r="AX467" i="106"/>
  <c r="AW467" i="106"/>
  <c r="AV467" i="106"/>
  <c r="AX466" i="106"/>
  <c r="AW466" i="106"/>
  <c r="AV466" i="106"/>
  <c r="AX465" i="106"/>
  <c r="AW465" i="106"/>
  <c r="AV465" i="106"/>
  <c r="AX464" i="106"/>
  <c r="AW464" i="106"/>
  <c r="AV464" i="106"/>
  <c r="AX463" i="106"/>
  <c r="AW463" i="106"/>
  <c r="AV463" i="106"/>
  <c r="AB455" i="106"/>
  <c r="AA455" i="106"/>
  <c r="AX454" i="106"/>
  <c r="AW454" i="106"/>
  <c r="AV454" i="106"/>
  <c r="AX453" i="106"/>
  <c r="AW453" i="106"/>
  <c r="AV453" i="106"/>
  <c r="AX452" i="106"/>
  <c r="AX451" i="106"/>
  <c r="AX450" i="106"/>
  <c r="AX449" i="106"/>
  <c r="AX448" i="106"/>
  <c r="AX447" i="106"/>
  <c r="AX446" i="106"/>
  <c r="AX445" i="106"/>
  <c r="AX444" i="106"/>
  <c r="AX443" i="106"/>
  <c r="AX442" i="106"/>
  <c r="AX441" i="106"/>
  <c r="AX440" i="106"/>
  <c r="AX439" i="106"/>
  <c r="AX438" i="106"/>
  <c r="AX437" i="106"/>
  <c r="AX434" i="106"/>
  <c r="AX433" i="106"/>
  <c r="AX432" i="106"/>
  <c r="AX431" i="106"/>
  <c r="AX430" i="106"/>
  <c r="AX429" i="106"/>
  <c r="AX428" i="106"/>
  <c r="AB420" i="106"/>
  <c r="AA420" i="106"/>
  <c r="AX419" i="106"/>
  <c r="AW419" i="106"/>
  <c r="AV419" i="106"/>
  <c r="AX418" i="106"/>
  <c r="AW418" i="106"/>
  <c r="AV418" i="106"/>
  <c r="AX417" i="106"/>
  <c r="AW417" i="106"/>
  <c r="AV417" i="106"/>
  <c r="AX416" i="106"/>
  <c r="AW416" i="106"/>
  <c r="AV416" i="106"/>
  <c r="AX415" i="106"/>
  <c r="AW415" i="106"/>
  <c r="AV415" i="106"/>
  <c r="AX414" i="106"/>
  <c r="AW414" i="106"/>
  <c r="AV414" i="106"/>
  <c r="AX413" i="106"/>
  <c r="AW413" i="106"/>
  <c r="AV413" i="106"/>
  <c r="AX412" i="106"/>
  <c r="AW412" i="106"/>
  <c r="AV412" i="106"/>
  <c r="AX411" i="106"/>
  <c r="AW411" i="106"/>
  <c r="AV411" i="106"/>
  <c r="AX410" i="106"/>
  <c r="AW410" i="106"/>
  <c r="AV410" i="106"/>
  <c r="AX409" i="106"/>
  <c r="AW409" i="106"/>
  <c r="AV409" i="106"/>
  <c r="AX408" i="106"/>
  <c r="AW408" i="106"/>
  <c r="AV408" i="106"/>
  <c r="AX407" i="106"/>
  <c r="AW407" i="106"/>
  <c r="AV407" i="106"/>
  <c r="AX406" i="106"/>
  <c r="AW406" i="106"/>
  <c r="AX405" i="106"/>
  <c r="AW405" i="106"/>
  <c r="AV405" i="106"/>
  <c r="AX404" i="106"/>
  <c r="AW404" i="106"/>
  <c r="AV404" i="106"/>
  <c r="AX403" i="106"/>
  <c r="AW403" i="106"/>
  <c r="AV403" i="106"/>
  <c r="AX402" i="106"/>
  <c r="AW402" i="106"/>
  <c r="AV402" i="106"/>
  <c r="AX401" i="106"/>
  <c r="AW401" i="106"/>
  <c r="AV401" i="106"/>
  <c r="AX400" i="106"/>
  <c r="AW400" i="106"/>
  <c r="AV400" i="106"/>
  <c r="AX399" i="106"/>
  <c r="AW399" i="106"/>
  <c r="AV399" i="106"/>
  <c r="AX398" i="106"/>
  <c r="AW398" i="106"/>
  <c r="AV398" i="106"/>
  <c r="AX397" i="106"/>
  <c r="AW397" i="106"/>
  <c r="AV397" i="106"/>
  <c r="AX396" i="106"/>
  <c r="AW396" i="106"/>
  <c r="AV396" i="106"/>
  <c r="DE142" i="53"/>
  <c r="DD142" i="53"/>
  <c r="DC142" i="53"/>
  <c r="DB142" i="53"/>
  <c r="DA142" i="53"/>
  <c r="CZ142" i="53"/>
  <c r="CY142" i="53"/>
  <c r="CX142" i="53"/>
  <c r="CW142" i="53"/>
  <c r="CV142" i="53"/>
  <c r="CU142" i="53"/>
  <c r="CT142" i="53"/>
  <c r="CS142" i="53"/>
  <c r="CR142" i="53"/>
  <c r="CQ142" i="53"/>
  <c r="CP142" i="53"/>
  <c r="CO142" i="53"/>
  <c r="CN142" i="53"/>
  <c r="CM142" i="53"/>
  <c r="CL142" i="53"/>
  <c r="CK142" i="53"/>
  <c r="CJ142" i="53"/>
  <c r="CI142" i="53"/>
  <c r="CH142" i="53"/>
  <c r="CG142" i="53"/>
  <c r="CF142" i="53"/>
  <c r="CE142" i="53"/>
  <c r="CD142" i="53"/>
  <c r="CC142" i="53"/>
  <c r="CB142" i="53"/>
  <c r="CA142" i="53"/>
  <c r="BZ142" i="53"/>
  <c r="BY142" i="53"/>
  <c r="BU142" i="53"/>
  <c r="BT142" i="53"/>
  <c r="BS142" i="53"/>
  <c r="BR142" i="53"/>
  <c r="BQ142" i="53"/>
  <c r="BP142" i="53"/>
  <c r="BO142" i="53"/>
  <c r="BN142" i="53"/>
  <c r="BM142" i="53"/>
  <c r="BL142" i="53"/>
  <c r="BK142" i="53"/>
  <c r="BJ142" i="53"/>
  <c r="BI142" i="53"/>
  <c r="BH142" i="53"/>
  <c r="BG142" i="53"/>
  <c r="BF142" i="53"/>
  <c r="BE142" i="53"/>
  <c r="BD142" i="53"/>
  <c r="BC142" i="53"/>
  <c r="BB142" i="53"/>
  <c r="BA142" i="53"/>
  <c r="AZ142" i="53"/>
  <c r="AY142" i="53"/>
  <c r="AX142" i="53"/>
  <c r="AW142" i="53"/>
  <c r="AV142" i="53"/>
  <c r="AU142" i="53"/>
  <c r="AT142" i="53"/>
  <c r="AS142" i="53"/>
  <c r="AR142" i="53"/>
  <c r="AN142" i="53"/>
  <c r="AM142" i="53"/>
  <c r="AL142" i="53"/>
  <c r="AK142" i="53"/>
  <c r="AJ142" i="53"/>
  <c r="AI142" i="53"/>
  <c r="AH142" i="53"/>
  <c r="AG142" i="53"/>
  <c r="AF142" i="53"/>
  <c r="AE142" i="53"/>
  <c r="AD142" i="53"/>
  <c r="AC142" i="53"/>
  <c r="AB142" i="53"/>
  <c r="AA142" i="53"/>
  <c r="Z142" i="53"/>
  <c r="Y142" i="53"/>
  <c r="X142" i="53"/>
  <c r="W142" i="53"/>
  <c r="V142" i="53"/>
  <c r="U142" i="53"/>
  <c r="T142" i="53"/>
  <c r="S142" i="53"/>
  <c r="R142" i="53"/>
  <c r="Q142" i="53"/>
  <c r="P142" i="53"/>
  <c r="O142" i="53"/>
  <c r="N142" i="53"/>
  <c r="M142" i="53"/>
  <c r="L142" i="53"/>
  <c r="K142" i="53"/>
  <c r="AQ141" i="53"/>
  <c r="AQ142" i="53" s="1"/>
  <c r="AP141" i="53"/>
  <c r="AO141" i="53"/>
  <c r="AO142" i="53" s="1"/>
  <c r="DE137" i="53"/>
  <c r="DD137" i="53"/>
  <c r="DC137" i="53"/>
  <c r="DB137" i="53"/>
  <c r="DA137" i="53"/>
  <c r="CZ137" i="53"/>
  <c r="CY137" i="53"/>
  <c r="CX137" i="53"/>
  <c r="CW137" i="53"/>
  <c r="CV137" i="53"/>
  <c r="CU137" i="53"/>
  <c r="CT137" i="53"/>
  <c r="CS137" i="53"/>
  <c r="CR137" i="53"/>
  <c r="CQ137" i="53"/>
  <c r="CP137" i="53"/>
  <c r="CO137" i="53"/>
  <c r="CN137" i="53"/>
  <c r="CM137" i="53"/>
  <c r="CL137" i="53"/>
  <c r="CK137" i="53"/>
  <c r="CJ137" i="53"/>
  <c r="CI137" i="53"/>
  <c r="CH137" i="53"/>
  <c r="CG137" i="53"/>
  <c r="CF137" i="53"/>
  <c r="CE137" i="53"/>
  <c r="CD137" i="53"/>
  <c r="CC137" i="53"/>
  <c r="CB137" i="53"/>
  <c r="CA137" i="53"/>
  <c r="BZ137" i="53"/>
  <c r="BY137" i="53"/>
  <c r="BU137" i="53"/>
  <c r="BT137" i="53"/>
  <c r="BS137" i="53"/>
  <c r="BR137" i="53"/>
  <c r="BQ137" i="53"/>
  <c r="BP137" i="53"/>
  <c r="BO137" i="53"/>
  <c r="BN137" i="53"/>
  <c r="BM137" i="53"/>
  <c r="BL137" i="53"/>
  <c r="BK137" i="53"/>
  <c r="BJ137" i="53"/>
  <c r="BI137" i="53"/>
  <c r="BH137" i="53"/>
  <c r="BG137" i="53"/>
  <c r="BF137" i="53"/>
  <c r="BE137" i="53"/>
  <c r="BD137" i="53"/>
  <c r="BC137" i="53"/>
  <c r="BB137" i="53"/>
  <c r="BA137" i="53"/>
  <c r="AZ137" i="53"/>
  <c r="AY137" i="53"/>
  <c r="AX137" i="53"/>
  <c r="AW137" i="53"/>
  <c r="AV137" i="53"/>
  <c r="AU137" i="53"/>
  <c r="AT137" i="53"/>
  <c r="AS137" i="53"/>
  <c r="AR137" i="53"/>
  <c r="AN137" i="53"/>
  <c r="AM137" i="53"/>
  <c r="AL137" i="53"/>
  <c r="AK137" i="53"/>
  <c r="AJ137" i="53"/>
  <c r="AI137" i="53"/>
  <c r="AH137" i="53"/>
  <c r="AG137" i="53"/>
  <c r="AF137" i="53"/>
  <c r="AE137" i="53"/>
  <c r="AD137" i="53"/>
  <c r="AC137" i="53"/>
  <c r="AB137" i="53"/>
  <c r="AA137" i="53"/>
  <c r="Z137" i="53"/>
  <c r="Y137" i="53"/>
  <c r="X137" i="53"/>
  <c r="W137" i="53"/>
  <c r="V137" i="53"/>
  <c r="U137" i="53"/>
  <c r="T137" i="53"/>
  <c r="S137" i="53"/>
  <c r="R137" i="53"/>
  <c r="Q137" i="53"/>
  <c r="P137" i="53"/>
  <c r="O137" i="53"/>
  <c r="N137" i="53"/>
  <c r="M137" i="53"/>
  <c r="L137" i="53"/>
  <c r="K137" i="53"/>
  <c r="AQ136" i="53"/>
  <c r="BX136" i="53" s="1"/>
  <c r="DH136" i="53" s="1"/>
  <c r="W85" i="120" s="1"/>
  <c r="AP136" i="53"/>
  <c r="BW136" i="53" s="1"/>
  <c r="DG136" i="53" s="1"/>
  <c r="V85" i="120" s="1"/>
  <c r="AO136" i="53"/>
  <c r="BV136" i="53" s="1"/>
  <c r="DF136" i="53" s="1"/>
  <c r="AQ135" i="53"/>
  <c r="BX135" i="53" s="1"/>
  <c r="DH135" i="53" s="1"/>
  <c r="U84" i="120" s="1"/>
  <c r="AP135" i="53"/>
  <c r="BW135" i="53" s="1"/>
  <c r="DG135" i="53" s="1"/>
  <c r="T84" i="120" s="1"/>
  <c r="AO135" i="53"/>
  <c r="BV135" i="53" s="1"/>
  <c r="DF135" i="53" s="1"/>
  <c r="AQ134" i="53"/>
  <c r="BX134" i="53" s="1"/>
  <c r="DH134" i="53" s="1"/>
  <c r="U83" i="120" s="1"/>
  <c r="AP134" i="53"/>
  <c r="BW134" i="53" s="1"/>
  <c r="DG134" i="53" s="1"/>
  <c r="X83" i="120" s="1"/>
  <c r="AO134" i="53"/>
  <c r="BV134" i="53" s="1"/>
  <c r="DF134" i="53" s="1"/>
  <c r="AQ133" i="53"/>
  <c r="BX133" i="53" s="1"/>
  <c r="DH133" i="53" s="1"/>
  <c r="Y82" i="120" s="1"/>
  <c r="AP133" i="53"/>
  <c r="BW133" i="53" s="1"/>
  <c r="DG133" i="53" s="1"/>
  <c r="X82" i="120" s="1"/>
  <c r="AO133" i="53"/>
  <c r="BV133" i="53" s="1"/>
  <c r="DF133" i="53" s="1"/>
  <c r="AQ132" i="53"/>
  <c r="BX132" i="53" s="1"/>
  <c r="DH132" i="53" s="1"/>
  <c r="Y81" i="120" s="1"/>
  <c r="AP132" i="53"/>
  <c r="BW132" i="53" s="1"/>
  <c r="DG132" i="53" s="1"/>
  <c r="X81" i="120" s="1"/>
  <c r="AO132" i="53"/>
  <c r="BV132" i="53" s="1"/>
  <c r="DF132" i="53" s="1"/>
  <c r="AQ131" i="53"/>
  <c r="BX131" i="53" s="1"/>
  <c r="DH131" i="53" s="1"/>
  <c r="W80" i="120" s="1"/>
  <c r="AP131" i="53"/>
  <c r="BW131" i="53" s="1"/>
  <c r="DG131" i="53" s="1"/>
  <c r="V80" i="120" s="1"/>
  <c r="AO131" i="53"/>
  <c r="BV131" i="53" s="1"/>
  <c r="DF131" i="53" s="1"/>
  <c r="AQ130" i="53"/>
  <c r="BX130" i="53" s="1"/>
  <c r="DH130" i="53" s="1"/>
  <c r="W79" i="120" s="1"/>
  <c r="AP130" i="53"/>
  <c r="BW130" i="53" s="1"/>
  <c r="DG130" i="53" s="1"/>
  <c r="V79" i="120" s="1"/>
  <c r="AO130" i="53"/>
  <c r="BV130" i="53" s="1"/>
  <c r="DF130" i="53" s="1"/>
  <c r="AQ129" i="53"/>
  <c r="BX129" i="53" s="1"/>
  <c r="DH129" i="53" s="1"/>
  <c r="W78" i="120" s="1"/>
  <c r="AP129" i="53"/>
  <c r="BW129" i="53" s="1"/>
  <c r="DG129" i="53" s="1"/>
  <c r="V78" i="120" s="1"/>
  <c r="AO129" i="53"/>
  <c r="BV129" i="53" s="1"/>
  <c r="DF129" i="53" s="1"/>
  <c r="AQ128" i="53"/>
  <c r="BX128" i="53" s="1"/>
  <c r="DH128" i="53" s="1"/>
  <c r="W77" i="120" s="1"/>
  <c r="AP128" i="53"/>
  <c r="BW128" i="53" s="1"/>
  <c r="DG128" i="53" s="1"/>
  <c r="T77" i="120" s="1"/>
  <c r="AO128" i="53"/>
  <c r="BV128" i="53" s="1"/>
  <c r="DF128" i="53" s="1"/>
  <c r="AQ127" i="53"/>
  <c r="BX127" i="53" s="1"/>
  <c r="DH127" i="53" s="1"/>
  <c r="W76" i="120" s="1"/>
  <c r="AP127" i="53"/>
  <c r="BW127" i="53" s="1"/>
  <c r="DG127" i="53" s="1"/>
  <c r="V76" i="120" s="1"/>
  <c r="AO127" i="53"/>
  <c r="BV127" i="53" s="1"/>
  <c r="DF127" i="53" s="1"/>
  <c r="AQ126" i="53"/>
  <c r="BX126" i="53" s="1"/>
  <c r="DH126" i="53" s="1"/>
  <c r="U75" i="120" s="1"/>
  <c r="AP126" i="53"/>
  <c r="BW126" i="53" s="1"/>
  <c r="DG126" i="53" s="1"/>
  <c r="T75" i="120" s="1"/>
  <c r="AO126" i="53"/>
  <c r="BV126" i="53" s="1"/>
  <c r="DF126" i="53" s="1"/>
  <c r="AQ125" i="53"/>
  <c r="BX125" i="53" s="1"/>
  <c r="DH125" i="53" s="1"/>
  <c r="U74" i="120" s="1"/>
  <c r="AP125" i="53"/>
  <c r="BW125" i="53" s="1"/>
  <c r="DG125" i="53" s="1"/>
  <c r="X74" i="120" s="1"/>
  <c r="AO125" i="53"/>
  <c r="BV125" i="53" s="1"/>
  <c r="DF125" i="53" s="1"/>
  <c r="AQ124" i="53"/>
  <c r="BX124" i="53" s="1"/>
  <c r="DH124" i="53" s="1"/>
  <c r="U73" i="120" s="1"/>
  <c r="AP124" i="53"/>
  <c r="BW124" i="53" s="1"/>
  <c r="DG124" i="53" s="1"/>
  <c r="X73" i="120" s="1"/>
  <c r="AO124" i="53"/>
  <c r="BV124" i="53" s="1"/>
  <c r="DF124" i="53" s="1"/>
  <c r="AQ123" i="53"/>
  <c r="BX123" i="53" s="1"/>
  <c r="DH123" i="53" s="1"/>
  <c r="W72" i="120" s="1"/>
  <c r="AP123" i="53"/>
  <c r="BW123" i="53" s="1"/>
  <c r="DG123" i="53" s="1"/>
  <c r="V72" i="120" s="1"/>
  <c r="AO123" i="53"/>
  <c r="BV123" i="53" s="1"/>
  <c r="DF123" i="53" s="1"/>
  <c r="DE119" i="53"/>
  <c r="DD119" i="53"/>
  <c r="DC119" i="53"/>
  <c r="DB119" i="53"/>
  <c r="DA119" i="53"/>
  <c r="CZ119" i="53"/>
  <c r="CY119" i="53"/>
  <c r="CX119" i="53"/>
  <c r="CW119" i="53"/>
  <c r="CV119" i="53"/>
  <c r="CU119" i="53"/>
  <c r="CT119" i="53"/>
  <c r="CS119" i="53"/>
  <c r="CR119" i="53"/>
  <c r="CQ119" i="53"/>
  <c r="CP119" i="53"/>
  <c r="CO119" i="53"/>
  <c r="CN119" i="53"/>
  <c r="CM119" i="53"/>
  <c r="CL119" i="53"/>
  <c r="CK119" i="53"/>
  <c r="CJ119" i="53"/>
  <c r="CI119" i="53"/>
  <c r="CH119" i="53"/>
  <c r="CG119" i="53"/>
  <c r="CF119" i="53"/>
  <c r="CE119" i="53"/>
  <c r="CD119" i="53"/>
  <c r="CC119" i="53"/>
  <c r="CB119" i="53"/>
  <c r="CA119" i="53"/>
  <c r="BZ119" i="53"/>
  <c r="BY119" i="53"/>
  <c r="BU119" i="53"/>
  <c r="BT119" i="53"/>
  <c r="BS119" i="53"/>
  <c r="BR119" i="53"/>
  <c r="BQ119" i="53"/>
  <c r="BP119" i="53"/>
  <c r="BO119" i="53"/>
  <c r="BN119" i="53"/>
  <c r="BM119" i="53"/>
  <c r="BL119" i="53"/>
  <c r="BK119" i="53"/>
  <c r="BJ119" i="53"/>
  <c r="BI119" i="53"/>
  <c r="BH119" i="53"/>
  <c r="BG119" i="53"/>
  <c r="BF119" i="53"/>
  <c r="BE119" i="53"/>
  <c r="BD119" i="53"/>
  <c r="BC119" i="53"/>
  <c r="BB119" i="53"/>
  <c r="BA119" i="53"/>
  <c r="AZ119" i="53"/>
  <c r="AY119" i="53"/>
  <c r="AX119" i="53"/>
  <c r="AW119" i="53"/>
  <c r="AV119" i="53"/>
  <c r="AU119" i="53"/>
  <c r="AT119" i="53"/>
  <c r="AS119" i="53"/>
  <c r="AR119" i="53"/>
  <c r="AN119" i="53"/>
  <c r="AM119" i="53"/>
  <c r="AL119" i="53"/>
  <c r="AK119" i="53"/>
  <c r="AJ119" i="53"/>
  <c r="AI119" i="53"/>
  <c r="AH119" i="53"/>
  <c r="AG119" i="53"/>
  <c r="AF119" i="53"/>
  <c r="AE119" i="53"/>
  <c r="AD119" i="53"/>
  <c r="AC119" i="53"/>
  <c r="AB119" i="53"/>
  <c r="AA119" i="53"/>
  <c r="Z119" i="53"/>
  <c r="Y119" i="53"/>
  <c r="X119" i="53"/>
  <c r="W119" i="53"/>
  <c r="V119" i="53"/>
  <c r="U119" i="53"/>
  <c r="T119" i="53"/>
  <c r="S119" i="53"/>
  <c r="R119" i="53"/>
  <c r="Q119" i="53"/>
  <c r="P119" i="53"/>
  <c r="O119" i="53"/>
  <c r="N119" i="53"/>
  <c r="M119" i="53"/>
  <c r="L119" i="53"/>
  <c r="K119" i="53"/>
  <c r="AQ118" i="53"/>
  <c r="BX118" i="53" s="1"/>
  <c r="DH118" i="53" s="1"/>
  <c r="Y64" i="120" s="1"/>
  <c r="AP118" i="53"/>
  <c r="BW118" i="53" s="1"/>
  <c r="DG118" i="53" s="1"/>
  <c r="X64" i="120" s="1"/>
  <c r="AO118" i="53"/>
  <c r="BV118" i="53" s="1"/>
  <c r="DF118" i="53" s="1"/>
  <c r="AQ117" i="53"/>
  <c r="BX117" i="53" s="1"/>
  <c r="DH117" i="53" s="1"/>
  <c r="W63" i="120" s="1"/>
  <c r="AP117" i="53"/>
  <c r="BW117" i="53" s="1"/>
  <c r="DG117" i="53" s="1"/>
  <c r="V63" i="120" s="1"/>
  <c r="AO117" i="53"/>
  <c r="BV117" i="53" s="1"/>
  <c r="DF117" i="53" s="1"/>
  <c r="BX116" i="53"/>
  <c r="DH116" i="53" s="1"/>
  <c r="W62" i="120" s="1"/>
  <c r="AQ116" i="53"/>
  <c r="AP116" i="53"/>
  <c r="BW116" i="53" s="1"/>
  <c r="DG116" i="53" s="1"/>
  <c r="V62" i="120" s="1"/>
  <c r="AO116" i="53"/>
  <c r="BV116" i="53" s="1"/>
  <c r="DF116" i="53" s="1"/>
  <c r="AQ115" i="53"/>
  <c r="BX115" i="53" s="1"/>
  <c r="DH115" i="53" s="1"/>
  <c r="Y61" i="120" s="1"/>
  <c r="AP115" i="53"/>
  <c r="BW115" i="53" s="1"/>
  <c r="DG115" i="53" s="1"/>
  <c r="X61" i="120" s="1"/>
  <c r="AO115" i="53"/>
  <c r="BV115" i="53" s="1"/>
  <c r="DF115" i="53" s="1"/>
  <c r="AQ114" i="53"/>
  <c r="BX114" i="53" s="1"/>
  <c r="DH114" i="53" s="1"/>
  <c r="AP114" i="53"/>
  <c r="BW114" i="53" s="1"/>
  <c r="DG114" i="53" s="1"/>
  <c r="AO114" i="53"/>
  <c r="AQ113" i="53"/>
  <c r="BX113" i="53" s="1"/>
  <c r="DH113" i="53" s="1"/>
  <c r="AP113" i="53"/>
  <c r="BW113" i="53" s="1"/>
  <c r="DG113" i="53" s="1"/>
  <c r="AO113" i="53"/>
  <c r="BV113" i="53" s="1"/>
  <c r="DF113" i="53" s="1"/>
  <c r="AQ112" i="53"/>
  <c r="BX112" i="53" s="1"/>
  <c r="DH112" i="53" s="1"/>
  <c r="W58" i="120" s="1"/>
  <c r="AP112" i="53"/>
  <c r="BW112" i="53" s="1"/>
  <c r="DG112" i="53" s="1"/>
  <c r="T58" i="120" s="1"/>
  <c r="AO112" i="53"/>
  <c r="BV112" i="53" s="1"/>
  <c r="DF112" i="53" s="1"/>
  <c r="AQ111" i="53"/>
  <c r="BX111" i="53" s="1"/>
  <c r="DH111" i="53" s="1"/>
  <c r="Y57" i="120" s="1"/>
  <c r="AP111" i="53"/>
  <c r="BW111" i="53" s="1"/>
  <c r="DG111" i="53" s="1"/>
  <c r="X57" i="120" s="1"/>
  <c r="AO111" i="53"/>
  <c r="BV111" i="53" s="1"/>
  <c r="DF111" i="53" s="1"/>
  <c r="AQ110" i="53"/>
  <c r="BX110" i="53" s="1"/>
  <c r="DH110" i="53" s="1"/>
  <c r="Y56" i="120" s="1"/>
  <c r="AP110" i="53"/>
  <c r="BW110" i="53" s="1"/>
  <c r="DG110" i="53" s="1"/>
  <c r="T56" i="120" s="1"/>
  <c r="AO110" i="53"/>
  <c r="BV110" i="53" s="1"/>
  <c r="DF110" i="53" s="1"/>
  <c r="AQ109" i="53"/>
  <c r="BX109" i="53" s="1"/>
  <c r="DH109" i="53" s="1"/>
  <c r="U55" i="120" s="1"/>
  <c r="AP109" i="53"/>
  <c r="BW109" i="53" s="1"/>
  <c r="DG109" i="53" s="1"/>
  <c r="V55" i="120" s="1"/>
  <c r="AO109" i="53"/>
  <c r="BV109" i="53" s="1"/>
  <c r="DF109" i="53" s="1"/>
  <c r="AQ108" i="53"/>
  <c r="BX108" i="53" s="1"/>
  <c r="DH108" i="53" s="1"/>
  <c r="W54" i="120" s="1"/>
  <c r="AP108" i="53"/>
  <c r="BW108" i="53" s="1"/>
  <c r="DG108" i="53" s="1"/>
  <c r="X54" i="120" s="1"/>
  <c r="AO108" i="53"/>
  <c r="BV108" i="53" s="1"/>
  <c r="DF108" i="53" s="1"/>
  <c r="AQ107" i="53"/>
  <c r="BX107" i="53" s="1"/>
  <c r="DH107" i="53" s="1"/>
  <c r="Y53" i="120" s="1"/>
  <c r="AP107" i="53"/>
  <c r="BW107" i="53" s="1"/>
  <c r="DG107" i="53" s="1"/>
  <c r="AO107" i="53"/>
  <c r="BV107" i="53" s="1"/>
  <c r="DF107" i="53" s="1"/>
  <c r="AQ106" i="53"/>
  <c r="BX106" i="53" s="1"/>
  <c r="DH106" i="53" s="1"/>
  <c r="Y52" i="120" s="1"/>
  <c r="AP106" i="53"/>
  <c r="BW106" i="53" s="1"/>
  <c r="DG106" i="53" s="1"/>
  <c r="X52" i="120" s="1"/>
  <c r="AO106" i="53"/>
  <c r="BV106" i="53" s="1"/>
  <c r="DF106" i="53" s="1"/>
  <c r="AQ105" i="53"/>
  <c r="BX105" i="53" s="1"/>
  <c r="DH105" i="53" s="1"/>
  <c r="Y51" i="120" s="1"/>
  <c r="AP105" i="53"/>
  <c r="BW105" i="53" s="1"/>
  <c r="DG105" i="53" s="1"/>
  <c r="X51" i="120" s="1"/>
  <c r="AO105" i="53"/>
  <c r="BV105" i="53" s="1"/>
  <c r="DF105" i="53" s="1"/>
  <c r="AQ104" i="53"/>
  <c r="BX104" i="53" s="1"/>
  <c r="DH104" i="53" s="1"/>
  <c r="AP104" i="53"/>
  <c r="BW104" i="53" s="1"/>
  <c r="DG104" i="53" s="1"/>
  <c r="V50" i="120" s="1"/>
  <c r="AO104" i="53"/>
  <c r="BV104" i="53" s="1"/>
  <c r="DF104" i="53" s="1"/>
  <c r="AQ103" i="53"/>
  <c r="BX103" i="53" s="1"/>
  <c r="DH103" i="53" s="1"/>
  <c r="Y49" i="120" s="1"/>
  <c r="AP103" i="53"/>
  <c r="BW103" i="53" s="1"/>
  <c r="DG103" i="53" s="1"/>
  <c r="X49" i="120" s="1"/>
  <c r="AO103" i="53"/>
  <c r="BV103" i="53" s="1"/>
  <c r="DF103" i="53" s="1"/>
  <c r="AQ102" i="53"/>
  <c r="BX102" i="53" s="1"/>
  <c r="DH102" i="53" s="1"/>
  <c r="Y48" i="120" s="1"/>
  <c r="AP102" i="53"/>
  <c r="BW102" i="53" s="1"/>
  <c r="DG102" i="53" s="1"/>
  <c r="V48" i="120" s="1"/>
  <c r="AO102" i="53"/>
  <c r="BV102" i="53" s="1"/>
  <c r="DF102" i="53" s="1"/>
  <c r="AQ101" i="53"/>
  <c r="BX101" i="53" s="1"/>
  <c r="DH101" i="53" s="1"/>
  <c r="W47" i="120" s="1"/>
  <c r="AP101" i="53"/>
  <c r="BW101" i="53" s="1"/>
  <c r="DG101" i="53" s="1"/>
  <c r="V47" i="120" s="1"/>
  <c r="AO101" i="53"/>
  <c r="BV101" i="53" s="1"/>
  <c r="DF101" i="53" s="1"/>
  <c r="AQ100" i="53"/>
  <c r="BX100" i="53" s="1"/>
  <c r="DH100" i="53" s="1"/>
  <c r="W46" i="120" s="1"/>
  <c r="AP100" i="53"/>
  <c r="BW100" i="53" s="1"/>
  <c r="DG100" i="53" s="1"/>
  <c r="X46" i="120" s="1"/>
  <c r="AO100" i="53"/>
  <c r="BV100" i="53" s="1"/>
  <c r="DF100" i="53" s="1"/>
  <c r="AQ99" i="53"/>
  <c r="BX99" i="53" s="1"/>
  <c r="DH99" i="53" s="1"/>
  <c r="U45" i="120" s="1"/>
  <c r="AP99" i="53"/>
  <c r="BW99" i="53" s="1"/>
  <c r="DG99" i="53" s="1"/>
  <c r="V45" i="120" s="1"/>
  <c r="AO99" i="53"/>
  <c r="BV99" i="53" s="1"/>
  <c r="DF99" i="53" s="1"/>
  <c r="AQ98" i="53"/>
  <c r="BX98" i="53" s="1"/>
  <c r="DH98" i="53" s="1"/>
  <c r="Y44" i="120" s="1"/>
  <c r="AP98" i="53"/>
  <c r="BW98" i="53" s="1"/>
  <c r="DG98" i="53" s="1"/>
  <c r="T44" i="120" s="1"/>
  <c r="AO98" i="53"/>
  <c r="BV98" i="53" s="1"/>
  <c r="DF98" i="53" s="1"/>
  <c r="AQ97" i="53"/>
  <c r="BX97" i="53" s="1"/>
  <c r="DH97" i="53" s="1"/>
  <c r="U43" i="120" s="1"/>
  <c r="AP97" i="53"/>
  <c r="BW97" i="53" s="1"/>
  <c r="DG97" i="53" s="1"/>
  <c r="V43" i="120" s="1"/>
  <c r="AO97" i="53"/>
  <c r="BV97" i="53" s="1"/>
  <c r="DF97" i="53" s="1"/>
  <c r="AQ96" i="53"/>
  <c r="BX96" i="53" s="1"/>
  <c r="DH96" i="53" s="1"/>
  <c r="Y42" i="120" s="1"/>
  <c r="AP96" i="53"/>
  <c r="BW96" i="53" s="1"/>
  <c r="DG96" i="53" s="1"/>
  <c r="X42" i="120" s="1"/>
  <c r="AO96" i="53"/>
  <c r="BV96" i="53" s="1"/>
  <c r="DF96" i="53" s="1"/>
  <c r="BW95" i="53"/>
  <c r="AQ95" i="53"/>
  <c r="BX95" i="53" s="1"/>
  <c r="AP95" i="53"/>
  <c r="AO95" i="53"/>
  <c r="BV95" i="53" s="1"/>
  <c r="DE91" i="53"/>
  <c r="DD91" i="53"/>
  <c r="DC91" i="53"/>
  <c r="DB91" i="53"/>
  <c r="DB144" i="53" s="1"/>
  <c r="DA91" i="53"/>
  <c r="CZ91" i="53"/>
  <c r="CY91" i="53"/>
  <c r="CX91" i="53"/>
  <c r="CW91" i="53"/>
  <c r="CV91" i="53"/>
  <c r="CU91" i="53"/>
  <c r="CT91" i="53"/>
  <c r="CS91" i="53"/>
  <c r="CR91" i="53"/>
  <c r="CQ91" i="53"/>
  <c r="CP91" i="53"/>
  <c r="CP144" i="53" s="1"/>
  <c r="CO91" i="53"/>
  <c r="CN91" i="53"/>
  <c r="CM91" i="53"/>
  <c r="CL91" i="53"/>
  <c r="CK91" i="53"/>
  <c r="CJ91" i="53"/>
  <c r="CI91" i="53"/>
  <c r="CH91" i="53"/>
  <c r="CG91" i="53"/>
  <c r="CF91" i="53"/>
  <c r="CE91" i="53"/>
  <c r="CD91" i="53"/>
  <c r="CD144" i="53" s="1"/>
  <c r="CC91" i="53"/>
  <c r="CB91" i="53"/>
  <c r="CA91" i="53"/>
  <c r="BZ91" i="53"/>
  <c r="BY91" i="53"/>
  <c r="BU91" i="53"/>
  <c r="BT91" i="53"/>
  <c r="BS91" i="53"/>
  <c r="BR91" i="53"/>
  <c r="BQ91" i="53"/>
  <c r="BP91" i="53"/>
  <c r="BO91" i="53"/>
  <c r="BN91" i="53"/>
  <c r="BM91" i="53"/>
  <c r="BL91" i="53"/>
  <c r="BK91" i="53"/>
  <c r="BJ91" i="53"/>
  <c r="BI91" i="53"/>
  <c r="BH91" i="53"/>
  <c r="BG91" i="53"/>
  <c r="BF91" i="53"/>
  <c r="BE91" i="53"/>
  <c r="BD91" i="53"/>
  <c r="BC91" i="53"/>
  <c r="BB91" i="53"/>
  <c r="BA91" i="53"/>
  <c r="AZ91" i="53"/>
  <c r="AY91" i="53"/>
  <c r="AX91" i="53"/>
  <c r="AW91" i="53"/>
  <c r="AV91" i="53"/>
  <c r="AU91" i="53"/>
  <c r="AT91" i="53"/>
  <c r="AS91" i="53"/>
  <c r="AR91" i="53"/>
  <c r="AN91" i="53"/>
  <c r="AM91" i="53"/>
  <c r="AL91" i="53"/>
  <c r="AK91" i="53"/>
  <c r="AJ91" i="53"/>
  <c r="AI91" i="53"/>
  <c r="AH91" i="53"/>
  <c r="AG91" i="53"/>
  <c r="AF91" i="53"/>
  <c r="AE91" i="53"/>
  <c r="AD91" i="53"/>
  <c r="AC91" i="53"/>
  <c r="AB91" i="53"/>
  <c r="AA91" i="53"/>
  <c r="Z91" i="53"/>
  <c r="Z144" i="53" s="1"/>
  <c r="Y91" i="53"/>
  <c r="X91" i="53"/>
  <c r="W91" i="53"/>
  <c r="V91" i="53"/>
  <c r="U91" i="53"/>
  <c r="T91" i="53"/>
  <c r="S91" i="53"/>
  <c r="R91" i="53"/>
  <c r="Q91" i="53"/>
  <c r="P91" i="53"/>
  <c r="O91" i="53"/>
  <c r="N91" i="53"/>
  <c r="N144" i="53" s="1"/>
  <c r="M91" i="53"/>
  <c r="L91" i="53"/>
  <c r="K91" i="53"/>
  <c r="AQ90" i="53"/>
  <c r="BX90" i="53" s="1"/>
  <c r="DH90" i="53" s="1"/>
  <c r="U32" i="120" s="1"/>
  <c r="AP90" i="53"/>
  <c r="BW90" i="53" s="1"/>
  <c r="DG90" i="53" s="1"/>
  <c r="V32" i="120" s="1"/>
  <c r="AO90" i="53"/>
  <c r="BV90" i="53" s="1"/>
  <c r="DF90" i="53" s="1"/>
  <c r="AQ89" i="53"/>
  <c r="BX89" i="53" s="1"/>
  <c r="DH89" i="53" s="1"/>
  <c r="W31" i="120" s="1"/>
  <c r="AP89" i="53"/>
  <c r="BW89" i="53" s="1"/>
  <c r="DG89" i="53" s="1"/>
  <c r="T31" i="120" s="1"/>
  <c r="AO89" i="53"/>
  <c r="BV89" i="53" s="1"/>
  <c r="DF89" i="53" s="1"/>
  <c r="AQ88" i="53"/>
  <c r="BX88" i="53" s="1"/>
  <c r="DH88" i="53" s="1"/>
  <c r="AP88" i="53"/>
  <c r="BW88" i="53" s="1"/>
  <c r="DG88" i="53" s="1"/>
  <c r="AO88" i="53"/>
  <c r="BV88" i="53" s="1"/>
  <c r="DF88" i="53" s="1"/>
  <c r="AQ87" i="53"/>
  <c r="BX87" i="53" s="1"/>
  <c r="DH87" i="53" s="1"/>
  <c r="AP87" i="53"/>
  <c r="BW87" i="53" s="1"/>
  <c r="DG87" i="53" s="1"/>
  <c r="AO87" i="53"/>
  <c r="BV87" i="53" s="1"/>
  <c r="DF87" i="53" s="1"/>
  <c r="AQ86" i="53"/>
  <c r="BX86" i="53" s="1"/>
  <c r="DH86" i="53" s="1"/>
  <c r="Y28" i="120" s="1"/>
  <c r="AP86" i="53"/>
  <c r="BW86" i="53" s="1"/>
  <c r="DG86" i="53" s="1"/>
  <c r="V28" i="120" s="1"/>
  <c r="AO86" i="53"/>
  <c r="BV86" i="53" s="1"/>
  <c r="DF86" i="53" s="1"/>
  <c r="AQ85" i="53"/>
  <c r="BX85" i="53" s="1"/>
  <c r="DH85" i="53" s="1"/>
  <c r="W27" i="120" s="1"/>
  <c r="AP85" i="53"/>
  <c r="BW85" i="53" s="1"/>
  <c r="DG85" i="53" s="1"/>
  <c r="T27" i="120" s="1"/>
  <c r="AO85" i="53"/>
  <c r="BV85" i="53" s="1"/>
  <c r="DF85" i="53" s="1"/>
  <c r="AQ84" i="53"/>
  <c r="BX84" i="53" s="1"/>
  <c r="DH84" i="53" s="1"/>
  <c r="U26" i="120" s="1"/>
  <c r="AP84" i="53"/>
  <c r="BW84" i="53" s="1"/>
  <c r="DG84" i="53" s="1"/>
  <c r="T26" i="120" s="1"/>
  <c r="AO84" i="53"/>
  <c r="BV84" i="53" s="1"/>
  <c r="DF84" i="53" s="1"/>
  <c r="AQ83" i="53"/>
  <c r="BX83" i="53" s="1"/>
  <c r="DH83" i="53" s="1"/>
  <c r="AP83" i="53"/>
  <c r="BW83" i="53" s="1"/>
  <c r="DG83" i="53" s="1"/>
  <c r="AO83" i="53"/>
  <c r="BV83" i="53" s="1"/>
  <c r="DF83" i="53" s="1"/>
  <c r="AQ82" i="53"/>
  <c r="BX82" i="53" s="1"/>
  <c r="DH82" i="53" s="1"/>
  <c r="W24" i="120" s="1"/>
  <c r="AP82" i="53"/>
  <c r="BW82" i="53" s="1"/>
  <c r="DG82" i="53" s="1"/>
  <c r="T24" i="120" s="1"/>
  <c r="AO82" i="53"/>
  <c r="BV82" i="53" s="1"/>
  <c r="DF82" i="53" s="1"/>
  <c r="AQ81" i="53"/>
  <c r="BX81" i="53" s="1"/>
  <c r="DH81" i="53" s="1"/>
  <c r="W23" i="120" s="1"/>
  <c r="AP81" i="53"/>
  <c r="BW81" i="53" s="1"/>
  <c r="DG81" i="53" s="1"/>
  <c r="V23" i="120" s="1"/>
  <c r="AO81" i="53"/>
  <c r="BV81" i="53" s="1"/>
  <c r="DF81" i="53" s="1"/>
  <c r="AQ80" i="53"/>
  <c r="BX80" i="53" s="1"/>
  <c r="DH80" i="53" s="1"/>
  <c r="AP80" i="53"/>
  <c r="BW80" i="53" s="1"/>
  <c r="DG80" i="53" s="1"/>
  <c r="AO80" i="53"/>
  <c r="BV80" i="53" s="1"/>
  <c r="DF80" i="53" s="1"/>
  <c r="AQ79" i="53"/>
  <c r="BX79" i="53" s="1"/>
  <c r="DH79" i="53" s="1"/>
  <c r="W21" i="120" s="1"/>
  <c r="AP79" i="53"/>
  <c r="BW79" i="53" s="1"/>
  <c r="DG79" i="53" s="1"/>
  <c r="V21" i="120" s="1"/>
  <c r="AO79" i="53"/>
  <c r="BV79" i="53" s="1"/>
  <c r="DF79" i="53" s="1"/>
  <c r="AQ78" i="53"/>
  <c r="BX78" i="53" s="1"/>
  <c r="DH78" i="53" s="1"/>
  <c r="AP78" i="53"/>
  <c r="BW78" i="53" s="1"/>
  <c r="DG78" i="53" s="1"/>
  <c r="AO78" i="53"/>
  <c r="BV78" i="53" s="1"/>
  <c r="DF78" i="53" s="1"/>
  <c r="AQ77" i="53"/>
  <c r="BX77" i="53" s="1"/>
  <c r="DH77" i="53" s="1"/>
  <c r="Y19" i="120" s="1"/>
  <c r="AP77" i="53"/>
  <c r="BW77" i="53" s="1"/>
  <c r="AO77" i="53"/>
  <c r="BV77" i="53" s="1"/>
  <c r="AV28" i="106"/>
  <c r="AW28" i="106"/>
  <c r="AX28" i="106"/>
  <c r="AQ10" i="109"/>
  <c r="AR10" i="109"/>
  <c r="AW6" i="118"/>
  <c r="AW7" i="118"/>
  <c r="AV7" i="118"/>
  <c r="AM15" i="111"/>
  <c r="AN15" i="111"/>
  <c r="AO15" i="111"/>
  <c r="AM16" i="111"/>
  <c r="AN16" i="111"/>
  <c r="AO16" i="111"/>
  <c r="AV26" i="106"/>
  <c r="AW26" i="106"/>
  <c r="AX26" i="106"/>
  <c r="AV27" i="106"/>
  <c r="AW27" i="106"/>
  <c r="AX27" i="106"/>
  <c r="AQ16" i="109"/>
  <c r="AR16" i="109"/>
  <c r="AP16" i="109"/>
  <c r="AP6" i="116"/>
  <c r="AP7" i="116"/>
  <c r="AP8" i="116"/>
  <c r="AP9" i="116"/>
  <c r="AQ6" i="116"/>
  <c r="AR6" i="116"/>
  <c r="AQ7" i="116"/>
  <c r="AR7" i="116"/>
  <c r="AQ8" i="116"/>
  <c r="AR8" i="116"/>
  <c r="AQ9" i="116"/>
  <c r="AR9" i="116"/>
  <c r="AV6" i="118"/>
  <c r="AV787" i="106" l="1"/>
  <c r="V54" i="120"/>
  <c r="V46" i="120"/>
  <c r="Y55" i="120"/>
  <c r="Y47" i="120"/>
  <c r="X47" i="120"/>
  <c r="W84" i="120"/>
  <c r="T73" i="120"/>
  <c r="V77" i="120"/>
  <c r="AL28" i="120"/>
  <c r="Z28" i="120"/>
  <c r="U28" i="120"/>
  <c r="W75" i="120"/>
  <c r="U54" i="120"/>
  <c r="V75" i="120"/>
  <c r="Y59" i="120"/>
  <c r="V59" i="120"/>
  <c r="V60" i="120"/>
  <c r="W60" i="120"/>
  <c r="AM41" i="114"/>
  <c r="AN41" i="114"/>
  <c r="AO41" i="114"/>
  <c r="AW669" i="106"/>
  <c r="AV726" i="106"/>
  <c r="U29" i="120"/>
  <c r="T29" i="120"/>
  <c r="V25" i="120"/>
  <c r="Y25" i="120"/>
  <c r="T22" i="120"/>
  <c r="U22" i="120"/>
  <c r="T30" i="120"/>
  <c r="W30" i="120"/>
  <c r="T20" i="120"/>
  <c r="U20" i="120"/>
  <c r="X58" i="120"/>
  <c r="T55" i="120"/>
  <c r="X55" i="120"/>
  <c r="T83" i="120"/>
  <c r="T46" i="120"/>
  <c r="U82" i="120"/>
  <c r="T82" i="120"/>
  <c r="W52" i="120"/>
  <c r="W83" i="120"/>
  <c r="V31" i="120"/>
  <c r="T23" i="120"/>
  <c r="AV455" i="106"/>
  <c r="AW490" i="106"/>
  <c r="AX632" i="106"/>
  <c r="U50" i="120"/>
  <c r="Y50" i="120"/>
  <c r="W50" i="120"/>
  <c r="X53" i="120"/>
  <c r="V53" i="120"/>
  <c r="U21" i="120"/>
  <c r="U52" i="120"/>
  <c r="U44" i="120"/>
  <c r="U80" i="120"/>
  <c r="X31" i="120"/>
  <c r="V52" i="120"/>
  <c r="W44" i="120"/>
  <c r="Y54" i="120"/>
  <c r="Y46" i="120"/>
  <c r="V83" i="120"/>
  <c r="W73" i="120"/>
  <c r="X79" i="120"/>
  <c r="W45" i="120"/>
  <c r="U64" i="120"/>
  <c r="T52" i="120"/>
  <c r="T43" i="120"/>
  <c r="T80" i="120"/>
  <c r="W64" i="120"/>
  <c r="W51" i="120"/>
  <c r="W42" i="120"/>
  <c r="V82" i="120"/>
  <c r="V73" i="120"/>
  <c r="Y78" i="120"/>
  <c r="X80" i="120"/>
  <c r="T64" i="120"/>
  <c r="U51" i="120"/>
  <c r="U42" i="120"/>
  <c r="U79" i="120"/>
  <c r="V64" i="120"/>
  <c r="V51" i="120"/>
  <c r="V42" i="120"/>
  <c r="Y45" i="120"/>
  <c r="X72" i="120"/>
  <c r="X78" i="120"/>
  <c r="V84" i="120"/>
  <c r="CE144" i="53"/>
  <c r="CQ144" i="53"/>
  <c r="DC144" i="53"/>
  <c r="U62" i="120"/>
  <c r="T51" i="120"/>
  <c r="T42" i="120"/>
  <c r="T79" i="120"/>
  <c r="V58" i="120"/>
  <c r="X45" i="120"/>
  <c r="Y72" i="120"/>
  <c r="Y77" i="120"/>
  <c r="T45" i="120"/>
  <c r="CF144" i="53"/>
  <c r="CR144" i="53"/>
  <c r="DD144" i="53"/>
  <c r="U60" i="120"/>
  <c r="U49" i="120"/>
  <c r="T72" i="120"/>
  <c r="U78" i="120"/>
  <c r="W57" i="120"/>
  <c r="W49" i="120"/>
  <c r="X44" i="120"/>
  <c r="Y84" i="120"/>
  <c r="X77" i="120"/>
  <c r="CG144" i="53"/>
  <c r="CS144" i="53"/>
  <c r="DE144" i="53"/>
  <c r="T60" i="120"/>
  <c r="T49" i="120"/>
  <c r="U72" i="120"/>
  <c r="T78" i="120"/>
  <c r="W56" i="120"/>
  <c r="V49" i="120"/>
  <c r="Y63" i="120"/>
  <c r="X43" i="120"/>
  <c r="X84" i="120"/>
  <c r="X76" i="120"/>
  <c r="BG144" i="53"/>
  <c r="CH144" i="53"/>
  <c r="CT144" i="53"/>
  <c r="U47" i="120"/>
  <c r="U77" i="120"/>
  <c r="W55" i="120"/>
  <c r="Y60" i="120"/>
  <c r="Y83" i="120"/>
  <c r="Y75" i="120"/>
  <c r="T25" i="120"/>
  <c r="CI144" i="53"/>
  <c r="CU144" i="53"/>
  <c r="U56" i="120"/>
  <c r="T47" i="120"/>
  <c r="X59" i="120"/>
  <c r="X50" i="120"/>
  <c r="Y73" i="120"/>
  <c r="V144" i="53"/>
  <c r="AH144" i="53"/>
  <c r="BI144" i="53"/>
  <c r="U46" i="120"/>
  <c r="Y58" i="120"/>
  <c r="AP25" i="117"/>
  <c r="AV560" i="106"/>
  <c r="AW632" i="106"/>
  <c r="AX784" i="106"/>
  <c r="AW726" i="106"/>
  <c r="AV669" i="106"/>
  <c r="AX726" i="106"/>
  <c r="V57" i="120"/>
  <c r="U57" i="120"/>
  <c r="T57" i="120"/>
  <c r="T85" i="120"/>
  <c r="BS144" i="53"/>
  <c r="BT144" i="53"/>
  <c r="BU144" i="53"/>
  <c r="X85" i="120"/>
  <c r="T62" i="120"/>
  <c r="Y62" i="120"/>
  <c r="X62" i="120"/>
  <c r="U53" i="120"/>
  <c r="T53" i="120"/>
  <c r="W53" i="120"/>
  <c r="W82" i="120"/>
  <c r="BN144" i="53"/>
  <c r="V44" i="120"/>
  <c r="T50" i="120"/>
  <c r="U76" i="120"/>
  <c r="T76" i="120"/>
  <c r="Y76" i="120"/>
  <c r="Y29" i="120"/>
  <c r="X29" i="120"/>
  <c r="U58" i="120"/>
  <c r="BJ144" i="53"/>
  <c r="U59" i="120"/>
  <c r="T59" i="120"/>
  <c r="W59" i="120"/>
  <c r="U81" i="120"/>
  <c r="T81" i="120"/>
  <c r="W81" i="120"/>
  <c r="V81" i="120"/>
  <c r="Y21" i="120"/>
  <c r="U48" i="120"/>
  <c r="X48" i="120"/>
  <c r="T48" i="120"/>
  <c r="W48" i="120"/>
  <c r="Y74" i="120"/>
  <c r="W74" i="120"/>
  <c r="V74" i="120"/>
  <c r="BH144" i="53"/>
  <c r="T74" i="120"/>
  <c r="BB144" i="53"/>
  <c r="W25" i="120"/>
  <c r="X75" i="120"/>
  <c r="W43" i="120"/>
  <c r="Y43" i="120"/>
  <c r="X28" i="120"/>
  <c r="X25" i="120"/>
  <c r="U23" i="120"/>
  <c r="Y27" i="120"/>
  <c r="W29" i="120"/>
  <c r="X24" i="120"/>
  <c r="W32" i="120"/>
  <c r="T32" i="120"/>
  <c r="V29" i="120"/>
  <c r="Y23" i="120"/>
  <c r="U31" i="120"/>
  <c r="V27" i="120"/>
  <c r="X23" i="120"/>
  <c r="X30" i="120"/>
  <c r="V30" i="120"/>
  <c r="X27" i="120"/>
  <c r="V20" i="120"/>
  <c r="Y26" i="120"/>
  <c r="U25" i="120"/>
  <c r="W28" i="120"/>
  <c r="Y32" i="120"/>
  <c r="T28" i="120"/>
  <c r="U27" i="120"/>
  <c r="V22" i="120"/>
  <c r="X32" i="120"/>
  <c r="U24" i="120"/>
  <c r="Y31" i="120"/>
  <c r="Y24" i="120"/>
  <c r="V26" i="120"/>
  <c r="Y20" i="120"/>
  <c r="U30" i="120"/>
  <c r="Y30" i="120"/>
  <c r="X26" i="120"/>
  <c r="W26" i="120"/>
  <c r="U63" i="120"/>
  <c r="T63" i="120"/>
  <c r="X63" i="120"/>
  <c r="AX144" i="53"/>
  <c r="X60" i="120"/>
  <c r="AW144" i="53"/>
  <c r="X56" i="120"/>
  <c r="V56" i="120"/>
  <c r="AU144" i="53"/>
  <c r="AV144" i="53"/>
  <c r="V24" i="120"/>
  <c r="T21" i="120"/>
  <c r="X21" i="120"/>
  <c r="U19" i="120"/>
  <c r="W19" i="120"/>
  <c r="W22" i="120"/>
  <c r="Y22" i="120"/>
  <c r="X22" i="120"/>
  <c r="W20" i="120"/>
  <c r="X20" i="120"/>
  <c r="U61" i="120"/>
  <c r="T61" i="120"/>
  <c r="W61" i="120"/>
  <c r="V61" i="120"/>
  <c r="Y85" i="120"/>
  <c r="U85" i="120"/>
  <c r="AR25" i="117"/>
  <c r="AW560" i="106"/>
  <c r="AX596" i="106"/>
  <c r="AX560" i="106"/>
  <c r="AV754" i="106"/>
  <c r="AX525" i="106"/>
  <c r="AV596" i="106"/>
  <c r="AW754" i="106"/>
  <c r="AX669" i="106"/>
  <c r="AV525" i="106"/>
  <c r="AX698" i="106"/>
  <c r="AX754" i="106"/>
  <c r="AW525" i="106"/>
  <c r="AV632" i="106"/>
  <c r="AV698" i="106"/>
  <c r="AW784" i="106"/>
  <c r="AX455" i="106"/>
  <c r="AW455" i="106"/>
  <c r="AW698" i="106"/>
  <c r="AV490" i="106"/>
  <c r="AX490" i="106"/>
  <c r="AW596" i="106"/>
  <c r="AV784" i="106"/>
  <c r="AR18" i="116"/>
  <c r="AM20" i="110"/>
  <c r="AN20" i="110"/>
  <c r="AO20" i="110"/>
  <c r="AK22" i="115"/>
  <c r="AR37" i="109"/>
  <c r="AP37" i="109"/>
  <c r="AQ37" i="109"/>
  <c r="AL144" i="53"/>
  <c r="AK144" i="53"/>
  <c r="AI144" i="53"/>
  <c r="AJ144" i="53"/>
  <c r="Y144" i="53"/>
  <c r="W144" i="53"/>
  <c r="X144" i="53"/>
  <c r="BV141" i="53"/>
  <c r="DF141" i="53" s="1"/>
  <c r="DF142" i="53" s="1"/>
  <c r="K144" i="53"/>
  <c r="L144" i="53"/>
  <c r="M144" i="53"/>
  <c r="AM29" i="119"/>
  <c r="AN29" i="119"/>
  <c r="AO29" i="119"/>
  <c r="AQ18" i="116"/>
  <c r="AP18" i="116"/>
  <c r="AQ25" i="117"/>
  <c r="AL22" i="115"/>
  <c r="AJ22" i="115"/>
  <c r="AM31" i="111"/>
  <c r="AN31" i="111"/>
  <c r="AO31" i="111"/>
  <c r="AX402" i="118"/>
  <c r="AV26" i="118"/>
  <c r="AW26" i="118"/>
  <c r="AP33" i="113"/>
  <c r="AQ33" i="113"/>
  <c r="AR33" i="113"/>
  <c r="AN28" i="108"/>
  <c r="AO28" i="108"/>
  <c r="AM28" i="108"/>
  <c r="AO37" i="107"/>
  <c r="AN37" i="107"/>
  <c r="AM37" i="107"/>
  <c r="AW420" i="106"/>
  <c r="AV420" i="106"/>
  <c r="AX420" i="106"/>
  <c r="CA144" i="53"/>
  <c r="CM144" i="53"/>
  <c r="CB144" i="53"/>
  <c r="CN144" i="53"/>
  <c r="CZ144" i="53"/>
  <c r="CY144" i="53"/>
  <c r="BY144" i="53"/>
  <c r="CK144" i="53"/>
  <c r="CW144" i="53"/>
  <c r="CC144" i="53"/>
  <c r="CO144" i="53"/>
  <c r="DA144" i="53"/>
  <c r="CV144" i="53"/>
  <c r="CJ144" i="53"/>
  <c r="BZ144" i="53"/>
  <c r="CL144" i="53"/>
  <c r="CX144" i="53"/>
  <c r="BK144" i="53"/>
  <c r="AZ144" i="53"/>
  <c r="BL144" i="53"/>
  <c r="AY144" i="53"/>
  <c r="BA144" i="53"/>
  <c r="BM144" i="53"/>
  <c r="BC144" i="53"/>
  <c r="BO144" i="53"/>
  <c r="AR144" i="53"/>
  <c r="BD144" i="53"/>
  <c r="BP144" i="53"/>
  <c r="AS144" i="53"/>
  <c r="BE144" i="53"/>
  <c r="BQ144" i="53"/>
  <c r="AT144" i="53"/>
  <c r="BF144" i="53"/>
  <c r="BR144" i="53"/>
  <c r="R144" i="53"/>
  <c r="AD144" i="53"/>
  <c r="S144" i="53"/>
  <c r="AE144" i="53"/>
  <c r="DF137" i="53"/>
  <c r="O144" i="53"/>
  <c r="AA144" i="53"/>
  <c r="AM144" i="53"/>
  <c r="U144" i="53"/>
  <c r="AG144" i="53"/>
  <c r="AO119" i="53"/>
  <c r="T144" i="53"/>
  <c r="AF144" i="53"/>
  <c r="P144" i="53"/>
  <c r="AB144" i="53"/>
  <c r="AN144" i="53"/>
  <c r="AQ91" i="53"/>
  <c r="Q144" i="53"/>
  <c r="AC144" i="53"/>
  <c r="DH91" i="53"/>
  <c r="BX119" i="53"/>
  <c r="DH95" i="53"/>
  <c r="BW119" i="53"/>
  <c r="BV91" i="53"/>
  <c r="DG137" i="53"/>
  <c r="DH137" i="53"/>
  <c r="AP119" i="53"/>
  <c r="DF77" i="53"/>
  <c r="DF91" i="53" s="1"/>
  <c r="BV137" i="53"/>
  <c r="BW137" i="53"/>
  <c r="BW91" i="53"/>
  <c r="BX137" i="53"/>
  <c r="AQ119" i="53"/>
  <c r="DF95" i="53"/>
  <c r="DG95" i="53"/>
  <c r="AP142" i="53"/>
  <c r="BW141" i="53"/>
  <c r="BX91" i="53"/>
  <c r="BV114" i="53"/>
  <c r="DF114" i="53" s="1"/>
  <c r="DG77" i="53"/>
  <c r="AO91" i="53"/>
  <c r="AP137" i="53"/>
  <c r="AP91" i="53"/>
  <c r="AO137" i="53"/>
  <c r="AQ137" i="53"/>
  <c r="BX141" i="53"/>
  <c r="AO46" i="53"/>
  <c r="BV46" i="53" s="1"/>
  <c r="DF46" i="53" s="1"/>
  <c r="AP46" i="53"/>
  <c r="BW46" i="53" s="1"/>
  <c r="AQ46" i="53"/>
  <c r="BX46" i="53" s="1"/>
  <c r="Z21" i="120" l="1"/>
  <c r="Z32" i="120"/>
  <c r="Z30" i="120"/>
  <c r="Z25" i="120"/>
  <c r="Z29" i="120"/>
  <c r="Z20" i="120"/>
  <c r="AL26" i="120"/>
  <c r="Z26" i="120"/>
  <c r="Z23" i="120"/>
  <c r="Z24" i="120"/>
  <c r="Z27" i="120"/>
  <c r="AL27" i="120"/>
  <c r="Z22" i="120"/>
  <c r="Z31" i="120"/>
  <c r="DG119" i="53"/>
  <c r="V41" i="120"/>
  <c r="T41" i="120"/>
  <c r="X41" i="120"/>
  <c r="DH119" i="53"/>
  <c r="W41" i="120"/>
  <c r="U41" i="120"/>
  <c r="Y41" i="120"/>
  <c r="DG91" i="53"/>
  <c r="X19" i="120"/>
  <c r="V19" i="120"/>
  <c r="T19" i="120"/>
  <c r="BV142" i="53"/>
  <c r="AQ144" i="53"/>
  <c r="AO144" i="53"/>
  <c r="BX144" i="53"/>
  <c r="N64" i="120"/>
  <c r="DH46" i="53"/>
  <c r="P64" i="120" s="1"/>
  <c r="Q64" i="120" s="1"/>
  <c r="DG46" i="53"/>
  <c r="O64" i="120" s="1"/>
  <c r="M64" i="120"/>
  <c r="DG141" i="53"/>
  <c r="BW142" i="53"/>
  <c r="DF119" i="53"/>
  <c r="DF144" i="53" s="1"/>
  <c r="BX142" i="53"/>
  <c r="DH141" i="53"/>
  <c r="BV119" i="53"/>
  <c r="BV144" i="53" s="1"/>
  <c r="AP144" i="53"/>
  <c r="BW144" i="53"/>
  <c r="DH142" i="53" l="1"/>
  <c r="Y92" i="120"/>
  <c r="U92" i="120"/>
  <c r="W92" i="120"/>
  <c r="DG142" i="53"/>
  <c r="X92" i="120"/>
  <c r="T92" i="120"/>
  <c r="V92" i="120"/>
  <c r="DG144" i="53"/>
  <c r="DH144" i="53"/>
  <c r="BZ47" i="53"/>
  <c r="CA47" i="53"/>
  <c r="CB47" i="53"/>
  <c r="CC47" i="53"/>
  <c r="CD47" i="53"/>
  <c r="CE47" i="53"/>
  <c r="CF47" i="53"/>
  <c r="CG47" i="53"/>
  <c r="CH47" i="53"/>
  <c r="CI47" i="53"/>
  <c r="CJ47" i="53"/>
  <c r="CK47" i="53"/>
  <c r="CL47" i="53"/>
  <c r="CM47" i="53"/>
  <c r="CN47" i="53"/>
  <c r="CO47" i="53"/>
  <c r="CP47" i="53"/>
  <c r="CQ47" i="53"/>
  <c r="CR47" i="53"/>
  <c r="CS47" i="53"/>
  <c r="CT47" i="53"/>
  <c r="CU47" i="53"/>
  <c r="CV47" i="53"/>
  <c r="CW47" i="53"/>
  <c r="CX47" i="53"/>
  <c r="CY47" i="53"/>
  <c r="CZ47" i="53"/>
  <c r="DA47" i="53"/>
  <c r="DB47" i="53"/>
  <c r="DC47" i="53"/>
  <c r="DD47" i="53"/>
  <c r="DE47" i="53"/>
  <c r="BY47" i="53"/>
  <c r="AS47" i="53"/>
  <c r="AT47" i="53"/>
  <c r="AU47" i="53"/>
  <c r="AV47" i="53"/>
  <c r="AW47" i="53"/>
  <c r="AX47" i="53"/>
  <c r="AY47" i="53"/>
  <c r="AZ47" i="53"/>
  <c r="BA47" i="53"/>
  <c r="BB47" i="53"/>
  <c r="BC47" i="53"/>
  <c r="BD47" i="53"/>
  <c r="BE47" i="53"/>
  <c r="BF47" i="53"/>
  <c r="BG47" i="53"/>
  <c r="BH47" i="53"/>
  <c r="BI47" i="53"/>
  <c r="BJ47" i="53"/>
  <c r="BK47" i="53"/>
  <c r="BL47" i="53"/>
  <c r="BM47" i="53"/>
  <c r="BN47" i="53"/>
  <c r="BO47" i="53"/>
  <c r="BP47" i="53"/>
  <c r="BQ47" i="53"/>
  <c r="BR47" i="53"/>
  <c r="BS47" i="53"/>
  <c r="BT47" i="53"/>
  <c r="BU47" i="53"/>
  <c r="AR47" i="53"/>
  <c r="L47" i="53"/>
  <c r="M47" i="53"/>
  <c r="N47" i="53"/>
  <c r="O47" i="53"/>
  <c r="P47" i="53"/>
  <c r="Q47" i="53"/>
  <c r="R47" i="53"/>
  <c r="S47" i="53"/>
  <c r="T47" i="53"/>
  <c r="U47" i="53"/>
  <c r="V47" i="53"/>
  <c r="W47" i="53"/>
  <c r="X47" i="53"/>
  <c r="Y47" i="53"/>
  <c r="Z47" i="53"/>
  <c r="AA47" i="53"/>
  <c r="AB47" i="53"/>
  <c r="AC47" i="53"/>
  <c r="AD47" i="53"/>
  <c r="AE47" i="53"/>
  <c r="AF47" i="53"/>
  <c r="AG47" i="53"/>
  <c r="AH47" i="53"/>
  <c r="AI47" i="53"/>
  <c r="AJ47" i="53"/>
  <c r="AK47" i="53"/>
  <c r="AL47" i="53"/>
  <c r="AM47" i="53"/>
  <c r="AN47" i="53"/>
  <c r="K47" i="53"/>
  <c r="G65" i="120"/>
  <c r="I39" i="120"/>
  <c r="AJ9" i="115"/>
  <c r="AK9" i="115"/>
  <c r="AL9" i="115"/>
  <c r="AJ10" i="115"/>
  <c r="AK10" i="115"/>
  <c r="AL10" i="115"/>
  <c r="AJ11" i="115"/>
  <c r="AK11" i="115"/>
  <c r="AL11" i="115"/>
  <c r="AP5" i="116"/>
  <c r="AP10" i="116" s="1"/>
  <c r="AQ5" i="116"/>
  <c r="AQ10" i="116" s="1"/>
  <c r="AR5" i="116"/>
  <c r="AR10" i="116" s="1"/>
  <c r="AQ11" i="109"/>
  <c r="AR11" i="109"/>
  <c r="AP11" i="109"/>
  <c r="I17" i="120" l="1"/>
  <c r="J19" i="120" l="1"/>
  <c r="AA90" i="120"/>
  <c r="AA70" i="120"/>
  <c r="AA39" i="120"/>
  <c r="AA17" i="120"/>
  <c r="R90" i="120"/>
  <c r="R70" i="120"/>
  <c r="R39" i="120"/>
  <c r="R17" i="120"/>
  <c r="S19" i="120" s="1"/>
  <c r="I70" i="120"/>
  <c r="I90" i="120"/>
  <c r="AJ19" i="120" l="1"/>
  <c r="AL19" i="120" s="1"/>
  <c r="Z19" i="120"/>
  <c r="I14" i="120"/>
  <c r="R14" i="120"/>
  <c r="AA14" i="120"/>
  <c r="I93" i="120"/>
  <c r="J93" i="120" l="1"/>
  <c r="G86" i="120"/>
  <c r="G35" i="120" l="1"/>
  <c r="DZ93" i="120"/>
  <c r="DY93" i="120"/>
  <c r="DX93" i="120"/>
  <c r="DW93" i="120"/>
  <c r="DV93" i="120"/>
  <c r="DU93" i="120"/>
  <c r="DT93" i="120"/>
  <c r="DS93" i="120"/>
  <c r="DQ93" i="120"/>
  <c r="DP93" i="120"/>
  <c r="T8" i="120" s="1"/>
  <c r="DO93" i="120"/>
  <c r="DN93" i="120"/>
  <c r="DM93" i="120"/>
  <c r="DL93" i="120"/>
  <c r="DK93" i="120"/>
  <c r="DJ93" i="120"/>
  <c r="DH93" i="120"/>
  <c r="DG93" i="120"/>
  <c r="DF93" i="120"/>
  <c r="DE93" i="120"/>
  <c r="DD93" i="120"/>
  <c r="DC93" i="120"/>
  <c r="DB93" i="120"/>
  <c r="DA93" i="120"/>
  <c r="CT93" i="120"/>
  <c r="CS93" i="120"/>
  <c r="R8" i="120" s="1"/>
  <c r="CR93" i="120"/>
  <c r="CQ93" i="120"/>
  <c r="CP93" i="120"/>
  <c r="CO93" i="120"/>
  <c r="CN93" i="120"/>
  <c r="CM93" i="120"/>
  <c r="CK93" i="120"/>
  <c r="CJ93" i="120"/>
  <c r="Q8" i="120" s="1"/>
  <c r="CI93" i="120"/>
  <c r="CH93" i="120"/>
  <c r="CG93" i="120"/>
  <c r="CF93" i="120"/>
  <c r="CE93" i="120"/>
  <c r="CD93" i="120"/>
  <c r="CB93" i="120"/>
  <c r="CA93" i="120"/>
  <c r="BZ93" i="120"/>
  <c r="BY93" i="120"/>
  <c r="BX93" i="120"/>
  <c r="BW93" i="120"/>
  <c r="BV93" i="120"/>
  <c r="BU93" i="120"/>
  <c r="BN93" i="120"/>
  <c r="BM93" i="120"/>
  <c r="BL93" i="120"/>
  <c r="BK93" i="120"/>
  <c r="BJ93" i="120"/>
  <c r="BI93" i="120"/>
  <c r="BH93" i="120"/>
  <c r="BG93" i="120"/>
  <c r="BE93" i="120"/>
  <c r="BD93" i="120"/>
  <c r="BC93" i="120"/>
  <c r="BB93" i="120"/>
  <c r="BA93" i="120"/>
  <c r="AZ93" i="120"/>
  <c r="AY93" i="120"/>
  <c r="AX93" i="120"/>
  <c r="AV93" i="120"/>
  <c r="AU93" i="120"/>
  <c r="M8" i="120" s="1"/>
  <c r="AT93" i="120"/>
  <c r="AS93" i="120"/>
  <c r="AR93" i="120"/>
  <c r="AQ93" i="120"/>
  <c r="AP93" i="120"/>
  <c r="AO93" i="120"/>
  <c r="AH93" i="120"/>
  <c r="AG93" i="120"/>
  <c r="L8" i="120" s="1"/>
  <c r="AF93" i="120"/>
  <c r="AE93" i="120"/>
  <c r="AD93" i="120"/>
  <c r="AC93" i="120"/>
  <c r="AB93" i="120"/>
  <c r="AA93" i="120"/>
  <c r="Y93" i="120"/>
  <c r="X93" i="120"/>
  <c r="K8" i="120" s="1"/>
  <c r="W93" i="120"/>
  <c r="V93" i="120"/>
  <c r="U93" i="120"/>
  <c r="T93" i="120"/>
  <c r="S93" i="120"/>
  <c r="R93" i="120"/>
  <c r="L93" i="120"/>
  <c r="K93" i="120"/>
  <c r="EC92" i="120"/>
  <c r="EC93" i="120" s="1"/>
  <c r="EB92" i="120"/>
  <c r="EB93" i="120" s="1"/>
  <c r="EA92" i="120"/>
  <c r="DR92" i="120"/>
  <c r="DI92" i="120"/>
  <c r="CW92" i="120"/>
  <c r="CV92" i="120"/>
  <c r="CV93" i="120" s="1"/>
  <c r="CU92" i="120"/>
  <c r="CL92" i="120"/>
  <c r="CC92" i="120"/>
  <c r="BQ92" i="120"/>
  <c r="BP92" i="120"/>
  <c r="BP93" i="120" s="1"/>
  <c r="BO92" i="120"/>
  <c r="BF92" i="120"/>
  <c r="AW92" i="120"/>
  <c r="AJ93" i="120"/>
  <c r="Z92" i="120"/>
  <c r="DZ86" i="120"/>
  <c r="DY86" i="120"/>
  <c r="U7" i="120" s="1"/>
  <c r="DX86" i="120"/>
  <c r="DW86" i="120"/>
  <c r="DV86" i="120"/>
  <c r="DU86" i="120"/>
  <c r="DT86" i="120"/>
  <c r="DS86" i="120"/>
  <c r="DQ86" i="120"/>
  <c r="DP86" i="120"/>
  <c r="T7" i="120" s="1"/>
  <c r="DO86" i="120"/>
  <c r="DN86" i="120"/>
  <c r="DM86" i="120"/>
  <c r="DL86" i="120"/>
  <c r="DK86" i="120"/>
  <c r="DJ86" i="120"/>
  <c r="DH86" i="120"/>
  <c r="DG86" i="120"/>
  <c r="S7" i="120" s="1"/>
  <c r="DF86" i="120"/>
  <c r="DE86" i="120"/>
  <c r="DD86" i="120"/>
  <c r="DC86" i="120"/>
  <c r="DB86" i="120"/>
  <c r="DA86" i="120"/>
  <c r="CT86" i="120"/>
  <c r="CS86" i="120"/>
  <c r="R7" i="120" s="1"/>
  <c r="CR86" i="120"/>
  <c r="CQ86" i="120"/>
  <c r="CP86" i="120"/>
  <c r="CO86" i="120"/>
  <c r="CN86" i="120"/>
  <c r="CM86" i="120"/>
  <c r="CK86" i="120"/>
  <c r="CJ86" i="120"/>
  <c r="Q7" i="120" s="1"/>
  <c r="CI86" i="120"/>
  <c r="CH86" i="120"/>
  <c r="CG86" i="120"/>
  <c r="CF86" i="120"/>
  <c r="CE86" i="120"/>
  <c r="CD86" i="120"/>
  <c r="CB86" i="120"/>
  <c r="CA86" i="120"/>
  <c r="P7" i="120" s="1"/>
  <c r="BZ86" i="120"/>
  <c r="BY86" i="120"/>
  <c r="BX86" i="120"/>
  <c r="BW86" i="120"/>
  <c r="BV86" i="120"/>
  <c r="BU86" i="120"/>
  <c r="BN86" i="120"/>
  <c r="BM86" i="120"/>
  <c r="O7" i="120" s="1"/>
  <c r="BL86" i="120"/>
  <c r="BK86" i="120"/>
  <c r="BJ86" i="120"/>
  <c r="BI86" i="120"/>
  <c r="BH86" i="120"/>
  <c r="BG86" i="120"/>
  <c r="BE86" i="120"/>
  <c r="BD86" i="120"/>
  <c r="BC86" i="120"/>
  <c r="BB86" i="120"/>
  <c r="BA86" i="120"/>
  <c r="AZ86" i="120"/>
  <c r="AY86" i="120"/>
  <c r="AX86" i="120"/>
  <c r="AV86" i="120"/>
  <c r="AU86" i="120"/>
  <c r="AT86" i="120"/>
  <c r="AS86" i="120"/>
  <c r="AR86" i="120"/>
  <c r="AQ86" i="120"/>
  <c r="AP86" i="120"/>
  <c r="AO86" i="120"/>
  <c r="AH86" i="120"/>
  <c r="AG86" i="120"/>
  <c r="L7" i="120" s="1"/>
  <c r="AF86" i="120"/>
  <c r="AE86" i="120"/>
  <c r="AD86" i="120"/>
  <c r="AC86" i="120"/>
  <c r="AB86" i="120"/>
  <c r="AA86" i="120"/>
  <c r="Y86" i="120"/>
  <c r="X86" i="120"/>
  <c r="W86" i="120"/>
  <c r="V86" i="120"/>
  <c r="U86" i="120"/>
  <c r="T86" i="120"/>
  <c r="S86" i="120"/>
  <c r="R86" i="120"/>
  <c r="L86" i="120"/>
  <c r="K86" i="120"/>
  <c r="J86" i="120"/>
  <c r="I86" i="120"/>
  <c r="EC85" i="120"/>
  <c r="EB85" i="120"/>
  <c r="EA85" i="120"/>
  <c r="DR85" i="120"/>
  <c r="DI85" i="120"/>
  <c r="CW85" i="120"/>
  <c r="CV85" i="120"/>
  <c r="CU85" i="120"/>
  <c r="CL85" i="120"/>
  <c r="CC85" i="120"/>
  <c r="BQ85" i="120"/>
  <c r="BP85" i="120"/>
  <c r="BO85" i="120"/>
  <c r="BF85" i="120"/>
  <c r="AW85" i="120"/>
  <c r="Z85" i="120"/>
  <c r="EC84" i="120"/>
  <c r="EB84" i="120"/>
  <c r="EA84" i="120"/>
  <c r="DR84" i="120"/>
  <c r="DI84" i="120"/>
  <c r="CW84" i="120"/>
  <c r="CV84" i="120"/>
  <c r="CU84" i="120"/>
  <c r="CL84" i="120"/>
  <c r="CC84" i="120"/>
  <c r="BQ84" i="120"/>
  <c r="BP84" i="120"/>
  <c r="BO84" i="120"/>
  <c r="BF84" i="120"/>
  <c r="AW84" i="120"/>
  <c r="Z84" i="120"/>
  <c r="EC83" i="120"/>
  <c r="EB83" i="120"/>
  <c r="EA83" i="120"/>
  <c r="DR83" i="120"/>
  <c r="DI83" i="120"/>
  <c r="CW83" i="120"/>
  <c r="CV83" i="120"/>
  <c r="CU83" i="120"/>
  <c r="CL83" i="120"/>
  <c r="CC83" i="120"/>
  <c r="BQ83" i="120"/>
  <c r="BP83" i="120"/>
  <c r="BO83" i="120"/>
  <c r="BF83" i="120"/>
  <c r="AW83" i="120"/>
  <c r="Z83" i="120"/>
  <c r="EC82" i="120"/>
  <c r="EB82" i="120"/>
  <c r="EA82" i="120"/>
  <c r="DR82" i="120"/>
  <c r="DI82" i="120"/>
  <c r="CW82" i="120"/>
  <c r="CV82" i="120"/>
  <c r="CU82" i="120"/>
  <c r="CL82" i="120"/>
  <c r="CC82" i="120"/>
  <c r="BQ82" i="120"/>
  <c r="BP82" i="120"/>
  <c r="BO82" i="120"/>
  <c r="BF82" i="120"/>
  <c r="AW82" i="120"/>
  <c r="Z82" i="120"/>
  <c r="EC81" i="120"/>
  <c r="EB81" i="120"/>
  <c r="EA81" i="120"/>
  <c r="DR81" i="120"/>
  <c r="DI81" i="120"/>
  <c r="CW81" i="120"/>
  <c r="CV81" i="120"/>
  <c r="CU81" i="120"/>
  <c r="CL81" i="120"/>
  <c r="CC81" i="120"/>
  <c r="BQ81" i="120"/>
  <c r="BP81" i="120"/>
  <c r="BO81" i="120"/>
  <c r="BF81" i="120"/>
  <c r="AW81" i="120"/>
  <c r="Z81" i="120"/>
  <c r="EC80" i="120"/>
  <c r="EB80" i="120"/>
  <c r="EA80" i="120"/>
  <c r="DR80" i="120"/>
  <c r="DI80" i="120"/>
  <c r="CW80" i="120"/>
  <c r="CV80" i="120"/>
  <c r="CU80" i="120"/>
  <c r="CL80" i="120"/>
  <c r="CC80" i="120"/>
  <c r="BQ80" i="120"/>
  <c r="BP80" i="120"/>
  <c r="BO80" i="120"/>
  <c r="BF80" i="120"/>
  <c r="AW80" i="120"/>
  <c r="Z80" i="120"/>
  <c r="EC79" i="120"/>
  <c r="EB79" i="120"/>
  <c r="EA79" i="120"/>
  <c r="DR79" i="120"/>
  <c r="DI79" i="120"/>
  <c r="CW79" i="120"/>
  <c r="CV79" i="120"/>
  <c r="CU79" i="120"/>
  <c r="CL79" i="120"/>
  <c r="CC79" i="120"/>
  <c r="BQ79" i="120"/>
  <c r="BP79" i="120"/>
  <c r="BO79" i="120"/>
  <c r="BF79" i="120"/>
  <c r="AW79" i="120"/>
  <c r="Z79" i="120"/>
  <c r="EC78" i="120"/>
  <c r="EB78" i="120"/>
  <c r="EA78" i="120"/>
  <c r="DR78" i="120"/>
  <c r="DI78" i="120"/>
  <c r="CW78" i="120"/>
  <c r="CV78" i="120"/>
  <c r="CU78" i="120"/>
  <c r="CL78" i="120"/>
  <c r="CC78" i="120"/>
  <c r="BQ78" i="120"/>
  <c r="BP78" i="120"/>
  <c r="BO78" i="120"/>
  <c r="BF78" i="120"/>
  <c r="AW78" i="120"/>
  <c r="Z78" i="120"/>
  <c r="EC77" i="120"/>
  <c r="EB77" i="120"/>
  <c r="EA77" i="120"/>
  <c r="DR77" i="120"/>
  <c r="DI77" i="120"/>
  <c r="CW77" i="120"/>
  <c r="CV77" i="120"/>
  <c r="CU77" i="120"/>
  <c r="CL77" i="120"/>
  <c r="CC77" i="120"/>
  <c r="BQ77" i="120"/>
  <c r="BP77" i="120"/>
  <c r="BO77" i="120"/>
  <c r="BF77" i="120"/>
  <c r="AW77" i="120"/>
  <c r="Z77" i="120"/>
  <c r="EC76" i="120"/>
  <c r="EB76" i="120"/>
  <c r="ED76" i="120" s="1"/>
  <c r="EA76" i="120"/>
  <c r="DR76" i="120"/>
  <c r="DI76" i="120"/>
  <c r="CW76" i="120"/>
  <c r="CV76" i="120"/>
  <c r="CU76" i="120"/>
  <c r="CL76" i="120"/>
  <c r="CC76" i="120"/>
  <c r="BQ76" i="120"/>
  <c r="BP76" i="120"/>
  <c r="BO76" i="120"/>
  <c r="BF76" i="120"/>
  <c r="AW76" i="120"/>
  <c r="Z76" i="120"/>
  <c r="EC75" i="120"/>
  <c r="EB75" i="120"/>
  <c r="EA75" i="120"/>
  <c r="DR75" i="120"/>
  <c r="DI75" i="120"/>
  <c r="CW75" i="120"/>
  <c r="CV75" i="120"/>
  <c r="CU75" i="120"/>
  <c r="CL75" i="120"/>
  <c r="CC75" i="120"/>
  <c r="BQ75" i="120"/>
  <c r="BP75" i="120"/>
  <c r="BO75" i="120"/>
  <c r="BF75" i="120"/>
  <c r="AW75" i="120"/>
  <c r="Z75" i="120"/>
  <c r="EC74" i="120"/>
  <c r="EB74" i="120"/>
  <c r="EA74" i="120"/>
  <c r="DR74" i="120"/>
  <c r="DI74" i="120"/>
  <c r="CW74" i="120"/>
  <c r="CV74" i="120"/>
  <c r="CU74" i="120"/>
  <c r="CL74" i="120"/>
  <c r="CC74" i="120"/>
  <c r="BQ74" i="120"/>
  <c r="BP74" i="120"/>
  <c r="BO74" i="120"/>
  <c r="BF74" i="120"/>
  <c r="AW74" i="120"/>
  <c r="Z74" i="120"/>
  <c r="EC73" i="120"/>
  <c r="EB73" i="120"/>
  <c r="EA73" i="120"/>
  <c r="DR73" i="120"/>
  <c r="DI73" i="120"/>
  <c r="CW73" i="120"/>
  <c r="CV73" i="120"/>
  <c r="CU73" i="120"/>
  <c r="CL73" i="120"/>
  <c r="CC73" i="120"/>
  <c r="BQ73" i="120"/>
  <c r="BP73" i="120"/>
  <c r="BO73" i="120"/>
  <c r="BF73" i="120"/>
  <c r="AW73" i="120"/>
  <c r="Z73" i="120"/>
  <c r="EC72" i="120"/>
  <c r="EB72" i="120"/>
  <c r="EA72" i="120"/>
  <c r="DR72" i="120"/>
  <c r="DI72" i="120"/>
  <c r="CW72" i="120"/>
  <c r="CV72" i="120"/>
  <c r="CU72" i="120"/>
  <c r="CL72" i="120"/>
  <c r="CC72" i="120"/>
  <c r="BQ72" i="120"/>
  <c r="BP72" i="120"/>
  <c r="BO72" i="120"/>
  <c r="BF72" i="120"/>
  <c r="AW72" i="120"/>
  <c r="AJ72" i="120"/>
  <c r="Z72" i="120"/>
  <c r="DZ65" i="120"/>
  <c r="DY65" i="120"/>
  <c r="U6" i="120" s="1"/>
  <c r="DX65" i="120"/>
  <c r="DW65" i="120"/>
  <c r="DV65" i="120"/>
  <c r="DU65" i="120"/>
  <c r="DT65" i="120"/>
  <c r="DS65" i="120"/>
  <c r="DQ65" i="120"/>
  <c r="DP65" i="120"/>
  <c r="T6" i="120" s="1"/>
  <c r="DO65" i="120"/>
  <c r="DN65" i="120"/>
  <c r="DM65" i="120"/>
  <c r="DL65" i="120"/>
  <c r="DK65" i="120"/>
  <c r="DJ65" i="120"/>
  <c r="DH65" i="120"/>
  <c r="DG65" i="120"/>
  <c r="S6" i="120" s="1"/>
  <c r="DF65" i="120"/>
  <c r="DE65" i="120"/>
  <c r="DD65" i="120"/>
  <c r="DC65" i="120"/>
  <c r="DB65" i="120"/>
  <c r="DA65" i="120"/>
  <c r="CT65" i="120"/>
  <c r="R10" i="120" s="1"/>
  <c r="R12" i="120" s="1"/>
  <c r="CS65" i="120"/>
  <c r="R6" i="120" s="1"/>
  <c r="CR65" i="120"/>
  <c r="CQ65" i="120"/>
  <c r="CP65" i="120"/>
  <c r="CO65" i="120"/>
  <c r="CN65" i="120"/>
  <c r="CM65" i="120"/>
  <c r="CK65" i="120"/>
  <c r="CJ65" i="120"/>
  <c r="Q6" i="120" s="1"/>
  <c r="CI65" i="120"/>
  <c r="CH65" i="120"/>
  <c r="CG65" i="120"/>
  <c r="CF65" i="120"/>
  <c r="CE65" i="120"/>
  <c r="CD65" i="120"/>
  <c r="CB65" i="120"/>
  <c r="CA65" i="120"/>
  <c r="BZ65" i="120"/>
  <c r="BY65" i="120"/>
  <c r="BX65" i="120"/>
  <c r="BW65" i="120"/>
  <c r="BV65" i="120"/>
  <c r="BU65" i="120"/>
  <c r="BN65" i="120"/>
  <c r="BM65" i="120"/>
  <c r="BL65" i="120"/>
  <c r="BK65" i="120"/>
  <c r="BJ65" i="120"/>
  <c r="BI65" i="120"/>
  <c r="BH65" i="120"/>
  <c r="BG65" i="120"/>
  <c r="BE65" i="120"/>
  <c r="BD65" i="120"/>
  <c r="N6" i="120" s="1"/>
  <c r="BC65" i="120"/>
  <c r="BB65" i="120"/>
  <c r="BA65" i="120"/>
  <c r="AZ65" i="120"/>
  <c r="AY65" i="120"/>
  <c r="AX65" i="120"/>
  <c r="AV65" i="120"/>
  <c r="AU65" i="120"/>
  <c r="AT65" i="120"/>
  <c r="AS65" i="120"/>
  <c r="AR65" i="120"/>
  <c r="AQ65" i="120"/>
  <c r="AP65" i="120"/>
  <c r="AO65" i="120"/>
  <c r="AH65" i="120"/>
  <c r="AG65" i="120"/>
  <c r="AF65" i="120"/>
  <c r="AE65" i="120"/>
  <c r="AD65" i="120"/>
  <c r="AC65" i="120"/>
  <c r="AB65" i="120"/>
  <c r="AA65" i="120"/>
  <c r="Y65" i="120"/>
  <c r="X65" i="120"/>
  <c r="K6" i="120" s="1"/>
  <c r="W65" i="120"/>
  <c r="V65" i="120"/>
  <c r="U65" i="120"/>
  <c r="T65" i="120"/>
  <c r="S65" i="120"/>
  <c r="R65" i="120"/>
  <c r="L65" i="120"/>
  <c r="K65" i="120"/>
  <c r="J65" i="120"/>
  <c r="I65" i="120"/>
  <c r="EC64" i="120"/>
  <c r="EB64" i="120"/>
  <c r="EA64" i="120"/>
  <c r="DR64" i="120"/>
  <c r="DI64" i="120"/>
  <c r="CW64" i="120"/>
  <c r="CV64" i="120"/>
  <c r="CU64" i="120"/>
  <c r="CL64" i="120"/>
  <c r="CC64" i="120"/>
  <c r="BQ64" i="120"/>
  <c r="BP64" i="120"/>
  <c r="BO64" i="120"/>
  <c r="BF64" i="120"/>
  <c r="AW64" i="120"/>
  <c r="Z64" i="120"/>
  <c r="EC63" i="120"/>
  <c r="EB63" i="120"/>
  <c r="EA63" i="120"/>
  <c r="DR63" i="120"/>
  <c r="DI63" i="120"/>
  <c r="CW63" i="120"/>
  <c r="CV63" i="120"/>
  <c r="CU63" i="120"/>
  <c r="CL63" i="120"/>
  <c r="CC63" i="120"/>
  <c r="BQ63" i="120"/>
  <c r="BP63" i="120"/>
  <c r="BO63" i="120"/>
  <c r="BF63" i="120"/>
  <c r="AW63" i="120"/>
  <c r="Z63" i="120"/>
  <c r="EC62" i="120"/>
  <c r="EB62" i="120"/>
  <c r="EA62" i="120"/>
  <c r="DR62" i="120"/>
  <c r="DI62" i="120"/>
  <c r="CW62" i="120"/>
  <c r="CV62" i="120"/>
  <c r="CU62" i="120"/>
  <c r="CL62" i="120"/>
  <c r="CC62" i="120"/>
  <c r="BQ62" i="120"/>
  <c r="BP62" i="120"/>
  <c r="BR62" i="120" s="1"/>
  <c r="BO62" i="120"/>
  <c r="BF62" i="120"/>
  <c r="AW62" i="120"/>
  <c r="Z62" i="120"/>
  <c r="EC61" i="120"/>
  <c r="EB61" i="120"/>
  <c r="EA61" i="120"/>
  <c r="DR61" i="120"/>
  <c r="DI61" i="120"/>
  <c r="CW61" i="120"/>
  <c r="CV61" i="120"/>
  <c r="CX61" i="120" s="1"/>
  <c r="CU61" i="120"/>
  <c r="CL61" i="120"/>
  <c r="CC61" i="120"/>
  <c r="BQ61" i="120"/>
  <c r="BP61" i="120"/>
  <c r="BO61" i="120"/>
  <c r="BF61" i="120"/>
  <c r="AW61" i="120"/>
  <c r="Z61" i="120"/>
  <c r="EC60" i="120"/>
  <c r="EB60" i="120"/>
  <c r="EA60" i="120"/>
  <c r="DR60" i="120"/>
  <c r="DI60" i="120"/>
  <c r="CW60" i="120"/>
  <c r="CV60" i="120"/>
  <c r="CU60" i="120"/>
  <c r="CL60" i="120"/>
  <c r="CC60" i="120"/>
  <c r="BQ60" i="120"/>
  <c r="BP60" i="120"/>
  <c r="BO60" i="120"/>
  <c r="BF60" i="120"/>
  <c r="AW60" i="120"/>
  <c r="Z60" i="120"/>
  <c r="EC59" i="120"/>
  <c r="EB59" i="120"/>
  <c r="EA59" i="120"/>
  <c r="DR59" i="120"/>
  <c r="DI59" i="120"/>
  <c r="CW59" i="120"/>
  <c r="CV59" i="120"/>
  <c r="CU59" i="120"/>
  <c r="CL59" i="120"/>
  <c r="CC59" i="120"/>
  <c r="BQ59" i="120"/>
  <c r="BP59" i="120"/>
  <c r="BO59" i="120"/>
  <c r="BF59" i="120"/>
  <c r="AW59" i="120"/>
  <c r="Z59" i="120"/>
  <c r="EC58" i="120"/>
  <c r="EB58" i="120"/>
  <c r="EA58" i="120"/>
  <c r="DR58" i="120"/>
  <c r="DI58" i="120"/>
  <c r="CW58" i="120"/>
  <c r="CV58" i="120"/>
  <c r="CU58" i="120"/>
  <c r="CL58" i="120"/>
  <c r="CC58" i="120"/>
  <c r="BQ58" i="120"/>
  <c r="BP58" i="120"/>
  <c r="BO58" i="120"/>
  <c r="BF58" i="120"/>
  <c r="AW58" i="120"/>
  <c r="Z58" i="120"/>
  <c r="EC57" i="120"/>
  <c r="EB57" i="120"/>
  <c r="EA57" i="120"/>
  <c r="DR57" i="120"/>
  <c r="DI57" i="120"/>
  <c r="CW57" i="120"/>
  <c r="CV57" i="120"/>
  <c r="CU57" i="120"/>
  <c r="CL57" i="120"/>
  <c r="CC57" i="120"/>
  <c r="BQ57" i="120"/>
  <c r="BP57" i="120"/>
  <c r="BO57" i="120"/>
  <c r="BF57" i="120"/>
  <c r="AW57" i="120"/>
  <c r="Z57" i="120"/>
  <c r="EC56" i="120"/>
  <c r="EB56" i="120"/>
  <c r="EA56" i="120"/>
  <c r="DR56" i="120"/>
  <c r="DI56" i="120"/>
  <c r="CW56" i="120"/>
  <c r="CV56" i="120"/>
  <c r="CU56" i="120"/>
  <c r="CL56" i="120"/>
  <c r="CC56" i="120"/>
  <c r="BQ56" i="120"/>
  <c r="BP56" i="120"/>
  <c r="BR56" i="120" s="1"/>
  <c r="BO56" i="120"/>
  <c r="BF56" i="120"/>
  <c r="AW56" i="120"/>
  <c r="Z56" i="120"/>
  <c r="EC55" i="120"/>
  <c r="EB55" i="120"/>
  <c r="EA55" i="120"/>
  <c r="DR55" i="120"/>
  <c r="DI55" i="120"/>
  <c r="CW55" i="120"/>
  <c r="CV55" i="120"/>
  <c r="CU55" i="120"/>
  <c r="CL55" i="120"/>
  <c r="CC55" i="120"/>
  <c r="BQ55" i="120"/>
  <c r="BP55" i="120"/>
  <c r="BO55" i="120"/>
  <c r="BF55" i="120"/>
  <c r="AW55" i="120"/>
  <c r="Z55" i="120"/>
  <c r="EC54" i="120"/>
  <c r="EB54" i="120"/>
  <c r="EA54" i="120"/>
  <c r="DR54" i="120"/>
  <c r="DI54" i="120"/>
  <c r="CW54" i="120"/>
  <c r="CV54" i="120"/>
  <c r="CU54" i="120"/>
  <c r="CL54" i="120"/>
  <c r="CC54" i="120"/>
  <c r="BQ54" i="120"/>
  <c r="BP54" i="120"/>
  <c r="BO54" i="120"/>
  <c r="BF54" i="120"/>
  <c r="AW54" i="120"/>
  <c r="Z54" i="120"/>
  <c r="EC53" i="120"/>
  <c r="EB53" i="120"/>
  <c r="EA53" i="120"/>
  <c r="DR53" i="120"/>
  <c r="DI53" i="120"/>
  <c r="CW53" i="120"/>
  <c r="CV53" i="120"/>
  <c r="CU53" i="120"/>
  <c r="CL53" i="120"/>
  <c r="CC53" i="120"/>
  <c r="BQ53" i="120"/>
  <c r="BP53" i="120"/>
  <c r="BO53" i="120"/>
  <c r="BF53" i="120"/>
  <c r="AW53" i="120"/>
  <c r="Z53" i="120"/>
  <c r="EC52" i="120"/>
  <c r="EB52" i="120"/>
  <c r="EA52" i="120"/>
  <c r="DR52" i="120"/>
  <c r="DI52" i="120"/>
  <c r="CW52" i="120"/>
  <c r="CV52" i="120"/>
  <c r="CU52" i="120"/>
  <c r="CL52" i="120"/>
  <c r="CC52" i="120"/>
  <c r="BQ52" i="120"/>
  <c r="BP52" i="120"/>
  <c r="BO52" i="120"/>
  <c r="BF52" i="120"/>
  <c r="AW52" i="120"/>
  <c r="Z52" i="120"/>
  <c r="EC51" i="120"/>
  <c r="EB51" i="120"/>
  <c r="EA51" i="120"/>
  <c r="DR51" i="120"/>
  <c r="DI51" i="120"/>
  <c r="CW51" i="120"/>
  <c r="CV51" i="120"/>
  <c r="CU51" i="120"/>
  <c r="CL51" i="120"/>
  <c r="CC51" i="120"/>
  <c r="BQ51" i="120"/>
  <c r="BP51" i="120"/>
  <c r="BO51" i="120"/>
  <c r="BF51" i="120"/>
  <c r="AW51" i="120"/>
  <c r="Z51" i="120"/>
  <c r="EC50" i="120"/>
  <c r="EB50" i="120"/>
  <c r="EA50" i="120"/>
  <c r="DR50" i="120"/>
  <c r="DI50" i="120"/>
  <c r="CW50" i="120"/>
  <c r="CV50" i="120"/>
  <c r="CU50" i="120"/>
  <c r="CL50" i="120"/>
  <c r="CC50" i="120"/>
  <c r="BQ50" i="120"/>
  <c r="BP50" i="120"/>
  <c r="BR50" i="120" s="1"/>
  <c r="BO50" i="120"/>
  <c r="BF50" i="120"/>
  <c r="AW50" i="120"/>
  <c r="Z50" i="120"/>
  <c r="EC49" i="120"/>
  <c r="EB49" i="120"/>
  <c r="EA49" i="120"/>
  <c r="DR49" i="120"/>
  <c r="DI49" i="120"/>
  <c r="CW49" i="120"/>
  <c r="CV49" i="120"/>
  <c r="CU49" i="120"/>
  <c r="CL49" i="120"/>
  <c r="CC49" i="120"/>
  <c r="BQ49" i="120"/>
  <c r="BP49" i="120"/>
  <c r="BO49" i="120"/>
  <c r="BF49" i="120"/>
  <c r="AW49" i="120"/>
  <c r="Z49" i="120"/>
  <c r="EC48" i="120"/>
  <c r="EB48" i="120"/>
  <c r="EA48" i="120"/>
  <c r="DR48" i="120"/>
  <c r="DI48" i="120"/>
  <c r="CW48" i="120"/>
  <c r="CV48" i="120"/>
  <c r="CU48" i="120"/>
  <c r="CL48" i="120"/>
  <c r="CC48" i="120"/>
  <c r="BQ48" i="120"/>
  <c r="BP48" i="120"/>
  <c r="BO48" i="120"/>
  <c r="BF48" i="120"/>
  <c r="AW48" i="120"/>
  <c r="Z48" i="120"/>
  <c r="EC47" i="120"/>
  <c r="EB47" i="120"/>
  <c r="EA47" i="120"/>
  <c r="DR47" i="120"/>
  <c r="DI47" i="120"/>
  <c r="CW47" i="120"/>
  <c r="CV47" i="120"/>
  <c r="CU47" i="120"/>
  <c r="CL47" i="120"/>
  <c r="CC47" i="120"/>
  <c r="BQ47" i="120"/>
  <c r="BP47" i="120"/>
  <c r="BO47" i="120"/>
  <c r="BF47" i="120"/>
  <c r="AW47" i="120"/>
  <c r="Z47" i="120"/>
  <c r="EC46" i="120"/>
  <c r="EB46" i="120"/>
  <c r="EA46" i="120"/>
  <c r="DR46" i="120"/>
  <c r="DI46" i="120"/>
  <c r="CW46" i="120"/>
  <c r="CV46" i="120"/>
  <c r="CU46" i="120"/>
  <c r="CL46" i="120"/>
  <c r="CC46" i="120"/>
  <c r="BQ46" i="120"/>
  <c r="BP46" i="120"/>
  <c r="BO46" i="120"/>
  <c r="BF46" i="120"/>
  <c r="AW46" i="120"/>
  <c r="Z46" i="120"/>
  <c r="EC45" i="120"/>
  <c r="EB45" i="120"/>
  <c r="EA45" i="120"/>
  <c r="DR45" i="120"/>
  <c r="DI45" i="120"/>
  <c r="CW45" i="120"/>
  <c r="CV45" i="120"/>
  <c r="CU45" i="120"/>
  <c r="CL45" i="120"/>
  <c r="CC45" i="120"/>
  <c r="BQ45" i="120"/>
  <c r="BP45" i="120"/>
  <c r="BO45" i="120"/>
  <c r="BF45" i="120"/>
  <c r="AW45" i="120"/>
  <c r="Z45" i="120"/>
  <c r="EC44" i="120"/>
  <c r="EB44" i="120"/>
  <c r="EA44" i="120"/>
  <c r="DR44" i="120"/>
  <c r="DI44" i="120"/>
  <c r="CW44" i="120"/>
  <c r="CV44" i="120"/>
  <c r="CU44" i="120"/>
  <c r="CL44" i="120"/>
  <c r="CC44" i="120"/>
  <c r="BQ44" i="120"/>
  <c r="BP44" i="120"/>
  <c r="BR44" i="120" s="1"/>
  <c r="BO44" i="120"/>
  <c r="BF44" i="120"/>
  <c r="AW44" i="120"/>
  <c r="Z44" i="120"/>
  <c r="EC43" i="120"/>
  <c r="EB43" i="120"/>
  <c r="EA43" i="120"/>
  <c r="DR43" i="120"/>
  <c r="DI43" i="120"/>
  <c r="CW43" i="120"/>
  <c r="CV43" i="120"/>
  <c r="CU43" i="120"/>
  <c r="CL43" i="120"/>
  <c r="CC43" i="120"/>
  <c r="BQ43" i="120"/>
  <c r="BP43" i="120"/>
  <c r="BO43" i="120"/>
  <c r="BF43" i="120"/>
  <c r="AW43" i="120"/>
  <c r="Z43" i="120"/>
  <c r="EC42" i="120"/>
  <c r="EB42" i="120"/>
  <c r="EA42" i="120"/>
  <c r="DR42" i="120"/>
  <c r="DI42" i="120"/>
  <c r="CW42" i="120"/>
  <c r="CV42" i="120"/>
  <c r="CU42" i="120"/>
  <c r="CL42" i="120"/>
  <c r="CC42" i="120"/>
  <c r="BQ42" i="120"/>
  <c r="BP42" i="120"/>
  <c r="BO42" i="120"/>
  <c r="BF42" i="120"/>
  <c r="AW42" i="120"/>
  <c r="Z42" i="120"/>
  <c r="EC41" i="120"/>
  <c r="EB41" i="120"/>
  <c r="EA41" i="120"/>
  <c r="DR41" i="120"/>
  <c r="DI41" i="120"/>
  <c r="CW41" i="120"/>
  <c r="CV41" i="120"/>
  <c r="CU41" i="120"/>
  <c r="CL41" i="120"/>
  <c r="CC41" i="120"/>
  <c r="BQ41" i="120"/>
  <c r="BP41" i="120"/>
  <c r="BO41" i="120"/>
  <c r="BF41" i="120"/>
  <c r="AW41" i="120"/>
  <c r="AJ41" i="120"/>
  <c r="Z41" i="120"/>
  <c r="DZ35" i="120"/>
  <c r="DY35" i="120"/>
  <c r="U5" i="120" s="1"/>
  <c r="DX35" i="120"/>
  <c r="DW35" i="120"/>
  <c r="DV35" i="120"/>
  <c r="DU35" i="120"/>
  <c r="DT35" i="120"/>
  <c r="DS35" i="120"/>
  <c r="DQ35" i="120"/>
  <c r="DP35" i="120"/>
  <c r="T5" i="120" s="1"/>
  <c r="DO35" i="120"/>
  <c r="DN35" i="120"/>
  <c r="DM35" i="120"/>
  <c r="DL35" i="120"/>
  <c r="DK35" i="120"/>
  <c r="DJ35" i="120"/>
  <c r="DH35" i="120"/>
  <c r="DG35" i="120"/>
  <c r="S5" i="120" s="1"/>
  <c r="DF35" i="120"/>
  <c r="DE35" i="120"/>
  <c r="DD35" i="120"/>
  <c r="DC35" i="120"/>
  <c r="DB35" i="120"/>
  <c r="DA35" i="120"/>
  <c r="CT35" i="120"/>
  <c r="CS35" i="120"/>
  <c r="CR35" i="120"/>
  <c r="CQ35" i="120"/>
  <c r="CP35" i="120"/>
  <c r="CO35" i="120"/>
  <c r="CN35" i="120"/>
  <c r="CM35" i="120"/>
  <c r="CK35" i="120"/>
  <c r="CJ35" i="120"/>
  <c r="CI35" i="120"/>
  <c r="CH35" i="120"/>
  <c r="CG35" i="120"/>
  <c r="CF35" i="120"/>
  <c r="CE35" i="120"/>
  <c r="CD35" i="120"/>
  <c r="CB35" i="120"/>
  <c r="CA35" i="120"/>
  <c r="BZ35" i="120"/>
  <c r="BY35" i="120"/>
  <c r="BX35" i="120"/>
  <c r="BW35" i="120"/>
  <c r="BV35" i="120"/>
  <c r="BU35" i="120"/>
  <c r="BN35" i="120"/>
  <c r="BM35" i="120"/>
  <c r="BL35" i="120"/>
  <c r="BK35" i="120"/>
  <c r="BJ35" i="120"/>
  <c r="BI35" i="120"/>
  <c r="BH35" i="120"/>
  <c r="BG35" i="120"/>
  <c r="BE35" i="120"/>
  <c r="BD35" i="120"/>
  <c r="N5" i="120" s="1"/>
  <c r="BC35" i="120"/>
  <c r="BB35" i="120"/>
  <c r="BA35" i="120"/>
  <c r="AZ35" i="120"/>
  <c r="AY35" i="120"/>
  <c r="AX35" i="120"/>
  <c r="AV35" i="120"/>
  <c r="AU35" i="120"/>
  <c r="M5" i="120" s="1"/>
  <c r="AT35" i="120"/>
  <c r="AS35" i="120"/>
  <c r="AR35" i="120"/>
  <c r="AQ35" i="120"/>
  <c r="AP35" i="120"/>
  <c r="AO35" i="120"/>
  <c r="AH35" i="120"/>
  <c r="AG35" i="120"/>
  <c r="L5" i="120" s="1"/>
  <c r="AF35" i="120"/>
  <c r="AE35" i="120"/>
  <c r="AD35" i="120"/>
  <c r="AC35" i="120"/>
  <c r="AB35" i="120"/>
  <c r="AA35" i="120"/>
  <c r="Y35" i="120"/>
  <c r="X35" i="120"/>
  <c r="K5" i="120" s="1"/>
  <c r="W35" i="120"/>
  <c r="V35" i="120"/>
  <c r="U35" i="120"/>
  <c r="T35" i="120"/>
  <c r="S35" i="120"/>
  <c r="R35" i="120"/>
  <c r="L35" i="120"/>
  <c r="K35" i="120"/>
  <c r="I35" i="120"/>
  <c r="EC34" i="120"/>
  <c r="EB34" i="120"/>
  <c r="CW34" i="120"/>
  <c r="CV34" i="120"/>
  <c r="BQ34" i="120"/>
  <c r="BP34" i="120"/>
  <c r="EC33" i="120"/>
  <c r="EB33" i="120"/>
  <c r="EA33" i="120"/>
  <c r="DR33" i="120"/>
  <c r="DI33" i="120"/>
  <c r="CW33" i="120"/>
  <c r="CV33" i="120"/>
  <c r="CU33" i="120"/>
  <c r="CL33" i="120"/>
  <c r="CC33" i="120"/>
  <c r="BQ33" i="120"/>
  <c r="BP33" i="120"/>
  <c r="BO33" i="120"/>
  <c r="BF33" i="120"/>
  <c r="AW33" i="120"/>
  <c r="AI33" i="120"/>
  <c r="EC32" i="120"/>
  <c r="EB32" i="120"/>
  <c r="EA32" i="120"/>
  <c r="DR32" i="120"/>
  <c r="DI32" i="120"/>
  <c r="CW32" i="120"/>
  <c r="CV32" i="120"/>
  <c r="CU32" i="120"/>
  <c r="CL32" i="120"/>
  <c r="CC32" i="120"/>
  <c r="BQ32" i="120"/>
  <c r="BP32" i="120"/>
  <c r="BO32" i="120"/>
  <c r="BF32" i="120"/>
  <c r="AW32" i="120"/>
  <c r="EC31" i="120"/>
  <c r="EB31" i="120"/>
  <c r="EA31" i="120"/>
  <c r="DR31" i="120"/>
  <c r="DI31" i="120"/>
  <c r="CW31" i="120"/>
  <c r="CV31" i="120"/>
  <c r="CU31" i="120"/>
  <c r="CL31" i="120"/>
  <c r="CC31" i="120"/>
  <c r="BQ31" i="120"/>
  <c r="BP31" i="120"/>
  <c r="BR31" i="120" s="1"/>
  <c r="BO31" i="120"/>
  <c r="BF31" i="120"/>
  <c r="AW31" i="120"/>
  <c r="EC30" i="120"/>
  <c r="EB30" i="120"/>
  <c r="EA30" i="120"/>
  <c r="DR30" i="120"/>
  <c r="DI30" i="120"/>
  <c r="CW30" i="120"/>
  <c r="CV30" i="120"/>
  <c r="CU30" i="120"/>
  <c r="CL30" i="120"/>
  <c r="CC30" i="120"/>
  <c r="BQ30" i="120"/>
  <c r="BP30" i="120"/>
  <c r="BO30" i="120"/>
  <c r="BF30" i="120"/>
  <c r="AW30" i="120"/>
  <c r="EC29" i="120"/>
  <c r="EB29" i="120"/>
  <c r="EA29" i="120"/>
  <c r="DR29" i="120"/>
  <c r="DI29" i="120"/>
  <c r="CW29" i="120"/>
  <c r="CV29" i="120"/>
  <c r="CU29" i="120"/>
  <c r="CL29" i="120"/>
  <c r="CC29" i="120"/>
  <c r="BQ29" i="120"/>
  <c r="BP29" i="120"/>
  <c r="BR29" i="120" s="1"/>
  <c r="BO29" i="120"/>
  <c r="BF29" i="120"/>
  <c r="AW29" i="120"/>
  <c r="EC25" i="120"/>
  <c r="EB25" i="120"/>
  <c r="EA25" i="120"/>
  <c r="DR25" i="120"/>
  <c r="DI25" i="120"/>
  <c r="CW25" i="120"/>
  <c r="CV25" i="120"/>
  <c r="CU25" i="120"/>
  <c r="CL25" i="120"/>
  <c r="CC25" i="120"/>
  <c r="BQ25" i="120"/>
  <c r="BP25" i="120"/>
  <c r="BO25" i="120"/>
  <c r="BF25" i="120"/>
  <c r="AW25" i="120"/>
  <c r="EC24" i="120"/>
  <c r="EB24" i="120"/>
  <c r="EA24" i="120"/>
  <c r="DR24" i="120"/>
  <c r="DI24" i="120"/>
  <c r="CW24" i="120"/>
  <c r="CV24" i="120"/>
  <c r="CU24" i="120"/>
  <c r="CL24" i="120"/>
  <c r="CC24" i="120"/>
  <c r="BQ24" i="120"/>
  <c r="BP24" i="120"/>
  <c r="BR24" i="120" s="1"/>
  <c r="BO24" i="120"/>
  <c r="BF24" i="120"/>
  <c r="AW24" i="120"/>
  <c r="EC23" i="120"/>
  <c r="EB23" i="120"/>
  <c r="EA23" i="120"/>
  <c r="DR23" i="120"/>
  <c r="DI23" i="120"/>
  <c r="CW23" i="120"/>
  <c r="CV23" i="120"/>
  <c r="CU23" i="120"/>
  <c r="CL23" i="120"/>
  <c r="CC23" i="120"/>
  <c r="BQ23" i="120"/>
  <c r="BP23" i="120"/>
  <c r="BO23" i="120"/>
  <c r="BF23" i="120"/>
  <c r="AW23" i="120"/>
  <c r="EC22" i="120"/>
  <c r="EB22" i="120"/>
  <c r="EA22" i="120"/>
  <c r="DR22" i="120"/>
  <c r="DI22" i="120"/>
  <c r="CW22" i="120"/>
  <c r="CV22" i="120"/>
  <c r="CU22" i="120"/>
  <c r="CL22" i="120"/>
  <c r="CC22" i="120"/>
  <c r="BQ22" i="120"/>
  <c r="BP22" i="120"/>
  <c r="BO22" i="120"/>
  <c r="BF22" i="120"/>
  <c r="AW22" i="120"/>
  <c r="EC21" i="120"/>
  <c r="EB21" i="120"/>
  <c r="EA21" i="120"/>
  <c r="DR21" i="120"/>
  <c r="DI21" i="120"/>
  <c r="CW21" i="120"/>
  <c r="CV21" i="120"/>
  <c r="CU21" i="120"/>
  <c r="CL21" i="120"/>
  <c r="CC21" i="120"/>
  <c r="BQ21" i="120"/>
  <c r="BP21" i="120"/>
  <c r="BO21" i="120"/>
  <c r="BF21" i="120"/>
  <c r="AW21" i="120"/>
  <c r="EC20" i="120"/>
  <c r="EB20" i="120"/>
  <c r="EA20" i="120"/>
  <c r="DR20" i="120"/>
  <c r="DI20" i="120"/>
  <c r="CW20" i="120"/>
  <c r="CV20" i="120"/>
  <c r="CU20" i="120"/>
  <c r="CL20" i="120"/>
  <c r="CC20" i="120"/>
  <c r="BQ20" i="120"/>
  <c r="BP20" i="120"/>
  <c r="BR20" i="120" s="1"/>
  <c r="BO20" i="120"/>
  <c r="BF20" i="120"/>
  <c r="AW20" i="120"/>
  <c r="EC19" i="120"/>
  <c r="EB19" i="120"/>
  <c r="EA19" i="120"/>
  <c r="DR19" i="120"/>
  <c r="DI19" i="120"/>
  <c r="CW19" i="120"/>
  <c r="CV19" i="120"/>
  <c r="CU19" i="120"/>
  <c r="CL19" i="120"/>
  <c r="CC19" i="120"/>
  <c r="BQ19" i="120"/>
  <c r="BP19" i="120"/>
  <c r="BO19" i="120"/>
  <c r="BF19" i="120"/>
  <c r="AW19" i="120"/>
  <c r="DS14" i="120"/>
  <c r="DJ14" i="120"/>
  <c r="DA14" i="120"/>
  <c r="CM14" i="120"/>
  <c r="CD14" i="120"/>
  <c r="BU14" i="120"/>
  <c r="BG14" i="120"/>
  <c r="AX14" i="120"/>
  <c r="AO14" i="120"/>
  <c r="U8" i="120"/>
  <c r="V4" i="120"/>
  <c r="V3" i="120"/>
  <c r="AQ9" i="109"/>
  <c r="AR9" i="109"/>
  <c r="AP9" i="109"/>
  <c r="AN8" i="108"/>
  <c r="AO8" i="108"/>
  <c r="AM8" i="108"/>
  <c r="CC93" i="120" l="1"/>
  <c r="DI93" i="120"/>
  <c r="BR22" i="120"/>
  <c r="AW86" i="120"/>
  <c r="Y96" i="120"/>
  <c r="K7" i="120"/>
  <c r="X96" i="120"/>
  <c r="BR53" i="120"/>
  <c r="BR59" i="120"/>
  <c r="CX64" i="120"/>
  <c r="ED75" i="120"/>
  <c r="ED82" i="120"/>
  <c r="BR19" i="120"/>
  <c r="BR21" i="120"/>
  <c r="BR23" i="120"/>
  <c r="BR25" i="120"/>
  <c r="BR30" i="120"/>
  <c r="CX62" i="120"/>
  <c r="CX19" i="120"/>
  <c r="CX21" i="120"/>
  <c r="CX25" i="120"/>
  <c r="CX30" i="120"/>
  <c r="ED93" i="120"/>
  <c r="ED72" i="120"/>
  <c r="BR83" i="120"/>
  <c r="BR47" i="120"/>
  <c r="CX23" i="120"/>
  <c r="BR73" i="120"/>
  <c r="BR79" i="120"/>
  <c r="DR93" i="120"/>
  <c r="AW65" i="120"/>
  <c r="CC65" i="120"/>
  <c r="BR76" i="120"/>
  <c r="BR82" i="120"/>
  <c r="ED31" i="120"/>
  <c r="ED79" i="120"/>
  <c r="P8" i="120"/>
  <c r="CX42" i="120"/>
  <c r="CX48" i="120"/>
  <c r="CX54" i="120"/>
  <c r="BR78" i="120"/>
  <c r="CX81" i="120"/>
  <c r="ED84" i="120"/>
  <c r="BR41" i="120"/>
  <c r="BR43" i="120"/>
  <c r="BR45" i="120"/>
  <c r="BR49" i="120"/>
  <c r="BR51" i="120"/>
  <c r="BR55" i="120"/>
  <c r="BR57" i="120"/>
  <c r="BR61" i="120"/>
  <c r="BR80" i="120"/>
  <c r="BO93" i="120"/>
  <c r="AL64" i="120"/>
  <c r="ED73" i="120"/>
  <c r="BR84" i="120"/>
  <c r="ED74" i="120"/>
  <c r="BR72" i="120"/>
  <c r="CX75" i="120"/>
  <c r="ED78" i="120"/>
  <c r="BR92" i="120"/>
  <c r="ED41" i="120"/>
  <c r="ED43" i="120"/>
  <c r="ED45" i="120"/>
  <c r="ED47" i="120"/>
  <c r="ED49" i="120"/>
  <c r="ED51" i="120"/>
  <c r="ED53" i="120"/>
  <c r="ED55" i="120"/>
  <c r="ED57" i="120"/>
  <c r="ED59" i="120"/>
  <c r="ED61" i="120"/>
  <c r="BR74" i="120"/>
  <c r="ED80" i="120"/>
  <c r="BF35" i="120"/>
  <c r="BQ93" i="120"/>
  <c r="BR93" i="120" s="1"/>
  <c r="CU35" i="120"/>
  <c r="ED77" i="120"/>
  <c r="AW93" i="120"/>
  <c r="ED42" i="120"/>
  <c r="ED44" i="120"/>
  <c r="ED46" i="120"/>
  <c r="ED48" i="120"/>
  <c r="ED50" i="120"/>
  <c r="ED52" i="120"/>
  <c r="ED54" i="120"/>
  <c r="ED56" i="120"/>
  <c r="ED58" i="120"/>
  <c r="ED60" i="120"/>
  <c r="ED62" i="120"/>
  <c r="BR75" i="120"/>
  <c r="CX78" i="120"/>
  <c r="ED81" i="120"/>
  <c r="Z93" i="120"/>
  <c r="BF93" i="120"/>
  <c r="EA93" i="120"/>
  <c r="CX45" i="120"/>
  <c r="CX51" i="120"/>
  <c r="CX57" i="120"/>
  <c r="BR77" i="120"/>
  <c r="ED83" i="120"/>
  <c r="ED19" i="120"/>
  <c r="ED21" i="120"/>
  <c r="ED23" i="120"/>
  <c r="ED25" i="120"/>
  <c r="ED30" i="120"/>
  <c r="ED32" i="120"/>
  <c r="BR42" i="120"/>
  <c r="BR46" i="120"/>
  <c r="BR48" i="120"/>
  <c r="BR52" i="120"/>
  <c r="BR54" i="120"/>
  <c r="BR58" i="120"/>
  <c r="BR60" i="120"/>
  <c r="BR81" i="120"/>
  <c r="CX84" i="120"/>
  <c r="CL93" i="120"/>
  <c r="S10" i="120"/>
  <c r="S12" i="120" s="1"/>
  <c r="BF86" i="120"/>
  <c r="BR64" i="120"/>
  <c r="CX74" i="120"/>
  <c r="CX80" i="120"/>
  <c r="CX47" i="120"/>
  <c r="CX53" i="120"/>
  <c r="CX59" i="120"/>
  <c r="CX79" i="120"/>
  <c r="CX29" i="120"/>
  <c r="CX33" i="120"/>
  <c r="Q10" i="120"/>
  <c r="Q12" i="120" s="1"/>
  <c r="AI65" i="120"/>
  <c r="AI35" i="120"/>
  <c r="EB65" i="120"/>
  <c r="CX43" i="120"/>
  <c r="CX46" i="120"/>
  <c r="CX49" i="120"/>
  <c r="CX52" i="120"/>
  <c r="CX55" i="120"/>
  <c r="CX58" i="120"/>
  <c r="ED85" i="120"/>
  <c r="CU86" i="120"/>
  <c r="CX56" i="120"/>
  <c r="M7" i="120"/>
  <c r="CX76" i="120"/>
  <c r="CX31" i="120"/>
  <c r="K10" i="120"/>
  <c r="K12" i="120" s="1"/>
  <c r="BO65" i="120"/>
  <c r="DI86" i="120"/>
  <c r="R5" i="120"/>
  <c r="R9" i="120" s="1"/>
  <c r="R11" i="120" s="1"/>
  <c r="DI35" i="120"/>
  <c r="CX77" i="120"/>
  <c r="CX83" i="120"/>
  <c r="BP86" i="120"/>
  <c r="CX44" i="120"/>
  <c r="N8" i="120"/>
  <c r="CX34" i="120"/>
  <c r="CX73" i="120"/>
  <c r="CX82" i="120"/>
  <c r="O8" i="120"/>
  <c r="CX22" i="120"/>
  <c r="CX24" i="120"/>
  <c r="T10" i="120"/>
  <c r="T12" i="120" s="1"/>
  <c r="BR63" i="120"/>
  <c r="M6" i="120"/>
  <c r="S8" i="120"/>
  <c r="S9" i="120" s="1"/>
  <c r="S11" i="120" s="1"/>
  <c r="ED20" i="120"/>
  <c r="ED22" i="120"/>
  <c r="ED24" i="120"/>
  <c r="ED29" i="120"/>
  <c r="M10" i="120"/>
  <c r="M12" i="120" s="1"/>
  <c r="CX63" i="120"/>
  <c r="ED64" i="120"/>
  <c r="CL65" i="120"/>
  <c r="BR85" i="120"/>
  <c r="CX41" i="120"/>
  <c r="CX50" i="120"/>
  <c r="ED63" i="120"/>
  <c r="ED92" i="120"/>
  <c r="N7" i="120"/>
  <c r="CX20" i="120"/>
  <c r="N10" i="120"/>
  <c r="N12" i="120" s="1"/>
  <c r="CC35" i="120"/>
  <c r="O6" i="120"/>
  <c r="CV35" i="120"/>
  <c r="CX60" i="120"/>
  <c r="K96" i="120"/>
  <c r="L96" i="120"/>
  <c r="L6" i="120"/>
  <c r="L9" i="120" s="1"/>
  <c r="L11" i="120" s="1"/>
  <c r="CU65" i="120"/>
  <c r="T96" i="120"/>
  <c r="U9" i="120"/>
  <c r="U11" i="120" s="1"/>
  <c r="P10" i="120"/>
  <c r="P12" i="120" s="1"/>
  <c r="U96" i="120"/>
  <c r="L10" i="120"/>
  <c r="L12" i="120" s="1"/>
  <c r="O10" i="120"/>
  <c r="O12" i="120" s="1"/>
  <c r="BF65" i="120"/>
  <c r="CV65" i="120"/>
  <c r="DI65" i="120"/>
  <c r="BP65" i="120"/>
  <c r="DR65" i="120"/>
  <c r="K9" i="120"/>
  <c r="K11" i="120" s="1"/>
  <c r="T9" i="120"/>
  <c r="T11" i="120" s="1"/>
  <c r="DR35" i="120"/>
  <c r="BR34" i="120"/>
  <c r="BO35" i="120"/>
  <c r="BR32" i="120"/>
  <c r="U10" i="120"/>
  <c r="U12" i="120" s="1"/>
  <c r="CX32" i="120"/>
  <c r="BR33" i="120"/>
  <c r="AW35" i="120"/>
  <c r="O5" i="120"/>
  <c r="ED34" i="120"/>
  <c r="CL35" i="120"/>
  <c r="ED33" i="120"/>
  <c r="P5" i="120"/>
  <c r="AJ86" i="120"/>
  <c r="AJ65" i="120"/>
  <c r="J35" i="120"/>
  <c r="AJ35" i="120"/>
  <c r="CW86" i="120"/>
  <c r="BQ65" i="120"/>
  <c r="EC65" i="120"/>
  <c r="CW65" i="120"/>
  <c r="CX72" i="120"/>
  <c r="Q5" i="120"/>
  <c r="Q9" i="120" s="1"/>
  <c r="Q11" i="120" s="1"/>
  <c r="P6" i="120"/>
  <c r="Z35" i="120"/>
  <c r="EB86" i="120"/>
  <c r="AI86" i="120"/>
  <c r="Z65" i="120"/>
  <c r="EC86" i="120"/>
  <c r="CX92" i="120"/>
  <c r="CW93" i="120"/>
  <c r="CX93" i="120" s="1"/>
  <c r="CW35" i="120"/>
  <c r="CU93" i="120"/>
  <c r="EA35" i="120"/>
  <c r="BP35" i="120"/>
  <c r="EB35" i="120"/>
  <c r="BQ86" i="120"/>
  <c r="EA65" i="120"/>
  <c r="EC35" i="120"/>
  <c r="BQ35" i="120"/>
  <c r="CV86" i="120"/>
  <c r="CX85" i="120"/>
  <c r="Z86" i="120"/>
  <c r="BO86" i="120"/>
  <c r="CL86" i="120"/>
  <c r="EA86" i="120"/>
  <c r="CC86" i="120"/>
  <c r="DR86" i="120"/>
  <c r="AV25" i="106"/>
  <c r="AX7" i="106"/>
  <c r="AX8" i="106"/>
  <c r="AX9" i="106"/>
  <c r="AX10" i="106"/>
  <c r="AX11" i="106"/>
  <c r="AX12" i="106"/>
  <c r="AX13" i="106"/>
  <c r="AX14" i="106"/>
  <c r="AX15" i="106"/>
  <c r="AX16" i="106"/>
  <c r="AX17" i="106"/>
  <c r="AX18" i="106"/>
  <c r="AX19" i="106"/>
  <c r="AX20" i="106"/>
  <c r="AX21" i="106"/>
  <c r="AX22" i="106"/>
  <c r="AX23" i="106"/>
  <c r="AX24" i="106"/>
  <c r="AW7" i="106"/>
  <c r="AW8" i="106"/>
  <c r="AW9" i="106"/>
  <c r="AW10" i="106"/>
  <c r="AW11" i="106"/>
  <c r="AW12" i="106"/>
  <c r="AW13" i="106"/>
  <c r="AW14" i="106"/>
  <c r="AW15" i="106"/>
  <c r="AW16" i="106"/>
  <c r="AW17" i="106"/>
  <c r="AW18" i="106"/>
  <c r="AW19" i="106"/>
  <c r="AW20" i="106"/>
  <c r="AW21" i="106"/>
  <c r="AW22" i="106"/>
  <c r="AW23" i="106"/>
  <c r="AW24" i="106"/>
  <c r="AW25" i="106"/>
  <c r="AV7" i="106"/>
  <c r="AV8" i="106"/>
  <c r="AV9" i="106"/>
  <c r="AV10" i="106"/>
  <c r="AV11" i="106"/>
  <c r="AV12" i="106"/>
  <c r="AV13" i="106"/>
  <c r="AV14" i="106"/>
  <c r="AV15" i="106"/>
  <c r="AV17" i="106"/>
  <c r="AV18" i="106"/>
  <c r="AV19" i="106"/>
  <c r="AV20" i="106"/>
  <c r="AV21" i="106"/>
  <c r="AV22" i="106"/>
  <c r="AV23" i="106"/>
  <c r="AV24" i="106"/>
  <c r="AW6" i="106"/>
  <c r="AX6" i="106"/>
  <c r="AV6" i="106"/>
  <c r="AL7" i="115"/>
  <c r="AJ7" i="115"/>
  <c r="AK7" i="115"/>
  <c r="N9" i="120" l="1"/>
  <c r="N11" i="120" s="1"/>
  <c r="M9" i="120"/>
  <c r="M11" i="120" s="1"/>
  <c r="CX35" i="120"/>
  <c r="AV389" i="106"/>
  <c r="AW389" i="106"/>
  <c r="P9" i="120"/>
  <c r="P11" i="120" s="1"/>
  <c r="O9" i="120"/>
  <c r="O11" i="120" s="1"/>
  <c r="ED65" i="120"/>
  <c r="ED86" i="120"/>
  <c r="BR86" i="120"/>
  <c r="BR65" i="120"/>
  <c r="CX65" i="120"/>
  <c r="ED35" i="120"/>
  <c r="CX86" i="120"/>
  <c r="BR35" i="120"/>
  <c r="AO19" i="119"/>
  <c r="AN19" i="119"/>
  <c r="AM19" i="119"/>
  <c r="AO18" i="119"/>
  <c r="AN18" i="119"/>
  <c r="AM18" i="119"/>
  <c r="AO17" i="119"/>
  <c r="AN17" i="119"/>
  <c r="AM17" i="119"/>
  <c r="AO16" i="119"/>
  <c r="AN16" i="119"/>
  <c r="AM16" i="119"/>
  <c r="AO15" i="119"/>
  <c r="AN15" i="119"/>
  <c r="AM15" i="119"/>
  <c r="AO14" i="119"/>
  <c r="AN14" i="119"/>
  <c r="AM14" i="119"/>
  <c r="AO13" i="119"/>
  <c r="AN13" i="119"/>
  <c r="AM13" i="119"/>
  <c r="AO12" i="119"/>
  <c r="AN12" i="119"/>
  <c r="AM12" i="119"/>
  <c r="AO11" i="119"/>
  <c r="AN11" i="119"/>
  <c r="AM11" i="119"/>
  <c r="AO10" i="119"/>
  <c r="AN10" i="119"/>
  <c r="AM10" i="119"/>
  <c r="AO9" i="119"/>
  <c r="AN9" i="119"/>
  <c r="AM9" i="119"/>
  <c r="AO8" i="119"/>
  <c r="AN8" i="119"/>
  <c r="AM8" i="119"/>
  <c r="AO7" i="119"/>
  <c r="AN7" i="119"/>
  <c r="AM7" i="119"/>
  <c r="AB392" i="118"/>
  <c r="AA392" i="118"/>
  <c r="AX391" i="118"/>
  <c r="AW391" i="118"/>
  <c r="AV391" i="118"/>
  <c r="AX390" i="118"/>
  <c r="AW390" i="118"/>
  <c r="AV390" i="118"/>
  <c r="AX389" i="118"/>
  <c r="AW389" i="118"/>
  <c r="AV389" i="118"/>
  <c r="AX388" i="118"/>
  <c r="AW388" i="118"/>
  <c r="AV388" i="118"/>
  <c r="AX387" i="118"/>
  <c r="AW387" i="118"/>
  <c r="AV387" i="118"/>
  <c r="AX386" i="118"/>
  <c r="AW386" i="118"/>
  <c r="AV386" i="118"/>
  <c r="AX385" i="118"/>
  <c r="AW385" i="118"/>
  <c r="AV385" i="118"/>
  <c r="AX384" i="118"/>
  <c r="AW384" i="118"/>
  <c r="AV384" i="118"/>
  <c r="AX383" i="118"/>
  <c r="AW383" i="118"/>
  <c r="AV383" i="118"/>
  <c r="AX382" i="118"/>
  <c r="AW382" i="118"/>
  <c r="AV382" i="118"/>
  <c r="AX381" i="118"/>
  <c r="AW381" i="118"/>
  <c r="AV381" i="118"/>
  <c r="AX380" i="118"/>
  <c r="AW380" i="118"/>
  <c r="AV380" i="118"/>
  <c r="AX379" i="118"/>
  <c r="AW379" i="118"/>
  <c r="AV379" i="118"/>
  <c r="AX378" i="118"/>
  <c r="AW378" i="118"/>
  <c r="AV378" i="118"/>
  <c r="AX377" i="118"/>
  <c r="AW377" i="118"/>
  <c r="AV377" i="118"/>
  <c r="AX376" i="118"/>
  <c r="AW376" i="118"/>
  <c r="AV376" i="118"/>
  <c r="AX375" i="118"/>
  <c r="AW375" i="118"/>
  <c r="AV375" i="118"/>
  <c r="AX374" i="118"/>
  <c r="AW374" i="118"/>
  <c r="AV374" i="118"/>
  <c r="AX373" i="118"/>
  <c r="AW373" i="118"/>
  <c r="AV373" i="118"/>
  <c r="AX372" i="118"/>
  <c r="AW372" i="118"/>
  <c r="AV372" i="118"/>
  <c r="AX371" i="118"/>
  <c r="AW371" i="118"/>
  <c r="AV371" i="118"/>
  <c r="AX370" i="118"/>
  <c r="AW370" i="118"/>
  <c r="AV370" i="118"/>
  <c r="AB362" i="118"/>
  <c r="AA362" i="118"/>
  <c r="AX361" i="118"/>
  <c r="AW361" i="118"/>
  <c r="AV361" i="118"/>
  <c r="AX360" i="118"/>
  <c r="AW360" i="118"/>
  <c r="AV360" i="118"/>
  <c r="AX359" i="118"/>
  <c r="AW359" i="118"/>
  <c r="AV359" i="118"/>
  <c r="AX358" i="118"/>
  <c r="AW358" i="118"/>
  <c r="AV358" i="118"/>
  <c r="AX357" i="118"/>
  <c r="AW357" i="118"/>
  <c r="AV357" i="118"/>
  <c r="AX356" i="118"/>
  <c r="AW356" i="118"/>
  <c r="AV356" i="118"/>
  <c r="AX355" i="118"/>
  <c r="AW355" i="118"/>
  <c r="AV355" i="118"/>
  <c r="AX354" i="118"/>
  <c r="AW354" i="118"/>
  <c r="AV354" i="118"/>
  <c r="AX353" i="118"/>
  <c r="AW353" i="118"/>
  <c r="AV353" i="118"/>
  <c r="AX352" i="118"/>
  <c r="AW352" i="118"/>
  <c r="AV352" i="118"/>
  <c r="AX351" i="118"/>
  <c r="AW351" i="118"/>
  <c r="AV351" i="118"/>
  <c r="AX350" i="118"/>
  <c r="AW350" i="118"/>
  <c r="AV350" i="118"/>
  <c r="AX349" i="118"/>
  <c r="AW349" i="118"/>
  <c r="AV349" i="118"/>
  <c r="AX348" i="118"/>
  <c r="AW348" i="118"/>
  <c r="AV348" i="118"/>
  <c r="AX347" i="118"/>
  <c r="AW347" i="118"/>
  <c r="AV347" i="118"/>
  <c r="AX346" i="118"/>
  <c r="AW346" i="118"/>
  <c r="AV346" i="118"/>
  <c r="AX345" i="118"/>
  <c r="AW345" i="118"/>
  <c r="AV345" i="118"/>
  <c r="AX344" i="118"/>
  <c r="AW344" i="118"/>
  <c r="AV344" i="118"/>
  <c r="AX343" i="118"/>
  <c r="AW343" i="118"/>
  <c r="AV343" i="118"/>
  <c r="AX342" i="118"/>
  <c r="AW342" i="118"/>
  <c r="AV342" i="118"/>
  <c r="AX341" i="118"/>
  <c r="AW341" i="118"/>
  <c r="AV341" i="118"/>
  <c r="AB334" i="118"/>
  <c r="AA334" i="118"/>
  <c r="AX333" i="118"/>
  <c r="AW333" i="118"/>
  <c r="AV333" i="118"/>
  <c r="AX332" i="118"/>
  <c r="AW332" i="118"/>
  <c r="AV332" i="118"/>
  <c r="AX331" i="118"/>
  <c r="AW331" i="118"/>
  <c r="AV331" i="118"/>
  <c r="AX330" i="118"/>
  <c r="AW330" i="118"/>
  <c r="AV330" i="118"/>
  <c r="AX329" i="118"/>
  <c r="AW329" i="118"/>
  <c r="AV329" i="118"/>
  <c r="AX328" i="118"/>
  <c r="AW328" i="118"/>
  <c r="AV328" i="118"/>
  <c r="AX327" i="118"/>
  <c r="AW327" i="118"/>
  <c r="AV327" i="118"/>
  <c r="AX326" i="118"/>
  <c r="AW326" i="118"/>
  <c r="AV326" i="118"/>
  <c r="AX325" i="118"/>
  <c r="AW325" i="118"/>
  <c r="AV325" i="118"/>
  <c r="AX324" i="118"/>
  <c r="AW324" i="118"/>
  <c r="AV324" i="118"/>
  <c r="AX323" i="118"/>
  <c r="AW323" i="118"/>
  <c r="AV323" i="118"/>
  <c r="AX322" i="118"/>
  <c r="AW322" i="118"/>
  <c r="AV322" i="118"/>
  <c r="AX321" i="118"/>
  <c r="AW321" i="118"/>
  <c r="AV321" i="118"/>
  <c r="AX320" i="118"/>
  <c r="AW320" i="118"/>
  <c r="AV320" i="118"/>
  <c r="AX319" i="118"/>
  <c r="AW319" i="118"/>
  <c r="AV319" i="118"/>
  <c r="AX318" i="118"/>
  <c r="AW318" i="118"/>
  <c r="AV318" i="118"/>
  <c r="AX317" i="118"/>
  <c r="AW317" i="118"/>
  <c r="AV317" i="118"/>
  <c r="AX316" i="118"/>
  <c r="AW316" i="118"/>
  <c r="AV316" i="118"/>
  <c r="AX315" i="118"/>
  <c r="AW315" i="118"/>
  <c r="AV315" i="118"/>
  <c r="AX314" i="118"/>
  <c r="AW314" i="118"/>
  <c r="AV314" i="118"/>
  <c r="AX313" i="118"/>
  <c r="AW313" i="118"/>
  <c r="AV313" i="118"/>
  <c r="AB306" i="118"/>
  <c r="AA306" i="118"/>
  <c r="AX305" i="118"/>
  <c r="AW305" i="118"/>
  <c r="AV305" i="118"/>
  <c r="AX304" i="118"/>
  <c r="AW304" i="118"/>
  <c r="AV304" i="118"/>
  <c r="AX303" i="118"/>
  <c r="AW303" i="118"/>
  <c r="AV303" i="118"/>
  <c r="AX302" i="118"/>
  <c r="AW302" i="118"/>
  <c r="AV302" i="118"/>
  <c r="AX301" i="118"/>
  <c r="AW301" i="118"/>
  <c r="AV301" i="118"/>
  <c r="AX300" i="118"/>
  <c r="AW300" i="118"/>
  <c r="AV300" i="118"/>
  <c r="AX299" i="118"/>
  <c r="AW299" i="118"/>
  <c r="AV299" i="118"/>
  <c r="AX298" i="118"/>
  <c r="AW298" i="118"/>
  <c r="AV298" i="118"/>
  <c r="AX297" i="118"/>
  <c r="AW297" i="118"/>
  <c r="AV297" i="118"/>
  <c r="AX296" i="118"/>
  <c r="AW296" i="118"/>
  <c r="AV296" i="118"/>
  <c r="AX295" i="118"/>
  <c r="AW295" i="118"/>
  <c r="AV295" i="118"/>
  <c r="AX294" i="118"/>
  <c r="AW294" i="118"/>
  <c r="AV294" i="118"/>
  <c r="AX293" i="118"/>
  <c r="AW293" i="118"/>
  <c r="AV293" i="118"/>
  <c r="AX292" i="118"/>
  <c r="AW292" i="118"/>
  <c r="AV292" i="118"/>
  <c r="AX291" i="118"/>
  <c r="AW291" i="118"/>
  <c r="AV291" i="118"/>
  <c r="AX290" i="118"/>
  <c r="AW290" i="118"/>
  <c r="AV290" i="118"/>
  <c r="AX289" i="118"/>
  <c r="AW289" i="118"/>
  <c r="AV289" i="118"/>
  <c r="AX288" i="118"/>
  <c r="AW288" i="118"/>
  <c r="AV288" i="118"/>
  <c r="AX287" i="118"/>
  <c r="AW287" i="118"/>
  <c r="AV287" i="118"/>
  <c r="AX286" i="118"/>
  <c r="AW286" i="118"/>
  <c r="AV286" i="118"/>
  <c r="AX285" i="118"/>
  <c r="AW285" i="118"/>
  <c r="AV285" i="118"/>
  <c r="AB277" i="118"/>
  <c r="AA277" i="118"/>
  <c r="AX276" i="118"/>
  <c r="AW276" i="118"/>
  <c r="AV276" i="118"/>
  <c r="AX275" i="118"/>
  <c r="AW275" i="118"/>
  <c r="AV275" i="118"/>
  <c r="AX274" i="118"/>
  <c r="AW274" i="118"/>
  <c r="AV274" i="118"/>
  <c r="AX273" i="118"/>
  <c r="AW273" i="118"/>
  <c r="AV273" i="118"/>
  <c r="AX272" i="118"/>
  <c r="AW272" i="118"/>
  <c r="AV272" i="118"/>
  <c r="AX271" i="118"/>
  <c r="AW271" i="118"/>
  <c r="AV271" i="118"/>
  <c r="AX270" i="118"/>
  <c r="AW270" i="118"/>
  <c r="AV270" i="118"/>
  <c r="AX269" i="118"/>
  <c r="AW269" i="118"/>
  <c r="AV269" i="118"/>
  <c r="AX268" i="118"/>
  <c r="AW268" i="118"/>
  <c r="AV268" i="118"/>
  <c r="AX267" i="118"/>
  <c r="AW267" i="118"/>
  <c r="AV267" i="118"/>
  <c r="AX266" i="118"/>
  <c r="AW266" i="118"/>
  <c r="AV266" i="118"/>
  <c r="AX265" i="118"/>
  <c r="AW265" i="118"/>
  <c r="AV265" i="118"/>
  <c r="AX264" i="118"/>
  <c r="AW264" i="118"/>
  <c r="AV264" i="118"/>
  <c r="AX263" i="118"/>
  <c r="AW263" i="118"/>
  <c r="AV263" i="118"/>
  <c r="AX262" i="118"/>
  <c r="AW262" i="118"/>
  <c r="AV262" i="118"/>
  <c r="AX261" i="118"/>
  <c r="AW261" i="118"/>
  <c r="AV261" i="118"/>
  <c r="AX260" i="118"/>
  <c r="AW260" i="118"/>
  <c r="AV260" i="118"/>
  <c r="AX259" i="118"/>
  <c r="AW259" i="118"/>
  <c r="AV259" i="118"/>
  <c r="AX258" i="118"/>
  <c r="AW258" i="118"/>
  <c r="AV258" i="118"/>
  <c r="AX257" i="118"/>
  <c r="AW257" i="118"/>
  <c r="AV257" i="118"/>
  <c r="AX256" i="118"/>
  <c r="AW256" i="118"/>
  <c r="AV256" i="118"/>
  <c r="AX255" i="118"/>
  <c r="AW255" i="118"/>
  <c r="AV255" i="118"/>
  <c r="AX254" i="118"/>
  <c r="AW254" i="118"/>
  <c r="AV254" i="118"/>
  <c r="AX253" i="118"/>
  <c r="AW253" i="118"/>
  <c r="AV253" i="118"/>
  <c r="AX252" i="118"/>
  <c r="AW252" i="118"/>
  <c r="AV252" i="118"/>
  <c r="AX251" i="118"/>
  <c r="AW251" i="118"/>
  <c r="AV251" i="118"/>
  <c r="AX250" i="118"/>
  <c r="AW250" i="118"/>
  <c r="AV250" i="118"/>
  <c r="AX249" i="118"/>
  <c r="AW249" i="118"/>
  <c r="AV249" i="118"/>
  <c r="AX248" i="118"/>
  <c r="AW248" i="118"/>
  <c r="AV248" i="118"/>
  <c r="AB240" i="118"/>
  <c r="AA240" i="118"/>
  <c r="AX239" i="118"/>
  <c r="AW239" i="118"/>
  <c r="AV239" i="118"/>
  <c r="AX238" i="118"/>
  <c r="AW238" i="118"/>
  <c r="AV238" i="118"/>
  <c r="AX237" i="118"/>
  <c r="AW237" i="118"/>
  <c r="AV237" i="118"/>
  <c r="AX236" i="118"/>
  <c r="AW236" i="118"/>
  <c r="AV236" i="118"/>
  <c r="AX235" i="118"/>
  <c r="AW235" i="118"/>
  <c r="AV235" i="118"/>
  <c r="AX234" i="118"/>
  <c r="AW234" i="118"/>
  <c r="AV234" i="118"/>
  <c r="AX233" i="118"/>
  <c r="AW233" i="118"/>
  <c r="AV233" i="118"/>
  <c r="AX232" i="118"/>
  <c r="AW232" i="118"/>
  <c r="AV232" i="118"/>
  <c r="AX231" i="118"/>
  <c r="AW231" i="118"/>
  <c r="AV231" i="118"/>
  <c r="AX230" i="118"/>
  <c r="AW230" i="118"/>
  <c r="AV230" i="118"/>
  <c r="AX229" i="118"/>
  <c r="AW229" i="118"/>
  <c r="AV229" i="118"/>
  <c r="AX228" i="118"/>
  <c r="AW228" i="118"/>
  <c r="AV228" i="118"/>
  <c r="AX227" i="118"/>
  <c r="AW227" i="118"/>
  <c r="AV227" i="118"/>
  <c r="AX226" i="118"/>
  <c r="AW226" i="118"/>
  <c r="AV226" i="118"/>
  <c r="AX225" i="118"/>
  <c r="AW225" i="118"/>
  <c r="AV225" i="118"/>
  <c r="AX224" i="118"/>
  <c r="AW224" i="118"/>
  <c r="AV224" i="118"/>
  <c r="AX223" i="118"/>
  <c r="AW223" i="118"/>
  <c r="AV223" i="118"/>
  <c r="AX222" i="118"/>
  <c r="AW222" i="118"/>
  <c r="AV222" i="118"/>
  <c r="AX221" i="118"/>
  <c r="AW221" i="118"/>
  <c r="AV221" i="118"/>
  <c r="AX220" i="118"/>
  <c r="AW220" i="118"/>
  <c r="AV220" i="118"/>
  <c r="AX219" i="118"/>
  <c r="AW219" i="118"/>
  <c r="AV219" i="118"/>
  <c r="AX218" i="118"/>
  <c r="AW218" i="118"/>
  <c r="AV218" i="118"/>
  <c r="AX217" i="118"/>
  <c r="AW217" i="118"/>
  <c r="AV217" i="118"/>
  <c r="AX216" i="118"/>
  <c r="AW216" i="118"/>
  <c r="AV216" i="118"/>
  <c r="AX215" i="118"/>
  <c r="AW215" i="118"/>
  <c r="AV215" i="118"/>
  <c r="AX214" i="118"/>
  <c r="AW214" i="118"/>
  <c r="AV214" i="118"/>
  <c r="AX213" i="118"/>
  <c r="AW213" i="118"/>
  <c r="AV213" i="118"/>
  <c r="AX212" i="118"/>
  <c r="AW212" i="118"/>
  <c r="AV212" i="118"/>
  <c r="AB204" i="118"/>
  <c r="AA204" i="118"/>
  <c r="AX203" i="118"/>
  <c r="AW203" i="118"/>
  <c r="AV203" i="118"/>
  <c r="AX202" i="118"/>
  <c r="AW202" i="118"/>
  <c r="AV202" i="118"/>
  <c r="AX201" i="118"/>
  <c r="AW201" i="118"/>
  <c r="AV201" i="118"/>
  <c r="AX200" i="118"/>
  <c r="AW200" i="118"/>
  <c r="AV200" i="118"/>
  <c r="AX199" i="118"/>
  <c r="AW199" i="118"/>
  <c r="AV199" i="118"/>
  <c r="AX198" i="118"/>
  <c r="AW198" i="118"/>
  <c r="AV198" i="118"/>
  <c r="AX197" i="118"/>
  <c r="AW197" i="118"/>
  <c r="AV197" i="118"/>
  <c r="AX196" i="118"/>
  <c r="AW196" i="118"/>
  <c r="AV196" i="118"/>
  <c r="AX195" i="118"/>
  <c r="AW195" i="118"/>
  <c r="AV195" i="118"/>
  <c r="AX194" i="118"/>
  <c r="AW194" i="118"/>
  <c r="AV194" i="118"/>
  <c r="AX193" i="118"/>
  <c r="AW193" i="118"/>
  <c r="AV193" i="118"/>
  <c r="AX192" i="118"/>
  <c r="AW192" i="118"/>
  <c r="AV192" i="118"/>
  <c r="AX191" i="118"/>
  <c r="AW191" i="118"/>
  <c r="AV191" i="118"/>
  <c r="AX190" i="118"/>
  <c r="AW190" i="118"/>
  <c r="AV190" i="118"/>
  <c r="AX189" i="118"/>
  <c r="AW189" i="118"/>
  <c r="AV189" i="118"/>
  <c r="AX188" i="118"/>
  <c r="AW188" i="118"/>
  <c r="AV188" i="118"/>
  <c r="AX187" i="118"/>
  <c r="AW187" i="118"/>
  <c r="AV187" i="118"/>
  <c r="AX186" i="118"/>
  <c r="AW186" i="118"/>
  <c r="AV186" i="118"/>
  <c r="AX185" i="118"/>
  <c r="AW185" i="118"/>
  <c r="AV185" i="118"/>
  <c r="AX184" i="118"/>
  <c r="AW184" i="118"/>
  <c r="AV184" i="118"/>
  <c r="AX183" i="118"/>
  <c r="AW183" i="118"/>
  <c r="AV183" i="118"/>
  <c r="AX182" i="118"/>
  <c r="AW182" i="118"/>
  <c r="AV182" i="118"/>
  <c r="AX181" i="118"/>
  <c r="AW181" i="118"/>
  <c r="AV181" i="118"/>
  <c r="AX180" i="118"/>
  <c r="AW180" i="118"/>
  <c r="AV180" i="118"/>
  <c r="AX179" i="118"/>
  <c r="AW179" i="118"/>
  <c r="AV179" i="118"/>
  <c r="AX178" i="118"/>
  <c r="AW178" i="118"/>
  <c r="AV178" i="118"/>
  <c r="AX177" i="118"/>
  <c r="AW177" i="118"/>
  <c r="AV177" i="118"/>
  <c r="AX176" i="118"/>
  <c r="AW176" i="118"/>
  <c r="AV176" i="118"/>
  <c r="AB168" i="118"/>
  <c r="AA168" i="118"/>
  <c r="AX167" i="118"/>
  <c r="AW167" i="118"/>
  <c r="AV167" i="118"/>
  <c r="AX166" i="118"/>
  <c r="AW166" i="118"/>
  <c r="AV166" i="118"/>
  <c r="AX165" i="118"/>
  <c r="AW165" i="118"/>
  <c r="AV165" i="118"/>
  <c r="AX164" i="118"/>
  <c r="AW164" i="118"/>
  <c r="AV164" i="118"/>
  <c r="AX163" i="118"/>
  <c r="AW163" i="118"/>
  <c r="AV163" i="118"/>
  <c r="AX162" i="118"/>
  <c r="AW162" i="118"/>
  <c r="AV162" i="118"/>
  <c r="AX161" i="118"/>
  <c r="AW161" i="118"/>
  <c r="AV161" i="118"/>
  <c r="AX160" i="118"/>
  <c r="AW160" i="118"/>
  <c r="AV160" i="118"/>
  <c r="AX159" i="118"/>
  <c r="AW159" i="118"/>
  <c r="AV159" i="118"/>
  <c r="AX158" i="118"/>
  <c r="AW158" i="118"/>
  <c r="AV158" i="118"/>
  <c r="AX157" i="118"/>
  <c r="AW157" i="118"/>
  <c r="AV157" i="118"/>
  <c r="AX156" i="118"/>
  <c r="AW156" i="118"/>
  <c r="AV156" i="118"/>
  <c r="AX155" i="118"/>
  <c r="AW155" i="118"/>
  <c r="AV155" i="118"/>
  <c r="AX154" i="118"/>
  <c r="AW154" i="118"/>
  <c r="AV154" i="118"/>
  <c r="AX153" i="118"/>
  <c r="AW153" i="118"/>
  <c r="AV153" i="118"/>
  <c r="AX152" i="118"/>
  <c r="AW152" i="118"/>
  <c r="AV152" i="118"/>
  <c r="AX151" i="118"/>
  <c r="AW151" i="118"/>
  <c r="AV151" i="118"/>
  <c r="AX150" i="118"/>
  <c r="AW150" i="118"/>
  <c r="AV150" i="118"/>
  <c r="AX149" i="118"/>
  <c r="AW149" i="118"/>
  <c r="AV149" i="118"/>
  <c r="AX148" i="118"/>
  <c r="AW148" i="118"/>
  <c r="AV148" i="118"/>
  <c r="AX147" i="118"/>
  <c r="AW147" i="118"/>
  <c r="AV147" i="118"/>
  <c r="AX146" i="118"/>
  <c r="AW146" i="118"/>
  <c r="AV146" i="118"/>
  <c r="AX145" i="118"/>
  <c r="AW145" i="118"/>
  <c r="AV145" i="118"/>
  <c r="AX144" i="118"/>
  <c r="AW144" i="118"/>
  <c r="AV144" i="118"/>
  <c r="AX143" i="118"/>
  <c r="AW143" i="118"/>
  <c r="AV143" i="118"/>
  <c r="AX142" i="118"/>
  <c r="AW142" i="118"/>
  <c r="AV142" i="118"/>
  <c r="AX141" i="118"/>
  <c r="AW141" i="118"/>
  <c r="AV141" i="118"/>
  <c r="AX140" i="118"/>
  <c r="AW140" i="118"/>
  <c r="AV140" i="118"/>
  <c r="AB133" i="118"/>
  <c r="AA133" i="118"/>
  <c r="AX132" i="118"/>
  <c r="AW132" i="118"/>
  <c r="AV132" i="118"/>
  <c r="AX131" i="118"/>
  <c r="AW131" i="118"/>
  <c r="AV131" i="118"/>
  <c r="AX130" i="118"/>
  <c r="AW130" i="118"/>
  <c r="AV130" i="118"/>
  <c r="AX129" i="118"/>
  <c r="AW129" i="118"/>
  <c r="AV129" i="118"/>
  <c r="AX128" i="118"/>
  <c r="AW128" i="118"/>
  <c r="AV128" i="118"/>
  <c r="AX127" i="118"/>
  <c r="AW127" i="118"/>
  <c r="AV127" i="118"/>
  <c r="AX126" i="118"/>
  <c r="AW126" i="118"/>
  <c r="AV126" i="118"/>
  <c r="AX125" i="118"/>
  <c r="AW125" i="118"/>
  <c r="AV125" i="118"/>
  <c r="AX124" i="118"/>
  <c r="AW124" i="118"/>
  <c r="AV124" i="118"/>
  <c r="AX123" i="118"/>
  <c r="AW123" i="118"/>
  <c r="AV123" i="118"/>
  <c r="AX122" i="118"/>
  <c r="AW122" i="118"/>
  <c r="AV122" i="118"/>
  <c r="AX121" i="118"/>
  <c r="AW121" i="118"/>
  <c r="AV121" i="118"/>
  <c r="AX120" i="118"/>
  <c r="AW120" i="118"/>
  <c r="AV120" i="118"/>
  <c r="AX119" i="118"/>
  <c r="AW119" i="118"/>
  <c r="AV119" i="118"/>
  <c r="AX118" i="118"/>
  <c r="AW118" i="118"/>
  <c r="AV118" i="118"/>
  <c r="AX117" i="118"/>
  <c r="AW117" i="118"/>
  <c r="AV117" i="118"/>
  <c r="AX116" i="118"/>
  <c r="AW116" i="118"/>
  <c r="AV116" i="118"/>
  <c r="AX115" i="118"/>
  <c r="AW115" i="118"/>
  <c r="AV115" i="118"/>
  <c r="AX114" i="118"/>
  <c r="AW114" i="118"/>
  <c r="AV114" i="118"/>
  <c r="AX113" i="118"/>
  <c r="AW113" i="118"/>
  <c r="AV113" i="118"/>
  <c r="AX112" i="118"/>
  <c r="AW112" i="118"/>
  <c r="AV112" i="118"/>
  <c r="AX111" i="118"/>
  <c r="AW111" i="118"/>
  <c r="AV111" i="118"/>
  <c r="AX110" i="118"/>
  <c r="AW110" i="118"/>
  <c r="AV110" i="118"/>
  <c r="AX109" i="118"/>
  <c r="AW109" i="118"/>
  <c r="AV109" i="118"/>
  <c r="AX108" i="118"/>
  <c r="AW108" i="118"/>
  <c r="AV108" i="118"/>
  <c r="AX107" i="118"/>
  <c r="AW107" i="118"/>
  <c r="AV107" i="118"/>
  <c r="AX106" i="118"/>
  <c r="AW106" i="118"/>
  <c r="AV106" i="118"/>
  <c r="AB98" i="118"/>
  <c r="AA98" i="118"/>
  <c r="AX97" i="118"/>
  <c r="AW97" i="118"/>
  <c r="AV97" i="118"/>
  <c r="AX96" i="118"/>
  <c r="AW96" i="118"/>
  <c r="AV96" i="118"/>
  <c r="AX95" i="118"/>
  <c r="AW95" i="118"/>
  <c r="AV95" i="118"/>
  <c r="AX94" i="118"/>
  <c r="AW94" i="118"/>
  <c r="AV94" i="118"/>
  <c r="AX93" i="118"/>
  <c r="AW93" i="118"/>
  <c r="AV93" i="118"/>
  <c r="AX92" i="118"/>
  <c r="AW92" i="118"/>
  <c r="AV92" i="118"/>
  <c r="AX91" i="118"/>
  <c r="AW91" i="118"/>
  <c r="AV91" i="118"/>
  <c r="AX90" i="118"/>
  <c r="AW90" i="118"/>
  <c r="AV90" i="118"/>
  <c r="AX89" i="118"/>
  <c r="AW89" i="118"/>
  <c r="AV89" i="118"/>
  <c r="AX88" i="118"/>
  <c r="AW88" i="118"/>
  <c r="AV88" i="118"/>
  <c r="AX87" i="118"/>
  <c r="AW87" i="118"/>
  <c r="AV87" i="118"/>
  <c r="AX86" i="118"/>
  <c r="AW86" i="118"/>
  <c r="AV86" i="118"/>
  <c r="AX85" i="118"/>
  <c r="AW85" i="118"/>
  <c r="AV85" i="118"/>
  <c r="AX84" i="118"/>
  <c r="AW84" i="118"/>
  <c r="AV84" i="118"/>
  <c r="AX83" i="118"/>
  <c r="AW83" i="118"/>
  <c r="AV83" i="118"/>
  <c r="AX82" i="118"/>
  <c r="AW82" i="118"/>
  <c r="AV82" i="118"/>
  <c r="AX81" i="118"/>
  <c r="AW81" i="118"/>
  <c r="AV81" i="118"/>
  <c r="AX80" i="118"/>
  <c r="AW80" i="118"/>
  <c r="AV80" i="118"/>
  <c r="AX79" i="118"/>
  <c r="AW79" i="118"/>
  <c r="AV79" i="118"/>
  <c r="AX78" i="118"/>
  <c r="AW78" i="118"/>
  <c r="AV78" i="118"/>
  <c r="AX77" i="118"/>
  <c r="AW77" i="118"/>
  <c r="AV77" i="118"/>
  <c r="AX76" i="118"/>
  <c r="AW76" i="118"/>
  <c r="AV76" i="118"/>
  <c r="AX75" i="118"/>
  <c r="AW75" i="118"/>
  <c r="AV75" i="118"/>
  <c r="AX74" i="118"/>
  <c r="AW74" i="118"/>
  <c r="AV74" i="118"/>
  <c r="AX73" i="118"/>
  <c r="AW73" i="118"/>
  <c r="AV73" i="118"/>
  <c r="AX72" i="118"/>
  <c r="AW72" i="118"/>
  <c r="AV72" i="118"/>
  <c r="AX71" i="118"/>
  <c r="AW71" i="118"/>
  <c r="AV71" i="118"/>
  <c r="AB63" i="118"/>
  <c r="AA63" i="118"/>
  <c r="AX62" i="118"/>
  <c r="AW62" i="118"/>
  <c r="AV62" i="118"/>
  <c r="AX61" i="118"/>
  <c r="AW61" i="118"/>
  <c r="AV61" i="118"/>
  <c r="AV63" i="118" s="1"/>
  <c r="AX60" i="118"/>
  <c r="AX59" i="118"/>
  <c r="AX58" i="118"/>
  <c r="AX57" i="118"/>
  <c r="AX56" i="118"/>
  <c r="AX55" i="118"/>
  <c r="AX54" i="118"/>
  <c r="AX53" i="118"/>
  <c r="AX52" i="118"/>
  <c r="AX51" i="118"/>
  <c r="AX50" i="118"/>
  <c r="AX49" i="118"/>
  <c r="AX48" i="118"/>
  <c r="AX47" i="118"/>
  <c r="AX46" i="118"/>
  <c r="AX45" i="118"/>
  <c r="AX42" i="118"/>
  <c r="AX41" i="118"/>
  <c r="AX40" i="118"/>
  <c r="AX39" i="118"/>
  <c r="AX38" i="118"/>
  <c r="AX37" i="118"/>
  <c r="AX36" i="118"/>
  <c r="AB28" i="118"/>
  <c r="AA28" i="118"/>
  <c r="AX27" i="118"/>
  <c r="AW27" i="118"/>
  <c r="AW28" i="118" s="1"/>
  <c r="AV27" i="118"/>
  <c r="AV28" i="118" s="1"/>
  <c r="AX25" i="118"/>
  <c r="AX24" i="118"/>
  <c r="AX23" i="118"/>
  <c r="AX22" i="118"/>
  <c r="AX21" i="118"/>
  <c r="AX20" i="118"/>
  <c r="AX19" i="118"/>
  <c r="AX18" i="118"/>
  <c r="AX17" i="118"/>
  <c r="AX16" i="118"/>
  <c r="AX15" i="118"/>
  <c r="AX14" i="118"/>
  <c r="AX13" i="118"/>
  <c r="AX12" i="118"/>
  <c r="AX11" i="118"/>
  <c r="AX10" i="118"/>
  <c r="AX9" i="118"/>
  <c r="AX8" i="118"/>
  <c r="AX7" i="118"/>
  <c r="AX6" i="118"/>
  <c r="AO17" i="53"/>
  <c r="BV17" i="53" s="1"/>
  <c r="DF17" i="53" s="1"/>
  <c r="AP17" i="53"/>
  <c r="BW17" i="53" s="1"/>
  <c r="M31" i="120" s="1"/>
  <c r="AQ17" i="53"/>
  <c r="BX17" i="53" s="1"/>
  <c r="AO18" i="53"/>
  <c r="BV18" i="53" s="1"/>
  <c r="DF18" i="53" s="1"/>
  <c r="AP18" i="53"/>
  <c r="BW18" i="53" s="1"/>
  <c r="AQ18" i="53"/>
  <c r="BX18" i="53" s="1"/>
  <c r="BZ19" i="53"/>
  <c r="CA19" i="53"/>
  <c r="CB19" i="53"/>
  <c r="CC19" i="53"/>
  <c r="CD19" i="53"/>
  <c r="CE19" i="53"/>
  <c r="CF19" i="53"/>
  <c r="CG19" i="53"/>
  <c r="CH19" i="53"/>
  <c r="CI19" i="53"/>
  <c r="CJ19" i="53"/>
  <c r="CK19" i="53"/>
  <c r="CL19" i="53"/>
  <c r="CM19" i="53"/>
  <c r="CN19" i="53"/>
  <c r="CO19" i="53"/>
  <c r="CP19" i="53"/>
  <c r="CQ19" i="53"/>
  <c r="CR19" i="53"/>
  <c r="CS19" i="53"/>
  <c r="CT19" i="53"/>
  <c r="CU19" i="53"/>
  <c r="CV19" i="53"/>
  <c r="CW19" i="53"/>
  <c r="CX19" i="53"/>
  <c r="CY19" i="53"/>
  <c r="CZ19" i="53"/>
  <c r="DA19" i="53"/>
  <c r="DB19" i="53"/>
  <c r="DC19" i="53"/>
  <c r="DD19" i="53"/>
  <c r="DE19" i="53"/>
  <c r="BY19" i="53"/>
  <c r="BU19" i="53"/>
  <c r="AS19" i="53"/>
  <c r="AT19" i="53"/>
  <c r="AU19" i="53"/>
  <c r="AV19" i="53"/>
  <c r="AW19" i="53"/>
  <c r="AX19" i="53"/>
  <c r="AY19" i="53"/>
  <c r="AZ19" i="53"/>
  <c r="BA19" i="53"/>
  <c r="BB19" i="53"/>
  <c r="BC19" i="53"/>
  <c r="BD19" i="53"/>
  <c r="BE19" i="53"/>
  <c r="BF19" i="53"/>
  <c r="BG19" i="53"/>
  <c r="BH19" i="53"/>
  <c r="BI19" i="53"/>
  <c r="BJ19" i="53"/>
  <c r="BK19" i="53"/>
  <c r="BL19" i="53"/>
  <c r="BM19" i="53"/>
  <c r="BN19" i="53"/>
  <c r="BO19" i="53"/>
  <c r="BP19" i="53"/>
  <c r="BQ19" i="53"/>
  <c r="BR19" i="53"/>
  <c r="BS19" i="53"/>
  <c r="BT19" i="53"/>
  <c r="AR19" i="53"/>
  <c r="L19" i="53"/>
  <c r="M19" i="53"/>
  <c r="N19" i="53"/>
  <c r="O19" i="53"/>
  <c r="P19" i="53"/>
  <c r="Q19" i="53"/>
  <c r="R19" i="53"/>
  <c r="S19" i="53"/>
  <c r="T19" i="53"/>
  <c r="U19" i="53"/>
  <c r="V19" i="53"/>
  <c r="W19" i="53"/>
  <c r="X19" i="53"/>
  <c r="Y19" i="53"/>
  <c r="Z19" i="53"/>
  <c r="AA19" i="53"/>
  <c r="AB19" i="53"/>
  <c r="AC19" i="53"/>
  <c r="AD19" i="53"/>
  <c r="AE19" i="53"/>
  <c r="AF19" i="53"/>
  <c r="AG19" i="53"/>
  <c r="AH19" i="53"/>
  <c r="AI19" i="53"/>
  <c r="AJ19" i="53"/>
  <c r="AK19" i="53"/>
  <c r="AL19" i="53"/>
  <c r="AM19" i="53"/>
  <c r="AN19" i="53"/>
  <c r="K19" i="53"/>
  <c r="AX240" i="118" l="1"/>
  <c r="AW98" i="118"/>
  <c r="AV240" i="118"/>
  <c r="AV334" i="118"/>
  <c r="AV277" i="118"/>
  <c r="AV204" i="118"/>
  <c r="AX133" i="118"/>
  <c r="AX204" i="118"/>
  <c r="AV392" i="118"/>
  <c r="AX392" i="118"/>
  <c r="AW277" i="118"/>
  <c r="AW334" i="118"/>
  <c r="AW392" i="118"/>
  <c r="AX277" i="118"/>
  <c r="AX334" i="118"/>
  <c r="AW240" i="118"/>
  <c r="AV362" i="118"/>
  <c r="AX63" i="118"/>
  <c r="AV168" i="118"/>
  <c r="AV306" i="118"/>
  <c r="AW362" i="118"/>
  <c r="AV98" i="118"/>
  <c r="AW133" i="118"/>
  <c r="AW168" i="118"/>
  <c r="AW306" i="118"/>
  <c r="AX362" i="118"/>
  <c r="AW63" i="118"/>
  <c r="AX168" i="118"/>
  <c r="AX306" i="118"/>
  <c r="AX98" i="118"/>
  <c r="AV133" i="118"/>
  <c r="AW204" i="118"/>
  <c r="AX26" i="118"/>
  <c r="AX28" i="118"/>
  <c r="AO20" i="119"/>
  <c r="AN20" i="119"/>
  <c r="M32" i="120"/>
  <c r="DG18" i="53"/>
  <c r="O32" i="120" s="1"/>
  <c r="AL32" i="120" s="1"/>
  <c r="N31" i="120"/>
  <c r="DH17" i="53"/>
  <c r="P31" i="120" s="1"/>
  <c r="Q31" i="120" s="1"/>
  <c r="N32" i="120"/>
  <c r="DH18" i="53"/>
  <c r="P32" i="120" s="1"/>
  <c r="Q32" i="120" s="1"/>
  <c r="DG17" i="53"/>
  <c r="O31" i="120" s="1"/>
  <c r="AL31" i="120" s="1"/>
  <c r="AM20" i="119"/>
  <c r="AN13" i="108" l="1"/>
  <c r="AV381" i="106"/>
  <c r="AW381" i="106"/>
  <c r="AX381" i="106"/>
  <c r="AL8" i="115" l="1"/>
  <c r="AK8" i="115"/>
  <c r="AJ8" i="115"/>
  <c r="AM17" i="114"/>
  <c r="AN17" i="114"/>
  <c r="AO17" i="114"/>
  <c r="AM18" i="114"/>
  <c r="AN18" i="114"/>
  <c r="AO18" i="114"/>
  <c r="AM19" i="114"/>
  <c r="AN19" i="114"/>
  <c r="AO19" i="114"/>
  <c r="AP13" i="109" l="1"/>
  <c r="AQ13" i="109"/>
  <c r="AR13" i="109"/>
  <c r="AM11" i="108"/>
  <c r="AM12" i="108"/>
  <c r="AM13" i="108"/>
  <c r="AM14" i="108"/>
  <c r="AM10" i="108"/>
  <c r="AN9" i="108"/>
  <c r="AM9" i="108"/>
  <c r="AN11" i="108"/>
  <c r="AM13" i="114"/>
  <c r="AN13" i="114"/>
  <c r="AO13" i="114"/>
  <c r="AM14" i="114"/>
  <c r="AN14" i="114"/>
  <c r="AO14" i="114"/>
  <c r="AM15" i="114"/>
  <c r="AN15" i="114"/>
  <c r="AO15" i="114"/>
  <c r="AM10" i="111"/>
  <c r="AO10" i="111"/>
  <c r="AO11" i="111"/>
  <c r="AO12" i="111"/>
  <c r="AN10" i="111"/>
  <c r="AN11" i="111"/>
  <c r="AN12" i="111"/>
  <c r="AM12" i="111"/>
  <c r="AM11" i="111"/>
  <c r="AR13" i="117" l="1"/>
  <c r="AQ13" i="117"/>
  <c r="AP13" i="117"/>
  <c r="AR12" i="117"/>
  <c r="AQ12" i="117"/>
  <c r="AP12" i="117"/>
  <c r="AR11" i="117"/>
  <c r="AQ11" i="117"/>
  <c r="AP11" i="117"/>
  <c r="AR10" i="117"/>
  <c r="AQ10" i="117"/>
  <c r="AP10" i="117"/>
  <c r="AR9" i="117"/>
  <c r="AQ9" i="117"/>
  <c r="AP9" i="117"/>
  <c r="AR8" i="117"/>
  <c r="AQ8" i="117"/>
  <c r="AP8" i="117"/>
  <c r="AR7" i="117"/>
  <c r="AQ7" i="117"/>
  <c r="AP7" i="117"/>
  <c r="AR6" i="117"/>
  <c r="AQ6" i="117"/>
  <c r="AP6" i="117"/>
  <c r="AL6" i="115"/>
  <c r="AL12" i="115" s="1"/>
  <c r="AK6" i="115"/>
  <c r="AK12" i="115" s="1"/>
  <c r="AJ6" i="115"/>
  <c r="AJ12" i="115" s="1"/>
  <c r="AO16" i="114"/>
  <c r="AN16" i="114"/>
  <c r="AM16" i="114"/>
  <c r="AO12" i="114"/>
  <c r="AN12" i="114"/>
  <c r="AM12" i="114"/>
  <c r="AO11" i="114"/>
  <c r="AN11" i="114"/>
  <c r="AM11" i="114"/>
  <c r="AO10" i="114"/>
  <c r="AN10" i="114"/>
  <c r="AM10" i="114"/>
  <c r="AO9" i="114"/>
  <c r="AN9" i="114"/>
  <c r="AM9" i="114"/>
  <c r="AO8" i="114"/>
  <c r="AN8" i="114"/>
  <c r="AM8" i="114"/>
  <c r="AO7" i="114"/>
  <c r="AN7" i="114"/>
  <c r="AM7" i="114"/>
  <c r="AR8" i="112"/>
  <c r="AQ8" i="112"/>
  <c r="AP8" i="112"/>
  <c r="AR7" i="112"/>
  <c r="AQ7" i="112"/>
  <c r="AP7" i="112"/>
  <c r="AR16" i="113"/>
  <c r="AQ16" i="113"/>
  <c r="AP16" i="113"/>
  <c r="AR15" i="113"/>
  <c r="AQ15" i="113"/>
  <c r="AP15" i="113"/>
  <c r="AR14" i="113"/>
  <c r="AQ14" i="113"/>
  <c r="AP14" i="113"/>
  <c r="AR13" i="113"/>
  <c r="AQ13" i="113"/>
  <c r="AP13" i="113"/>
  <c r="AR12" i="113"/>
  <c r="AQ12" i="113"/>
  <c r="AP12" i="113"/>
  <c r="AR11" i="113"/>
  <c r="AQ11" i="113"/>
  <c r="AP11" i="113"/>
  <c r="AR10" i="113"/>
  <c r="AQ10" i="113"/>
  <c r="AP10" i="113"/>
  <c r="AR9" i="113"/>
  <c r="AQ9" i="113"/>
  <c r="AP9" i="113"/>
  <c r="AR8" i="113"/>
  <c r="AQ8" i="113"/>
  <c r="AP8" i="113"/>
  <c r="AR7" i="113"/>
  <c r="AQ7" i="113"/>
  <c r="AP7" i="113"/>
  <c r="AO14" i="111"/>
  <c r="AN14" i="111"/>
  <c r="AM14" i="111"/>
  <c r="AO13" i="111"/>
  <c r="AN13" i="111"/>
  <c r="AM13" i="111"/>
  <c r="AO9" i="111"/>
  <c r="AN9" i="111"/>
  <c r="AM9" i="111"/>
  <c r="AO8" i="111"/>
  <c r="AN8" i="111"/>
  <c r="AM8" i="111"/>
  <c r="AO7" i="111"/>
  <c r="AN7" i="111"/>
  <c r="AM7" i="111"/>
  <c r="AO9" i="110"/>
  <c r="AN9" i="110"/>
  <c r="AM9" i="110"/>
  <c r="AO8" i="110"/>
  <c r="AN8" i="110"/>
  <c r="AM8" i="110"/>
  <c r="AO7" i="110"/>
  <c r="AN7" i="110"/>
  <c r="AM7" i="110"/>
  <c r="AR18" i="109"/>
  <c r="AQ18" i="109"/>
  <c r="AP18" i="109"/>
  <c r="AR17" i="109"/>
  <c r="AQ17" i="109"/>
  <c r="AP17" i="109"/>
  <c r="AR15" i="109"/>
  <c r="AQ15" i="109"/>
  <c r="AP15" i="109"/>
  <c r="AR14" i="109"/>
  <c r="AQ14" i="109"/>
  <c r="AP14" i="109"/>
  <c r="AR12" i="109"/>
  <c r="AQ12" i="109"/>
  <c r="AP12" i="109"/>
  <c r="AP10" i="109"/>
  <c r="AR8" i="109"/>
  <c r="AQ8" i="109"/>
  <c r="AP8" i="109"/>
  <c r="AR7" i="109"/>
  <c r="AQ7" i="109"/>
  <c r="AP7" i="109"/>
  <c r="AO14" i="108"/>
  <c r="AN14" i="108"/>
  <c r="AO13" i="108"/>
  <c r="AO12" i="108"/>
  <c r="AN12" i="108"/>
  <c r="AO11" i="108"/>
  <c r="AO10" i="108"/>
  <c r="AN10" i="108"/>
  <c r="AO9" i="108"/>
  <c r="AO18" i="107"/>
  <c r="AN18" i="107"/>
  <c r="AM18" i="107"/>
  <c r="AO17" i="107"/>
  <c r="AN17" i="107"/>
  <c r="AM17" i="107"/>
  <c r="AO16" i="107"/>
  <c r="AN16" i="107"/>
  <c r="AM16" i="107"/>
  <c r="AO15" i="107"/>
  <c r="AN15" i="107"/>
  <c r="AM15" i="107"/>
  <c r="AO14" i="107"/>
  <c r="AN14" i="107"/>
  <c r="AM14" i="107"/>
  <c r="AO13" i="107"/>
  <c r="AN13" i="107"/>
  <c r="AM13" i="107"/>
  <c r="AO12" i="107"/>
  <c r="AN12" i="107"/>
  <c r="AM12" i="107"/>
  <c r="AO11" i="107"/>
  <c r="AN11" i="107"/>
  <c r="AM11" i="107"/>
  <c r="AO10" i="107"/>
  <c r="AN10" i="107"/>
  <c r="AM10" i="107"/>
  <c r="AO9" i="107"/>
  <c r="AN9" i="107"/>
  <c r="AM9" i="107"/>
  <c r="AO8" i="107"/>
  <c r="AN8" i="107"/>
  <c r="AM8" i="107"/>
  <c r="AB386" i="106"/>
  <c r="AA386" i="106"/>
  <c r="AX385" i="106"/>
  <c r="AW385" i="106"/>
  <c r="AV385" i="106"/>
  <c r="AX384" i="106"/>
  <c r="AW384" i="106"/>
  <c r="AV384" i="106"/>
  <c r="AX383" i="106"/>
  <c r="AW383" i="106"/>
  <c r="AV383" i="106"/>
  <c r="AX382" i="106"/>
  <c r="AW382" i="106"/>
  <c r="AV382" i="106"/>
  <c r="AX380" i="106"/>
  <c r="AW380" i="106"/>
  <c r="AV380" i="106"/>
  <c r="AX379" i="106"/>
  <c r="AW379" i="106"/>
  <c r="AV379" i="106"/>
  <c r="AX378" i="106"/>
  <c r="AW378" i="106"/>
  <c r="AV378" i="106"/>
  <c r="AX377" i="106"/>
  <c r="AW377" i="106"/>
  <c r="AV377" i="106"/>
  <c r="AX376" i="106"/>
  <c r="AW376" i="106"/>
  <c r="AV376" i="106"/>
  <c r="AX375" i="106"/>
  <c r="AW375" i="106"/>
  <c r="AV375" i="106"/>
  <c r="AX374" i="106"/>
  <c r="AW374" i="106"/>
  <c r="AV374" i="106"/>
  <c r="AX373" i="106"/>
  <c r="AW373" i="106"/>
  <c r="AV373" i="106"/>
  <c r="AX372" i="106"/>
  <c r="AW372" i="106"/>
  <c r="AV372" i="106"/>
  <c r="AX371" i="106"/>
  <c r="AW371" i="106"/>
  <c r="AV371" i="106"/>
  <c r="AX370" i="106"/>
  <c r="AW370" i="106"/>
  <c r="AV370" i="106"/>
  <c r="AX369" i="106"/>
  <c r="AW369" i="106"/>
  <c r="AV369" i="106"/>
  <c r="AX368" i="106"/>
  <c r="AW368" i="106"/>
  <c r="AV368" i="106"/>
  <c r="AX367" i="106"/>
  <c r="AW367" i="106"/>
  <c r="AV367" i="106"/>
  <c r="AX366" i="106"/>
  <c r="AW366" i="106"/>
  <c r="AV366" i="106"/>
  <c r="AX365" i="106"/>
  <c r="AW365" i="106"/>
  <c r="AV365" i="106"/>
  <c r="AX364" i="106"/>
  <c r="AW364" i="106"/>
  <c r="AV364" i="106"/>
  <c r="DE70" i="53"/>
  <c r="DD70" i="53"/>
  <c r="DC70" i="53"/>
  <c r="DB70" i="53"/>
  <c r="DA70" i="53"/>
  <c r="CZ70" i="53"/>
  <c r="CY70" i="53"/>
  <c r="CX70" i="53"/>
  <c r="CW70" i="53"/>
  <c r="CV70" i="53"/>
  <c r="CU70" i="53"/>
  <c r="CT70" i="53"/>
  <c r="CS70" i="53"/>
  <c r="CR70" i="53"/>
  <c r="CQ70" i="53"/>
  <c r="CP70" i="53"/>
  <c r="CO70" i="53"/>
  <c r="CN70" i="53"/>
  <c r="CM70" i="53"/>
  <c r="CL70" i="53"/>
  <c r="CK70" i="53"/>
  <c r="CJ70" i="53"/>
  <c r="CI70" i="53"/>
  <c r="CH70" i="53"/>
  <c r="CG70" i="53"/>
  <c r="CF70" i="53"/>
  <c r="CE70" i="53"/>
  <c r="CD70" i="53"/>
  <c r="CC70" i="53"/>
  <c r="CB70" i="53"/>
  <c r="CA70" i="53"/>
  <c r="BZ70" i="53"/>
  <c r="BY70" i="53"/>
  <c r="BU70" i="53"/>
  <c r="BT70" i="53"/>
  <c r="BS70" i="53"/>
  <c r="BR70" i="53"/>
  <c r="BQ70" i="53"/>
  <c r="BP70" i="53"/>
  <c r="BO70" i="53"/>
  <c r="BN70" i="53"/>
  <c r="BM70" i="53"/>
  <c r="BL70" i="53"/>
  <c r="BK70" i="53"/>
  <c r="BJ70" i="53"/>
  <c r="BI70" i="53"/>
  <c r="BH70" i="53"/>
  <c r="BG70" i="53"/>
  <c r="BF70" i="53"/>
  <c r="BE70" i="53"/>
  <c r="BD70" i="53"/>
  <c r="BC70" i="53"/>
  <c r="BB70" i="53"/>
  <c r="BA70" i="53"/>
  <c r="AZ70" i="53"/>
  <c r="AY70" i="53"/>
  <c r="AX70" i="53"/>
  <c r="AW70" i="53"/>
  <c r="AV70" i="53"/>
  <c r="AU70" i="53"/>
  <c r="AT70" i="53"/>
  <c r="AS70" i="53"/>
  <c r="AR70" i="53"/>
  <c r="AN70" i="53"/>
  <c r="AM70" i="53"/>
  <c r="AL70" i="53"/>
  <c r="AK70" i="53"/>
  <c r="AJ70" i="53"/>
  <c r="AI70" i="53"/>
  <c r="AH70" i="53"/>
  <c r="AG70" i="53"/>
  <c r="AF70" i="53"/>
  <c r="AE70" i="53"/>
  <c r="AD70" i="53"/>
  <c r="AC70" i="53"/>
  <c r="AB70" i="53"/>
  <c r="AA70" i="53"/>
  <c r="Z70" i="53"/>
  <c r="Y70" i="53"/>
  <c r="X70" i="53"/>
  <c r="W70" i="53"/>
  <c r="V70" i="53"/>
  <c r="U70" i="53"/>
  <c r="T70" i="53"/>
  <c r="S70" i="53"/>
  <c r="R70" i="53"/>
  <c r="Q70" i="53"/>
  <c r="P70" i="53"/>
  <c r="O70" i="53"/>
  <c r="N70" i="53"/>
  <c r="M70" i="53"/>
  <c r="L70" i="53"/>
  <c r="K70" i="53"/>
  <c r="AQ69" i="53"/>
  <c r="AP69" i="53"/>
  <c r="BW69" i="53" s="1"/>
  <c r="AO69" i="53"/>
  <c r="BV69" i="53" s="1"/>
  <c r="DF69" i="53" s="1"/>
  <c r="DF70" i="53" s="1"/>
  <c r="DE65" i="53"/>
  <c r="DD65" i="53"/>
  <c r="DC65" i="53"/>
  <c r="DB65" i="53"/>
  <c r="DA65" i="53"/>
  <c r="CZ65" i="53"/>
  <c r="CY65" i="53"/>
  <c r="CX65" i="53"/>
  <c r="CW65" i="53"/>
  <c r="CV65" i="53"/>
  <c r="CU65" i="53"/>
  <c r="CT65" i="53"/>
  <c r="CS65" i="53"/>
  <c r="CR65" i="53"/>
  <c r="CQ65" i="53"/>
  <c r="CP65" i="53"/>
  <c r="CO65" i="53"/>
  <c r="CN65" i="53"/>
  <c r="CM65" i="53"/>
  <c r="CL65" i="53"/>
  <c r="CK65" i="53"/>
  <c r="CJ65" i="53"/>
  <c r="CI65" i="53"/>
  <c r="CH65" i="53"/>
  <c r="CG65" i="53"/>
  <c r="CF65" i="53"/>
  <c r="CE65" i="53"/>
  <c r="CD65" i="53"/>
  <c r="CC65" i="53"/>
  <c r="CB65" i="53"/>
  <c r="CA65" i="53"/>
  <c r="BZ65" i="53"/>
  <c r="BY65" i="53"/>
  <c r="BU65" i="53"/>
  <c r="BT65" i="53"/>
  <c r="BS65" i="53"/>
  <c r="BR65" i="53"/>
  <c r="BQ65" i="53"/>
  <c r="BP65" i="53"/>
  <c r="BO65" i="53"/>
  <c r="BN65" i="53"/>
  <c r="BM65" i="53"/>
  <c r="BL65" i="53"/>
  <c r="BK65" i="53"/>
  <c r="BJ65" i="53"/>
  <c r="BI65" i="53"/>
  <c r="BH65" i="53"/>
  <c r="BG65" i="53"/>
  <c r="BF65" i="53"/>
  <c r="BE65" i="53"/>
  <c r="BD65" i="53"/>
  <c r="BC65" i="53"/>
  <c r="BB65" i="53"/>
  <c r="BA65" i="53"/>
  <c r="AZ65" i="53"/>
  <c r="AY65" i="53"/>
  <c r="AX65" i="53"/>
  <c r="AW65" i="53"/>
  <c r="AV65" i="53"/>
  <c r="AU65" i="53"/>
  <c r="AT65" i="53"/>
  <c r="AS65" i="53"/>
  <c r="AR65" i="53"/>
  <c r="AN65" i="53"/>
  <c r="AM65" i="53"/>
  <c r="AL65" i="53"/>
  <c r="AK65" i="53"/>
  <c r="AJ65" i="53"/>
  <c r="AI65" i="53"/>
  <c r="AH65" i="53"/>
  <c r="AG65" i="53"/>
  <c r="AF65" i="53"/>
  <c r="AE65" i="53"/>
  <c r="AD65" i="53"/>
  <c r="AC65" i="53"/>
  <c r="AB65" i="53"/>
  <c r="AA65" i="53"/>
  <c r="Z65" i="53"/>
  <c r="Y65" i="53"/>
  <c r="X65" i="53"/>
  <c r="W65" i="53"/>
  <c r="V65" i="53"/>
  <c r="U65" i="53"/>
  <c r="T65" i="53"/>
  <c r="S65" i="53"/>
  <c r="R65" i="53"/>
  <c r="Q65" i="53"/>
  <c r="P65" i="53"/>
  <c r="O65" i="53"/>
  <c r="N65" i="53"/>
  <c r="M65" i="53"/>
  <c r="L65" i="53"/>
  <c r="K65" i="53"/>
  <c r="AQ64" i="53"/>
  <c r="BX64" i="53" s="1"/>
  <c r="AP64" i="53"/>
  <c r="BW64" i="53" s="1"/>
  <c r="AO64" i="53"/>
  <c r="BV64" i="53" s="1"/>
  <c r="DF64" i="53" s="1"/>
  <c r="AQ63" i="53"/>
  <c r="BX63" i="53" s="1"/>
  <c r="AP63" i="53"/>
  <c r="BW63" i="53" s="1"/>
  <c r="AO63" i="53"/>
  <c r="BV63" i="53" s="1"/>
  <c r="DF63" i="53" s="1"/>
  <c r="AQ62" i="53"/>
  <c r="BX62" i="53" s="1"/>
  <c r="AP62" i="53"/>
  <c r="AO62" i="53"/>
  <c r="BV62" i="53" s="1"/>
  <c r="DF62" i="53" s="1"/>
  <c r="AQ61" i="53"/>
  <c r="BX61" i="53" s="1"/>
  <c r="AP61" i="53"/>
  <c r="BW61" i="53" s="1"/>
  <c r="AO61" i="53"/>
  <c r="BV61" i="53" s="1"/>
  <c r="DF61" i="53" s="1"/>
  <c r="AQ60" i="53"/>
  <c r="BX60" i="53" s="1"/>
  <c r="AP60" i="53"/>
  <c r="BW60" i="53" s="1"/>
  <c r="AO60" i="53"/>
  <c r="BV60" i="53" s="1"/>
  <c r="DF60" i="53" s="1"/>
  <c r="AQ59" i="53"/>
  <c r="BX59" i="53" s="1"/>
  <c r="AP59" i="53"/>
  <c r="BW59" i="53" s="1"/>
  <c r="AO59" i="53"/>
  <c r="BV59" i="53" s="1"/>
  <c r="DF59" i="53" s="1"/>
  <c r="AQ58" i="53"/>
  <c r="BX58" i="53" s="1"/>
  <c r="AP58" i="53"/>
  <c r="BW58" i="53" s="1"/>
  <c r="AO58" i="53"/>
  <c r="BV58" i="53" s="1"/>
  <c r="DF58" i="53" s="1"/>
  <c r="AQ57" i="53"/>
  <c r="BX57" i="53" s="1"/>
  <c r="AP57" i="53"/>
  <c r="BW57" i="53" s="1"/>
  <c r="AO57" i="53"/>
  <c r="BV57" i="53" s="1"/>
  <c r="DF57" i="53" s="1"/>
  <c r="AQ56" i="53"/>
  <c r="AP56" i="53"/>
  <c r="BW56" i="53" s="1"/>
  <c r="AO56" i="53"/>
  <c r="BV56" i="53" s="1"/>
  <c r="DF56" i="53" s="1"/>
  <c r="AQ55" i="53"/>
  <c r="BX55" i="53" s="1"/>
  <c r="AP55" i="53"/>
  <c r="BW55" i="53" s="1"/>
  <c r="AO55" i="53"/>
  <c r="BV55" i="53" s="1"/>
  <c r="DF55" i="53" s="1"/>
  <c r="AQ54" i="53"/>
  <c r="BX54" i="53" s="1"/>
  <c r="AP54" i="53"/>
  <c r="AO54" i="53"/>
  <c r="BV54" i="53" s="1"/>
  <c r="DF54" i="53" s="1"/>
  <c r="AQ53" i="53"/>
  <c r="BX53" i="53" s="1"/>
  <c r="AP53" i="53"/>
  <c r="BW53" i="53" s="1"/>
  <c r="AO53" i="53"/>
  <c r="BV53" i="53" s="1"/>
  <c r="DF53" i="53" s="1"/>
  <c r="AQ52" i="53"/>
  <c r="BX52" i="53" s="1"/>
  <c r="AP52" i="53"/>
  <c r="BW52" i="53" s="1"/>
  <c r="AO52" i="53"/>
  <c r="BV52" i="53" s="1"/>
  <c r="DF52" i="53" s="1"/>
  <c r="AQ51" i="53"/>
  <c r="BX51" i="53" s="1"/>
  <c r="AP51" i="53"/>
  <c r="BW51" i="53" s="1"/>
  <c r="AO51" i="53"/>
  <c r="BV51" i="53" s="1"/>
  <c r="AQ45" i="53"/>
  <c r="BX45" i="53" s="1"/>
  <c r="AP45" i="53"/>
  <c r="BW45" i="53" s="1"/>
  <c r="AO45" i="53"/>
  <c r="AQ44" i="53"/>
  <c r="BX44" i="53" s="1"/>
  <c r="AP44" i="53"/>
  <c r="BW44" i="53" s="1"/>
  <c r="AO44" i="53"/>
  <c r="BV44" i="53" s="1"/>
  <c r="DF44" i="53" s="1"/>
  <c r="AQ43" i="53"/>
  <c r="BX43" i="53" s="1"/>
  <c r="AP43" i="53"/>
  <c r="BW43" i="53" s="1"/>
  <c r="AO43" i="53"/>
  <c r="BV43" i="53" s="1"/>
  <c r="DF43" i="53" s="1"/>
  <c r="AQ42" i="53"/>
  <c r="BX42" i="53" s="1"/>
  <c r="AP42" i="53"/>
  <c r="BW42" i="53" s="1"/>
  <c r="M60" i="120" s="1"/>
  <c r="AO42" i="53"/>
  <c r="BV42" i="53" s="1"/>
  <c r="DF42" i="53" s="1"/>
  <c r="AQ41" i="53"/>
  <c r="BX41" i="53" s="1"/>
  <c r="AP41" i="53"/>
  <c r="BW41" i="53" s="1"/>
  <c r="AO41" i="53"/>
  <c r="BV41" i="53" s="1"/>
  <c r="DF41" i="53" s="1"/>
  <c r="AQ40" i="53"/>
  <c r="BX40" i="53" s="1"/>
  <c r="AP40" i="53"/>
  <c r="BW40" i="53" s="1"/>
  <c r="AO40" i="53"/>
  <c r="BV40" i="53" s="1"/>
  <c r="DF40" i="53" s="1"/>
  <c r="AQ39" i="53"/>
  <c r="AP39" i="53"/>
  <c r="AO39" i="53"/>
  <c r="BV39" i="53" s="1"/>
  <c r="DF39" i="53" s="1"/>
  <c r="AQ38" i="53"/>
  <c r="BX38" i="53" s="1"/>
  <c r="AP38" i="53"/>
  <c r="BW38" i="53" s="1"/>
  <c r="AO38" i="53"/>
  <c r="BV38" i="53" s="1"/>
  <c r="DF38" i="53" s="1"/>
  <c r="AQ37" i="53"/>
  <c r="BX37" i="53" s="1"/>
  <c r="AP37" i="53"/>
  <c r="BW37" i="53" s="1"/>
  <c r="AO37" i="53"/>
  <c r="BV37" i="53" s="1"/>
  <c r="DF37" i="53" s="1"/>
  <c r="AQ36" i="53"/>
  <c r="BX36" i="53" s="1"/>
  <c r="AP36" i="53"/>
  <c r="BW36" i="53" s="1"/>
  <c r="AO36" i="53"/>
  <c r="BV36" i="53" s="1"/>
  <c r="DF36" i="53" s="1"/>
  <c r="AQ35" i="53"/>
  <c r="BX35" i="53" s="1"/>
  <c r="AP35" i="53"/>
  <c r="BW35" i="53" s="1"/>
  <c r="AO35" i="53"/>
  <c r="BV35" i="53" s="1"/>
  <c r="DF35" i="53" s="1"/>
  <c r="AQ34" i="53"/>
  <c r="BX34" i="53" s="1"/>
  <c r="AP34" i="53"/>
  <c r="BW34" i="53" s="1"/>
  <c r="AO34" i="53"/>
  <c r="BV34" i="53" s="1"/>
  <c r="DF34" i="53" s="1"/>
  <c r="AQ33" i="53"/>
  <c r="BX33" i="53" s="1"/>
  <c r="AP33" i="53"/>
  <c r="BW33" i="53" s="1"/>
  <c r="AO33" i="53"/>
  <c r="BV33" i="53" s="1"/>
  <c r="DF33" i="53" s="1"/>
  <c r="AQ32" i="53"/>
  <c r="BX32" i="53" s="1"/>
  <c r="AP32" i="53"/>
  <c r="BW32" i="53" s="1"/>
  <c r="AO32" i="53"/>
  <c r="BV32" i="53" s="1"/>
  <c r="DF32" i="53" s="1"/>
  <c r="AQ31" i="53"/>
  <c r="BX31" i="53" s="1"/>
  <c r="AP31" i="53"/>
  <c r="AO31" i="53"/>
  <c r="BV31" i="53" s="1"/>
  <c r="DF31" i="53" s="1"/>
  <c r="AQ30" i="53"/>
  <c r="BX30" i="53" s="1"/>
  <c r="AP30" i="53"/>
  <c r="BW30" i="53" s="1"/>
  <c r="AO30" i="53"/>
  <c r="BV30" i="53" s="1"/>
  <c r="DF30" i="53" s="1"/>
  <c r="AQ29" i="53"/>
  <c r="BX29" i="53" s="1"/>
  <c r="AP29" i="53"/>
  <c r="BW29" i="53" s="1"/>
  <c r="AO29" i="53"/>
  <c r="BV29" i="53" s="1"/>
  <c r="DF29" i="53" s="1"/>
  <c r="AQ28" i="53"/>
  <c r="BX28" i="53" s="1"/>
  <c r="AP28" i="53"/>
  <c r="BW28" i="53" s="1"/>
  <c r="AO28" i="53"/>
  <c r="BV28" i="53" s="1"/>
  <c r="DF28" i="53" s="1"/>
  <c r="AQ27" i="53"/>
  <c r="BX27" i="53" s="1"/>
  <c r="AP27" i="53"/>
  <c r="BW27" i="53" s="1"/>
  <c r="AO27" i="53"/>
  <c r="BV27" i="53" s="1"/>
  <c r="DF27" i="53" s="1"/>
  <c r="AQ26" i="53"/>
  <c r="BX26" i="53" s="1"/>
  <c r="N44" i="120" s="1"/>
  <c r="AP26" i="53"/>
  <c r="BW26" i="53" s="1"/>
  <c r="AO26" i="53"/>
  <c r="BV26" i="53" s="1"/>
  <c r="DF26" i="53" s="1"/>
  <c r="AQ25" i="53"/>
  <c r="BX25" i="53" s="1"/>
  <c r="AP25" i="53"/>
  <c r="AO25" i="53"/>
  <c r="BV25" i="53" s="1"/>
  <c r="DF25" i="53" s="1"/>
  <c r="AQ24" i="53"/>
  <c r="BX24" i="53" s="1"/>
  <c r="AP24" i="53"/>
  <c r="BW24" i="53" s="1"/>
  <c r="AO24" i="53"/>
  <c r="BV24" i="53" s="1"/>
  <c r="DF24" i="53" s="1"/>
  <c r="AQ23" i="53"/>
  <c r="AP23" i="53"/>
  <c r="AO23" i="53"/>
  <c r="AQ16" i="53"/>
  <c r="BX16" i="53" s="1"/>
  <c r="N30" i="120" s="1"/>
  <c r="AP16" i="53"/>
  <c r="BW16" i="53" s="1"/>
  <c r="AO16" i="53"/>
  <c r="BV16" i="53" s="1"/>
  <c r="DF16" i="53" s="1"/>
  <c r="AQ15" i="53"/>
  <c r="BX15" i="53" s="1"/>
  <c r="N29" i="120" s="1"/>
  <c r="AP15" i="53"/>
  <c r="BW15" i="53" s="1"/>
  <c r="AO15" i="53"/>
  <c r="BV15" i="53" s="1"/>
  <c r="DF15" i="53" s="1"/>
  <c r="AQ14" i="53"/>
  <c r="BX14" i="53" s="1"/>
  <c r="N28" i="120" s="1"/>
  <c r="AP14" i="53"/>
  <c r="BW14" i="53" s="1"/>
  <c r="AO14" i="53"/>
  <c r="BV14" i="53" s="1"/>
  <c r="DF14" i="53" s="1"/>
  <c r="AQ13" i="53"/>
  <c r="BX13" i="53" s="1"/>
  <c r="N27" i="120" s="1"/>
  <c r="AP13" i="53"/>
  <c r="BW13" i="53" s="1"/>
  <c r="AO13" i="53"/>
  <c r="BV13" i="53" s="1"/>
  <c r="DF13" i="53" s="1"/>
  <c r="AQ12" i="53"/>
  <c r="BX12" i="53" s="1"/>
  <c r="N26" i="120" s="1"/>
  <c r="AP12" i="53"/>
  <c r="BW12" i="53" s="1"/>
  <c r="M26" i="120" s="1"/>
  <c r="AO12" i="53"/>
  <c r="BV12" i="53" s="1"/>
  <c r="AQ11" i="53"/>
  <c r="BX11" i="53" s="1"/>
  <c r="N25" i="120" s="1"/>
  <c r="AP11" i="53"/>
  <c r="BW11" i="53" s="1"/>
  <c r="AO11" i="53"/>
  <c r="BV11" i="53" s="1"/>
  <c r="DF11" i="53" s="1"/>
  <c r="AQ10" i="53"/>
  <c r="AP10" i="53"/>
  <c r="AO10" i="53"/>
  <c r="BV10" i="53" s="1"/>
  <c r="DF10" i="53" s="1"/>
  <c r="AQ9" i="53"/>
  <c r="BX9" i="53" s="1"/>
  <c r="N23" i="120" s="1"/>
  <c r="AP9" i="53"/>
  <c r="BW9" i="53" s="1"/>
  <c r="AO9" i="53"/>
  <c r="BV9" i="53" s="1"/>
  <c r="DF9" i="53" s="1"/>
  <c r="AQ8" i="53"/>
  <c r="BX8" i="53" s="1"/>
  <c r="N22" i="120" s="1"/>
  <c r="AP8" i="53"/>
  <c r="BW8" i="53" s="1"/>
  <c r="AO8" i="53"/>
  <c r="BV8" i="53" s="1"/>
  <c r="DF8" i="53" s="1"/>
  <c r="AQ7" i="53"/>
  <c r="BX7" i="53" s="1"/>
  <c r="N21" i="120" s="1"/>
  <c r="AP7" i="53"/>
  <c r="BW7" i="53" s="1"/>
  <c r="AO7" i="53"/>
  <c r="BV7" i="53" s="1"/>
  <c r="DF7" i="53" s="1"/>
  <c r="AQ6" i="53"/>
  <c r="AP6" i="53"/>
  <c r="AO6" i="53"/>
  <c r="BV6" i="53" s="1"/>
  <c r="DF6" i="53" s="1"/>
  <c r="AQ5" i="53"/>
  <c r="AP5" i="53"/>
  <c r="AO5" i="53"/>
  <c r="AM17" i="111" l="1"/>
  <c r="AN17" i="111"/>
  <c r="AO17" i="111"/>
  <c r="BX23" i="53"/>
  <c r="AQ47" i="53"/>
  <c r="BV23" i="53"/>
  <c r="AO47" i="53"/>
  <c r="BW23" i="53"/>
  <c r="DG23" i="53" s="1"/>
  <c r="O41" i="120" s="1"/>
  <c r="AL41" i="120" s="1"/>
  <c r="AP47" i="53"/>
  <c r="BV45" i="53"/>
  <c r="DF45" i="53" s="1"/>
  <c r="DH45" i="53"/>
  <c r="P63" i="120" s="1"/>
  <c r="Q63" i="120" s="1"/>
  <c r="N63" i="120"/>
  <c r="DH55" i="53"/>
  <c r="P76" i="120" s="1"/>
  <c r="Q76" i="120" s="1"/>
  <c r="N76" i="120"/>
  <c r="DG30" i="53"/>
  <c r="O48" i="120" s="1"/>
  <c r="AL48" i="120" s="1"/>
  <c r="M48" i="120"/>
  <c r="DG52" i="53"/>
  <c r="O73" i="120" s="1"/>
  <c r="AL73" i="120" s="1"/>
  <c r="M73" i="120"/>
  <c r="DH34" i="53"/>
  <c r="P52" i="120" s="1"/>
  <c r="Q52" i="120" s="1"/>
  <c r="N52" i="120"/>
  <c r="AP19" i="53"/>
  <c r="DG43" i="53"/>
  <c r="O61" i="120" s="1"/>
  <c r="AL61" i="120" s="1"/>
  <c r="M61" i="120"/>
  <c r="DG53" i="53"/>
  <c r="O74" i="120" s="1"/>
  <c r="AL74" i="120" s="1"/>
  <c r="M74" i="120"/>
  <c r="DH53" i="53"/>
  <c r="P74" i="120" s="1"/>
  <c r="Q74" i="120" s="1"/>
  <c r="N74" i="120"/>
  <c r="DG24" i="53"/>
  <c r="O42" i="120" s="1"/>
  <c r="AL42" i="120" s="1"/>
  <c r="M42" i="120"/>
  <c r="DG32" i="53"/>
  <c r="O50" i="120" s="1"/>
  <c r="AL50" i="120" s="1"/>
  <c r="M50" i="120"/>
  <c r="DG36" i="53"/>
  <c r="O54" i="120" s="1"/>
  <c r="AL54" i="120" s="1"/>
  <c r="M54" i="120"/>
  <c r="DG44" i="53"/>
  <c r="O62" i="120" s="1"/>
  <c r="AL62" i="120" s="1"/>
  <c r="M62" i="120"/>
  <c r="DG58" i="53"/>
  <c r="O79" i="120" s="1"/>
  <c r="AL79" i="120" s="1"/>
  <c r="M79" i="120"/>
  <c r="DH51" i="53"/>
  <c r="P72" i="120" s="1"/>
  <c r="Q72" i="120" s="1"/>
  <c r="N72" i="120"/>
  <c r="DG38" i="53"/>
  <c r="O56" i="120" s="1"/>
  <c r="AL56" i="120" s="1"/>
  <c r="M56" i="120"/>
  <c r="M85" i="120"/>
  <c r="DH30" i="53"/>
  <c r="P48" i="120" s="1"/>
  <c r="Q48" i="120" s="1"/>
  <c r="N48" i="120"/>
  <c r="DH60" i="53"/>
  <c r="P81" i="120" s="1"/>
  <c r="Q81" i="120" s="1"/>
  <c r="N81" i="120"/>
  <c r="DG61" i="53"/>
  <c r="O82" i="120" s="1"/>
  <c r="AL82" i="120" s="1"/>
  <c r="M82" i="120"/>
  <c r="BX5" i="53"/>
  <c r="N19" i="120" s="1"/>
  <c r="AQ19" i="53"/>
  <c r="DH27" i="53"/>
  <c r="P45" i="120" s="1"/>
  <c r="Q45" i="120" s="1"/>
  <c r="N45" i="120"/>
  <c r="DH24" i="53"/>
  <c r="P42" i="120" s="1"/>
  <c r="Q42" i="120" s="1"/>
  <c r="N42" i="120"/>
  <c r="DH32" i="53"/>
  <c r="P50" i="120" s="1"/>
  <c r="Q50" i="120" s="1"/>
  <c r="N50" i="120"/>
  <c r="DH36" i="53"/>
  <c r="P54" i="120" s="1"/>
  <c r="Q54" i="120" s="1"/>
  <c r="N54" i="120"/>
  <c r="DH44" i="53"/>
  <c r="P62" i="120" s="1"/>
  <c r="Q62" i="120" s="1"/>
  <c r="N62" i="120"/>
  <c r="DH54" i="53"/>
  <c r="P75" i="120" s="1"/>
  <c r="Q75" i="120" s="1"/>
  <c r="N75" i="120"/>
  <c r="DH58" i="53"/>
  <c r="P79" i="120" s="1"/>
  <c r="Q79" i="120" s="1"/>
  <c r="N79" i="120"/>
  <c r="DH29" i="53"/>
  <c r="P47" i="120" s="1"/>
  <c r="Q47" i="120" s="1"/>
  <c r="N47" i="120"/>
  <c r="DH59" i="53"/>
  <c r="P80" i="120" s="1"/>
  <c r="Q80" i="120" s="1"/>
  <c r="N80" i="120"/>
  <c r="DG34" i="53"/>
  <c r="O52" i="120" s="1"/>
  <c r="AL52" i="120" s="1"/>
  <c r="M52" i="120"/>
  <c r="DG60" i="53"/>
  <c r="O81" i="120" s="1"/>
  <c r="AL81" i="120" s="1"/>
  <c r="M81" i="120"/>
  <c r="DH38" i="53"/>
  <c r="P56" i="120" s="1"/>
  <c r="Q56" i="120" s="1"/>
  <c r="N56" i="120"/>
  <c r="DH52" i="53"/>
  <c r="P73" i="120" s="1"/>
  <c r="Q73" i="120" s="1"/>
  <c r="N73" i="120"/>
  <c r="DG9" i="53"/>
  <c r="O23" i="120" s="1"/>
  <c r="AL23" i="120" s="1"/>
  <c r="M23" i="120"/>
  <c r="DH61" i="53"/>
  <c r="P82" i="120" s="1"/>
  <c r="Q82" i="120" s="1"/>
  <c r="N82" i="120"/>
  <c r="DH25" i="53"/>
  <c r="N43" i="120"/>
  <c r="DH33" i="53"/>
  <c r="P51" i="120" s="1"/>
  <c r="Q51" i="120" s="1"/>
  <c r="N51" i="120"/>
  <c r="DH63" i="53"/>
  <c r="P84" i="120" s="1"/>
  <c r="Q84" i="120" s="1"/>
  <c r="N84" i="120"/>
  <c r="DH64" i="53"/>
  <c r="P85" i="120" s="1"/>
  <c r="Q85" i="120" s="1"/>
  <c r="N85" i="120"/>
  <c r="BV5" i="53"/>
  <c r="BV19" i="53" s="1"/>
  <c r="AO19" i="53"/>
  <c r="DG27" i="53"/>
  <c r="O45" i="120" s="1"/>
  <c r="AL45" i="120" s="1"/>
  <c r="M45" i="120"/>
  <c r="DG57" i="53"/>
  <c r="O78" i="120" s="1"/>
  <c r="AL78" i="120" s="1"/>
  <c r="M78" i="120"/>
  <c r="DH23" i="53"/>
  <c r="P41" i="120" s="1"/>
  <c r="Q41" i="120" s="1"/>
  <c r="N41" i="120"/>
  <c r="DH31" i="53"/>
  <c r="P49" i="120" s="1"/>
  <c r="Q49" i="120" s="1"/>
  <c r="N49" i="120"/>
  <c r="DH43" i="53"/>
  <c r="P61" i="120" s="1"/>
  <c r="Q61" i="120" s="1"/>
  <c r="N61" i="120"/>
  <c r="DH57" i="53"/>
  <c r="P78" i="120" s="1"/>
  <c r="Q78" i="120" s="1"/>
  <c r="N78" i="120"/>
  <c r="DG7" i="53"/>
  <c r="O21" i="120" s="1"/>
  <c r="AL21" i="120" s="1"/>
  <c r="M21" i="120"/>
  <c r="DG11" i="53"/>
  <c r="O25" i="120" s="1"/>
  <c r="AL25" i="120" s="1"/>
  <c r="M25" i="120"/>
  <c r="DG29" i="53"/>
  <c r="O47" i="120" s="1"/>
  <c r="AL47" i="120" s="1"/>
  <c r="M47" i="120"/>
  <c r="DG33" i="53"/>
  <c r="O51" i="120" s="1"/>
  <c r="AL51" i="120" s="1"/>
  <c r="M51" i="120"/>
  <c r="DG45" i="53"/>
  <c r="O63" i="120" s="1"/>
  <c r="AL63" i="120" s="1"/>
  <c r="M63" i="120"/>
  <c r="DG51" i="53"/>
  <c r="O72" i="120" s="1"/>
  <c r="AL72" i="120" s="1"/>
  <c r="M72" i="120"/>
  <c r="DG55" i="53"/>
  <c r="O76" i="120" s="1"/>
  <c r="AL76" i="120" s="1"/>
  <c r="M76" i="120"/>
  <c r="DG59" i="53"/>
  <c r="O80" i="120" s="1"/>
  <c r="AL80" i="120" s="1"/>
  <c r="M80" i="120"/>
  <c r="DG63" i="53"/>
  <c r="O84" i="120" s="1"/>
  <c r="AL84" i="120" s="1"/>
  <c r="M84" i="120"/>
  <c r="DG14" i="53"/>
  <c r="O28" i="120" s="1"/>
  <c r="M28" i="120"/>
  <c r="DH42" i="53"/>
  <c r="P60" i="120" s="1"/>
  <c r="Q60" i="120" s="1"/>
  <c r="N60" i="120"/>
  <c r="DG56" i="53"/>
  <c r="O77" i="120" s="1"/>
  <c r="AL77" i="120" s="1"/>
  <c r="M77" i="120"/>
  <c r="DH37" i="53"/>
  <c r="P55" i="120" s="1"/>
  <c r="Q55" i="120" s="1"/>
  <c r="N55" i="120"/>
  <c r="DG37" i="53"/>
  <c r="O55" i="120" s="1"/>
  <c r="AL55" i="120" s="1"/>
  <c r="M55" i="120"/>
  <c r="DG35" i="53"/>
  <c r="O53" i="120" s="1"/>
  <c r="AL53" i="120" s="1"/>
  <c r="M53" i="120"/>
  <c r="DH35" i="53"/>
  <c r="P53" i="120" s="1"/>
  <c r="Q53" i="120" s="1"/>
  <c r="N53" i="120"/>
  <c r="DH41" i="53"/>
  <c r="P59" i="120" s="1"/>
  <c r="Q59" i="120" s="1"/>
  <c r="N59" i="120"/>
  <c r="DG41" i="53"/>
  <c r="O59" i="120" s="1"/>
  <c r="AL59" i="120" s="1"/>
  <c r="M59" i="120"/>
  <c r="DG13" i="53"/>
  <c r="O27" i="120" s="1"/>
  <c r="M27" i="120"/>
  <c r="DG15" i="53"/>
  <c r="O29" i="120" s="1"/>
  <c r="AL29" i="120" s="1"/>
  <c r="M29" i="120"/>
  <c r="DG8" i="53"/>
  <c r="O22" i="120" s="1"/>
  <c r="AL22" i="120" s="1"/>
  <c r="M22" i="120"/>
  <c r="DG16" i="53"/>
  <c r="O30" i="120" s="1"/>
  <c r="AL30" i="120" s="1"/>
  <c r="M30" i="120"/>
  <c r="M92" i="120"/>
  <c r="M93" i="120" s="1"/>
  <c r="DH40" i="53"/>
  <c r="P58" i="120" s="1"/>
  <c r="Q58" i="120" s="1"/>
  <c r="N58" i="120"/>
  <c r="DG40" i="53"/>
  <c r="O58" i="120" s="1"/>
  <c r="AL58" i="120" s="1"/>
  <c r="M58" i="120"/>
  <c r="DG26" i="53"/>
  <c r="O44" i="120" s="1"/>
  <c r="AL44" i="120" s="1"/>
  <c r="M44" i="120"/>
  <c r="DH28" i="53"/>
  <c r="P46" i="120" s="1"/>
  <c r="N46" i="120"/>
  <c r="DG28" i="53"/>
  <c r="O46" i="120" s="1"/>
  <c r="M46" i="120"/>
  <c r="DH62" i="53"/>
  <c r="P83" i="120" s="1"/>
  <c r="N83" i="120"/>
  <c r="DF12" i="53"/>
  <c r="DG12" i="53"/>
  <c r="BW62" i="53"/>
  <c r="DH7" i="53"/>
  <c r="P21" i="120" s="1"/>
  <c r="Q21" i="120" s="1"/>
  <c r="DH11" i="53"/>
  <c r="P25" i="120" s="1"/>
  <c r="Q25" i="120" s="1"/>
  <c r="DH15" i="53"/>
  <c r="P29" i="120" s="1"/>
  <c r="Q29" i="120" s="1"/>
  <c r="DH9" i="53"/>
  <c r="P23" i="120" s="1"/>
  <c r="Q23" i="120" s="1"/>
  <c r="DH13" i="53"/>
  <c r="P27" i="120" s="1"/>
  <c r="Q27" i="120" s="1"/>
  <c r="DH14" i="53"/>
  <c r="P28" i="120" s="1"/>
  <c r="Q28" i="120" s="1"/>
  <c r="DH8" i="53"/>
  <c r="P22" i="120" s="1"/>
  <c r="Q22" i="120" s="1"/>
  <c r="DH12" i="53"/>
  <c r="P26" i="120" s="1"/>
  <c r="Q26" i="120" s="1"/>
  <c r="DH16" i="53"/>
  <c r="P30" i="120" s="1"/>
  <c r="Q30" i="120" s="1"/>
  <c r="AX386" i="106"/>
  <c r="CV72" i="53"/>
  <c r="CS72" i="53"/>
  <c r="CJ72" i="53"/>
  <c r="AP9" i="112"/>
  <c r="DH26" i="53"/>
  <c r="P44" i="120" s="1"/>
  <c r="Q44" i="120" s="1"/>
  <c r="DG64" i="53"/>
  <c r="O85" i="120" s="1"/>
  <c r="AL85" i="120" s="1"/>
  <c r="CK72" i="53"/>
  <c r="BW54" i="53"/>
  <c r="BW39" i="53"/>
  <c r="BW6" i="53"/>
  <c r="BX39" i="53"/>
  <c r="CL72" i="53"/>
  <c r="CX72" i="53"/>
  <c r="AN10" i="110"/>
  <c r="AM15" i="108"/>
  <c r="AV72" i="53"/>
  <c r="BH72" i="53"/>
  <c r="BT72" i="53"/>
  <c r="BI72" i="53"/>
  <c r="AD72" i="53"/>
  <c r="CR72" i="53"/>
  <c r="AQ9" i="112"/>
  <c r="AR9" i="112"/>
  <c r="AO20" i="114"/>
  <c r="AM20" i="114"/>
  <c r="AN72" i="53"/>
  <c r="AB72" i="53"/>
  <c r="BX56" i="53"/>
  <c r="BW10" i="53"/>
  <c r="BX10" i="53"/>
  <c r="N24" i="120" s="1"/>
  <c r="R72" i="53"/>
  <c r="P72" i="53"/>
  <c r="AO70" i="53"/>
  <c r="K72" i="53"/>
  <c r="AP70" i="53"/>
  <c r="BW31" i="53"/>
  <c r="M49" i="120" s="1"/>
  <c r="DG42" i="53"/>
  <c r="O60" i="120" s="1"/>
  <c r="AL60" i="120" s="1"/>
  <c r="AP14" i="117"/>
  <c r="AQ14" i="117"/>
  <c r="AR14" i="117"/>
  <c r="AN20" i="114"/>
  <c r="AQ17" i="113"/>
  <c r="AR17" i="113"/>
  <c r="AP17" i="113"/>
  <c r="AO10" i="110"/>
  <c r="AM10" i="110"/>
  <c r="AP19" i="109"/>
  <c r="AR19" i="109"/>
  <c r="AQ19" i="109"/>
  <c r="AN15" i="108"/>
  <c r="AO15" i="108"/>
  <c r="AM19" i="107"/>
  <c r="AN19" i="107"/>
  <c r="AO19" i="107"/>
  <c r="AV386" i="106"/>
  <c r="AW386" i="106"/>
  <c r="DE72" i="53"/>
  <c r="CG72" i="53"/>
  <c r="BB72" i="53"/>
  <c r="AZ72" i="53"/>
  <c r="BA72" i="53"/>
  <c r="AT72" i="53"/>
  <c r="BF72" i="53"/>
  <c r="BR72" i="53"/>
  <c r="CM72" i="53"/>
  <c r="CY72" i="53"/>
  <c r="CB72" i="53"/>
  <c r="CN72" i="53"/>
  <c r="CZ72" i="53"/>
  <c r="CC72" i="53"/>
  <c r="CO72" i="53"/>
  <c r="DA72" i="53"/>
  <c r="CD72" i="53"/>
  <c r="CP72" i="53"/>
  <c r="CE72" i="53"/>
  <c r="CQ72" i="53"/>
  <c r="DC72" i="53"/>
  <c r="CF72" i="53"/>
  <c r="DD72" i="53"/>
  <c r="BY72" i="53"/>
  <c r="CW72" i="53"/>
  <c r="BN72" i="53"/>
  <c r="BC72" i="53"/>
  <c r="BO72" i="53"/>
  <c r="AR72" i="53"/>
  <c r="BD72" i="53"/>
  <c r="BP72" i="53"/>
  <c r="AS72" i="53"/>
  <c r="BE72" i="53"/>
  <c r="BQ72" i="53"/>
  <c r="AU72" i="53"/>
  <c r="BG72" i="53"/>
  <c r="BS72" i="53"/>
  <c r="AC72" i="53"/>
  <c r="Q72" i="53"/>
  <c r="S72" i="53"/>
  <c r="AE72" i="53"/>
  <c r="AG72" i="53"/>
  <c r="T72" i="53"/>
  <c r="AF72" i="53"/>
  <c r="U72" i="53"/>
  <c r="V72" i="53"/>
  <c r="AH72" i="53"/>
  <c r="W72" i="53"/>
  <c r="AI72" i="53"/>
  <c r="L72" i="53"/>
  <c r="X72" i="53"/>
  <c r="AJ72" i="53"/>
  <c r="M72" i="53"/>
  <c r="Y72" i="53"/>
  <c r="AK72" i="53"/>
  <c r="BW25" i="53"/>
  <c r="M43" i="120" s="1"/>
  <c r="BU72" i="53"/>
  <c r="DG69" i="53"/>
  <c r="O92" i="120" s="1"/>
  <c r="BW70" i="53"/>
  <c r="AO65" i="53"/>
  <c r="BX69" i="53"/>
  <c r="AQ70" i="53"/>
  <c r="DF23" i="53"/>
  <c r="BX6" i="53"/>
  <c r="BV70" i="53"/>
  <c r="CA72" i="53"/>
  <c r="AQ65" i="53"/>
  <c r="BV65" i="53"/>
  <c r="AX72" i="53"/>
  <c r="AP65" i="53"/>
  <c r="CT72" i="53"/>
  <c r="AY72" i="53"/>
  <c r="BZ72" i="53"/>
  <c r="AW72" i="53"/>
  <c r="BJ72" i="53"/>
  <c r="CH72" i="53"/>
  <c r="N72" i="53"/>
  <c r="AL72" i="53"/>
  <c r="BK72" i="53"/>
  <c r="CI72" i="53"/>
  <c r="CU72" i="53"/>
  <c r="DB72" i="53"/>
  <c r="DF51" i="53"/>
  <c r="DF65" i="53" s="1"/>
  <c r="O72" i="53"/>
  <c r="AA72" i="53"/>
  <c r="AM72" i="53"/>
  <c r="BL72" i="53"/>
  <c r="BW5" i="53"/>
  <c r="Z72" i="53"/>
  <c r="BM72" i="53"/>
  <c r="M41" i="120" l="1"/>
  <c r="DF47" i="53"/>
  <c r="BW47" i="53"/>
  <c r="M19" i="120"/>
  <c r="DG5" i="53"/>
  <c r="BV47" i="53"/>
  <c r="BX47" i="53"/>
  <c r="O26" i="120"/>
  <c r="P43" i="120"/>
  <c r="Q43" i="120" s="1"/>
  <c r="M75" i="120"/>
  <c r="DH39" i="53"/>
  <c r="P57" i="120" s="1"/>
  <c r="Q57" i="120" s="1"/>
  <c r="N57" i="120"/>
  <c r="DG39" i="53"/>
  <c r="O57" i="120" s="1"/>
  <c r="AL57" i="120" s="1"/>
  <c r="M57" i="120"/>
  <c r="DF5" i="53"/>
  <c r="DF19" i="53" s="1"/>
  <c r="DF72" i="53" s="1"/>
  <c r="DH5" i="53"/>
  <c r="P19" i="120" s="1"/>
  <c r="Q19" i="120" s="1"/>
  <c r="N77" i="120"/>
  <c r="DG10" i="53"/>
  <c r="O24" i="120" s="1"/>
  <c r="AL24" i="120" s="1"/>
  <c r="M24" i="120"/>
  <c r="DG6" i="53"/>
  <c r="O20" i="120" s="1"/>
  <c r="M20" i="120"/>
  <c r="DH6" i="53"/>
  <c r="P20" i="120" s="1"/>
  <c r="N20" i="120"/>
  <c r="N35" i="120" s="1"/>
  <c r="O93" i="120"/>
  <c r="J8" i="120" s="1"/>
  <c r="V8" i="120" s="1"/>
  <c r="N92" i="120"/>
  <c r="N93" i="120" s="1"/>
  <c r="Q46" i="120"/>
  <c r="M83" i="120"/>
  <c r="Q83" i="120"/>
  <c r="BW19" i="53"/>
  <c r="BX19" i="53"/>
  <c r="BW65" i="53"/>
  <c r="BX65" i="53"/>
  <c r="DG62" i="53"/>
  <c r="O83" i="120" s="1"/>
  <c r="DH10" i="53"/>
  <c r="DG54" i="53"/>
  <c r="O75" i="120" s="1"/>
  <c r="AL75" i="120" s="1"/>
  <c r="AP72" i="53"/>
  <c r="DH56" i="53"/>
  <c r="P77" i="120" s="1"/>
  <c r="Q77" i="120" s="1"/>
  <c r="DG70" i="53"/>
  <c r="DG31" i="53"/>
  <c r="O49" i="120" s="1"/>
  <c r="AL49" i="120" s="1"/>
  <c r="BV72" i="53"/>
  <c r="AO72" i="53"/>
  <c r="AQ72" i="53"/>
  <c r="DG25" i="53"/>
  <c r="DH69" i="53"/>
  <c r="P92" i="120" s="1"/>
  <c r="BX70" i="53"/>
  <c r="DH47" i="53" l="1"/>
  <c r="DG19" i="53"/>
  <c r="P65" i="120"/>
  <c r="Q65" i="120" s="1"/>
  <c r="O43" i="120"/>
  <c r="AL43" i="120" s="1"/>
  <c r="DG47" i="53"/>
  <c r="P86" i="120"/>
  <c r="Q86" i="120" s="1"/>
  <c r="M35" i="120"/>
  <c r="DH19" i="53"/>
  <c r="P24" i="120"/>
  <c r="Q24" i="120" s="1"/>
  <c r="O19" i="120"/>
  <c r="Q20" i="120"/>
  <c r="Q92" i="120"/>
  <c r="P93" i="120"/>
  <c r="Q93" i="120" s="1"/>
  <c r="AL92" i="120"/>
  <c r="AK93" i="120"/>
  <c r="AL93" i="120" s="1"/>
  <c r="AL46" i="120"/>
  <c r="O86" i="120"/>
  <c r="BX72" i="53"/>
  <c r="DG65" i="53"/>
  <c r="DH65" i="53"/>
  <c r="DH70" i="53"/>
  <c r="BW72" i="53"/>
  <c r="O35" i="120" l="1"/>
  <c r="J5" i="120" s="1"/>
  <c r="V5" i="120" s="1"/>
  <c r="AK65" i="120"/>
  <c r="AL65" i="120" s="1"/>
  <c r="O65" i="120"/>
  <c r="J6" i="120" s="1"/>
  <c r="V6" i="120" s="1"/>
  <c r="P35" i="120"/>
  <c r="Q35" i="120" s="1"/>
  <c r="AL20" i="120"/>
  <c r="AK35" i="120"/>
  <c r="AL35" i="120" s="1"/>
  <c r="N86" i="120"/>
  <c r="M86" i="120"/>
  <c r="M65" i="120"/>
  <c r="N65" i="120"/>
  <c r="AL83" i="120"/>
  <c r="AK86" i="120"/>
  <c r="AL86" i="120" s="1"/>
  <c r="J7" i="120"/>
  <c r="DG72" i="53"/>
  <c r="DH72" i="53"/>
  <c r="AV336" i="106"/>
  <c r="AW336" i="106"/>
  <c r="AX336" i="106"/>
  <c r="AV337" i="106"/>
  <c r="AW337" i="106"/>
  <c r="AX337" i="106"/>
  <c r="AV338" i="106"/>
  <c r="AW338" i="106"/>
  <c r="AX338" i="106"/>
  <c r="AV339" i="106"/>
  <c r="AW339" i="106"/>
  <c r="AX339" i="106"/>
  <c r="AV340" i="106"/>
  <c r="AW340" i="106"/>
  <c r="AX340" i="106"/>
  <c r="AV341" i="106"/>
  <c r="AW341" i="106"/>
  <c r="AX341" i="106"/>
  <c r="AV342" i="106"/>
  <c r="AW342" i="106"/>
  <c r="AX342" i="106"/>
  <c r="AV343" i="106"/>
  <c r="AW343" i="106"/>
  <c r="AX343" i="106"/>
  <c r="AV344" i="106"/>
  <c r="AW344" i="106"/>
  <c r="AX344" i="106"/>
  <c r="AV345" i="106"/>
  <c r="AW345" i="106"/>
  <c r="AX345" i="106"/>
  <c r="AV346" i="106"/>
  <c r="AW346" i="106"/>
  <c r="AX346" i="106"/>
  <c r="AV347" i="106"/>
  <c r="AW347" i="106"/>
  <c r="AX347" i="106"/>
  <c r="AV348" i="106"/>
  <c r="AW348" i="106"/>
  <c r="AX348" i="106"/>
  <c r="AV349" i="106"/>
  <c r="AW349" i="106"/>
  <c r="AX349" i="106"/>
  <c r="AV350" i="106"/>
  <c r="AW350" i="106"/>
  <c r="AX350" i="106"/>
  <c r="AV351" i="106"/>
  <c r="AW351" i="106"/>
  <c r="AX351" i="106"/>
  <c r="AV352" i="106"/>
  <c r="AW352" i="106"/>
  <c r="AX352" i="106"/>
  <c r="AV353" i="106"/>
  <c r="AW353" i="106"/>
  <c r="AX353" i="106"/>
  <c r="AV354" i="106"/>
  <c r="AW354" i="106"/>
  <c r="AX354" i="106"/>
  <c r="AV355" i="106"/>
  <c r="AW355" i="106"/>
  <c r="AX355" i="106"/>
  <c r="AX335" i="106"/>
  <c r="AW335" i="106"/>
  <c r="AV335" i="106"/>
  <c r="AV327" i="106"/>
  <c r="AB356" i="106"/>
  <c r="AA356" i="106"/>
  <c r="AB328" i="106"/>
  <c r="AA328" i="106"/>
  <c r="AX327" i="106"/>
  <c r="AW327" i="106"/>
  <c r="AX326" i="106"/>
  <c r="AW326" i="106"/>
  <c r="AV326" i="106"/>
  <c r="AX325" i="106"/>
  <c r="AW325" i="106"/>
  <c r="AV325" i="106"/>
  <c r="AX324" i="106"/>
  <c r="AW324" i="106"/>
  <c r="AV324" i="106"/>
  <c r="AX323" i="106"/>
  <c r="AW323" i="106"/>
  <c r="AV323" i="106"/>
  <c r="AX322" i="106"/>
  <c r="AW322" i="106"/>
  <c r="AV322" i="106"/>
  <c r="AX321" i="106"/>
  <c r="AW321" i="106"/>
  <c r="AV321" i="106"/>
  <c r="AX320" i="106"/>
  <c r="AW320" i="106"/>
  <c r="AV320" i="106"/>
  <c r="AX319" i="106"/>
  <c r="AW319" i="106"/>
  <c r="AV319" i="106"/>
  <c r="AX318" i="106"/>
  <c r="AW318" i="106"/>
  <c r="AV318" i="106"/>
  <c r="AX317" i="106"/>
  <c r="AW317" i="106"/>
  <c r="AV317" i="106"/>
  <c r="AX316" i="106"/>
  <c r="AW316" i="106"/>
  <c r="AV316" i="106"/>
  <c r="AX315" i="106"/>
  <c r="AW315" i="106"/>
  <c r="AV315" i="106"/>
  <c r="AX314" i="106"/>
  <c r="AW314" i="106"/>
  <c r="AV314" i="106"/>
  <c r="AX313" i="106"/>
  <c r="AW313" i="106"/>
  <c r="AV313" i="106"/>
  <c r="AX312" i="106"/>
  <c r="AW312" i="106"/>
  <c r="AV312" i="106"/>
  <c r="AX311" i="106"/>
  <c r="AW311" i="106"/>
  <c r="AV311" i="106"/>
  <c r="AX310" i="106"/>
  <c r="AW310" i="106"/>
  <c r="AV310" i="106"/>
  <c r="AX309" i="106"/>
  <c r="AW309" i="106"/>
  <c r="AV309" i="106"/>
  <c r="AX308" i="106"/>
  <c r="AW308" i="106"/>
  <c r="AV308" i="106"/>
  <c r="AX307" i="106"/>
  <c r="AW307" i="106"/>
  <c r="AV307" i="106"/>
  <c r="O96" i="120" l="1"/>
  <c r="J10" i="120"/>
  <c r="P96" i="120"/>
  <c r="M96" i="120"/>
  <c r="N96" i="120"/>
  <c r="V7" i="120"/>
  <c r="V9" i="120" s="1"/>
  <c r="V11" i="120" s="1"/>
  <c r="J9" i="120"/>
  <c r="J11" i="120" s="1"/>
  <c r="AV356" i="106"/>
  <c r="AW356" i="106"/>
  <c r="AX356" i="106"/>
  <c r="AX328" i="106"/>
  <c r="AW328" i="106"/>
  <c r="AV328" i="106"/>
  <c r="J12" i="120" l="1"/>
  <c r="V10" i="120"/>
  <c r="V12" i="120" s="1"/>
  <c r="AB300" i="106"/>
  <c r="AA300" i="106"/>
  <c r="AX299" i="106"/>
  <c r="AW299" i="106"/>
  <c r="AV299" i="106"/>
  <c r="AX298" i="106"/>
  <c r="AW298" i="106"/>
  <c r="AV298" i="106"/>
  <c r="AX297" i="106"/>
  <c r="AW297" i="106"/>
  <c r="AV297" i="106"/>
  <c r="AX296" i="106"/>
  <c r="AW296" i="106"/>
  <c r="AV296" i="106"/>
  <c r="AX295" i="106"/>
  <c r="AW295" i="106"/>
  <c r="AV295" i="106"/>
  <c r="AX294" i="106"/>
  <c r="AW294" i="106"/>
  <c r="AV294" i="106"/>
  <c r="AX293" i="106"/>
  <c r="AW293" i="106"/>
  <c r="AV293" i="106"/>
  <c r="AX292" i="106"/>
  <c r="AW292" i="106"/>
  <c r="AV292" i="106"/>
  <c r="AX291" i="106"/>
  <c r="AW291" i="106"/>
  <c r="AV291" i="106"/>
  <c r="AX290" i="106"/>
  <c r="AW290" i="106"/>
  <c r="AV290" i="106"/>
  <c r="AX289" i="106"/>
  <c r="AW289" i="106"/>
  <c r="AV289" i="106"/>
  <c r="AX288" i="106"/>
  <c r="AW288" i="106"/>
  <c r="AV288" i="106"/>
  <c r="AX287" i="106"/>
  <c r="AW287" i="106"/>
  <c r="AV287" i="106"/>
  <c r="AX286" i="106"/>
  <c r="AW286" i="106"/>
  <c r="AV286" i="106"/>
  <c r="AX285" i="106"/>
  <c r="AW285" i="106"/>
  <c r="AV285" i="106"/>
  <c r="AX284" i="106"/>
  <c r="AW284" i="106"/>
  <c r="AV284" i="106"/>
  <c r="AX283" i="106"/>
  <c r="AW283" i="106"/>
  <c r="AV283" i="106"/>
  <c r="AX282" i="106"/>
  <c r="AW282" i="106"/>
  <c r="AV282" i="106"/>
  <c r="AX281" i="106"/>
  <c r="AW281" i="106"/>
  <c r="AV281" i="106"/>
  <c r="AX280" i="106"/>
  <c r="AW280" i="106"/>
  <c r="AV280" i="106"/>
  <c r="AX279" i="106"/>
  <c r="AW279" i="106"/>
  <c r="AV279" i="106"/>
  <c r="AV249" i="106"/>
  <c r="AW249" i="106"/>
  <c r="AX249" i="106"/>
  <c r="AW300" i="106" l="1"/>
  <c r="AX300" i="106"/>
  <c r="AV300" i="106"/>
  <c r="AB271" i="106"/>
  <c r="AA271" i="106"/>
  <c r="AX270" i="106"/>
  <c r="AW270" i="106"/>
  <c r="AV270" i="106"/>
  <c r="AX269" i="106"/>
  <c r="AW269" i="106"/>
  <c r="AV269" i="106"/>
  <c r="AX268" i="106"/>
  <c r="AW268" i="106"/>
  <c r="AV268" i="106"/>
  <c r="AX267" i="106"/>
  <c r="AW267" i="106"/>
  <c r="AV267" i="106"/>
  <c r="AX266" i="106"/>
  <c r="AW266" i="106"/>
  <c r="AV266" i="106"/>
  <c r="AX265" i="106"/>
  <c r="AW265" i="106"/>
  <c r="AV265" i="106"/>
  <c r="AX264" i="106"/>
  <c r="AW264" i="106"/>
  <c r="AV264" i="106"/>
  <c r="AX263" i="106"/>
  <c r="AW263" i="106"/>
  <c r="AV263" i="106"/>
  <c r="AX262" i="106"/>
  <c r="AW262" i="106"/>
  <c r="AV262" i="106"/>
  <c r="AX261" i="106"/>
  <c r="AW261" i="106"/>
  <c r="AV261" i="106"/>
  <c r="AX260" i="106"/>
  <c r="AW260" i="106"/>
  <c r="AV260" i="106"/>
  <c r="AX259" i="106"/>
  <c r="AW259" i="106"/>
  <c r="AV259" i="106"/>
  <c r="AX258" i="106"/>
  <c r="AW258" i="106"/>
  <c r="AV258" i="106"/>
  <c r="AX257" i="106"/>
  <c r="AW257" i="106"/>
  <c r="AV257" i="106"/>
  <c r="AX256" i="106"/>
  <c r="AW256" i="106"/>
  <c r="AV256" i="106"/>
  <c r="AX255" i="106"/>
  <c r="AW255" i="106"/>
  <c r="AV255" i="106"/>
  <c r="AX254" i="106"/>
  <c r="AW254" i="106"/>
  <c r="AV254" i="106"/>
  <c r="AX253" i="106"/>
  <c r="AW253" i="106"/>
  <c r="AV253" i="106"/>
  <c r="AX252" i="106"/>
  <c r="AW252" i="106"/>
  <c r="AV252" i="106"/>
  <c r="AX251" i="106"/>
  <c r="AW251" i="106"/>
  <c r="AV251" i="106"/>
  <c r="AX250" i="106"/>
  <c r="AW250" i="106"/>
  <c r="AV250" i="106"/>
  <c r="AX248" i="106"/>
  <c r="AW248" i="106"/>
  <c r="AV248" i="106"/>
  <c r="AX247" i="106"/>
  <c r="AW247" i="106"/>
  <c r="AV247" i="106"/>
  <c r="AX246" i="106"/>
  <c r="AW246" i="106"/>
  <c r="AV246" i="106"/>
  <c r="AX245" i="106"/>
  <c r="AW245" i="106"/>
  <c r="AV245" i="106"/>
  <c r="AX244" i="106"/>
  <c r="AW244" i="106"/>
  <c r="AV244" i="106"/>
  <c r="AX243" i="106"/>
  <c r="AW243" i="106"/>
  <c r="AV243" i="106"/>
  <c r="AX242" i="106"/>
  <c r="AW242" i="106"/>
  <c r="AV242" i="106"/>
  <c r="AV271" i="106" l="1"/>
  <c r="AX271" i="106"/>
  <c r="AW271" i="106"/>
  <c r="AB234" i="106" l="1"/>
  <c r="AA234" i="106"/>
  <c r="AX233" i="106"/>
  <c r="AW233" i="106"/>
  <c r="AV233" i="106"/>
  <c r="AX232" i="106"/>
  <c r="AW232" i="106"/>
  <c r="AV232" i="106"/>
  <c r="AX231" i="106"/>
  <c r="AW231" i="106"/>
  <c r="AV231" i="106"/>
  <c r="AX230" i="106"/>
  <c r="AW230" i="106"/>
  <c r="AV230" i="106"/>
  <c r="AX229" i="106"/>
  <c r="AW229" i="106"/>
  <c r="AV229" i="106"/>
  <c r="AX228" i="106"/>
  <c r="AW228" i="106"/>
  <c r="AV228" i="106"/>
  <c r="AX227" i="106"/>
  <c r="AW227" i="106"/>
  <c r="AV227" i="106"/>
  <c r="AX226" i="106"/>
  <c r="AW226" i="106"/>
  <c r="AV226" i="106"/>
  <c r="AX225" i="106"/>
  <c r="AW225" i="106"/>
  <c r="AV225" i="106"/>
  <c r="AX224" i="106"/>
  <c r="AW224" i="106"/>
  <c r="AV224" i="106"/>
  <c r="AX223" i="106"/>
  <c r="AW223" i="106"/>
  <c r="AV223" i="106"/>
  <c r="AX222" i="106"/>
  <c r="AW222" i="106"/>
  <c r="AV222" i="106"/>
  <c r="AX221" i="106"/>
  <c r="AW221" i="106"/>
  <c r="AV221" i="106"/>
  <c r="AX220" i="106"/>
  <c r="AW220" i="106"/>
  <c r="AV220" i="106"/>
  <c r="AX219" i="106"/>
  <c r="AW219" i="106"/>
  <c r="AV219" i="106"/>
  <c r="AX218" i="106"/>
  <c r="AW218" i="106"/>
  <c r="AV218" i="106"/>
  <c r="AX217" i="106"/>
  <c r="AW217" i="106"/>
  <c r="AV217" i="106"/>
  <c r="AX216" i="106"/>
  <c r="AW216" i="106"/>
  <c r="AV216" i="106"/>
  <c r="AX215" i="106"/>
  <c r="AW215" i="106"/>
  <c r="AV215" i="106"/>
  <c r="AX214" i="106"/>
  <c r="AW214" i="106"/>
  <c r="AV214" i="106"/>
  <c r="AX213" i="106"/>
  <c r="AW213" i="106"/>
  <c r="AV213" i="106"/>
  <c r="AX212" i="106"/>
  <c r="AW212" i="106"/>
  <c r="AV212" i="106"/>
  <c r="AV211" i="106"/>
  <c r="AX211" i="106"/>
  <c r="AW211" i="106"/>
  <c r="AX210" i="106"/>
  <c r="AW210" i="106"/>
  <c r="AV210" i="106"/>
  <c r="AX209" i="106"/>
  <c r="AW209" i="106"/>
  <c r="AV209" i="106"/>
  <c r="AX208" i="106"/>
  <c r="AW208" i="106"/>
  <c r="AV208" i="106"/>
  <c r="AX207" i="106"/>
  <c r="AW207" i="106"/>
  <c r="AV207" i="106"/>
  <c r="AX206" i="106"/>
  <c r="AW206" i="106"/>
  <c r="AV206" i="106"/>
  <c r="AV234" i="106" l="1"/>
  <c r="AW234" i="106"/>
  <c r="AX234" i="106"/>
  <c r="AB198" i="106" l="1"/>
  <c r="AA198" i="106"/>
  <c r="AX197" i="106"/>
  <c r="AW197" i="106"/>
  <c r="AV197" i="106"/>
  <c r="AX196" i="106"/>
  <c r="AW196" i="106"/>
  <c r="AV196" i="106"/>
  <c r="AX195" i="106"/>
  <c r="AW195" i="106"/>
  <c r="AV195" i="106"/>
  <c r="AX194" i="106"/>
  <c r="AW194" i="106"/>
  <c r="AV194" i="106"/>
  <c r="AX193" i="106"/>
  <c r="AW193" i="106"/>
  <c r="AV193" i="106"/>
  <c r="AX192" i="106"/>
  <c r="AW192" i="106"/>
  <c r="AV192" i="106"/>
  <c r="AX191" i="106"/>
  <c r="AW191" i="106"/>
  <c r="AV191" i="106"/>
  <c r="AX190" i="106"/>
  <c r="AW190" i="106"/>
  <c r="AV190" i="106"/>
  <c r="AX189" i="106"/>
  <c r="AW189" i="106"/>
  <c r="AV189" i="106"/>
  <c r="AX188" i="106"/>
  <c r="AW188" i="106"/>
  <c r="AV188" i="106"/>
  <c r="AX187" i="106"/>
  <c r="AW187" i="106"/>
  <c r="AV187" i="106"/>
  <c r="AX186" i="106"/>
  <c r="AW186" i="106"/>
  <c r="AV186" i="106"/>
  <c r="AX185" i="106"/>
  <c r="AW185" i="106"/>
  <c r="AV185" i="106"/>
  <c r="AX184" i="106"/>
  <c r="AW184" i="106"/>
  <c r="AV184" i="106"/>
  <c r="AX183" i="106"/>
  <c r="AW183" i="106"/>
  <c r="AV183" i="106"/>
  <c r="AX182" i="106"/>
  <c r="AW182" i="106"/>
  <c r="AV182" i="106"/>
  <c r="AX181" i="106"/>
  <c r="AW181" i="106"/>
  <c r="AV181" i="106"/>
  <c r="AX180" i="106"/>
  <c r="AW180" i="106"/>
  <c r="AV180" i="106"/>
  <c r="AX179" i="106"/>
  <c r="AW179" i="106"/>
  <c r="AV179" i="106"/>
  <c r="AX178" i="106"/>
  <c r="AW178" i="106"/>
  <c r="AV178" i="106"/>
  <c r="AX177" i="106"/>
  <c r="AW177" i="106"/>
  <c r="AV177" i="106"/>
  <c r="AX176" i="106"/>
  <c r="AW176" i="106"/>
  <c r="AV176" i="106"/>
  <c r="AX175" i="106"/>
  <c r="AW175" i="106"/>
  <c r="AV175" i="106"/>
  <c r="AX174" i="106"/>
  <c r="AW174" i="106"/>
  <c r="AV174" i="106"/>
  <c r="AX173" i="106"/>
  <c r="AW173" i="106"/>
  <c r="AV173" i="106"/>
  <c r="AX172" i="106"/>
  <c r="AW172" i="106"/>
  <c r="AV172" i="106"/>
  <c r="AX171" i="106"/>
  <c r="AW171" i="106"/>
  <c r="AV171" i="106"/>
  <c r="AX170" i="106"/>
  <c r="AW170" i="106"/>
  <c r="AV170" i="106"/>
  <c r="AX198" i="106" l="1"/>
  <c r="AV198" i="106"/>
  <c r="AW198" i="106"/>
  <c r="AV147" i="106" l="1"/>
  <c r="AW147" i="106"/>
  <c r="AX147" i="106"/>
  <c r="AB162" i="106"/>
  <c r="AA162" i="106"/>
  <c r="AX161" i="106"/>
  <c r="AW161" i="106"/>
  <c r="AV161" i="106"/>
  <c r="AX160" i="106"/>
  <c r="AW160" i="106"/>
  <c r="AV160" i="106"/>
  <c r="AX159" i="106"/>
  <c r="AW159" i="106"/>
  <c r="AV159" i="106"/>
  <c r="AX158" i="106"/>
  <c r="AW158" i="106"/>
  <c r="AV158" i="106"/>
  <c r="AX157" i="106"/>
  <c r="AW157" i="106"/>
  <c r="AV157" i="106"/>
  <c r="AX156" i="106"/>
  <c r="AW156" i="106"/>
  <c r="AV156" i="106"/>
  <c r="AX155" i="106"/>
  <c r="AW155" i="106"/>
  <c r="AV155" i="106"/>
  <c r="AX154" i="106"/>
  <c r="AW154" i="106"/>
  <c r="AV154" i="106"/>
  <c r="AX153" i="106"/>
  <c r="AW153" i="106"/>
  <c r="AV153" i="106"/>
  <c r="AX152" i="106"/>
  <c r="AW152" i="106"/>
  <c r="AV152" i="106"/>
  <c r="AX151" i="106"/>
  <c r="AW151" i="106"/>
  <c r="AV151" i="106"/>
  <c r="AX150" i="106"/>
  <c r="AW150" i="106"/>
  <c r="AV150" i="106"/>
  <c r="AX149" i="106"/>
  <c r="AW149" i="106"/>
  <c r="AV149" i="106"/>
  <c r="AX148" i="106"/>
  <c r="AW148" i="106"/>
  <c r="AV148" i="106"/>
  <c r="AX146" i="106"/>
  <c r="AW146" i="106"/>
  <c r="AV146" i="106"/>
  <c r="AX145" i="106"/>
  <c r="AW145" i="106"/>
  <c r="AV145" i="106"/>
  <c r="AX144" i="106"/>
  <c r="AW144" i="106"/>
  <c r="AV144" i="106"/>
  <c r="AX143" i="106"/>
  <c r="AW143" i="106"/>
  <c r="AV143" i="106"/>
  <c r="AX142" i="106"/>
  <c r="AW142" i="106"/>
  <c r="AV142" i="106"/>
  <c r="AX141" i="106"/>
  <c r="AW141" i="106"/>
  <c r="AV141" i="106"/>
  <c r="AX140" i="106"/>
  <c r="AW140" i="106"/>
  <c r="AV140" i="106"/>
  <c r="AX139" i="106"/>
  <c r="AW139" i="106"/>
  <c r="AV139" i="106"/>
  <c r="AX138" i="106"/>
  <c r="AW138" i="106"/>
  <c r="AV138" i="106"/>
  <c r="AX137" i="106"/>
  <c r="AW137" i="106"/>
  <c r="AV137" i="106"/>
  <c r="AX136" i="106"/>
  <c r="AW136" i="106"/>
  <c r="AV136" i="106"/>
  <c r="AX135" i="106"/>
  <c r="AW135" i="106"/>
  <c r="AV135" i="106"/>
  <c r="AX134" i="106"/>
  <c r="AW134" i="106"/>
  <c r="AV134" i="106"/>
  <c r="AX162" i="106" l="1"/>
  <c r="AW162" i="106"/>
  <c r="AV162" i="106"/>
  <c r="AB127" i="106" l="1"/>
  <c r="AA127" i="106"/>
  <c r="AX126" i="106"/>
  <c r="AW126" i="106"/>
  <c r="AV126" i="106"/>
  <c r="AX125" i="106"/>
  <c r="AW125" i="106"/>
  <c r="AV125" i="106"/>
  <c r="AX124" i="106"/>
  <c r="AW124" i="106"/>
  <c r="AV124" i="106"/>
  <c r="AX123" i="106"/>
  <c r="AW123" i="106"/>
  <c r="AV123" i="106"/>
  <c r="AX122" i="106"/>
  <c r="AW122" i="106"/>
  <c r="AV122" i="106"/>
  <c r="AX121" i="106"/>
  <c r="AW121" i="106"/>
  <c r="AV121" i="106"/>
  <c r="AX120" i="106"/>
  <c r="AW120" i="106"/>
  <c r="AV120" i="106"/>
  <c r="AX119" i="106"/>
  <c r="AW119" i="106"/>
  <c r="AV119" i="106"/>
  <c r="AX118" i="106"/>
  <c r="AW118" i="106"/>
  <c r="AV118" i="106"/>
  <c r="AX127" i="106" l="1"/>
  <c r="AV127" i="106"/>
  <c r="AW127" i="106"/>
  <c r="AV72" i="106" l="1"/>
  <c r="AW72" i="106"/>
  <c r="AX72" i="106"/>
  <c r="AV73" i="106"/>
  <c r="AW73" i="106"/>
  <c r="AX73" i="106"/>
  <c r="AB92" i="106" l="1"/>
  <c r="AA92" i="106"/>
  <c r="AX91" i="106"/>
  <c r="AW91" i="106"/>
  <c r="AV91" i="106"/>
  <c r="AX90" i="106"/>
  <c r="AW90" i="106"/>
  <c r="AV90" i="106"/>
  <c r="AX89" i="106"/>
  <c r="AW89" i="106"/>
  <c r="AV89" i="106"/>
  <c r="AX88" i="106"/>
  <c r="AW88" i="106"/>
  <c r="AV88" i="106"/>
  <c r="AX87" i="106"/>
  <c r="AW87" i="106"/>
  <c r="AV87" i="106"/>
  <c r="AX86" i="106"/>
  <c r="AW86" i="106"/>
  <c r="AV86" i="106"/>
  <c r="AX85" i="106"/>
  <c r="AW85" i="106"/>
  <c r="AV85" i="106"/>
  <c r="AX84" i="106"/>
  <c r="AW84" i="106"/>
  <c r="AV84" i="106"/>
  <c r="AX83" i="106"/>
  <c r="AW83" i="106"/>
  <c r="AV83" i="106"/>
  <c r="AX82" i="106"/>
  <c r="AW82" i="106"/>
  <c r="AV82" i="106"/>
  <c r="AX81" i="106"/>
  <c r="AW81" i="106"/>
  <c r="AV81" i="106"/>
  <c r="AX80" i="106"/>
  <c r="AW80" i="106"/>
  <c r="AV80" i="106"/>
  <c r="AX79" i="106"/>
  <c r="AW79" i="106"/>
  <c r="AV79" i="106"/>
  <c r="AX78" i="106"/>
  <c r="AW78" i="106"/>
  <c r="AV78" i="106"/>
  <c r="AX77" i="106"/>
  <c r="AW77" i="106"/>
  <c r="AV77" i="106"/>
  <c r="AX76" i="106"/>
  <c r="AW76" i="106"/>
  <c r="AV76" i="106"/>
  <c r="AX75" i="106"/>
  <c r="AW75" i="106"/>
  <c r="AV75" i="106"/>
  <c r="AX74" i="106"/>
  <c r="AW74" i="106"/>
  <c r="AV74" i="106"/>
  <c r="AX71" i="106"/>
  <c r="AW71" i="106"/>
  <c r="AV71" i="106"/>
  <c r="AX70" i="106"/>
  <c r="AW70" i="106"/>
  <c r="AV70" i="106"/>
  <c r="AX69" i="106"/>
  <c r="AW69" i="106"/>
  <c r="AV69" i="106"/>
  <c r="AX68" i="106"/>
  <c r="AW68" i="106"/>
  <c r="AV68" i="106"/>
  <c r="AX67" i="106"/>
  <c r="AW67" i="106"/>
  <c r="AV67" i="106"/>
  <c r="AX66" i="106"/>
  <c r="AW66" i="106"/>
  <c r="AV66" i="106"/>
  <c r="AX65" i="106"/>
  <c r="AW65" i="106"/>
  <c r="AV65" i="106"/>
  <c r="AX92" i="106" l="1"/>
  <c r="AV92" i="106"/>
  <c r="AW92" i="106"/>
  <c r="AX42" i="106" l="1"/>
  <c r="AX43" i="106"/>
  <c r="AB57" i="106"/>
  <c r="AA57" i="106"/>
  <c r="AX56" i="106"/>
  <c r="AX55" i="106"/>
  <c r="AX54" i="106"/>
  <c r="AX53" i="106"/>
  <c r="AX52" i="106"/>
  <c r="AX44" i="106"/>
  <c r="AX41" i="106"/>
  <c r="AX40" i="106"/>
  <c r="AX39" i="106"/>
  <c r="AX38" i="106"/>
  <c r="AX787" i="106" l="1"/>
  <c r="AX57" i="106"/>
  <c r="AV57" i="106"/>
  <c r="AW57" i="106"/>
  <c r="AX25" i="106" l="1"/>
  <c r="AX389" i="106" s="1"/>
  <c r="AV29" i="106" l="1"/>
  <c r="AW29" i="106"/>
  <c r="AX29" i="106"/>
  <c r="AW30" i="106" l="1"/>
  <c r="AV30" i="106" l="1"/>
  <c r="AX30" i="106"/>
  <c r="AB30" i="106" l="1"/>
  <c r="AA30" i="106"/>
  <c r="I160" i="103" l="1"/>
  <c r="J4" i="103"/>
  <c r="K4" i="103"/>
  <c r="L4" i="103"/>
  <c r="J5" i="103"/>
  <c r="K5" i="103"/>
  <c r="L5" i="103"/>
  <c r="J6" i="103"/>
  <c r="K6" i="103"/>
  <c r="L6" i="103"/>
  <c r="J7" i="103"/>
  <c r="K7" i="103"/>
  <c r="L7" i="103"/>
  <c r="F8" i="103"/>
  <c r="I14" i="103"/>
  <c r="J20" i="103" s="1"/>
  <c r="I20" i="103" s="1"/>
  <c r="O14" i="103"/>
  <c r="P17" i="103" s="1"/>
  <c r="O17" i="103" s="1"/>
  <c r="U14" i="103"/>
  <c r="V16" i="103" s="1"/>
  <c r="U16" i="103" s="1"/>
  <c r="J21" i="103"/>
  <c r="I21" i="103" s="1"/>
  <c r="J22" i="103"/>
  <c r="I22" i="103" s="1"/>
  <c r="J23" i="103"/>
  <c r="I23" i="103" s="1"/>
  <c r="AA29" i="103"/>
  <c r="I33" i="103"/>
  <c r="J36" i="103" s="1"/>
  <c r="I36" i="103" s="1"/>
  <c r="O33" i="103"/>
  <c r="P37" i="103" s="1"/>
  <c r="O37" i="103" s="1"/>
  <c r="U33" i="103"/>
  <c r="V43" i="103" s="1"/>
  <c r="U43" i="103" s="1"/>
  <c r="V35" i="103"/>
  <c r="V38" i="103"/>
  <c r="U38" i="103" s="1"/>
  <c r="V41" i="103"/>
  <c r="U41" i="103" s="1"/>
  <c r="V44" i="103"/>
  <c r="U44" i="103" s="1"/>
  <c r="V45" i="103"/>
  <c r="U45" i="103" s="1"/>
  <c r="V51" i="103"/>
  <c r="U51" i="103" s="1"/>
  <c r="V52" i="103"/>
  <c r="U52" i="103" s="1"/>
  <c r="V55" i="103"/>
  <c r="U55" i="103" s="1"/>
  <c r="V58" i="103"/>
  <c r="U58" i="103" s="1"/>
  <c r="V59" i="103"/>
  <c r="U59" i="103" s="1"/>
  <c r="V62" i="103"/>
  <c r="U62" i="103" s="1"/>
  <c r="V65" i="103"/>
  <c r="U65" i="103" s="1"/>
  <c r="V66" i="103"/>
  <c r="U66" i="103" s="1"/>
  <c r="V69" i="103"/>
  <c r="U69" i="103" s="1"/>
  <c r="V72" i="103"/>
  <c r="U72" i="103" s="1"/>
  <c r="V75" i="103"/>
  <c r="U75" i="103" s="1"/>
  <c r="V81" i="103"/>
  <c r="U81" i="103" s="1"/>
  <c r="V82" i="103"/>
  <c r="U82" i="103" s="1"/>
  <c r="V85" i="103"/>
  <c r="U85" i="103" s="1"/>
  <c r="V86" i="103"/>
  <c r="U86" i="103" s="1"/>
  <c r="V89" i="103"/>
  <c r="U89" i="103" s="1"/>
  <c r="I96" i="103"/>
  <c r="O96" i="103"/>
  <c r="P133" i="103" s="1"/>
  <c r="O133" i="103" s="1"/>
  <c r="U96" i="103"/>
  <c r="V145" i="103"/>
  <c r="U145" i="103" s="1"/>
  <c r="O160" i="103"/>
  <c r="U160" i="103"/>
  <c r="J77" i="103" l="1"/>
  <c r="I77" i="103" s="1"/>
  <c r="J51" i="103"/>
  <c r="I51" i="103" s="1"/>
  <c r="P22" i="103"/>
  <c r="O22" i="103" s="1"/>
  <c r="J47" i="103"/>
  <c r="I47" i="103" s="1"/>
  <c r="J63" i="103"/>
  <c r="I63" i="103" s="1"/>
  <c r="J81" i="103"/>
  <c r="I81" i="103" s="1"/>
  <c r="P45" i="103"/>
  <c r="O45" i="103" s="1"/>
  <c r="P42" i="103"/>
  <c r="O42" i="103" s="1"/>
  <c r="P55" i="103"/>
  <c r="O55" i="103" s="1"/>
  <c r="J87" i="103"/>
  <c r="I87" i="103" s="1"/>
  <c r="J55" i="103"/>
  <c r="I55" i="103" s="1"/>
  <c r="J45" i="103"/>
  <c r="I45" i="103" s="1"/>
  <c r="J85" i="103"/>
  <c r="I85" i="103" s="1"/>
  <c r="J53" i="103"/>
  <c r="I53" i="103" s="1"/>
  <c r="J37" i="103"/>
  <c r="I37" i="103" s="1"/>
  <c r="J59" i="103"/>
  <c r="I59" i="103" s="1"/>
  <c r="P84" i="103"/>
  <c r="O84" i="103" s="1"/>
  <c r="J69" i="103"/>
  <c r="I69" i="103" s="1"/>
  <c r="J73" i="103"/>
  <c r="I73" i="103" s="1"/>
  <c r="P70" i="103"/>
  <c r="O70" i="103" s="1"/>
  <c r="P69" i="103"/>
  <c r="O69" i="103" s="1"/>
  <c r="J83" i="103"/>
  <c r="I83" i="103" s="1"/>
  <c r="P66" i="103"/>
  <c r="O66" i="103" s="1"/>
  <c r="P38" i="103"/>
  <c r="O38" i="103" s="1"/>
  <c r="P78" i="103"/>
  <c r="O78" i="103" s="1"/>
  <c r="P63" i="103"/>
  <c r="O63" i="103" s="1"/>
  <c r="P51" i="103"/>
  <c r="O51" i="103" s="1"/>
  <c r="P75" i="103"/>
  <c r="O75" i="103" s="1"/>
  <c r="P82" i="103"/>
  <c r="O82" i="103" s="1"/>
  <c r="J75" i="103"/>
  <c r="I75" i="103" s="1"/>
  <c r="P68" i="103"/>
  <c r="O68" i="103" s="1"/>
  <c r="J61" i="103"/>
  <c r="I61" i="103" s="1"/>
  <c r="P35" i="103"/>
  <c r="P62" i="103"/>
  <c r="O62" i="103" s="1"/>
  <c r="P74" i="103"/>
  <c r="O74" i="103" s="1"/>
  <c r="J67" i="103"/>
  <c r="I67" i="103" s="1"/>
  <c r="P52" i="103"/>
  <c r="O52" i="103" s="1"/>
  <c r="P44" i="103"/>
  <c r="O44" i="103" s="1"/>
  <c r="J35" i="103"/>
  <c r="I35" i="103" s="1"/>
  <c r="P16" i="103"/>
  <c r="O16" i="103" s="1"/>
  <c r="P89" i="103"/>
  <c r="O89" i="103" s="1"/>
  <c r="J89" i="103"/>
  <c r="I89" i="103" s="1"/>
  <c r="P81" i="103"/>
  <c r="O81" i="103" s="1"/>
  <c r="P73" i="103"/>
  <c r="O73" i="103" s="1"/>
  <c r="P59" i="103"/>
  <c r="O59" i="103" s="1"/>
  <c r="J43" i="103"/>
  <c r="I43" i="103" s="1"/>
  <c r="J16" i="103"/>
  <c r="I16" i="103" s="1"/>
  <c r="P80" i="103"/>
  <c r="O80" i="103" s="1"/>
  <c r="P72" i="103"/>
  <c r="O72" i="103" s="1"/>
  <c r="J79" i="103"/>
  <c r="I79" i="103" s="1"/>
  <c r="P71" i="103"/>
  <c r="O71" i="103" s="1"/>
  <c r="J65" i="103"/>
  <c r="I65" i="103" s="1"/>
  <c r="J57" i="103"/>
  <c r="I57" i="103" s="1"/>
  <c r="V48" i="103"/>
  <c r="U48" i="103" s="1"/>
  <c r="J41" i="103"/>
  <c r="I41" i="103" s="1"/>
  <c r="P24" i="103"/>
  <c r="O24" i="103" s="1"/>
  <c r="P86" i="103"/>
  <c r="O86" i="103" s="1"/>
  <c r="P79" i="103"/>
  <c r="O79" i="103" s="1"/>
  <c r="P65" i="103"/>
  <c r="O65" i="103" s="1"/>
  <c r="P58" i="103"/>
  <c r="O58" i="103" s="1"/>
  <c r="J49" i="103"/>
  <c r="I49" i="103" s="1"/>
  <c r="P41" i="103"/>
  <c r="O41" i="103" s="1"/>
  <c r="P85" i="103"/>
  <c r="O85" i="103" s="1"/>
  <c r="V78" i="103"/>
  <c r="U78" i="103" s="1"/>
  <c r="J71" i="103"/>
  <c r="I71" i="103" s="1"/>
  <c r="P64" i="103"/>
  <c r="O64" i="103" s="1"/>
  <c r="P56" i="103"/>
  <c r="O56" i="103" s="1"/>
  <c r="P48" i="103"/>
  <c r="O48" i="103" s="1"/>
  <c r="J39" i="103"/>
  <c r="I39" i="103" s="1"/>
  <c r="J24" i="103"/>
  <c r="I24" i="103" s="1"/>
  <c r="V53" i="103"/>
  <c r="U53" i="103" s="1"/>
  <c r="P43" i="103"/>
  <c r="O43" i="103" s="1"/>
  <c r="J27" i="103"/>
  <c r="I27" i="103" s="1"/>
  <c r="J19" i="103"/>
  <c r="I19" i="103" s="1"/>
  <c r="V60" i="103"/>
  <c r="U60" i="103" s="1"/>
  <c r="P57" i="103"/>
  <c r="O57" i="103" s="1"/>
  <c r="P53" i="103"/>
  <c r="O53" i="103" s="1"/>
  <c r="V49" i="103"/>
  <c r="U49" i="103" s="1"/>
  <c r="V39" i="103"/>
  <c r="U39" i="103" s="1"/>
  <c r="P26" i="103"/>
  <c r="O26" i="103" s="1"/>
  <c r="P18" i="103"/>
  <c r="O18" i="103" s="1"/>
  <c r="P125" i="103"/>
  <c r="O125" i="103" s="1"/>
  <c r="V83" i="103"/>
  <c r="U83" i="103" s="1"/>
  <c r="V63" i="103"/>
  <c r="U63" i="103" s="1"/>
  <c r="V46" i="103"/>
  <c r="U46" i="103" s="1"/>
  <c r="V42" i="103"/>
  <c r="U42" i="103" s="1"/>
  <c r="V36" i="103"/>
  <c r="U36" i="103" s="1"/>
  <c r="J26" i="103"/>
  <c r="I26" i="103" s="1"/>
  <c r="J18" i="103"/>
  <c r="I18" i="103" s="1"/>
  <c r="V77" i="103"/>
  <c r="U77" i="103" s="1"/>
  <c r="V80" i="103"/>
  <c r="U80" i="103" s="1"/>
  <c r="V87" i="103"/>
  <c r="U87" i="103" s="1"/>
  <c r="V76" i="103"/>
  <c r="U76" i="103" s="1"/>
  <c r="P105" i="103"/>
  <c r="O105" i="103" s="1"/>
  <c r="P87" i="103"/>
  <c r="O87" i="103" s="1"/>
  <c r="V73" i="103"/>
  <c r="U73" i="103" s="1"/>
  <c r="V67" i="103"/>
  <c r="U67" i="103" s="1"/>
  <c r="P83" i="103"/>
  <c r="O83" i="103" s="1"/>
  <c r="V79" i="103"/>
  <c r="U79" i="103" s="1"/>
  <c r="P76" i="103"/>
  <c r="O76" i="103" s="1"/>
  <c r="V70" i="103"/>
  <c r="U70" i="103" s="1"/>
  <c r="P67" i="103"/>
  <c r="O67" i="103" s="1"/>
  <c r="P60" i="103"/>
  <c r="O60" i="103" s="1"/>
  <c r="V56" i="103"/>
  <c r="U56" i="103" s="1"/>
  <c r="P49" i="103"/>
  <c r="O49" i="103" s="1"/>
  <c r="P46" i="103"/>
  <c r="O46" i="103" s="1"/>
  <c r="P39" i="103"/>
  <c r="O39" i="103" s="1"/>
  <c r="P36" i="103"/>
  <c r="O36" i="103" s="1"/>
  <c r="J25" i="103"/>
  <c r="I25" i="103" s="1"/>
  <c r="J17" i="103"/>
  <c r="I17" i="103" s="1"/>
  <c r="V54" i="103"/>
  <c r="U54" i="103" s="1"/>
  <c r="V47" i="103"/>
  <c r="U47" i="103" s="1"/>
  <c r="V40" i="103"/>
  <c r="U40" i="103" s="1"/>
  <c r="V37" i="103"/>
  <c r="U37" i="103" s="1"/>
  <c r="V88" i="103"/>
  <c r="U88" i="103" s="1"/>
  <c r="V74" i="103"/>
  <c r="U74" i="103" s="1"/>
  <c r="V68" i="103"/>
  <c r="U68" i="103" s="1"/>
  <c r="V61" i="103"/>
  <c r="U61" i="103" s="1"/>
  <c r="P54" i="103"/>
  <c r="O54" i="103" s="1"/>
  <c r="V50" i="103"/>
  <c r="U50" i="103" s="1"/>
  <c r="P20" i="103"/>
  <c r="O20" i="103" s="1"/>
  <c r="P153" i="103"/>
  <c r="O153" i="103" s="1"/>
  <c r="P88" i="103"/>
  <c r="O88" i="103" s="1"/>
  <c r="V84" i="103"/>
  <c r="U84" i="103" s="1"/>
  <c r="P77" i="103"/>
  <c r="O77" i="103" s="1"/>
  <c r="V71" i="103"/>
  <c r="U71" i="103" s="1"/>
  <c r="V64" i="103"/>
  <c r="U64" i="103" s="1"/>
  <c r="P61" i="103"/>
  <c r="O61" i="103" s="1"/>
  <c r="V57" i="103"/>
  <c r="U57" i="103" s="1"/>
  <c r="P50" i="103"/>
  <c r="O50" i="103" s="1"/>
  <c r="P47" i="103"/>
  <c r="O47" i="103" s="1"/>
  <c r="P40" i="103"/>
  <c r="O40" i="103" s="1"/>
  <c r="V98" i="103"/>
  <c r="V100" i="103"/>
  <c r="U100" i="103" s="1"/>
  <c r="V102" i="103"/>
  <c r="U102" i="103" s="1"/>
  <c r="V104" i="103"/>
  <c r="U104" i="103" s="1"/>
  <c r="V106" i="103"/>
  <c r="U106" i="103" s="1"/>
  <c r="V108" i="103"/>
  <c r="U108" i="103" s="1"/>
  <c r="V110" i="103"/>
  <c r="U110" i="103" s="1"/>
  <c r="V112" i="103"/>
  <c r="U112" i="103" s="1"/>
  <c r="V114" i="103"/>
  <c r="U114" i="103" s="1"/>
  <c r="V116" i="103"/>
  <c r="U116" i="103" s="1"/>
  <c r="V118" i="103"/>
  <c r="U118" i="103" s="1"/>
  <c r="V120" i="103"/>
  <c r="U120" i="103" s="1"/>
  <c r="V122" i="103"/>
  <c r="U122" i="103" s="1"/>
  <c r="V124" i="103"/>
  <c r="U124" i="103" s="1"/>
  <c r="V126" i="103"/>
  <c r="U126" i="103" s="1"/>
  <c r="V128" i="103"/>
  <c r="U128" i="103" s="1"/>
  <c r="V130" i="103"/>
  <c r="U130" i="103" s="1"/>
  <c r="V132" i="103"/>
  <c r="U132" i="103" s="1"/>
  <c r="V134" i="103"/>
  <c r="U134" i="103" s="1"/>
  <c r="V136" i="103"/>
  <c r="U136" i="103" s="1"/>
  <c r="V138" i="103"/>
  <c r="U138" i="103" s="1"/>
  <c r="V140" i="103"/>
  <c r="U140" i="103" s="1"/>
  <c r="V142" i="103"/>
  <c r="U142" i="103" s="1"/>
  <c r="V144" i="103"/>
  <c r="U144" i="103" s="1"/>
  <c r="V146" i="103"/>
  <c r="U146" i="103" s="1"/>
  <c r="V148" i="103"/>
  <c r="U148" i="103" s="1"/>
  <c r="V150" i="103"/>
  <c r="U150" i="103" s="1"/>
  <c r="V152" i="103"/>
  <c r="U152" i="103" s="1"/>
  <c r="V154" i="103"/>
  <c r="U154" i="103" s="1"/>
  <c r="V156" i="103"/>
  <c r="U156" i="103" s="1"/>
  <c r="V99" i="103"/>
  <c r="U99" i="103" s="1"/>
  <c r="V103" i="103"/>
  <c r="U103" i="103" s="1"/>
  <c r="V107" i="103"/>
  <c r="U107" i="103" s="1"/>
  <c r="V111" i="103"/>
  <c r="U111" i="103" s="1"/>
  <c r="V115" i="103"/>
  <c r="U115" i="103" s="1"/>
  <c r="V119" i="103"/>
  <c r="U119" i="103" s="1"/>
  <c r="V123" i="103"/>
  <c r="U123" i="103" s="1"/>
  <c r="V127" i="103"/>
  <c r="U127" i="103" s="1"/>
  <c r="V131" i="103"/>
  <c r="U131" i="103" s="1"/>
  <c r="V135" i="103"/>
  <c r="U135" i="103" s="1"/>
  <c r="V139" i="103"/>
  <c r="U139" i="103" s="1"/>
  <c r="V143" i="103"/>
  <c r="U143" i="103" s="1"/>
  <c r="V147" i="103"/>
  <c r="U147" i="103" s="1"/>
  <c r="V151" i="103"/>
  <c r="U151" i="103" s="1"/>
  <c r="V155" i="103"/>
  <c r="U155" i="103" s="1"/>
  <c r="P145" i="103"/>
  <c r="O145" i="103" s="1"/>
  <c r="V137" i="103"/>
  <c r="U137" i="103" s="1"/>
  <c r="J99" i="103"/>
  <c r="I99" i="103" s="1"/>
  <c r="J101" i="103"/>
  <c r="I101" i="103" s="1"/>
  <c r="J103" i="103"/>
  <c r="I103" i="103" s="1"/>
  <c r="J105" i="103"/>
  <c r="I105" i="103" s="1"/>
  <c r="J107" i="103"/>
  <c r="I107" i="103" s="1"/>
  <c r="J109" i="103"/>
  <c r="I109" i="103" s="1"/>
  <c r="J111" i="103"/>
  <c r="I111" i="103" s="1"/>
  <c r="J113" i="103"/>
  <c r="I113" i="103" s="1"/>
  <c r="J115" i="103"/>
  <c r="I115" i="103" s="1"/>
  <c r="J117" i="103"/>
  <c r="I117" i="103" s="1"/>
  <c r="J119" i="103"/>
  <c r="I119" i="103" s="1"/>
  <c r="J121" i="103"/>
  <c r="I121" i="103" s="1"/>
  <c r="J123" i="103"/>
  <c r="I123" i="103" s="1"/>
  <c r="J125" i="103"/>
  <c r="I125" i="103" s="1"/>
  <c r="J127" i="103"/>
  <c r="I127" i="103" s="1"/>
  <c r="J129" i="103"/>
  <c r="I129" i="103" s="1"/>
  <c r="J131" i="103"/>
  <c r="I131" i="103" s="1"/>
  <c r="J133" i="103"/>
  <c r="I133" i="103" s="1"/>
  <c r="J135" i="103"/>
  <c r="I135" i="103" s="1"/>
  <c r="J137" i="103"/>
  <c r="I137" i="103" s="1"/>
  <c r="J139" i="103"/>
  <c r="I139" i="103" s="1"/>
  <c r="J141" i="103"/>
  <c r="I141" i="103" s="1"/>
  <c r="J143" i="103"/>
  <c r="I143" i="103" s="1"/>
  <c r="J145" i="103"/>
  <c r="I145" i="103" s="1"/>
  <c r="J147" i="103"/>
  <c r="I147" i="103" s="1"/>
  <c r="J149" i="103"/>
  <c r="I149" i="103" s="1"/>
  <c r="J151" i="103"/>
  <c r="I151" i="103" s="1"/>
  <c r="J153" i="103"/>
  <c r="I153" i="103" s="1"/>
  <c r="J155" i="103"/>
  <c r="I155" i="103" s="1"/>
  <c r="J98" i="103"/>
  <c r="J102" i="103"/>
  <c r="I102" i="103" s="1"/>
  <c r="J106" i="103"/>
  <c r="I106" i="103" s="1"/>
  <c r="J110" i="103"/>
  <c r="I110" i="103" s="1"/>
  <c r="J114" i="103"/>
  <c r="I114" i="103" s="1"/>
  <c r="J118" i="103"/>
  <c r="I118" i="103" s="1"/>
  <c r="J122" i="103"/>
  <c r="I122" i="103" s="1"/>
  <c r="J126" i="103"/>
  <c r="I126" i="103" s="1"/>
  <c r="J130" i="103"/>
  <c r="I130" i="103" s="1"/>
  <c r="J134" i="103"/>
  <c r="I134" i="103" s="1"/>
  <c r="J138" i="103"/>
  <c r="I138" i="103" s="1"/>
  <c r="J142" i="103"/>
  <c r="I142" i="103" s="1"/>
  <c r="J146" i="103"/>
  <c r="I146" i="103" s="1"/>
  <c r="J150" i="103"/>
  <c r="I150" i="103" s="1"/>
  <c r="J154" i="103"/>
  <c r="I154" i="103" s="1"/>
  <c r="J100" i="103"/>
  <c r="I100" i="103" s="1"/>
  <c r="J104" i="103"/>
  <c r="I104" i="103" s="1"/>
  <c r="J108" i="103"/>
  <c r="I108" i="103" s="1"/>
  <c r="J112" i="103"/>
  <c r="I112" i="103" s="1"/>
  <c r="J116" i="103"/>
  <c r="I116" i="103" s="1"/>
  <c r="J120" i="103"/>
  <c r="I120" i="103" s="1"/>
  <c r="J124" i="103"/>
  <c r="I124" i="103" s="1"/>
  <c r="J128" i="103"/>
  <c r="I128" i="103" s="1"/>
  <c r="J132" i="103"/>
  <c r="I132" i="103" s="1"/>
  <c r="J136" i="103"/>
  <c r="I136" i="103" s="1"/>
  <c r="J140" i="103"/>
  <c r="I140" i="103" s="1"/>
  <c r="J144" i="103"/>
  <c r="I144" i="103" s="1"/>
  <c r="J148" i="103"/>
  <c r="I148" i="103" s="1"/>
  <c r="J152" i="103"/>
  <c r="I152" i="103" s="1"/>
  <c r="J156" i="103"/>
  <c r="I156" i="103" s="1"/>
  <c r="P117" i="103"/>
  <c r="O117" i="103" s="1"/>
  <c r="V109" i="103"/>
  <c r="U109" i="103" s="1"/>
  <c r="P137" i="103"/>
  <c r="O137" i="103" s="1"/>
  <c r="V129" i="103"/>
  <c r="U129" i="103" s="1"/>
  <c r="V149" i="103"/>
  <c r="U149" i="103" s="1"/>
  <c r="P109" i="103"/>
  <c r="O109" i="103" s="1"/>
  <c r="V101" i="103"/>
  <c r="U101" i="103" s="1"/>
  <c r="O35" i="103"/>
  <c r="P129" i="103"/>
  <c r="O129" i="103" s="1"/>
  <c r="V121" i="103"/>
  <c r="U121" i="103" s="1"/>
  <c r="P149" i="103"/>
  <c r="O149" i="103" s="1"/>
  <c r="V141" i="103"/>
  <c r="U141" i="103" s="1"/>
  <c r="P101" i="103"/>
  <c r="O101" i="103" s="1"/>
  <c r="P121" i="103"/>
  <c r="O121" i="103" s="1"/>
  <c r="V113" i="103"/>
  <c r="U113" i="103" s="1"/>
  <c r="P141" i="103"/>
  <c r="O141" i="103" s="1"/>
  <c r="V133" i="103"/>
  <c r="U133" i="103" s="1"/>
  <c r="V153" i="103"/>
  <c r="U153" i="103" s="1"/>
  <c r="P113" i="103"/>
  <c r="O113" i="103" s="1"/>
  <c r="V105" i="103"/>
  <c r="U105" i="103" s="1"/>
  <c r="V125" i="103"/>
  <c r="U125" i="103" s="1"/>
  <c r="P98" i="103"/>
  <c r="P100" i="103"/>
  <c r="O100" i="103" s="1"/>
  <c r="P102" i="103"/>
  <c r="O102" i="103" s="1"/>
  <c r="P104" i="103"/>
  <c r="O104" i="103" s="1"/>
  <c r="P106" i="103"/>
  <c r="O106" i="103" s="1"/>
  <c r="P108" i="103"/>
  <c r="O108" i="103" s="1"/>
  <c r="P110" i="103"/>
  <c r="O110" i="103" s="1"/>
  <c r="P112" i="103"/>
  <c r="O112" i="103" s="1"/>
  <c r="P114" i="103"/>
  <c r="O114" i="103" s="1"/>
  <c r="P116" i="103"/>
  <c r="O116" i="103" s="1"/>
  <c r="P118" i="103"/>
  <c r="O118" i="103" s="1"/>
  <c r="P120" i="103"/>
  <c r="O120" i="103" s="1"/>
  <c r="P122" i="103"/>
  <c r="O122" i="103" s="1"/>
  <c r="P124" i="103"/>
  <c r="O124" i="103" s="1"/>
  <c r="P126" i="103"/>
  <c r="O126" i="103" s="1"/>
  <c r="P128" i="103"/>
  <c r="O128" i="103" s="1"/>
  <c r="P130" i="103"/>
  <c r="O130" i="103" s="1"/>
  <c r="P132" i="103"/>
  <c r="O132" i="103" s="1"/>
  <c r="P134" i="103"/>
  <c r="O134" i="103" s="1"/>
  <c r="P136" i="103"/>
  <c r="O136" i="103" s="1"/>
  <c r="P138" i="103"/>
  <c r="O138" i="103" s="1"/>
  <c r="P140" i="103"/>
  <c r="O140" i="103" s="1"/>
  <c r="P142" i="103"/>
  <c r="O142" i="103" s="1"/>
  <c r="P144" i="103"/>
  <c r="O144" i="103" s="1"/>
  <c r="P146" i="103"/>
  <c r="O146" i="103" s="1"/>
  <c r="P148" i="103"/>
  <c r="O148" i="103" s="1"/>
  <c r="P150" i="103"/>
  <c r="O150" i="103" s="1"/>
  <c r="P152" i="103"/>
  <c r="O152" i="103" s="1"/>
  <c r="P154" i="103"/>
  <c r="O154" i="103" s="1"/>
  <c r="P156" i="103"/>
  <c r="O156" i="103" s="1"/>
  <c r="P99" i="103"/>
  <c r="O99" i="103" s="1"/>
  <c r="P103" i="103"/>
  <c r="O103" i="103" s="1"/>
  <c r="P107" i="103"/>
  <c r="O107" i="103" s="1"/>
  <c r="P111" i="103"/>
  <c r="O111" i="103" s="1"/>
  <c r="P115" i="103"/>
  <c r="O115" i="103" s="1"/>
  <c r="P119" i="103"/>
  <c r="O119" i="103" s="1"/>
  <c r="P123" i="103"/>
  <c r="O123" i="103" s="1"/>
  <c r="P127" i="103"/>
  <c r="O127" i="103" s="1"/>
  <c r="P131" i="103"/>
  <c r="O131" i="103" s="1"/>
  <c r="P135" i="103"/>
  <c r="O135" i="103" s="1"/>
  <c r="P139" i="103"/>
  <c r="O139" i="103" s="1"/>
  <c r="P143" i="103"/>
  <c r="O143" i="103" s="1"/>
  <c r="P147" i="103"/>
  <c r="O147" i="103" s="1"/>
  <c r="P151" i="103"/>
  <c r="O151" i="103" s="1"/>
  <c r="P155" i="103"/>
  <c r="O155" i="103" s="1"/>
  <c r="V117" i="103"/>
  <c r="U117" i="103" s="1"/>
  <c r="K8" i="103"/>
  <c r="J8" i="103"/>
  <c r="U35" i="103"/>
  <c r="L8" i="103"/>
  <c r="V17" i="103"/>
  <c r="U17" i="103" s="1"/>
  <c r="P27" i="103"/>
  <c r="O27" i="103" s="1"/>
  <c r="P25" i="103"/>
  <c r="O25" i="103" s="1"/>
  <c r="P23" i="103"/>
  <c r="O23" i="103" s="1"/>
  <c r="P21" i="103"/>
  <c r="O21" i="103" s="1"/>
  <c r="P19" i="103"/>
  <c r="V21" i="103"/>
  <c r="U21" i="103" s="1"/>
  <c r="V19" i="103"/>
  <c r="U19" i="103" s="1"/>
  <c r="V27" i="103"/>
  <c r="U27" i="103" s="1"/>
  <c r="V25" i="103"/>
  <c r="U25" i="103" s="1"/>
  <c r="V23" i="103"/>
  <c r="U23" i="103" s="1"/>
  <c r="J88" i="103"/>
  <c r="I88" i="103" s="1"/>
  <c r="J86" i="103"/>
  <c r="I86" i="103" s="1"/>
  <c r="J84" i="103"/>
  <c r="I84" i="103" s="1"/>
  <c r="J82" i="103"/>
  <c r="I82" i="103" s="1"/>
  <c r="J80" i="103"/>
  <c r="I80" i="103" s="1"/>
  <c r="J78" i="103"/>
  <c r="I78" i="103" s="1"/>
  <c r="J76" i="103"/>
  <c r="I76" i="103" s="1"/>
  <c r="J74" i="103"/>
  <c r="I74" i="103" s="1"/>
  <c r="J72" i="103"/>
  <c r="I72" i="103" s="1"/>
  <c r="J70" i="103"/>
  <c r="I70" i="103" s="1"/>
  <c r="J68" i="103"/>
  <c r="I68" i="103" s="1"/>
  <c r="J66" i="103"/>
  <c r="I66" i="103" s="1"/>
  <c r="J64" i="103"/>
  <c r="I64" i="103" s="1"/>
  <c r="J62" i="103"/>
  <c r="I62" i="103" s="1"/>
  <c r="J60" i="103"/>
  <c r="I60" i="103" s="1"/>
  <c r="J58" i="103"/>
  <c r="I58" i="103" s="1"/>
  <c r="J56" i="103"/>
  <c r="I56" i="103" s="1"/>
  <c r="J54" i="103"/>
  <c r="I54" i="103" s="1"/>
  <c r="J52" i="103"/>
  <c r="I52" i="103" s="1"/>
  <c r="J50" i="103"/>
  <c r="I50" i="103" s="1"/>
  <c r="J48" i="103"/>
  <c r="I48" i="103" s="1"/>
  <c r="J46" i="103"/>
  <c r="I46" i="103" s="1"/>
  <c r="J44" i="103"/>
  <c r="I44" i="103" s="1"/>
  <c r="J42" i="103"/>
  <c r="I42" i="103" s="1"/>
  <c r="J40" i="103"/>
  <c r="I40" i="103" s="1"/>
  <c r="J38" i="103"/>
  <c r="I38" i="103" s="1"/>
  <c r="V26" i="103"/>
  <c r="U26" i="103" s="1"/>
  <c r="V24" i="103"/>
  <c r="U24" i="103" s="1"/>
  <c r="V22" i="103"/>
  <c r="U22" i="103" s="1"/>
  <c r="V20" i="103"/>
  <c r="U20" i="103" s="1"/>
  <c r="V18" i="103"/>
  <c r="U18" i="103" s="1"/>
  <c r="J29" i="103" l="1"/>
  <c r="P91" i="103"/>
  <c r="I29" i="103"/>
  <c r="O91" i="103"/>
  <c r="U29" i="103"/>
  <c r="U91" i="103"/>
  <c r="V91" i="103"/>
  <c r="I91" i="103"/>
  <c r="J91" i="103"/>
  <c r="J158" i="103"/>
  <c r="I98" i="103"/>
  <c r="I158" i="103" s="1"/>
  <c r="O19" i="103"/>
  <c r="O29" i="103" s="1"/>
  <c r="P29" i="103"/>
  <c r="V29" i="103"/>
  <c r="O98" i="103"/>
  <c r="O158" i="103" s="1"/>
  <c r="P158" i="103"/>
  <c r="U98" i="103"/>
  <c r="U158" i="103" s="1"/>
  <c r="V158" i="103"/>
  <c r="AA91" i="103" l="1"/>
</calcChain>
</file>

<file path=xl/sharedStrings.xml><?xml version="1.0" encoding="utf-8"?>
<sst xmlns="http://schemas.openxmlformats.org/spreadsheetml/2006/main" count="8811" uniqueCount="551">
  <si>
    <t>Total</t>
  </si>
  <si>
    <t>RSM</t>
  </si>
  <si>
    <t>09-679797489</t>
  </si>
  <si>
    <t>Pyae Phyo Maung</t>
  </si>
  <si>
    <t>ပြည့်ဖြိုးမောင်</t>
  </si>
  <si>
    <t>WholeSales</t>
  </si>
  <si>
    <t>Moe San Char Li</t>
  </si>
  <si>
    <t>မိုးဆန်းချာလီ</t>
  </si>
  <si>
    <t>ကျိုက်ထိုမြို့</t>
  </si>
  <si>
    <t>Daw Sein</t>
  </si>
  <si>
    <t>ဒေါ်စိန်</t>
  </si>
  <si>
    <t>ဘီးလင်းမြို့</t>
  </si>
  <si>
    <t>Ma Sandar Moe</t>
  </si>
  <si>
    <t>မစန္ဒာမိုး</t>
  </si>
  <si>
    <t>ချာလီ</t>
  </si>
  <si>
    <t>Ye Nwint Aung</t>
  </si>
  <si>
    <t>ရဲညွှန့်အောင်</t>
  </si>
  <si>
    <t>U Myint Kyi</t>
  </si>
  <si>
    <t>ဦးမြင့်ကြည်</t>
  </si>
  <si>
    <t>U Aye Myint</t>
  </si>
  <si>
    <t>ဦးအေးမြင့်</t>
  </si>
  <si>
    <t>ဘားအံ</t>
  </si>
  <si>
    <t>Sate Tine Kya</t>
  </si>
  <si>
    <t>စိတ်တိုင်းကျ</t>
  </si>
  <si>
    <t>ချောင်းဆုံမြို့</t>
  </si>
  <si>
    <t>09-798788870</t>
  </si>
  <si>
    <t>Phoo Ngone Soe</t>
  </si>
  <si>
    <t>ဖူးငုံစိုး</t>
  </si>
  <si>
    <t>ရေးမြို့</t>
  </si>
  <si>
    <t>Ma Chaw</t>
  </si>
  <si>
    <t>မ‌ချော</t>
  </si>
  <si>
    <t>U Hla Win</t>
  </si>
  <si>
    <t>ဦးလှ၀င်း</t>
  </si>
  <si>
    <t>ပေါင်မြို့</t>
  </si>
  <si>
    <t>U Bhone Myint</t>
  </si>
  <si>
    <t>ဦးဘုန်းမြင့်</t>
  </si>
  <si>
    <t xml:space="preserve"> Daw Kaw</t>
  </si>
  <si>
    <t>ဒေါ်ကော</t>
  </si>
  <si>
    <t>09-443988251</t>
  </si>
  <si>
    <t>Htein Lin</t>
  </si>
  <si>
    <t>ထိန်လင်း</t>
  </si>
  <si>
    <t>မော်လမြိုင်</t>
  </si>
  <si>
    <t>Nan Thazin</t>
  </si>
  <si>
    <t>နန်းသဇင်</t>
  </si>
  <si>
    <t>Ma Sandar</t>
  </si>
  <si>
    <t>မစန္ဒာ</t>
  </si>
  <si>
    <t>မုဒုံမြို့</t>
  </si>
  <si>
    <t>Ko Kyaw Shwe</t>
  </si>
  <si>
    <t>ကိုကျော်ရွှေ</t>
  </si>
  <si>
    <t>Ko Aung Naing Oo</t>
  </si>
  <si>
    <t>ကိုအောင်နိုင်ဦး</t>
  </si>
  <si>
    <t>Lin Thit</t>
  </si>
  <si>
    <t>လင်းသစ်</t>
  </si>
  <si>
    <t>Pyae Hlan</t>
  </si>
  <si>
    <t>ပြည့်လျှံ</t>
  </si>
  <si>
    <t>U Min Lwin</t>
  </si>
  <si>
    <t>ကိုညီညီဆွေ</t>
  </si>
  <si>
    <t>Oo Win Myint</t>
  </si>
  <si>
    <t>ဦး၀င်းမြင့်</t>
  </si>
  <si>
    <t>Ko Myo Aung</t>
  </si>
  <si>
    <t>ကိုမျိုးအောင်</t>
  </si>
  <si>
    <t>Win Aaung Shwe</t>
  </si>
  <si>
    <t>၀င်းအောင်ရွှေ</t>
  </si>
  <si>
    <t>ကော့ကရိတ်မြို့</t>
  </si>
  <si>
    <t>Naw Thae Su Hlaing</t>
  </si>
  <si>
    <t>နော်သင်းစုလှိုင်</t>
  </si>
  <si>
    <t>U Pyi Aye</t>
  </si>
  <si>
    <t>ဦးပြည်အေး</t>
  </si>
  <si>
    <t>Ko Mg+Ma Thu Zar</t>
  </si>
  <si>
    <t>ကိုမောင်+မသူဇာ</t>
  </si>
  <si>
    <t>ဘုရားသုံးဆူမြို့</t>
  </si>
  <si>
    <t>Daw Mya Sein</t>
  </si>
  <si>
    <t>ဒေါ်မြစိန်</t>
  </si>
  <si>
    <t>Ma Kay Kay</t>
  </si>
  <si>
    <t>Ko Kyaw Naing  Soe</t>
  </si>
  <si>
    <t>ကိုကျော်နိုင်စိုး</t>
  </si>
  <si>
    <t>Ko Htike Soe</t>
  </si>
  <si>
    <t>ကိုထိုက်စိုး</t>
  </si>
  <si>
    <t>Ko Bar Buu</t>
  </si>
  <si>
    <t>ကိုဘာဘူ</t>
  </si>
  <si>
    <t>Kyaw Star</t>
  </si>
  <si>
    <t>ကျော်စတား</t>
  </si>
  <si>
    <t>Ko Htun Naing</t>
  </si>
  <si>
    <t>ကိုထွန်းနိုင်</t>
  </si>
  <si>
    <t>ဒေါ်နွယ်နွယ်ရီ(ရွှေတောင်ကြား)</t>
  </si>
  <si>
    <t>Ma Wint War Htike</t>
  </si>
  <si>
    <t>Ko Mya Khat</t>
  </si>
  <si>
    <t>ကိုမြခက်</t>
  </si>
  <si>
    <t>Taw Win</t>
  </si>
  <si>
    <t>တော်၀င်</t>
  </si>
  <si>
    <t>Oo Soe Win</t>
  </si>
  <si>
    <t>ဦးစိုး၀င်း</t>
  </si>
  <si>
    <t>သထုံမြို့</t>
  </si>
  <si>
    <t>La Pyae</t>
  </si>
  <si>
    <t>လပြည့်</t>
  </si>
  <si>
    <t>Yaung Chi OO</t>
  </si>
  <si>
    <t>ရောင်ခြည်ဦး</t>
  </si>
  <si>
    <t>War Eain</t>
  </si>
  <si>
    <t>ဝါးအိမ်</t>
  </si>
  <si>
    <t>Ko Kyaw Soe</t>
  </si>
  <si>
    <t>ကိုကျော်စိုး (နံ့သာ)</t>
  </si>
  <si>
    <t>ဖာပွန်မြို့</t>
  </si>
  <si>
    <t>Shwe La Woon</t>
  </si>
  <si>
    <t>ရွှေလ၀န်း (၀င်း)</t>
  </si>
  <si>
    <t>Daw Mwe</t>
  </si>
  <si>
    <t>ဒေါ်မွှေး</t>
  </si>
  <si>
    <t>Daw Htun May</t>
  </si>
  <si>
    <t>ဒေါ်ထွန်းမေ</t>
  </si>
  <si>
    <t>BOT</t>
  </si>
  <si>
    <t>PKT</t>
  </si>
  <si>
    <t>Ach %</t>
  </si>
  <si>
    <t>Month Till Date</t>
  </si>
  <si>
    <t>Responsibility</t>
  </si>
  <si>
    <t>Contact No.</t>
  </si>
  <si>
    <t xml:space="preserve">Contact Name </t>
  </si>
  <si>
    <t>Type</t>
  </si>
  <si>
    <t>Township</t>
  </si>
  <si>
    <t>Names</t>
  </si>
  <si>
    <t>No</t>
  </si>
  <si>
    <t xml:space="preserve">Target </t>
  </si>
  <si>
    <t xml:space="preserve">March </t>
  </si>
  <si>
    <t>Van</t>
  </si>
  <si>
    <t xml:space="preserve">Total Sales </t>
  </si>
  <si>
    <t>Formula Rum 700ml</t>
  </si>
  <si>
    <t>ဇေ Vodka</t>
  </si>
  <si>
    <t>ဇေယျဝတီ  Red(ပု)</t>
  </si>
  <si>
    <t>ဒဂုံမန်ကျည်း ကော်ဘူး (1 Liter)</t>
  </si>
  <si>
    <t>ဇေယျဝတီ Red (1 Liter) 30%</t>
  </si>
  <si>
    <t>"ဇေ" ကော်ဘူး (1 Liter)</t>
  </si>
  <si>
    <t>ဇေယျဝတီ High 43%</t>
  </si>
  <si>
    <t>ဒဂုံအရက်သန့်</t>
  </si>
  <si>
    <t>ဒဂုံနာနတ်ဝိုင်</t>
  </si>
  <si>
    <t>ကောင်းကြည်</t>
  </si>
  <si>
    <t>ဇေယျဝတီ Red</t>
  </si>
  <si>
    <t>ဇေ အရက်သန့်</t>
  </si>
  <si>
    <t>Date</t>
  </si>
  <si>
    <t>Daw Moe Moe Myint</t>
  </si>
  <si>
    <t>ဒေါ်မိုးမိုးမြင့်</t>
  </si>
  <si>
    <t>Ko Soe Naing</t>
  </si>
  <si>
    <t>ကိုစိုးနိုင်</t>
  </si>
  <si>
    <t>အနဲကြီး</t>
  </si>
  <si>
    <t>နွယ်သာကီ</t>
  </si>
  <si>
    <t>Thailand</t>
  </si>
  <si>
    <t>Ma Maw</t>
  </si>
  <si>
    <t>မမော်</t>
  </si>
  <si>
    <t>Daw Sein Yone</t>
  </si>
  <si>
    <t>ဒေါ်စိန်ယုံ</t>
  </si>
  <si>
    <t>Ko Nay Naing</t>
  </si>
  <si>
    <t>ကိုနေနိုင်</t>
  </si>
  <si>
    <t xml:space="preserve">Total Van Sales </t>
  </si>
  <si>
    <t xml:space="preserve">Van 2 </t>
  </si>
  <si>
    <t xml:space="preserve">Van 1 </t>
  </si>
  <si>
    <t xml:space="preserve">Bottle </t>
  </si>
  <si>
    <t xml:space="preserve">Frequancy </t>
  </si>
  <si>
    <t xml:space="preserve">Total Outlet </t>
  </si>
  <si>
    <t xml:space="preserve">Area </t>
  </si>
  <si>
    <t>ASM</t>
  </si>
  <si>
    <t xml:space="preserve">Van </t>
  </si>
  <si>
    <t>Sr No.</t>
  </si>
  <si>
    <t xml:space="preserve">Sales </t>
  </si>
  <si>
    <t xml:space="preserve">Q1 Total </t>
  </si>
  <si>
    <t xml:space="preserve">Jan'25 </t>
  </si>
  <si>
    <t>Mini + Van Sales  Follow Up - (MLM)</t>
  </si>
  <si>
    <t>Total Mini Wholesales (59)</t>
  </si>
  <si>
    <t xml:space="preserve">Mini WS </t>
  </si>
  <si>
    <t>One Daw Lar</t>
  </si>
  <si>
    <t>၀မ်းဒေါ်လာ</t>
  </si>
  <si>
    <t>Bhone Myat Hlan</t>
  </si>
  <si>
    <t>မြတ်ဘုန်းလျှံ</t>
  </si>
  <si>
    <t>Yatanar Pone</t>
  </si>
  <si>
    <t>ရတနာပုံ</t>
  </si>
  <si>
    <t>Ngway Lin Yone</t>
  </si>
  <si>
    <t>ငွေလင်းယုန်</t>
  </si>
  <si>
    <t>Hay Won Nan</t>
  </si>
  <si>
    <t>ဟေ၀န်နန်း</t>
  </si>
  <si>
    <t>Hay Mar Pyae Wa</t>
  </si>
  <si>
    <t>ဟေမာြပည့်၀</t>
  </si>
  <si>
    <t>Ami Yin Kwin</t>
  </si>
  <si>
    <t>အမိရင်ခွင်</t>
  </si>
  <si>
    <t>Daw Mi Naing</t>
  </si>
  <si>
    <t>ဒေါ်မိမိနိုင်</t>
  </si>
  <si>
    <t>Shin Thant</t>
  </si>
  <si>
    <t>ရှင်းသန့်</t>
  </si>
  <si>
    <t>A Maung</t>
  </si>
  <si>
    <t>အမောင်</t>
  </si>
  <si>
    <t>Min Min Htun</t>
  </si>
  <si>
    <t>မင်းမင်းထွန်း</t>
  </si>
  <si>
    <t>Ko Kyi</t>
  </si>
  <si>
    <t>ကိုကြီး</t>
  </si>
  <si>
    <t xml:space="preserve">Dingar </t>
  </si>
  <si>
    <t>ဒဂါးစားသောက်ဆိုင်</t>
  </si>
  <si>
    <t>My-1</t>
  </si>
  <si>
    <t>Ko Than Htun Oo</t>
  </si>
  <si>
    <t>ကိုသန်းထွန်းဦး</t>
  </si>
  <si>
    <t>My-2</t>
  </si>
  <si>
    <t>OMG</t>
  </si>
  <si>
    <t>U Htwe Han</t>
  </si>
  <si>
    <t>ဦးထွေးဟန်</t>
  </si>
  <si>
    <t>Ko Nay Kyaw</t>
  </si>
  <si>
    <t>ကိုနေကျော်</t>
  </si>
  <si>
    <t>Thein Than</t>
  </si>
  <si>
    <t>သိန်းသန်း</t>
  </si>
  <si>
    <t>Ko Thar Nge</t>
  </si>
  <si>
    <t>ကိုသားငယ်</t>
  </si>
  <si>
    <t>Felling Store</t>
  </si>
  <si>
    <t>Feeling Store</t>
  </si>
  <si>
    <t>M-City</t>
  </si>
  <si>
    <t>She Koteko</t>
  </si>
  <si>
    <t>ရွှေကုက္ကိုလ်</t>
  </si>
  <si>
    <t>U Bo Ni</t>
  </si>
  <si>
    <t>ဦးဘိုနီ</t>
  </si>
  <si>
    <t>Ko Lay</t>
  </si>
  <si>
    <t>ကိုလေး</t>
  </si>
  <si>
    <t>U Aung Myint</t>
  </si>
  <si>
    <t>ဦးအောင်မြင့်</t>
  </si>
  <si>
    <t>Sone See Yar</t>
  </si>
  <si>
    <t>ဆုံဆည်းရာ</t>
  </si>
  <si>
    <t>Min Htun Thein</t>
  </si>
  <si>
    <t>မင်းထွန်းသိန်း</t>
  </si>
  <si>
    <t>Naing Kyaw</t>
  </si>
  <si>
    <t>နိုင်ကျော်</t>
  </si>
  <si>
    <t>New Thar Kyi</t>
  </si>
  <si>
    <t>Ma New Ni</t>
  </si>
  <si>
    <t>မနွယ်နီ</t>
  </si>
  <si>
    <t>Phoe Khwar Lay</t>
  </si>
  <si>
    <t>ဖိုးခွားလေး</t>
  </si>
  <si>
    <t>Hi</t>
  </si>
  <si>
    <t>Hi Hi</t>
  </si>
  <si>
    <t>Tha Paya</t>
  </si>
  <si>
    <t>သပြေ</t>
  </si>
  <si>
    <t>Pyone Pan Tayar</t>
  </si>
  <si>
    <t>ပြုံးပန်း‌ေ</t>
  </si>
  <si>
    <t>Kaung Kiht</t>
  </si>
  <si>
    <t>ကောင်းခေတ်</t>
  </si>
  <si>
    <t>Tha Yat Myaing</t>
  </si>
  <si>
    <t>သရက်မြိုင်</t>
  </si>
  <si>
    <t>Bae Gyi Phyo</t>
  </si>
  <si>
    <t>ဘဲကြီးဖြိုး</t>
  </si>
  <si>
    <t>Ma Zar ZaR</t>
  </si>
  <si>
    <t>မဇာဇာ</t>
  </si>
  <si>
    <t>Daw Mya Lay</t>
  </si>
  <si>
    <t>ဒေါ်မြလေး</t>
  </si>
  <si>
    <t>Shwe Myintter</t>
  </si>
  <si>
    <t>ရွှေမေတ္တာ</t>
  </si>
  <si>
    <t>A Nae gyi</t>
  </si>
  <si>
    <t>Kabar Kyaw</t>
  </si>
  <si>
    <t>ကမ္ဘာကျော်</t>
  </si>
  <si>
    <t>Pea Cock</t>
  </si>
  <si>
    <t>Zar Ni Lay</t>
  </si>
  <si>
    <t>ဇာနည်လေး</t>
  </si>
  <si>
    <t>Min San Thit</t>
  </si>
  <si>
    <t>မင်းဆန်းသစ်</t>
  </si>
  <si>
    <t>Daw Cho Cho Win</t>
  </si>
  <si>
    <t>ဒေါ်ချိုချို၀င်း</t>
  </si>
  <si>
    <t>Wa Mone Nar</t>
  </si>
  <si>
    <t>ယမုံနာ</t>
  </si>
  <si>
    <t>Kaung Htet Hlan</t>
  </si>
  <si>
    <t>ကောင်းထက်လျှံ</t>
  </si>
  <si>
    <t>Sein Lae Kan Thar</t>
  </si>
  <si>
    <t>စိမ်းလဲ့ကန်သာ</t>
  </si>
  <si>
    <t>Ko Peain</t>
  </si>
  <si>
    <t>ကိုပိန်</t>
  </si>
  <si>
    <t>Ever First</t>
  </si>
  <si>
    <t>Phyo Wai San</t>
  </si>
  <si>
    <t>ဖြိုး‌‌ေစံ</t>
  </si>
  <si>
    <t xml:space="preserve">PKT </t>
  </si>
  <si>
    <t>Resp by</t>
  </si>
  <si>
    <t>Cons%</t>
  </si>
  <si>
    <t>Mini  Follow Up - (MLM)</t>
  </si>
  <si>
    <t>Quarter 1</t>
  </si>
  <si>
    <t>Total Semi Wholesales (55)</t>
  </si>
  <si>
    <t xml:space="preserve">Semi WS </t>
  </si>
  <si>
    <t>ပေါင်</t>
  </si>
  <si>
    <t>Ko Mon Lay</t>
  </si>
  <si>
    <t>ကိုမွန်လေး</t>
  </si>
  <si>
    <t>မ‌ကေကေ</t>
  </si>
  <si>
    <t xml:space="preserve">Kankaw </t>
  </si>
  <si>
    <t>ကံ့ကော်စတိုး</t>
  </si>
  <si>
    <t>Ma Wai</t>
  </si>
  <si>
    <t>မ‌‌ေ</t>
  </si>
  <si>
    <t>Mon Lay</t>
  </si>
  <si>
    <t>မွန်လေး</t>
  </si>
  <si>
    <t>Ko Mg Oo</t>
  </si>
  <si>
    <t>ကိုမောင်ဦး</t>
  </si>
  <si>
    <t>Daw Htay</t>
  </si>
  <si>
    <t>ဒေါ်ဌေး</t>
  </si>
  <si>
    <t>Moe San</t>
  </si>
  <si>
    <t>မိုးဆန်း</t>
  </si>
  <si>
    <t>Ngwe Hlaing Than</t>
  </si>
  <si>
    <t>ငွေလှိုင်းသံ</t>
  </si>
  <si>
    <t>Ma Wai-2</t>
  </si>
  <si>
    <t>မ‌ေ၀-၂</t>
  </si>
  <si>
    <t>Say Thitsar</t>
  </si>
  <si>
    <t>ဆေးသစ္စာ</t>
  </si>
  <si>
    <t>KP</t>
  </si>
  <si>
    <t>Ma Thantar</t>
  </si>
  <si>
    <t>မသန္တာ</t>
  </si>
  <si>
    <t>Ko Yan Naing Oo</t>
  </si>
  <si>
    <t>ကိုရန်နိုင်ဦး</t>
  </si>
  <si>
    <t>Ma Thida Win</t>
  </si>
  <si>
    <t>မသီတာ၀င်း</t>
  </si>
  <si>
    <t>A-1</t>
  </si>
  <si>
    <t>A1</t>
  </si>
  <si>
    <t>Ko Shan</t>
  </si>
  <si>
    <t>ကိုရှမ်း</t>
  </si>
  <si>
    <t>Ko Zaw Lin Myat</t>
  </si>
  <si>
    <t>ကိုဇော်လင်းမြတ်</t>
  </si>
  <si>
    <t>3 Brother</t>
  </si>
  <si>
    <t>Daw Mi Sein</t>
  </si>
  <si>
    <t>ဒေါ်မိစိန်</t>
  </si>
  <si>
    <t>Outlet Type</t>
  </si>
  <si>
    <t>Area</t>
  </si>
  <si>
    <t>Customer Name</t>
  </si>
  <si>
    <t>Semi Wholesales Follow Up - (MLM)</t>
  </si>
  <si>
    <t xml:space="preserve">Quarter 1 </t>
  </si>
  <si>
    <t>Total Wholesales ( 12)</t>
  </si>
  <si>
    <t xml:space="preserve">WS </t>
  </si>
  <si>
    <t xml:space="preserve">Yaye </t>
  </si>
  <si>
    <t>Kyaikto</t>
  </si>
  <si>
    <t>Mawlamyaing</t>
  </si>
  <si>
    <t>Ko Nyi Nyi Swe-1</t>
  </si>
  <si>
    <t xml:space="preserve">Yayae </t>
  </si>
  <si>
    <t>ရွှေပင်လယ်</t>
  </si>
  <si>
    <t>ဦးမင်းလွင်(ထင်းပုံ)</t>
  </si>
  <si>
    <t>Daw New New Yi</t>
  </si>
  <si>
    <t>Wholesales Follow Up - (MLM)</t>
  </si>
  <si>
    <t>Mini</t>
  </si>
  <si>
    <t>SWS</t>
  </si>
  <si>
    <t>WS</t>
  </si>
  <si>
    <t>Category</t>
  </si>
  <si>
    <t>Contribution</t>
  </si>
  <si>
    <t>SLAB Carton</t>
  </si>
  <si>
    <t xml:space="preserve">December </t>
  </si>
  <si>
    <t xml:space="preserve">Novermber </t>
  </si>
  <si>
    <t xml:space="preserve">September </t>
  </si>
  <si>
    <t xml:space="preserve">August </t>
  </si>
  <si>
    <t xml:space="preserve">July </t>
  </si>
  <si>
    <t xml:space="preserve">June </t>
  </si>
  <si>
    <t xml:space="preserve">May </t>
  </si>
  <si>
    <t xml:space="preserve">April </t>
  </si>
  <si>
    <t>February</t>
  </si>
  <si>
    <t>January</t>
  </si>
  <si>
    <t>Standard Norm for O/L Category</t>
  </si>
  <si>
    <t>Q4</t>
  </si>
  <si>
    <t>Q3</t>
  </si>
  <si>
    <t>Q2</t>
  </si>
  <si>
    <t>Q1</t>
  </si>
  <si>
    <t>Target</t>
  </si>
  <si>
    <t>Liter</t>
  </si>
  <si>
    <t>ACH%</t>
  </si>
  <si>
    <t>10-days</t>
  </si>
  <si>
    <t>20-days</t>
  </si>
  <si>
    <t>Paung</t>
  </si>
  <si>
    <t>Yay</t>
  </si>
  <si>
    <t>Belin</t>
  </si>
  <si>
    <t>Van Sales</t>
  </si>
  <si>
    <t>January-2025 FUS</t>
  </si>
  <si>
    <t>Hpa-an</t>
  </si>
  <si>
    <t>Maw La Myaing</t>
  </si>
  <si>
    <t>ThaHtone</t>
  </si>
  <si>
    <t>Mudon</t>
  </si>
  <si>
    <t>Target (BOT)</t>
  </si>
  <si>
    <t>Target (Liters)</t>
  </si>
  <si>
    <t xml:space="preserve">Total Sales(BOT) </t>
  </si>
  <si>
    <t xml:space="preserve">Total Sales(Liters) </t>
  </si>
  <si>
    <t>Ach % (BOT)</t>
  </si>
  <si>
    <t>Ach % (Liters)</t>
  </si>
  <si>
    <t>700 Col</t>
  </si>
  <si>
    <t>350 Col</t>
  </si>
  <si>
    <t>Feb-2025 FUS</t>
  </si>
  <si>
    <t>March-2025 FUS</t>
  </si>
  <si>
    <t>Quarter 2</t>
  </si>
  <si>
    <t>Quarter 3</t>
  </si>
  <si>
    <t>Quarter 4</t>
  </si>
  <si>
    <t xml:space="preserve">Q2 Total </t>
  </si>
  <si>
    <t xml:space="preserve">Q3 Total </t>
  </si>
  <si>
    <t>Ltr</t>
  </si>
  <si>
    <t>Apri-2025 FUS</t>
  </si>
  <si>
    <t>ဒဂုံသန့်</t>
  </si>
  <si>
    <t>MLM-FUS'!A1</t>
  </si>
  <si>
    <t>MAy-2025 FUS</t>
  </si>
  <si>
    <t>June-2025 FUS</t>
  </si>
  <si>
    <t>July 2025-FUS</t>
  </si>
  <si>
    <t>700  SRS</t>
  </si>
  <si>
    <t>August 2025-FUS</t>
  </si>
  <si>
    <t>ဇေ Vodka-12</t>
  </si>
  <si>
    <t>ဇေ Vodka-14</t>
  </si>
  <si>
    <t>Zay 1Liter</t>
  </si>
  <si>
    <t>Septenber 2025-FUS</t>
  </si>
  <si>
    <t>ဇေ Vodka 14</t>
  </si>
  <si>
    <t>October 2025-FUS</t>
  </si>
  <si>
    <t>October</t>
  </si>
  <si>
    <t>ဇေ Vodka (1x12)</t>
  </si>
  <si>
    <t>ဒဂုံနာနတ်</t>
  </si>
  <si>
    <t>ဇေ (1 Liter)</t>
  </si>
  <si>
    <t>November-2025-FUS</t>
  </si>
  <si>
    <t>December-2025-FUS</t>
  </si>
  <si>
    <t>ဇေယျဝတီ Red-24</t>
  </si>
  <si>
    <t>ဦးမင်းလွင်</t>
  </si>
  <si>
    <t>မဝင့်ဝါထိုက်(ရွှေပင်လယ်)</t>
  </si>
  <si>
    <t>Phar Pun</t>
  </si>
  <si>
    <t>Thein Zayet</t>
  </si>
  <si>
    <t>1st January</t>
  </si>
  <si>
    <t>2nd January</t>
  </si>
  <si>
    <t>3rd January</t>
  </si>
  <si>
    <t>4th January</t>
  </si>
  <si>
    <t>5th January</t>
  </si>
  <si>
    <t>6th January</t>
  </si>
  <si>
    <t>7th January</t>
  </si>
  <si>
    <t>8th January</t>
  </si>
  <si>
    <t>9th January</t>
  </si>
  <si>
    <t>10th January</t>
  </si>
  <si>
    <t>11th January</t>
  </si>
  <si>
    <t>12th January</t>
  </si>
  <si>
    <t>13th January</t>
  </si>
  <si>
    <t>14th January</t>
  </si>
  <si>
    <t>15th January</t>
  </si>
  <si>
    <t>16th January</t>
  </si>
  <si>
    <t>17th January</t>
  </si>
  <si>
    <t>18th January</t>
  </si>
  <si>
    <t>19th January</t>
  </si>
  <si>
    <t>20th January</t>
  </si>
  <si>
    <t>21st January</t>
  </si>
  <si>
    <t>22nd January</t>
  </si>
  <si>
    <t>23rd January</t>
  </si>
  <si>
    <t>24th January</t>
  </si>
  <si>
    <t>25th January</t>
  </si>
  <si>
    <t>26th January</t>
  </si>
  <si>
    <t>27th January</t>
  </si>
  <si>
    <t>28th January</t>
  </si>
  <si>
    <t>29th January</t>
  </si>
  <si>
    <t>30th January</t>
  </si>
  <si>
    <t>31st January</t>
  </si>
  <si>
    <t>Myaw La Myaing- Wholesales List(January-2026)</t>
  </si>
  <si>
    <t>January-2026 FUS</t>
  </si>
  <si>
    <t>January-2026FUS</t>
  </si>
  <si>
    <t>January-2026-FUS</t>
  </si>
  <si>
    <t>January- 2026-FUS</t>
  </si>
  <si>
    <t>January 2026-FUS</t>
  </si>
  <si>
    <t>January- 2026- FUS</t>
  </si>
  <si>
    <t>January  2026-FUS</t>
  </si>
  <si>
    <t>R မီပု</t>
  </si>
  <si>
    <t>ကောင်းကြည်-1Li-40%</t>
  </si>
  <si>
    <t>Total Wholesales ( 14)</t>
  </si>
  <si>
    <t>Total Semi Wholesales (23)</t>
  </si>
  <si>
    <t>Total Mini Wholesales (14)</t>
  </si>
  <si>
    <t xml:space="preserve">Q4 Total </t>
  </si>
  <si>
    <t>Thein Za Yat</t>
  </si>
  <si>
    <t>ဒဂုံ</t>
  </si>
  <si>
    <t>မိုးဆမ်း</t>
  </si>
  <si>
    <t>မုဒုံ</t>
  </si>
  <si>
    <t>သိမ်ဇရပ်</t>
  </si>
  <si>
    <t>Ko Nyi Nyi Swe</t>
  </si>
  <si>
    <t>Win Aung Shwe</t>
  </si>
  <si>
    <t>Ko Kyaw Naing Soe</t>
  </si>
  <si>
    <t>Daw Mi Sen</t>
  </si>
  <si>
    <t>Kant Kaw Store</t>
  </si>
  <si>
    <t>Ye Nyunt Aung</t>
  </si>
  <si>
    <t>One Dollar</t>
  </si>
  <si>
    <t>Ko Maung Oo</t>
  </si>
  <si>
    <t>Nan Tha Zin</t>
  </si>
  <si>
    <t>A Nae Gyi</t>
  </si>
  <si>
    <t>2026 Total</t>
  </si>
  <si>
    <t>ကောင်းကြည်-1Li-20%</t>
  </si>
  <si>
    <t>Myaw La Myaing- Wholesales List(Feb-2026)</t>
  </si>
  <si>
    <t>1st February</t>
  </si>
  <si>
    <t>2nd February</t>
  </si>
  <si>
    <t>3rd February</t>
  </si>
  <si>
    <t>4th February</t>
  </si>
  <si>
    <t>5th February</t>
  </si>
  <si>
    <t>6th February</t>
  </si>
  <si>
    <t>7th February</t>
  </si>
  <si>
    <t>8th February</t>
  </si>
  <si>
    <t>9th February</t>
  </si>
  <si>
    <t>10th February</t>
  </si>
  <si>
    <t>11th February</t>
  </si>
  <si>
    <t>12th February</t>
  </si>
  <si>
    <t>13th February</t>
  </si>
  <si>
    <t>14th February</t>
  </si>
  <si>
    <t>15th February</t>
  </si>
  <si>
    <t>16th February</t>
  </si>
  <si>
    <t>17th February</t>
  </si>
  <si>
    <t>18th February</t>
  </si>
  <si>
    <t>19th February</t>
  </si>
  <si>
    <t>20th February</t>
  </si>
  <si>
    <t>21st February</t>
  </si>
  <si>
    <t>22nd February</t>
  </si>
  <si>
    <t>23rd February</t>
  </si>
  <si>
    <t>24th February</t>
  </si>
  <si>
    <t>25th February</t>
  </si>
  <si>
    <t>26th February</t>
  </si>
  <si>
    <t>27th February</t>
  </si>
  <si>
    <t>28th February</t>
  </si>
  <si>
    <t>29th February</t>
  </si>
  <si>
    <t>30th February</t>
  </si>
  <si>
    <t>31st February</t>
  </si>
  <si>
    <t>Feb-2026 FUS</t>
  </si>
  <si>
    <t>Feb-2026FUS</t>
  </si>
  <si>
    <t>Feb 2026-FUS</t>
  </si>
  <si>
    <t>Feb-2026-FUS</t>
  </si>
  <si>
    <t>Feb 2026- FUS</t>
  </si>
  <si>
    <t>Feb- 2026-FUS</t>
  </si>
  <si>
    <t>feb  2026-FUS</t>
  </si>
  <si>
    <t>Feb2026-FUS</t>
  </si>
  <si>
    <t>ဒဂုံမန်ကျည်း-၁Li</t>
  </si>
  <si>
    <t>KK-1Li-25%</t>
  </si>
  <si>
    <t>KK-1Li-40%</t>
  </si>
  <si>
    <t>KK1Li-25%</t>
  </si>
  <si>
    <t>ကောင်းကြည်-1Li-25%</t>
  </si>
  <si>
    <t>Myaw La Myaing- Wholesales List(March-2026)</t>
  </si>
  <si>
    <t>1st March</t>
  </si>
  <si>
    <t>2nd March</t>
  </si>
  <si>
    <t>3rd March</t>
  </si>
  <si>
    <t>4th March</t>
  </si>
  <si>
    <t>5th March</t>
  </si>
  <si>
    <t>6th March</t>
  </si>
  <si>
    <t>7th March</t>
  </si>
  <si>
    <t>8th March</t>
  </si>
  <si>
    <t>9th March</t>
  </si>
  <si>
    <t>10th March</t>
  </si>
  <si>
    <t>11th March</t>
  </si>
  <si>
    <t>12th March</t>
  </si>
  <si>
    <t>13th March</t>
  </si>
  <si>
    <t>14th March</t>
  </si>
  <si>
    <t>15th March</t>
  </si>
  <si>
    <t>16th March</t>
  </si>
  <si>
    <t>17th March</t>
  </si>
  <si>
    <t>18th March</t>
  </si>
  <si>
    <t>19th March</t>
  </si>
  <si>
    <t>20th March</t>
  </si>
  <si>
    <t>21st March</t>
  </si>
  <si>
    <t>22nd March</t>
  </si>
  <si>
    <t>23rd March</t>
  </si>
  <si>
    <t>24th March</t>
  </si>
  <si>
    <t>25th March</t>
  </si>
  <si>
    <t>26th March</t>
  </si>
  <si>
    <t>27th March</t>
  </si>
  <si>
    <t>28th March</t>
  </si>
  <si>
    <t>29th March</t>
  </si>
  <si>
    <t>30th March</t>
  </si>
  <si>
    <t>31st March</t>
  </si>
  <si>
    <t>March-2026 FUS</t>
  </si>
  <si>
    <t>March-2026FUS</t>
  </si>
  <si>
    <t>March 2026-FUS</t>
  </si>
  <si>
    <t>March-2026-FUS</t>
  </si>
  <si>
    <t>March 2026- FUS</t>
  </si>
  <si>
    <t>March- 2026-FUS</t>
  </si>
  <si>
    <t>March  2026-FUS</t>
  </si>
  <si>
    <t>ဒဂုံအရက်သန့်-1Li</t>
  </si>
  <si>
    <t>Dagon-1Li</t>
  </si>
  <si>
    <t>KK-40%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</si>
</sst>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_-;\-* #,##0_-;_-* &quot;-&quot;_-;_-@_-"/>
    <numFmt numFmtId="165" formatCode="_(* #,##0_);_(* \(#,##0\);_(* &quot;-&quot;??_);_(@_)"/>
    <numFmt numFmtId="166" formatCode="_(* #,##0.0_);_(* \(#,##0.0\);_(* &quot;-&quot;_);_(@_)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Pyidaungsu"/>
      <family val="2"/>
    </font>
    <font>
      <sz val="10"/>
      <name val="Pyidaungsu"/>
      <family val="2"/>
    </font>
    <font>
      <u/>
      <sz val="11"/>
      <color theme="10"/>
      <name val="Calibri"/>
      <family val="2"/>
      <scheme val="minor"/>
    </font>
    <font>
      <sz val="10"/>
      <color rgb="FFFF0000"/>
      <name val="Pyidaungsu"/>
      <family val="2"/>
    </font>
    <font>
      <b/>
      <sz val="10"/>
      <color theme="1"/>
      <name val="Pyidaungsu"/>
      <family val="2"/>
    </font>
    <font>
      <b/>
      <sz val="10"/>
      <color rgb="FFFF0000"/>
      <name val="Pyidaungsu"/>
      <family val="2"/>
    </font>
    <font>
      <b/>
      <sz val="10"/>
      <name val="Pyidaungsu"/>
      <family val="2"/>
    </font>
    <font>
      <sz val="12"/>
      <color theme="1"/>
      <name val="Calibri"/>
      <family val="2"/>
      <scheme val="minor"/>
    </font>
    <font>
      <sz val="12"/>
      <color theme="1"/>
      <name val="Pyidaungsu"/>
      <family val="2"/>
    </font>
    <font>
      <b/>
      <sz val="12"/>
      <color theme="1"/>
      <name val="Pyidaungsu"/>
      <family val="2"/>
    </font>
    <font>
      <b/>
      <sz val="13"/>
      <color theme="1"/>
      <name val="Pyidaungsu"/>
      <family val="2"/>
    </font>
    <font>
      <b/>
      <sz val="14"/>
      <color rgb="FFFF0000"/>
      <name val="Pyidaungsu"/>
      <family val="2"/>
    </font>
    <font>
      <sz val="14"/>
      <color theme="1"/>
      <name val="Pyidaungsu"/>
      <family val="2"/>
    </font>
    <font>
      <b/>
      <sz val="14"/>
      <color theme="1"/>
      <name val="Pyidaungsu"/>
      <family val="2"/>
    </font>
    <font>
      <b/>
      <u/>
      <sz val="14"/>
      <color theme="1"/>
      <name val="Pyidaungsu"/>
      <family val="2"/>
    </font>
    <font>
      <sz val="11"/>
      <color theme="1"/>
      <name val="Pyidaungsu"/>
      <family val="2"/>
    </font>
    <font>
      <sz val="12"/>
      <name val="Pyidaungsu"/>
      <family val="2"/>
    </font>
    <font>
      <sz val="8"/>
      <name val="Calibri"/>
      <family val="2"/>
      <scheme val="minor"/>
    </font>
    <font>
      <b/>
      <sz val="11"/>
      <name val="Pyidaungsu"/>
      <family val="2"/>
    </font>
    <font>
      <b/>
      <sz val="11"/>
      <color theme="1"/>
      <name val="Pyidaungsu"/>
      <family val="2"/>
    </font>
    <font>
      <b/>
      <sz val="10"/>
      <color rgb="FF0000FF"/>
      <name val="Pyidaungsu"/>
      <family val="2"/>
    </font>
    <font>
      <b/>
      <u/>
      <sz val="10"/>
      <color theme="1"/>
      <name val="Pyidaungsu"/>
      <family val="2"/>
    </font>
    <font>
      <u/>
      <sz val="10"/>
      <color theme="10"/>
      <name val="Pyidaungsu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99FF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theme="7" tint="0.39997558519241921"/>
      </top>
      <bottom style="thin">
        <color theme="7" tint="0.39997558519241921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9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7" fillId="0" borderId="0"/>
  </cellStyleXfs>
  <cellXfs count="597">
    <xf numFmtId="0" fontId="0" fillId="0" borderId="0" xfId="0"/>
    <xf numFmtId="0" fontId="2" fillId="0" borderId="0" xfId="0" applyFont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5" fontId="2" fillId="0" borderId="3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5" fontId="2" fillId="0" borderId="1" xfId="1" applyNumberFormat="1" applyFont="1" applyBorder="1" applyAlignment="1">
      <alignment horizontal="center" vertical="center"/>
    </xf>
    <xf numFmtId="165" fontId="2" fillId="4" borderId="1" xfId="1" applyNumberFormat="1" applyFont="1" applyFill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5" fontId="2" fillId="4" borderId="3" xfId="1" applyNumberFormat="1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165" fontId="5" fillId="5" borderId="0" xfId="1" applyNumberFormat="1" applyFont="1" applyFill="1" applyAlignment="1">
      <alignment vertical="center"/>
    </xf>
    <xf numFmtId="165" fontId="2" fillId="0" borderId="1" xfId="1" applyNumberFormat="1" applyFont="1" applyBorder="1" applyAlignment="1">
      <alignment vertical="center"/>
    </xf>
    <xf numFmtId="165" fontId="2" fillId="0" borderId="1" xfId="1" applyNumberFormat="1" applyFont="1" applyBorder="1" applyAlignment="1">
      <alignment horizontal="right" vertical="center"/>
    </xf>
    <xf numFmtId="165" fontId="2" fillId="0" borderId="21" xfId="1" applyNumberFormat="1" applyFont="1" applyBorder="1" applyAlignment="1">
      <alignment horizontal="center"/>
    </xf>
    <xf numFmtId="0" fontId="2" fillId="0" borderId="0" xfId="0" applyFont="1"/>
    <xf numFmtId="0" fontId="6" fillId="11" borderId="10" xfId="0" applyFont="1" applyFill="1" applyBorder="1" applyAlignment="1">
      <alignment horizontal="center" vertical="center"/>
    </xf>
    <xf numFmtId="0" fontId="6" fillId="11" borderId="8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0" fillId="0" borderId="0" xfId="3" applyFont="1"/>
    <xf numFmtId="0" fontId="11" fillId="0" borderId="0" xfId="3" applyFont="1"/>
    <xf numFmtId="166" fontId="11" fillId="0" borderId="0" xfId="4" applyNumberFormat="1" applyFont="1"/>
    <xf numFmtId="0" fontId="12" fillId="0" borderId="0" xfId="3" applyFont="1"/>
    <xf numFmtId="164" fontId="12" fillId="7" borderId="15" xfId="3" applyNumberFormat="1" applyFont="1" applyFill="1" applyBorder="1"/>
    <xf numFmtId="0" fontId="12" fillId="7" borderId="16" xfId="3" applyFont="1" applyFill="1" applyBorder="1"/>
    <xf numFmtId="164" fontId="12" fillId="7" borderId="17" xfId="4" applyFont="1" applyFill="1" applyBorder="1"/>
    <xf numFmtId="164" fontId="12" fillId="7" borderId="15" xfId="4" applyFont="1" applyFill="1" applyBorder="1"/>
    <xf numFmtId="164" fontId="12" fillId="7" borderId="16" xfId="4" applyFont="1" applyFill="1" applyBorder="1"/>
    <xf numFmtId="166" fontId="12" fillId="7" borderId="5" xfId="4" applyNumberFormat="1" applyFont="1" applyFill="1" applyBorder="1"/>
    <xf numFmtId="2" fontId="12" fillId="7" borderId="1" xfId="3" applyNumberFormat="1" applyFont="1" applyFill="1" applyBorder="1"/>
    <xf numFmtId="0" fontId="12" fillId="7" borderId="1" xfId="3" applyFont="1" applyFill="1" applyBorder="1" applyAlignment="1">
      <alignment horizontal="center"/>
    </xf>
    <xf numFmtId="0" fontId="10" fillId="0" borderId="12" xfId="3" applyFont="1" applyBorder="1"/>
    <xf numFmtId="0" fontId="10" fillId="0" borderId="1" xfId="3" applyFont="1" applyBorder="1"/>
    <xf numFmtId="165" fontId="11" fillId="0" borderId="13" xfId="3" applyNumberFormat="1" applyFont="1" applyBorder="1" applyAlignment="1">
      <alignment horizontal="center" vertical="center"/>
    </xf>
    <xf numFmtId="164" fontId="11" fillId="0" borderId="12" xfId="4" applyFont="1" applyBorder="1"/>
    <xf numFmtId="164" fontId="11" fillId="0" borderId="1" xfId="4" applyFont="1" applyBorder="1"/>
    <xf numFmtId="164" fontId="11" fillId="0" borderId="13" xfId="4" applyFont="1" applyBorder="1"/>
    <xf numFmtId="166" fontId="11" fillId="0" borderId="5" xfId="4" applyNumberFormat="1" applyFont="1" applyBorder="1"/>
    <xf numFmtId="2" fontId="10" fillId="0" borderId="1" xfId="3" applyNumberFormat="1" applyFont="1" applyBorder="1"/>
    <xf numFmtId="0" fontId="10" fillId="0" borderId="1" xfId="3" applyFont="1" applyBorder="1" applyAlignment="1">
      <alignment horizontal="center"/>
    </xf>
    <xf numFmtId="0" fontId="10" fillId="0" borderId="1" xfId="3" applyFont="1" applyBorder="1" applyAlignment="1">
      <alignment horizontal="left" indent="1"/>
    </xf>
    <xf numFmtId="166" fontId="11" fillId="0" borderId="5" xfId="4" applyNumberFormat="1" applyFont="1" applyFill="1" applyBorder="1"/>
    <xf numFmtId="0" fontId="11" fillId="0" borderId="2" xfId="3" applyFont="1" applyBorder="1" applyAlignment="1">
      <alignment vertical="center"/>
    </xf>
    <xf numFmtId="0" fontId="11" fillId="0" borderId="1" xfId="3" applyFont="1" applyBorder="1" applyAlignment="1">
      <alignment horizontal="left" indent="1"/>
    </xf>
    <xf numFmtId="0" fontId="11" fillId="0" borderId="1" xfId="3" applyFont="1" applyBorder="1" applyAlignment="1">
      <alignment horizontal="center"/>
    </xf>
    <xf numFmtId="0" fontId="11" fillId="0" borderId="1" xfId="3" applyFont="1" applyBorder="1" applyAlignment="1">
      <alignment vertical="center"/>
    </xf>
    <xf numFmtId="0" fontId="11" fillId="0" borderId="0" xfId="3" applyFont="1" applyAlignment="1">
      <alignment horizontal="center" vertical="center"/>
    </xf>
    <xf numFmtId="0" fontId="11" fillId="0" borderId="1" xfId="3" applyFont="1" applyBorder="1" applyAlignment="1">
      <alignment horizontal="center" vertical="center"/>
    </xf>
    <xf numFmtId="166" fontId="11" fillId="0" borderId="5" xfId="4" applyNumberFormat="1" applyFont="1" applyBorder="1" applyAlignment="1">
      <alignment horizontal="center" vertical="center"/>
    </xf>
    <xf numFmtId="164" fontId="11" fillId="0" borderId="1" xfId="4" applyFont="1" applyBorder="1" applyAlignment="1">
      <alignment horizontal="center" vertical="center"/>
    </xf>
    <xf numFmtId="0" fontId="10" fillId="0" borderId="0" xfId="3" applyFont="1" applyAlignment="1">
      <alignment horizontal="center" vertical="center"/>
    </xf>
    <xf numFmtId="0" fontId="11" fillId="0" borderId="1" xfId="3" applyFont="1" applyBorder="1" applyAlignment="1">
      <alignment horizontal="center" vertical="center" wrapText="1"/>
    </xf>
    <xf numFmtId="166" fontId="11" fillId="0" borderId="0" xfId="4" applyNumberFormat="1" applyFont="1" applyAlignment="1">
      <alignment horizontal="center" vertical="center"/>
    </xf>
    <xf numFmtId="0" fontId="14" fillId="0" borderId="0" xfId="3" applyFont="1" applyAlignment="1">
      <alignment horizontal="center" vertical="center"/>
    </xf>
    <xf numFmtId="166" fontId="15" fillId="0" borderId="0" xfId="4" applyNumberFormat="1" applyFont="1" applyAlignment="1">
      <alignment horizontal="center" vertical="center"/>
    </xf>
    <xf numFmtId="0" fontId="15" fillId="0" borderId="0" xfId="3" applyFont="1" applyAlignment="1">
      <alignment horizontal="center" vertical="center"/>
    </xf>
    <xf numFmtId="0" fontId="16" fillId="0" borderId="0" xfId="3" applyFont="1" applyAlignment="1">
      <alignment horizontal="left" vertical="center"/>
    </xf>
    <xf numFmtId="0" fontId="11" fillId="0" borderId="12" xfId="3" applyFont="1" applyBorder="1" applyAlignment="1">
      <alignment horizontal="center" vertical="center"/>
    </xf>
    <xf numFmtId="0" fontId="11" fillId="0" borderId="13" xfId="3" applyFont="1" applyBorder="1" applyAlignment="1">
      <alignment horizontal="center" vertical="center"/>
    </xf>
    <xf numFmtId="0" fontId="11" fillId="0" borderId="14" xfId="3" applyFont="1" applyBorder="1" applyAlignment="1">
      <alignment horizontal="center" vertical="center"/>
    </xf>
    <xf numFmtId="0" fontId="11" fillId="0" borderId="2" xfId="3" applyFont="1" applyBorder="1" applyAlignment="1">
      <alignment horizontal="center" vertical="center"/>
    </xf>
    <xf numFmtId="0" fontId="11" fillId="0" borderId="32" xfId="3" applyFont="1" applyBorder="1" applyAlignment="1">
      <alignment horizontal="center" vertical="center"/>
    </xf>
    <xf numFmtId="0" fontId="11" fillId="0" borderId="6" xfId="3" applyFont="1" applyBorder="1" applyAlignment="1">
      <alignment horizontal="center" vertical="center"/>
    </xf>
    <xf numFmtId="165" fontId="10" fillId="0" borderId="2" xfId="3" applyNumberFormat="1" applyFont="1" applyBorder="1" applyAlignment="1">
      <alignment horizontal="center" vertical="center"/>
    </xf>
    <xf numFmtId="165" fontId="10" fillId="0" borderId="32" xfId="3" applyNumberFormat="1" applyFont="1" applyBorder="1" applyAlignment="1">
      <alignment horizontal="center" vertical="center"/>
    </xf>
    <xf numFmtId="10" fontId="10" fillId="0" borderId="1" xfId="2" applyNumberFormat="1" applyFont="1" applyBorder="1" applyAlignment="1">
      <alignment horizontal="center" vertical="center"/>
    </xf>
    <xf numFmtId="0" fontId="10" fillId="0" borderId="1" xfId="3" applyFont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11" fillId="0" borderId="18" xfId="3" applyFont="1" applyBorder="1" applyAlignment="1">
      <alignment horizontal="center" vertical="center"/>
    </xf>
    <xf numFmtId="0" fontId="11" fillId="0" borderId="19" xfId="3" applyFont="1" applyBorder="1" applyAlignment="1">
      <alignment horizontal="center" vertical="center"/>
    </xf>
    <xf numFmtId="0" fontId="11" fillId="0" borderId="20" xfId="3" applyFont="1" applyBorder="1" applyAlignment="1">
      <alignment horizontal="center" vertical="center"/>
    </xf>
    <xf numFmtId="0" fontId="11" fillId="0" borderId="12" xfId="3" applyFont="1" applyBorder="1" applyAlignment="1">
      <alignment horizontal="center" vertical="center" wrapText="1"/>
    </xf>
    <xf numFmtId="0" fontId="11" fillId="0" borderId="33" xfId="3" applyFont="1" applyBorder="1" applyAlignment="1">
      <alignment horizontal="center" vertical="center" wrapText="1"/>
    </xf>
    <xf numFmtId="0" fontId="11" fillId="0" borderId="6" xfId="3" applyFont="1" applyBorder="1" applyAlignment="1">
      <alignment horizontal="center" vertical="center" wrapText="1"/>
    </xf>
    <xf numFmtId="166" fontId="11" fillId="0" borderId="0" xfId="4" applyNumberFormat="1" applyFont="1" applyBorder="1"/>
    <xf numFmtId="2" fontId="10" fillId="0" borderId="0" xfId="3" applyNumberFormat="1" applyFont="1"/>
    <xf numFmtId="0" fontId="10" fillId="0" borderId="0" xfId="3" applyFont="1" applyAlignment="1">
      <alignment horizontal="center"/>
    </xf>
    <xf numFmtId="0" fontId="10" fillId="0" borderId="0" xfId="3" applyFont="1" applyAlignment="1">
      <alignment horizontal="left" indent="1"/>
    </xf>
    <xf numFmtId="0" fontId="10" fillId="0" borderId="6" xfId="3" applyFont="1" applyBorder="1"/>
    <xf numFmtId="165" fontId="11" fillId="0" borderId="6" xfId="3" applyNumberFormat="1" applyFont="1" applyBorder="1" applyAlignment="1">
      <alignment horizontal="center" vertical="center"/>
    </xf>
    <xf numFmtId="164" fontId="11" fillId="0" borderId="0" xfId="4" applyFont="1" applyBorder="1"/>
    <xf numFmtId="164" fontId="12" fillId="7" borderId="13" xfId="4" applyFont="1" applyFill="1" applyBorder="1"/>
    <xf numFmtId="164" fontId="12" fillId="7" borderId="1" xfId="4" applyFont="1" applyFill="1" applyBorder="1"/>
    <xf numFmtId="164" fontId="11" fillId="0" borderId="36" xfId="4" applyFont="1" applyBorder="1"/>
    <xf numFmtId="164" fontId="11" fillId="0" borderId="37" xfId="4" applyFont="1" applyBorder="1"/>
    <xf numFmtId="165" fontId="11" fillId="0" borderId="1" xfId="3" applyNumberFormat="1" applyFont="1" applyBorder="1" applyAlignment="1">
      <alignment horizontal="center" vertical="center"/>
    </xf>
    <xf numFmtId="164" fontId="11" fillId="0" borderId="5" xfId="4" applyFont="1" applyBorder="1"/>
    <xf numFmtId="164" fontId="12" fillId="7" borderId="1" xfId="3" applyNumberFormat="1" applyFont="1" applyFill="1" applyBorder="1"/>
    <xf numFmtId="0" fontId="12" fillId="7" borderId="1" xfId="3" applyFont="1" applyFill="1" applyBorder="1"/>
    <xf numFmtId="164" fontId="12" fillId="7" borderId="5" xfId="4" applyFont="1" applyFill="1" applyBorder="1"/>
    <xf numFmtId="164" fontId="12" fillId="7" borderId="12" xfId="4" applyFont="1" applyFill="1" applyBorder="1"/>
    <xf numFmtId="164" fontId="10" fillId="0" borderId="1" xfId="3" applyNumberFormat="1" applyFont="1" applyBorder="1"/>
    <xf numFmtId="3" fontId="18" fillId="0" borderId="1" xfId="3" applyNumberFormat="1" applyFont="1" applyBorder="1" applyAlignment="1">
      <alignment horizontal="left" vertical="center" wrapText="1" indent="1"/>
    </xf>
    <xf numFmtId="3" fontId="18" fillId="0" borderId="1" xfId="3" applyNumberFormat="1" applyFont="1" applyBorder="1" applyAlignment="1">
      <alignment horizontal="left" vertical="center" indent="1"/>
    </xf>
    <xf numFmtId="0" fontId="3" fillId="4" borderId="1" xfId="0" applyFont="1" applyFill="1" applyBorder="1" applyAlignment="1">
      <alignment vertical="center"/>
    </xf>
    <xf numFmtId="10" fontId="10" fillId="0" borderId="1" xfId="2" applyNumberFormat="1" applyFont="1" applyBorder="1"/>
    <xf numFmtId="164" fontId="11" fillId="0" borderId="5" xfId="4" applyFont="1" applyFill="1" applyBorder="1"/>
    <xf numFmtId="164" fontId="11" fillId="0" borderId="1" xfId="4" applyFont="1" applyFill="1" applyBorder="1"/>
    <xf numFmtId="164" fontId="11" fillId="0" borderId="12" xfId="4" applyFont="1" applyFill="1" applyBorder="1"/>
    <xf numFmtId="10" fontId="10" fillId="7" borderId="1" xfId="2" applyNumberFormat="1" applyFont="1" applyFill="1" applyBorder="1"/>
    <xf numFmtId="0" fontId="11" fillId="0" borderId="8" xfId="3" applyFont="1" applyBorder="1" applyAlignment="1">
      <alignment horizontal="center" vertical="center"/>
    </xf>
    <xf numFmtId="0" fontId="11" fillId="0" borderId="7" xfId="3" applyFont="1" applyBorder="1" applyAlignment="1">
      <alignment horizontal="center" vertical="center"/>
    </xf>
    <xf numFmtId="0" fontId="11" fillId="0" borderId="3" xfId="3" applyFont="1" applyBorder="1" applyAlignment="1">
      <alignment horizontal="center" vertical="center"/>
    </xf>
    <xf numFmtId="0" fontId="11" fillId="0" borderId="5" xfId="3" applyFont="1" applyBorder="1" applyAlignment="1">
      <alignment horizontal="center" vertical="center"/>
    </xf>
    <xf numFmtId="0" fontId="11" fillId="0" borderId="15" xfId="3" applyFont="1" applyBorder="1" applyAlignment="1">
      <alignment horizontal="center" vertical="center"/>
    </xf>
    <xf numFmtId="0" fontId="11" fillId="0" borderId="16" xfId="3" applyFont="1" applyBorder="1" applyAlignment="1">
      <alignment horizontal="center" vertical="center"/>
    </xf>
    <xf numFmtId="0" fontId="11" fillId="0" borderId="16" xfId="3" applyFont="1" applyBorder="1" applyAlignment="1">
      <alignment horizontal="center" vertical="center" wrapText="1"/>
    </xf>
    <xf numFmtId="166" fontId="12" fillId="0" borderId="0" xfId="4" applyNumberFormat="1" applyFont="1" applyFill="1" applyBorder="1"/>
    <xf numFmtId="2" fontId="12" fillId="0" borderId="0" xfId="3" applyNumberFormat="1" applyFont="1"/>
    <xf numFmtId="0" fontId="12" fillId="0" borderId="0" xfId="3" applyFont="1" applyAlignment="1">
      <alignment horizontal="center"/>
    </xf>
    <xf numFmtId="164" fontId="12" fillId="0" borderId="0" xfId="3" applyNumberFormat="1" applyFont="1"/>
    <xf numFmtId="164" fontId="12" fillId="0" borderId="0" xfId="4" applyFont="1" applyFill="1" applyBorder="1"/>
    <xf numFmtId="165" fontId="12" fillId="7" borderId="1" xfId="3" applyNumberFormat="1" applyFont="1" applyFill="1" applyBorder="1"/>
    <xf numFmtId="166" fontId="12" fillId="7" borderId="1" xfId="4" applyNumberFormat="1" applyFont="1" applyFill="1" applyBorder="1"/>
    <xf numFmtId="165" fontId="10" fillId="0" borderId="13" xfId="4" applyNumberFormat="1" applyFont="1" applyBorder="1"/>
    <xf numFmtId="165" fontId="10" fillId="0" borderId="1" xfId="3" applyNumberFormat="1" applyFont="1" applyBorder="1" applyAlignment="1">
      <alignment horizontal="center" vertical="center"/>
    </xf>
    <xf numFmtId="165" fontId="10" fillId="0" borderId="13" xfId="3" applyNumberFormat="1" applyFont="1" applyBorder="1" applyAlignment="1">
      <alignment horizontal="center" vertical="center"/>
    </xf>
    <xf numFmtId="0" fontId="11" fillId="0" borderId="5" xfId="3" applyFont="1" applyBorder="1" applyAlignment="1">
      <alignment horizontal="center" vertical="center" wrapText="1"/>
    </xf>
    <xf numFmtId="0" fontId="10" fillId="0" borderId="0" xfId="3" applyFont="1" applyAlignment="1">
      <alignment vertical="center"/>
    </xf>
    <xf numFmtId="166" fontId="11" fillId="0" borderId="0" xfId="4" applyNumberFormat="1" applyFont="1" applyAlignment="1">
      <alignment vertical="center"/>
    </xf>
    <xf numFmtId="164" fontId="15" fillId="0" borderId="0" xfId="4" applyFont="1" applyBorder="1" applyAlignment="1">
      <alignment vertical="center"/>
    </xf>
    <xf numFmtId="0" fontId="14" fillId="0" borderId="0" xfId="3" applyFont="1" applyAlignment="1">
      <alignment vertical="center"/>
    </xf>
    <xf numFmtId="0" fontId="11" fillId="0" borderId="0" xfId="3" applyFont="1" applyAlignment="1">
      <alignment vertical="center"/>
    </xf>
    <xf numFmtId="165" fontId="11" fillId="0" borderId="0" xfId="3" applyNumberFormat="1" applyFont="1" applyAlignment="1">
      <alignment vertical="center"/>
    </xf>
    <xf numFmtId="0" fontId="10" fillId="13" borderId="12" xfId="3" applyFont="1" applyFill="1" applyBorder="1" applyAlignment="1">
      <alignment vertical="center"/>
    </xf>
    <xf numFmtId="0" fontId="11" fillId="13" borderId="1" xfId="3" applyFont="1" applyFill="1" applyBorder="1" applyAlignment="1">
      <alignment vertical="center"/>
    </xf>
    <xf numFmtId="0" fontId="11" fillId="13" borderId="3" xfId="3" applyFont="1" applyFill="1" applyBorder="1" applyAlignment="1">
      <alignment vertical="center"/>
    </xf>
    <xf numFmtId="0" fontId="11" fillId="10" borderId="1" xfId="3" applyFont="1" applyFill="1" applyBorder="1" applyAlignment="1">
      <alignment vertical="center"/>
    </xf>
    <xf numFmtId="0" fontId="10" fillId="10" borderId="1" xfId="3" applyFont="1" applyFill="1" applyBorder="1" applyAlignment="1">
      <alignment vertical="center"/>
    </xf>
    <xf numFmtId="0" fontId="10" fillId="14" borderId="1" xfId="3" applyFont="1" applyFill="1" applyBorder="1" applyAlignment="1">
      <alignment vertical="center"/>
    </xf>
    <xf numFmtId="0" fontId="11" fillId="14" borderId="1" xfId="3" applyFont="1" applyFill="1" applyBorder="1" applyAlignment="1">
      <alignment vertical="center"/>
    </xf>
    <xf numFmtId="164" fontId="15" fillId="7" borderId="1" xfId="4" applyFont="1" applyFill="1" applyBorder="1" applyAlignment="1">
      <alignment vertical="center"/>
    </xf>
    <xf numFmtId="0" fontId="15" fillId="0" borderId="28" xfId="3" applyFont="1" applyBorder="1" applyAlignment="1">
      <alignment vertical="center"/>
    </xf>
    <xf numFmtId="164" fontId="14" fillId="7" borderId="1" xfId="4" applyFont="1" applyFill="1" applyBorder="1" applyAlignment="1">
      <alignment vertical="center"/>
    </xf>
    <xf numFmtId="0" fontId="14" fillId="0" borderId="39" xfId="3" applyFont="1" applyBorder="1" applyAlignment="1">
      <alignment horizontal="left" vertical="center" indent="1"/>
    </xf>
    <xf numFmtId="9" fontId="15" fillId="0" borderId="1" xfId="5" applyFont="1" applyBorder="1" applyAlignment="1">
      <alignment horizontal="center" vertical="center"/>
    </xf>
    <xf numFmtId="164" fontId="14" fillId="0" borderId="1" xfId="4" applyFont="1" applyBorder="1" applyAlignment="1">
      <alignment vertical="center"/>
    </xf>
    <xf numFmtId="164" fontId="14" fillId="0" borderId="0" xfId="4" applyFont="1" applyBorder="1" applyAlignment="1">
      <alignment vertical="center"/>
    </xf>
    <xf numFmtId="0" fontId="14" fillId="0" borderId="0" xfId="3" applyFont="1" applyAlignment="1">
      <alignment horizontal="left" vertical="center" indent="1"/>
    </xf>
    <xf numFmtId="9" fontId="15" fillId="0" borderId="2" xfId="5" applyFont="1" applyBorder="1" applyAlignment="1">
      <alignment vertical="center"/>
    </xf>
    <xf numFmtId="164" fontId="14" fillId="0" borderId="1" xfId="4" applyFont="1" applyBorder="1" applyAlignment="1">
      <alignment horizontal="center" vertical="center"/>
    </xf>
    <xf numFmtId="9" fontId="15" fillId="0" borderId="6" xfId="5" applyFont="1" applyBorder="1" applyAlignment="1">
      <alignment vertical="center"/>
    </xf>
    <xf numFmtId="0" fontId="14" fillId="0" borderId="40" xfId="3" applyFont="1" applyBorder="1" applyAlignment="1">
      <alignment horizontal="left" vertical="center" indent="1"/>
    </xf>
    <xf numFmtId="165" fontId="15" fillId="13" borderId="1" xfId="0" applyNumberFormat="1" applyFont="1" applyFill="1" applyBorder="1" applyAlignment="1">
      <alignment horizontal="center" vertical="center"/>
    </xf>
    <xf numFmtId="165" fontId="15" fillId="10" borderId="1" xfId="0" applyNumberFormat="1" applyFont="1" applyFill="1" applyBorder="1" applyAlignment="1">
      <alignment horizontal="center" vertical="center"/>
    </xf>
    <xf numFmtId="165" fontId="15" fillId="14" borderId="1" xfId="3" applyNumberFormat="1" applyFont="1" applyFill="1" applyBorder="1" applyAlignment="1">
      <alignment horizontal="center" vertical="center"/>
    </xf>
    <xf numFmtId="0" fontId="15" fillId="14" borderId="1" xfId="3" applyFont="1" applyFill="1" applyBorder="1" applyAlignment="1">
      <alignment horizontal="center" vertical="center"/>
    </xf>
    <xf numFmtId="0" fontId="15" fillId="0" borderId="28" xfId="0" applyFont="1" applyBorder="1" applyAlignment="1">
      <alignment horizontal="left" vertical="center"/>
    </xf>
    <xf numFmtId="166" fontId="11" fillId="0" borderId="29" xfId="4" applyNumberFormat="1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/>
    </xf>
    <xf numFmtId="0" fontId="15" fillId="13" borderId="1" xfId="3" applyFont="1" applyFill="1" applyBorder="1" applyAlignment="1">
      <alignment horizontal="center" vertical="center"/>
    </xf>
    <xf numFmtId="0" fontId="15" fillId="10" borderId="1" xfId="3" applyFont="1" applyFill="1" applyBorder="1" applyAlignment="1">
      <alignment horizontal="center" vertical="center"/>
    </xf>
    <xf numFmtId="164" fontId="14" fillId="14" borderId="1" xfId="4" applyFont="1" applyFill="1" applyBorder="1" applyAlignment="1">
      <alignment horizontal="center" vertical="center"/>
    </xf>
    <xf numFmtId="165" fontId="15" fillId="7" borderId="1" xfId="3" applyNumberFormat="1" applyFont="1" applyFill="1" applyBorder="1" applyAlignment="1">
      <alignment horizontal="center" vertical="center"/>
    </xf>
    <xf numFmtId="0" fontId="15" fillId="7" borderId="1" xfId="3" applyFont="1" applyFill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166" fontId="11" fillId="0" borderId="23" xfId="4" applyNumberFormat="1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5" fillId="0" borderId="0" xfId="3" applyFont="1" applyAlignment="1">
      <alignment vertical="center"/>
    </xf>
    <xf numFmtId="166" fontId="15" fillId="0" borderId="0" xfId="4" applyNumberFormat="1" applyFont="1" applyAlignment="1">
      <alignment vertical="center"/>
    </xf>
    <xf numFmtId="165" fontId="2" fillId="4" borderId="1" xfId="0" applyNumberFormat="1" applyFont="1" applyFill="1" applyBorder="1" applyAlignment="1">
      <alignment vertical="center"/>
    </xf>
    <xf numFmtId="0" fontId="2" fillId="0" borderId="1" xfId="3" applyFont="1" applyBorder="1" applyAlignment="1">
      <alignment horizontal="center" vertical="center"/>
    </xf>
    <xf numFmtId="0" fontId="10" fillId="4" borderId="1" xfId="3" applyFont="1" applyFill="1" applyBorder="1" applyAlignment="1">
      <alignment horizontal="center" vertical="center"/>
    </xf>
    <xf numFmtId="0" fontId="10" fillId="4" borderId="1" xfId="3" applyFont="1" applyFill="1" applyBorder="1" applyAlignment="1">
      <alignment horizontal="center"/>
    </xf>
    <xf numFmtId="0" fontId="10" fillId="4" borderId="1" xfId="3" applyFont="1" applyFill="1" applyBorder="1" applyAlignment="1">
      <alignment horizontal="left" indent="1"/>
    </xf>
    <xf numFmtId="165" fontId="2" fillId="7" borderId="1" xfId="1" applyNumberFormat="1" applyFont="1" applyFill="1" applyBorder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6" fillId="11" borderId="47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65" fontId="2" fillId="0" borderId="0" xfId="1" applyNumberFormat="1" applyFont="1" applyBorder="1" applyAlignment="1">
      <alignment horizontal="center"/>
    </xf>
    <xf numFmtId="0" fontId="6" fillId="3" borderId="10" xfId="0" applyFont="1" applyFill="1" applyBorder="1" applyAlignment="1">
      <alignment horizontal="center" vertical="center"/>
    </xf>
    <xf numFmtId="3" fontId="3" fillId="0" borderId="1" xfId="3" applyNumberFormat="1" applyFont="1" applyBorder="1" applyAlignment="1">
      <alignment horizontal="center" vertical="center"/>
    </xf>
    <xf numFmtId="3" fontId="3" fillId="0" borderId="1" xfId="3" applyNumberFormat="1" applyFont="1" applyBorder="1" applyAlignment="1">
      <alignment horizontal="center" vertical="center" wrapText="1"/>
    </xf>
    <xf numFmtId="165" fontId="2" fillId="5" borderId="0" xfId="0" applyNumberFormat="1" applyFont="1" applyFill="1"/>
    <xf numFmtId="165" fontId="2" fillId="0" borderId="0" xfId="1" applyNumberFormat="1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165" fontId="2" fillId="0" borderId="1" xfId="1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165" fontId="2" fillId="4" borderId="1" xfId="1" applyNumberFormat="1" applyFont="1" applyFill="1" applyBorder="1" applyAlignment="1">
      <alignment horizontal="left" vertical="center"/>
    </xf>
    <xf numFmtId="165" fontId="6" fillId="0" borderId="1" xfId="1" applyNumberFormat="1" applyFont="1" applyBorder="1" applyAlignment="1">
      <alignment horizontal="left" vertical="center"/>
    </xf>
    <xf numFmtId="0" fontId="6" fillId="11" borderId="9" xfId="0" applyFont="1" applyFill="1" applyBorder="1" applyAlignment="1">
      <alignment horizontal="left" vertical="center"/>
    </xf>
    <xf numFmtId="0" fontId="6" fillId="11" borderId="7" xfId="0" applyFont="1" applyFill="1" applyBorder="1" applyAlignment="1">
      <alignment horizontal="left" vertical="center"/>
    </xf>
    <xf numFmtId="165" fontId="2" fillId="4" borderId="1" xfId="0" applyNumberFormat="1" applyFont="1" applyFill="1" applyBorder="1" applyAlignment="1">
      <alignment horizontal="left" vertical="center"/>
    </xf>
    <xf numFmtId="0" fontId="6" fillId="11" borderId="37" xfId="0" applyFont="1" applyFill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165" fontId="6" fillId="7" borderId="1" xfId="0" applyNumberFormat="1" applyFont="1" applyFill="1" applyBorder="1" applyAlignment="1">
      <alignment horizontal="center" vertical="center"/>
    </xf>
    <xf numFmtId="0" fontId="2" fillId="0" borderId="37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165" fontId="2" fillId="0" borderId="2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5" borderId="0" xfId="0" applyFont="1" applyFill="1"/>
    <xf numFmtId="0" fontId="21" fillId="0" borderId="1" xfId="0" applyFont="1" applyBorder="1" applyAlignment="1">
      <alignment horizontal="center" vertical="center" wrapText="1"/>
    </xf>
    <xf numFmtId="0" fontId="21" fillId="3" borderId="10" xfId="0" applyFont="1" applyFill="1" applyBorder="1" applyAlignment="1">
      <alignment horizontal="center" vertical="center"/>
    </xf>
    <xf numFmtId="0" fontId="21" fillId="3" borderId="6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 wrapText="1"/>
    </xf>
    <xf numFmtId="165" fontId="6" fillId="4" borderId="1" xfId="0" applyNumberFormat="1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165" fontId="2" fillId="0" borderId="0" xfId="6" applyNumberFormat="1" applyFont="1" applyAlignment="1">
      <alignment horizontal="center" vertical="center"/>
    </xf>
    <xf numFmtId="165" fontId="6" fillId="0" borderId="0" xfId="6" applyNumberFormat="1" applyFont="1" applyAlignment="1">
      <alignment horizontal="center" vertical="center"/>
    </xf>
    <xf numFmtId="165" fontId="6" fillId="0" borderId="5" xfId="6" applyNumberFormat="1" applyFont="1" applyBorder="1" applyAlignment="1">
      <alignment horizontal="center" vertical="center"/>
    </xf>
    <xf numFmtId="165" fontId="6" fillId="0" borderId="0" xfId="6" applyNumberFormat="1" applyFont="1" applyFill="1" applyBorder="1" applyAlignment="1">
      <alignment horizontal="center" vertical="center"/>
    </xf>
    <xf numFmtId="165" fontId="6" fillId="7" borderId="13" xfId="6" applyNumberFormat="1" applyFont="1" applyFill="1" applyBorder="1" applyAlignment="1">
      <alignment horizontal="center" vertical="center"/>
    </xf>
    <xf numFmtId="165" fontId="6" fillId="7" borderId="1" xfId="6" applyNumberFormat="1" applyFont="1" applyFill="1" applyBorder="1" applyAlignment="1">
      <alignment horizontal="center" vertical="center"/>
    </xf>
    <xf numFmtId="165" fontId="6" fillId="7" borderId="12" xfId="6" applyNumberFormat="1" applyFont="1" applyFill="1" applyBorder="1" applyAlignment="1">
      <alignment horizontal="center" vertical="center"/>
    </xf>
    <xf numFmtId="165" fontId="6" fillId="10" borderId="13" xfId="6" applyNumberFormat="1" applyFont="1" applyFill="1" applyBorder="1" applyAlignment="1">
      <alignment horizontal="center" vertical="center"/>
    </xf>
    <xf numFmtId="165" fontId="6" fillId="10" borderId="1" xfId="6" applyNumberFormat="1" applyFont="1" applyFill="1" applyBorder="1" applyAlignment="1">
      <alignment horizontal="center" vertical="center"/>
    </xf>
    <xf numFmtId="0" fontId="7" fillId="0" borderId="5" xfId="7" applyFont="1" applyBorder="1" applyAlignment="1">
      <alignment horizontal="left" vertical="center"/>
    </xf>
    <xf numFmtId="0" fontId="22" fillId="0" borderId="5" xfId="7" applyFont="1" applyBorder="1" applyAlignment="1">
      <alignment horizontal="left" vertical="center"/>
    </xf>
    <xf numFmtId="165" fontId="2" fillId="0" borderId="0" xfId="6" applyNumberFormat="1" applyFont="1" applyBorder="1" applyAlignment="1">
      <alignment horizontal="center" vertical="center"/>
    </xf>
    <xf numFmtId="165" fontId="2" fillId="0" borderId="0" xfId="6" applyNumberFormat="1" applyFont="1" applyFill="1" applyBorder="1" applyAlignment="1">
      <alignment horizontal="center" vertical="center"/>
    </xf>
    <xf numFmtId="9" fontId="6" fillId="0" borderId="0" xfId="8" applyFont="1" applyFill="1" applyBorder="1" applyAlignment="1">
      <alignment horizontal="center" vertical="center"/>
    </xf>
    <xf numFmtId="165" fontId="2" fillId="0" borderId="5" xfId="6" applyNumberFormat="1" applyFont="1" applyBorder="1" applyAlignment="1">
      <alignment horizontal="center" vertical="center"/>
    </xf>
    <xf numFmtId="165" fontId="6" fillId="0" borderId="0" xfId="6" applyNumberFormat="1" applyFont="1" applyBorder="1" applyAlignment="1">
      <alignment horizontal="center" vertical="center"/>
    </xf>
    <xf numFmtId="9" fontId="7" fillId="7" borderId="13" xfId="8" applyFont="1" applyFill="1" applyBorder="1" applyAlignment="1">
      <alignment vertical="center"/>
    </xf>
    <xf numFmtId="9" fontId="7" fillId="7" borderId="1" xfId="8" applyFont="1" applyFill="1" applyBorder="1" applyAlignment="1">
      <alignment vertical="center"/>
    </xf>
    <xf numFmtId="9" fontId="7" fillId="7" borderId="12" xfId="8" applyFont="1" applyFill="1" applyBorder="1" applyAlignment="1">
      <alignment vertical="center"/>
    </xf>
    <xf numFmtId="9" fontId="22" fillId="7" borderId="17" xfId="8" applyFont="1" applyFill="1" applyBorder="1" applyAlignment="1">
      <alignment vertical="center"/>
    </xf>
    <xf numFmtId="9" fontId="22" fillId="7" borderId="16" xfId="8" applyFont="1" applyFill="1" applyBorder="1" applyAlignment="1">
      <alignment vertical="center"/>
    </xf>
    <xf numFmtId="9" fontId="22" fillId="7" borderId="15" xfId="8" applyFont="1" applyFill="1" applyBorder="1" applyAlignment="1">
      <alignment vertical="center"/>
    </xf>
    <xf numFmtId="165" fontId="23" fillId="0" borderId="0" xfId="6" applyNumberFormat="1" applyFont="1" applyAlignment="1">
      <alignment horizontal="center" vertical="center"/>
    </xf>
    <xf numFmtId="165" fontId="6" fillId="0" borderId="20" xfId="6" applyNumberFormat="1" applyFont="1" applyBorder="1" applyAlignment="1">
      <alignment horizontal="center" vertical="center"/>
    </xf>
    <xf numFmtId="165" fontId="6" fillId="0" borderId="19" xfId="6" applyNumberFormat="1" applyFont="1" applyBorder="1" applyAlignment="1">
      <alignment horizontal="center" vertical="center"/>
    </xf>
    <xf numFmtId="165" fontId="6" fillId="0" borderId="9" xfId="6" applyNumberFormat="1" applyFont="1" applyBorder="1" applyAlignment="1">
      <alignment horizontal="center" vertical="center" wrapText="1"/>
    </xf>
    <xf numFmtId="165" fontId="6" fillId="0" borderId="15" xfId="6" applyNumberFormat="1" applyFont="1" applyBorder="1" applyAlignment="1">
      <alignment horizontal="center" vertical="center" wrapText="1"/>
    </xf>
    <xf numFmtId="165" fontId="6" fillId="0" borderId="17" xfId="6" applyNumberFormat="1" applyFont="1" applyBorder="1" applyAlignment="1">
      <alignment horizontal="center" vertical="center"/>
    </xf>
    <xf numFmtId="165" fontId="6" fillId="0" borderId="16" xfId="6" applyNumberFormat="1" applyFont="1" applyBorder="1" applyAlignment="1">
      <alignment horizontal="center" vertical="center"/>
    </xf>
    <xf numFmtId="165" fontId="6" fillId="0" borderId="15" xfId="6" applyNumberFormat="1" applyFont="1" applyBorder="1" applyAlignment="1">
      <alignment horizontal="center" vertical="center"/>
    </xf>
    <xf numFmtId="0" fontId="6" fillId="0" borderId="15" xfId="9" applyFont="1" applyBorder="1" applyAlignment="1">
      <alignment horizontal="center" vertical="center" wrapText="1"/>
    </xf>
    <xf numFmtId="165" fontId="6" fillId="0" borderId="1" xfId="6" applyNumberFormat="1" applyFont="1" applyBorder="1" applyAlignment="1">
      <alignment horizontal="center" vertical="center"/>
    </xf>
    <xf numFmtId="165" fontId="6" fillId="0" borderId="32" xfId="6" applyNumberFormat="1" applyFont="1" applyBorder="1" applyAlignment="1">
      <alignment horizontal="center" vertical="center"/>
    </xf>
    <xf numFmtId="165" fontId="6" fillId="0" borderId="2" xfId="6" applyNumberFormat="1" applyFont="1" applyBorder="1" applyAlignment="1">
      <alignment horizontal="center" vertical="center"/>
    </xf>
    <xf numFmtId="165" fontId="6" fillId="0" borderId="14" xfId="6" applyNumberFormat="1" applyFont="1" applyBorder="1" applyAlignment="1">
      <alignment horizontal="center" vertical="center"/>
    </xf>
    <xf numFmtId="165" fontId="2" fillId="4" borderId="1" xfId="6" applyNumberFormat="1" applyFont="1" applyFill="1" applyBorder="1" applyAlignment="1">
      <alignment horizontal="center" vertical="center"/>
    </xf>
    <xf numFmtId="165" fontId="2" fillId="4" borderId="1" xfId="6" applyNumberFormat="1" applyFont="1" applyFill="1" applyBorder="1" applyAlignment="1">
      <alignment horizontal="left" vertical="center"/>
    </xf>
    <xf numFmtId="165" fontId="2" fillId="0" borderId="1" xfId="6" applyNumberFormat="1" applyFont="1" applyBorder="1" applyAlignment="1">
      <alignment horizontal="left" vertical="center"/>
    </xf>
    <xf numFmtId="165" fontId="2" fillId="0" borderId="1" xfId="6" applyNumberFormat="1" applyFont="1" applyBorder="1" applyAlignment="1">
      <alignment horizontal="center" vertical="center"/>
    </xf>
    <xf numFmtId="10" fontId="2" fillId="0" borderId="1" xfId="8" applyNumberFormat="1" applyFont="1" applyBorder="1" applyAlignment="1">
      <alignment horizontal="center" vertical="center"/>
    </xf>
    <xf numFmtId="165" fontId="6" fillId="0" borderId="13" xfId="6" applyNumberFormat="1" applyFont="1" applyBorder="1" applyAlignment="1">
      <alignment horizontal="center" vertical="center"/>
    </xf>
    <xf numFmtId="165" fontId="2" fillId="0" borderId="1" xfId="6" applyNumberFormat="1" applyFont="1" applyFill="1" applyBorder="1" applyAlignment="1">
      <alignment horizontal="center" vertical="center"/>
    </xf>
    <xf numFmtId="165" fontId="2" fillId="0" borderId="13" xfId="6" applyNumberFormat="1" applyFont="1" applyBorder="1" applyAlignment="1">
      <alignment horizontal="center" vertical="center"/>
    </xf>
    <xf numFmtId="9" fontId="2" fillId="0" borderId="12" xfId="8" applyFont="1" applyBorder="1" applyAlignment="1">
      <alignment horizontal="center" vertical="center"/>
    </xf>
    <xf numFmtId="165" fontId="2" fillId="0" borderId="3" xfId="6" applyNumberFormat="1" applyFont="1" applyBorder="1" applyAlignment="1">
      <alignment horizontal="center" vertical="center"/>
    </xf>
    <xf numFmtId="165" fontId="2" fillId="4" borderId="1" xfId="6" applyNumberFormat="1" applyFont="1" applyFill="1" applyBorder="1" applyAlignment="1">
      <alignment vertical="center"/>
    </xf>
    <xf numFmtId="165" fontId="2" fillId="0" borderId="1" xfId="6" applyNumberFormat="1" applyFont="1" applyBorder="1" applyAlignment="1">
      <alignment vertical="center"/>
    </xf>
    <xf numFmtId="9" fontId="2" fillId="0" borderId="1" xfId="8" applyFont="1" applyBorder="1" applyAlignment="1">
      <alignment horizontal="center" vertical="center"/>
    </xf>
    <xf numFmtId="165" fontId="6" fillId="0" borderId="12" xfId="6" applyNumberFormat="1" applyFont="1" applyBorder="1" applyAlignment="1">
      <alignment horizontal="center" vertical="center"/>
    </xf>
    <xf numFmtId="165" fontId="6" fillId="7" borderId="5" xfId="6" applyNumberFormat="1" applyFont="1" applyFill="1" applyBorder="1" applyAlignment="1">
      <alignment horizontal="center" vertical="center"/>
    </xf>
    <xf numFmtId="165" fontId="6" fillId="7" borderId="17" xfId="6" applyNumberFormat="1" applyFont="1" applyFill="1" applyBorder="1" applyAlignment="1">
      <alignment horizontal="center" vertical="center"/>
    </xf>
    <xf numFmtId="165" fontId="6" fillId="7" borderId="16" xfId="6" applyNumberFormat="1" applyFont="1" applyFill="1" applyBorder="1" applyAlignment="1">
      <alignment horizontal="center" vertical="center"/>
    </xf>
    <xf numFmtId="9" fontId="6" fillId="7" borderId="15" xfId="8" applyFont="1" applyFill="1" applyBorder="1" applyAlignment="1">
      <alignment horizontal="center" vertical="center"/>
    </xf>
    <xf numFmtId="165" fontId="6" fillId="7" borderId="46" xfId="6" applyNumberFormat="1" applyFont="1" applyFill="1" applyBorder="1" applyAlignment="1">
      <alignment horizontal="center" vertical="center"/>
    </xf>
    <xf numFmtId="9" fontId="6" fillId="0" borderId="15" xfId="8" applyFont="1" applyFill="1" applyBorder="1" applyAlignment="1">
      <alignment horizontal="center" vertical="center"/>
    </xf>
    <xf numFmtId="165" fontId="6" fillId="0" borderId="12" xfId="6" applyNumberFormat="1" applyFont="1" applyBorder="1" applyAlignment="1">
      <alignment horizontal="center" vertical="center" wrapText="1"/>
    </xf>
    <xf numFmtId="165" fontId="6" fillId="0" borderId="1" xfId="6" applyNumberFormat="1" applyFont="1" applyBorder="1" applyAlignment="1">
      <alignment horizontal="left" vertical="center"/>
    </xf>
    <xf numFmtId="165" fontId="3" fillId="0" borderId="1" xfId="6" applyNumberFormat="1" applyFont="1" applyBorder="1" applyAlignment="1">
      <alignment horizontal="left" vertical="center"/>
    </xf>
    <xf numFmtId="165" fontId="3" fillId="0" borderId="1" xfId="6" applyNumberFormat="1" applyFont="1" applyBorder="1" applyAlignment="1">
      <alignment horizontal="left" vertical="center" wrapText="1"/>
    </xf>
    <xf numFmtId="165" fontId="6" fillId="0" borderId="41" xfId="6" applyNumberFormat="1" applyFont="1" applyBorder="1" applyAlignment="1">
      <alignment horizontal="center" vertical="center" wrapText="1"/>
    </xf>
    <xf numFmtId="165" fontId="6" fillId="0" borderId="7" xfId="6" applyNumberFormat="1" applyFont="1" applyBorder="1" applyAlignment="1">
      <alignment horizontal="center" vertical="center" wrapText="1"/>
    </xf>
    <xf numFmtId="9" fontId="6" fillId="0" borderId="15" xfId="8" applyFont="1" applyBorder="1" applyAlignment="1">
      <alignment horizontal="center" vertical="center"/>
    </xf>
    <xf numFmtId="0" fontId="4" fillId="0" borderId="0" xfId="11" quotePrefix="1"/>
    <xf numFmtId="0" fontId="2" fillId="0" borderId="6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1" fontId="2" fillId="0" borderId="2" xfId="0" applyNumberFormat="1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65" fontId="2" fillId="15" borderId="0" xfId="0" applyNumberFormat="1" applyFont="1" applyFill="1"/>
    <xf numFmtId="14" fontId="2" fillId="0" borderId="1" xfId="1" applyNumberFormat="1" applyFont="1" applyBorder="1" applyAlignment="1">
      <alignment vertical="center"/>
    </xf>
    <xf numFmtId="165" fontId="2" fillId="4" borderId="4" xfId="0" applyNumberFormat="1" applyFont="1" applyFill="1" applyBorder="1" applyAlignment="1">
      <alignment horizontal="center" vertical="center"/>
    </xf>
    <xf numFmtId="165" fontId="6" fillId="7" borderId="1" xfId="1" applyNumberFormat="1" applyFont="1" applyFill="1" applyBorder="1" applyAlignment="1">
      <alignment horizontal="center" vertical="center"/>
    </xf>
    <xf numFmtId="165" fontId="6" fillId="14" borderId="3" xfId="6" applyNumberFormat="1" applyFont="1" applyFill="1" applyBorder="1" applyAlignment="1">
      <alignment horizontal="center" vertical="center"/>
    </xf>
    <xf numFmtId="165" fontId="6" fillId="14" borderId="1" xfId="6" applyNumberFormat="1" applyFont="1" applyFill="1" applyBorder="1" applyAlignment="1">
      <alignment horizontal="center" vertical="center"/>
    </xf>
    <xf numFmtId="165" fontId="6" fillId="14" borderId="12" xfId="6" applyNumberFormat="1" applyFont="1" applyFill="1" applyBorder="1" applyAlignment="1">
      <alignment horizontal="center" vertical="center"/>
    </xf>
    <xf numFmtId="165" fontId="6" fillId="10" borderId="12" xfId="6" applyNumberFormat="1" applyFont="1" applyFill="1" applyBorder="1" applyAlignment="1">
      <alignment horizontal="center" vertical="center"/>
    </xf>
    <xf numFmtId="0" fontId="8" fillId="16" borderId="13" xfId="9" applyFont="1" applyFill="1" applyBorder="1" applyAlignment="1">
      <alignment horizontal="center" vertical="center"/>
    </xf>
    <xf numFmtId="165" fontId="6" fillId="16" borderId="1" xfId="6" applyNumberFormat="1" applyFont="1" applyFill="1" applyBorder="1" applyAlignment="1">
      <alignment horizontal="center" vertical="center"/>
    </xf>
    <xf numFmtId="165" fontId="6" fillId="16" borderId="12" xfId="6" applyNumberFormat="1" applyFont="1" applyFill="1" applyBorder="1" applyAlignment="1">
      <alignment horizontal="center" vertical="center"/>
    </xf>
    <xf numFmtId="165" fontId="7" fillId="7" borderId="13" xfId="1" applyNumberFormat="1" applyFont="1" applyFill="1" applyBorder="1" applyAlignment="1">
      <alignment vertical="center"/>
    </xf>
    <xf numFmtId="165" fontId="7" fillId="14" borderId="3" xfId="1" applyNumberFormat="1" applyFont="1" applyFill="1" applyBorder="1" applyAlignment="1">
      <alignment vertical="center"/>
    </xf>
    <xf numFmtId="165" fontId="7" fillId="14" borderId="1" xfId="1" applyNumberFormat="1" applyFont="1" applyFill="1" applyBorder="1" applyAlignment="1">
      <alignment vertical="center"/>
    </xf>
    <xf numFmtId="165" fontId="7" fillId="14" borderId="12" xfId="1" applyNumberFormat="1" applyFont="1" applyFill="1" applyBorder="1" applyAlignment="1">
      <alignment vertical="center"/>
    </xf>
    <xf numFmtId="165" fontId="7" fillId="10" borderId="13" xfId="1" applyNumberFormat="1" applyFont="1" applyFill="1" applyBorder="1" applyAlignment="1">
      <alignment horizontal="center" vertical="center"/>
    </xf>
    <xf numFmtId="165" fontId="7" fillId="10" borderId="1" xfId="1" applyNumberFormat="1" applyFont="1" applyFill="1" applyBorder="1" applyAlignment="1">
      <alignment horizontal="center" vertical="center"/>
    </xf>
    <xf numFmtId="165" fontId="7" fillId="10" borderId="12" xfId="1" applyNumberFormat="1" applyFont="1" applyFill="1" applyBorder="1" applyAlignment="1">
      <alignment horizontal="center" vertical="center"/>
    </xf>
    <xf numFmtId="165" fontId="7" fillId="16" borderId="13" xfId="1" applyNumberFormat="1" applyFont="1" applyFill="1" applyBorder="1" applyAlignment="1">
      <alignment horizontal="center" vertical="center"/>
    </xf>
    <xf numFmtId="165" fontId="7" fillId="16" borderId="1" xfId="1" applyNumberFormat="1" applyFont="1" applyFill="1" applyBorder="1" applyAlignment="1">
      <alignment horizontal="center" vertical="center"/>
    </xf>
    <xf numFmtId="165" fontId="7" fillId="16" borderId="12" xfId="1" applyNumberFormat="1" applyFont="1" applyFill="1" applyBorder="1" applyAlignment="1">
      <alignment horizontal="center" vertical="center"/>
    </xf>
    <xf numFmtId="165" fontId="7" fillId="17" borderId="1" xfId="12" applyNumberFormat="1" applyFont="1" applyFill="1" applyBorder="1" applyAlignment="1">
      <alignment vertical="center"/>
    </xf>
    <xf numFmtId="165" fontId="22" fillId="7" borderId="13" xfId="1" applyNumberFormat="1" applyFont="1" applyFill="1" applyBorder="1" applyAlignment="1">
      <alignment vertical="center"/>
    </xf>
    <xf numFmtId="165" fontId="22" fillId="14" borderId="3" xfId="1" applyNumberFormat="1" applyFont="1" applyFill="1" applyBorder="1" applyAlignment="1">
      <alignment vertical="center"/>
    </xf>
    <xf numFmtId="165" fontId="22" fillId="14" borderId="1" xfId="1" applyNumberFormat="1" applyFont="1" applyFill="1" applyBorder="1" applyAlignment="1">
      <alignment vertical="center"/>
    </xf>
    <xf numFmtId="165" fontId="22" fillId="14" borderId="12" xfId="1" applyNumberFormat="1" applyFont="1" applyFill="1" applyBorder="1" applyAlignment="1">
      <alignment vertical="center"/>
    </xf>
    <xf numFmtId="165" fontId="22" fillId="10" borderId="13" xfId="1" applyNumberFormat="1" applyFont="1" applyFill="1" applyBorder="1" applyAlignment="1">
      <alignment horizontal="center" vertical="center"/>
    </xf>
    <xf numFmtId="165" fontId="22" fillId="10" borderId="1" xfId="1" applyNumberFormat="1" applyFont="1" applyFill="1" applyBorder="1" applyAlignment="1">
      <alignment horizontal="center" vertical="center"/>
    </xf>
    <xf numFmtId="165" fontId="22" fillId="10" borderId="12" xfId="1" applyNumberFormat="1" applyFont="1" applyFill="1" applyBorder="1" applyAlignment="1">
      <alignment horizontal="center" vertical="center"/>
    </xf>
    <xf numFmtId="165" fontId="22" fillId="16" borderId="13" xfId="1" applyNumberFormat="1" applyFont="1" applyFill="1" applyBorder="1" applyAlignment="1">
      <alignment horizontal="center" vertical="center"/>
    </xf>
    <xf numFmtId="165" fontId="22" fillId="16" borderId="1" xfId="1" applyNumberFormat="1" applyFont="1" applyFill="1" applyBorder="1" applyAlignment="1">
      <alignment horizontal="center" vertical="center"/>
    </xf>
    <xf numFmtId="165" fontId="22" fillId="16" borderId="12" xfId="1" applyNumberFormat="1" applyFont="1" applyFill="1" applyBorder="1" applyAlignment="1">
      <alignment horizontal="center" vertical="center"/>
    </xf>
    <xf numFmtId="165" fontId="22" fillId="17" borderId="1" xfId="9" applyNumberFormat="1" applyFont="1" applyFill="1" applyBorder="1" applyAlignment="1">
      <alignment vertical="center"/>
    </xf>
    <xf numFmtId="10" fontId="6" fillId="0" borderId="1" xfId="1" applyNumberFormat="1" applyFont="1" applyBorder="1" applyAlignment="1">
      <alignment horizontal="center" vertical="center"/>
    </xf>
    <xf numFmtId="165" fontId="2" fillId="7" borderId="13" xfId="1" applyNumberFormat="1" applyFont="1" applyFill="1" applyBorder="1" applyAlignment="1">
      <alignment horizontal="center" vertical="center"/>
    </xf>
    <xf numFmtId="165" fontId="2" fillId="7" borderId="12" xfId="1" applyNumberFormat="1" applyFont="1" applyFill="1" applyBorder="1" applyAlignment="1">
      <alignment horizontal="center" vertical="center"/>
    </xf>
    <xf numFmtId="165" fontId="2" fillId="14" borderId="3" xfId="1" applyNumberFormat="1" applyFont="1" applyFill="1" applyBorder="1" applyAlignment="1">
      <alignment horizontal="center" vertical="center"/>
    </xf>
    <xf numFmtId="165" fontId="2" fillId="14" borderId="1" xfId="1" applyNumberFormat="1" applyFont="1" applyFill="1" applyBorder="1" applyAlignment="1">
      <alignment horizontal="center" vertical="center"/>
    </xf>
    <xf numFmtId="165" fontId="2" fillId="14" borderId="12" xfId="1" applyNumberFormat="1" applyFont="1" applyFill="1" applyBorder="1" applyAlignment="1">
      <alignment horizontal="center" vertical="center"/>
    </xf>
    <xf numFmtId="165" fontId="2" fillId="10" borderId="13" xfId="1" applyNumberFormat="1" applyFont="1" applyFill="1" applyBorder="1" applyAlignment="1">
      <alignment horizontal="center" vertical="center"/>
    </xf>
    <xf numFmtId="165" fontId="2" fillId="10" borderId="1" xfId="1" applyNumberFormat="1" applyFont="1" applyFill="1" applyBorder="1" applyAlignment="1">
      <alignment horizontal="center" vertical="center"/>
    </xf>
    <xf numFmtId="165" fontId="2" fillId="16" borderId="13" xfId="1" applyNumberFormat="1" applyFont="1" applyFill="1" applyBorder="1" applyAlignment="1">
      <alignment horizontal="center" vertical="center"/>
    </xf>
    <xf numFmtId="165" fontId="2" fillId="16" borderId="1" xfId="1" applyNumberFormat="1" applyFont="1" applyFill="1" applyBorder="1" applyAlignment="1">
      <alignment horizontal="center" vertical="center"/>
    </xf>
    <xf numFmtId="164" fontId="2" fillId="17" borderId="1" xfId="4" applyFont="1" applyFill="1" applyBorder="1" applyAlignment="1">
      <alignment vertical="center"/>
    </xf>
    <xf numFmtId="165" fontId="7" fillId="7" borderId="1" xfId="1" applyNumberFormat="1" applyFont="1" applyFill="1" applyBorder="1" applyAlignment="1">
      <alignment vertical="center"/>
    </xf>
    <xf numFmtId="165" fontId="7" fillId="7" borderId="12" xfId="1" applyNumberFormat="1" applyFont="1" applyFill="1" applyBorder="1" applyAlignment="1">
      <alignment vertical="center"/>
    </xf>
    <xf numFmtId="165" fontId="7" fillId="14" borderId="1" xfId="1" applyNumberFormat="1" applyFont="1" applyFill="1" applyBorder="1" applyAlignment="1">
      <alignment horizontal="center" vertical="center"/>
    </xf>
    <xf numFmtId="165" fontId="7" fillId="14" borderId="12" xfId="1" applyNumberFormat="1" applyFont="1" applyFill="1" applyBorder="1" applyAlignment="1">
      <alignment horizontal="center" vertical="center"/>
    </xf>
    <xf numFmtId="165" fontId="7" fillId="17" borderId="1" xfId="9" applyNumberFormat="1" applyFont="1" applyFill="1" applyBorder="1" applyAlignment="1">
      <alignment vertical="center"/>
    </xf>
    <xf numFmtId="165" fontId="22" fillId="7" borderId="1" xfId="1" applyNumberFormat="1" applyFont="1" applyFill="1" applyBorder="1" applyAlignment="1">
      <alignment vertical="center"/>
    </xf>
    <xf numFmtId="165" fontId="22" fillId="7" borderId="12" xfId="1" applyNumberFormat="1" applyFont="1" applyFill="1" applyBorder="1" applyAlignment="1">
      <alignment horizontal="center" vertical="center"/>
    </xf>
    <xf numFmtId="165" fontId="22" fillId="14" borderId="3" xfId="1" applyNumberFormat="1" applyFont="1" applyFill="1" applyBorder="1" applyAlignment="1">
      <alignment horizontal="center" vertical="center"/>
    </xf>
    <xf numFmtId="165" fontId="22" fillId="14" borderId="1" xfId="1" applyNumberFormat="1" applyFont="1" applyFill="1" applyBorder="1" applyAlignment="1">
      <alignment horizontal="center" vertical="center"/>
    </xf>
    <xf numFmtId="165" fontId="22" fillId="14" borderId="12" xfId="1" applyNumberFormat="1" applyFont="1" applyFill="1" applyBorder="1" applyAlignment="1">
      <alignment horizontal="center" vertical="center"/>
    </xf>
    <xf numFmtId="9" fontId="7" fillId="14" borderId="1" xfId="8" applyFont="1" applyFill="1" applyBorder="1" applyAlignment="1">
      <alignment vertical="center"/>
    </xf>
    <xf numFmtId="9" fontId="7" fillId="14" borderId="12" xfId="8" applyFont="1" applyFill="1" applyBorder="1" applyAlignment="1">
      <alignment vertical="center"/>
    </xf>
    <xf numFmtId="9" fontId="7" fillId="10" borderId="13" xfId="8" applyFont="1" applyFill="1" applyBorder="1" applyAlignment="1">
      <alignment vertical="center"/>
    </xf>
    <xf numFmtId="9" fontId="7" fillId="10" borderId="1" xfId="8" applyFont="1" applyFill="1" applyBorder="1" applyAlignment="1">
      <alignment vertical="center"/>
    </xf>
    <xf numFmtId="9" fontId="7" fillId="10" borderId="12" xfId="8" applyFont="1" applyFill="1" applyBorder="1" applyAlignment="1">
      <alignment vertical="center"/>
    </xf>
    <xf numFmtId="9" fontId="7" fillId="16" borderId="13" xfId="8" applyFont="1" applyFill="1" applyBorder="1" applyAlignment="1">
      <alignment vertical="center"/>
    </xf>
    <xf numFmtId="9" fontId="7" fillId="16" borderId="1" xfId="8" applyFont="1" applyFill="1" applyBorder="1" applyAlignment="1">
      <alignment vertical="center"/>
    </xf>
    <xf numFmtId="9" fontId="7" fillId="16" borderId="12" xfId="8" applyFont="1" applyFill="1" applyBorder="1" applyAlignment="1">
      <alignment vertical="center"/>
    </xf>
    <xf numFmtId="9" fontId="7" fillId="17" borderId="1" xfId="8" applyFont="1" applyFill="1" applyBorder="1" applyAlignment="1">
      <alignment vertical="center"/>
    </xf>
    <xf numFmtId="9" fontId="22" fillId="14" borderId="16" xfId="8" applyFont="1" applyFill="1" applyBorder="1" applyAlignment="1">
      <alignment vertical="center"/>
    </xf>
    <xf numFmtId="9" fontId="22" fillId="14" borderId="15" xfId="8" applyFont="1" applyFill="1" applyBorder="1" applyAlignment="1">
      <alignment vertical="center"/>
    </xf>
    <xf numFmtId="9" fontId="22" fillId="10" borderId="17" xfId="8" applyFont="1" applyFill="1" applyBorder="1" applyAlignment="1">
      <alignment vertical="center"/>
    </xf>
    <xf numFmtId="9" fontId="22" fillId="10" borderId="16" xfId="8" applyFont="1" applyFill="1" applyBorder="1" applyAlignment="1">
      <alignment vertical="center"/>
    </xf>
    <xf numFmtId="9" fontId="22" fillId="10" borderId="15" xfId="8" applyFont="1" applyFill="1" applyBorder="1" applyAlignment="1">
      <alignment vertical="center"/>
    </xf>
    <xf numFmtId="9" fontId="22" fillId="16" borderId="17" xfId="8" applyFont="1" applyFill="1" applyBorder="1" applyAlignment="1">
      <alignment vertical="center"/>
    </xf>
    <xf numFmtId="9" fontId="22" fillId="16" borderId="16" xfId="8" applyFont="1" applyFill="1" applyBorder="1" applyAlignment="1">
      <alignment vertical="center"/>
    </xf>
    <xf numFmtId="9" fontId="22" fillId="16" borderId="15" xfId="8" applyFont="1" applyFill="1" applyBorder="1" applyAlignment="1">
      <alignment vertical="center"/>
    </xf>
    <xf numFmtId="9" fontId="22" fillId="17" borderId="1" xfId="8" applyFont="1" applyFill="1" applyBorder="1" applyAlignment="1">
      <alignment vertical="center"/>
    </xf>
    <xf numFmtId="0" fontId="2" fillId="0" borderId="0" xfId="9" applyFont="1" applyAlignment="1">
      <alignment vertical="center"/>
    </xf>
    <xf numFmtId="0" fontId="6" fillId="0" borderId="20" xfId="9" applyFont="1" applyBorder="1" applyAlignment="1">
      <alignment horizontal="center" vertical="center"/>
    </xf>
    <xf numFmtId="0" fontId="6" fillId="0" borderId="19" xfId="9" applyFont="1" applyBorder="1" applyAlignment="1">
      <alignment horizontal="center" vertical="center"/>
    </xf>
    <xf numFmtId="0" fontId="6" fillId="0" borderId="18" xfId="9" applyFont="1" applyBorder="1" applyAlignment="1">
      <alignment horizontal="center" vertical="center"/>
    </xf>
    <xf numFmtId="0" fontId="2" fillId="0" borderId="0" xfId="9" applyFont="1" applyAlignment="1">
      <alignment horizontal="center" vertical="center"/>
    </xf>
    <xf numFmtId="0" fontId="6" fillId="0" borderId="9" xfId="9" applyFont="1" applyBorder="1" applyAlignment="1">
      <alignment horizontal="center" vertical="center" wrapText="1"/>
    </xf>
    <xf numFmtId="0" fontId="6" fillId="0" borderId="17" xfId="9" applyFont="1" applyBorder="1" applyAlignment="1">
      <alignment horizontal="center" vertical="center"/>
    </xf>
    <xf numFmtId="0" fontId="6" fillId="0" borderId="16" xfId="9" applyFont="1" applyBorder="1" applyAlignment="1">
      <alignment horizontal="center" vertical="center"/>
    </xf>
    <xf numFmtId="0" fontId="6" fillId="0" borderId="15" xfId="9" applyFont="1" applyBorder="1" applyAlignment="1">
      <alignment horizontal="center" vertical="center"/>
    </xf>
    <xf numFmtId="0" fontId="6" fillId="0" borderId="0" xfId="9" applyFont="1" applyAlignment="1">
      <alignment horizontal="center" vertical="center"/>
    </xf>
    <xf numFmtId="164" fontId="6" fillId="0" borderId="5" xfId="4" applyFont="1" applyBorder="1" applyAlignment="1">
      <alignment horizontal="center" vertical="center"/>
    </xf>
    <xf numFmtId="0" fontId="6" fillId="0" borderId="32" xfId="9" applyFont="1" applyBorder="1" applyAlignment="1">
      <alignment horizontal="center" vertical="center"/>
    </xf>
    <xf numFmtId="0" fontId="6" fillId="0" borderId="2" xfId="9" applyFont="1" applyBorder="1" applyAlignment="1">
      <alignment horizontal="center" vertical="center"/>
    </xf>
    <xf numFmtId="10" fontId="2" fillId="0" borderId="1" xfId="1" applyNumberFormat="1" applyFont="1" applyBorder="1" applyAlignment="1">
      <alignment horizontal="center" vertical="center"/>
    </xf>
    <xf numFmtId="165" fontId="2" fillId="0" borderId="1" xfId="9" applyNumberFormat="1" applyFont="1" applyBorder="1" applyAlignment="1">
      <alignment vertical="center"/>
    </xf>
    <xf numFmtId="165" fontId="24" fillId="4" borderId="1" xfId="10" applyNumberFormat="1" applyFont="1" applyFill="1" applyBorder="1" applyAlignment="1">
      <alignment vertical="center"/>
    </xf>
    <xf numFmtId="9" fontId="6" fillId="7" borderId="1" xfId="2" applyFont="1" applyFill="1" applyBorder="1" applyAlignment="1">
      <alignment horizontal="center" vertical="center"/>
    </xf>
    <xf numFmtId="165" fontId="7" fillId="14" borderId="3" xfId="1" applyNumberFormat="1" applyFont="1" applyFill="1" applyBorder="1" applyAlignment="1">
      <alignment horizontal="center" vertical="center"/>
    </xf>
    <xf numFmtId="9" fontId="7" fillId="14" borderId="3" xfId="8" applyFont="1" applyFill="1" applyBorder="1" applyAlignment="1">
      <alignment vertical="center"/>
    </xf>
    <xf numFmtId="9" fontId="22" fillId="14" borderId="46" xfId="8" applyFont="1" applyFill="1" applyBorder="1" applyAlignment="1">
      <alignment vertical="center"/>
    </xf>
    <xf numFmtId="165" fontId="7" fillId="7" borderId="52" xfId="1" applyNumberFormat="1" applyFont="1" applyFill="1" applyBorder="1" applyAlignment="1">
      <alignment vertical="center"/>
    </xf>
    <xf numFmtId="165" fontId="22" fillId="7" borderId="52" xfId="1" applyNumberFormat="1" applyFont="1" applyFill="1" applyBorder="1" applyAlignment="1">
      <alignment vertical="center"/>
    </xf>
    <xf numFmtId="0" fontId="0" fillId="0" borderId="1" xfId="0" applyBorder="1"/>
    <xf numFmtId="14" fontId="0" fillId="0" borderId="1" xfId="0" applyNumberFormat="1" applyBorder="1"/>
    <xf numFmtId="0" fontId="2" fillId="0" borderId="1" xfId="0" applyFont="1" applyBorder="1"/>
    <xf numFmtId="0" fontId="2" fillId="4" borderId="5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165" fontId="4" fillId="4" borderId="1" xfId="11" applyNumberFormat="1" applyFill="1" applyBorder="1" applyAlignment="1">
      <alignment horizontal="left" vertical="center"/>
    </xf>
    <xf numFmtId="0" fontId="4" fillId="0" borderId="0" xfId="11" applyFill="1"/>
    <xf numFmtId="0" fontId="2" fillId="4" borderId="1" xfId="0" applyFont="1" applyFill="1" applyBorder="1" applyAlignment="1">
      <alignment horizontal="left" vertical="center"/>
    </xf>
    <xf numFmtId="165" fontId="6" fillId="0" borderId="5" xfId="6" applyNumberFormat="1" applyFont="1" applyBorder="1" applyAlignment="1">
      <alignment vertical="center"/>
    </xf>
    <xf numFmtId="165" fontId="6" fillId="0" borderId="3" xfId="6" applyNumberFormat="1" applyFont="1" applyBorder="1" applyAlignment="1">
      <alignment vertical="center"/>
    </xf>
    <xf numFmtId="0" fontId="6" fillId="11" borderId="9" xfId="0" applyFont="1" applyFill="1" applyBorder="1" applyAlignment="1">
      <alignment vertical="center"/>
    </xf>
    <xf numFmtId="0" fontId="6" fillId="11" borderId="10" xfId="0" applyFont="1" applyFill="1" applyBorder="1" applyAlignment="1">
      <alignment vertical="center"/>
    </xf>
    <xf numFmtId="0" fontId="6" fillId="11" borderId="7" xfId="0" applyFont="1" applyFill="1" applyBorder="1" applyAlignment="1">
      <alignment vertical="center"/>
    </xf>
    <xf numFmtId="0" fontId="6" fillId="11" borderId="8" xfId="0" applyFont="1" applyFill="1" applyBorder="1" applyAlignment="1">
      <alignment vertical="center"/>
    </xf>
    <xf numFmtId="165" fontId="2" fillId="5" borderId="1" xfId="1" applyNumberFormat="1" applyFont="1" applyFill="1" applyBorder="1" applyAlignment="1">
      <alignment vertical="center"/>
    </xf>
    <xf numFmtId="1" fontId="2" fillId="0" borderId="6" xfId="0" applyNumberFormat="1" applyFont="1" applyBorder="1" applyAlignment="1">
      <alignment horizontal="center" vertical="center"/>
    </xf>
    <xf numFmtId="14" fontId="2" fillId="0" borderId="6" xfId="0" applyNumberFormat="1" applyFont="1" applyBorder="1" applyAlignment="1">
      <alignment horizontal="center" vertical="center"/>
    </xf>
    <xf numFmtId="165" fontId="2" fillId="0" borderId="6" xfId="1" applyNumberFormat="1" applyFont="1" applyBorder="1" applyAlignment="1">
      <alignment horizontal="right" vertical="center"/>
    </xf>
    <xf numFmtId="165" fontId="2" fillId="0" borderId="6" xfId="1" applyNumberFormat="1" applyFont="1" applyBorder="1" applyAlignment="1">
      <alignment vertical="center"/>
    </xf>
    <xf numFmtId="165" fontId="2" fillId="0" borderId="2" xfId="1" applyNumberFormat="1" applyFont="1" applyBorder="1" applyAlignment="1">
      <alignment horizontal="right" vertical="center"/>
    </xf>
    <xf numFmtId="165" fontId="2" fillId="0" borderId="2" xfId="1" applyNumberFormat="1" applyFont="1" applyBorder="1" applyAlignment="1">
      <alignment vertical="center"/>
    </xf>
    <xf numFmtId="165" fontId="2" fillId="0" borderId="0" xfId="1" applyNumberFormat="1" applyFont="1" applyBorder="1" applyAlignment="1">
      <alignment horizontal="right" vertical="center"/>
    </xf>
    <xf numFmtId="165" fontId="2" fillId="0" borderId="47" xfId="1" applyNumberFormat="1" applyFont="1" applyBorder="1" applyAlignment="1">
      <alignment horizontal="right" vertical="center"/>
    </xf>
    <xf numFmtId="1" fontId="2" fillId="5" borderId="0" xfId="0" applyNumberFormat="1" applyFont="1" applyFill="1"/>
    <xf numFmtId="165" fontId="2" fillId="4" borderId="3" xfId="1" applyNumberFormat="1" applyFont="1" applyFill="1" applyBorder="1" applyAlignment="1">
      <alignment vertical="center"/>
    </xf>
    <xf numFmtId="165" fontId="2" fillId="4" borderId="1" xfId="1" applyNumberFormat="1" applyFont="1" applyFill="1" applyBorder="1" applyAlignment="1">
      <alignment vertical="center"/>
    </xf>
    <xf numFmtId="165" fontId="2" fillId="5" borderId="3" xfId="1" applyNumberFormat="1" applyFont="1" applyFill="1" applyBorder="1" applyAlignment="1">
      <alignment vertical="center"/>
    </xf>
    <xf numFmtId="0" fontId="0" fillId="0" borderId="6" xfId="0" applyBorder="1"/>
    <xf numFmtId="0" fontId="0" fillId="0" borderId="47" xfId="0" applyBorder="1"/>
    <xf numFmtId="165" fontId="2" fillId="0" borderId="1" xfId="1" applyNumberFormat="1" applyFont="1" applyBorder="1" applyAlignment="1">
      <alignment horizontal="center"/>
    </xf>
    <xf numFmtId="165" fontId="2" fillId="5" borderId="8" xfId="1" applyNumberFormat="1" applyFont="1" applyFill="1" applyBorder="1" applyAlignment="1">
      <alignment vertical="center"/>
    </xf>
    <xf numFmtId="165" fontId="6" fillId="7" borderId="5" xfId="6" applyNumberFormat="1" applyFont="1" applyFill="1" applyBorder="1" applyAlignment="1">
      <alignment horizontal="center" vertical="center"/>
    </xf>
    <xf numFmtId="165" fontId="6" fillId="7" borderId="4" xfId="6" applyNumberFormat="1" applyFont="1" applyFill="1" applyBorder="1" applyAlignment="1">
      <alignment horizontal="center" vertical="center"/>
    </xf>
    <xf numFmtId="165" fontId="6" fillId="7" borderId="3" xfId="6" applyNumberFormat="1" applyFont="1" applyFill="1" applyBorder="1" applyAlignment="1">
      <alignment horizontal="center" vertical="center"/>
    </xf>
    <xf numFmtId="0" fontId="6" fillId="0" borderId="16" xfId="9" applyFont="1" applyBorder="1" applyAlignment="1">
      <alignment horizontal="center" vertical="center" wrapText="1"/>
    </xf>
    <xf numFmtId="165" fontId="7" fillId="2" borderId="17" xfId="9" applyNumberFormat="1" applyFont="1" applyFill="1" applyBorder="1" applyAlignment="1">
      <alignment horizontal="center" vertical="center"/>
    </xf>
    <xf numFmtId="165" fontId="7" fillId="2" borderId="16" xfId="9" applyNumberFormat="1" applyFont="1" applyFill="1" applyBorder="1" applyAlignment="1">
      <alignment horizontal="center" vertical="center"/>
    </xf>
    <xf numFmtId="0" fontId="6" fillId="0" borderId="1" xfId="6" applyNumberFormat="1" applyFont="1" applyBorder="1" applyAlignment="1">
      <alignment horizontal="center" vertical="center" wrapText="1"/>
    </xf>
    <xf numFmtId="17" fontId="6" fillId="0" borderId="20" xfId="9" applyNumberFormat="1" applyFont="1" applyBorder="1" applyAlignment="1">
      <alignment horizontal="center" vertical="center" wrapText="1"/>
    </xf>
    <xf numFmtId="0" fontId="6" fillId="0" borderId="19" xfId="9" applyFont="1" applyBorder="1" applyAlignment="1">
      <alignment horizontal="center" vertical="center" wrapText="1"/>
    </xf>
    <xf numFmtId="0" fontId="6" fillId="0" borderId="18" xfId="9" applyFont="1" applyBorder="1" applyAlignment="1">
      <alignment horizontal="center" vertical="center" wrapText="1"/>
    </xf>
    <xf numFmtId="0" fontId="6" fillId="0" borderId="6" xfId="9" applyFont="1" applyBorder="1" applyAlignment="1">
      <alignment horizontal="center" vertical="center" wrapText="1"/>
    </xf>
    <xf numFmtId="165" fontId="7" fillId="2" borderId="34" xfId="9" applyNumberFormat="1" applyFont="1" applyFill="1" applyBorder="1" applyAlignment="1">
      <alignment horizontal="center" vertical="center"/>
    </xf>
    <xf numFmtId="165" fontId="7" fillId="2" borderId="6" xfId="9" applyNumberFormat="1" applyFont="1" applyFill="1" applyBorder="1" applyAlignment="1">
      <alignment horizontal="center" vertical="center"/>
    </xf>
    <xf numFmtId="0" fontId="6" fillId="0" borderId="20" xfId="9" applyFont="1" applyBorder="1" applyAlignment="1">
      <alignment horizontal="center" vertical="center"/>
    </xf>
    <xf numFmtId="0" fontId="6" fillId="0" borderId="19" xfId="9" applyFont="1" applyBorder="1" applyAlignment="1">
      <alignment horizontal="center" vertical="center"/>
    </xf>
    <xf numFmtId="0" fontId="6" fillId="0" borderId="18" xfId="9" applyFont="1" applyBorder="1" applyAlignment="1">
      <alignment horizontal="center" vertical="center"/>
    </xf>
    <xf numFmtId="165" fontId="7" fillId="2" borderId="13" xfId="6" applyNumberFormat="1" applyFont="1" applyFill="1" applyBorder="1" applyAlignment="1">
      <alignment horizontal="center" vertical="center"/>
    </xf>
    <xf numFmtId="165" fontId="7" fillId="2" borderId="1" xfId="6" applyNumberFormat="1" applyFont="1" applyFill="1" applyBorder="1" applyAlignment="1">
      <alignment horizontal="center" vertical="center"/>
    </xf>
    <xf numFmtId="0" fontId="6" fillId="0" borderId="1" xfId="6" applyNumberFormat="1" applyFont="1" applyBorder="1" applyAlignment="1">
      <alignment horizontal="center" vertical="center"/>
    </xf>
    <xf numFmtId="165" fontId="7" fillId="2" borderId="40" xfId="6" applyNumberFormat="1" applyFont="1" applyFill="1" applyBorder="1" applyAlignment="1">
      <alignment horizontal="center" vertical="center"/>
    </xf>
    <xf numFmtId="165" fontId="7" fillId="2" borderId="3" xfId="6" applyNumberFormat="1" applyFont="1" applyFill="1" applyBorder="1" applyAlignment="1">
      <alignment horizontal="center" vertical="center"/>
    </xf>
    <xf numFmtId="17" fontId="6" fillId="0" borderId="30" xfId="9" applyNumberFormat="1" applyFont="1" applyBorder="1" applyAlignment="1">
      <alignment horizontal="center" vertical="center" wrapText="1"/>
    </xf>
    <xf numFmtId="0" fontId="6" fillId="0" borderId="27" xfId="9" applyFont="1" applyBorder="1" applyAlignment="1">
      <alignment horizontal="center" vertical="center" wrapText="1"/>
    </xf>
    <xf numFmtId="0" fontId="6" fillId="0" borderId="31" xfId="9" applyFont="1" applyBorder="1" applyAlignment="1">
      <alignment horizontal="center" vertical="center" wrapText="1"/>
    </xf>
    <xf numFmtId="165" fontId="6" fillId="0" borderId="20" xfId="6" applyNumberFormat="1" applyFont="1" applyBorder="1" applyAlignment="1">
      <alignment horizontal="center" vertical="center"/>
    </xf>
    <xf numFmtId="165" fontId="6" fillId="0" borderId="19" xfId="6" applyNumberFormat="1" applyFont="1" applyBorder="1" applyAlignment="1">
      <alignment horizontal="center" vertical="center"/>
    </xf>
    <xf numFmtId="165" fontId="6" fillId="0" borderId="18" xfId="6" applyNumberFormat="1" applyFont="1" applyBorder="1" applyAlignment="1">
      <alignment horizontal="center" vertical="center"/>
    </xf>
    <xf numFmtId="165" fontId="6" fillId="0" borderId="5" xfId="6" applyNumberFormat="1" applyFont="1" applyBorder="1" applyAlignment="1">
      <alignment horizontal="center" vertical="center"/>
    </xf>
    <xf numFmtId="165" fontId="6" fillId="0" borderId="3" xfId="6" applyNumberFormat="1" applyFont="1" applyBorder="1" applyAlignment="1">
      <alignment horizontal="center" vertical="center"/>
    </xf>
    <xf numFmtId="0" fontId="6" fillId="0" borderId="50" xfId="9" applyFont="1" applyBorder="1" applyAlignment="1">
      <alignment horizontal="center" vertical="center"/>
    </xf>
    <xf numFmtId="0" fontId="6" fillId="0" borderId="44" xfId="9" applyFont="1" applyBorder="1" applyAlignment="1">
      <alignment horizontal="center" vertical="center"/>
    </xf>
    <xf numFmtId="0" fontId="6" fillId="0" borderId="45" xfId="9" applyFont="1" applyBorder="1" applyAlignment="1">
      <alignment horizontal="center" vertical="center"/>
    </xf>
    <xf numFmtId="0" fontId="6" fillId="0" borderId="5" xfId="6" applyNumberFormat="1" applyFont="1" applyBorder="1" applyAlignment="1">
      <alignment horizontal="center" vertical="center"/>
    </xf>
    <xf numFmtId="0" fontId="6" fillId="0" borderId="3" xfId="6" applyNumberFormat="1" applyFont="1" applyBorder="1" applyAlignment="1">
      <alignment horizontal="center" vertical="center"/>
    </xf>
    <xf numFmtId="165" fontId="7" fillId="2" borderId="17" xfId="6" applyNumberFormat="1" applyFont="1" applyFill="1" applyBorder="1" applyAlignment="1">
      <alignment horizontal="center" vertical="center"/>
    </xf>
    <xf numFmtId="165" fontId="7" fillId="2" borderId="16" xfId="6" applyNumberFormat="1" applyFont="1" applyFill="1" applyBorder="1" applyAlignment="1">
      <alignment horizontal="center" vertical="center"/>
    </xf>
    <xf numFmtId="0" fontId="6" fillId="0" borderId="16" xfId="6" applyNumberFormat="1" applyFont="1" applyBorder="1" applyAlignment="1">
      <alignment horizontal="center" vertical="center"/>
    </xf>
    <xf numFmtId="0" fontId="6" fillId="0" borderId="16" xfId="6" applyNumberFormat="1" applyFont="1" applyBorder="1" applyAlignment="1">
      <alignment horizontal="center" vertical="center" wrapText="1"/>
    </xf>
    <xf numFmtId="165" fontId="7" fillId="2" borderId="8" xfId="6" applyNumberFormat="1" applyFont="1" applyFill="1" applyBorder="1" applyAlignment="1">
      <alignment horizontal="center" vertical="center"/>
    </xf>
    <xf numFmtId="165" fontId="7" fillId="2" borderId="2" xfId="6" applyNumberFormat="1" applyFont="1" applyFill="1" applyBorder="1" applyAlignment="1">
      <alignment horizontal="center" vertical="center"/>
    </xf>
    <xf numFmtId="165" fontId="6" fillId="0" borderId="24" xfId="6" applyNumberFormat="1" applyFont="1" applyBorder="1" applyAlignment="1">
      <alignment horizontal="center" vertical="center"/>
    </xf>
    <xf numFmtId="165" fontId="6" fillId="0" borderId="23" xfId="6" applyNumberFormat="1" applyFont="1" applyBorder="1" applyAlignment="1">
      <alignment horizontal="center" vertical="center"/>
    </xf>
    <xf numFmtId="165" fontId="6" fillId="0" borderId="35" xfId="6" applyNumberFormat="1" applyFont="1" applyBorder="1" applyAlignment="1">
      <alignment horizontal="center" vertical="center"/>
    </xf>
    <xf numFmtId="165" fontId="7" fillId="2" borderId="34" xfId="6" applyNumberFormat="1" applyFont="1" applyFill="1" applyBorder="1" applyAlignment="1">
      <alignment horizontal="center" vertical="center"/>
    </xf>
    <xf numFmtId="165" fontId="7" fillId="2" borderId="6" xfId="6" applyNumberFormat="1" applyFont="1" applyFill="1" applyBorder="1" applyAlignment="1">
      <alignment horizontal="center" vertical="center"/>
    </xf>
    <xf numFmtId="0" fontId="6" fillId="0" borderId="9" xfId="6" applyNumberFormat="1" applyFont="1" applyBorder="1" applyAlignment="1">
      <alignment horizontal="center" vertical="center"/>
    </xf>
    <xf numFmtId="0" fontId="6" fillId="0" borderId="10" xfId="6" applyNumberFormat="1" applyFont="1" applyBorder="1" applyAlignment="1">
      <alignment horizontal="center" vertical="center"/>
    </xf>
    <xf numFmtId="0" fontId="6" fillId="0" borderId="6" xfId="6" applyNumberFormat="1" applyFont="1" applyBorder="1" applyAlignment="1">
      <alignment horizontal="center" vertical="center" wrapText="1"/>
    </xf>
    <xf numFmtId="165" fontId="6" fillId="0" borderId="28" xfId="6" applyNumberFormat="1" applyFont="1" applyBorder="1" applyAlignment="1">
      <alignment horizontal="center" vertical="center"/>
    </xf>
    <xf numFmtId="165" fontId="6" fillId="0" borderId="29" xfId="6" applyNumberFormat="1" applyFont="1" applyBorder="1" applyAlignment="1">
      <alignment horizontal="center" vertical="center"/>
    </xf>
    <xf numFmtId="165" fontId="6" fillId="0" borderId="42" xfId="6" applyNumberFormat="1" applyFont="1" applyBorder="1" applyAlignment="1">
      <alignment horizontal="center" vertical="center"/>
    </xf>
    <xf numFmtId="0" fontId="6" fillId="0" borderId="41" xfId="6" applyNumberFormat="1" applyFont="1" applyBorder="1" applyAlignment="1">
      <alignment horizontal="center" vertical="center"/>
    </xf>
    <xf numFmtId="0" fontId="6" fillId="0" borderId="46" xfId="6" applyNumberFormat="1" applyFont="1" applyBorder="1" applyAlignment="1">
      <alignment horizontal="center" vertical="center"/>
    </xf>
    <xf numFmtId="165" fontId="6" fillId="0" borderId="0" xfId="6" applyNumberFormat="1" applyFont="1" applyFill="1" applyBorder="1" applyAlignment="1">
      <alignment horizontal="center" vertical="center"/>
    </xf>
    <xf numFmtId="165" fontId="6" fillId="0" borderId="48" xfId="6" applyNumberFormat="1" applyFont="1" applyBorder="1" applyAlignment="1">
      <alignment horizontal="center" vertical="center"/>
    </xf>
    <xf numFmtId="165" fontId="6" fillId="0" borderId="49" xfId="6" applyNumberFormat="1" applyFont="1" applyBorder="1" applyAlignment="1">
      <alignment horizontal="center" vertical="center"/>
    </xf>
    <xf numFmtId="165" fontId="6" fillId="0" borderId="51" xfId="6" applyNumberFormat="1" applyFont="1" applyBorder="1" applyAlignment="1">
      <alignment horizontal="center" vertical="center"/>
    </xf>
    <xf numFmtId="165" fontId="6" fillId="7" borderId="20" xfId="6" applyNumberFormat="1" applyFont="1" applyFill="1" applyBorder="1" applyAlignment="1">
      <alignment horizontal="center" vertical="center"/>
    </xf>
    <xf numFmtId="165" fontId="6" fillId="7" borderId="19" xfId="6" applyNumberFormat="1" applyFont="1" applyFill="1" applyBorder="1" applyAlignment="1">
      <alignment horizontal="center" vertical="center"/>
    </xf>
    <xf numFmtId="165" fontId="6" fillId="7" borderId="18" xfId="6" applyNumberFormat="1" applyFont="1" applyFill="1" applyBorder="1" applyAlignment="1">
      <alignment horizontal="center" vertical="center"/>
    </xf>
    <xf numFmtId="165" fontId="6" fillId="14" borderId="43" xfId="6" applyNumberFormat="1" applyFont="1" applyFill="1" applyBorder="1" applyAlignment="1">
      <alignment horizontal="center" vertical="center"/>
    </xf>
    <xf numFmtId="165" fontId="6" fillId="14" borderId="19" xfId="6" applyNumberFormat="1" applyFont="1" applyFill="1" applyBorder="1" applyAlignment="1">
      <alignment horizontal="center" vertical="center"/>
    </xf>
    <xf numFmtId="165" fontId="6" fillId="14" borderId="18" xfId="6" applyNumberFormat="1" applyFont="1" applyFill="1" applyBorder="1" applyAlignment="1">
      <alignment horizontal="center" vertical="center"/>
    </xf>
    <xf numFmtId="165" fontId="6" fillId="10" borderId="20" xfId="6" applyNumberFormat="1" applyFont="1" applyFill="1" applyBorder="1" applyAlignment="1">
      <alignment horizontal="center" vertical="center"/>
    </xf>
    <xf numFmtId="165" fontId="6" fillId="10" borderId="19" xfId="6" applyNumberFormat="1" applyFont="1" applyFill="1" applyBorder="1" applyAlignment="1">
      <alignment horizontal="center" vertical="center"/>
    </xf>
    <xf numFmtId="165" fontId="6" fillId="10" borderId="18" xfId="6" applyNumberFormat="1" applyFont="1" applyFill="1" applyBorder="1" applyAlignment="1">
      <alignment horizontal="center" vertical="center"/>
    </xf>
    <xf numFmtId="165" fontId="6" fillId="16" borderId="20" xfId="6" applyNumberFormat="1" applyFont="1" applyFill="1" applyBorder="1" applyAlignment="1">
      <alignment horizontal="center" vertical="center"/>
    </xf>
    <xf numFmtId="165" fontId="6" fillId="16" borderId="19" xfId="6" applyNumberFormat="1" applyFont="1" applyFill="1" applyBorder="1" applyAlignment="1">
      <alignment horizontal="center" vertical="center"/>
    </xf>
    <xf numFmtId="165" fontId="6" fillId="16" borderId="18" xfId="6" applyNumberFormat="1" applyFont="1" applyFill="1" applyBorder="1" applyAlignment="1">
      <alignment horizontal="center" vertical="center"/>
    </xf>
    <xf numFmtId="0" fontId="6" fillId="17" borderId="1" xfId="9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165" fontId="13" fillId="2" borderId="34" xfId="3" applyNumberFormat="1" applyFont="1" applyFill="1" applyBorder="1" applyAlignment="1">
      <alignment horizontal="center" vertical="center"/>
    </xf>
    <xf numFmtId="165" fontId="13" fillId="2" borderId="33" xfId="3" applyNumberFormat="1" applyFont="1" applyFill="1" applyBorder="1" applyAlignment="1">
      <alignment horizontal="center" vertical="center"/>
    </xf>
    <xf numFmtId="0" fontId="15" fillId="0" borderId="7" xfId="3" applyFont="1" applyBorder="1" applyAlignment="1">
      <alignment horizontal="center" vertical="center" wrapText="1"/>
    </xf>
    <xf numFmtId="0" fontId="15" fillId="0" borderId="11" xfId="3" applyFont="1" applyBorder="1" applyAlignment="1">
      <alignment horizontal="center" vertical="center" wrapText="1"/>
    </xf>
    <xf numFmtId="0" fontId="15" fillId="0" borderId="38" xfId="3" applyFont="1" applyBorder="1" applyAlignment="1">
      <alignment horizontal="center" vertical="center" wrapText="1"/>
    </xf>
    <xf numFmtId="17" fontId="15" fillId="0" borderId="25" xfId="3" applyNumberFormat="1" applyFont="1" applyBorder="1" applyAlignment="1">
      <alignment horizontal="center" vertical="center" wrapText="1"/>
    </xf>
    <xf numFmtId="17" fontId="15" fillId="0" borderId="11" xfId="3" applyNumberFormat="1" applyFont="1" applyBorder="1" applyAlignment="1">
      <alignment horizontal="center" vertical="center" wrapText="1"/>
    </xf>
    <xf numFmtId="17" fontId="15" fillId="0" borderId="38" xfId="3" applyNumberFormat="1" applyFont="1" applyBorder="1" applyAlignment="1">
      <alignment horizontal="center" vertical="center" wrapText="1"/>
    </xf>
    <xf numFmtId="0" fontId="15" fillId="7" borderId="1" xfId="3" applyFont="1" applyFill="1" applyBorder="1" applyAlignment="1">
      <alignment horizontal="center" vertical="center"/>
    </xf>
    <xf numFmtId="0" fontId="15" fillId="14" borderId="5" xfId="3" applyFont="1" applyFill="1" applyBorder="1" applyAlignment="1">
      <alignment horizontal="center" vertical="center"/>
    </xf>
    <xf numFmtId="0" fontId="15" fillId="14" borderId="4" xfId="3" applyFont="1" applyFill="1" applyBorder="1" applyAlignment="1">
      <alignment horizontal="center" vertical="center"/>
    </xf>
    <xf numFmtId="0" fontId="15" fillId="14" borderId="3" xfId="3" applyFont="1" applyFill="1" applyBorder="1" applyAlignment="1">
      <alignment horizontal="center" vertical="center"/>
    </xf>
    <xf numFmtId="0" fontId="15" fillId="10" borderId="1" xfId="3" applyFont="1" applyFill="1" applyBorder="1" applyAlignment="1">
      <alignment horizontal="center" vertical="center"/>
    </xf>
    <xf numFmtId="0" fontId="15" fillId="13" borderId="1" xfId="3" applyFont="1" applyFill="1" applyBorder="1" applyAlignment="1">
      <alignment horizontal="center" vertical="center"/>
    </xf>
    <xf numFmtId="0" fontId="15" fillId="0" borderId="1" xfId="3" applyFont="1" applyBorder="1" applyAlignment="1">
      <alignment horizontal="center" vertical="center"/>
    </xf>
    <xf numFmtId="0" fontId="15" fillId="0" borderId="2" xfId="3" applyFont="1" applyBorder="1" applyAlignment="1">
      <alignment horizontal="center" vertical="center"/>
    </xf>
    <xf numFmtId="0" fontId="12" fillId="7" borderId="5" xfId="3" applyFont="1" applyFill="1" applyBorder="1" applyAlignment="1">
      <alignment horizontal="center"/>
    </xf>
    <xf numFmtId="0" fontId="12" fillId="7" borderId="4" xfId="3" applyFont="1" applyFill="1" applyBorder="1" applyAlignment="1">
      <alignment horizontal="center"/>
    </xf>
    <xf numFmtId="0" fontId="12" fillId="7" borderId="3" xfId="3" applyFont="1" applyFill="1" applyBorder="1" applyAlignment="1">
      <alignment horizontal="center"/>
    </xf>
    <xf numFmtId="0" fontId="11" fillId="0" borderId="5" xfId="3" applyFont="1" applyBorder="1" applyAlignment="1">
      <alignment horizontal="center" vertical="center"/>
    </xf>
    <xf numFmtId="0" fontId="11" fillId="0" borderId="3" xfId="3" applyFont="1" applyBorder="1" applyAlignment="1">
      <alignment horizontal="center" vertical="center"/>
    </xf>
    <xf numFmtId="0" fontId="12" fillId="7" borderId="1" xfId="3" applyFont="1" applyFill="1" applyBorder="1" applyAlignment="1">
      <alignment horizontal="center"/>
    </xf>
    <xf numFmtId="164" fontId="12" fillId="0" borderId="20" xfId="4" applyFont="1" applyFill="1" applyBorder="1" applyAlignment="1">
      <alignment horizontal="center"/>
    </xf>
    <xf numFmtId="164" fontId="12" fillId="0" borderId="19" xfId="4" applyFont="1" applyFill="1" applyBorder="1" applyAlignment="1">
      <alignment horizontal="center"/>
    </xf>
    <xf numFmtId="164" fontId="12" fillId="0" borderId="18" xfId="4" applyFont="1" applyFill="1" applyBorder="1" applyAlignment="1">
      <alignment horizontal="center"/>
    </xf>
    <xf numFmtId="0" fontId="15" fillId="0" borderId="13" xfId="3" applyFont="1" applyBorder="1" applyAlignment="1">
      <alignment horizontal="center" vertical="center" wrapText="1"/>
    </xf>
    <xf numFmtId="0" fontId="15" fillId="0" borderId="1" xfId="3" applyFont="1" applyBorder="1" applyAlignment="1">
      <alignment horizontal="center" vertical="center" wrapText="1"/>
    </xf>
    <xf numFmtId="17" fontId="15" fillId="0" borderId="1" xfId="3" applyNumberFormat="1" applyFont="1" applyBorder="1" applyAlignment="1">
      <alignment horizontal="center" vertical="center" wrapText="1"/>
    </xf>
    <xf numFmtId="0" fontId="15" fillId="0" borderId="12" xfId="3" applyFont="1" applyBorder="1" applyAlignment="1">
      <alignment horizontal="center" vertical="center"/>
    </xf>
    <xf numFmtId="165" fontId="13" fillId="2" borderId="17" xfId="3" applyNumberFormat="1" applyFont="1" applyFill="1" applyBorder="1" applyAlignment="1">
      <alignment horizontal="center" vertical="center"/>
    </xf>
    <xf numFmtId="165" fontId="13" fillId="2" borderId="16" xfId="3" applyNumberFormat="1" applyFont="1" applyFill="1" applyBorder="1" applyAlignment="1">
      <alignment horizontal="center" vertical="center"/>
    </xf>
    <xf numFmtId="164" fontId="15" fillId="0" borderId="24" xfId="4" applyFont="1" applyBorder="1" applyAlignment="1">
      <alignment horizontal="center"/>
    </xf>
    <xf numFmtId="164" fontId="15" fillId="0" borderId="23" xfId="4" applyFont="1" applyBorder="1" applyAlignment="1">
      <alignment horizontal="center"/>
    </xf>
    <xf numFmtId="164" fontId="15" fillId="0" borderId="35" xfId="4" applyFont="1" applyBorder="1" applyAlignment="1">
      <alignment horizontal="center"/>
    </xf>
    <xf numFmtId="0" fontId="15" fillId="0" borderId="30" xfId="3" applyFont="1" applyBorder="1" applyAlignment="1">
      <alignment horizontal="center" vertical="center" wrapText="1"/>
    </xf>
    <xf numFmtId="0" fontId="15" fillId="0" borderId="27" xfId="3" applyFont="1" applyBorder="1" applyAlignment="1">
      <alignment horizontal="center" vertical="center" wrapText="1"/>
    </xf>
    <xf numFmtId="0" fontId="15" fillId="0" borderId="31" xfId="3" applyFont="1" applyBorder="1" applyAlignment="1">
      <alignment horizontal="center" vertical="center" wrapText="1"/>
    </xf>
    <xf numFmtId="17" fontId="15" fillId="0" borderId="30" xfId="3" applyNumberFormat="1" applyFont="1" applyBorder="1" applyAlignment="1">
      <alignment horizontal="center" vertical="center" wrapText="1"/>
    </xf>
    <xf numFmtId="17" fontId="15" fillId="0" borderId="27" xfId="3" applyNumberFormat="1" applyFont="1" applyBorder="1" applyAlignment="1">
      <alignment horizontal="center" vertical="center" wrapText="1"/>
    </xf>
    <xf numFmtId="17" fontId="15" fillId="0" borderId="31" xfId="3" applyNumberFormat="1" applyFont="1" applyBorder="1" applyAlignment="1">
      <alignment horizontal="center" vertical="center" wrapText="1"/>
    </xf>
    <xf numFmtId="0" fontId="15" fillId="0" borderId="20" xfId="3" applyFont="1" applyBorder="1" applyAlignment="1">
      <alignment horizontal="center" vertical="center"/>
    </xf>
    <xf numFmtId="0" fontId="15" fillId="0" borderId="19" xfId="3" applyFont="1" applyBorder="1" applyAlignment="1">
      <alignment horizontal="center" vertical="center"/>
    </xf>
    <xf numFmtId="0" fontId="15" fillId="0" borderId="18" xfId="3" applyFont="1" applyBorder="1" applyAlignment="1">
      <alignment horizontal="center" vertical="center"/>
    </xf>
    <xf numFmtId="165" fontId="13" fillId="2" borderId="1" xfId="3" applyNumberFormat="1" applyFont="1" applyFill="1" applyBorder="1" applyAlignment="1">
      <alignment horizontal="center" vertical="center"/>
    </xf>
    <xf numFmtId="165" fontId="13" fillId="2" borderId="13" xfId="3" applyNumberFormat="1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7" borderId="37" xfId="0" applyFont="1" applyFill="1" applyBorder="1" applyAlignment="1">
      <alignment horizontal="center" vertical="center"/>
    </xf>
    <xf numFmtId="0" fontId="6" fillId="7" borderId="47" xfId="0" applyFont="1" applyFill="1" applyBorder="1" applyAlignment="1">
      <alignment horizontal="center" vertical="center"/>
    </xf>
    <xf numFmtId="0" fontId="6" fillId="7" borderId="7" xfId="0" applyFont="1" applyFill="1" applyBorder="1" applyAlignment="1">
      <alignment horizontal="center" vertical="center"/>
    </xf>
    <xf numFmtId="0" fontId="6" fillId="7" borderId="8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10" borderId="37" xfId="0" applyFont="1" applyFill="1" applyBorder="1" applyAlignment="1">
      <alignment horizontal="center" vertical="center"/>
    </xf>
    <xf numFmtId="0" fontId="6" fillId="10" borderId="47" xfId="0" applyFont="1" applyFill="1" applyBorder="1" applyAlignment="1">
      <alignment horizontal="center" vertical="center"/>
    </xf>
    <xf numFmtId="0" fontId="6" fillId="10" borderId="7" xfId="0" applyFont="1" applyFill="1" applyBorder="1" applyAlignment="1">
      <alignment horizontal="center" vertical="center"/>
    </xf>
    <xf numFmtId="0" fontId="6" fillId="10" borderId="8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9" borderId="37" xfId="0" applyFont="1" applyFill="1" applyBorder="1" applyAlignment="1">
      <alignment horizontal="center" vertical="center" wrapText="1"/>
    </xf>
    <xf numFmtId="0" fontId="6" fillId="9" borderId="7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/>
    </xf>
    <xf numFmtId="0" fontId="6" fillId="7" borderId="10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10" borderId="9" xfId="0" applyFont="1" applyFill="1" applyBorder="1" applyAlignment="1">
      <alignment horizontal="center" vertical="center"/>
    </xf>
    <xf numFmtId="0" fontId="6" fillId="10" borderId="10" xfId="0" applyFont="1" applyFill="1" applyBorder="1" applyAlignment="1">
      <alignment horizontal="center" vertical="center"/>
    </xf>
    <xf numFmtId="0" fontId="6" fillId="9" borderId="9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8" borderId="5" xfId="0" applyFont="1" applyFill="1" applyBorder="1" applyAlignment="1">
      <alignment horizontal="center" vertical="center" wrapText="1"/>
    </xf>
    <xf numFmtId="0" fontId="6" fillId="8" borderId="4" xfId="0" applyFont="1" applyFill="1" applyBorder="1" applyAlignment="1">
      <alignment horizontal="center" vertical="center" wrapText="1"/>
    </xf>
    <xf numFmtId="0" fontId="6" fillId="8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1" fontId="8" fillId="0" borderId="22" xfId="0" applyNumberFormat="1" applyFont="1" applyBorder="1" applyAlignment="1">
      <alignment horizontal="center" vertical="center"/>
    </xf>
    <xf numFmtId="14" fontId="8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3" borderId="5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21" fillId="0" borderId="1" xfId="0" applyFont="1" applyBorder="1" applyAlignment="1">
      <alignment horizontal="center" vertical="center" wrapText="1"/>
    </xf>
    <xf numFmtId="1" fontId="20" fillId="0" borderId="0" xfId="0" applyNumberFormat="1" applyFont="1" applyAlignment="1">
      <alignment horizontal="center" vertical="center"/>
    </xf>
    <xf numFmtId="14" fontId="20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4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0" fontId="21" fillId="4" borderId="5" xfId="0" applyFont="1" applyFill="1" applyBorder="1" applyAlignment="1">
      <alignment horizontal="center" vertical="center" wrapText="1"/>
    </xf>
    <xf numFmtId="0" fontId="21" fillId="4" borderId="4" xfId="0" applyFont="1" applyFill="1" applyBorder="1" applyAlignment="1">
      <alignment horizontal="center" vertical="center" wrapText="1"/>
    </xf>
    <xf numFmtId="0" fontId="21" fillId="4" borderId="3" xfId="0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21" fillId="3" borderId="5" xfId="0" applyFont="1" applyFill="1" applyBorder="1" applyAlignment="1">
      <alignment horizontal="center" vertical="center" wrapText="1"/>
    </xf>
    <xf numFmtId="0" fontId="21" fillId="3" borderId="4" xfId="0" applyFont="1" applyFill="1" applyBorder="1" applyAlignment="1">
      <alignment horizontal="center" vertical="center" wrapText="1"/>
    </xf>
    <xf numFmtId="0" fontId="21" fillId="3" borderId="3" xfId="0" applyFont="1" applyFill="1" applyBorder="1" applyAlignment="1">
      <alignment horizontal="center" vertical="center" wrapText="1"/>
    </xf>
    <xf numFmtId="0" fontId="21" fillId="6" borderId="1" xfId="0" applyFont="1" applyFill="1" applyBorder="1" applyAlignment="1">
      <alignment horizontal="center" vertical="center" wrapText="1"/>
    </xf>
    <xf numFmtId="0" fontId="21" fillId="6" borderId="5" xfId="0" applyFont="1" applyFill="1" applyBorder="1" applyAlignment="1">
      <alignment horizontal="center" vertical="center" wrapText="1"/>
    </xf>
    <xf numFmtId="0" fontId="21" fillId="6" borderId="4" xfId="0" applyFont="1" applyFill="1" applyBorder="1" applyAlignment="1">
      <alignment horizontal="center" vertical="center" wrapText="1"/>
    </xf>
    <xf numFmtId="0" fontId="21" fillId="6" borderId="3" xfId="0" applyFont="1" applyFill="1" applyBorder="1" applyAlignment="1">
      <alignment horizontal="center" vertical="center" wrapText="1"/>
    </xf>
    <xf numFmtId="0" fontId="21" fillId="12" borderId="1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1" fontId="8" fillId="0" borderId="6" xfId="0" applyNumberFormat="1" applyFont="1" applyBorder="1" applyAlignment="1">
      <alignment horizontal="center" vertical="center"/>
    </xf>
    <xf numFmtId="1" fontId="8" fillId="0" borderId="26" xfId="0" applyNumberFormat="1" applyFont="1" applyBorder="1" applyAlignment="1">
      <alignment horizontal="center" vertical="center"/>
    </xf>
    <xf numFmtId="1" fontId="8" fillId="0" borderId="2" xfId="0" applyNumberFormat="1" applyFont="1" applyBorder="1" applyAlignment="1">
      <alignment horizontal="center" vertical="center"/>
    </xf>
    <xf numFmtId="14" fontId="8" fillId="0" borderId="6" xfId="0" applyNumberFormat="1" applyFont="1" applyBorder="1" applyAlignment="1">
      <alignment horizontal="center" vertical="center"/>
    </xf>
    <xf numFmtId="14" fontId="8" fillId="0" borderId="26" xfId="0" applyNumberFormat="1" applyFont="1" applyBorder="1" applyAlignment="1">
      <alignment horizontal="center" vertical="center"/>
    </xf>
    <xf numFmtId="14" fontId="8" fillId="0" borderId="2" xfId="0" applyNumberFormat="1" applyFont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17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6" fillId="12" borderId="1" xfId="0" applyFont="1" applyFill="1" applyBorder="1" applyAlignment="1">
      <alignment horizontal="center" vertical="center" wrapText="1"/>
    </xf>
  </cellXfs>
  <cellStyles count="13">
    <cellStyle name="Comma" xfId="1" builtinId="3"/>
    <cellStyle name="Comma [0] 2" xfId="4" xr:uid="{7B10BA0F-1F68-47AF-8384-7C6E9EAECB3A}"/>
    <cellStyle name="Comma 3" xfId="6" xr:uid="{ABAE1615-701D-4D70-B328-989611498275}"/>
    <cellStyle name="Hyperlink" xfId="11" builtinId="8"/>
    <cellStyle name="Hyperlink 2" xfId="10" xr:uid="{BBCFC81D-9F34-41D2-80EB-937131336DC4}"/>
    <cellStyle name="Normal" xfId="0" builtinId="0"/>
    <cellStyle name="Normal 2" xfId="7" xr:uid="{2B564475-1A74-4E4B-BA22-93CB9B2ADD15}"/>
    <cellStyle name="Normal 2 2" xfId="3" xr:uid="{88425F0B-C8B5-4F95-B140-CBBCACB30916}"/>
    <cellStyle name="Normal 2 2 2" xfId="9" xr:uid="{F1A1ADE2-64BD-4EDE-A74E-86E1C9E6620E}"/>
    <cellStyle name="Normal 3" xfId="12" xr:uid="{4443DD65-4E96-482E-BA08-0DA9B661F490}"/>
    <cellStyle name="Percent" xfId="2" builtinId="5"/>
    <cellStyle name="Percent 2" xfId="5" xr:uid="{1326AA9A-488F-4160-BB2B-52C2F848C137}"/>
    <cellStyle name="Percent 3" xfId="8" xr:uid="{0F5652B9-289B-4F05-9F82-DDB93535DC26}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Ko%20Sai%20&#4123;&#4116;&#4154;&#4096;&#4143;&#4116;&#4154;&#4129;&#4121;&#4155;&#4141;&#4143;&#4152;&#4129;&#4101;&#4140;&#4152;&#4129;&#4124;&#4141;&#4143;&#4096;&#4154;&#4129;&#4123;&#4145;&#4140;&#4100;&#4154;&#4152;\Ko%20Sai\2024%20%20%20%20(BE)%20%20&#4129;&#4123;&#4145;&#4140;&#4100;&#4154;&#4152;\Ko%20Sai%20-%20%20%20Mar%20-%202024%20-%20-%20Cop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\Downloads\SLP%20Daily_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 +Col (Total)  "/>
      <sheetName val="Sheet5"/>
      <sheetName val="BE Mar"/>
      <sheetName val="Market ( Mar) "/>
      <sheetName val="BE Mar (2)"/>
      <sheetName val="Market ( Mar)  (2)"/>
      <sheetName val="Kosai( Mar)  (3)"/>
      <sheetName val="Table"/>
      <sheetName val="Ko Sai -   Mar - 2024 - - Copy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.1.22"/>
      <sheetName val="6.1.22"/>
      <sheetName val="7.1.22"/>
      <sheetName val="8.1.22"/>
      <sheetName val="9.1.22"/>
      <sheetName val="10.1.22"/>
      <sheetName val="11.1.22"/>
      <sheetName val="12.1.22"/>
      <sheetName val="13.1.22"/>
      <sheetName val="14.1.22"/>
      <sheetName val="24.1.22"/>
      <sheetName val="25.1.22"/>
      <sheetName val="26.1.22"/>
      <sheetName val="27.1.22"/>
      <sheetName val="28.1.22"/>
      <sheetName val="29.1.22"/>
      <sheetName val="30.1.22"/>
      <sheetName val="31.1.22"/>
      <sheetName val="1.2.22"/>
      <sheetName val="2.2.22"/>
      <sheetName val="3.2.22"/>
      <sheetName val="4.2.22"/>
      <sheetName val="5.2.22"/>
      <sheetName val="6.2.22"/>
      <sheetName val="7.2.22"/>
      <sheetName val="8.2.22"/>
      <sheetName val="9.2.22"/>
      <sheetName val="10.2.22"/>
      <sheetName val="11.2.22"/>
      <sheetName val="12.2.22"/>
      <sheetName val="13.2.22"/>
      <sheetName val="14.2.22"/>
      <sheetName val="15.2.22"/>
      <sheetName val="16.2.22"/>
      <sheetName val="17.2.22"/>
      <sheetName val="18.2.22"/>
      <sheetName val="19.2.22"/>
      <sheetName val="20.2.22"/>
      <sheetName val="21.2.22"/>
      <sheetName val="22.2.22"/>
      <sheetName val="23.2.22"/>
      <sheetName val="24.2.22"/>
      <sheetName val="25.2.22"/>
      <sheetName val="26.2.22"/>
      <sheetName val="27.2.22"/>
      <sheetName val="28.2.22"/>
      <sheetName val="1.3.22"/>
      <sheetName val="2.3.22"/>
      <sheetName val="3.3.22"/>
      <sheetName val="4.3.22"/>
      <sheetName val="5.3.22"/>
      <sheetName val="6.3.22"/>
      <sheetName val="7.3.22"/>
      <sheetName val="8.3.22"/>
      <sheetName val="9.3.22"/>
      <sheetName val="10.3.22"/>
      <sheetName val="11.3.22"/>
      <sheetName val="12.3.22"/>
      <sheetName val="13.3.22"/>
      <sheetName val="14.3.22"/>
      <sheetName val="15.3.22"/>
      <sheetName val="17.3.22"/>
      <sheetName val="18.3.22"/>
      <sheetName val="19.3.22"/>
      <sheetName val="20.3.22"/>
      <sheetName val="21.3.22"/>
      <sheetName val="22.3.22"/>
      <sheetName val="23.3.22"/>
      <sheetName val="24.3.22"/>
      <sheetName val="25.3.22"/>
      <sheetName val="26.3.22"/>
      <sheetName val="27.3.22"/>
      <sheetName val="28.3.22"/>
      <sheetName val="29.3.22"/>
      <sheetName val="30.3.22"/>
      <sheetName val="31.3.22"/>
      <sheetName val="1.4.22"/>
      <sheetName val="2.4.22"/>
      <sheetName val="3.4.22"/>
      <sheetName val="4.4.22"/>
      <sheetName val="5.4.22"/>
      <sheetName val="6.4.22"/>
      <sheetName val="7.4.22"/>
      <sheetName val="8.4.22"/>
      <sheetName val="9.4.22"/>
      <sheetName val="10.4.22"/>
      <sheetName val="11.4.22"/>
      <sheetName val="12.4.22"/>
      <sheetName val="18.4.22"/>
      <sheetName val="19.4.22"/>
      <sheetName val="20.4.22"/>
      <sheetName val="21.4.22"/>
      <sheetName val="22.4.22"/>
      <sheetName val="23.4.22"/>
      <sheetName val="24.4.22"/>
      <sheetName val="25.4.22"/>
      <sheetName val="26.4.22"/>
      <sheetName val="27.4.22"/>
      <sheetName val="28.4.22"/>
      <sheetName val="29.4.22"/>
      <sheetName val="30.4.22"/>
      <sheetName val="1.5.22"/>
      <sheetName val="2.5.22"/>
      <sheetName val="3.5.22"/>
      <sheetName val="4.5.22"/>
      <sheetName val="5.5.22"/>
      <sheetName val="6.5.22"/>
      <sheetName val="7.5.22"/>
      <sheetName val="8.5.22"/>
      <sheetName val="9.5.22"/>
      <sheetName val="10.5.22"/>
      <sheetName val="11.5.22"/>
      <sheetName val="12.5.22"/>
      <sheetName val="13.5.22"/>
      <sheetName val="14.5.22"/>
      <sheetName val="15.5.22"/>
      <sheetName val="16.5.22"/>
      <sheetName val="17.5.22"/>
      <sheetName val="18.5.22"/>
      <sheetName val="19.5.22"/>
      <sheetName val="20.5.22"/>
      <sheetName val="21.5.22"/>
      <sheetName val="22.5.22"/>
      <sheetName val="23.5.22"/>
      <sheetName val="24.5.22"/>
      <sheetName val="25.5.22"/>
      <sheetName val="26.5.22"/>
      <sheetName val="27.5.22"/>
      <sheetName val="28.5.22"/>
      <sheetName val="29.5.22"/>
      <sheetName val="30.5.22"/>
      <sheetName val="31.5.22"/>
      <sheetName val="1.6.22"/>
      <sheetName val="2.6.22"/>
      <sheetName val="3.6.22"/>
      <sheetName val="4.6.22"/>
      <sheetName val="6.6.22"/>
      <sheetName val="7.6.22"/>
      <sheetName val="8.6.22"/>
      <sheetName val="9.6.22"/>
      <sheetName val="10.6.22"/>
      <sheetName val="11.6.22"/>
      <sheetName val="13.6.22"/>
      <sheetName val="14.6.22"/>
      <sheetName val="15.6.22"/>
      <sheetName val="16.6.22"/>
      <sheetName val="17.6.22"/>
      <sheetName val="18.6.22"/>
      <sheetName val="20.6.22"/>
      <sheetName val="21.6.22"/>
      <sheetName val="22.6.22"/>
      <sheetName val="23.6.22"/>
      <sheetName val="24.6.22"/>
      <sheetName val="25.6.22"/>
      <sheetName val="27.6.22"/>
      <sheetName val="28.6.22"/>
      <sheetName val="29.6.22"/>
      <sheetName val="30.6.22"/>
      <sheetName val="1.7.22"/>
      <sheetName val="2.7.22"/>
      <sheetName val="3.7.22"/>
      <sheetName val="4.7.22"/>
      <sheetName val="5.7.22"/>
      <sheetName val="6.7.22"/>
      <sheetName val="7.7.22"/>
      <sheetName val="8.7.22"/>
      <sheetName val="9.7.22"/>
      <sheetName val="10.7.22"/>
      <sheetName val="11.7.22"/>
      <sheetName val="13.7.22"/>
      <sheetName val="14.7.22"/>
      <sheetName val="15.7.22"/>
      <sheetName val="16.7.22"/>
      <sheetName val="17.7.22"/>
      <sheetName val="18.7.22"/>
      <sheetName val="19.7.22"/>
      <sheetName val="20.7.22"/>
      <sheetName val="21.7.22"/>
      <sheetName val="22.7.22"/>
      <sheetName val="23.7.22"/>
      <sheetName val="24.7.22"/>
      <sheetName val="25.7.22"/>
      <sheetName val="26.7.22"/>
      <sheetName val="27.7.22"/>
      <sheetName val="28.7.22"/>
      <sheetName val="29.7.22"/>
      <sheetName val="30.7.22"/>
      <sheetName val="31.7.22"/>
      <sheetName val="1.8.22"/>
      <sheetName val="2.8.22"/>
      <sheetName val="3.8.22"/>
      <sheetName val="4.8.22"/>
      <sheetName val="5.8.22"/>
      <sheetName val="6.8.22"/>
      <sheetName val="7.8.22"/>
      <sheetName val="8.8.22"/>
      <sheetName val="9.8.22"/>
      <sheetName val="10.8.22"/>
      <sheetName val="11.8.22"/>
      <sheetName val="12.8.22"/>
      <sheetName val="13.8.22"/>
      <sheetName val="14.8.22"/>
      <sheetName val="15.8.22"/>
      <sheetName val="16.8.22"/>
      <sheetName val="17.8.22"/>
      <sheetName val="18.8.22"/>
      <sheetName val="19.8.22"/>
      <sheetName val="20.8.22"/>
      <sheetName val="21.8.22"/>
      <sheetName val="22.8.22"/>
      <sheetName val="23.8.22"/>
      <sheetName val="24.8.22"/>
      <sheetName val="25.8.22"/>
      <sheetName val="26.8.22"/>
      <sheetName val="27.8.22"/>
      <sheetName val="28.8.22"/>
      <sheetName val="29.8.22"/>
      <sheetName val="30.8.22"/>
      <sheetName val="31.8.22"/>
      <sheetName val="1.9.22"/>
      <sheetName val="2.9.22"/>
      <sheetName val="3.9.22"/>
      <sheetName val="5.9.22"/>
      <sheetName val="6.9.22"/>
      <sheetName val="7.9.22"/>
      <sheetName val="8.9.22"/>
      <sheetName val="9.9.22"/>
      <sheetName val="10.9.22"/>
      <sheetName val="12.9.22"/>
      <sheetName val="13.9.22"/>
      <sheetName val="14.9.22"/>
      <sheetName val="15.9.22"/>
      <sheetName val="16.9.22"/>
      <sheetName val="17.9.22"/>
      <sheetName val="19.9.22"/>
      <sheetName val="20.9.22"/>
      <sheetName val="21.9.22"/>
      <sheetName val="22.9.22"/>
      <sheetName val="23.9.22"/>
      <sheetName val="24.9.22"/>
      <sheetName val="26.9.22"/>
      <sheetName val="27.9.22"/>
      <sheetName val="28.9.22"/>
      <sheetName val="29.9.22"/>
      <sheetName val="30.9.22"/>
      <sheetName val="1.10.22"/>
      <sheetName val="3.10.22"/>
      <sheetName val="4.10.22"/>
      <sheetName val="5.10.22"/>
      <sheetName val="6.10.22"/>
      <sheetName val="7.10.22"/>
      <sheetName val="8.10.22"/>
      <sheetName val="10.10.22"/>
      <sheetName val="11.10.22"/>
      <sheetName val="12.10.22"/>
      <sheetName val="13.10.22"/>
      <sheetName val="14.10.22"/>
      <sheetName val="15.10.22"/>
      <sheetName val="17.1022"/>
      <sheetName val="18.10.22"/>
      <sheetName val="19.10.22"/>
      <sheetName val="20.10.22"/>
      <sheetName val="21.10.22"/>
      <sheetName val="22.10.22"/>
      <sheetName val="24.10.22"/>
      <sheetName val="25.10.22"/>
      <sheetName val="26.10.22"/>
      <sheetName val="27.10.22"/>
      <sheetName val="28.10.22"/>
      <sheetName val="29.10.22"/>
      <sheetName val="31.10.22"/>
      <sheetName val="1.11.22"/>
      <sheetName val="2.11.22"/>
      <sheetName val="3.11.22"/>
      <sheetName val="4.11.22"/>
      <sheetName val="5.11.22"/>
      <sheetName val="8.11.22"/>
      <sheetName val="9.11.22"/>
      <sheetName val="10.11.22"/>
      <sheetName val="11.11.22"/>
      <sheetName val="12.11.22"/>
      <sheetName val="14.11.22"/>
      <sheetName val="15.11.22"/>
      <sheetName val="16.11.22"/>
      <sheetName val="17.11.22"/>
      <sheetName val="18.11.22"/>
      <sheetName val="19.11.22"/>
      <sheetName val="21.11.22"/>
      <sheetName val="22.11.22"/>
      <sheetName val="23.11.22"/>
      <sheetName val="24.11.22"/>
      <sheetName val="25.11.22"/>
      <sheetName val="26.11.22"/>
      <sheetName val="28.11.22"/>
      <sheetName val="29.11.22"/>
      <sheetName val="30.11.22"/>
      <sheetName val="1.12.22"/>
      <sheetName val="2.12.22"/>
      <sheetName val="3.12.22"/>
      <sheetName val="5.12.22"/>
      <sheetName val="6.12.22"/>
      <sheetName val="7.12.22"/>
      <sheetName val="8.12.22"/>
      <sheetName val="9.12.22"/>
      <sheetName val="10.12.22"/>
      <sheetName val="12.12.22"/>
      <sheetName val="13.12.22"/>
      <sheetName val="14.12.22"/>
      <sheetName val="15.12.22"/>
      <sheetName val="16.12.22"/>
      <sheetName val="17.12.22"/>
      <sheetName val="19.12.22"/>
      <sheetName val="20.12.22"/>
      <sheetName val="21.12.22"/>
      <sheetName val="22.12.22"/>
      <sheetName val="23.12.22"/>
      <sheetName val="24.12.22"/>
      <sheetName val="26.12.22"/>
      <sheetName val="27.12.22"/>
      <sheetName val="28.12.22"/>
      <sheetName val="29.12.22"/>
      <sheetName val="30.12.22"/>
      <sheetName val="31.12.22"/>
      <sheetName val="2.1.23"/>
      <sheetName val="3.1.23"/>
      <sheetName val="5.1.23"/>
      <sheetName val="6.1.23"/>
      <sheetName val="7.1.23"/>
      <sheetName val="9.1.23"/>
      <sheetName val="10.1.23"/>
      <sheetName val="11.1.23"/>
      <sheetName val="12.1.23"/>
      <sheetName val="13.1.23"/>
      <sheetName val="14.1.23"/>
      <sheetName val="16.1.23"/>
      <sheetName val="17.1.23"/>
      <sheetName val="18.1.23"/>
      <sheetName val="19.1.23"/>
      <sheetName val="20.1.23"/>
      <sheetName val="21.1.23"/>
      <sheetName val="23.1.23"/>
      <sheetName val="24.1.23"/>
      <sheetName val="25.1.23"/>
      <sheetName val="26.1.23"/>
      <sheetName val="27.1.23"/>
      <sheetName val="28.1.23"/>
      <sheetName val="30.1.23"/>
      <sheetName val="31.1.23"/>
      <sheetName val="1.2.23"/>
      <sheetName val="2.2.23"/>
      <sheetName val="3.2.23"/>
      <sheetName val="4.2.23"/>
      <sheetName val="6.2.23"/>
      <sheetName val="7.2.23"/>
      <sheetName val="8.2.23"/>
      <sheetName val="9.2.23"/>
      <sheetName val="10.2.23"/>
      <sheetName val="11.2.23"/>
      <sheetName val="13.2.23"/>
      <sheetName val="14.2.23"/>
      <sheetName val="15.2.23"/>
      <sheetName val="16.2.23"/>
      <sheetName val="17.2.23"/>
      <sheetName val="18.2.23"/>
      <sheetName val="20.2.23"/>
      <sheetName val="21.2.23"/>
      <sheetName val="22.2.23"/>
      <sheetName val="23.2.23"/>
      <sheetName val="24.2.23"/>
      <sheetName val="25.2.23"/>
      <sheetName val="27.2.23"/>
      <sheetName val="28.2.23"/>
      <sheetName val=" 1.3.23"/>
      <sheetName val="2.3.23"/>
      <sheetName val="3.3.23"/>
      <sheetName val="4.3.23"/>
      <sheetName val="6.3.23"/>
      <sheetName val="7.3.23"/>
      <sheetName val="8.3.23"/>
      <sheetName val="9.3.23"/>
      <sheetName val="10.3.23"/>
      <sheetName val="11.3.23"/>
      <sheetName val="13.3.23"/>
      <sheetName val="14.3.23"/>
      <sheetName val="15.3.23"/>
      <sheetName val="16.3.23"/>
      <sheetName val="17.3.23"/>
      <sheetName val="18.3.23"/>
      <sheetName val="20.3.23"/>
      <sheetName val="21.3.23"/>
      <sheetName val="22.3.23"/>
      <sheetName val="23.3.23"/>
      <sheetName val="24.3.23"/>
      <sheetName val="25.3.23"/>
      <sheetName val="27.3.23"/>
      <sheetName val="28.3.23"/>
      <sheetName val="29.3.23"/>
      <sheetName val="30.3.23"/>
      <sheetName val="31.3.23"/>
      <sheetName val="1.4.23"/>
      <sheetName val="3.4.23"/>
      <sheetName val="4.4.23"/>
      <sheetName val="5.4.23"/>
      <sheetName val="6.4.23"/>
      <sheetName val="7.4.23"/>
      <sheetName val="8.4.23"/>
      <sheetName val="9.4.23"/>
      <sheetName val="10.4.23"/>
      <sheetName val="11.4.23"/>
      <sheetName val="12.4.23"/>
      <sheetName val="18.4.23"/>
      <sheetName val="19.4.23"/>
      <sheetName val="20.4.23"/>
      <sheetName val="21.4.23"/>
      <sheetName val="22.4.23"/>
      <sheetName val="24.4.23"/>
      <sheetName val="25.4.23"/>
      <sheetName val="26.4.23"/>
      <sheetName val="27.4.23"/>
      <sheetName val="28.4.23"/>
      <sheetName val="29.4.23"/>
      <sheetName val="1.5.23"/>
      <sheetName val="2.5.23"/>
      <sheetName val="3.5.23"/>
      <sheetName val="4.5.23"/>
      <sheetName val="5.5.23"/>
      <sheetName val="6.5.23"/>
      <sheetName val="8.5.23"/>
      <sheetName val="9.5.23"/>
      <sheetName val="10.5.23"/>
      <sheetName val="11.5.23"/>
      <sheetName val="12.5.23"/>
      <sheetName val="13.5.23"/>
      <sheetName val="15.5.23"/>
      <sheetName val="16.5.23"/>
      <sheetName val="17.5.23"/>
      <sheetName val="18.5.23"/>
      <sheetName val="19.5.23"/>
      <sheetName val="20.5.23"/>
      <sheetName val="22.5.23"/>
      <sheetName val="23.5.23"/>
      <sheetName val="24.5.23"/>
      <sheetName val="25.5.23"/>
      <sheetName val="26.5.23"/>
      <sheetName val="27.5.23"/>
      <sheetName val="29.5.23"/>
      <sheetName val="30.5.23"/>
      <sheetName val="31.5.23"/>
      <sheetName val="1.6.23"/>
      <sheetName val="2.6.23"/>
      <sheetName val="3.6.23"/>
      <sheetName val="5.6.23"/>
      <sheetName val="6.6.23"/>
      <sheetName val="7.6.23"/>
      <sheetName val="8.6.23"/>
      <sheetName val="9.6.23"/>
      <sheetName val="10.6.23"/>
      <sheetName val="12.6.23"/>
      <sheetName val="13.6.23"/>
      <sheetName val="14.6.23"/>
      <sheetName val=" 15.6.23"/>
      <sheetName val="16.6.23"/>
      <sheetName val="17.6.23"/>
      <sheetName val="19.6.23"/>
      <sheetName val="20.6.23"/>
      <sheetName val="21.6.23"/>
      <sheetName val="22.6.23"/>
      <sheetName val="23.6.23"/>
      <sheetName val="24.6.23"/>
      <sheetName val="26.6.23"/>
      <sheetName val="27.6.233"/>
      <sheetName val="28.6.23"/>
      <sheetName val="29.6.23"/>
      <sheetName val="30.6.23"/>
      <sheetName val="1.7.23"/>
      <sheetName val="3.7.23"/>
      <sheetName val="4.7.23"/>
      <sheetName val="5.7.23"/>
      <sheetName val="6.7.23"/>
      <sheetName val="7.7.23"/>
      <sheetName val="8.7.23"/>
      <sheetName val="10.7.23"/>
      <sheetName val="12.7.23"/>
      <sheetName val="13.7.23"/>
      <sheetName val="14.7.23"/>
      <sheetName val="15.7.23"/>
      <sheetName val="17.7.23"/>
      <sheetName val="18.7.23"/>
      <sheetName val="19.7.23"/>
      <sheetName val="20.7.23"/>
      <sheetName val="21.7.23"/>
      <sheetName val="22.7.23"/>
      <sheetName val="24.7.23"/>
      <sheetName val="25.7.23"/>
      <sheetName val="26.7.23"/>
      <sheetName val="27.7.23"/>
      <sheetName val="28.7.23"/>
      <sheetName val="29.7.23"/>
      <sheetName val="30.7.23"/>
      <sheetName val="31.7.23"/>
      <sheetName val="1.8.23"/>
      <sheetName val="2.8.23"/>
      <sheetName val="3.8.23"/>
      <sheetName val="4.8.23"/>
      <sheetName val="5.8.23"/>
      <sheetName val="7.8.23"/>
      <sheetName val="8.8.23"/>
      <sheetName val="9.8.23"/>
      <sheetName val="10.8.23"/>
      <sheetName val="11.8.23"/>
      <sheetName val="12.8.23"/>
      <sheetName val="14.8.23"/>
      <sheetName val="13.8.23"/>
      <sheetName val="15.8.23"/>
      <sheetName val="16.8.23"/>
      <sheetName val="17.8.23"/>
      <sheetName val="18.8.23"/>
      <sheetName val="19.8.23"/>
      <sheetName val="21.8.23"/>
      <sheetName val="22.8.23"/>
      <sheetName val="23.8.23"/>
      <sheetName val="24.8.23"/>
      <sheetName val="25.8.23"/>
      <sheetName val="26.8.23"/>
      <sheetName val="28.8.23"/>
      <sheetName val="29.8.23"/>
      <sheetName val="30.8.23"/>
      <sheetName val="31.8.23"/>
      <sheetName val="1.9.23"/>
      <sheetName val="2.9.23"/>
      <sheetName val="4.9.23"/>
      <sheetName val="5.9.23"/>
      <sheetName val="6.9.23"/>
      <sheetName val="7.9.23"/>
      <sheetName val="8.9.23"/>
      <sheetName val="9.9.23"/>
      <sheetName val="11.9.23"/>
      <sheetName val="12.9.23"/>
      <sheetName val="13.9.23"/>
      <sheetName val="14.9.23"/>
      <sheetName val="15.9.23"/>
      <sheetName val="16.9.23"/>
      <sheetName val="18.9.23"/>
      <sheetName val="19.9.23"/>
      <sheetName val="20.9.23"/>
      <sheetName val="21.9.23"/>
      <sheetName val="22.9.23"/>
      <sheetName val="23.9.23"/>
      <sheetName val="25.9.23"/>
      <sheetName val="26.9.23"/>
      <sheetName val="27.9.23"/>
      <sheetName val="28.9.23"/>
      <sheetName val="29.9.23"/>
      <sheetName val="30.9.23"/>
      <sheetName val="2.10.23"/>
      <sheetName val="3.10.23"/>
      <sheetName val="4.10.23"/>
      <sheetName val="5.10.23"/>
      <sheetName val="6.10.23"/>
      <sheetName val="7.10.23"/>
      <sheetName val="9.10.23"/>
      <sheetName val="10.10.23"/>
      <sheetName val="11.10.23"/>
      <sheetName val="12.10.23"/>
      <sheetName val="13.10.23"/>
      <sheetName val="14.10.23"/>
      <sheetName val="16.10.23"/>
      <sheetName val="17.10.23"/>
      <sheetName val="Sheet1 (2)"/>
      <sheetName val="Sheet1"/>
      <sheetName val="July"/>
      <sheetName val="Aug"/>
      <sheetName val="Sept"/>
      <sheetName val="17.10.23 (5)"/>
      <sheetName val="17.10.23 (6)"/>
      <sheetName val="True1"/>
      <sheetName val="Sept (3)"/>
      <sheetName val="Sept (4)"/>
      <sheetName val="Sheet6"/>
      <sheetName val="True 2"/>
      <sheetName val="Sept (5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7">
          <cell r="AV7" t="str">
            <v>လက္ငင္း</v>
          </cell>
        </row>
        <row r="8">
          <cell r="AV8" t="str">
            <v>ကုန္ေႂကြး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7">
          <cell r="AV7" t="str">
            <v>ကုန္ေၾကြး</v>
          </cell>
        </row>
        <row r="8">
          <cell r="AV8" t="str">
            <v>လက္ငင္း</v>
          </cell>
        </row>
        <row r="9">
          <cell r="AV9" t="str">
            <v>ေငြႀကိဳ</v>
          </cell>
        </row>
      </sheetData>
      <sheetData sheetId="37">
        <row r="7">
          <cell r="AV7" t="str">
            <v>လက္ငင္း</v>
          </cell>
        </row>
        <row r="8">
          <cell r="AV8" t="str">
            <v>ကုန္ေႂကြး</v>
          </cell>
        </row>
        <row r="9">
          <cell r="AV9" t="str">
            <v>ေငြႀကိဳမွ</v>
          </cell>
        </row>
      </sheetData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FD75B-C73E-442A-93E8-190E6AFAE091}">
  <sheetPr>
    <tabColor rgb="FFFFFF00"/>
  </sheetPr>
  <dimension ref="A1:AC165"/>
  <sheetViews>
    <sheetView topLeftCell="A86" zoomScaleNormal="100" workbookViewId="0">
      <selection activeCell="I34" sqref="I34"/>
    </sheetView>
  </sheetViews>
  <sheetFormatPr defaultColWidth="12.7109375" defaultRowHeight="21.75" x14ac:dyDescent="0.6"/>
  <cols>
    <col min="1" max="1" width="7.42578125" style="26" customWidth="1"/>
    <col min="2" max="3" width="21.7109375" style="26" customWidth="1"/>
    <col min="4" max="5" width="19.85546875" style="26" customWidth="1"/>
    <col min="6" max="6" width="17.7109375" style="26" customWidth="1"/>
    <col min="7" max="7" width="8.28515625" style="26" customWidth="1"/>
    <col min="8" max="8" width="9.28515625" style="28" customWidth="1"/>
    <col min="9" max="9" width="15.140625" style="27" customWidth="1"/>
    <col min="10" max="10" width="13.42578125" style="27" customWidth="1"/>
    <col min="11" max="14" width="15" style="27" customWidth="1"/>
    <col min="15" max="15" width="15" style="26" customWidth="1"/>
    <col min="16" max="16" width="13.85546875" style="26" customWidth="1"/>
    <col min="17" max="20" width="15" style="27" customWidth="1"/>
    <col min="21" max="21" width="15" style="26" bestFit="1" customWidth="1"/>
    <col min="22" max="22" width="12.7109375" style="26"/>
    <col min="23" max="26" width="15" style="27" customWidth="1"/>
    <col min="27" max="16384" width="12.7109375" style="26"/>
  </cols>
  <sheetData>
    <row r="1" spans="1:29" s="128" customFormat="1" ht="28.9" customHeight="1" thickBot="1" x14ac:dyDescent="0.3">
      <c r="H1" s="167"/>
      <c r="I1" s="166"/>
      <c r="J1" s="483" t="s">
        <v>346</v>
      </c>
      <c r="K1" s="483"/>
      <c r="L1" s="483"/>
      <c r="M1" s="484" t="s">
        <v>345</v>
      </c>
      <c r="N1" s="485"/>
      <c r="O1" s="486"/>
      <c r="P1" s="487" t="s">
        <v>344</v>
      </c>
      <c r="Q1" s="487"/>
      <c r="R1" s="487"/>
      <c r="S1" s="488" t="s">
        <v>343</v>
      </c>
      <c r="T1" s="488"/>
      <c r="U1" s="488"/>
      <c r="W1" s="166"/>
      <c r="X1" s="166"/>
      <c r="Y1" s="166"/>
      <c r="Z1" s="166"/>
    </row>
    <row r="2" spans="1:29" s="53" customFormat="1" ht="23.1" customHeight="1" thickBot="1" x14ac:dyDescent="0.3">
      <c r="B2" s="62"/>
      <c r="C2" s="62"/>
      <c r="D2" s="62"/>
      <c r="E2" s="474" t="s">
        <v>342</v>
      </c>
      <c r="F2" s="474"/>
      <c r="G2" s="165"/>
      <c r="H2" s="164"/>
      <c r="I2" s="163"/>
      <c r="J2" s="162" t="s">
        <v>341</v>
      </c>
      <c r="K2" s="161" t="s">
        <v>340</v>
      </c>
      <c r="L2" s="161" t="s">
        <v>120</v>
      </c>
      <c r="M2" s="160" t="s">
        <v>339</v>
      </c>
      <c r="N2" s="160" t="s">
        <v>338</v>
      </c>
      <c r="O2" s="160" t="s">
        <v>337</v>
      </c>
      <c r="P2" s="159" t="s">
        <v>336</v>
      </c>
      <c r="Q2" s="159" t="s">
        <v>335</v>
      </c>
      <c r="R2" s="159" t="s">
        <v>334</v>
      </c>
      <c r="S2" s="158" t="s">
        <v>333</v>
      </c>
      <c r="T2" s="158" t="s">
        <v>333</v>
      </c>
      <c r="U2" s="158" t="s">
        <v>332</v>
      </c>
    </row>
    <row r="3" spans="1:29" s="53" customFormat="1" ht="23.1" customHeight="1" thickBot="1" x14ac:dyDescent="0.8">
      <c r="B3" s="62"/>
      <c r="C3" s="62"/>
      <c r="D3" s="62"/>
      <c r="E3" s="157" t="s">
        <v>331</v>
      </c>
      <c r="F3" s="157" t="s">
        <v>330</v>
      </c>
      <c r="G3" s="156"/>
      <c r="H3" s="155"/>
      <c r="I3" s="154" t="s">
        <v>329</v>
      </c>
      <c r="J3" s="138">
        <v>275500.13443221734</v>
      </c>
      <c r="K3" s="138">
        <v>236142.97237047198</v>
      </c>
      <c r="L3" s="138">
        <v>314857.2964939627</v>
      </c>
      <c r="M3" s="153">
        <v>354214.458555708</v>
      </c>
      <c r="N3" s="152">
        <v>354214.458555708</v>
      </c>
      <c r="O3" s="152">
        <v>354214.458555708</v>
      </c>
      <c r="P3" s="151">
        <v>354214.458555708</v>
      </c>
      <c r="Q3" s="151">
        <v>393571.62061745336</v>
      </c>
      <c r="R3" s="151">
        <v>314857.2964939627</v>
      </c>
      <c r="S3" s="150">
        <v>393571.62061745336</v>
      </c>
      <c r="T3" s="150">
        <v>275500.13443221734</v>
      </c>
      <c r="U3" s="150">
        <v>314857.2964939627</v>
      </c>
    </row>
    <row r="4" spans="1:29" s="125" customFormat="1" ht="23.1" customHeight="1" x14ac:dyDescent="0.25">
      <c r="B4" s="145"/>
      <c r="C4" s="145"/>
      <c r="D4" s="144"/>
      <c r="E4" s="147"/>
      <c r="F4" s="142">
        <v>0.66</v>
      </c>
      <c r="H4" s="126"/>
      <c r="I4" s="149" t="s">
        <v>328</v>
      </c>
      <c r="J4" s="140">
        <f>J3*F4</f>
        <v>181830.08872526346</v>
      </c>
      <c r="K4" s="140">
        <f>K3*F4</f>
        <v>155854.3617645115</v>
      </c>
      <c r="L4" s="140">
        <f>L3*F4</f>
        <v>207805.81568601538</v>
      </c>
      <c r="M4" s="137"/>
      <c r="N4" s="137"/>
      <c r="O4" s="136"/>
      <c r="P4" s="135"/>
      <c r="Q4" s="134"/>
      <c r="R4" s="134"/>
      <c r="S4" s="133"/>
      <c r="T4" s="132"/>
      <c r="U4" s="131"/>
      <c r="W4" s="129"/>
      <c r="X4" s="129"/>
      <c r="Y4" s="129"/>
      <c r="Z4" s="129"/>
    </row>
    <row r="5" spans="1:29" s="125" customFormat="1" ht="23.1" customHeight="1" x14ac:dyDescent="0.25">
      <c r="B5" s="145"/>
      <c r="C5" s="145"/>
      <c r="D5" s="144"/>
      <c r="E5" s="147"/>
      <c r="F5" s="142">
        <v>0.28999999999999998</v>
      </c>
      <c r="H5" s="126"/>
      <c r="I5" s="149" t="s">
        <v>327</v>
      </c>
      <c r="J5" s="140">
        <f>J3*F5</f>
        <v>79895.038985343024</v>
      </c>
      <c r="K5" s="140">
        <f>K3*F5</f>
        <v>68481.461987436865</v>
      </c>
      <c r="L5" s="140">
        <f>L3*F5</f>
        <v>91308.615983249183</v>
      </c>
      <c r="M5" s="137"/>
      <c r="N5" s="137"/>
      <c r="O5" s="136"/>
      <c r="P5" s="135"/>
      <c r="Q5" s="134"/>
      <c r="R5" s="134"/>
      <c r="S5" s="133"/>
      <c r="T5" s="132"/>
      <c r="U5" s="131"/>
      <c r="W5" s="129"/>
      <c r="X5" s="129"/>
      <c r="Y5" s="129"/>
      <c r="Z5" s="129"/>
    </row>
    <row r="6" spans="1:29" s="125" customFormat="1" ht="23.1" customHeight="1" x14ac:dyDescent="0.25">
      <c r="B6" s="145"/>
      <c r="C6" s="145"/>
      <c r="D6" s="144"/>
      <c r="E6" s="147"/>
      <c r="F6" s="142">
        <v>0.03</v>
      </c>
      <c r="G6" s="148"/>
      <c r="H6" s="126"/>
      <c r="I6" s="141" t="s">
        <v>326</v>
      </c>
      <c r="J6" s="140">
        <f>J3*F6</f>
        <v>8265.0040329665208</v>
      </c>
      <c r="K6" s="140">
        <f>F6*K3</f>
        <v>7084.2891711141592</v>
      </c>
      <c r="L6" s="140">
        <f>L3*F6</f>
        <v>9445.7188948188814</v>
      </c>
      <c r="M6" s="137"/>
      <c r="N6" s="137"/>
      <c r="O6" s="136"/>
      <c r="P6" s="135"/>
      <c r="Q6" s="134"/>
      <c r="R6" s="134"/>
      <c r="S6" s="133"/>
      <c r="T6" s="132"/>
      <c r="U6" s="131"/>
      <c r="W6" s="129"/>
      <c r="X6" s="129"/>
      <c r="Y6" s="129"/>
      <c r="Z6" s="129"/>
    </row>
    <row r="7" spans="1:29" s="125" customFormat="1" ht="23.1" customHeight="1" x14ac:dyDescent="0.25">
      <c r="B7" s="145"/>
      <c r="C7" s="145"/>
      <c r="D7" s="144"/>
      <c r="E7" s="147"/>
      <c r="F7" s="142">
        <v>0.02</v>
      </c>
      <c r="G7" s="146"/>
      <c r="H7" s="126"/>
      <c r="I7" s="141" t="s">
        <v>121</v>
      </c>
      <c r="J7" s="140">
        <f>J3*F7</f>
        <v>5510.0026886443466</v>
      </c>
      <c r="K7" s="140">
        <f>K3*F7</f>
        <v>4722.8594474094398</v>
      </c>
      <c r="L7" s="140">
        <f>L3*F7</f>
        <v>6297.1459298792543</v>
      </c>
      <c r="M7" s="137"/>
      <c r="N7" s="137"/>
      <c r="O7" s="136"/>
      <c r="P7" s="135"/>
      <c r="Q7" s="134"/>
      <c r="R7" s="134"/>
      <c r="S7" s="133"/>
      <c r="T7" s="132"/>
      <c r="U7" s="131"/>
      <c r="W7" s="129"/>
      <c r="X7" s="129"/>
      <c r="Y7" s="129"/>
      <c r="Z7" s="129"/>
    </row>
    <row r="8" spans="1:29" s="125" customFormat="1" ht="23.1" customHeight="1" thickBot="1" x14ac:dyDescent="0.3">
      <c r="B8" s="145"/>
      <c r="C8" s="145"/>
      <c r="D8" s="144"/>
      <c r="E8" s="143"/>
      <c r="F8" s="142">
        <f>SUM(F4:F7)</f>
        <v>1</v>
      </c>
      <c r="H8" s="126"/>
      <c r="I8" s="141" t="s">
        <v>122</v>
      </c>
      <c r="J8" s="140">
        <f>SUM(J4:J7)</f>
        <v>275500.13443221734</v>
      </c>
      <c r="K8" s="140">
        <f>SUM(K4:K7)</f>
        <v>236142.97237047195</v>
      </c>
      <c r="L8" s="140">
        <f>SUM(L4:L7)</f>
        <v>314857.2964939627</v>
      </c>
      <c r="M8" s="137"/>
      <c r="N8" s="137"/>
      <c r="O8" s="136"/>
      <c r="P8" s="135"/>
      <c r="Q8" s="134"/>
      <c r="R8" s="134"/>
      <c r="S8" s="133"/>
      <c r="T8" s="132"/>
      <c r="U8" s="131"/>
      <c r="W8" s="129"/>
      <c r="X8" s="129"/>
      <c r="Y8" s="129"/>
      <c r="Z8" s="129"/>
    </row>
    <row r="9" spans="1:29" s="125" customFormat="1" ht="23.1" customHeight="1" thickBot="1" x14ac:dyDescent="0.3">
      <c r="B9" s="128"/>
      <c r="C9" s="128"/>
      <c r="D9" s="127"/>
      <c r="E9" s="127"/>
      <c r="F9" s="127"/>
      <c r="H9" s="126"/>
      <c r="I9" s="139" t="s">
        <v>110</v>
      </c>
      <c r="J9" s="138"/>
      <c r="K9" s="138"/>
      <c r="L9" s="138"/>
      <c r="M9" s="137"/>
      <c r="N9" s="137"/>
      <c r="O9" s="136"/>
      <c r="P9" s="135"/>
      <c r="Q9" s="134"/>
      <c r="R9" s="134"/>
      <c r="S9" s="133"/>
      <c r="T9" s="132"/>
      <c r="U9" s="131"/>
      <c r="W9" s="129"/>
      <c r="X9" s="129"/>
      <c r="Y9" s="129"/>
      <c r="Z9" s="129"/>
    </row>
    <row r="10" spans="1:29" s="125" customFormat="1" ht="23.1" customHeight="1" x14ac:dyDescent="0.25">
      <c r="B10" s="128"/>
      <c r="C10" s="128"/>
      <c r="D10" s="127"/>
      <c r="E10" s="127"/>
      <c r="F10" s="127"/>
      <c r="H10" s="126"/>
      <c r="I10" s="129"/>
      <c r="J10" s="129"/>
      <c r="K10" s="129"/>
      <c r="L10" s="129"/>
      <c r="M10" s="129"/>
      <c r="N10" s="129"/>
      <c r="Q10" s="129"/>
      <c r="R10" s="129"/>
      <c r="S10" s="129"/>
      <c r="T10" s="129"/>
      <c r="W10" s="129"/>
      <c r="X10" s="129"/>
      <c r="Y10" s="129"/>
      <c r="Z10" s="129"/>
    </row>
    <row r="11" spans="1:29" s="125" customFormat="1" ht="23.1" customHeight="1" x14ac:dyDescent="0.25">
      <c r="B11" s="128"/>
      <c r="C11" s="128"/>
      <c r="D11" s="127"/>
      <c r="E11" s="127"/>
      <c r="F11" s="127"/>
      <c r="H11" s="126"/>
      <c r="I11" s="129"/>
      <c r="J11" s="130"/>
      <c r="K11" s="129"/>
      <c r="L11" s="129"/>
      <c r="M11" s="129"/>
      <c r="N11" s="129"/>
      <c r="Q11" s="129"/>
      <c r="R11" s="129"/>
      <c r="S11" s="129"/>
      <c r="T11" s="129"/>
      <c r="W11" s="129"/>
      <c r="X11" s="129"/>
      <c r="Y11" s="129"/>
      <c r="Z11" s="129"/>
    </row>
    <row r="12" spans="1:29" s="125" customFormat="1" ht="23.1" customHeight="1" x14ac:dyDescent="0.25">
      <c r="B12" s="128"/>
      <c r="C12" s="128"/>
      <c r="D12" s="127"/>
      <c r="E12" s="127"/>
      <c r="F12" s="127"/>
      <c r="H12" s="126"/>
      <c r="I12" s="489" t="s">
        <v>314</v>
      </c>
      <c r="J12" s="489"/>
      <c r="K12" s="489"/>
      <c r="L12" s="489"/>
      <c r="M12" s="489"/>
      <c r="N12" s="489"/>
      <c r="O12" s="489"/>
      <c r="P12" s="489"/>
      <c r="Q12" s="489"/>
      <c r="R12" s="489"/>
      <c r="S12" s="489"/>
      <c r="T12" s="489"/>
      <c r="U12" s="489"/>
      <c r="V12" s="489"/>
      <c r="W12" s="489"/>
      <c r="X12" s="489"/>
      <c r="Y12" s="489"/>
      <c r="Z12" s="489"/>
      <c r="AA12" s="489"/>
      <c r="AB12" s="489"/>
      <c r="AC12" s="489"/>
    </row>
    <row r="13" spans="1:29" s="60" customFormat="1" ht="25.15" customHeight="1" x14ac:dyDescent="0.25">
      <c r="A13" s="62"/>
      <c r="B13" s="63" t="s">
        <v>325</v>
      </c>
      <c r="C13" s="62"/>
      <c r="D13" s="62"/>
      <c r="E13" s="62"/>
      <c r="F13" s="62"/>
      <c r="H13" s="61"/>
      <c r="I13" s="477" t="s">
        <v>161</v>
      </c>
      <c r="J13" s="478"/>
      <c r="K13" s="478"/>
      <c r="L13" s="478"/>
      <c r="M13" s="478"/>
      <c r="N13" s="479"/>
      <c r="O13" s="480">
        <v>45713</v>
      </c>
      <c r="P13" s="481"/>
      <c r="Q13" s="481"/>
      <c r="R13" s="481"/>
      <c r="S13" s="481"/>
      <c r="T13" s="482"/>
      <c r="U13" s="480">
        <v>45741</v>
      </c>
      <c r="V13" s="481"/>
      <c r="W13" s="481"/>
      <c r="X13" s="481"/>
      <c r="Y13" s="481"/>
      <c r="Z13" s="481"/>
      <c r="AA13" s="490" t="s">
        <v>160</v>
      </c>
      <c r="AB13" s="490"/>
      <c r="AC13" s="490"/>
    </row>
    <row r="14" spans="1:29" s="57" customFormat="1" ht="25.15" customHeight="1" x14ac:dyDescent="0.25">
      <c r="A14" s="53"/>
      <c r="B14" s="53"/>
      <c r="C14" s="53"/>
      <c r="D14" s="53"/>
      <c r="E14" s="53"/>
      <c r="F14" s="53"/>
      <c r="H14" s="59"/>
      <c r="I14" s="475">
        <f>J3*F4</f>
        <v>181830.08872526346</v>
      </c>
      <c r="J14" s="476"/>
      <c r="K14" s="58">
        <v>10</v>
      </c>
      <c r="L14" s="58">
        <v>20</v>
      </c>
      <c r="M14" s="58">
        <v>30</v>
      </c>
      <c r="N14" s="78" t="s">
        <v>110</v>
      </c>
      <c r="O14" s="475">
        <f>K3*F4</f>
        <v>155854.3617645115</v>
      </c>
      <c r="P14" s="476"/>
      <c r="Q14" s="58">
        <v>10</v>
      </c>
      <c r="R14" s="58">
        <v>20</v>
      </c>
      <c r="S14" s="58">
        <v>30</v>
      </c>
      <c r="T14" s="78" t="s">
        <v>110</v>
      </c>
      <c r="U14" s="475">
        <f>L3*F4</f>
        <v>207805.81568601538</v>
      </c>
      <c r="V14" s="476"/>
      <c r="W14" s="58">
        <v>10</v>
      </c>
      <c r="X14" s="58">
        <v>20</v>
      </c>
      <c r="Y14" s="58">
        <v>30</v>
      </c>
      <c r="Z14" s="124" t="s">
        <v>110</v>
      </c>
      <c r="AA14" s="54" t="s">
        <v>119</v>
      </c>
      <c r="AB14" s="54" t="s">
        <v>159</v>
      </c>
      <c r="AC14" s="54" t="s">
        <v>110</v>
      </c>
    </row>
    <row r="15" spans="1:29" s="53" customFormat="1" ht="60" customHeight="1" x14ac:dyDescent="0.25">
      <c r="A15" s="54" t="s">
        <v>158</v>
      </c>
      <c r="B15" s="494" t="s">
        <v>312</v>
      </c>
      <c r="C15" s="495"/>
      <c r="D15" s="494" t="s">
        <v>311</v>
      </c>
      <c r="E15" s="495"/>
      <c r="F15" s="54" t="s">
        <v>310</v>
      </c>
      <c r="G15" s="56" t="s">
        <v>267</v>
      </c>
      <c r="H15" s="55" t="s">
        <v>266</v>
      </c>
      <c r="I15" s="54" t="s">
        <v>265</v>
      </c>
      <c r="J15" s="65" t="s">
        <v>152</v>
      </c>
      <c r="K15" s="65" t="s">
        <v>152</v>
      </c>
      <c r="L15" s="65" t="s">
        <v>152</v>
      </c>
      <c r="M15" s="65" t="s">
        <v>152</v>
      </c>
      <c r="N15" s="64"/>
      <c r="O15" s="54" t="s">
        <v>265</v>
      </c>
      <c r="P15" s="65" t="s">
        <v>152</v>
      </c>
      <c r="Q15" s="65" t="s">
        <v>152</v>
      </c>
      <c r="R15" s="65" t="s">
        <v>152</v>
      </c>
      <c r="S15" s="65" t="s">
        <v>152</v>
      </c>
      <c r="T15" s="64"/>
      <c r="U15" s="54" t="s">
        <v>265</v>
      </c>
      <c r="V15" s="65" t="s">
        <v>152</v>
      </c>
      <c r="W15" s="65" t="s">
        <v>152</v>
      </c>
      <c r="X15" s="65" t="s">
        <v>152</v>
      </c>
      <c r="Y15" s="65" t="s">
        <v>152</v>
      </c>
      <c r="Z15" s="110"/>
      <c r="AA15" s="65" t="s">
        <v>152</v>
      </c>
      <c r="AB15" s="65" t="s">
        <v>152</v>
      </c>
      <c r="AC15" s="54"/>
    </row>
    <row r="16" spans="1:29" s="53" customFormat="1" ht="30" customHeight="1" x14ac:dyDescent="0.25">
      <c r="A16" s="74">
        <v>1</v>
      </c>
      <c r="B16" s="7" t="s">
        <v>81</v>
      </c>
      <c r="C16" s="7" t="s">
        <v>80</v>
      </c>
      <c r="D16" s="7" t="s">
        <v>28</v>
      </c>
      <c r="E16" s="170" t="s">
        <v>317</v>
      </c>
      <c r="F16" s="170" t="s">
        <v>316</v>
      </c>
      <c r="G16" s="72">
        <v>0.31729808522519581</v>
      </c>
      <c r="H16" s="55"/>
      <c r="I16" s="122">
        <f t="shared" ref="I16:I27" si="0">J16/14</f>
        <v>4121.0242134895398</v>
      </c>
      <c r="J16" s="123">
        <f>I14*G16</f>
        <v>57694.33898885356</v>
      </c>
      <c r="K16" s="109"/>
      <c r="L16" s="109"/>
      <c r="M16" s="109"/>
      <c r="N16" s="64"/>
      <c r="O16" s="122">
        <f t="shared" ref="O16:O27" si="1">P16/14</f>
        <v>3532.3064687053193</v>
      </c>
      <c r="P16" s="123">
        <f>G16*O14</f>
        <v>49452.29056187447</v>
      </c>
      <c r="Q16" s="109"/>
      <c r="R16" s="109"/>
      <c r="S16" s="109"/>
      <c r="T16" s="64"/>
      <c r="U16" s="122">
        <f t="shared" ref="U16:U27" si="2">V16/14</f>
        <v>4709.7419582737593</v>
      </c>
      <c r="V16" s="123">
        <f>G16*U14</f>
        <v>65936.387415832636</v>
      </c>
      <c r="W16" s="109"/>
      <c r="X16" s="109"/>
      <c r="Y16" s="109"/>
      <c r="Z16" s="110"/>
      <c r="AA16" s="109"/>
      <c r="AB16" s="109"/>
      <c r="AC16" s="54"/>
    </row>
    <row r="17" spans="1:29" s="53" customFormat="1" ht="30" customHeight="1" x14ac:dyDescent="0.25">
      <c r="A17" s="74">
        <v>2</v>
      </c>
      <c r="B17" s="7" t="s">
        <v>84</v>
      </c>
      <c r="C17" s="7" t="s">
        <v>324</v>
      </c>
      <c r="D17" s="7" t="s">
        <v>28</v>
      </c>
      <c r="E17" s="170" t="s">
        <v>321</v>
      </c>
      <c r="F17" s="170" t="s">
        <v>316</v>
      </c>
      <c r="G17" s="72">
        <v>0.26991484186739084</v>
      </c>
      <c r="H17" s="55"/>
      <c r="I17" s="122">
        <f t="shared" si="0"/>
        <v>3505.6171175009376</v>
      </c>
      <c r="J17" s="123">
        <f>I14*G17</f>
        <v>49078.639645013129</v>
      </c>
      <c r="K17" s="109"/>
      <c r="L17" s="109"/>
      <c r="M17" s="109"/>
      <c r="N17" s="64"/>
      <c r="O17" s="122">
        <f t="shared" si="1"/>
        <v>3004.8146721436606</v>
      </c>
      <c r="P17" s="123">
        <f>G17*O14</f>
        <v>42067.405410011248</v>
      </c>
      <c r="Q17" s="109"/>
      <c r="R17" s="109"/>
      <c r="S17" s="109"/>
      <c r="T17" s="64"/>
      <c r="U17" s="122">
        <f t="shared" si="2"/>
        <v>4006.4195628582152</v>
      </c>
      <c r="V17" s="123">
        <f>G17*U14</f>
        <v>56089.873880015009</v>
      </c>
      <c r="W17" s="109"/>
      <c r="X17" s="109"/>
      <c r="Y17" s="109"/>
      <c r="Z17" s="110"/>
      <c r="AA17" s="109"/>
      <c r="AB17" s="109"/>
      <c r="AC17" s="54"/>
    </row>
    <row r="18" spans="1:29" s="53" customFormat="1" ht="30" customHeight="1" x14ac:dyDescent="0.25">
      <c r="A18" s="74">
        <v>3</v>
      </c>
      <c r="B18" s="7" t="s">
        <v>54</v>
      </c>
      <c r="C18" s="7" t="s">
        <v>53</v>
      </c>
      <c r="D18" s="7" t="s">
        <v>41</v>
      </c>
      <c r="E18" s="170" t="s">
        <v>319</v>
      </c>
      <c r="F18" s="170" t="s">
        <v>316</v>
      </c>
      <c r="G18" s="72">
        <v>7.4660179653078487E-2</v>
      </c>
      <c r="H18" s="55"/>
      <c r="I18" s="122">
        <f t="shared" si="0"/>
        <v>969.67622075452641</v>
      </c>
      <c r="J18" s="123">
        <f>I14*G18</f>
        <v>13575.46709056337</v>
      </c>
      <c r="K18" s="109"/>
      <c r="L18" s="109"/>
      <c r="M18" s="109"/>
      <c r="N18" s="64"/>
      <c r="O18" s="122">
        <f t="shared" si="1"/>
        <v>831.15104636102262</v>
      </c>
      <c r="P18" s="123">
        <f>G18*O14</f>
        <v>11636.114649054316</v>
      </c>
      <c r="Q18" s="109"/>
      <c r="R18" s="109"/>
      <c r="S18" s="109"/>
      <c r="T18" s="64"/>
      <c r="U18" s="122">
        <f t="shared" si="2"/>
        <v>1108.2013951480303</v>
      </c>
      <c r="V18" s="123">
        <f>G18*U14</f>
        <v>15514.819532072424</v>
      </c>
      <c r="W18" s="109"/>
      <c r="X18" s="109"/>
      <c r="Y18" s="109"/>
      <c r="Z18" s="110"/>
      <c r="AA18" s="109"/>
      <c r="AB18" s="109"/>
      <c r="AC18" s="54"/>
    </row>
    <row r="19" spans="1:29" s="53" customFormat="1" ht="30" customHeight="1" x14ac:dyDescent="0.25">
      <c r="A19" s="74">
        <v>4</v>
      </c>
      <c r="B19" s="7" t="s">
        <v>323</v>
      </c>
      <c r="C19" s="7" t="s">
        <v>55</v>
      </c>
      <c r="D19" s="7" t="s">
        <v>41</v>
      </c>
      <c r="E19" s="170" t="s">
        <v>319</v>
      </c>
      <c r="F19" s="170" t="s">
        <v>316</v>
      </c>
      <c r="G19" s="72">
        <v>5.8876304044146358E-2</v>
      </c>
      <c r="H19" s="55"/>
      <c r="I19" s="122">
        <f t="shared" si="0"/>
        <v>764.67739915447999</v>
      </c>
      <c r="J19" s="123">
        <f>I14*G19</f>
        <v>10705.48358816272</v>
      </c>
      <c r="K19" s="109"/>
      <c r="L19" s="109"/>
      <c r="M19" s="109"/>
      <c r="N19" s="64"/>
      <c r="O19" s="122">
        <f t="shared" si="1"/>
        <v>655.43777070383987</v>
      </c>
      <c r="P19" s="123">
        <f>G19*O14</f>
        <v>9176.1287898537576</v>
      </c>
      <c r="Q19" s="109"/>
      <c r="R19" s="109"/>
      <c r="S19" s="109"/>
      <c r="T19" s="64"/>
      <c r="U19" s="122">
        <f t="shared" si="2"/>
        <v>873.91702760511998</v>
      </c>
      <c r="V19" s="123">
        <f>G19*U14</f>
        <v>12234.83838647168</v>
      </c>
      <c r="W19" s="109"/>
      <c r="X19" s="109"/>
      <c r="Y19" s="109"/>
      <c r="Z19" s="110"/>
      <c r="AA19" s="109"/>
      <c r="AB19" s="109"/>
      <c r="AC19" s="54"/>
    </row>
    <row r="20" spans="1:29" s="53" customFormat="1" ht="30" customHeight="1" x14ac:dyDescent="0.25">
      <c r="A20" s="74">
        <v>5</v>
      </c>
      <c r="B20" s="7" t="s">
        <v>322</v>
      </c>
      <c r="C20" s="7" t="s">
        <v>85</v>
      </c>
      <c r="D20" s="7" t="s">
        <v>28</v>
      </c>
      <c r="E20" s="170" t="s">
        <v>317</v>
      </c>
      <c r="F20" s="170" t="s">
        <v>316</v>
      </c>
      <c r="G20" s="72">
        <v>4.4488975776335336E-2</v>
      </c>
      <c r="H20" s="55"/>
      <c r="I20" s="122">
        <f t="shared" si="0"/>
        <v>577.81674376479646</v>
      </c>
      <c r="J20" s="123">
        <f>I14*G20</f>
        <v>8089.4344127071508</v>
      </c>
      <c r="K20" s="109"/>
      <c r="L20" s="109"/>
      <c r="M20" s="109"/>
      <c r="N20" s="64"/>
      <c r="O20" s="122">
        <f t="shared" si="1"/>
        <v>495.27149465553975</v>
      </c>
      <c r="P20" s="123">
        <f>G20*O14</f>
        <v>6933.8009251775566</v>
      </c>
      <c r="Q20" s="109"/>
      <c r="R20" s="109"/>
      <c r="S20" s="109"/>
      <c r="T20" s="64"/>
      <c r="U20" s="122">
        <f t="shared" si="2"/>
        <v>660.36199287405304</v>
      </c>
      <c r="V20" s="123">
        <f>G20*U14</f>
        <v>9245.0679002367433</v>
      </c>
      <c r="W20" s="109"/>
      <c r="X20" s="109"/>
      <c r="Y20" s="109"/>
      <c r="Z20" s="110"/>
      <c r="AA20" s="109"/>
      <c r="AB20" s="109"/>
      <c r="AC20" s="54"/>
    </row>
    <row r="21" spans="1:29" s="53" customFormat="1" ht="30" customHeight="1" x14ac:dyDescent="0.25">
      <c r="A21" s="74">
        <v>6</v>
      </c>
      <c r="B21" s="7" t="s">
        <v>107</v>
      </c>
      <c r="C21" s="7" t="s">
        <v>106</v>
      </c>
      <c r="D21" s="7" t="s">
        <v>41</v>
      </c>
      <c r="E21" s="170" t="s">
        <v>319</v>
      </c>
      <c r="F21" s="170" t="s">
        <v>316</v>
      </c>
      <c r="G21" s="72">
        <v>4.377082885771226E-2</v>
      </c>
      <c r="H21" s="55"/>
      <c r="I21" s="122">
        <f t="shared" si="0"/>
        <v>568.4895496268673</v>
      </c>
      <c r="J21" s="123">
        <f>I14*G21</f>
        <v>7958.8536947761422</v>
      </c>
      <c r="K21" s="109"/>
      <c r="L21" s="109"/>
      <c r="M21" s="109"/>
      <c r="N21" s="64"/>
      <c r="O21" s="122">
        <f t="shared" si="1"/>
        <v>487.27675682302907</v>
      </c>
      <c r="P21" s="123">
        <f>G21*O14</f>
        <v>6821.8745955224067</v>
      </c>
      <c r="Q21" s="109"/>
      <c r="R21" s="109"/>
      <c r="S21" s="109"/>
      <c r="T21" s="64"/>
      <c r="U21" s="122">
        <f t="shared" si="2"/>
        <v>649.70234243070547</v>
      </c>
      <c r="V21" s="123">
        <f>G21*U14</f>
        <v>9095.8327940298768</v>
      </c>
      <c r="W21" s="109"/>
      <c r="X21" s="109"/>
      <c r="Y21" s="109"/>
      <c r="Z21" s="110"/>
      <c r="AA21" s="109"/>
      <c r="AB21" s="109"/>
      <c r="AC21" s="54"/>
    </row>
    <row r="22" spans="1:29" s="53" customFormat="1" ht="30" customHeight="1" x14ac:dyDescent="0.25">
      <c r="A22" s="74">
        <v>7</v>
      </c>
      <c r="B22" s="7" t="s">
        <v>83</v>
      </c>
      <c r="C22" s="7" t="s">
        <v>82</v>
      </c>
      <c r="D22" s="7" t="s">
        <v>28</v>
      </c>
      <c r="E22" s="170" t="s">
        <v>317</v>
      </c>
      <c r="F22" s="170" t="s">
        <v>316</v>
      </c>
      <c r="G22" s="72">
        <v>3.9177398566896719E-2</v>
      </c>
      <c r="H22" s="55"/>
      <c r="I22" s="122">
        <f t="shared" si="0"/>
        <v>508.83070410313138</v>
      </c>
      <c r="J22" s="123">
        <f>I14*G22</f>
        <v>7123.6298574438397</v>
      </c>
      <c r="K22" s="109"/>
      <c r="L22" s="109"/>
      <c r="M22" s="109"/>
      <c r="N22" s="64"/>
      <c r="O22" s="122">
        <f t="shared" si="1"/>
        <v>436.14060351696969</v>
      </c>
      <c r="P22" s="123">
        <f>G22*O14</f>
        <v>6105.9684492375754</v>
      </c>
      <c r="Q22" s="109"/>
      <c r="R22" s="109"/>
      <c r="S22" s="109"/>
      <c r="T22" s="64"/>
      <c r="U22" s="122">
        <f t="shared" si="2"/>
        <v>581.52080468929307</v>
      </c>
      <c r="V22" s="123">
        <f>G22*U14</f>
        <v>8141.291265650103</v>
      </c>
      <c r="W22" s="109"/>
      <c r="X22" s="109"/>
      <c r="Y22" s="109"/>
      <c r="Z22" s="110"/>
      <c r="AA22" s="109"/>
      <c r="AB22" s="109"/>
      <c r="AC22" s="54"/>
    </row>
    <row r="23" spans="1:29" s="53" customFormat="1" ht="30" customHeight="1" x14ac:dyDescent="0.25">
      <c r="A23" s="74">
        <v>8</v>
      </c>
      <c r="B23" s="7" t="s">
        <v>60</v>
      </c>
      <c r="C23" s="7" t="s">
        <v>59</v>
      </c>
      <c r="D23" s="7" t="s">
        <v>41</v>
      </c>
      <c r="E23" s="170" t="s">
        <v>319</v>
      </c>
      <c r="F23" s="170" t="s">
        <v>316</v>
      </c>
      <c r="G23" s="72">
        <v>3.6802382824122605E-2</v>
      </c>
      <c r="H23" s="55"/>
      <c r="I23" s="122">
        <f t="shared" si="0"/>
        <v>477.9843238722375</v>
      </c>
      <c r="J23" s="123">
        <f>I14*G23</f>
        <v>6691.7805342113252</v>
      </c>
      <c r="K23" s="109"/>
      <c r="L23" s="109"/>
      <c r="M23" s="109"/>
      <c r="N23" s="64"/>
      <c r="O23" s="122">
        <f t="shared" si="1"/>
        <v>409.70084903334634</v>
      </c>
      <c r="P23" s="123">
        <f>G23*O14</f>
        <v>5735.8118864668486</v>
      </c>
      <c r="Q23" s="109"/>
      <c r="R23" s="109"/>
      <c r="S23" s="109"/>
      <c r="T23" s="64"/>
      <c r="U23" s="122">
        <f t="shared" si="2"/>
        <v>546.26779871112853</v>
      </c>
      <c r="V23" s="123">
        <f>G23*U14</f>
        <v>7647.7491819557999</v>
      </c>
      <c r="W23" s="109"/>
      <c r="X23" s="109"/>
      <c r="Y23" s="109"/>
      <c r="Z23" s="110"/>
      <c r="AA23" s="109"/>
      <c r="AB23" s="109"/>
      <c r="AC23" s="54"/>
    </row>
    <row r="24" spans="1:29" s="53" customFormat="1" ht="30" customHeight="1" x14ac:dyDescent="0.25">
      <c r="A24" s="74">
        <v>9</v>
      </c>
      <c r="B24" s="7" t="s">
        <v>69</v>
      </c>
      <c r="C24" s="7" t="s">
        <v>68</v>
      </c>
      <c r="D24" s="7" t="s">
        <v>28</v>
      </c>
      <c r="E24" s="170" t="s">
        <v>321</v>
      </c>
      <c r="F24" s="170" t="s">
        <v>316</v>
      </c>
      <c r="G24" s="72">
        <v>3.218562856671732E-2</v>
      </c>
      <c r="H24" s="55"/>
      <c r="I24" s="122">
        <f t="shared" si="0"/>
        <v>418.0225498546132</v>
      </c>
      <c r="J24" s="123">
        <f>I14*G24</f>
        <v>5852.3156979645846</v>
      </c>
      <c r="K24" s="109"/>
      <c r="L24" s="109"/>
      <c r="M24" s="109"/>
      <c r="N24" s="64"/>
      <c r="O24" s="122">
        <f t="shared" si="1"/>
        <v>358.30504273252552</v>
      </c>
      <c r="P24" s="123">
        <f>G24*O14</f>
        <v>5016.2705982553571</v>
      </c>
      <c r="Q24" s="109"/>
      <c r="R24" s="109"/>
      <c r="S24" s="109"/>
      <c r="T24" s="64"/>
      <c r="U24" s="122">
        <f t="shared" si="2"/>
        <v>477.74005697670083</v>
      </c>
      <c r="V24" s="123">
        <f>G24*U14</f>
        <v>6688.3607976738112</v>
      </c>
      <c r="W24" s="109"/>
      <c r="X24" s="109"/>
      <c r="Y24" s="109"/>
      <c r="Z24" s="110"/>
      <c r="AA24" s="109"/>
      <c r="AB24" s="109"/>
      <c r="AC24" s="54"/>
    </row>
    <row r="25" spans="1:29" s="53" customFormat="1" ht="30" customHeight="1" x14ac:dyDescent="0.25">
      <c r="A25" s="74">
        <v>10</v>
      </c>
      <c r="B25" s="7" t="s">
        <v>56</v>
      </c>
      <c r="C25" s="7" t="s">
        <v>320</v>
      </c>
      <c r="D25" s="7" t="s">
        <v>41</v>
      </c>
      <c r="E25" s="170" t="s">
        <v>319</v>
      </c>
      <c r="F25" s="170" t="s">
        <v>316</v>
      </c>
      <c r="G25" s="72">
        <v>3.2013995969813691E-2</v>
      </c>
      <c r="H25" s="55"/>
      <c r="I25" s="122">
        <f t="shared" si="0"/>
        <v>415.79340911724643</v>
      </c>
      <c r="J25" s="123">
        <f>I14*G25</f>
        <v>5821.1077276414499</v>
      </c>
      <c r="K25" s="109"/>
      <c r="L25" s="109"/>
      <c r="M25" s="109"/>
      <c r="N25" s="64"/>
      <c r="O25" s="122">
        <f t="shared" si="1"/>
        <v>356.39435067192545</v>
      </c>
      <c r="P25" s="123">
        <f>G25*O14</f>
        <v>4989.520909406956</v>
      </c>
      <c r="Q25" s="109"/>
      <c r="R25" s="109"/>
      <c r="S25" s="109"/>
      <c r="T25" s="64"/>
      <c r="U25" s="122">
        <f t="shared" si="2"/>
        <v>475.19246756256734</v>
      </c>
      <c r="V25" s="123">
        <f>G25*U14</f>
        <v>6652.6945458759428</v>
      </c>
      <c r="W25" s="109"/>
      <c r="X25" s="109"/>
      <c r="Y25" s="109"/>
      <c r="Z25" s="110"/>
      <c r="AA25" s="109"/>
      <c r="AB25" s="109"/>
      <c r="AC25" s="54"/>
    </row>
    <row r="26" spans="1:29" s="53" customFormat="1" ht="30" customHeight="1" x14ac:dyDescent="0.25">
      <c r="A26" s="74">
        <v>11</v>
      </c>
      <c r="B26" s="7" t="s">
        <v>7</v>
      </c>
      <c r="C26" s="7" t="s">
        <v>6</v>
      </c>
      <c r="D26" s="7" t="s">
        <v>8</v>
      </c>
      <c r="E26" s="170" t="s">
        <v>318</v>
      </c>
      <c r="F26" s="170" t="s">
        <v>316</v>
      </c>
      <c r="G26" s="72">
        <v>2.8634640469726979E-2</v>
      </c>
      <c r="H26" s="55"/>
      <c r="I26" s="122">
        <f t="shared" si="0"/>
        <v>371.90280123046256</v>
      </c>
      <c r="J26" s="123">
        <f>I14*G26</f>
        <v>5206.6392172264759</v>
      </c>
      <c r="K26" s="109"/>
      <c r="L26" s="109"/>
      <c r="M26" s="109"/>
      <c r="N26" s="64"/>
      <c r="O26" s="122">
        <f t="shared" si="1"/>
        <v>318.77382962611074</v>
      </c>
      <c r="P26" s="123">
        <f>G26*O14</f>
        <v>4462.83361476555</v>
      </c>
      <c r="Q26" s="109"/>
      <c r="R26" s="109"/>
      <c r="S26" s="109"/>
      <c r="T26" s="64"/>
      <c r="U26" s="122">
        <f t="shared" si="2"/>
        <v>425.03177283481443</v>
      </c>
      <c r="V26" s="123">
        <f>G26*U14</f>
        <v>5950.4448196874018</v>
      </c>
      <c r="W26" s="109"/>
      <c r="X26" s="109"/>
      <c r="Y26" s="109"/>
      <c r="Z26" s="110"/>
      <c r="AA26" s="109"/>
      <c r="AB26" s="109"/>
      <c r="AC26" s="54"/>
    </row>
    <row r="27" spans="1:29" s="53" customFormat="1" ht="30" customHeight="1" x14ac:dyDescent="0.25">
      <c r="A27" s="74">
        <v>12</v>
      </c>
      <c r="B27" s="7" t="s">
        <v>77</v>
      </c>
      <c r="C27" s="7" t="s">
        <v>76</v>
      </c>
      <c r="D27" s="7" t="s">
        <v>28</v>
      </c>
      <c r="E27" s="170" t="s">
        <v>317</v>
      </c>
      <c r="F27" s="170" t="s">
        <v>316</v>
      </c>
      <c r="G27" s="72">
        <v>2.2176738178863606E-2</v>
      </c>
      <c r="H27" s="55"/>
      <c r="I27" s="122">
        <f t="shared" si="0"/>
        <v>288.02844790712192</v>
      </c>
      <c r="J27" s="123">
        <f>I14*G27</f>
        <v>4032.3982706997072</v>
      </c>
      <c r="K27" s="109"/>
      <c r="L27" s="109"/>
      <c r="M27" s="109"/>
      <c r="N27" s="64"/>
      <c r="O27" s="122">
        <f t="shared" si="1"/>
        <v>246.88152677753303</v>
      </c>
      <c r="P27" s="123">
        <f>G27*O14</f>
        <v>3456.3413748854623</v>
      </c>
      <c r="Q27" s="109"/>
      <c r="R27" s="109"/>
      <c r="S27" s="109"/>
      <c r="T27" s="64"/>
      <c r="U27" s="122">
        <f t="shared" si="2"/>
        <v>329.17536903671078</v>
      </c>
      <c r="V27" s="123">
        <f>G27*U14</f>
        <v>4608.4551665139506</v>
      </c>
      <c r="W27" s="109"/>
      <c r="X27" s="109"/>
      <c r="Y27" s="109"/>
      <c r="Z27" s="110"/>
      <c r="AA27" s="109"/>
      <c r="AB27" s="109"/>
      <c r="AC27" s="54"/>
    </row>
    <row r="28" spans="1:29" ht="30" customHeight="1" x14ac:dyDescent="0.6">
      <c r="A28" s="171"/>
      <c r="B28" s="172"/>
      <c r="C28" s="172"/>
      <c r="D28" s="172"/>
      <c r="E28" s="172"/>
      <c r="F28" s="171"/>
      <c r="G28" s="45"/>
      <c r="H28" s="44"/>
      <c r="I28" s="42"/>
      <c r="J28" s="43"/>
      <c r="K28" s="42"/>
      <c r="L28" s="42"/>
      <c r="M28" s="42"/>
      <c r="N28" s="41"/>
      <c r="O28" s="122"/>
      <c r="P28" s="121"/>
      <c r="Q28" s="42"/>
      <c r="R28" s="42"/>
      <c r="S28" s="42"/>
      <c r="T28" s="41"/>
      <c r="U28" s="42"/>
      <c r="V28" s="43"/>
      <c r="W28" s="42"/>
      <c r="X28" s="42"/>
      <c r="Y28" s="42"/>
      <c r="Z28" s="93"/>
      <c r="AA28" s="39"/>
      <c r="AB28" s="39"/>
      <c r="AC28" s="39"/>
    </row>
    <row r="29" spans="1:29" s="29" customFormat="1" ht="30" customHeight="1" x14ac:dyDescent="0.7">
      <c r="A29" s="37"/>
      <c r="B29" s="496" t="s">
        <v>315</v>
      </c>
      <c r="C29" s="496"/>
      <c r="D29" s="496"/>
      <c r="E29" s="496"/>
      <c r="F29" s="496"/>
      <c r="G29" s="36"/>
      <c r="H29" s="120"/>
      <c r="I29" s="89">
        <f>SUM(I16:I28)</f>
        <v>12987.86348037596</v>
      </c>
      <c r="J29" s="89">
        <f>SUM(J16:J28)</f>
        <v>181830.0887252634</v>
      </c>
      <c r="K29" s="89"/>
      <c r="L29" s="89"/>
      <c r="M29" s="89"/>
      <c r="N29" s="89"/>
      <c r="O29" s="89">
        <f>SUM(O16:O28)</f>
        <v>11132.454411750823</v>
      </c>
      <c r="P29" s="89">
        <f>SUM(P16:P28)</f>
        <v>155854.36176451147</v>
      </c>
      <c r="Q29" s="89"/>
      <c r="R29" s="89"/>
      <c r="S29" s="89"/>
      <c r="T29" s="89"/>
      <c r="U29" s="89">
        <f>SUM(U16:U28)</f>
        <v>14843.272549001102</v>
      </c>
      <c r="V29" s="89">
        <f>SUM(V16:V28)</f>
        <v>207805.81568601538</v>
      </c>
      <c r="W29" s="89"/>
      <c r="X29" s="89"/>
      <c r="Y29" s="89"/>
      <c r="Z29" s="89"/>
      <c r="AA29" s="119">
        <f>SUM(AA28:AA28)</f>
        <v>0</v>
      </c>
      <c r="AB29" s="95"/>
      <c r="AC29" s="94"/>
    </row>
    <row r="30" spans="1:29" s="29" customFormat="1" ht="30" customHeight="1" thickBot="1" x14ac:dyDescent="0.75">
      <c r="A30" s="116"/>
      <c r="B30" s="116"/>
      <c r="C30" s="116"/>
      <c r="D30" s="116"/>
      <c r="E30" s="116"/>
      <c r="F30" s="116"/>
      <c r="G30" s="115"/>
      <c r="H30" s="114"/>
      <c r="I30" s="118"/>
      <c r="J30" s="118"/>
      <c r="K30" s="118"/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  <c r="AC30" s="117"/>
    </row>
    <row r="31" spans="1:29" s="29" customFormat="1" ht="30" customHeight="1" x14ac:dyDescent="0.7">
      <c r="A31" s="116"/>
      <c r="B31" s="116"/>
      <c r="C31" s="116"/>
      <c r="D31" s="116"/>
      <c r="E31" s="116"/>
      <c r="F31" s="116"/>
      <c r="G31" s="115"/>
      <c r="H31" s="114"/>
      <c r="I31" s="497" t="s">
        <v>314</v>
      </c>
      <c r="J31" s="498"/>
      <c r="K31" s="498"/>
      <c r="L31" s="498"/>
      <c r="M31" s="498"/>
      <c r="N31" s="498"/>
      <c r="O31" s="498"/>
      <c r="P31" s="498"/>
      <c r="Q31" s="498"/>
      <c r="R31" s="498"/>
      <c r="S31" s="498"/>
      <c r="T31" s="498"/>
      <c r="U31" s="498"/>
      <c r="V31" s="498"/>
      <c r="W31" s="498"/>
      <c r="X31" s="498"/>
      <c r="Y31" s="498"/>
      <c r="Z31" s="498"/>
      <c r="AA31" s="498"/>
      <c r="AB31" s="498"/>
      <c r="AC31" s="499"/>
    </row>
    <row r="32" spans="1:29" s="60" customFormat="1" ht="25.15" customHeight="1" x14ac:dyDescent="0.25">
      <c r="A32" s="62"/>
      <c r="B32" s="63" t="s">
        <v>313</v>
      </c>
      <c r="C32" s="62"/>
      <c r="D32" s="62"/>
      <c r="E32" s="62"/>
      <c r="F32" s="62"/>
      <c r="H32" s="61"/>
      <c r="I32" s="500" t="s">
        <v>161</v>
      </c>
      <c r="J32" s="501"/>
      <c r="K32" s="501"/>
      <c r="L32" s="501"/>
      <c r="M32" s="501"/>
      <c r="N32" s="501"/>
      <c r="O32" s="502">
        <v>45713</v>
      </c>
      <c r="P32" s="502"/>
      <c r="Q32" s="502"/>
      <c r="R32" s="502"/>
      <c r="S32" s="502"/>
      <c r="T32" s="502"/>
      <c r="U32" s="502">
        <v>45741</v>
      </c>
      <c r="V32" s="502"/>
      <c r="W32" s="502"/>
      <c r="X32" s="502"/>
      <c r="Y32" s="502"/>
      <c r="Z32" s="502"/>
      <c r="AA32" s="489" t="s">
        <v>160</v>
      </c>
      <c r="AB32" s="489"/>
      <c r="AC32" s="503"/>
    </row>
    <row r="33" spans="1:29" s="57" customFormat="1" ht="25.15" customHeight="1" thickBot="1" x14ac:dyDescent="0.3">
      <c r="A33" s="53"/>
      <c r="B33" s="53"/>
      <c r="C33" s="53"/>
      <c r="D33" s="53"/>
      <c r="E33" s="53"/>
      <c r="F33" s="53"/>
      <c r="H33" s="59"/>
      <c r="I33" s="504">
        <f>J3*F5</f>
        <v>79895.038985343024</v>
      </c>
      <c r="J33" s="505"/>
      <c r="K33" s="113">
        <v>10</v>
      </c>
      <c r="L33" s="113">
        <v>20</v>
      </c>
      <c r="M33" s="113">
        <v>30</v>
      </c>
      <c r="N33" s="113" t="s">
        <v>110</v>
      </c>
      <c r="O33" s="505">
        <f>K3*F5</f>
        <v>68481.461987436865</v>
      </c>
      <c r="P33" s="505"/>
      <c r="Q33" s="113">
        <v>10</v>
      </c>
      <c r="R33" s="113">
        <v>20</v>
      </c>
      <c r="S33" s="113">
        <v>30</v>
      </c>
      <c r="T33" s="113" t="s">
        <v>110</v>
      </c>
      <c r="U33" s="505">
        <f>J3*F5</f>
        <v>79895.038985343024</v>
      </c>
      <c r="V33" s="505"/>
      <c r="W33" s="113">
        <v>10</v>
      </c>
      <c r="X33" s="113">
        <v>20</v>
      </c>
      <c r="Y33" s="113">
        <v>30</v>
      </c>
      <c r="Z33" s="113" t="s">
        <v>110</v>
      </c>
      <c r="AA33" s="112" t="s">
        <v>119</v>
      </c>
      <c r="AB33" s="112" t="s">
        <v>159</v>
      </c>
      <c r="AC33" s="111" t="s">
        <v>110</v>
      </c>
    </row>
    <row r="34" spans="1:29" s="53" customFormat="1" ht="30" customHeight="1" x14ac:dyDescent="0.25">
      <c r="A34" s="54" t="s">
        <v>158</v>
      </c>
      <c r="B34" s="494" t="s">
        <v>312</v>
      </c>
      <c r="C34" s="495"/>
      <c r="D34" s="494" t="s">
        <v>311</v>
      </c>
      <c r="E34" s="495"/>
      <c r="F34" s="54" t="s">
        <v>310</v>
      </c>
      <c r="G34" s="56" t="s">
        <v>267</v>
      </c>
      <c r="H34" s="55" t="s">
        <v>266</v>
      </c>
      <c r="I34" s="67" t="s">
        <v>265</v>
      </c>
      <c r="J34" s="68" t="s">
        <v>152</v>
      </c>
      <c r="K34" s="68" t="s">
        <v>152</v>
      </c>
      <c r="L34" s="68" t="s">
        <v>152</v>
      </c>
      <c r="M34" s="68" t="s">
        <v>152</v>
      </c>
      <c r="N34" s="66"/>
      <c r="O34" s="67" t="s">
        <v>265</v>
      </c>
      <c r="P34" s="68" t="s">
        <v>152</v>
      </c>
      <c r="Q34" s="68" t="s">
        <v>152</v>
      </c>
      <c r="R34" s="68" t="s">
        <v>152</v>
      </c>
      <c r="S34" s="68" t="s">
        <v>152</v>
      </c>
      <c r="T34" s="66"/>
      <c r="U34" s="67" t="s">
        <v>265</v>
      </c>
      <c r="V34" s="68" t="s">
        <v>152</v>
      </c>
      <c r="W34" s="68" t="s">
        <v>152</v>
      </c>
      <c r="X34" s="68" t="s">
        <v>152</v>
      </c>
      <c r="Y34" s="68" t="s">
        <v>152</v>
      </c>
      <c r="Z34" s="108"/>
      <c r="AA34" s="68" t="s">
        <v>152</v>
      </c>
      <c r="AB34" s="68" t="s">
        <v>152</v>
      </c>
      <c r="AC34" s="67"/>
    </row>
    <row r="35" spans="1:29" s="53" customFormat="1" ht="30" customHeight="1" x14ac:dyDescent="0.25">
      <c r="A35" s="74">
        <v>1</v>
      </c>
      <c r="B35" s="7" t="s">
        <v>148</v>
      </c>
      <c r="C35" s="7" t="s">
        <v>147</v>
      </c>
      <c r="D35" s="7" t="s">
        <v>272</v>
      </c>
      <c r="E35" s="54"/>
      <c r="F35" s="73" t="s">
        <v>271</v>
      </c>
      <c r="G35" s="72">
        <v>6.5071100775831872E-3</v>
      </c>
      <c r="H35" s="55"/>
      <c r="I35" s="70">
        <f t="shared" ref="I35:I66" si="3">J35/14</f>
        <v>37.134700952173375</v>
      </c>
      <c r="J35" s="71">
        <f>G35*I33</f>
        <v>519.88581333042725</v>
      </c>
      <c r="K35" s="107"/>
      <c r="L35" s="107"/>
      <c r="M35" s="107"/>
      <c r="N35" s="66"/>
      <c r="O35" s="70">
        <f t="shared" ref="O35:O66" si="4">P35/14</f>
        <v>31.829743673291457</v>
      </c>
      <c r="P35" s="71">
        <f>G35*O33</f>
        <v>445.61641142608039</v>
      </c>
      <c r="Q35" s="107"/>
      <c r="R35" s="107"/>
      <c r="S35" s="107"/>
      <c r="T35" s="66"/>
      <c r="U35" s="70">
        <f t="shared" ref="U35:U66" si="5">V35/14</f>
        <v>37.134700952173375</v>
      </c>
      <c r="V35" s="71">
        <f>G35*U33</f>
        <v>519.88581333042725</v>
      </c>
      <c r="W35" s="107"/>
      <c r="X35" s="107"/>
      <c r="Y35" s="107"/>
      <c r="Z35" s="108"/>
      <c r="AA35" s="107"/>
      <c r="AB35" s="107"/>
      <c r="AC35" s="67"/>
    </row>
    <row r="36" spans="1:29" s="53" customFormat="1" ht="30" customHeight="1" x14ac:dyDescent="0.25">
      <c r="A36" s="74">
        <v>2</v>
      </c>
      <c r="B36" s="7" t="s">
        <v>309</v>
      </c>
      <c r="C36" s="7" t="s">
        <v>308</v>
      </c>
      <c r="D36" s="7" t="s">
        <v>28</v>
      </c>
      <c r="E36" s="54"/>
      <c r="F36" s="73" t="s">
        <v>271</v>
      </c>
      <c r="G36" s="72">
        <v>7.9492931080608273E-2</v>
      </c>
      <c r="H36" s="55"/>
      <c r="I36" s="70">
        <f t="shared" si="3"/>
        <v>453.64934483888459</v>
      </c>
      <c r="J36" s="71">
        <f>G36*I33</f>
        <v>6351.0908277443841</v>
      </c>
      <c r="K36" s="107"/>
      <c r="L36" s="107"/>
      <c r="M36" s="107"/>
      <c r="N36" s="66"/>
      <c r="O36" s="70">
        <f t="shared" si="4"/>
        <v>388.8422955761867</v>
      </c>
      <c r="P36" s="71">
        <f>G36*O33</f>
        <v>5443.7921380666139</v>
      </c>
      <c r="Q36" s="107"/>
      <c r="R36" s="107"/>
      <c r="S36" s="107"/>
      <c r="T36" s="66"/>
      <c r="U36" s="70">
        <f t="shared" si="5"/>
        <v>453.64934483888459</v>
      </c>
      <c r="V36" s="71">
        <f>G36*U33</f>
        <v>6351.0908277443841</v>
      </c>
      <c r="W36" s="107"/>
      <c r="X36" s="107"/>
      <c r="Y36" s="107"/>
      <c r="Z36" s="108"/>
      <c r="AA36" s="107"/>
      <c r="AB36" s="107"/>
      <c r="AC36" s="67"/>
    </row>
    <row r="37" spans="1:29" s="53" customFormat="1" ht="30" customHeight="1" x14ac:dyDescent="0.25">
      <c r="A37" s="74">
        <v>3</v>
      </c>
      <c r="B37" s="7" t="s">
        <v>307</v>
      </c>
      <c r="C37" s="7" t="s">
        <v>307</v>
      </c>
      <c r="D37" s="7" t="s">
        <v>28</v>
      </c>
      <c r="E37" s="54"/>
      <c r="F37" s="73" t="s">
        <v>271</v>
      </c>
      <c r="G37" s="72">
        <v>5.0603996460395505E-2</v>
      </c>
      <c r="H37" s="55"/>
      <c r="I37" s="70">
        <f t="shared" si="3"/>
        <v>288.78630500124711</v>
      </c>
      <c r="J37" s="71">
        <f>G37*I33</f>
        <v>4043.0082700174594</v>
      </c>
      <c r="K37" s="107"/>
      <c r="L37" s="107"/>
      <c r="M37" s="107"/>
      <c r="N37" s="66"/>
      <c r="O37" s="70">
        <f t="shared" si="4"/>
        <v>247.53111857249746</v>
      </c>
      <c r="P37" s="71">
        <f>G37*O33</f>
        <v>3465.4356600149645</v>
      </c>
      <c r="Q37" s="107"/>
      <c r="R37" s="107"/>
      <c r="S37" s="70"/>
      <c r="T37" s="71"/>
      <c r="U37" s="70">
        <f t="shared" si="5"/>
        <v>288.78630500124711</v>
      </c>
      <c r="V37" s="71">
        <f>G37*U33</f>
        <v>4043.0082700174594</v>
      </c>
      <c r="W37" s="107"/>
      <c r="X37" s="107"/>
      <c r="Y37" s="107"/>
      <c r="Z37" s="108"/>
      <c r="AA37" s="107"/>
      <c r="AB37" s="107"/>
      <c r="AC37" s="67"/>
    </row>
    <row r="38" spans="1:29" s="53" customFormat="1" ht="30" customHeight="1" x14ac:dyDescent="0.25">
      <c r="A38" s="74">
        <v>4</v>
      </c>
      <c r="B38" s="7" t="s">
        <v>306</v>
      </c>
      <c r="C38" s="7" t="s">
        <v>305</v>
      </c>
      <c r="D38" s="7" t="s">
        <v>28</v>
      </c>
      <c r="E38" s="54"/>
      <c r="F38" s="73" t="s">
        <v>271</v>
      </c>
      <c r="G38" s="72">
        <v>3.7453954273249213E-2</v>
      </c>
      <c r="H38" s="55"/>
      <c r="I38" s="70">
        <f t="shared" si="3"/>
        <v>213.74179548689293</v>
      </c>
      <c r="J38" s="71">
        <f>G38*I33</f>
        <v>2992.385136816501</v>
      </c>
      <c r="K38" s="107"/>
      <c r="L38" s="107"/>
      <c r="M38" s="107"/>
      <c r="N38" s="66"/>
      <c r="O38" s="70">
        <f t="shared" si="4"/>
        <v>183.2072532744796</v>
      </c>
      <c r="P38" s="71">
        <f>G38*O33</f>
        <v>2564.9015458427143</v>
      </c>
      <c r="Q38" s="107"/>
      <c r="R38" s="107"/>
      <c r="S38" s="70"/>
      <c r="T38" s="71"/>
      <c r="U38" s="70">
        <f t="shared" si="5"/>
        <v>213.74179548689293</v>
      </c>
      <c r="V38" s="71">
        <f>G38*U33</f>
        <v>2992.385136816501</v>
      </c>
      <c r="W38" s="107"/>
      <c r="X38" s="107"/>
      <c r="Y38" s="107"/>
      <c r="Z38" s="108"/>
      <c r="AA38" s="107"/>
      <c r="AB38" s="107"/>
      <c r="AC38" s="67"/>
    </row>
    <row r="39" spans="1:29" s="53" customFormat="1" ht="30" customHeight="1" x14ac:dyDescent="0.25">
      <c r="A39" s="74">
        <v>5</v>
      </c>
      <c r="B39" s="7" t="s">
        <v>304</v>
      </c>
      <c r="C39" s="7" t="s">
        <v>303</v>
      </c>
      <c r="D39" s="7" t="s">
        <v>28</v>
      </c>
      <c r="E39" s="54"/>
      <c r="F39" s="73" t="s">
        <v>271</v>
      </c>
      <c r="G39" s="72">
        <v>2.9901426131335777E-2</v>
      </c>
      <c r="H39" s="55"/>
      <c r="I39" s="70">
        <f t="shared" si="3"/>
        <v>170.64111474860189</v>
      </c>
      <c r="J39" s="71">
        <f>G39*I33</f>
        <v>2388.9756064804264</v>
      </c>
      <c r="K39" s="107"/>
      <c r="L39" s="107"/>
      <c r="M39" s="107"/>
      <c r="N39" s="66"/>
      <c r="O39" s="70">
        <f t="shared" si="4"/>
        <v>146.26381264165875</v>
      </c>
      <c r="P39" s="71">
        <f>G39*O33</f>
        <v>2047.6933769832224</v>
      </c>
      <c r="Q39" s="107"/>
      <c r="R39" s="107"/>
      <c r="S39" s="70"/>
      <c r="T39" s="71"/>
      <c r="U39" s="70">
        <f t="shared" si="5"/>
        <v>170.64111474860189</v>
      </c>
      <c r="V39" s="71">
        <f>G39*U33</f>
        <v>2388.9756064804264</v>
      </c>
      <c r="W39" s="107"/>
      <c r="X39" s="107"/>
      <c r="Y39" s="107"/>
      <c r="Z39" s="108"/>
      <c r="AA39" s="107"/>
      <c r="AB39" s="107"/>
      <c r="AC39" s="67"/>
    </row>
    <row r="40" spans="1:29" s="53" customFormat="1" ht="30" customHeight="1" x14ac:dyDescent="0.25">
      <c r="A40" s="74">
        <v>6</v>
      </c>
      <c r="B40" s="7" t="s">
        <v>144</v>
      </c>
      <c r="C40" s="7" t="s">
        <v>143</v>
      </c>
      <c r="D40" s="7" t="s">
        <v>21</v>
      </c>
      <c r="E40" s="54"/>
      <c r="F40" s="73" t="s">
        <v>271</v>
      </c>
      <c r="G40" s="72">
        <v>2.3785318873088705E-2</v>
      </c>
      <c r="H40" s="55"/>
      <c r="I40" s="70">
        <f t="shared" si="3"/>
        <v>135.73778418887409</v>
      </c>
      <c r="J40" s="71">
        <f>G40*I33</f>
        <v>1900.3289786442374</v>
      </c>
      <c r="K40" s="107"/>
      <c r="L40" s="107"/>
      <c r="M40" s="107"/>
      <c r="N40" s="66"/>
      <c r="O40" s="70">
        <f t="shared" si="4"/>
        <v>116.34667216189207</v>
      </c>
      <c r="P40" s="71">
        <f>G40*O33</f>
        <v>1628.8534102664889</v>
      </c>
      <c r="Q40" s="107"/>
      <c r="R40" s="107"/>
      <c r="S40" s="70"/>
      <c r="T40" s="71"/>
      <c r="U40" s="70">
        <f t="shared" si="5"/>
        <v>135.73778418887409</v>
      </c>
      <c r="V40" s="71">
        <f>G40*U33</f>
        <v>1900.3289786442374</v>
      </c>
      <c r="W40" s="107"/>
      <c r="X40" s="107"/>
      <c r="Y40" s="107"/>
      <c r="Z40" s="108"/>
      <c r="AA40" s="107"/>
      <c r="AB40" s="107"/>
      <c r="AC40" s="67"/>
    </row>
    <row r="41" spans="1:29" s="53" customFormat="1" ht="30" customHeight="1" x14ac:dyDescent="0.25">
      <c r="A41" s="74">
        <v>7</v>
      </c>
      <c r="B41" s="7" t="s">
        <v>302</v>
      </c>
      <c r="C41" s="7" t="s">
        <v>301</v>
      </c>
      <c r="D41" s="7" t="s">
        <v>41</v>
      </c>
      <c r="E41" s="54"/>
      <c r="F41" s="73" t="s">
        <v>271</v>
      </c>
      <c r="G41" s="72">
        <v>2.1945547712633497E-2</v>
      </c>
      <c r="H41" s="55"/>
      <c r="I41" s="70">
        <f t="shared" si="3"/>
        <v>125.23859928968275</v>
      </c>
      <c r="J41" s="71">
        <f>G41*I33</f>
        <v>1753.3403900555586</v>
      </c>
      <c r="K41" s="107"/>
      <c r="L41" s="107"/>
      <c r="M41" s="107"/>
      <c r="N41" s="66"/>
      <c r="O41" s="70">
        <f t="shared" si="4"/>
        <v>107.34737081972807</v>
      </c>
      <c r="P41" s="71">
        <f>G41*O33</f>
        <v>1502.8631914761929</v>
      </c>
      <c r="Q41" s="107"/>
      <c r="R41" s="107"/>
      <c r="S41" s="70"/>
      <c r="T41" s="71"/>
      <c r="U41" s="70">
        <f t="shared" si="5"/>
        <v>125.23859928968275</v>
      </c>
      <c r="V41" s="71">
        <f>G41*U33</f>
        <v>1753.3403900555586</v>
      </c>
      <c r="W41" s="107"/>
      <c r="X41" s="107"/>
      <c r="Y41" s="107"/>
      <c r="Z41" s="108"/>
      <c r="AA41" s="107"/>
      <c r="AB41" s="107"/>
      <c r="AC41" s="67"/>
    </row>
    <row r="42" spans="1:29" s="53" customFormat="1" ht="30" customHeight="1" x14ac:dyDescent="0.25">
      <c r="A42" s="74">
        <v>8</v>
      </c>
      <c r="B42" s="7" t="s">
        <v>300</v>
      </c>
      <c r="C42" s="7" t="s">
        <v>299</v>
      </c>
      <c r="D42" s="7" t="s">
        <v>46</v>
      </c>
      <c r="E42" s="54"/>
      <c r="F42" s="73" t="s">
        <v>271</v>
      </c>
      <c r="G42" s="72">
        <v>2.0167513839441886E-2</v>
      </c>
      <c r="H42" s="55"/>
      <c r="I42" s="70">
        <f t="shared" si="3"/>
        <v>115.0917360314039</v>
      </c>
      <c r="J42" s="71">
        <f>G42*I33</f>
        <v>1611.2843044396545</v>
      </c>
      <c r="K42" s="107"/>
      <c r="L42" s="107"/>
      <c r="M42" s="107"/>
      <c r="N42" s="66"/>
      <c r="O42" s="70">
        <f t="shared" si="4"/>
        <v>98.650059455489028</v>
      </c>
      <c r="P42" s="71">
        <f>G42*O33</f>
        <v>1381.1008323768465</v>
      </c>
      <c r="Q42" s="107"/>
      <c r="R42" s="107"/>
      <c r="S42" s="70"/>
      <c r="T42" s="71"/>
      <c r="U42" s="70">
        <f t="shared" si="5"/>
        <v>115.0917360314039</v>
      </c>
      <c r="V42" s="71">
        <f>G42*U33</f>
        <v>1611.2843044396545</v>
      </c>
      <c r="W42" s="107"/>
      <c r="X42" s="107"/>
      <c r="Y42" s="107"/>
      <c r="Z42" s="108"/>
      <c r="AA42" s="107"/>
      <c r="AB42" s="107"/>
      <c r="AC42" s="67"/>
    </row>
    <row r="43" spans="1:29" s="53" customFormat="1" ht="30" customHeight="1" x14ac:dyDescent="0.25">
      <c r="A43" s="74">
        <v>9</v>
      </c>
      <c r="B43" s="7" t="s">
        <v>142</v>
      </c>
      <c r="C43" s="7" t="s">
        <v>142</v>
      </c>
      <c r="D43" s="7" t="s">
        <v>46</v>
      </c>
      <c r="E43" s="54"/>
      <c r="F43" s="73" t="s">
        <v>271</v>
      </c>
      <c r="G43" s="72">
        <v>1.5125635379581413E-2</v>
      </c>
      <c r="H43" s="55"/>
      <c r="I43" s="70">
        <f t="shared" si="3"/>
        <v>86.318802023552919</v>
      </c>
      <c r="J43" s="71">
        <f>G43*I33</f>
        <v>1208.4632283297408</v>
      </c>
      <c r="K43" s="107"/>
      <c r="L43" s="107"/>
      <c r="M43" s="107"/>
      <c r="N43" s="66"/>
      <c r="O43" s="70">
        <f t="shared" si="4"/>
        <v>73.987544591616754</v>
      </c>
      <c r="P43" s="71">
        <f>G43*O33</f>
        <v>1035.8256242826346</v>
      </c>
      <c r="Q43" s="107"/>
      <c r="R43" s="107"/>
      <c r="S43" s="70"/>
      <c r="T43" s="71"/>
      <c r="U43" s="70">
        <f t="shared" si="5"/>
        <v>86.318802023552919</v>
      </c>
      <c r="V43" s="71">
        <f>G43*U33</f>
        <v>1208.4632283297408</v>
      </c>
      <c r="W43" s="107"/>
      <c r="X43" s="107"/>
      <c r="Y43" s="107"/>
      <c r="Z43" s="108"/>
      <c r="AA43" s="107"/>
      <c r="AB43" s="107"/>
      <c r="AC43" s="67"/>
    </row>
    <row r="44" spans="1:29" s="53" customFormat="1" ht="30" customHeight="1" x14ac:dyDescent="0.25">
      <c r="A44" s="74">
        <v>10</v>
      </c>
      <c r="B44" s="7" t="s">
        <v>298</v>
      </c>
      <c r="C44" s="7" t="s">
        <v>297</v>
      </c>
      <c r="D44" s="7" t="s">
        <v>21</v>
      </c>
      <c r="E44" s="54"/>
      <c r="F44" s="73" t="s">
        <v>271</v>
      </c>
      <c r="G44" s="72">
        <v>1.4961002613545153E-2</v>
      </c>
      <c r="H44" s="55"/>
      <c r="I44" s="70">
        <f t="shared" si="3"/>
        <v>85.379277647786353</v>
      </c>
      <c r="J44" s="71">
        <f>G44*I33</f>
        <v>1195.3098870690089</v>
      </c>
      <c r="K44" s="107"/>
      <c r="L44" s="107"/>
      <c r="M44" s="107"/>
      <c r="N44" s="66"/>
      <c r="O44" s="70">
        <f t="shared" si="4"/>
        <v>73.182237983816862</v>
      </c>
      <c r="P44" s="71">
        <f>G44*O33</f>
        <v>1024.551331773436</v>
      </c>
      <c r="Q44" s="107"/>
      <c r="R44" s="107"/>
      <c r="S44" s="70"/>
      <c r="T44" s="71"/>
      <c r="U44" s="70">
        <f t="shared" si="5"/>
        <v>85.379277647786353</v>
      </c>
      <c r="V44" s="71">
        <f>G44*U33</f>
        <v>1195.3098870690089</v>
      </c>
      <c r="W44" s="107"/>
      <c r="X44" s="107"/>
      <c r="Y44" s="107"/>
      <c r="Z44" s="108"/>
      <c r="AA44" s="107"/>
      <c r="AB44" s="107"/>
      <c r="AC44" s="67"/>
    </row>
    <row r="45" spans="1:29" s="53" customFormat="1" ht="30" customHeight="1" x14ac:dyDescent="0.25">
      <c r="A45" s="74">
        <v>11</v>
      </c>
      <c r="B45" s="7" t="s">
        <v>296</v>
      </c>
      <c r="C45" s="7" t="s">
        <v>295</v>
      </c>
      <c r="D45" s="7" t="s">
        <v>41</v>
      </c>
      <c r="E45" s="54"/>
      <c r="F45" s="73" t="s">
        <v>271</v>
      </c>
      <c r="G45" s="72">
        <v>1.2765213096536531E-2</v>
      </c>
      <c r="H45" s="55"/>
      <c r="I45" s="70">
        <f t="shared" si="3"/>
        <v>72.848371285999818</v>
      </c>
      <c r="J45" s="71">
        <f>G45*I33</f>
        <v>1019.8771980039975</v>
      </c>
      <c r="K45" s="107"/>
      <c r="L45" s="107"/>
      <c r="M45" s="107"/>
      <c r="N45" s="66"/>
      <c r="O45" s="70">
        <f t="shared" si="4"/>
        <v>62.441461102285551</v>
      </c>
      <c r="P45" s="71">
        <f>G45*O33</f>
        <v>874.18045543199776</v>
      </c>
      <c r="Q45" s="107"/>
      <c r="R45" s="107"/>
      <c r="S45" s="70"/>
      <c r="T45" s="71"/>
      <c r="U45" s="70">
        <f t="shared" si="5"/>
        <v>72.848371285999818</v>
      </c>
      <c r="V45" s="71">
        <f>G45*U33</f>
        <v>1019.8771980039975</v>
      </c>
      <c r="W45" s="107"/>
      <c r="X45" s="107"/>
      <c r="Y45" s="107"/>
      <c r="Z45" s="108"/>
      <c r="AA45" s="107"/>
      <c r="AB45" s="107"/>
      <c r="AC45" s="67"/>
    </row>
    <row r="46" spans="1:29" s="53" customFormat="1" ht="30" customHeight="1" x14ac:dyDescent="0.25">
      <c r="A46" s="74">
        <v>12</v>
      </c>
      <c r="B46" s="7" t="s">
        <v>294</v>
      </c>
      <c r="C46" s="7" t="s">
        <v>294</v>
      </c>
      <c r="D46" s="7" t="s">
        <v>41</v>
      </c>
      <c r="E46" s="54"/>
      <c r="F46" s="73" t="s">
        <v>271</v>
      </c>
      <c r="G46" s="72">
        <v>1.2388615644228586E-2</v>
      </c>
      <c r="H46" s="55"/>
      <c r="I46" s="70">
        <f t="shared" si="3"/>
        <v>70.69920927643382</v>
      </c>
      <c r="J46" s="71">
        <f>G46*I33</f>
        <v>989.78892987007339</v>
      </c>
      <c r="K46" s="107"/>
      <c r="L46" s="107"/>
      <c r="M46" s="107"/>
      <c r="N46" s="66"/>
      <c r="O46" s="70">
        <f t="shared" si="4"/>
        <v>60.599322236943252</v>
      </c>
      <c r="P46" s="71">
        <f>G46*O33</f>
        <v>848.39051131720555</v>
      </c>
      <c r="Q46" s="107"/>
      <c r="R46" s="107"/>
      <c r="S46" s="70"/>
      <c r="T46" s="71"/>
      <c r="U46" s="70">
        <f t="shared" si="5"/>
        <v>70.69920927643382</v>
      </c>
      <c r="V46" s="71">
        <f>G46*U33</f>
        <v>989.78892987007339</v>
      </c>
      <c r="W46" s="107"/>
      <c r="X46" s="107"/>
      <c r="Y46" s="107"/>
      <c r="Z46" s="108"/>
      <c r="AA46" s="107"/>
      <c r="AB46" s="107"/>
      <c r="AC46" s="67"/>
    </row>
    <row r="47" spans="1:29" s="53" customFormat="1" ht="30" customHeight="1" x14ac:dyDescent="0.25">
      <c r="A47" s="74">
        <v>13</v>
      </c>
      <c r="B47" s="7" t="s">
        <v>293</v>
      </c>
      <c r="C47" s="7" t="s">
        <v>292</v>
      </c>
      <c r="D47" s="7" t="s">
        <v>41</v>
      </c>
      <c r="E47" s="54"/>
      <c r="F47" s="73" t="s">
        <v>271</v>
      </c>
      <c r="G47" s="72">
        <v>1.2244561973946858E-2</v>
      </c>
      <c r="H47" s="55"/>
      <c r="I47" s="70">
        <f t="shared" si="3"/>
        <v>69.877125447638065</v>
      </c>
      <c r="J47" s="71">
        <f>G47*I33</f>
        <v>978.27975626693296</v>
      </c>
      <c r="K47" s="107"/>
      <c r="L47" s="107"/>
      <c r="M47" s="107"/>
      <c r="N47" s="66"/>
      <c r="O47" s="70">
        <f t="shared" si="4"/>
        <v>59.89467895511833</v>
      </c>
      <c r="P47" s="71">
        <f>G47*O33</f>
        <v>838.52550537165666</v>
      </c>
      <c r="Q47" s="107"/>
      <c r="R47" s="107"/>
      <c r="S47" s="70"/>
      <c r="T47" s="71"/>
      <c r="U47" s="70">
        <f t="shared" si="5"/>
        <v>69.877125447638065</v>
      </c>
      <c r="V47" s="71">
        <f>G47*U33</f>
        <v>978.27975626693296</v>
      </c>
      <c r="W47" s="107"/>
      <c r="X47" s="107"/>
      <c r="Y47" s="107"/>
      <c r="Z47" s="108"/>
      <c r="AA47" s="107"/>
      <c r="AB47" s="107"/>
      <c r="AC47" s="67"/>
    </row>
    <row r="48" spans="1:29" s="53" customFormat="1" ht="30" customHeight="1" x14ac:dyDescent="0.25">
      <c r="A48" s="74">
        <v>14</v>
      </c>
      <c r="B48" s="7" t="s">
        <v>291</v>
      </c>
      <c r="C48" s="7" t="s">
        <v>290</v>
      </c>
      <c r="D48" s="7" t="s">
        <v>46</v>
      </c>
      <c r="E48" s="54"/>
      <c r="F48" s="73" t="s">
        <v>271</v>
      </c>
      <c r="G48" s="72">
        <v>1.1740374127960812E-2</v>
      </c>
      <c r="H48" s="55"/>
      <c r="I48" s="70">
        <f t="shared" si="3"/>
        <v>66.999832046852973</v>
      </c>
      <c r="J48" s="71">
        <f>G48*I33</f>
        <v>937.9976486559417</v>
      </c>
      <c r="K48" s="107"/>
      <c r="L48" s="107"/>
      <c r="M48" s="107"/>
      <c r="N48" s="66"/>
      <c r="O48" s="70">
        <f t="shared" si="4"/>
        <v>57.428427468731115</v>
      </c>
      <c r="P48" s="71">
        <f>G48*O33</f>
        <v>803.99798456223562</v>
      </c>
      <c r="Q48" s="107"/>
      <c r="R48" s="107"/>
      <c r="S48" s="70"/>
      <c r="T48" s="71"/>
      <c r="U48" s="70">
        <f t="shared" si="5"/>
        <v>66.999832046852973</v>
      </c>
      <c r="V48" s="71">
        <f>G48*U33</f>
        <v>937.9976486559417</v>
      </c>
      <c r="W48" s="107"/>
      <c r="X48" s="107"/>
      <c r="Y48" s="107"/>
      <c r="Z48" s="108"/>
      <c r="AA48" s="107"/>
      <c r="AB48" s="107"/>
      <c r="AC48" s="67"/>
    </row>
    <row r="49" spans="1:29" s="53" customFormat="1" ht="30" customHeight="1" x14ac:dyDescent="0.25">
      <c r="A49" s="74">
        <v>15</v>
      </c>
      <c r="B49" s="7" t="s">
        <v>289</v>
      </c>
      <c r="C49" s="7" t="s">
        <v>288</v>
      </c>
      <c r="D49" s="7" t="s">
        <v>24</v>
      </c>
      <c r="E49" s="54"/>
      <c r="F49" s="73" t="s">
        <v>271</v>
      </c>
      <c r="G49" s="72">
        <v>1.0991295042495828E-2</v>
      </c>
      <c r="H49" s="55"/>
      <c r="I49" s="70">
        <f t="shared" si="3"/>
        <v>62.72499613711512</v>
      </c>
      <c r="J49" s="71">
        <f>G49*I33</f>
        <v>878.1499459196117</v>
      </c>
      <c r="K49" s="107"/>
      <c r="L49" s="107"/>
      <c r="M49" s="107"/>
      <c r="N49" s="66"/>
      <c r="O49" s="70">
        <f t="shared" si="4"/>
        <v>53.764282403241523</v>
      </c>
      <c r="P49" s="71">
        <f>G49*O33</f>
        <v>752.69995364538136</v>
      </c>
      <c r="Q49" s="107"/>
      <c r="R49" s="107"/>
      <c r="S49" s="70"/>
      <c r="T49" s="71"/>
      <c r="U49" s="70">
        <f t="shared" si="5"/>
        <v>62.72499613711512</v>
      </c>
      <c r="V49" s="71">
        <f>G49*U33</f>
        <v>878.1499459196117</v>
      </c>
      <c r="W49" s="107"/>
      <c r="X49" s="107"/>
      <c r="Y49" s="107"/>
      <c r="Z49" s="108"/>
      <c r="AA49" s="107"/>
      <c r="AB49" s="107"/>
      <c r="AC49" s="67"/>
    </row>
    <row r="50" spans="1:29" s="53" customFormat="1" ht="30" customHeight="1" x14ac:dyDescent="0.25">
      <c r="A50" s="74">
        <v>16</v>
      </c>
      <c r="B50" s="7" t="s">
        <v>146</v>
      </c>
      <c r="C50" s="7" t="s">
        <v>145</v>
      </c>
      <c r="D50" s="7" t="s">
        <v>46</v>
      </c>
      <c r="E50" s="54"/>
      <c r="F50" s="73" t="s">
        <v>271</v>
      </c>
      <c r="G50" s="72">
        <v>1.0804025271129581E-2</v>
      </c>
      <c r="H50" s="55"/>
      <c r="I50" s="70">
        <f t="shared" si="3"/>
        <v>61.656287159680645</v>
      </c>
      <c r="J50" s="71">
        <f>G50*I33</f>
        <v>863.18802023552905</v>
      </c>
      <c r="K50" s="107"/>
      <c r="L50" s="107"/>
      <c r="M50" s="107"/>
      <c r="N50" s="66"/>
      <c r="O50" s="70">
        <f t="shared" si="4"/>
        <v>52.848246136869122</v>
      </c>
      <c r="P50" s="71">
        <f>G50*O33</f>
        <v>739.87544591616768</v>
      </c>
      <c r="Q50" s="107"/>
      <c r="R50" s="107"/>
      <c r="S50" s="70"/>
      <c r="T50" s="71"/>
      <c r="U50" s="70">
        <f t="shared" si="5"/>
        <v>61.656287159680645</v>
      </c>
      <c r="V50" s="71">
        <f>G50*U33</f>
        <v>863.18802023552905</v>
      </c>
      <c r="W50" s="107"/>
      <c r="X50" s="107"/>
      <c r="Y50" s="107"/>
      <c r="Z50" s="108"/>
      <c r="AA50" s="107"/>
      <c r="AB50" s="107"/>
      <c r="AC50" s="67"/>
    </row>
    <row r="51" spans="1:29" s="53" customFormat="1" ht="30" customHeight="1" x14ac:dyDescent="0.25">
      <c r="A51" s="74">
        <v>17</v>
      </c>
      <c r="B51" s="7" t="s">
        <v>287</v>
      </c>
      <c r="C51" s="7" t="s">
        <v>286</v>
      </c>
      <c r="D51" s="7" t="s">
        <v>46</v>
      </c>
      <c r="E51" s="54"/>
      <c r="F51" s="73" t="s">
        <v>271</v>
      </c>
      <c r="G51" s="72">
        <v>1.0443891095425262E-2</v>
      </c>
      <c r="H51" s="55"/>
      <c r="I51" s="70">
        <f t="shared" si="3"/>
        <v>59.601077587691293</v>
      </c>
      <c r="J51" s="71">
        <f>G51*I33</f>
        <v>834.4150862276781</v>
      </c>
      <c r="K51" s="107"/>
      <c r="L51" s="107"/>
      <c r="M51" s="107"/>
      <c r="N51" s="66"/>
      <c r="O51" s="70">
        <f t="shared" si="4"/>
        <v>51.086637932306814</v>
      </c>
      <c r="P51" s="71">
        <f>G51*O33</f>
        <v>715.2129310522954</v>
      </c>
      <c r="Q51" s="107"/>
      <c r="R51" s="107"/>
      <c r="S51" s="70"/>
      <c r="T51" s="71"/>
      <c r="U51" s="70">
        <f t="shared" si="5"/>
        <v>59.601077587691293</v>
      </c>
      <c r="V51" s="71">
        <f>G51*U33</f>
        <v>834.4150862276781</v>
      </c>
      <c r="W51" s="107"/>
      <c r="X51" s="107"/>
      <c r="Y51" s="107"/>
      <c r="Z51" s="108"/>
      <c r="AA51" s="107"/>
      <c r="AB51" s="107"/>
      <c r="AC51" s="67"/>
    </row>
    <row r="52" spans="1:29" s="53" customFormat="1" ht="30" customHeight="1" x14ac:dyDescent="0.25">
      <c r="A52" s="74">
        <v>18</v>
      </c>
      <c r="B52" s="7" t="s">
        <v>285</v>
      </c>
      <c r="C52" s="7" t="s">
        <v>284</v>
      </c>
      <c r="D52" s="7" t="s">
        <v>8</v>
      </c>
      <c r="E52" s="54"/>
      <c r="F52" s="73" t="s">
        <v>271</v>
      </c>
      <c r="G52" s="72">
        <v>8.9004589138353216E-3</v>
      </c>
      <c r="H52" s="55"/>
      <c r="I52" s="70">
        <f t="shared" si="3"/>
        <v>50.793036564879777</v>
      </c>
      <c r="J52" s="71">
        <f>G52*I33</f>
        <v>711.10251190831684</v>
      </c>
      <c r="K52" s="107"/>
      <c r="L52" s="107"/>
      <c r="M52" s="107"/>
      <c r="N52" s="66"/>
      <c r="O52" s="70">
        <f t="shared" si="4"/>
        <v>43.536888484182661</v>
      </c>
      <c r="P52" s="71">
        <f>G52*O33</f>
        <v>609.51643877855724</v>
      </c>
      <c r="Q52" s="107"/>
      <c r="R52" s="107"/>
      <c r="S52" s="70"/>
      <c r="T52" s="71"/>
      <c r="U52" s="70">
        <f t="shared" si="5"/>
        <v>50.793036564879777</v>
      </c>
      <c r="V52" s="71">
        <f>G52*U33</f>
        <v>711.10251190831684</v>
      </c>
      <c r="W52" s="107"/>
      <c r="X52" s="107"/>
      <c r="Y52" s="107"/>
      <c r="Z52" s="108"/>
      <c r="AA52" s="107"/>
      <c r="AB52" s="107"/>
      <c r="AC52" s="67"/>
    </row>
    <row r="53" spans="1:29" ht="30" customHeight="1" x14ac:dyDescent="0.6">
      <c r="A53" s="74">
        <v>19</v>
      </c>
      <c r="B53" s="7" t="s">
        <v>283</v>
      </c>
      <c r="C53" s="7" t="s">
        <v>282</v>
      </c>
      <c r="D53" s="7" t="s">
        <v>41</v>
      </c>
      <c r="E53" s="100"/>
      <c r="F53" s="73" t="s">
        <v>271</v>
      </c>
      <c r="G53" s="102">
        <v>7.4269956578107916E-3</v>
      </c>
      <c r="H53" s="44"/>
      <c r="I53" s="70">
        <f t="shared" si="3"/>
        <v>42.384293401769035</v>
      </c>
      <c r="J53" s="71">
        <f>G53*I33</f>
        <v>593.38010762476654</v>
      </c>
      <c r="K53" s="42"/>
      <c r="L53" s="42"/>
      <c r="M53" s="42"/>
      <c r="N53" s="41"/>
      <c r="O53" s="70">
        <f t="shared" si="4"/>
        <v>36.329394344373455</v>
      </c>
      <c r="P53" s="71">
        <f>G53*O33</f>
        <v>508.6115208212284</v>
      </c>
      <c r="Q53" s="42"/>
      <c r="R53" s="42"/>
      <c r="S53" s="70"/>
      <c r="T53" s="71"/>
      <c r="U53" s="70">
        <f t="shared" si="5"/>
        <v>42.384293401769035</v>
      </c>
      <c r="V53" s="71">
        <f>G53*U33</f>
        <v>593.38010762476654</v>
      </c>
      <c r="W53" s="42"/>
      <c r="X53" s="42"/>
      <c r="Y53" s="42"/>
      <c r="Z53" s="93"/>
      <c r="AA53" s="92"/>
      <c r="AB53" s="39"/>
      <c r="AC53" s="98"/>
    </row>
    <row r="54" spans="1:29" ht="30" customHeight="1" x14ac:dyDescent="0.6">
      <c r="A54" s="74">
        <v>20</v>
      </c>
      <c r="B54" s="7" t="s">
        <v>281</v>
      </c>
      <c r="C54" s="7" t="s">
        <v>280</v>
      </c>
      <c r="D54" s="7" t="s">
        <v>41</v>
      </c>
      <c r="E54" s="99"/>
      <c r="F54" s="73" t="s">
        <v>271</v>
      </c>
      <c r="G54" s="102">
        <v>7.1821044183318543E-3</v>
      </c>
      <c r="H54" s="44"/>
      <c r="I54" s="70">
        <f t="shared" si="3"/>
        <v>40.986750892816282</v>
      </c>
      <c r="J54" s="71">
        <f>G54*I33</f>
        <v>573.81451249942791</v>
      </c>
      <c r="K54" s="42"/>
      <c r="L54" s="42"/>
      <c r="M54" s="42"/>
      <c r="N54" s="41"/>
      <c r="O54" s="70">
        <f t="shared" si="4"/>
        <v>35.131500765271092</v>
      </c>
      <c r="P54" s="71">
        <f>G54*O33</f>
        <v>491.84101071379524</v>
      </c>
      <c r="Q54" s="42"/>
      <c r="R54" s="42"/>
      <c r="S54" s="70"/>
      <c r="T54" s="71"/>
      <c r="U54" s="70">
        <f t="shared" si="5"/>
        <v>40.986750892816282</v>
      </c>
      <c r="V54" s="71">
        <f>G54*U33</f>
        <v>573.81451249942791</v>
      </c>
      <c r="W54" s="42"/>
      <c r="X54" s="42"/>
      <c r="Y54" s="42"/>
      <c r="Z54" s="93"/>
      <c r="AA54" s="92"/>
      <c r="AB54" s="39"/>
      <c r="AC54" s="98"/>
    </row>
    <row r="55" spans="1:29" ht="30" customHeight="1" x14ac:dyDescent="0.6">
      <c r="A55" s="74">
        <v>21</v>
      </c>
      <c r="B55" s="7" t="s">
        <v>279</v>
      </c>
      <c r="C55" s="7" t="s">
        <v>278</v>
      </c>
      <c r="D55" s="7" t="s">
        <v>46</v>
      </c>
      <c r="E55" s="99"/>
      <c r="F55" s="73" t="s">
        <v>271</v>
      </c>
      <c r="G55" s="102">
        <v>6.8569547054102417E-3</v>
      </c>
      <c r="H55" s="44"/>
      <c r="I55" s="70">
        <f t="shared" si="3"/>
        <v>39.131190250677328</v>
      </c>
      <c r="J55" s="71">
        <f>G55*I33</f>
        <v>547.83666350948261</v>
      </c>
      <c r="K55" s="42"/>
      <c r="L55" s="42"/>
      <c r="M55" s="42"/>
      <c r="N55" s="41"/>
      <c r="O55" s="70">
        <f t="shared" si="4"/>
        <v>33.541020214866272</v>
      </c>
      <c r="P55" s="71">
        <f>G55*O33</f>
        <v>469.57428300812779</v>
      </c>
      <c r="Q55" s="42"/>
      <c r="R55" s="42"/>
      <c r="S55" s="70"/>
      <c r="T55" s="71"/>
      <c r="U55" s="70">
        <f t="shared" si="5"/>
        <v>39.131190250677328</v>
      </c>
      <c r="V55" s="71">
        <f>G55*U33</f>
        <v>547.83666350948261</v>
      </c>
      <c r="W55" s="42"/>
      <c r="X55" s="42"/>
      <c r="Y55" s="42"/>
      <c r="Z55" s="93"/>
      <c r="AA55" s="92"/>
      <c r="AB55" s="39"/>
      <c r="AC55" s="98"/>
    </row>
    <row r="56" spans="1:29" ht="30" customHeight="1" x14ac:dyDescent="0.6">
      <c r="A56" s="74">
        <v>22</v>
      </c>
      <c r="B56" s="7" t="s">
        <v>277</v>
      </c>
      <c r="C56" s="7" t="s">
        <v>276</v>
      </c>
      <c r="D56" s="7" t="s">
        <v>28</v>
      </c>
      <c r="E56" s="100"/>
      <c r="F56" s="73" t="s">
        <v>271</v>
      </c>
      <c r="G56" s="102">
        <v>4.1981355339246375E-3</v>
      </c>
      <c r="H56" s="44"/>
      <c r="I56" s="70">
        <f t="shared" si="3"/>
        <v>23.957871582047343</v>
      </c>
      <c r="J56" s="71">
        <f>G56*I33</f>
        <v>335.41020214866279</v>
      </c>
      <c r="K56" s="42"/>
      <c r="L56" s="42"/>
      <c r="M56" s="42"/>
      <c r="N56" s="41"/>
      <c r="O56" s="70">
        <f t="shared" si="4"/>
        <v>20.535318498897716</v>
      </c>
      <c r="P56" s="71">
        <f>G56*O33</f>
        <v>287.49445898456804</v>
      </c>
      <c r="Q56" s="42"/>
      <c r="R56" s="42"/>
      <c r="S56" s="70"/>
      <c r="T56" s="71"/>
      <c r="U56" s="70">
        <f t="shared" si="5"/>
        <v>23.957871582047343</v>
      </c>
      <c r="V56" s="71">
        <f>G56*U33</f>
        <v>335.41020214866279</v>
      </c>
      <c r="W56" s="42"/>
      <c r="X56" s="42"/>
      <c r="Y56" s="42"/>
      <c r="Z56" s="93"/>
      <c r="AA56" s="92"/>
      <c r="AB56" s="39"/>
      <c r="AC56" s="98"/>
    </row>
    <row r="57" spans="1:29" ht="30" customHeight="1" x14ac:dyDescent="0.6">
      <c r="A57" s="74">
        <v>23</v>
      </c>
      <c r="B57" s="7" t="s">
        <v>79</v>
      </c>
      <c r="C57" s="7" t="s">
        <v>78</v>
      </c>
      <c r="D57" s="7" t="s">
        <v>21</v>
      </c>
      <c r="E57" s="100"/>
      <c r="F57" s="73" t="s">
        <v>271</v>
      </c>
      <c r="G57" s="102">
        <v>3.6231555985429979E-2</v>
      </c>
      <c r="H57" s="44"/>
      <c r="I57" s="70">
        <f t="shared" si="3"/>
        <v>206.76582699682621</v>
      </c>
      <c r="J57" s="71">
        <f>G57*I33</f>
        <v>2894.7215779555668</v>
      </c>
      <c r="K57" s="42"/>
      <c r="L57" s="42"/>
      <c r="M57" s="42"/>
      <c r="N57" s="41"/>
      <c r="O57" s="70">
        <f t="shared" si="4"/>
        <v>177.22785171156528</v>
      </c>
      <c r="P57" s="71">
        <f>G57*O33</f>
        <v>2481.1899239619138</v>
      </c>
      <c r="Q57" s="42"/>
      <c r="R57" s="42"/>
      <c r="S57" s="70"/>
      <c r="T57" s="71"/>
      <c r="U57" s="70">
        <f t="shared" si="5"/>
        <v>206.76582699682621</v>
      </c>
      <c r="V57" s="71">
        <f>G57*U33</f>
        <v>2894.7215779555668</v>
      </c>
      <c r="W57" s="42"/>
      <c r="X57" s="42"/>
      <c r="Y57" s="42"/>
      <c r="Z57" s="93"/>
      <c r="AA57" s="92"/>
      <c r="AB57" s="39"/>
      <c r="AC57" s="98"/>
    </row>
    <row r="58" spans="1:29" ht="30" customHeight="1" x14ac:dyDescent="0.6">
      <c r="A58" s="74">
        <v>24</v>
      </c>
      <c r="B58" s="7" t="s">
        <v>62</v>
      </c>
      <c r="C58" s="7" t="s">
        <v>61</v>
      </c>
      <c r="D58" s="7" t="s">
        <v>21</v>
      </c>
      <c r="E58" s="99"/>
      <c r="F58" s="73" t="s">
        <v>271</v>
      </c>
      <c r="G58" s="102">
        <v>2.8679027843516544E-2</v>
      </c>
      <c r="H58" s="44"/>
      <c r="I58" s="70">
        <f t="shared" si="3"/>
        <v>163.66514625853515</v>
      </c>
      <c r="J58" s="71">
        <f>G58*I33</f>
        <v>2291.3120476194922</v>
      </c>
      <c r="K58" s="42"/>
      <c r="L58" s="42"/>
      <c r="M58" s="42"/>
      <c r="N58" s="41"/>
      <c r="O58" s="70">
        <f t="shared" si="4"/>
        <v>140.2844110787444</v>
      </c>
      <c r="P58" s="71">
        <f>G58*O33</f>
        <v>1963.9817551024216</v>
      </c>
      <c r="Q58" s="42"/>
      <c r="R58" s="42"/>
      <c r="S58" s="70"/>
      <c r="T58" s="71"/>
      <c r="U58" s="70">
        <f t="shared" si="5"/>
        <v>163.66514625853515</v>
      </c>
      <c r="V58" s="71">
        <f>G58*U33</f>
        <v>2291.3120476194922</v>
      </c>
      <c r="W58" s="42"/>
      <c r="X58" s="42"/>
      <c r="Y58" s="42"/>
      <c r="Z58" s="93"/>
      <c r="AA58" s="92"/>
      <c r="AB58" s="39"/>
      <c r="AC58" s="98"/>
    </row>
    <row r="59" spans="1:29" ht="30" customHeight="1" x14ac:dyDescent="0.6">
      <c r="A59" s="74">
        <v>25</v>
      </c>
      <c r="B59" s="7" t="s">
        <v>20</v>
      </c>
      <c r="C59" s="7" t="s">
        <v>19</v>
      </c>
      <c r="D59" s="7" t="s">
        <v>8</v>
      </c>
      <c r="E59" s="100"/>
      <c r="F59" s="73" t="s">
        <v>271</v>
      </c>
      <c r="G59" s="102">
        <v>3.5107937357232506E-2</v>
      </c>
      <c r="H59" s="44"/>
      <c r="I59" s="70">
        <f t="shared" si="3"/>
        <v>200.35357313221942</v>
      </c>
      <c r="J59" s="71">
        <f>G59*I33</f>
        <v>2804.9500238510718</v>
      </c>
      <c r="K59" s="42"/>
      <c r="L59" s="42"/>
      <c r="M59" s="42"/>
      <c r="N59" s="41"/>
      <c r="O59" s="70">
        <f t="shared" si="4"/>
        <v>171.7316341133309</v>
      </c>
      <c r="P59" s="71">
        <f>G59*O33</f>
        <v>2404.2428775866324</v>
      </c>
      <c r="Q59" s="42"/>
      <c r="R59" s="42"/>
      <c r="S59" s="70"/>
      <c r="T59" s="71"/>
      <c r="U59" s="70">
        <f t="shared" si="5"/>
        <v>200.35357313221942</v>
      </c>
      <c r="V59" s="71">
        <f>G59*U33</f>
        <v>2804.9500238510718</v>
      </c>
      <c r="W59" s="42"/>
      <c r="X59" s="42"/>
      <c r="Y59" s="42"/>
      <c r="Z59" s="93"/>
      <c r="AA59" s="92"/>
      <c r="AB59" s="39"/>
      <c r="AC59" s="98"/>
    </row>
    <row r="60" spans="1:29" ht="30" customHeight="1" x14ac:dyDescent="0.6">
      <c r="A60" s="74">
        <v>26</v>
      </c>
      <c r="B60" s="7" t="s">
        <v>89</v>
      </c>
      <c r="C60" s="7" t="s">
        <v>88</v>
      </c>
      <c r="D60" s="7" t="s">
        <v>11</v>
      </c>
      <c r="E60" s="99"/>
      <c r="F60" s="73" t="s">
        <v>271</v>
      </c>
      <c r="G60" s="102">
        <v>2.8372399316774006E-2</v>
      </c>
      <c r="H60" s="44"/>
      <c r="I60" s="70">
        <f t="shared" si="3"/>
        <v>161.91528210866994</v>
      </c>
      <c r="J60" s="71">
        <f>G60*I33</f>
        <v>2266.8139495213791</v>
      </c>
      <c r="K60" s="42"/>
      <c r="L60" s="42"/>
      <c r="M60" s="42"/>
      <c r="N60" s="41"/>
      <c r="O60" s="70">
        <f t="shared" si="4"/>
        <v>138.78452752171705</v>
      </c>
      <c r="P60" s="71">
        <f>G60*O33</f>
        <v>1942.9833853040388</v>
      </c>
      <c r="Q60" s="42"/>
      <c r="R60" s="42"/>
      <c r="S60" s="70"/>
      <c r="T60" s="71"/>
      <c r="U60" s="70">
        <f t="shared" si="5"/>
        <v>161.91528210866994</v>
      </c>
      <c r="V60" s="71">
        <f>G60*U33</f>
        <v>2266.8139495213791</v>
      </c>
      <c r="W60" s="42"/>
      <c r="X60" s="42"/>
      <c r="Y60" s="42"/>
      <c r="Z60" s="93"/>
      <c r="AA60" s="92"/>
      <c r="AB60" s="39"/>
      <c r="AC60" s="98"/>
    </row>
    <row r="61" spans="1:29" ht="30" customHeight="1" x14ac:dyDescent="0.6">
      <c r="A61" s="74">
        <v>27</v>
      </c>
      <c r="B61" s="7" t="s">
        <v>30</v>
      </c>
      <c r="C61" s="7" t="s">
        <v>29</v>
      </c>
      <c r="D61" s="7" t="s">
        <v>28</v>
      </c>
      <c r="E61" s="100"/>
      <c r="F61" s="73" t="s">
        <v>271</v>
      </c>
      <c r="G61" s="102">
        <v>2.75759883110736E-2</v>
      </c>
      <c r="H61" s="44"/>
      <c r="I61" s="70">
        <f t="shared" si="3"/>
        <v>157.3703329408992</v>
      </c>
      <c r="J61" s="71">
        <f>G61*I33</f>
        <v>2203.1846611725887</v>
      </c>
      <c r="K61" s="42"/>
      <c r="L61" s="42"/>
      <c r="M61" s="42"/>
      <c r="N61" s="41"/>
      <c r="O61" s="70">
        <f t="shared" si="4"/>
        <v>134.88885680648499</v>
      </c>
      <c r="P61" s="71">
        <f>G61*O33</f>
        <v>1888.4439952907901</v>
      </c>
      <c r="Q61" s="42"/>
      <c r="R61" s="42"/>
      <c r="S61" s="70"/>
      <c r="T61" s="71"/>
      <c r="U61" s="70">
        <f t="shared" si="5"/>
        <v>157.3703329408992</v>
      </c>
      <c r="V61" s="71">
        <f>G61*U33</f>
        <v>2203.1846611725887</v>
      </c>
      <c r="W61" s="42"/>
      <c r="X61" s="42"/>
      <c r="Y61" s="42"/>
      <c r="Z61" s="93"/>
      <c r="AA61" s="92"/>
      <c r="AB61" s="39"/>
      <c r="AC61" s="98"/>
    </row>
    <row r="62" spans="1:29" ht="30" customHeight="1" x14ac:dyDescent="0.6">
      <c r="A62" s="74">
        <v>28</v>
      </c>
      <c r="B62" s="7" t="s">
        <v>67</v>
      </c>
      <c r="C62" s="7" t="s">
        <v>66</v>
      </c>
      <c r="D62" s="7" t="s">
        <v>33</v>
      </c>
      <c r="E62" s="100"/>
      <c r="F62" s="73" t="s">
        <v>271</v>
      </c>
      <c r="G62" s="102">
        <v>2.7205564587492011E-2</v>
      </c>
      <c r="H62" s="44"/>
      <c r="I62" s="70">
        <f t="shared" si="3"/>
        <v>155.25640309542442</v>
      </c>
      <c r="J62" s="71">
        <f>G62*I33</f>
        <v>2173.5896433359417</v>
      </c>
      <c r="K62" s="42"/>
      <c r="L62" s="42"/>
      <c r="M62" s="42"/>
      <c r="N62" s="41"/>
      <c r="O62" s="70">
        <f t="shared" si="4"/>
        <v>133.0769169389352</v>
      </c>
      <c r="P62" s="71">
        <f>G62*O33</f>
        <v>1863.0768371450927</v>
      </c>
      <c r="Q62" s="42"/>
      <c r="R62" s="42"/>
      <c r="S62" s="70"/>
      <c r="T62" s="71"/>
      <c r="U62" s="70">
        <f t="shared" si="5"/>
        <v>155.25640309542442</v>
      </c>
      <c r="V62" s="71">
        <f>G62*U33</f>
        <v>2173.5896433359417</v>
      </c>
      <c r="W62" s="42"/>
      <c r="X62" s="42"/>
      <c r="Y62" s="42"/>
      <c r="Z62" s="93"/>
      <c r="AA62" s="92"/>
      <c r="AB62" s="39"/>
      <c r="AC62" s="98"/>
    </row>
    <row r="63" spans="1:29" ht="30" customHeight="1" x14ac:dyDescent="0.6">
      <c r="A63" s="74">
        <v>29</v>
      </c>
      <c r="B63" s="7" t="s">
        <v>98</v>
      </c>
      <c r="C63" s="7" t="s">
        <v>97</v>
      </c>
      <c r="D63" s="7" t="s">
        <v>8</v>
      </c>
      <c r="E63" s="100"/>
      <c r="F63" s="73" t="s">
        <v>271</v>
      </c>
      <c r="G63" s="102">
        <v>2.7040931821455751E-2</v>
      </c>
      <c r="H63" s="44"/>
      <c r="I63" s="70">
        <f t="shared" si="3"/>
        <v>154.31687871965784</v>
      </c>
      <c r="J63" s="71">
        <f>G63*I33</f>
        <v>2160.4363020752098</v>
      </c>
      <c r="K63" s="42"/>
      <c r="L63" s="42"/>
      <c r="M63" s="42"/>
      <c r="N63" s="41"/>
      <c r="O63" s="70">
        <f t="shared" si="4"/>
        <v>132.27161033113529</v>
      </c>
      <c r="P63" s="71">
        <f>G63*O33</f>
        <v>1851.802544635894</v>
      </c>
      <c r="Q63" s="42"/>
      <c r="R63" s="42"/>
      <c r="S63" s="70"/>
      <c r="T63" s="71"/>
      <c r="U63" s="70">
        <f t="shared" si="5"/>
        <v>154.31687871965784</v>
      </c>
      <c r="V63" s="71">
        <f>G63*U33</f>
        <v>2160.4363020752098</v>
      </c>
      <c r="W63" s="42"/>
      <c r="X63" s="42"/>
      <c r="Y63" s="42"/>
      <c r="Z63" s="93"/>
      <c r="AA63" s="92"/>
      <c r="AB63" s="39"/>
      <c r="AC63" s="98"/>
    </row>
    <row r="64" spans="1:29" ht="30" customHeight="1" x14ac:dyDescent="0.6">
      <c r="A64" s="74">
        <v>30</v>
      </c>
      <c r="B64" s="7" t="s">
        <v>23</v>
      </c>
      <c r="C64" s="7" t="s">
        <v>22</v>
      </c>
      <c r="D64" s="7" t="s">
        <v>21</v>
      </c>
      <c r="E64" s="99"/>
      <c r="F64" s="73" t="s">
        <v>271</v>
      </c>
      <c r="G64" s="102">
        <v>2.678575103409955E-2</v>
      </c>
      <c r="H64" s="44"/>
      <c r="I64" s="70">
        <f t="shared" si="3"/>
        <v>152.86061593721971</v>
      </c>
      <c r="J64" s="71">
        <f>G64*I33</f>
        <v>2140.0486231210757</v>
      </c>
      <c r="K64" s="42"/>
      <c r="L64" s="42"/>
      <c r="M64" s="42"/>
      <c r="N64" s="41"/>
      <c r="O64" s="70">
        <f t="shared" si="4"/>
        <v>131.02338508904543</v>
      </c>
      <c r="P64" s="71">
        <f>G64*O33</f>
        <v>1834.3273912466361</v>
      </c>
      <c r="Q64" s="42"/>
      <c r="R64" s="42"/>
      <c r="S64" s="70"/>
      <c r="T64" s="71"/>
      <c r="U64" s="70">
        <f t="shared" si="5"/>
        <v>152.86061593721971</v>
      </c>
      <c r="V64" s="71">
        <f>G64*U33</f>
        <v>2140.0486231210757</v>
      </c>
      <c r="W64" s="42"/>
      <c r="X64" s="42"/>
      <c r="Y64" s="42"/>
      <c r="Z64" s="93"/>
      <c r="AA64" s="92"/>
      <c r="AB64" s="39"/>
      <c r="AC64" s="98"/>
    </row>
    <row r="65" spans="1:29" ht="30" customHeight="1" x14ac:dyDescent="0.6">
      <c r="A65" s="74">
        <v>31</v>
      </c>
      <c r="B65" s="7" t="s">
        <v>75</v>
      </c>
      <c r="C65" s="7" t="s">
        <v>74</v>
      </c>
      <c r="D65" s="7" t="s">
        <v>28</v>
      </c>
      <c r="E65" s="99"/>
      <c r="F65" s="73" t="s">
        <v>271</v>
      </c>
      <c r="G65" s="102">
        <v>2.6588191714856036E-2</v>
      </c>
      <c r="H65" s="44"/>
      <c r="I65" s="70">
        <f t="shared" si="3"/>
        <v>151.73318668629983</v>
      </c>
      <c r="J65" s="71">
        <f>G65*I33</f>
        <v>2124.2646136081976</v>
      </c>
      <c r="K65" s="42"/>
      <c r="L65" s="42"/>
      <c r="M65" s="42"/>
      <c r="N65" s="41"/>
      <c r="O65" s="70">
        <f t="shared" si="4"/>
        <v>130.05701715968553</v>
      </c>
      <c r="P65" s="71">
        <f>G65*O33</f>
        <v>1820.7982402355974</v>
      </c>
      <c r="Q65" s="42"/>
      <c r="R65" s="42"/>
      <c r="S65" s="70"/>
      <c r="T65" s="71"/>
      <c r="U65" s="70">
        <f t="shared" si="5"/>
        <v>151.73318668629983</v>
      </c>
      <c r="V65" s="71">
        <f>G65*U33</f>
        <v>2124.2646136081976</v>
      </c>
      <c r="W65" s="42"/>
      <c r="X65" s="42"/>
      <c r="Y65" s="42"/>
      <c r="Z65" s="93"/>
      <c r="AA65" s="92"/>
      <c r="AB65" s="39"/>
      <c r="AC65" s="98"/>
    </row>
    <row r="66" spans="1:29" ht="30" customHeight="1" x14ac:dyDescent="0.6">
      <c r="A66" s="74">
        <v>32</v>
      </c>
      <c r="B66" s="7" t="s">
        <v>52</v>
      </c>
      <c r="C66" s="7" t="s">
        <v>51</v>
      </c>
      <c r="D66" s="7" t="s">
        <v>28</v>
      </c>
      <c r="E66" s="100"/>
      <c r="F66" s="73" t="s">
        <v>271</v>
      </c>
      <c r="G66" s="102">
        <v>4.8912394789372926E-2</v>
      </c>
      <c r="H66" s="44"/>
      <c r="I66" s="70">
        <f t="shared" si="3"/>
        <v>279.13269204024562</v>
      </c>
      <c r="J66" s="71">
        <f>G66*I33</f>
        <v>3907.8576885634388</v>
      </c>
      <c r="K66" s="42"/>
      <c r="L66" s="42"/>
      <c r="M66" s="42"/>
      <c r="N66" s="41"/>
      <c r="O66" s="70">
        <f t="shared" si="4"/>
        <v>239.25659317735335</v>
      </c>
      <c r="P66" s="71">
        <f>G66*O33</f>
        <v>3349.5923044829469</v>
      </c>
      <c r="Q66" s="42"/>
      <c r="R66" s="42"/>
      <c r="S66" s="70"/>
      <c r="T66" s="71"/>
      <c r="U66" s="70">
        <f t="shared" si="5"/>
        <v>279.13269204024562</v>
      </c>
      <c r="V66" s="71">
        <f>G66*U33</f>
        <v>3907.8576885634388</v>
      </c>
      <c r="W66" s="42"/>
      <c r="X66" s="42"/>
      <c r="Y66" s="42"/>
      <c r="Z66" s="93"/>
      <c r="AA66" s="92"/>
      <c r="AB66" s="39"/>
      <c r="AC66" s="98"/>
    </row>
    <row r="67" spans="1:29" ht="30" customHeight="1" x14ac:dyDescent="0.6">
      <c r="A67" s="74">
        <v>33</v>
      </c>
      <c r="B67" s="7" t="s">
        <v>87</v>
      </c>
      <c r="C67" s="7" t="s">
        <v>86</v>
      </c>
      <c r="D67" s="7" t="s">
        <v>28</v>
      </c>
      <c r="E67" s="100"/>
      <c r="F67" s="73" t="s">
        <v>271</v>
      </c>
      <c r="G67" s="102">
        <v>4.3072047414236599E-2</v>
      </c>
      <c r="H67" s="44"/>
      <c r="I67" s="70">
        <f t="shared" ref="I67:I89" si="6">J67/14</f>
        <v>245.80306480992687</v>
      </c>
      <c r="J67" s="71">
        <f>G67*I33</f>
        <v>3441.2429073389762</v>
      </c>
      <c r="K67" s="42"/>
      <c r="L67" s="42"/>
      <c r="M67" s="42"/>
      <c r="N67" s="41"/>
      <c r="O67" s="70">
        <f t="shared" ref="O67:O89" si="7">P67/14</f>
        <v>210.68834126565159</v>
      </c>
      <c r="P67" s="71">
        <f>G67*O33</f>
        <v>2949.6367777191222</v>
      </c>
      <c r="Q67" s="42"/>
      <c r="R67" s="42"/>
      <c r="S67" s="70"/>
      <c r="T67" s="71"/>
      <c r="U67" s="70">
        <f t="shared" ref="U67:U89" si="8">V67/14</f>
        <v>245.80306480992687</v>
      </c>
      <c r="V67" s="71">
        <f>G67*U33</f>
        <v>3441.2429073389762</v>
      </c>
      <c r="W67" s="42"/>
      <c r="X67" s="42"/>
      <c r="Y67" s="42"/>
      <c r="Z67" s="93"/>
      <c r="AA67" s="92"/>
      <c r="AB67" s="39"/>
      <c r="AC67" s="98"/>
    </row>
    <row r="68" spans="1:29" ht="30" customHeight="1" x14ac:dyDescent="0.6">
      <c r="A68" s="74">
        <v>34</v>
      </c>
      <c r="B68" s="7" t="s">
        <v>105</v>
      </c>
      <c r="C68" s="7" t="s">
        <v>104</v>
      </c>
      <c r="D68" s="7" t="s">
        <v>101</v>
      </c>
      <c r="E68" s="100"/>
      <c r="F68" s="73" t="s">
        <v>271</v>
      </c>
      <c r="G68" s="102">
        <v>2.3147366904698197E-2</v>
      </c>
      <c r="H68" s="44"/>
      <c r="I68" s="70">
        <f t="shared" si="6"/>
        <v>132.09712723277866</v>
      </c>
      <c r="J68" s="71">
        <f>G68*I33</f>
        <v>1849.3597812589014</v>
      </c>
      <c r="K68" s="42"/>
      <c r="L68" s="42"/>
      <c r="M68" s="42"/>
      <c r="N68" s="41"/>
      <c r="O68" s="70">
        <f t="shared" si="7"/>
        <v>113.22610905666741</v>
      </c>
      <c r="P68" s="71">
        <f>G68*O33</f>
        <v>1585.1655267933438</v>
      </c>
      <c r="Q68" s="42"/>
      <c r="R68" s="42"/>
      <c r="S68" s="70"/>
      <c r="T68" s="71"/>
      <c r="U68" s="70">
        <f t="shared" si="8"/>
        <v>132.09712723277866</v>
      </c>
      <c r="V68" s="71">
        <f>G68*U33</f>
        <v>1849.3597812589014</v>
      </c>
      <c r="W68" s="42"/>
      <c r="X68" s="42"/>
      <c r="Y68" s="42"/>
      <c r="Z68" s="93"/>
      <c r="AA68" s="92"/>
      <c r="AB68" s="39"/>
      <c r="AC68" s="98"/>
    </row>
    <row r="69" spans="1:29" ht="30" customHeight="1" x14ac:dyDescent="0.6">
      <c r="A69" s="74">
        <v>35</v>
      </c>
      <c r="B69" s="7" t="s">
        <v>50</v>
      </c>
      <c r="C69" s="7" t="s">
        <v>49</v>
      </c>
      <c r="D69" s="7" t="s">
        <v>46</v>
      </c>
      <c r="E69" s="100"/>
      <c r="F69" s="73" t="s">
        <v>271</v>
      </c>
      <c r="G69" s="106">
        <v>2.0167513839441886E-2</v>
      </c>
      <c r="H69" s="44"/>
      <c r="I69" s="70">
        <f t="shared" si="6"/>
        <v>115.0917360314039</v>
      </c>
      <c r="J69" s="71">
        <f>G69*I33</f>
        <v>1611.2843044396545</v>
      </c>
      <c r="K69" s="104"/>
      <c r="L69" s="104"/>
      <c r="M69" s="104"/>
      <c r="N69" s="105"/>
      <c r="O69" s="70">
        <f t="shared" si="7"/>
        <v>98.650059455489028</v>
      </c>
      <c r="P69" s="71">
        <f>G69*O33</f>
        <v>1381.1008323768465</v>
      </c>
      <c r="Q69" s="104"/>
      <c r="R69" s="104"/>
      <c r="S69" s="70"/>
      <c r="T69" s="71"/>
      <c r="U69" s="70">
        <f t="shared" si="8"/>
        <v>115.0917360314039</v>
      </c>
      <c r="V69" s="71">
        <f>G69*U33</f>
        <v>1611.2843044396545</v>
      </c>
      <c r="W69" s="104"/>
      <c r="X69" s="104"/>
      <c r="Y69" s="104"/>
      <c r="Z69" s="103"/>
      <c r="AA69" s="92"/>
      <c r="AB69" s="39"/>
      <c r="AC69" s="98"/>
    </row>
    <row r="70" spans="1:29" ht="30" customHeight="1" x14ac:dyDescent="0.6">
      <c r="A70" s="74">
        <v>36</v>
      </c>
      <c r="B70" s="7" t="s">
        <v>10</v>
      </c>
      <c r="C70" s="7" t="s">
        <v>9</v>
      </c>
      <c r="D70" s="7" t="s">
        <v>8</v>
      </c>
      <c r="E70" s="99"/>
      <c r="F70" s="73" t="s">
        <v>271</v>
      </c>
      <c r="G70" s="102">
        <v>1.7574547774370786E-2</v>
      </c>
      <c r="H70" s="44"/>
      <c r="I70" s="70">
        <f t="shared" si="6"/>
        <v>100.29422711308052</v>
      </c>
      <c r="J70" s="71">
        <f>G70*I33</f>
        <v>1404.1191795831273</v>
      </c>
      <c r="K70" s="104"/>
      <c r="L70" s="104"/>
      <c r="M70" s="104"/>
      <c r="N70" s="105"/>
      <c r="O70" s="70">
        <f t="shared" si="7"/>
        <v>85.966480382640427</v>
      </c>
      <c r="P70" s="71">
        <f>G70*O33</f>
        <v>1203.5307253569661</v>
      </c>
      <c r="Q70" s="104"/>
      <c r="R70" s="104"/>
      <c r="S70" s="70"/>
      <c r="T70" s="71"/>
      <c r="U70" s="70">
        <f t="shared" si="8"/>
        <v>100.29422711308052</v>
      </c>
      <c r="V70" s="71">
        <f>G70*U33</f>
        <v>1404.1191795831273</v>
      </c>
      <c r="W70" s="104"/>
      <c r="X70" s="104"/>
      <c r="Y70" s="104"/>
      <c r="Z70" s="103"/>
      <c r="AA70" s="92"/>
      <c r="AB70" s="39"/>
      <c r="AC70" s="98"/>
    </row>
    <row r="71" spans="1:29" ht="30" customHeight="1" x14ac:dyDescent="0.6">
      <c r="A71" s="74">
        <v>37</v>
      </c>
      <c r="B71" s="7" t="s">
        <v>45</v>
      </c>
      <c r="C71" s="7" t="s">
        <v>44</v>
      </c>
      <c r="D71" s="7" t="s">
        <v>21</v>
      </c>
      <c r="E71" s="99"/>
      <c r="F71" s="73" t="s">
        <v>271</v>
      </c>
      <c r="G71" s="102">
        <v>1.6679357109048623E-2</v>
      </c>
      <c r="H71" s="44"/>
      <c r="I71" s="70">
        <f t="shared" si="6"/>
        <v>95.185563319849862</v>
      </c>
      <c r="J71" s="71">
        <f>G71*I33</f>
        <v>1332.5978864778981</v>
      </c>
      <c r="K71" s="42"/>
      <c r="L71" s="42"/>
      <c r="M71" s="42"/>
      <c r="N71" s="41"/>
      <c r="O71" s="70">
        <f t="shared" si="7"/>
        <v>81.587625702728445</v>
      </c>
      <c r="P71" s="71">
        <f>G71*O33</f>
        <v>1142.2267598381982</v>
      </c>
      <c r="Q71" s="42"/>
      <c r="R71" s="42"/>
      <c r="S71" s="70"/>
      <c r="T71" s="71"/>
      <c r="U71" s="70">
        <f t="shared" si="8"/>
        <v>95.185563319849862</v>
      </c>
      <c r="V71" s="71">
        <f>G71*U33</f>
        <v>1332.5978864778981</v>
      </c>
      <c r="W71" s="42"/>
      <c r="X71" s="42"/>
      <c r="Y71" s="42"/>
      <c r="Z71" s="93"/>
      <c r="AA71" s="92"/>
      <c r="AB71" s="39"/>
      <c r="AC71" s="98"/>
    </row>
    <row r="72" spans="1:29" ht="30" customHeight="1" x14ac:dyDescent="0.6">
      <c r="A72" s="74">
        <v>38</v>
      </c>
      <c r="B72" s="7" t="s">
        <v>16</v>
      </c>
      <c r="C72" s="7" t="s">
        <v>15</v>
      </c>
      <c r="D72" s="7" t="s">
        <v>8</v>
      </c>
      <c r="E72" s="99"/>
      <c r="F72" s="73" t="s">
        <v>271</v>
      </c>
      <c r="G72" s="102">
        <v>1.2759039367810173E-2</v>
      </c>
      <c r="H72" s="44"/>
      <c r="I72" s="70">
        <f t="shared" si="6"/>
        <v>72.813139121908577</v>
      </c>
      <c r="J72" s="71">
        <f>G72*I33</f>
        <v>1019.3839477067202</v>
      </c>
      <c r="K72" s="42"/>
      <c r="L72" s="42"/>
      <c r="M72" s="42"/>
      <c r="N72" s="41"/>
      <c r="O72" s="70">
        <f t="shared" si="7"/>
        <v>62.411262104493062</v>
      </c>
      <c r="P72" s="71">
        <f>G72*O33</f>
        <v>873.75766946290287</v>
      </c>
      <c r="Q72" s="42"/>
      <c r="R72" s="42"/>
      <c r="S72" s="70"/>
      <c r="T72" s="71"/>
      <c r="U72" s="70">
        <f t="shared" si="8"/>
        <v>72.813139121908577</v>
      </c>
      <c r="V72" s="71">
        <f>G72*U33</f>
        <v>1019.3839477067202</v>
      </c>
      <c r="W72" s="42"/>
      <c r="X72" s="42"/>
      <c r="Y72" s="42"/>
      <c r="Z72" s="93"/>
      <c r="AA72" s="92"/>
      <c r="AB72" s="39"/>
      <c r="AC72" s="98"/>
    </row>
    <row r="73" spans="1:29" ht="30" customHeight="1" x14ac:dyDescent="0.6">
      <c r="A73" s="74">
        <v>39</v>
      </c>
      <c r="B73" s="7" t="s">
        <v>32</v>
      </c>
      <c r="C73" s="7" t="s">
        <v>31</v>
      </c>
      <c r="D73" s="7" t="s">
        <v>21</v>
      </c>
      <c r="E73" s="99"/>
      <c r="F73" s="73" t="s">
        <v>271</v>
      </c>
      <c r="G73" s="102">
        <v>9.9602823451937477E-3</v>
      </c>
      <c r="H73" s="44"/>
      <c r="I73" s="70">
        <f t="shared" si="6"/>
        <v>56.84122473387702</v>
      </c>
      <c r="J73" s="71">
        <f>G73*I33</f>
        <v>795.77714627427827</v>
      </c>
      <c r="K73" s="42"/>
      <c r="L73" s="42"/>
      <c r="M73" s="42"/>
      <c r="N73" s="41"/>
      <c r="O73" s="70">
        <f t="shared" si="7"/>
        <v>48.721049771894577</v>
      </c>
      <c r="P73" s="71">
        <f>G73*O33</f>
        <v>682.0946968065241</v>
      </c>
      <c r="Q73" s="42"/>
      <c r="R73" s="42"/>
      <c r="S73" s="70"/>
      <c r="T73" s="71"/>
      <c r="U73" s="70">
        <f t="shared" si="8"/>
        <v>56.84122473387702</v>
      </c>
      <c r="V73" s="71">
        <f>G73*U33</f>
        <v>795.77714627427827</v>
      </c>
      <c r="W73" s="42"/>
      <c r="X73" s="42"/>
      <c r="Y73" s="42"/>
      <c r="Z73" s="93"/>
      <c r="AA73" s="92"/>
      <c r="AB73" s="39"/>
      <c r="AC73" s="98"/>
    </row>
    <row r="74" spans="1:29" ht="30" customHeight="1" x14ac:dyDescent="0.6">
      <c r="A74" s="74">
        <v>40</v>
      </c>
      <c r="B74" s="7" t="s">
        <v>72</v>
      </c>
      <c r="C74" s="7" t="s">
        <v>71</v>
      </c>
      <c r="D74" s="7" t="s">
        <v>70</v>
      </c>
      <c r="E74" s="99"/>
      <c r="F74" s="73" t="s">
        <v>271</v>
      </c>
      <c r="G74" s="102">
        <v>8.7461156956763278E-3</v>
      </c>
      <c r="H74" s="44"/>
      <c r="I74" s="70">
        <f t="shared" si="6"/>
        <v>49.912232462598624</v>
      </c>
      <c r="J74" s="71">
        <f>G74*I33</f>
        <v>698.7712544763807</v>
      </c>
      <c r="K74" s="42"/>
      <c r="L74" s="42"/>
      <c r="M74" s="42"/>
      <c r="N74" s="41"/>
      <c r="O74" s="70">
        <f t="shared" si="7"/>
        <v>42.781913539370244</v>
      </c>
      <c r="P74" s="71">
        <f>G74*O33</f>
        <v>598.94678955118343</v>
      </c>
      <c r="Q74" s="42"/>
      <c r="R74" s="42"/>
      <c r="S74" s="70"/>
      <c r="T74" s="71"/>
      <c r="U74" s="70">
        <f t="shared" si="8"/>
        <v>49.912232462598624</v>
      </c>
      <c r="V74" s="71">
        <f>G74*U33</f>
        <v>698.7712544763807</v>
      </c>
      <c r="W74" s="42"/>
      <c r="X74" s="42"/>
      <c r="Y74" s="42"/>
      <c r="Z74" s="93"/>
      <c r="AA74" s="92"/>
      <c r="AB74" s="39"/>
      <c r="AC74" s="98"/>
    </row>
    <row r="75" spans="1:29" ht="30" customHeight="1" x14ac:dyDescent="0.6">
      <c r="A75" s="74">
        <v>41</v>
      </c>
      <c r="B75" s="7" t="s">
        <v>43</v>
      </c>
      <c r="C75" s="7" t="s">
        <v>42</v>
      </c>
      <c r="D75" s="7" t="s">
        <v>41</v>
      </c>
      <c r="E75" s="99"/>
      <c r="F75" s="73" t="s">
        <v>271</v>
      </c>
      <c r="G75" s="102">
        <v>8.6432202169036652E-3</v>
      </c>
      <c r="H75" s="44"/>
      <c r="I75" s="70">
        <f t="shared" si="6"/>
        <v>49.325029727744528</v>
      </c>
      <c r="J75" s="71">
        <f>G75*I33</f>
        <v>690.55041618842336</v>
      </c>
      <c r="K75" s="42"/>
      <c r="L75" s="42"/>
      <c r="M75" s="42"/>
      <c r="N75" s="41"/>
      <c r="O75" s="70">
        <f t="shared" si="7"/>
        <v>42.278596909495299</v>
      </c>
      <c r="P75" s="71">
        <f>G75*O33</f>
        <v>591.90035673293414</v>
      </c>
      <c r="Q75" s="42"/>
      <c r="R75" s="42"/>
      <c r="S75" s="70"/>
      <c r="T75" s="71"/>
      <c r="U75" s="70">
        <f t="shared" si="8"/>
        <v>49.325029727744528</v>
      </c>
      <c r="V75" s="71">
        <f>G75*U33</f>
        <v>690.55041618842336</v>
      </c>
      <c r="W75" s="42"/>
      <c r="X75" s="42"/>
      <c r="Y75" s="42"/>
      <c r="Z75" s="93"/>
      <c r="AA75" s="92"/>
      <c r="AB75" s="39"/>
      <c r="AC75" s="98"/>
    </row>
    <row r="76" spans="1:29" ht="30" customHeight="1" x14ac:dyDescent="0.6">
      <c r="A76" s="74">
        <v>42</v>
      </c>
      <c r="B76" s="7" t="s">
        <v>100</v>
      </c>
      <c r="C76" s="7" t="s">
        <v>99</v>
      </c>
      <c r="D76" s="7" t="s">
        <v>92</v>
      </c>
      <c r="E76" s="99"/>
      <c r="F76" s="73" t="s">
        <v>271</v>
      </c>
      <c r="G76" s="102">
        <v>7.9229518654950273E-3</v>
      </c>
      <c r="H76" s="44"/>
      <c r="I76" s="70">
        <f t="shared" si="6"/>
        <v>45.214610583765818</v>
      </c>
      <c r="J76" s="71">
        <f>G76*I33</f>
        <v>633.00454817272146</v>
      </c>
      <c r="K76" s="42"/>
      <c r="L76" s="42"/>
      <c r="M76" s="42"/>
      <c r="N76" s="41"/>
      <c r="O76" s="70">
        <f t="shared" si="7"/>
        <v>38.755380500370691</v>
      </c>
      <c r="P76" s="71">
        <f>G76*O33</f>
        <v>542.57532700518971</v>
      </c>
      <c r="Q76" s="42"/>
      <c r="R76" s="42"/>
      <c r="S76" s="70"/>
      <c r="T76" s="71"/>
      <c r="U76" s="70">
        <f t="shared" si="8"/>
        <v>45.214610583765818</v>
      </c>
      <c r="V76" s="71">
        <f>G76*U33</f>
        <v>633.00454817272146</v>
      </c>
      <c r="W76" s="42"/>
      <c r="X76" s="42"/>
      <c r="Y76" s="42"/>
      <c r="Z76" s="93"/>
      <c r="AA76" s="92"/>
      <c r="AB76" s="39"/>
      <c r="AC76" s="98"/>
    </row>
    <row r="77" spans="1:29" ht="30" customHeight="1" x14ac:dyDescent="0.6">
      <c r="A77" s="74">
        <v>43</v>
      </c>
      <c r="B77" s="7" t="s">
        <v>275</v>
      </c>
      <c r="C77" s="7" t="s">
        <v>73</v>
      </c>
      <c r="D77" s="7" t="s">
        <v>11</v>
      </c>
      <c r="E77" s="99"/>
      <c r="F77" s="73" t="s">
        <v>271</v>
      </c>
      <c r="G77" s="102">
        <v>7.4702117588953103E-3</v>
      </c>
      <c r="H77" s="44"/>
      <c r="I77" s="70">
        <f t="shared" si="6"/>
        <v>42.63091855040777</v>
      </c>
      <c r="J77" s="71">
        <f>G77*I33</f>
        <v>596.83285970570876</v>
      </c>
      <c r="K77" s="42"/>
      <c r="L77" s="42"/>
      <c r="M77" s="42"/>
      <c r="N77" s="41"/>
      <c r="O77" s="70">
        <f t="shared" si="7"/>
        <v>36.540787328920935</v>
      </c>
      <c r="P77" s="71">
        <f>G77*O33</f>
        <v>511.57102260489307</v>
      </c>
      <c r="Q77" s="42"/>
      <c r="R77" s="42"/>
      <c r="S77" s="70"/>
      <c r="T77" s="71"/>
      <c r="U77" s="70">
        <f t="shared" si="8"/>
        <v>42.63091855040777</v>
      </c>
      <c r="V77" s="71">
        <f>G77*U33</f>
        <v>596.83285970570876</v>
      </c>
      <c r="W77" s="42"/>
      <c r="X77" s="42"/>
      <c r="Y77" s="42"/>
      <c r="Z77" s="93"/>
      <c r="AA77" s="92"/>
      <c r="AB77" s="39"/>
      <c r="AC77" s="98"/>
    </row>
    <row r="78" spans="1:29" ht="30" customHeight="1" x14ac:dyDescent="0.6">
      <c r="A78" s="74">
        <v>44</v>
      </c>
      <c r="B78" s="7" t="s">
        <v>14</v>
      </c>
      <c r="C78" s="7" t="s">
        <v>6</v>
      </c>
      <c r="D78" s="7" t="s">
        <v>8</v>
      </c>
      <c r="E78" s="99"/>
      <c r="F78" s="73" t="s">
        <v>271</v>
      </c>
      <c r="G78" s="102">
        <v>7.4084744716317128E-3</v>
      </c>
      <c r="H78" s="44"/>
      <c r="I78" s="70">
        <f t="shared" si="6"/>
        <v>42.278596909495306</v>
      </c>
      <c r="J78" s="71">
        <f>G78*I33</f>
        <v>591.90035673293426</v>
      </c>
      <c r="K78" s="42"/>
      <c r="L78" s="42"/>
      <c r="M78" s="42"/>
      <c r="N78" s="41"/>
      <c r="O78" s="70">
        <f t="shared" si="7"/>
        <v>36.238797350995966</v>
      </c>
      <c r="P78" s="71">
        <f>G78*O33</f>
        <v>507.34316291394356</v>
      </c>
      <c r="Q78" s="42"/>
      <c r="R78" s="42"/>
      <c r="S78" s="70"/>
      <c r="T78" s="71"/>
      <c r="U78" s="70">
        <f t="shared" si="8"/>
        <v>42.278596909495306</v>
      </c>
      <c r="V78" s="71">
        <f>G78*U33</f>
        <v>591.90035673293426</v>
      </c>
      <c r="W78" s="42"/>
      <c r="X78" s="42"/>
      <c r="Y78" s="42"/>
      <c r="Z78" s="93"/>
      <c r="AA78" s="92"/>
      <c r="AB78" s="39"/>
      <c r="AC78" s="98"/>
    </row>
    <row r="79" spans="1:29" ht="30" customHeight="1" x14ac:dyDescent="0.6">
      <c r="A79" s="74">
        <v>45</v>
      </c>
      <c r="B79" s="7" t="s">
        <v>18</v>
      </c>
      <c r="C79" s="7" t="s">
        <v>17</v>
      </c>
      <c r="D79" s="7" t="s">
        <v>11</v>
      </c>
      <c r="E79" s="99"/>
      <c r="F79" s="73" t="s">
        <v>271</v>
      </c>
      <c r="G79" s="102">
        <v>6.4824151626777489E-3</v>
      </c>
      <c r="H79" s="44"/>
      <c r="I79" s="70">
        <f t="shared" si="6"/>
        <v>36.993772295808398</v>
      </c>
      <c r="J79" s="71">
        <f>G79*I33</f>
        <v>517.91281214131754</v>
      </c>
      <c r="K79" s="42"/>
      <c r="L79" s="42"/>
      <c r="M79" s="42"/>
      <c r="N79" s="41"/>
      <c r="O79" s="70">
        <f t="shared" si="7"/>
        <v>31.708947682121472</v>
      </c>
      <c r="P79" s="71">
        <f>G79*O33</f>
        <v>443.92526754970061</v>
      </c>
      <c r="Q79" s="42"/>
      <c r="R79" s="42"/>
      <c r="S79" s="70"/>
      <c r="T79" s="71"/>
      <c r="U79" s="70">
        <f t="shared" si="8"/>
        <v>36.993772295808398</v>
      </c>
      <c r="V79" s="71">
        <f>G79*U33</f>
        <v>517.91281214131754</v>
      </c>
      <c r="W79" s="42"/>
      <c r="X79" s="42"/>
      <c r="Y79" s="42"/>
      <c r="Z79" s="93"/>
      <c r="AA79" s="92"/>
      <c r="AB79" s="39"/>
      <c r="AC79" s="98"/>
    </row>
    <row r="80" spans="1:29" ht="30" customHeight="1" x14ac:dyDescent="0.6">
      <c r="A80" s="74">
        <v>46</v>
      </c>
      <c r="B80" s="7" t="s">
        <v>91</v>
      </c>
      <c r="C80" s="7" t="s">
        <v>90</v>
      </c>
      <c r="D80" s="7" t="s">
        <v>11</v>
      </c>
      <c r="E80" s="99"/>
      <c r="F80" s="73" t="s">
        <v>271</v>
      </c>
      <c r="G80" s="102">
        <v>6.1943078221142929E-3</v>
      </c>
      <c r="H80" s="44"/>
      <c r="I80" s="70">
        <f t="shared" si="6"/>
        <v>35.34960463821691</v>
      </c>
      <c r="J80" s="71">
        <f>G80*I33</f>
        <v>494.89446493503669</v>
      </c>
      <c r="K80" s="42"/>
      <c r="L80" s="42"/>
      <c r="M80" s="42"/>
      <c r="N80" s="41"/>
      <c r="O80" s="70">
        <f t="shared" si="7"/>
        <v>30.299661118471626</v>
      </c>
      <c r="P80" s="71">
        <f>G80*O33</f>
        <v>424.19525565860278</v>
      </c>
      <c r="Q80" s="42"/>
      <c r="R80" s="42"/>
      <c r="S80" s="70"/>
      <c r="T80" s="71"/>
      <c r="U80" s="70">
        <f t="shared" si="8"/>
        <v>35.34960463821691</v>
      </c>
      <c r="V80" s="71">
        <f>G80*U33</f>
        <v>494.89446493503669</v>
      </c>
      <c r="W80" s="42"/>
      <c r="X80" s="42"/>
      <c r="Y80" s="42"/>
      <c r="Z80" s="93"/>
      <c r="AA80" s="92"/>
      <c r="AB80" s="39"/>
      <c r="AC80" s="98"/>
    </row>
    <row r="81" spans="1:29" ht="30" customHeight="1" x14ac:dyDescent="0.6">
      <c r="A81" s="74">
        <v>47</v>
      </c>
      <c r="B81" s="7" t="s">
        <v>94</v>
      </c>
      <c r="C81" s="7" t="s">
        <v>93</v>
      </c>
      <c r="D81" s="7" t="s">
        <v>92</v>
      </c>
      <c r="E81" s="99"/>
      <c r="F81" s="73" t="s">
        <v>271</v>
      </c>
      <c r="G81" s="102">
        <v>5.8362315559854269E-3</v>
      </c>
      <c r="H81" s="44"/>
      <c r="I81" s="70">
        <f t="shared" si="6"/>
        <v>33.306139120924634</v>
      </c>
      <c r="J81" s="71">
        <f>G81*I33</f>
        <v>466.28594769294483</v>
      </c>
      <c r="K81" s="42"/>
      <c r="L81" s="42"/>
      <c r="M81" s="42"/>
      <c r="N81" s="41"/>
      <c r="O81" s="70">
        <f t="shared" si="7"/>
        <v>28.548119246506822</v>
      </c>
      <c r="P81" s="71">
        <f>G81*O33</f>
        <v>399.67366945109552</v>
      </c>
      <c r="Q81" s="42"/>
      <c r="R81" s="42"/>
      <c r="S81" s="70"/>
      <c r="T81" s="71"/>
      <c r="U81" s="70">
        <f t="shared" si="8"/>
        <v>33.306139120924634</v>
      </c>
      <c r="V81" s="71">
        <f>G81*U33</f>
        <v>466.28594769294483</v>
      </c>
      <c r="W81" s="42"/>
      <c r="X81" s="42"/>
      <c r="Y81" s="42"/>
      <c r="Z81" s="93"/>
      <c r="AA81" s="92"/>
      <c r="AB81" s="39"/>
      <c r="AC81" s="98"/>
    </row>
    <row r="82" spans="1:29" ht="30" customHeight="1" x14ac:dyDescent="0.6">
      <c r="A82" s="74">
        <v>48</v>
      </c>
      <c r="B82" s="7" t="s">
        <v>37</v>
      </c>
      <c r="C82" s="7" t="s">
        <v>36</v>
      </c>
      <c r="D82" s="7" t="s">
        <v>33</v>
      </c>
      <c r="E82" s="99"/>
      <c r="F82" s="73" t="s">
        <v>271</v>
      </c>
      <c r="G82" s="102">
        <v>5.5501821249974255E-3</v>
      </c>
      <c r="H82" s="44"/>
      <c r="I82" s="70">
        <f t="shared" si="6"/>
        <v>31.673715518030235</v>
      </c>
      <c r="J82" s="71">
        <f>G82*I33</f>
        <v>443.43201725242329</v>
      </c>
      <c r="K82" s="42"/>
      <c r="L82" s="42"/>
      <c r="M82" s="42"/>
      <c r="N82" s="41"/>
      <c r="O82" s="70">
        <f t="shared" si="7"/>
        <v>27.148899015454482</v>
      </c>
      <c r="P82" s="71">
        <f>G82*O33</f>
        <v>380.08458621636277</v>
      </c>
      <c r="Q82" s="42"/>
      <c r="R82" s="42"/>
      <c r="S82" s="70"/>
      <c r="T82" s="71"/>
      <c r="U82" s="70">
        <f t="shared" si="8"/>
        <v>31.673715518030235</v>
      </c>
      <c r="V82" s="71">
        <f>G82*U33</f>
        <v>443.43201725242329</v>
      </c>
      <c r="W82" s="42"/>
      <c r="X82" s="42"/>
      <c r="Y82" s="42"/>
      <c r="Z82" s="93"/>
      <c r="AA82" s="92"/>
      <c r="AB82" s="39"/>
      <c r="AC82" s="98"/>
    </row>
    <row r="83" spans="1:29" ht="30" customHeight="1" x14ac:dyDescent="0.6">
      <c r="A83" s="74">
        <v>49</v>
      </c>
      <c r="B83" s="7" t="s">
        <v>58</v>
      </c>
      <c r="C83" s="7" t="s">
        <v>57</v>
      </c>
      <c r="D83" s="7" t="s">
        <v>41</v>
      </c>
      <c r="E83" s="99"/>
      <c r="F83" s="73" t="s">
        <v>271</v>
      </c>
      <c r="G83" s="102">
        <v>4.6097174490152878E-3</v>
      </c>
      <c r="H83" s="44"/>
      <c r="I83" s="70">
        <f t="shared" si="6"/>
        <v>26.306682521463745</v>
      </c>
      <c r="J83" s="71">
        <f>G83*I33</f>
        <v>368.29355530049241</v>
      </c>
      <c r="K83" s="42"/>
      <c r="L83" s="42"/>
      <c r="M83" s="42"/>
      <c r="N83" s="41"/>
      <c r="O83" s="70">
        <f t="shared" si="7"/>
        <v>22.548585018397489</v>
      </c>
      <c r="P83" s="71">
        <f>G83*O33</f>
        <v>315.68019025756485</v>
      </c>
      <c r="Q83" s="42"/>
      <c r="R83" s="42"/>
      <c r="S83" s="70"/>
      <c r="T83" s="71"/>
      <c r="U83" s="70">
        <f t="shared" si="8"/>
        <v>26.306682521463745</v>
      </c>
      <c r="V83" s="71">
        <f>G83*U33</f>
        <v>368.29355530049241</v>
      </c>
      <c r="W83" s="42"/>
      <c r="X83" s="42"/>
      <c r="Y83" s="42"/>
      <c r="Z83" s="93"/>
      <c r="AA83" s="92"/>
      <c r="AB83" s="39"/>
      <c r="AC83" s="98"/>
    </row>
    <row r="84" spans="1:29" ht="30" customHeight="1" x14ac:dyDescent="0.6">
      <c r="A84" s="74">
        <v>50</v>
      </c>
      <c r="B84" s="7" t="s">
        <v>96</v>
      </c>
      <c r="C84" s="7" t="s">
        <v>95</v>
      </c>
      <c r="D84" s="7" t="s">
        <v>8</v>
      </c>
      <c r="E84" s="99"/>
      <c r="F84" s="73" t="s">
        <v>271</v>
      </c>
      <c r="G84" s="102">
        <v>4.5685592575062228E-3</v>
      </c>
      <c r="H84" s="44"/>
      <c r="I84" s="70">
        <f t="shared" si="6"/>
        <v>26.071801427522104</v>
      </c>
      <c r="J84" s="71">
        <f>G84*I33</f>
        <v>365.00521998530945</v>
      </c>
      <c r="K84" s="42"/>
      <c r="L84" s="42"/>
      <c r="M84" s="42"/>
      <c r="N84" s="41"/>
      <c r="O84" s="70">
        <f t="shared" si="7"/>
        <v>22.347258366447512</v>
      </c>
      <c r="P84" s="71">
        <f>G84*O33</f>
        <v>312.86161713026519</v>
      </c>
      <c r="Q84" s="42"/>
      <c r="R84" s="42"/>
      <c r="S84" s="70"/>
      <c r="T84" s="71"/>
      <c r="U84" s="70">
        <f t="shared" si="8"/>
        <v>26.071801427522104</v>
      </c>
      <c r="V84" s="71">
        <f>G84*U33</f>
        <v>365.00521998530945</v>
      </c>
      <c r="W84" s="42"/>
      <c r="X84" s="42"/>
      <c r="Y84" s="42"/>
      <c r="Z84" s="93"/>
      <c r="AA84" s="92"/>
      <c r="AB84" s="39"/>
      <c r="AC84" s="98"/>
    </row>
    <row r="85" spans="1:29" ht="30" customHeight="1" x14ac:dyDescent="0.6">
      <c r="A85" s="74">
        <v>51</v>
      </c>
      <c r="B85" s="7" t="s">
        <v>103</v>
      </c>
      <c r="C85" s="7" t="s">
        <v>102</v>
      </c>
      <c r="D85" s="7" t="s">
        <v>101</v>
      </c>
      <c r="E85" s="99"/>
      <c r="F85" s="73" t="s">
        <v>271</v>
      </c>
      <c r="G85" s="102">
        <v>1.8726977136624609E-3</v>
      </c>
      <c r="H85" s="44"/>
      <c r="I85" s="70">
        <f t="shared" si="6"/>
        <v>10.687089774344647</v>
      </c>
      <c r="J85" s="71">
        <f>G85*I33</f>
        <v>149.61925684082507</v>
      </c>
      <c r="K85" s="42"/>
      <c r="L85" s="42"/>
      <c r="M85" s="42"/>
      <c r="N85" s="41"/>
      <c r="O85" s="70">
        <f t="shared" si="7"/>
        <v>9.1603626637239817</v>
      </c>
      <c r="P85" s="71">
        <f>G85*O33</f>
        <v>128.24507729213573</v>
      </c>
      <c r="Q85" s="42"/>
      <c r="R85" s="42"/>
      <c r="S85" s="70"/>
      <c r="T85" s="71"/>
      <c r="U85" s="70">
        <f t="shared" si="8"/>
        <v>10.687089774344647</v>
      </c>
      <c r="V85" s="71">
        <f>G85*U33</f>
        <v>149.61925684082507</v>
      </c>
      <c r="W85" s="42"/>
      <c r="X85" s="42"/>
      <c r="Y85" s="42"/>
      <c r="Z85" s="93"/>
      <c r="AA85" s="92"/>
      <c r="AB85" s="39"/>
      <c r="AC85" s="98"/>
    </row>
    <row r="86" spans="1:29" ht="30" customHeight="1" x14ac:dyDescent="0.6">
      <c r="A86" s="74">
        <v>52</v>
      </c>
      <c r="B86" s="7" t="s">
        <v>274</v>
      </c>
      <c r="C86" s="7" t="s">
        <v>273</v>
      </c>
      <c r="D86" s="7" t="s">
        <v>28</v>
      </c>
      <c r="E86" s="99"/>
      <c r="F86" s="73" t="s">
        <v>271</v>
      </c>
      <c r="G86" s="102">
        <v>1.7595126870125318E-2</v>
      </c>
      <c r="H86" s="44"/>
      <c r="I86" s="70">
        <f t="shared" si="6"/>
        <v>100.41166766005135</v>
      </c>
      <c r="J86" s="71">
        <f>G86*I33</f>
        <v>1405.763347240719</v>
      </c>
      <c r="K86" s="42"/>
      <c r="L86" s="42"/>
      <c r="M86" s="42"/>
      <c r="N86" s="41"/>
      <c r="O86" s="70">
        <f t="shared" si="7"/>
        <v>86.067143708615419</v>
      </c>
      <c r="P86" s="71">
        <f>G86*O33</f>
        <v>1204.9400119206159</v>
      </c>
      <c r="Q86" s="42"/>
      <c r="R86" s="42"/>
      <c r="S86" s="70"/>
      <c r="T86" s="71"/>
      <c r="U86" s="70">
        <f t="shared" si="8"/>
        <v>100.41166766005135</v>
      </c>
      <c r="V86" s="71">
        <f>G86*U33</f>
        <v>1405.763347240719</v>
      </c>
      <c r="W86" s="42"/>
      <c r="X86" s="42"/>
      <c r="Y86" s="42"/>
      <c r="Z86" s="93"/>
      <c r="AA86" s="92"/>
      <c r="AB86" s="39"/>
      <c r="AC86" s="98"/>
    </row>
    <row r="87" spans="1:29" ht="30" customHeight="1" x14ac:dyDescent="0.6">
      <c r="A87" s="74">
        <v>53</v>
      </c>
      <c r="B87" s="7" t="s">
        <v>139</v>
      </c>
      <c r="C87" s="7" t="s">
        <v>138</v>
      </c>
      <c r="D87" s="7" t="s">
        <v>272</v>
      </c>
      <c r="E87" s="99"/>
      <c r="F87" s="73" t="s">
        <v>271</v>
      </c>
      <c r="G87" s="102">
        <v>7.1615253225773227E-3</v>
      </c>
      <c r="H87" s="44"/>
      <c r="I87" s="70">
        <f t="shared" si="6"/>
        <v>40.869310345845463</v>
      </c>
      <c r="J87" s="71">
        <f>G87*I33</f>
        <v>572.17034484183648</v>
      </c>
      <c r="K87" s="42"/>
      <c r="L87" s="42"/>
      <c r="M87" s="42"/>
      <c r="N87" s="41"/>
      <c r="O87" s="70">
        <f t="shared" si="7"/>
        <v>35.0308374392961</v>
      </c>
      <c r="P87" s="71">
        <f>G87*O33</f>
        <v>490.43172415014544</v>
      </c>
      <c r="Q87" s="42"/>
      <c r="R87" s="42"/>
      <c r="S87" s="70"/>
      <c r="T87" s="71"/>
      <c r="U87" s="70">
        <f t="shared" si="8"/>
        <v>40.869310345845463</v>
      </c>
      <c r="V87" s="71">
        <f>G87*U33</f>
        <v>572.17034484183648</v>
      </c>
      <c r="W87" s="42"/>
      <c r="X87" s="42"/>
      <c r="Y87" s="42"/>
      <c r="Z87" s="93"/>
      <c r="AA87" s="92"/>
      <c r="AB87" s="39"/>
      <c r="AC87" s="98"/>
    </row>
    <row r="88" spans="1:29" ht="30" customHeight="1" x14ac:dyDescent="0.6">
      <c r="A88" s="74">
        <v>54</v>
      </c>
      <c r="B88" s="7" t="s">
        <v>13</v>
      </c>
      <c r="C88" s="7" t="s">
        <v>12</v>
      </c>
      <c r="D88" s="7" t="s">
        <v>11</v>
      </c>
      <c r="E88" s="99"/>
      <c r="F88" s="73" t="s">
        <v>271</v>
      </c>
      <c r="G88" s="102">
        <v>1.7286440433807329E-3</v>
      </c>
      <c r="H88" s="44"/>
      <c r="I88" s="70">
        <f t="shared" si="6"/>
        <v>9.8650059455489032</v>
      </c>
      <c r="J88" s="71">
        <f>G88*I33</f>
        <v>138.11008323768465</v>
      </c>
      <c r="K88" s="42"/>
      <c r="L88" s="42"/>
      <c r="M88" s="42"/>
      <c r="N88" s="41"/>
      <c r="O88" s="70">
        <f t="shared" si="7"/>
        <v>8.4557193818990601</v>
      </c>
      <c r="P88" s="71">
        <f>G88*O33</f>
        <v>118.38007134658683</v>
      </c>
      <c r="Q88" s="42"/>
      <c r="R88" s="42"/>
      <c r="S88" s="70"/>
      <c r="T88" s="71"/>
      <c r="U88" s="70">
        <f t="shared" si="8"/>
        <v>9.8650059455489032</v>
      </c>
      <c r="V88" s="71">
        <f>G88*U33</f>
        <v>138.11008323768465</v>
      </c>
      <c r="W88" s="42"/>
      <c r="X88" s="42"/>
      <c r="Y88" s="42"/>
      <c r="Z88" s="93"/>
      <c r="AA88" s="92"/>
      <c r="AB88" s="39"/>
      <c r="AC88" s="98"/>
    </row>
    <row r="89" spans="1:29" ht="30" customHeight="1" x14ac:dyDescent="0.6">
      <c r="A89" s="74">
        <v>55</v>
      </c>
      <c r="B89" s="7" t="s">
        <v>48</v>
      </c>
      <c r="C89" s="7" t="s">
        <v>47</v>
      </c>
      <c r="D89" s="7" t="s">
        <v>46</v>
      </c>
      <c r="E89" s="99"/>
      <c r="F89" s="73" t="s">
        <v>271</v>
      </c>
      <c r="G89" s="102">
        <v>2.6462659230753388E-2</v>
      </c>
      <c r="H89" s="44"/>
      <c r="I89" s="70">
        <f t="shared" si="6"/>
        <v>151.01679934977781</v>
      </c>
      <c r="J89" s="71">
        <f>G89*I33</f>
        <v>2114.2351908968894</v>
      </c>
      <c r="K89" s="42"/>
      <c r="L89" s="42"/>
      <c r="M89" s="42"/>
      <c r="N89" s="41"/>
      <c r="O89" s="70">
        <f t="shared" si="7"/>
        <v>129.44297087123809</v>
      </c>
      <c r="P89" s="71">
        <f>G89*O33</f>
        <v>1812.2015921973334</v>
      </c>
      <c r="Q89" s="42"/>
      <c r="R89" s="42"/>
      <c r="S89" s="70"/>
      <c r="T89" s="71"/>
      <c r="U89" s="70">
        <f t="shared" si="8"/>
        <v>151.01679934977781</v>
      </c>
      <c r="V89" s="71">
        <f>G89*U33</f>
        <v>2114.2351908968894</v>
      </c>
      <c r="W89" s="42"/>
      <c r="X89" s="42"/>
      <c r="Y89" s="42"/>
      <c r="Z89" s="93"/>
      <c r="AA89" s="92"/>
      <c r="AB89" s="39"/>
      <c r="AC89" s="98"/>
    </row>
    <row r="90" spans="1:29" ht="30" customHeight="1" x14ac:dyDescent="0.6">
      <c r="A90" s="74"/>
      <c r="B90" s="101"/>
      <c r="C90" s="100"/>
      <c r="D90" s="99"/>
      <c r="E90" s="99"/>
      <c r="F90" s="73"/>
      <c r="G90" s="45"/>
      <c r="H90" s="44"/>
      <c r="I90" s="42"/>
      <c r="J90" s="43"/>
      <c r="K90" s="42"/>
      <c r="L90" s="42"/>
      <c r="M90" s="42"/>
      <c r="N90" s="41"/>
      <c r="O90" s="42"/>
      <c r="P90" s="43"/>
      <c r="Q90" s="42"/>
      <c r="R90" s="42"/>
      <c r="S90" s="70"/>
      <c r="T90" s="71"/>
      <c r="U90" s="42"/>
      <c r="V90" s="43"/>
      <c r="W90" s="42"/>
      <c r="X90" s="42"/>
      <c r="Y90" s="42"/>
      <c r="Z90" s="93"/>
      <c r="AA90" s="92"/>
      <c r="AB90" s="39"/>
      <c r="AC90" s="98"/>
    </row>
    <row r="91" spans="1:29" s="29" customFormat="1" ht="30" customHeight="1" x14ac:dyDescent="0.7">
      <c r="A91" s="37"/>
      <c r="B91" s="491" t="s">
        <v>270</v>
      </c>
      <c r="C91" s="492"/>
      <c r="D91" s="492"/>
      <c r="E91" s="492"/>
      <c r="F91" s="493"/>
      <c r="G91" s="36"/>
      <c r="H91" s="35"/>
      <c r="I91" s="89">
        <f>SUM(I35:I90)</f>
        <v>5706.7884989530703</v>
      </c>
      <c r="J91" s="88">
        <f>SUM(J35:J90)</f>
        <v>79895.038985342981</v>
      </c>
      <c r="K91" s="89"/>
      <c r="L91" s="89"/>
      <c r="M91" s="89"/>
      <c r="N91" s="97"/>
      <c r="O91" s="89">
        <f>SUM(O35:O90)</f>
        <v>4891.5329991026319</v>
      </c>
      <c r="P91" s="88">
        <f>SUM(P35:P90)</f>
        <v>68481.461987436836</v>
      </c>
      <c r="Q91" s="89"/>
      <c r="R91" s="89"/>
      <c r="S91" s="70"/>
      <c r="T91" s="71"/>
      <c r="U91" s="89">
        <f>SUM(U35:U90)</f>
        <v>5706.7884989530703</v>
      </c>
      <c r="V91" s="88">
        <f>SUM(V35:V90)</f>
        <v>79895.038985342981</v>
      </c>
      <c r="W91" s="89"/>
      <c r="X91" s="89"/>
      <c r="Y91" s="89"/>
      <c r="Z91" s="96"/>
      <c r="AA91" s="89">
        <f>V91+P91+J91</f>
        <v>228271.5399581228</v>
      </c>
      <c r="AB91" s="95"/>
      <c r="AC91" s="94"/>
    </row>
    <row r="92" spans="1:29" ht="30" customHeight="1" x14ac:dyDescent="0.6">
      <c r="A92" s="46"/>
      <c r="B92" s="47"/>
      <c r="C92" s="47"/>
      <c r="D92" s="47"/>
      <c r="E92" s="47"/>
      <c r="F92" s="46"/>
      <c r="G92" s="45"/>
      <c r="H92" s="44"/>
      <c r="I92" s="42"/>
      <c r="J92" s="43"/>
      <c r="K92" s="42"/>
      <c r="L92" s="42"/>
      <c r="M92" s="42"/>
      <c r="N92" s="41"/>
      <c r="O92" s="42"/>
      <c r="P92" s="43"/>
      <c r="Q92" s="42"/>
      <c r="R92" s="42"/>
      <c r="S92" s="42"/>
      <c r="T92" s="43"/>
      <c r="U92" s="42"/>
      <c r="V92" s="43"/>
      <c r="W92" s="42"/>
      <c r="X92" s="42"/>
      <c r="Y92" s="42"/>
      <c r="Z92" s="93"/>
      <c r="AA92" s="92"/>
      <c r="AB92" s="39"/>
      <c r="AC92" s="39"/>
    </row>
    <row r="93" spans="1:29" ht="30" customHeight="1" thickBot="1" x14ac:dyDescent="0.75">
      <c r="A93" s="83"/>
      <c r="B93" s="84"/>
      <c r="C93" s="84"/>
      <c r="D93" s="84"/>
      <c r="E93" s="84"/>
      <c r="F93" s="83"/>
      <c r="G93" s="82"/>
      <c r="H93" s="81"/>
      <c r="I93" s="91"/>
      <c r="J93" s="87"/>
      <c r="K93" s="87"/>
      <c r="L93" s="87"/>
      <c r="M93" s="87"/>
      <c r="N93" s="90"/>
      <c r="O93" s="87"/>
      <c r="P93" s="87"/>
      <c r="Q93" s="87"/>
      <c r="R93" s="87"/>
      <c r="S93" s="89"/>
      <c r="T93" s="88"/>
      <c r="U93" s="87"/>
      <c r="V93" s="87"/>
      <c r="W93" s="87"/>
      <c r="X93" s="87"/>
      <c r="Y93" s="87"/>
      <c r="Z93" s="87"/>
      <c r="AA93" s="86"/>
      <c r="AB93" s="85"/>
      <c r="AC93" s="85"/>
    </row>
    <row r="94" spans="1:29" ht="30" customHeight="1" thickBot="1" x14ac:dyDescent="0.8">
      <c r="A94" s="83"/>
      <c r="B94" s="84"/>
      <c r="C94" s="84"/>
      <c r="D94" s="84"/>
      <c r="E94" s="84"/>
      <c r="F94" s="83"/>
      <c r="G94" s="82"/>
      <c r="H94" s="81"/>
      <c r="I94" s="506" t="s">
        <v>269</v>
      </c>
      <c r="J94" s="507"/>
      <c r="K94" s="507"/>
      <c r="L94" s="507"/>
      <c r="M94" s="507"/>
      <c r="N94" s="507"/>
      <c r="O94" s="507"/>
      <c r="P94" s="507"/>
      <c r="Q94" s="507"/>
      <c r="R94" s="507"/>
      <c r="S94" s="507"/>
      <c r="T94" s="507"/>
      <c r="U94" s="507"/>
      <c r="V94" s="507"/>
      <c r="W94" s="507"/>
      <c r="X94" s="507"/>
      <c r="Y94" s="507"/>
      <c r="Z94" s="507"/>
      <c r="AA94" s="507"/>
      <c r="AB94" s="507"/>
      <c r="AC94" s="508"/>
    </row>
    <row r="95" spans="1:29" s="60" customFormat="1" ht="25.15" customHeight="1" x14ac:dyDescent="0.25">
      <c r="A95" s="62"/>
      <c r="B95" s="63" t="s">
        <v>268</v>
      </c>
      <c r="C95" s="62"/>
      <c r="D95" s="62"/>
      <c r="E95" s="62"/>
      <c r="F95" s="62"/>
      <c r="H95" s="61"/>
      <c r="I95" s="509" t="s">
        <v>161</v>
      </c>
      <c r="J95" s="510"/>
      <c r="K95" s="510"/>
      <c r="L95" s="510"/>
      <c r="M95" s="510"/>
      <c r="N95" s="511"/>
      <c r="O95" s="512">
        <v>45713</v>
      </c>
      <c r="P95" s="513"/>
      <c r="Q95" s="513"/>
      <c r="R95" s="513"/>
      <c r="S95" s="513"/>
      <c r="T95" s="514"/>
      <c r="U95" s="512">
        <v>45741</v>
      </c>
      <c r="V95" s="513"/>
      <c r="W95" s="513"/>
      <c r="X95" s="513"/>
      <c r="Y95" s="513"/>
      <c r="Z95" s="514"/>
      <c r="AA95" s="515" t="s">
        <v>160</v>
      </c>
      <c r="AB95" s="516"/>
      <c r="AC95" s="517"/>
    </row>
    <row r="96" spans="1:29" s="57" customFormat="1" ht="25.15" customHeight="1" thickBot="1" x14ac:dyDescent="0.3">
      <c r="A96" s="53"/>
      <c r="B96" s="53"/>
      <c r="C96" s="53"/>
      <c r="D96" s="53"/>
      <c r="E96" s="53"/>
      <c r="F96" s="53"/>
      <c r="H96" s="59"/>
      <c r="I96" s="475">
        <f>J3*3%</f>
        <v>8265.0040329665208</v>
      </c>
      <c r="J96" s="476"/>
      <c r="K96" s="80">
        <v>10</v>
      </c>
      <c r="L96" s="80">
        <v>20</v>
      </c>
      <c r="M96" s="80">
        <v>30</v>
      </c>
      <c r="N96" s="79" t="s">
        <v>110</v>
      </c>
      <c r="O96" s="475">
        <f>K3*6%</f>
        <v>14168.578342228318</v>
      </c>
      <c r="P96" s="476"/>
      <c r="Q96" s="58">
        <v>10</v>
      </c>
      <c r="R96" s="58">
        <v>20</v>
      </c>
      <c r="S96" s="58">
        <v>30</v>
      </c>
      <c r="T96" s="78" t="s">
        <v>110</v>
      </c>
      <c r="U96" s="519">
        <f>L3*6%</f>
        <v>18891.437789637763</v>
      </c>
      <c r="V96" s="518"/>
      <c r="W96" s="58">
        <v>10</v>
      </c>
      <c r="X96" s="58">
        <v>20</v>
      </c>
      <c r="Y96" s="58">
        <v>30</v>
      </c>
      <c r="Z96" s="78" t="s">
        <v>110</v>
      </c>
      <c r="AA96" s="65" t="s">
        <v>119</v>
      </c>
      <c r="AB96" s="54" t="s">
        <v>159</v>
      </c>
      <c r="AC96" s="64" t="s">
        <v>110</v>
      </c>
    </row>
    <row r="97" spans="1:29" s="53" customFormat="1" ht="30" customHeight="1" x14ac:dyDescent="0.25">
      <c r="A97" s="54" t="s">
        <v>158</v>
      </c>
      <c r="B97" s="54" t="s">
        <v>157</v>
      </c>
      <c r="C97" s="54" t="s">
        <v>156</v>
      </c>
      <c r="D97" s="54" t="s">
        <v>155</v>
      </c>
      <c r="E97" s="54" t="s">
        <v>154</v>
      </c>
      <c r="F97" s="54" t="s">
        <v>153</v>
      </c>
      <c r="G97" s="56" t="s">
        <v>267</v>
      </c>
      <c r="H97" s="55" t="s">
        <v>266</v>
      </c>
      <c r="I97" s="77" t="s">
        <v>265</v>
      </c>
      <c r="J97" s="76" t="s">
        <v>152</v>
      </c>
      <c r="K97" s="76" t="s">
        <v>152</v>
      </c>
      <c r="L97" s="76" t="s">
        <v>152</v>
      </c>
      <c r="M97" s="76" t="s">
        <v>152</v>
      </c>
      <c r="N97" s="75"/>
      <c r="O97" s="65" t="s">
        <v>265</v>
      </c>
      <c r="P97" s="54" t="s">
        <v>152</v>
      </c>
      <c r="Q97" s="54" t="s">
        <v>152</v>
      </c>
      <c r="R97" s="54" t="s">
        <v>152</v>
      </c>
      <c r="S97" s="54" t="s">
        <v>152</v>
      </c>
      <c r="T97" s="64"/>
      <c r="U97" s="65" t="s">
        <v>265</v>
      </c>
      <c r="V97" s="54" t="s">
        <v>152</v>
      </c>
      <c r="W97" s="54" t="s">
        <v>152</v>
      </c>
      <c r="X97" s="54" t="s">
        <v>152</v>
      </c>
      <c r="Y97" s="54" t="s">
        <v>152</v>
      </c>
      <c r="Z97" s="64"/>
      <c r="AA97" s="65" t="s">
        <v>152</v>
      </c>
      <c r="AB97" s="54" t="s">
        <v>152</v>
      </c>
      <c r="AC97" s="64"/>
    </row>
    <row r="98" spans="1:29" s="53" customFormat="1" ht="30" customHeight="1" x14ac:dyDescent="0.25">
      <c r="A98" s="74">
        <v>1</v>
      </c>
      <c r="B98" s="7" t="s">
        <v>264</v>
      </c>
      <c r="C98" s="7" t="s">
        <v>263</v>
      </c>
      <c r="D98" s="7" t="s">
        <v>41</v>
      </c>
      <c r="E98" s="54"/>
      <c r="F98" s="73" t="s">
        <v>164</v>
      </c>
      <c r="G98" s="72">
        <v>4.4563412859781014E-2</v>
      </c>
      <c r="H98" s="55"/>
      <c r="I98" s="71">
        <f t="shared" ref="I98:I129" si="9">J98/14</f>
        <v>26.308341929203014</v>
      </c>
      <c r="J98" s="70">
        <f>G98*I96</f>
        <v>368.3167870088422</v>
      </c>
      <c r="K98" s="67"/>
      <c r="L98" s="67"/>
      <c r="M98" s="67"/>
      <c r="N98" s="66"/>
      <c r="O98" s="71">
        <f t="shared" ref="O98:O129" si="10">P98/14</f>
        <v>45.10001473577659</v>
      </c>
      <c r="P98" s="70">
        <f>G98*O96</f>
        <v>631.40020630087224</v>
      </c>
      <c r="Q98" s="54"/>
      <c r="R98" s="54"/>
      <c r="S98" s="54"/>
      <c r="T98" s="64"/>
      <c r="U98" s="71">
        <f t="shared" ref="U98:U129" si="11">V98/14</f>
        <v>60.133352981035458</v>
      </c>
      <c r="V98" s="70">
        <f>G98*U96</f>
        <v>841.86694173449644</v>
      </c>
      <c r="W98" s="54"/>
      <c r="X98" s="54"/>
      <c r="Y98" s="54"/>
      <c r="Z98" s="64"/>
      <c r="AA98" s="65"/>
      <c r="AB98" s="54"/>
      <c r="AC98" s="64"/>
    </row>
    <row r="99" spans="1:29" s="53" customFormat="1" ht="30" customHeight="1" x14ac:dyDescent="0.25">
      <c r="A99" s="74">
        <v>2</v>
      </c>
      <c r="B99" s="7" t="s">
        <v>262</v>
      </c>
      <c r="C99" s="7" t="s">
        <v>262</v>
      </c>
      <c r="D99" s="7" t="s">
        <v>41</v>
      </c>
      <c r="E99" s="54"/>
      <c r="F99" s="73" t="s">
        <v>164</v>
      </c>
      <c r="G99" s="72">
        <v>3.6579678785278597E-2</v>
      </c>
      <c r="H99" s="55"/>
      <c r="I99" s="71">
        <f t="shared" si="9"/>
        <v>21.595085191781966</v>
      </c>
      <c r="J99" s="70">
        <f>G99*I96</f>
        <v>302.3311926849475</v>
      </c>
      <c r="K99" s="67"/>
      <c r="L99" s="67"/>
      <c r="M99" s="67"/>
      <c r="N99" s="66"/>
      <c r="O99" s="71">
        <f t="shared" si="10"/>
        <v>37.020146043054787</v>
      </c>
      <c r="P99" s="70">
        <f>G99*O96</f>
        <v>518.28204460276697</v>
      </c>
      <c r="Q99" s="54"/>
      <c r="R99" s="54"/>
      <c r="S99" s="54"/>
      <c r="T99" s="64"/>
      <c r="U99" s="71">
        <f t="shared" si="11"/>
        <v>49.360194724073061</v>
      </c>
      <c r="V99" s="70">
        <f>G99*U96</f>
        <v>691.0427261370229</v>
      </c>
      <c r="W99" s="54"/>
      <c r="X99" s="54"/>
      <c r="Y99" s="54"/>
      <c r="Z99" s="64"/>
      <c r="AA99" s="65"/>
      <c r="AB99" s="54"/>
      <c r="AC99" s="64"/>
    </row>
    <row r="100" spans="1:29" s="53" customFormat="1" ht="30" customHeight="1" x14ac:dyDescent="0.25">
      <c r="A100" s="74">
        <v>3</v>
      </c>
      <c r="B100" s="7" t="s">
        <v>261</v>
      </c>
      <c r="C100" s="7" t="s">
        <v>260</v>
      </c>
      <c r="D100" s="7" t="s">
        <v>41</v>
      </c>
      <c r="E100" s="54"/>
      <c r="F100" s="73" t="s">
        <v>164</v>
      </c>
      <c r="G100" s="72">
        <v>3.5814881829543545E-2</v>
      </c>
      <c r="H100" s="55"/>
      <c r="I100" s="71">
        <f t="shared" si="9"/>
        <v>21.143581625814054</v>
      </c>
      <c r="J100" s="70">
        <f>G100*I96</f>
        <v>296.01014276139676</v>
      </c>
      <c r="K100" s="67"/>
      <c r="L100" s="67"/>
      <c r="M100" s="67"/>
      <c r="N100" s="66"/>
      <c r="O100" s="71">
        <f t="shared" si="10"/>
        <v>36.246139929966944</v>
      </c>
      <c r="P100" s="70">
        <f>G100*O96</f>
        <v>507.44595901953721</v>
      </c>
      <c r="Q100" s="54"/>
      <c r="R100" s="54"/>
      <c r="S100" s="54"/>
      <c r="T100" s="64"/>
      <c r="U100" s="71">
        <f t="shared" si="11"/>
        <v>48.328186573289265</v>
      </c>
      <c r="V100" s="70">
        <f>G100*U96</f>
        <v>676.59461202604973</v>
      </c>
      <c r="W100" s="54"/>
      <c r="X100" s="54"/>
      <c r="Y100" s="54"/>
      <c r="Z100" s="64"/>
      <c r="AA100" s="65"/>
      <c r="AB100" s="54"/>
      <c r="AC100" s="64"/>
    </row>
    <row r="101" spans="1:29" s="53" customFormat="1" ht="30" customHeight="1" x14ac:dyDescent="0.25">
      <c r="A101" s="74">
        <v>4</v>
      </c>
      <c r="B101" s="7" t="s">
        <v>259</v>
      </c>
      <c r="C101" s="7" t="s">
        <v>258</v>
      </c>
      <c r="D101" s="7" t="s">
        <v>24</v>
      </c>
      <c r="E101" s="54"/>
      <c r="F101" s="73" t="s">
        <v>164</v>
      </c>
      <c r="G101" s="72">
        <v>3.2643772500886049E-2</v>
      </c>
      <c r="H101" s="55"/>
      <c r="I101" s="71">
        <f t="shared" si="9"/>
        <v>19.271493669361771</v>
      </c>
      <c r="J101" s="70">
        <f>G101*I96</f>
        <v>269.80091137106479</v>
      </c>
      <c r="K101" s="67"/>
      <c r="L101" s="67"/>
      <c r="M101" s="67"/>
      <c r="N101" s="66"/>
      <c r="O101" s="71">
        <f t="shared" si="10"/>
        <v>33.036846290334459</v>
      </c>
      <c r="P101" s="70">
        <f>G101*O96</f>
        <v>462.51584806468242</v>
      </c>
      <c r="Q101" s="54"/>
      <c r="R101" s="54"/>
      <c r="S101" s="54"/>
      <c r="T101" s="64"/>
      <c r="U101" s="71">
        <f t="shared" si="11"/>
        <v>44.049128387112624</v>
      </c>
      <c r="V101" s="70">
        <f>G101*U96</f>
        <v>616.68779741957678</v>
      </c>
      <c r="W101" s="54"/>
      <c r="X101" s="54"/>
      <c r="Y101" s="54"/>
      <c r="Z101" s="64"/>
      <c r="AA101" s="65"/>
      <c r="AB101" s="54"/>
      <c r="AC101" s="64"/>
    </row>
    <row r="102" spans="1:29" s="53" customFormat="1" ht="30" customHeight="1" x14ac:dyDescent="0.25">
      <c r="A102" s="74">
        <v>5</v>
      </c>
      <c r="B102" s="7" t="s">
        <v>257</v>
      </c>
      <c r="C102" s="7" t="s">
        <v>256</v>
      </c>
      <c r="D102" s="7" t="s">
        <v>41</v>
      </c>
      <c r="E102" s="54"/>
      <c r="F102" s="73" t="s">
        <v>164</v>
      </c>
      <c r="G102" s="72">
        <v>2.9342088082225003E-2</v>
      </c>
      <c r="H102" s="55"/>
      <c r="I102" s="71">
        <f t="shared" si="9"/>
        <v>17.322319738232039</v>
      </c>
      <c r="J102" s="70">
        <f>G102*I96</f>
        <v>242.51247633524855</v>
      </c>
      <c r="K102" s="67"/>
      <c r="L102" s="67"/>
      <c r="M102" s="67"/>
      <c r="N102" s="66"/>
      <c r="O102" s="71">
        <f t="shared" si="10"/>
        <v>29.695405265540632</v>
      </c>
      <c r="P102" s="70">
        <f>G102*O96</f>
        <v>415.73567371756883</v>
      </c>
      <c r="Q102" s="54"/>
      <c r="R102" s="54"/>
      <c r="S102" s="54"/>
      <c r="T102" s="64"/>
      <c r="U102" s="71">
        <f t="shared" si="11"/>
        <v>39.593873687387521</v>
      </c>
      <c r="V102" s="70">
        <f>G102*U96</f>
        <v>554.31423162342526</v>
      </c>
      <c r="W102" s="54"/>
      <c r="X102" s="54"/>
      <c r="Y102" s="54"/>
      <c r="Z102" s="64"/>
      <c r="AA102" s="65"/>
      <c r="AB102" s="54"/>
      <c r="AC102" s="64"/>
    </row>
    <row r="103" spans="1:29" s="53" customFormat="1" ht="30" customHeight="1" x14ac:dyDescent="0.25">
      <c r="A103" s="74">
        <v>6</v>
      </c>
      <c r="B103" s="7" t="s">
        <v>255</v>
      </c>
      <c r="C103" s="7" t="s">
        <v>254</v>
      </c>
      <c r="D103" s="7" t="s">
        <v>41</v>
      </c>
      <c r="E103" s="54"/>
      <c r="F103" s="73" t="s">
        <v>164</v>
      </c>
      <c r="G103" s="72">
        <v>2.4715999179242294E-2</v>
      </c>
      <c r="H103" s="55"/>
      <c r="I103" s="71">
        <f t="shared" si="9"/>
        <v>14.591273778231056</v>
      </c>
      <c r="J103" s="70">
        <f>G103*I96</f>
        <v>204.27783289523478</v>
      </c>
      <c r="K103" s="67"/>
      <c r="L103" s="67"/>
      <c r="M103" s="67"/>
      <c r="N103" s="66"/>
      <c r="O103" s="71">
        <f t="shared" si="10"/>
        <v>25.013612191253234</v>
      </c>
      <c r="P103" s="70">
        <f>G103*O96</f>
        <v>350.19057067754528</v>
      </c>
      <c r="Q103" s="54"/>
      <c r="R103" s="54"/>
      <c r="S103" s="54"/>
      <c r="T103" s="64"/>
      <c r="U103" s="71">
        <f t="shared" si="11"/>
        <v>33.351482921670986</v>
      </c>
      <c r="V103" s="70">
        <f>G103*U96</f>
        <v>466.92076090339378</v>
      </c>
      <c r="W103" s="54"/>
      <c r="X103" s="54"/>
      <c r="Y103" s="54"/>
      <c r="Z103" s="64"/>
      <c r="AA103" s="65"/>
      <c r="AB103" s="54"/>
      <c r="AC103" s="64"/>
    </row>
    <row r="104" spans="1:29" s="53" customFormat="1" ht="30" customHeight="1" x14ac:dyDescent="0.25">
      <c r="A104" s="74">
        <v>7</v>
      </c>
      <c r="B104" s="7" t="s">
        <v>253</v>
      </c>
      <c r="C104" s="7" t="s">
        <v>252</v>
      </c>
      <c r="D104" s="7" t="s">
        <v>24</v>
      </c>
      <c r="E104" s="54"/>
      <c r="F104" s="73" t="s">
        <v>164</v>
      </c>
      <c r="G104" s="72">
        <v>2.4063123729224572E-2</v>
      </c>
      <c r="H104" s="55"/>
      <c r="I104" s="71">
        <f t="shared" si="9"/>
        <v>14.205843904843819</v>
      </c>
      <c r="J104" s="70">
        <f>G104*I96</f>
        <v>198.88181466781347</v>
      </c>
      <c r="K104" s="67"/>
      <c r="L104" s="67"/>
      <c r="M104" s="67"/>
      <c r="N104" s="66"/>
      <c r="O104" s="71">
        <f t="shared" si="10"/>
        <v>24.352875265446546</v>
      </c>
      <c r="P104" s="70">
        <f>G104*O96</f>
        <v>340.94025371625162</v>
      </c>
      <c r="Q104" s="54"/>
      <c r="R104" s="54"/>
      <c r="S104" s="54"/>
      <c r="T104" s="64"/>
      <c r="U104" s="71">
        <f t="shared" si="11"/>
        <v>32.470500353928735</v>
      </c>
      <c r="V104" s="70">
        <f>G104*U96</f>
        <v>454.58700495500227</v>
      </c>
      <c r="W104" s="54"/>
      <c r="X104" s="54"/>
      <c r="Y104" s="54"/>
      <c r="Z104" s="64"/>
      <c r="AA104" s="65"/>
      <c r="AB104" s="54"/>
      <c r="AC104" s="64"/>
    </row>
    <row r="105" spans="1:29" s="53" customFormat="1" ht="30" customHeight="1" x14ac:dyDescent="0.25">
      <c r="A105" s="74">
        <v>8</v>
      </c>
      <c r="B105" s="7" t="s">
        <v>137</v>
      </c>
      <c r="C105" s="7" t="s">
        <v>136</v>
      </c>
      <c r="D105" s="7" t="s">
        <v>46</v>
      </c>
      <c r="E105" s="54"/>
      <c r="F105" s="73" t="s">
        <v>164</v>
      </c>
      <c r="G105" s="72">
        <v>2.3503516200637956E-2</v>
      </c>
      <c r="H105" s="55"/>
      <c r="I105" s="71">
        <f t="shared" si="9"/>
        <v>13.875475441940477</v>
      </c>
      <c r="J105" s="70">
        <f>G105*I96</f>
        <v>194.25665618716667</v>
      </c>
      <c r="K105" s="67"/>
      <c r="L105" s="67"/>
      <c r="M105" s="67"/>
      <c r="N105" s="66"/>
      <c r="O105" s="71">
        <f t="shared" si="10"/>
        <v>23.78652932904081</v>
      </c>
      <c r="P105" s="70">
        <f>G105*O96</f>
        <v>333.01141060657136</v>
      </c>
      <c r="Q105" s="54"/>
      <c r="R105" s="54"/>
      <c r="S105" s="54"/>
      <c r="T105" s="64"/>
      <c r="U105" s="71">
        <f t="shared" si="11"/>
        <v>31.71537243872109</v>
      </c>
      <c r="V105" s="70">
        <f>G105*U96</f>
        <v>444.01521414209526</v>
      </c>
      <c r="W105" s="54"/>
      <c r="X105" s="54"/>
      <c r="Y105" s="54"/>
      <c r="Z105" s="64"/>
      <c r="AA105" s="65"/>
      <c r="AB105" s="54"/>
      <c r="AC105" s="64"/>
    </row>
    <row r="106" spans="1:29" s="53" customFormat="1" ht="30" customHeight="1" x14ac:dyDescent="0.25">
      <c r="A106" s="74">
        <v>9</v>
      </c>
      <c r="B106" s="7" t="s">
        <v>251</v>
      </c>
      <c r="C106" s="7" t="s">
        <v>250</v>
      </c>
      <c r="D106" s="7" t="s">
        <v>41</v>
      </c>
      <c r="E106" s="54"/>
      <c r="F106" s="73" t="s">
        <v>164</v>
      </c>
      <c r="G106" s="72">
        <v>2.1731425693446996E-2</v>
      </c>
      <c r="H106" s="55"/>
      <c r="I106" s="71">
        <f t="shared" si="9"/>
        <v>12.82930864274655</v>
      </c>
      <c r="J106" s="70">
        <f>G106*I96</f>
        <v>179.6103209984517</v>
      </c>
      <c r="K106" s="67"/>
      <c r="L106" s="67"/>
      <c r="M106" s="67"/>
      <c r="N106" s="66"/>
      <c r="O106" s="71">
        <f t="shared" si="10"/>
        <v>21.993100530422652</v>
      </c>
      <c r="P106" s="70">
        <f>G106*O96</f>
        <v>307.90340742591712</v>
      </c>
      <c r="Q106" s="54"/>
      <c r="R106" s="54"/>
      <c r="S106" s="54"/>
      <c r="T106" s="64"/>
      <c r="U106" s="71">
        <f t="shared" si="11"/>
        <v>29.324134040563543</v>
      </c>
      <c r="V106" s="70">
        <f>G106*U96</f>
        <v>410.53787656788961</v>
      </c>
      <c r="W106" s="54"/>
      <c r="X106" s="54"/>
      <c r="Y106" s="54"/>
      <c r="Z106" s="64"/>
      <c r="AA106" s="65"/>
      <c r="AB106" s="54"/>
      <c r="AC106" s="64"/>
    </row>
    <row r="107" spans="1:29" s="53" customFormat="1" ht="30" customHeight="1" x14ac:dyDescent="0.25">
      <c r="A107" s="74">
        <v>10</v>
      </c>
      <c r="B107" s="7" t="s">
        <v>249</v>
      </c>
      <c r="C107" s="7" t="s">
        <v>248</v>
      </c>
      <c r="D107" s="7" t="s">
        <v>21</v>
      </c>
      <c r="E107" s="54"/>
      <c r="F107" s="73" t="s">
        <v>164</v>
      </c>
      <c r="G107" s="72">
        <v>2.1544889850584791E-2</v>
      </c>
      <c r="H107" s="55"/>
      <c r="I107" s="71">
        <f t="shared" si="9"/>
        <v>12.719185821778769</v>
      </c>
      <c r="J107" s="70">
        <f>G107*I96</f>
        <v>178.06860150490277</v>
      </c>
      <c r="K107" s="67"/>
      <c r="L107" s="67"/>
      <c r="M107" s="67"/>
      <c r="N107" s="66"/>
      <c r="O107" s="71">
        <f t="shared" si="10"/>
        <v>21.804318551620742</v>
      </c>
      <c r="P107" s="70">
        <f>G107*O96</f>
        <v>305.26045972269037</v>
      </c>
      <c r="Q107" s="54"/>
      <c r="R107" s="54"/>
      <c r="S107" s="54"/>
      <c r="T107" s="64"/>
      <c r="U107" s="71">
        <f t="shared" si="11"/>
        <v>29.07242473549433</v>
      </c>
      <c r="V107" s="70">
        <f>G107*U96</f>
        <v>407.01394629692061</v>
      </c>
      <c r="W107" s="54"/>
      <c r="X107" s="54"/>
      <c r="Y107" s="54"/>
      <c r="Z107" s="64"/>
      <c r="AA107" s="65"/>
      <c r="AB107" s="54"/>
      <c r="AC107" s="64"/>
    </row>
    <row r="108" spans="1:29" s="53" customFormat="1" ht="30" customHeight="1" x14ac:dyDescent="0.25">
      <c r="A108" s="74">
        <v>11</v>
      </c>
      <c r="B108" s="7" t="s">
        <v>247</v>
      </c>
      <c r="C108" s="7" t="s">
        <v>247</v>
      </c>
      <c r="D108" s="7" t="s">
        <v>41</v>
      </c>
      <c r="E108" s="54"/>
      <c r="F108" s="73" t="s">
        <v>164</v>
      </c>
      <c r="G108" s="72">
        <v>2.1003935906284393E-2</v>
      </c>
      <c r="H108" s="55"/>
      <c r="I108" s="71">
        <f t="shared" si="9"/>
        <v>12.399829640972202</v>
      </c>
      <c r="J108" s="70">
        <f>G108*I96</f>
        <v>173.59761497361083</v>
      </c>
      <c r="K108" s="67"/>
      <c r="L108" s="67"/>
      <c r="M108" s="67"/>
      <c r="N108" s="66"/>
      <c r="O108" s="71">
        <f t="shared" si="10"/>
        <v>21.256850813095195</v>
      </c>
      <c r="P108" s="70">
        <f>G108*O96</f>
        <v>297.59591138333275</v>
      </c>
      <c r="Q108" s="54"/>
      <c r="R108" s="54"/>
      <c r="S108" s="54"/>
      <c r="T108" s="64"/>
      <c r="U108" s="71">
        <f t="shared" si="11"/>
        <v>28.342467750793606</v>
      </c>
      <c r="V108" s="70">
        <f>G108*U96</f>
        <v>396.79454851111046</v>
      </c>
      <c r="W108" s="54"/>
      <c r="X108" s="54"/>
      <c r="Y108" s="54"/>
      <c r="Z108" s="64"/>
      <c r="AA108" s="65"/>
      <c r="AB108" s="54"/>
      <c r="AC108" s="64"/>
    </row>
    <row r="109" spans="1:29" s="53" customFormat="1" ht="30" customHeight="1" x14ac:dyDescent="0.25">
      <c r="A109" s="74">
        <v>12</v>
      </c>
      <c r="B109" s="7">
        <v>155</v>
      </c>
      <c r="C109" s="7">
        <v>155</v>
      </c>
      <c r="D109" s="7" t="s">
        <v>41</v>
      </c>
      <c r="E109" s="54"/>
      <c r="F109" s="73" t="s">
        <v>164</v>
      </c>
      <c r="G109" s="72">
        <v>2.089201440056707E-2</v>
      </c>
      <c r="H109" s="55"/>
      <c r="I109" s="71">
        <f t="shared" si="9"/>
        <v>12.333755948391532</v>
      </c>
      <c r="J109" s="70">
        <f>G109*I96</f>
        <v>172.67258327748146</v>
      </c>
      <c r="K109" s="67"/>
      <c r="L109" s="67"/>
      <c r="M109" s="67"/>
      <c r="N109" s="66"/>
      <c r="O109" s="71">
        <f t="shared" si="10"/>
        <v>21.143581625814051</v>
      </c>
      <c r="P109" s="70">
        <f>G109*O96</f>
        <v>296.01014276139671</v>
      </c>
      <c r="Q109" s="54"/>
      <c r="R109" s="54"/>
      <c r="S109" s="54"/>
      <c r="T109" s="64"/>
      <c r="U109" s="71">
        <f t="shared" si="11"/>
        <v>28.191442167752079</v>
      </c>
      <c r="V109" s="70">
        <f>G109*U96</f>
        <v>394.68019034852909</v>
      </c>
      <c r="W109" s="54"/>
      <c r="X109" s="54"/>
      <c r="Y109" s="54"/>
      <c r="Z109" s="64"/>
      <c r="AA109" s="65"/>
      <c r="AB109" s="54"/>
      <c r="AC109" s="64"/>
    </row>
    <row r="110" spans="1:29" s="53" customFormat="1" ht="30" customHeight="1" x14ac:dyDescent="0.25">
      <c r="A110" s="74">
        <v>13</v>
      </c>
      <c r="B110" s="7" t="s">
        <v>246</v>
      </c>
      <c r="C110" s="7" t="s">
        <v>245</v>
      </c>
      <c r="D110" s="7" t="s">
        <v>46</v>
      </c>
      <c r="E110" s="54"/>
      <c r="F110" s="73" t="s">
        <v>164</v>
      </c>
      <c r="G110" s="72">
        <v>1.9716838590535173E-2</v>
      </c>
      <c r="H110" s="55"/>
      <c r="I110" s="71">
        <f t="shared" si="9"/>
        <v>11.639982176294509</v>
      </c>
      <c r="J110" s="70">
        <f>G110*I96</f>
        <v>162.95975046812313</v>
      </c>
      <c r="K110" s="67"/>
      <c r="L110" s="67"/>
      <c r="M110" s="67"/>
      <c r="N110" s="66"/>
      <c r="O110" s="71">
        <f t="shared" si="10"/>
        <v>19.954255159362013</v>
      </c>
      <c r="P110" s="70">
        <f>G110*O96</f>
        <v>279.35957223106817</v>
      </c>
      <c r="Q110" s="54"/>
      <c r="R110" s="54"/>
      <c r="S110" s="54"/>
      <c r="T110" s="64"/>
      <c r="U110" s="71">
        <f t="shared" si="11"/>
        <v>26.605673545816025</v>
      </c>
      <c r="V110" s="70">
        <f>G110*U96</f>
        <v>372.47942964142436</v>
      </c>
      <c r="W110" s="54"/>
      <c r="X110" s="54"/>
      <c r="Y110" s="54"/>
      <c r="Z110" s="64"/>
      <c r="AA110" s="65"/>
      <c r="AB110" s="54"/>
      <c r="AC110" s="64"/>
    </row>
    <row r="111" spans="1:29" s="53" customFormat="1" ht="30" customHeight="1" x14ac:dyDescent="0.25">
      <c r="A111" s="74">
        <v>14</v>
      </c>
      <c r="B111" s="7" t="s">
        <v>140</v>
      </c>
      <c r="C111" s="7" t="s">
        <v>244</v>
      </c>
      <c r="D111" s="7" t="s">
        <v>41</v>
      </c>
      <c r="E111" s="54"/>
      <c r="F111" s="73" t="s">
        <v>164</v>
      </c>
      <c r="G111" s="72">
        <v>1.8280512600496186E-2</v>
      </c>
      <c r="H111" s="55"/>
      <c r="I111" s="71">
        <f t="shared" si="9"/>
        <v>10.792036454842592</v>
      </c>
      <c r="J111" s="70">
        <f>G111*I96</f>
        <v>151.08851036779629</v>
      </c>
      <c r="K111" s="67"/>
      <c r="L111" s="67"/>
      <c r="M111" s="67"/>
      <c r="N111" s="66"/>
      <c r="O111" s="71">
        <f t="shared" si="10"/>
        <v>18.500633922587298</v>
      </c>
      <c r="P111" s="70">
        <f>G111*O96</f>
        <v>259.00887491622217</v>
      </c>
      <c r="Q111" s="54"/>
      <c r="R111" s="54"/>
      <c r="S111" s="54"/>
      <c r="T111" s="64"/>
      <c r="U111" s="71">
        <f t="shared" si="11"/>
        <v>24.667511896783065</v>
      </c>
      <c r="V111" s="70">
        <f>G111*U96</f>
        <v>345.34516655496293</v>
      </c>
      <c r="W111" s="54"/>
      <c r="X111" s="54"/>
      <c r="Y111" s="54"/>
      <c r="Z111" s="64"/>
      <c r="AA111" s="65"/>
      <c r="AB111" s="54"/>
      <c r="AC111" s="64"/>
    </row>
    <row r="112" spans="1:29" s="53" customFormat="1" ht="30" customHeight="1" x14ac:dyDescent="0.25">
      <c r="A112" s="74">
        <v>15</v>
      </c>
      <c r="B112" s="7" t="s">
        <v>243</v>
      </c>
      <c r="C112" s="7" t="s">
        <v>242</v>
      </c>
      <c r="D112" s="7" t="s">
        <v>24</v>
      </c>
      <c r="E112" s="54"/>
      <c r="F112" s="73" t="s">
        <v>164</v>
      </c>
      <c r="G112" s="72">
        <v>1.6321886250443025E-2</v>
      </c>
      <c r="H112" s="55"/>
      <c r="I112" s="71">
        <f t="shared" si="9"/>
        <v>9.6357468346808854</v>
      </c>
      <c r="J112" s="70">
        <f>G112*I96</f>
        <v>134.90045568553239</v>
      </c>
      <c r="K112" s="67"/>
      <c r="L112" s="67"/>
      <c r="M112" s="67"/>
      <c r="N112" s="66"/>
      <c r="O112" s="71">
        <f t="shared" si="10"/>
        <v>16.51842314516723</v>
      </c>
      <c r="P112" s="70">
        <f>G112*O96</f>
        <v>231.25792403234121</v>
      </c>
      <c r="Q112" s="54"/>
      <c r="R112" s="54"/>
      <c r="S112" s="54"/>
      <c r="T112" s="64"/>
      <c r="U112" s="71">
        <f t="shared" si="11"/>
        <v>22.024564193556312</v>
      </c>
      <c r="V112" s="70">
        <f>G112*U96</f>
        <v>308.34389870978839</v>
      </c>
      <c r="W112" s="54"/>
      <c r="X112" s="54"/>
      <c r="Y112" s="54"/>
      <c r="Z112" s="64"/>
      <c r="AA112" s="65"/>
      <c r="AB112" s="54"/>
      <c r="AC112" s="64"/>
    </row>
    <row r="113" spans="1:29" s="53" customFormat="1" ht="30" customHeight="1" x14ac:dyDescent="0.25">
      <c r="A113" s="74">
        <v>16</v>
      </c>
      <c r="B113" s="7" t="s">
        <v>241</v>
      </c>
      <c r="C113" s="7" t="s">
        <v>240</v>
      </c>
      <c r="D113" s="7" t="s">
        <v>33</v>
      </c>
      <c r="E113" s="54"/>
      <c r="F113" s="73" t="s">
        <v>164</v>
      </c>
      <c r="G113" s="72">
        <v>1.6060736070435934E-2</v>
      </c>
      <c r="H113" s="55"/>
      <c r="I113" s="71">
        <f t="shared" si="9"/>
        <v>9.4815748853259887</v>
      </c>
      <c r="J113" s="70">
        <f>G113*I96</f>
        <v>132.74204839456385</v>
      </c>
      <c r="K113" s="67"/>
      <c r="L113" s="67"/>
      <c r="M113" s="67"/>
      <c r="N113" s="66"/>
      <c r="O113" s="71">
        <f t="shared" si="10"/>
        <v>16.254128374844552</v>
      </c>
      <c r="P113" s="70">
        <f>G113*O96</f>
        <v>227.55779724782371</v>
      </c>
      <c r="Q113" s="54"/>
      <c r="R113" s="54"/>
      <c r="S113" s="54"/>
      <c r="T113" s="64"/>
      <c r="U113" s="71">
        <f t="shared" si="11"/>
        <v>21.672171166459407</v>
      </c>
      <c r="V113" s="70">
        <f>G113*U96</f>
        <v>303.41039633043169</v>
      </c>
      <c r="W113" s="54"/>
      <c r="X113" s="54"/>
      <c r="Y113" s="54"/>
      <c r="Z113" s="64"/>
      <c r="AA113" s="65"/>
      <c r="AB113" s="54"/>
      <c r="AC113" s="64"/>
    </row>
    <row r="114" spans="1:29" s="53" customFormat="1" ht="30" customHeight="1" x14ac:dyDescent="0.25">
      <c r="A114" s="74">
        <v>17</v>
      </c>
      <c r="B114" s="7" t="s">
        <v>239</v>
      </c>
      <c r="C114" s="7" t="s">
        <v>238</v>
      </c>
      <c r="D114" s="7" t="s">
        <v>41</v>
      </c>
      <c r="E114" s="54"/>
      <c r="F114" s="73" t="s">
        <v>164</v>
      </c>
      <c r="G114" s="72">
        <v>1.5407860620418216E-2</v>
      </c>
      <c r="H114" s="55"/>
      <c r="I114" s="71">
        <f t="shared" si="9"/>
        <v>9.0961450119387557</v>
      </c>
      <c r="J114" s="70">
        <f>G114*I96</f>
        <v>127.34603016714259</v>
      </c>
      <c r="K114" s="67"/>
      <c r="L114" s="67"/>
      <c r="M114" s="67"/>
      <c r="N114" s="66"/>
      <c r="O114" s="71">
        <f t="shared" si="10"/>
        <v>15.593391449037865</v>
      </c>
      <c r="P114" s="70">
        <f>G114*O96</f>
        <v>218.30748028653011</v>
      </c>
      <c r="Q114" s="54"/>
      <c r="R114" s="54"/>
      <c r="S114" s="54"/>
      <c r="T114" s="64"/>
      <c r="U114" s="71">
        <f t="shared" si="11"/>
        <v>20.791188598717159</v>
      </c>
      <c r="V114" s="70">
        <f>G114*U96</f>
        <v>291.07664038204024</v>
      </c>
      <c r="W114" s="54"/>
      <c r="X114" s="54"/>
      <c r="Y114" s="54"/>
      <c r="Z114" s="64"/>
      <c r="AA114" s="65"/>
      <c r="AB114" s="54"/>
      <c r="AC114" s="64"/>
    </row>
    <row r="115" spans="1:29" s="53" customFormat="1" ht="30" customHeight="1" x14ac:dyDescent="0.25">
      <c r="A115" s="74">
        <v>18</v>
      </c>
      <c r="B115" s="7" t="s">
        <v>237</v>
      </c>
      <c r="C115" s="7" t="s">
        <v>236</v>
      </c>
      <c r="D115" s="7" t="s">
        <v>41</v>
      </c>
      <c r="E115" s="54"/>
      <c r="F115" s="73" t="s">
        <v>164</v>
      </c>
      <c r="G115" s="72">
        <v>1.5351899867559552E-2</v>
      </c>
      <c r="H115" s="55"/>
      <c r="I115" s="71">
        <f t="shared" si="9"/>
        <v>9.0631081656484209</v>
      </c>
      <c r="J115" s="70">
        <f>G115*I96</f>
        <v>126.8835143190779</v>
      </c>
      <c r="K115" s="67"/>
      <c r="L115" s="67"/>
      <c r="M115" s="67"/>
      <c r="N115" s="66"/>
      <c r="O115" s="71">
        <f t="shared" si="10"/>
        <v>15.536756855397289</v>
      </c>
      <c r="P115" s="70">
        <f>G115*O96</f>
        <v>217.51459597556206</v>
      </c>
      <c r="Q115" s="54"/>
      <c r="R115" s="54"/>
      <c r="S115" s="54"/>
      <c r="T115" s="64"/>
      <c r="U115" s="71">
        <f t="shared" si="11"/>
        <v>20.715675807196391</v>
      </c>
      <c r="V115" s="70">
        <f>G115*U96</f>
        <v>290.01946130074947</v>
      </c>
      <c r="W115" s="54"/>
      <c r="X115" s="54"/>
      <c r="Y115" s="54"/>
      <c r="Z115" s="64"/>
      <c r="AA115" s="65"/>
      <c r="AB115" s="54"/>
      <c r="AC115" s="64"/>
    </row>
    <row r="116" spans="1:29" s="53" customFormat="1" ht="30" customHeight="1" x14ac:dyDescent="0.25">
      <c r="A116" s="74">
        <v>19</v>
      </c>
      <c r="B116" s="168">
        <v>745</v>
      </c>
      <c r="C116" s="7">
        <v>745</v>
      </c>
      <c r="D116" s="7" t="s">
        <v>46</v>
      </c>
      <c r="E116" s="54"/>
      <c r="F116" s="73" t="s">
        <v>164</v>
      </c>
      <c r="G116" s="72">
        <v>1.5016135350407583E-2</v>
      </c>
      <c r="H116" s="55"/>
      <c r="I116" s="71">
        <f t="shared" si="9"/>
        <v>8.8648870879064159</v>
      </c>
      <c r="J116" s="70">
        <f>G116*I96</f>
        <v>124.10841923068982</v>
      </c>
      <c r="K116" s="67"/>
      <c r="L116" s="67"/>
      <c r="M116" s="67"/>
      <c r="N116" s="66"/>
      <c r="O116" s="71">
        <f t="shared" si="10"/>
        <v>15.196949293553851</v>
      </c>
      <c r="P116" s="70">
        <f>G116*O96</f>
        <v>212.75729010975391</v>
      </c>
      <c r="Q116" s="54"/>
      <c r="R116" s="54"/>
      <c r="S116" s="54"/>
      <c r="T116" s="64"/>
      <c r="U116" s="71">
        <f t="shared" si="11"/>
        <v>20.262599058071807</v>
      </c>
      <c r="V116" s="70">
        <f>G116*U96</f>
        <v>283.67638681300531</v>
      </c>
      <c r="W116" s="54"/>
      <c r="X116" s="54"/>
      <c r="Y116" s="54"/>
      <c r="Z116" s="64"/>
      <c r="AA116" s="65"/>
      <c r="AB116" s="54"/>
      <c r="AC116" s="64"/>
    </row>
    <row r="117" spans="1:29" s="53" customFormat="1" ht="30" customHeight="1" x14ac:dyDescent="0.25">
      <c r="A117" s="74">
        <v>20</v>
      </c>
      <c r="B117" s="7" t="s">
        <v>235</v>
      </c>
      <c r="C117" s="7" t="s">
        <v>234</v>
      </c>
      <c r="D117" s="7" t="s">
        <v>41</v>
      </c>
      <c r="E117" s="54"/>
      <c r="F117" s="73" t="s">
        <v>164</v>
      </c>
      <c r="G117" s="72">
        <v>1.4661717248969391E-2</v>
      </c>
      <c r="H117" s="55"/>
      <c r="I117" s="71">
        <f t="shared" si="9"/>
        <v>8.6556537280676302</v>
      </c>
      <c r="J117" s="70">
        <f>G117*I96</f>
        <v>121.17915219294682</v>
      </c>
      <c r="K117" s="67"/>
      <c r="L117" s="67"/>
      <c r="M117" s="67"/>
      <c r="N117" s="66"/>
      <c r="O117" s="71">
        <f t="shared" si="10"/>
        <v>14.838263533830219</v>
      </c>
      <c r="P117" s="70">
        <f>G117*O96</f>
        <v>207.73568947362307</v>
      </c>
      <c r="Q117" s="54"/>
      <c r="R117" s="54"/>
      <c r="S117" s="54"/>
      <c r="T117" s="64"/>
      <c r="U117" s="71">
        <f t="shared" si="11"/>
        <v>19.784351378440299</v>
      </c>
      <c r="V117" s="70">
        <f>G117*U96</f>
        <v>276.98091929816417</v>
      </c>
      <c r="W117" s="54"/>
      <c r="X117" s="54"/>
      <c r="Y117" s="54"/>
      <c r="Z117" s="64"/>
      <c r="AA117" s="65"/>
      <c r="AB117" s="54"/>
      <c r="AC117" s="64"/>
    </row>
    <row r="118" spans="1:29" s="53" customFormat="1" ht="30" customHeight="1" x14ac:dyDescent="0.25">
      <c r="A118" s="74">
        <v>21</v>
      </c>
      <c r="B118" s="7" t="s">
        <v>233</v>
      </c>
      <c r="C118" s="7" t="s">
        <v>232</v>
      </c>
      <c r="D118" s="7" t="s">
        <v>41</v>
      </c>
      <c r="E118" s="54"/>
      <c r="F118" s="73" t="s">
        <v>164</v>
      </c>
      <c r="G118" s="72">
        <v>1.4176724057527656E-2</v>
      </c>
      <c r="H118" s="55"/>
      <c r="I118" s="71">
        <f t="shared" si="9"/>
        <v>8.369334393551398</v>
      </c>
      <c r="J118" s="70">
        <f>G118*I96</f>
        <v>117.17068150971957</v>
      </c>
      <c r="K118" s="67"/>
      <c r="L118" s="67"/>
      <c r="M118" s="67"/>
      <c r="N118" s="66"/>
      <c r="O118" s="71">
        <f t="shared" si="10"/>
        <v>14.347430388945252</v>
      </c>
      <c r="P118" s="70">
        <f>G118*O96</f>
        <v>200.86402544523352</v>
      </c>
      <c r="Q118" s="54"/>
      <c r="R118" s="54"/>
      <c r="S118" s="54"/>
      <c r="T118" s="64"/>
      <c r="U118" s="71">
        <f t="shared" si="11"/>
        <v>19.12990718526034</v>
      </c>
      <c r="V118" s="70">
        <f>G118*U96</f>
        <v>267.81870059364473</v>
      </c>
      <c r="W118" s="54"/>
      <c r="X118" s="54"/>
      <c r="Y118" s="54"/>
      <c r="Z118" s="64"/>
      <c r="AA118" s="65"/>
      <c r="AB118" s="54"/>
      <c r="AC118" s="64"/>
    </row>
    <row r="119" spans="1:29" s="53" customFormat="1" ht="30" customHeight="1" x14ac:dyDescent="0.25">
      <c r="A119" s="74">
        <v>22</v>
      </c>
      <c r="B119" s="7" t="s">
        <v>231</v>
      </c>
      <c r="C119" s="7" t="s">
        <v>230</v>
      </c>
      <c r="D119" s="7" t="s">
        <v>41</v>
      </c>
      <c r="E119" s="54"/>
      <c r="F119" s="73" t="s">
        <v>164</v>
      </c>
      <c r="G119" s="72">
        <v>1.3523848607509934E-2</v>
      </c>
      <c r="H119" s="55"/>
      <c r="I119" s="71">
        <f t="shared" si="9"/>
        <v>7.9839045201641623</v>
      </c>
      <c r="J119" s="70">
        <f>G119*I96</f>
        <v>111.77466328229828</v>
      </c>
      <c r="K119" s="67"/>
      <c r="L119" s="67"/>
      <c r="M119" s="67"/>
      <c r="N119" s="66"/>
      <c r="O119" s="71">
        <f t="shared" si="10"/>
        <v>13.686693463138562</v>
      </c>
      <c r="P119" s="70">
        <f>G119*O96</f>
        <v>191.61370848393986</v>
      </c>
      <c r="Q119" s="54"/>
      <c r="R119" s="54"/>
      <c r="S119" s="54"/>
      <c r="T119" s="64"/>
      <c r="U119" s="71">
        <f t="shared" si="11"/>
        <v>18.248924617518089</v>
      </c>
      <c r="V119" s="70">
        <f>G119*U96</f>
        <v>255.48494464525322</v>
      </c>
      <c r="W119" s="54"/>
      <c r="X119" s="54"/>
      <c r="Y119" s="54"/>
      <c r="Z119" s="64"/>
      <c r="AA119" s="65"/>
      <c r="AB119" s="54"/>
      <c r="AC119" s="64"/>
    </row>
    <row r="120" spans="1:29" s="53" customFormat="1" ht="30" customHeight="1" x14ac:dyDescent="0.25">
      <c r="A120" s="74">
        <v>23</v>
      </c>
      <c r="B120" s="7" t="s">
        <v>229</v>
      </c>
      <c r="C120" s="7" t="s">
        <v>228</v>
      </c>
      <c r="D120" s="7" t="s">
        <v>41</v>
      </c>
      <c r="E120" s="54"/>
      <c r="F120" s="73" t="s">
        <v>164</v>
      </c>
      <c r="G120" s="72">
        <v>1.1098882650301256E-2</v>
      </c>
      <c r="H120" s="55"/>
      <c r="I120" s="71">
        <f t="shared" si="9"/>
        <v>6.5523078475830019</v>
      </c>
      <c r="J120" s="70">
        <f>G120*I96</f>
        <v>91.732309866162026</v>
      </c>
      <c r="K120" s="67"/>
      <c r="L120" s="67"/>
      <c r="M120" s="67"/>
      <c r="N120" s="66"/>
      <c r="O120" s="71">
        <f t="shared" si="10"/>
        <v>11.232527738713715</v>
      </c>
      <c r="P120" s="70">
        <f>G120*O96</f>
        <v>157.25538834199202</v>
      </c>
      <c r="Q120" s="54"/>
      <c r="R120" s="54"/>
      <c r="S120" s="54"/>
      <c r="T120" s="64"/>
      <c r="U120" s="71">
        <f t="shared" si="11"/>
        <v>14.976703651618292</v>
      </c>
      <c r="V120" s="70">
        <f>G120*U96</f>
        <v>209.67385112265609</v>
      </c>
      <c r="W120" s="54"/>
      <c r="X120" s="54"/>
      <c r="Y120" s="54"/>
      <c r="Z120" s="64"/>
      <c r="AA120" s="65"/>
      <c r="AB120" s="54"/>
      <c r="AC120" s="64"/>
    </row>
    <row r="121" spans="1:29" s="53" customFormat="1" ht="30" customHeight="1" x14ac:dyDescent="0.25">
      <c r="A121" s="74">
        <v>24</v>
      </c>
      <c r="B121" s="7" t="s">
        <v>227</v>
      </c>
      <c r="C121" s="7" t="s">
        <v>226</v>
      </c>
      <c r="D121" s="7" t="s">
        <v>41</v>
      </c>
      <c r="E121" s="54"/>
      <c r="F121" s="73" t="s">
        <v>164</v>
      </c>
      <c r="G121" s="72">
        <v>1.0893693223152831E-2</v>
      </c>
      <c r="H121" s="55"/>
      <c r="I121" s="71">
        <f t="shared" si="9"/>
        <v>6.4311727445184426</v>
      </c>
      <c r="J121" s="70">
        <f>G121*I96</f>
        <v>90.036418423258198</v>
      </c>
      <c r="K121" s="67"/>
      <c r="L121" s="67"/>
      <c r="M121" s="67"/>
      <c r="N121" s="66"/>
      <c r="O121" s="71">
        <f t="shared" si="10"/>
        <v>11.024867562031615</v>
      </c>
      <c r="P121" s="70">
        <f>G121*O96</f>
        <v>154.3481458684426</v>
      </c>
      <c r="Q121" s="54"/>
      <c r="R121" s="54"/>
      <c r="S121" s="54"/>
      <c r="T121" s="64"/>
      <c r="U121" s="71">
        <f t="shared" si="11"/>
        <v>14.699823416042156</v>
      </c>
      <c r="V121" s="70">
        <f>G121*U96</f>
        <v>205.79752782459019</v>
      </c>
      <c r="W121" s="54"/>
      <c r="X121" s="54"/>
      <c r="Y121" s="54"/>
      <c r="Z121" s="64"/>
      <c r="AA121" s="65"/>
      <c r="AB121" s="54"/>
      <c r="AC121" s="64"/>
    </row>
    <row r="122" spans="1:29" s="53" customFormat="1" ht="30" customHeight="1" x14ac:dyDescent="0.25">
      <c r="A122" s="74">
        <v>25</v>
      </c>
      <c r="B122" s="7" t="s">
        <v>225</v>
      </c>
      <c r="C122" s="7" t="s">
        <v>224</v>
      </c>
      <c r="D122" s="7" t="s">
        <v>46</v>
      </c>
      <c r="E122" s="54"/>
      <c r="F122" s="73" t="s">
        <v>164</v>
      </c>
      <c r="G122" s="72">
        <v>9.7931317502658148E-3</v>
      </c>
      <c r="H122" s="55"/>
      <c r="I122" s="71">
        <f t="shared" si="9"/>
        <v>5.7814481008085314</v>
      </c>
      <c r="J122" s="70">
        <f>G122*I96</f>
        <v>80.940273411319438</v>
      </c>
      <c r="K122" s="67"/>
      <c r="L122" s="67"/>
      <c r="M122" s="67"/>
      <c r="N122" s="66"/>
      <c r="O122" s="71">
        <f t="shared" si="10"/>
        <v>9.9110538871003371</v>
      </c>
      <c r="P122" s="70">
        <f>G122*O96</f>
        <v>138.75475441940472</v>
      </c>
      <c r="Q122" s="54"/>
      <c r="R122" s="54"/>
      <c r="S122" s="54"/>
      <c r="T122" s="64"/>
      <c r="U122" s="71">
        <f t="shared" si="11"/>
        <v>13.214738516133787</v>
      </c>
      <c r="V122" s="70">
        <f>G122*U96</f>
        <v>185.00633922587301</v>
      </c>
      <c r="W122" s="54"/>
      <c r="X122" s="54"/>
      <c r="Y122" s="54"/>
      <c r="Z122" s="64"/>
      <c r="AA122" s="65"/>
      <c r="AB122" s="54"/>
      <c r="AC122" s="64"/>
    </row>
    <row r="123" spans="1:29" s="53" customFormat="1" ht="30" customHeight="1" x14ac:dyDescent="0.25">
      <c r="A123" s="74">
        <v>26</v>
      </c>
      <c r="B123" s="7" t="s">
        <v>223</v>
      </c>
      <c r="C123" s="7" t="s">
        <v>222</v>
      </c>
      <c r="D123" s="7" t="s">
        <v>41</v>
      </c>
      <c r="E123" s="54"/>
      <c r="F123" s="73" t="s">
        <v>164</v>
      </c>
      <c r="G123" s="72">
        <v>9.2708313902516368E-3</v>
      </c>
      <c r="H123" s="55"/>
      <c r="I123" s="71">
        <f t="shared" si="9"/>
        <v>5.4731042020987433</v>
      </c>
      <c r="J123" s="70">
        <f>G123*I96</f>
        <v>76.6234588293824</v>
      </c>
      <c r="K123" s="67"/>
      <c r="L123" s="67"/>
      <c r="M123" s="67"/>
      <c r="N123" s="66"/>
      <c r="O123" s="71">
        <f t="shared" si="10"/>
        <v>9.3824643464549844</v>
      </c>
      <c r="P123" s="70">
        <f>G123*O96</f>
        <v>131.35450085036979</v>
      </c>
      <c r="Q123" s="54"/>
      <c r="R123" s="54"/>
      <c r="S123" s="54"/>
      <c r="T123" s="64"/>
      <c r="U123" s="71">
        <f t="shared" si="11"/>
        <v>12.509952461939983</v>
      </c>
      <c r="V123" s="70">
        <f>G123*U96</f>
        <v>175.13933446715976</v>
      </c>
      <c r="W123" s="54"/>
      <c r="X123" s="54"/>
      <c r="Y123" s="54"/>
      <c r="Z123" s="64"/>
      <c r="AA123" s="65"/>
      <c r="AB123" s="54"/>
      <c r="AC123" s="64"/>
    </row>
    <row r="124" spans="1:29" s="53" customFormat="1" ht="30" customHeight="1" x14ac:dyDescent="0.25">
      <c r="A124" s="74">
        <v>27</v>
      </c>
      <c r="B124" s="7" t="s">
        <v>141</v>
      </c>
      <c r="C124" s="7" t="s">
        <v>221</v>
      </c>
      <c r="D124" s="7" t="s">
        <v>41</v>
      </c>
      <c r="E124" s="54"/>
      <c r="F124" s="73" t="s">
        <v>164</v>
      </c>
      <c r="G124" s="72">
        <v>8.0210412430748584E-3</v>
      </c>
      <c r="H124" s="55"/>
      <c r="I124" s="71">
        <f t="shared" si="9"/>
        <v>4.7352813016146067</v>
      </c>
      <c r="J124" s="70">
        <f>G124*I96</f>
        <v>66.293938222604496</v>
      </c>
      <c r="K124" s="67"/>
      <c r="L124" s="67"/>
      <c r="M124" s="67"/>
      <c r="N124" s="66"/>
      <c r="O124" s="71">
        <f t="shared" si="10"/>
        <v>8.1176250884821819</v>
      </c>
      <c r="P124" s="70">
        <f>G124*O96</f>
        <v>113.64675123875055</v>
      </c>
      <c r="Q124" s="54"/>
      <c r="R124" s="54"/>
      <c r="S124" s="54"/>
      <c r="T124" s="64"/>
      <c r="U124" s="71">
        <f t="shared" si="11"/>
        <v>10.823500117976247</v>
      </c>
      <c r="V124" s="70">
        <f>G124*U96</f>
        <v>151.52900165166744</v>
      </c>
      <c r="W124" s="54"/>
      <c r="X124" s="54"/>
      <c r="Y124" s="54"/>
      <c r="Z124" s="64"/>
      <c r="AA124" s="65"/>
      <c r="AB124" s="54"/>
      <c r="AC124" s="64"/>
    </row>
    <row r="125" spans="1:29" s="53" customFormat="1" ht="30" customHeight="1" x14ac:dyDescent="0.25">
      <c r="A125" s="74">
        <v>28</v>
      </c>
      <c r="B125" s="7" t="s">
        <v>220</v>
      </c>
      <c r="C125" s="7" t="s">
        <v>219</v>
      </c>
      <c r="D125" s="7" t="s">
        <v>41</v>
      </c>
      <c r="E125" s="54"/>
      <c r="F125" s="73" t="s">
        <v>164</v>
      </c>
      <c r="G125" s="72">
        <v>7.2748978716260333E-3</v>
      </c>
      <c r="H125" s="55"/>
      <c r="I125" s="71">
        <f t="shared" si="9"/>
        <v>4.2947900177434803</v>
      </c>
      <c r="J125" s="70">
        <f>G125*I96</f>
        <v>60.127060248408725</v>
      </c>
      <c r="K125" s="67"/>
      <c r="L125" s="67"/>
      <c r="M125" s="67"/>
      <c r="N125" s="66"/>
      <c r="O125" s="71">
        <f t="shared" si="10"/>
        <v>7.3624971732745355</v>
      </c>
      <c r="P125" s="70">
        <f>G125*O96</f>
        <v>103.0749604258435</v>
      </c>
      <c r="Q125" s="54"/>
      <c r="R125" s="54"/>
      <c r="S125" s="54"/>
      <c r="T125" s="64"/>
      <c r="U125" s="71">
        <f t="shared" si="11"/>
        <v>9.8166628976993842</v>
      </c>
      <c r="V125" s="70">
        <f>G125*U96</f>
        <v>137.43328056779137</v>
      </c>
      <c r="W125" s="54"/>
      <c r="X125" s="54"/>
      <c r="Y125" s="54"/>
      <c r="Z125" s="64"/>
      <c r="AA125" s="65"/>
      <c r="AB125" s="54"/>
      <c r="AC125" s="64"/>
    </row>
    <row r="126" spans="1:29" s="53" customFormat="1" ht="30" customHeight="1" x14ac:dyDescent="0.25">
      <c r="A126" s="74">
        <v>29</v>
      </c>
      <c r="B126" s="7" t="s">
        <v>218</v>
      </c>
      <c r="C126" s="7" t="s">
        <v>217</v>
      </c>
      <c r="D126" s="7" t="s">
        <v>24</v>
      </c>
      <c r="E126" s="54"/>
      <c r="F126" s="73" t="s">
        <v>164</v>
      </c>
      <c r="G126" s="72">
        <v>6.528754500177209E-3</v>
      </c>
      <c r="H126" s="55"/>
      <c r="I126" s="71">
        <f t="shared" si="9"/>
        <v>3.854298733872354</v>
      </c>
      <c r="J126" s="70">
        <f>G126*I96</f>
        <v>53.960182274212954</v>
      </c>
      <c r="K126" s="67"/>
      <c r="L126" s="67"/>
      <c r="M126" s="67"/>
      <c r="N126" s="66"/>
      <c r="O126" s="71">
        <f t="shared" si="10"/>
        <v>6.6073692580668908</v>
      </c>
      <c r="P126" s="70">
        <f>G126*O96</f>
        <v>92.503169612936475</v>
      </c>
      <c r="Q126" s="54"/>
      <c r="R126" s="54"/>
      <c r="S126" s="54"/>
      <c r="T126" s="64"/>
      <c r="U126" s="71">
        <f t="shared" si="11"/>
        <v>8.8098256774225234</v>
      </c>
      <c r="V126" s="70">
        <f>G126*U96</f>
        <v>123.33755948391533</v>
      </c>
      <c r="W126" s="54"/>
      <c r="X126" s="54"/>
      <c r="Y126" s="54"/>
      <c r="Z126" s="64"/>
      <c r="AA126" s="65"/>
      <c r="AB126" s="54"/>
      <c r="AC126" s="64"/>
    </row>
    <row r="127" spans="1:29" s="53" customFormat="1" ht="30" customHeight="1" x14ac:dyDescent="0.25">
      <c r="A127" s="74">
        <v>30</v>
      </c>
      <c r="B127" s="7" t="s">
        <v>216</v>
      </c>
      <c r="C127" s="7" t="s">
        <v>215</v>
      </c>
      <c r="D127" s="7" t="s">
        <v>41</v>
      </c>
      <c r="E127" s="54"/>
      <c r="F127" s="73" t="s">
        <v>164</v>
      </c>
      <c r="G127" s="72">
        <v>5.8758790501594891E-3</v>
      </c>
      <c r="H127" s="55"/>
      <c r="I127" s="71">
        <f t="shared" si="9"/>
        <v>3.4688688604851192</v>
      </c>
      <c r="J127" s="70">
        <f>G127*I96</f>
        <v>48.564164046791667</v>
      </c>
      <c r="K127" s="67"/>
      <c r="L127" s="67"/>
      <c r="M127" s="67"/>
      <c r="N127" s="66"/>
      <c r="O127" s="71">
        <f t="shared" si="10"/>
        <v>5.9466323322602026</v>
      </c>
      <c r="P127" s="70">
        <f>G127*O96</f>
        <v>83.25285265164284</v>
      </c>
      <c r="Q127" s="54"/>
      <c r="R127" s="54"/>
      <c r="S127" s="54"/>
      <c r="T127" s="64"/>
      <c r="U127" s="71">
        <f t="shared" si="11"/>
        <v>7.9288431096802725</v>
      </c>
      <c r="V127" s="70">
        <f>G127*U96</f>
        <v>111.00380353552382</v>
      </c>
      <c r="W127" s="54"/>
      <c r="X127" s="54"/>
      <c r="Y127" s="54"/>
      <c r="Z127" s="64"/>
      <c r="AA127" s="65"/>
      <c r="AB127" s="54"/>
      <c r="AC127" s="64"/>
    </row>
    <row r="128" spans="1:29" s="53" customFormat="1" ht="30" customHeight="1" x14ac:dyDescent="0.25">
      <c r="A128" s="74">
        <v>31</v>
      </c>
      <c r="B128" s="7" t="s">
        <v>214</v>
      </c>
      <c r="C128" s="7" t="s">
        <v>213</v>
      </c>
      <c r="D128" s="7" t="s">
        <v>24</v>
      </c>
      <c r="E128" s="54"/>
      <c r="F128" s="73" t="s">
        <v>164</v>
      </c>
      <c r="G128" s="72">
        <v>5.3162715215728708E-3</v>
      </c>
      <c r="H128" s="55"/>
      <c r="I128" s="71">
        <f t="shared" si="9"/>
        <v>3.1385003975817738</v>
      </c>
      <c r="J128" s="70">
        <f>G128*I96</f>
        <v>43.939005566144836</v>
      </c>
      <c r="K128" s="67"/>
      <c r="L128" s="67"/>
      <c r="M128" s="67"/>
      <c r="N128" s="66"/>
      <c r="O128" s="71">
        <f t="shared" si="10"/>
        <v>5.3802863958544691</v>
      </c>
      <c r="P128" s="70">
        <f>G128*O96</f>
        <v>75.324009541962567</v>
      </c>
      <c r="Q128" s="54"/>
      <c r="R128" s="54"/>
      <c r="S128" s="54"/>
      <c r="T128" s="64"/>
      <c r="U128" s="71">
        <f t="shared" si="11"/>
        <v>7.173715194472627</v>
      </c>
      <c r="V128" s="70">
        <f>G128*U96</f>
        <v>100.43201272261678</v>
      </c>
      <c r="W128" s="54"/>
      <c r="X128" s="54"/>
      <c r="Y128" s="54"/>
      <c r="Z128" s="64"/>
      <c r="AA128" s="65"/>
      <c r="AB128" s="54"/>
      <c r="AC128" s="64"/>
    </row>
    <row r="129" spans="1:29" s="53" customFormat="1" ht="30" customHeight="1" x14ac:dyDescent="0.25">
      <c r="A129" s="74">
        <v>32</v>
      </c>
      <c r="B129" s="7" t="s">
        <v>212</v>
      </c>
      <c r="C129" s="7" t="s">
        <v>211</v>
      </c>
      <c r="D129" s="7" t="s">
        <v>41</v>
      </c>
      <c r="E129" s="54"/>
      <c r="F129" s="73" t="s">
        <v>164</v>
      </c>
      <c r="G129" s="72">
        <v>5.2230036001417674E-3</v>
      </c>
      <c r="H129" s="55"/>
      <c r="I129" s="71">
        <f t="shared" si="9"/>
        <v>3.0834389870978831</v>
      </c>
      <c r="J129" s="70">
        <f>G129*I96</f>
        <v>43.168145819370366</v>
      </c>
      <c r="K129" s="67"/>
      <c r="L129" s="67"/>
      <c r="M129" s="67"/>
      <c r="N129" s="66"/>
      <c r="O129" s="71">
        <f t="shared" si="10"/>
        <v>5.2858954064535126</v>
      </c>
      <c r="P129" s="70">
        <f>G129*O96</f>
        <v>74.002535690349177</v>
      </c>
      <c r="Q129" s="54"/>
      <c r="R129" s="54"/>
      <c r="S129" s="54"/>
      <c r="T129" s="64"/>
      <c r="U129" s="71">
        <f t="shared" si="11"/>
        <v>7.0478605419380198</v>
      </c>
      <c r="V129" s="70">
        <f>G129*U96</f>
        <v>98.670047587132274</v>
      </c>
      <c r="W129" s="54"/>
      <c r="X129" s="54"/>
      <c r="Y129" s="54"/>
      <c r="Z129" s="64"/>
      <c r="AA129" s="65"/>
      <c r="AB129" s="54"/>
      <c r="AC129" s="64"/>
    </row>
    <row r="130" spans="1:29" s="53" customFormat="1" ht="30" customHeight="1" x14ac:dyDescent="0.25">
      <c r="A130" s="74">
        <v>33</v>
      </c>
      <c r="B130" s="7" t="s">
        <v>210</v>
      </c>
      <c r="C130" s="7" t="s">
        <v>209</v>
      </c>
      <c r="D130" s="7" t="s">
        <v>41</v>
      </c>
      <c r="E130" s="54"/>
      <c r="F130" s="73" t="s">
        <v>164</v>
      </c>
      <c r="G130" s="72">
        <v>5.2230036001417674E-3</v>
      </c>
      <c r="H130" s="55"/>
      <c r="I130" s="71">
        <f t="shared" ref="I130:I156" si="12">J130/14</f>
        <v>3.0834389870978831</v>
      </c>
      <c r="J130" s="70">
        <f>G130*I96</f>
        <v>43.168145819370366</v>
      </c>
      <c r="K130" s="67"/>
      <c r="L130" s="67"/>
      <c r="M130" s="67"/>
      <c r="N130" s="66"/>
      <c r="O130" s="71">
        <f t="shared" ref="O130:O156" si="13">P130/14</f>
        <v>5.2858954064535126</v>
      </c>
      <c r="P130" s="70">
        <f>G130*O96</f>
        <v>74.002535690349177</v>
      </c>
      <c r="Q130" s="54"/>
      <c r="R130" s="54"/>
      <c r="S130" s="54"/>
      <c r="T130" s="64"/>
      <c r="U130" s="71">
        <f t="shared" ref="U130:U156" si="14">V130/14</f>
        <v>7.0478605419380198</v>
      </c>
      <c r="V130" s="70">
        <f>G130*U96</f>
        <v>98.670047587132274</v>
      </c>
      <c r="W130" s="54"/>
      <c r="X130" s="54"/>
      <c r="Y130" s="54"/>
      <c r="Z130" s="64"/>
      <c r="AA130" s="65"/>
      <c r="AB130" s="54"/>
      <c r="AC130" s="64"/>
    </row>
    <row r="131" spans="1:29" s="53" customFormat="1" ht="30" customHeight="1" x14ac:dyDescent="0.25">
      <c r="A131" s="74">
        <v>34</v>
      </c>
      <c r="B131" s="7" t="s">
        <v>208</v>
      </c>
      <c r="C131" s="7" t="s">
        <v>207</v>
      </c>
      <c r="D131" s="7" t="s">
        <v>24</v>
      </c>
      <c r="E131" s="54"/>
      <c r="F131" s="73" t="s">
        <v>164</v>
      </c>
      <c r="G131" s="72">
        <v>5.2230036001417674E-3</v>
      </c>
      <c r="H131" s="55"/>
      <c r="I131" s="71">
        <f t="shared" si="12"/>
        <v>3.0834389870978831</v>
      </c>
      <c r="J131" s="70">
        <f>G131*I96</f>
        <v>43.168145819370366</v>
      </c>
      <c r="K131" s="67"/>
      <c r="L131" s="67"/>
      <c r="M131" s="67"/>
      <c r="N131" s="66"/>
      <c r="O131" s="71">
        <f t="shared" si="13"/>
        <v>5.2858954064535126</v>
      </c>
      <c r="P131" s="70">
        <f>G131*O96</f>
        <v>74.002535690349177</v>
      </c>
      <c r="Q131" s="54"/>
      <c r="R131" s="54"/>
      <c r="S131" s="54"/>
      <c r="T131" s="64"/>
      <c r="U131" s="71">
        <f t="shared" si="14"/>
        <v>7.0478605419380198</v>
      </c>
      <c r="V131" s="70">
        <f>G131*U96</f>
        <v>98.670047587132274</v>
      </c>
      <c r="W131" s="54"/>
      <c r="X131" s="54"/>
      <c r="Y131" s="54"/>
      <c r="Z131" s="64"/>
      <c r="AA131" s="65"/>
      <c r="AB131" s="54"/>
      <c r="AC131" s="64"/>
    </row>
    <row r="132" spans="1:29" s="53" customFormat="1" ht="30" customHeight="1" x14ac:dyDescent="0.25">
      <c r="A132" s="74">
        <v>35</v>
      </c>
      <c r="B132" s="7" t="s">
        <v>206</v>
      </c>
      <c r="C132" s="7" t="s">
        <v>206</v>
      </c>
      <c r="D132" s="7" t="s">
        <v>33</v>
      </c>
      <c r="E132" s="54"/>
      <c r="F132" s="73" t="s">
        <v>164</v>
      </c>
      <c r="G132" s="72">
        <v>4.3276315544031789E-3</v>
      </c>
      <c r="H132" s="55"/>
      <c r="I132" s="71">
        <f t="shared" si="12"/>
        <v>2.5548494464525322</v>
      </c>
      <c r="J132" s="70">
        <f>G132*I96</f>
        <v>35.76789225033545</v>
      </c>
      <c r="K132" s="67"/>
      <c r="L132" s="67"/>
      <c r="M132" s="67"/>
      <c r="N132" s="66"/>
      <c r="O132" s="71">
        <f t="shared" si="13"/>
        <v>4.3797419082043394</v>
      </c>
      <c r="P132" s="70">
        <f>G132*O96</f>
        <v>61.316386714860755</v>
      </c>
      <c r="Q132" s="54"/>
      <c r="R132" s="54"/>
      <c r="S132" s="54"/>
      <c r="T132" s="64"/>
      <c r="U132" s="71">
        <f t="shared" si="14"/>
        <v>5.8396558776057876</v>
      </c>
      <c r="V132" s="70">
        <f>G132*U96</f>
        <v>81.75518228648103</v>
      </c>
      <c r="W132" s="54"/>
      <c r="X132" s="54"/>
      <c r="Y132" s="54"/>
      <c r="Z132" s="64"/>
      <c r="AA132" s="65"/>
      <c r="AB132" s="54"/>
      <c r="AC132" s="64"/>
    </row>
    <row r="133" spans="1:29" s="53" customFormat="1" ht="30" customHeight="1" x14ac:dyDescent="0.25">
      <c r="A133" s="74">
        <v>36</v>
      </c>
      <c r="B133" s="7" t="s">
        <v>205</v>
      </c>
      <c r="C133" s="7" t="s">
        <v>204</v>
      </c>
      <c r="D133" s="7" t="s">
        <v>41</v>
      </c>
      <c r="E133" s="54"/>
      <c r="F133" s="73" t="s">
        <v>164</v>
      </c>
      <c r="G133" s="72">
        <v>4.0291742058236497E-3</v>
      </c>
      <c r="H133" s="55"/>
      <c r="I133" s="71">
        <f t="shared" si="12"/>
        <v>2.3786529329040818</v>
      </c>
      <c r="J133" s="70">
        <f>G133*I96</f>
        <v>33.301141060657145</v>
      </c>
      <c r="K133" s="67"/>
      <c r="L133" s="67"/>
      <c r="M133" s="67"/>
      <c r="N133" s="66"/>
      <c r="O133" s="71">
        <f t="shared" si="13"/>
        <v>4.0776907421212822</v>
      </c>
      <c r="P133" s="70">
        <f>G133*O96</f>
        <v>57.087670389697948</v>
      </c>
      <c r="Q133" s="54"/>
      <c r="R133" s="54"/>
      <c r="S133" s="54"/>
      <c r="T133" s="64"/>
      <c r="U133" s="71">
        <f t="shared" si="14"/>
        <v>5.4369209894950439</v>
      </c>
      <c r="V133" s="70">
        <f>G133*U96</f>
        <v>76.116893852930616</v>
      </c>
      <c r="W133" s="54"/>
      <c r="X133" s="54"/>
      <c r="Y133" s="54"/>
      <c r="Z133" s="64"/>
      <c r="AA133" s="65"/>
      <c r="AB133" s="54"/>
      <c r="AC133" s="64"/>
    </row>
    <row r="134" spans="1:29" s="53" customFormat="1" ht="30" customHeight="1" x14ac:dyDescent="0.25">
      <c r="A134" s="74">
        <v>37</v>
      </c>
      <c r="B134" s="7" t="s">
        <v>203</v>
      </c>
      <c r="C134" s="7" t="s">
        <v>202</v>
      </c>
      <c r="D134" s="7" t="s">
        <v>24</v>
      </c>
      <c r="E134" s="54"/>
      <c r="F134" s="73" t="s">
        <v>164</v>
      </c>
      <c r="G134" s="72">
        <v>3.7866776101027812E-3</v>
      </c>
      <c r="H134" s="55"/>
      <c r="I134" s="71">
        <f t="shared" si="12"/>
        <v>2.2354932656459652</v>
      </c>
      <c r="J134" s="70">
        <f>G134*I96</f>
        <v>31.296905719043515</v>
      </c>
      <c r="K134" s="67"/>
      <c r="L134" s="67"/>
      <c r="M134" s="67"/>
      <c r="N134" s="66"/>
      <c r="O134" s="71">
        <f t="shared" si="13"/>
        <v>3.8322741696787967</v>
      </c>
      <c r="P134" s="70">
        <f>G134*O96</f>
        <v>53.651838375503154</v>
      </c>
      <c r="Q134" s="54"/>
      <c r="R134" s="54"/>
      <c r="S134" s="54"/>
      <c r="T134" s="64"/>
      <c r="U134" s="71">
        <f t="shared" si="14"/>
        <v>5.1096988929050635</v>
      </c>
      <c r="V134" s="70">
        <f>G134*U96</f>
        <v>71.535784500670886</v>
      </c>
      <c r="W134" s="54"/>
      <c r="X134" s="54"/>
      <c r="Y134" s="54"/>
      <c r="Z134" s="64"/>
      <c r="AA134" s="65"/>
      <c r="AB134" s="54"/>
      <c r="AC134" s="64"/>
    </row>
    <row r="135" spans="1:29" s="53" customFormat="1" ht="30" customHeight="1" x14ac:dyDescent="0.25">
      <c r="A135" s="74">
        <v>38</v>
      </c>
      <c r="B135" s="7" t="s">
        <v>201</v>
      </c>
      <c r="C135" s="7" t="s">
        <v>200</v>
      </c>
      <c r="D135" s="7" t="s">
        <v>41</v>
      </c>
      <c r="E135" s="54"/>
      <c r="F135" s="73" t="s">
        <v>164</v>
      </c>
      <c r="G135" s="72">
        <v>3.7493704415303406E-3</v>
      </c>
      <c r="H135" s="55"/>
      <c r="I135" s="71">
        <f t="shared" si="12"/>
        <v>2.2134687014524093</v>
      </c>
      <c r="J135" s="70">
        <f>G135*I96</f>
        <v>30.988561820333729</v>
      </c>
      <c r="K135" s="67"/>
      <c r="L135" s="67"/>
      <c r="M135" s="67"/>
      <c r="N135" s="66"/>
      <c r="O135" s="71">
        <f t="shared" si="13"/>
        <v>3.794517773918415</v>
      </c>
      <c r="P135" s="70">
        <f>G135*O96</f>
        <v>53.123248834857812</v>
      </c>
      <c r="Q135" s="54"/>
      <c r="R135" s="54"/>
      <c r="S135" s="54"/>
      <c r="T135" s="64"/>
      <c r="U135" s="71">
        <f t="shared" si="14"/>
        <v>5.0593570318912215</v>
      </c>
      <c r="V135" s="70">
        <f>G135*U96</f>
        <v>70.830998446477096</v>
      </c>
      <c r="W135" s="54"/>
      <c r="X135" s="54"/>
      <c r="Y135" s="54"/>
      <c r="Z135" s="64"/>
      <c r="AA135" s="65"/>
      <c r="AB135" s="54"/>
      <c r="AC135" s="64"/>
    </row>
    <row r="136" spans="1:29" s="53" customFormat="1" ht="30" customHeight="1" x14ac:dyDescent="0.25">
      <c r="A136" s="74">
        <v>39</v>
      </c>
      <c r="B136" s="7" t="s">
        <v>199</v>
      </c>
      <c r="C136" s="7" t="s">
        <v>198</v>
      </c>
      <c r="D136" s="7" t="s">
        <v>46</v>
      </c>
      <c r="E136" s="54"/>
      <c r="F136" s="73" t="s">
        <v>164</v>
      </c>
      <c r="G136" s="72">
        <v>3.2643772500886045E-3</v>
      </c>
      <c r="H136" s="55"/>
      <c r="I136" s="71">
        <f t="shared" si="12"/>
        <v>1.927149366936177</v>
      </c>
      <c r="J136" s="70">
        <f>G136*I96</f>
        <v>26.980091137106477</v>
      </c>
      <c r="K136" s="67"/>
      <c r="L136" s="67"/>
      <c r="M136" s="67"/>
      <c r="N136" s="66"/>
      <c r="O136" s="71">
        <f t="shared" si="13"/>
        <v>3.3036846290334454</v>
      </c>
      <c r="P136" s="70">
        <f>G136*O96</f>
        <v>46.251584806468237</v>
      </c>
      <c r="Q136" s="54"/>
      <c r="R136" s="54"/>
      <c r="S136" s="54"/>
      <c r="T136" s="64"/>
      <c r="U136" s="71">
        <f t="shared" si="14"/>
        <v>4.4049128387112617</v>
      </c>
      <c r="V136" s="70">
        <f>G136*U96</f>
        <v>61.668779741957664</v>
      </c>
      <c r="W136" s="54"/>
      <c r="X136" s="54"/>
      <c r="Y136" s="54"/>
      <c r="Z136" s="64"/>
      <c r="AA136" s="65"/>
      <c r="AB136" s="54"/>
      <c r="AC136" s="64"/>
    </row>
    <row r="137" spans="1:29" s="53" customFormat="1" ht="30" customHeight="1" x14ac:dyDescent="0.25">
      <c r="A137" s="74">
        <v>40</v>
      </c>
      <c r="B137" s="7" t="s">
        <v>197</v>
      </c>
      <c r="C137" s="7" t="s">
        <v>196</v>
      </c>
      <c r="D137" s="7" t="s">
        <v>24</v>
      </c>
      <c r="E137" s="54"/>
      <c r="F137" s="73" t="s">
        <v>164</v>
      </c>
      <c r="G137" s="72">
        <v>3.2643772500886045E-3</v>
      </c>
      <c r="H137" s="55"/>
      <c r="I137" s="71">
        <f t="shared" si="12"/>
        <v>1.927149366936177</v>
      </c>
      <c r="J137" s="70">
        <f>G137*I96</f>
        <v>26.980091137106477</v>
      </c>
      <c r="K137" s="67"/>
      <c r="L137" s="67"/>
      <c r="M137" s="67"/>
      <c r="N137" s="66"/>
      <c r="O137" s="71">
        <f t="shared" si="13"/>
        <v>3.3036846290334454</v>
      </c>
      <c r="P137" s="70">
        <f>G137*O96</f>
        <v>46.251584806468237</v>
      </c>
      <c r="Q137" s="54"/>
      <c r="R137" s="54"/>
      <c r="S137" s="54"/>
      <c r="T137" s="64"/>
      <c r="U137" s="71">
        <f t="shared" si="14"/>
        <v>4.4049128387112617</v>
      </c>
      <c r="V137" s="70">
        <f>G137*U96</f>
        <v>61.668779741957664</v>
      </c>
      <c r="W137" s="54"/>
      <c r="X137" s="54"/>
      <c r="Y137" s="54"/>
      <c r="Z137" s="64"/>
      <c r="AA137" s="65"/>
      <c r="AB137" s="54"/>
      <c r="AC137" s="64"/>
    </row>
    <row r="138" spans="1:29" s="53" customFormat="1" ht="30" customHeight="1" x14ac:dyDescent="0.25">
      <c r="A138" s="74">
        <v>41</v>
      </c>
      <c r="B138" s="7" t="s">
        <v>195</v>
      </c>
      <c r="C138" s="7" t="s">
        <v>195</v>
      </c>
      <c r="D138" s="7" t="s">
        <v>41</v>
      </c>
      <c r="E138" s="54"/>
      <c r="F138" s="73" t="s">
        <v>164</v>
      </c>
      <c r="G138" s="72">
        <v>2.6115018000708837E-3</v>
      </c>
      <c r="H138" s="55"/>
      <c r="I138" s="71">
        <f t="shared" si="12"/>
        <v>1.5417194935489416</v>
      </c>
      <c r="J138" s="70">
        <f>G138*I96</f>
        <v>21.584072909685183</v>
      </c>
      <c r="K138" s="67"/>
      <c r="L138" s="67"/>
      <c r="M138" s="67"/>
      <c r="N138" s="66"/>
      <c r="O138" s="71">
        <f t="shared" si="13"/>
        <v>2.6429477032267563</v>
      </c>
      <c r="P138" s="70">
        <f>G138*O96</f>
        <v>37.001267845174588</v>
      </c>
      <c r="Q138" s="54"/>
      <c r="R138" s="54"/>
      <c r="S138" s="54"/>
      <c r="T138" s="64"/>
      <c r="U138" s="71">
        <f t="shared" si="14"/>
        <v>3.5239302709690099</v>
      </c>
      <c r="V138" s="70">
        <f>G138*U96</f>
        <v>49.335023793566137</v>
      </c>
      <c r="W138" s="54"/>
      <c r="X138" s="54"/>
      <c r="Y138" s="54"/>
      <c r="Z138" s="64"/>
      <c r="AA138" s="65"/>
      <c r="AB138" s="54"/>
      <c r="AC138" s="64"/>
    </row>
    <row r="139" spans="1:29" s="53" customFormat="1" ht="30" customHeight="1" x14ac:dyDescent="0.25">
      <c r="A139" s="74">
        <v>42</v>
      </c>
      <c r="B139" s="7" t="s">
        <v>194</v>
      </c>
      <c r="C139" s="7" t="s">
        <v>194</v>
      </c>
      <c r="D139" s="7" t="s">
        <v>41</v>
      </c>
      <c r="E139" s="54"/>
      <c r="F139" s="73" t="s">
        <v>164</v>
      </c>
      <c r="G139" s="72">
        <v>1.8280512600496186E-3</v>
      </c>
      <c r="H139" s="55"/>
      <c r="I139" s="71">
        <f t="shared" si="12"/>
        <v>1.0792036454842591</v>
      </c>
      <c r="J139" s="70">
        <f>G139*I96</f>
        <v>15.108851036779628</v>
      </c>
      <c r="K139" s="67"/>
      <c r="L139" s="67"/>
      <c r="M139" s="67"/>
      <c r="N139" s="66"/>
      <c r="O139" s="71">
        <f t="shared" si="13"/>
        <v>1.8500633922587295</v>
      </c>
      <c r="P139" s="70">
        <f>G139*O96</f>
        <v>25.900887491622214</v>
      </c>
      <c r="Q139" s="54"/>
      <c r="R139" s="54"/>
      <c r="S139" s="54"/>
      <c r="T139" s="64"/>
      <c r="U139" s="71">
        <f t="shared" si="14"/>
        <v>2.4667511896783063</v>
      </c>
      <c r="V139" s="70">
        <f>G139*U96</f>
        <v>34.53451665549629</v>
      </c>
      <c r="W139" s="54"/>
      <c r="X139" s="54"/>
      <c r="Y139" s="54"/>
      <c r="Z139" s="64"/>
      <c r="AA139" s="65"/>
      <c r="AB139" s="54"/>
      <c r="AC139" s="64"/>
    </row>
    <row r="140" spans="1:29" s="53" customFormat="1" ht="30" customHeight="1" x14ac:dyDescent="0.25">
      <c r="A140" s="74">
        <v>43</v>
      </c>
      <c r="B140" s="7" t="s">
        <v>193</v>
      </c>
      <c r="C140" s="7" t="s">
        <v>192</v>
      </c>
      <c r="D140" s="7" t="s">
        <v>33</v>
      </c>
      <c r="E140" s="54"/>
      <c r="F140" s="73" t="s">
        <v>164</v>
      </c>
      <c r="G140" s="72">
        <v>1.4549795743252067E-3</v>
      </c>
      <c r="H140" s="55"/>
      <c r="I140" s="71">
        <f t="shared" si="12"/>
        <v>0.858958003548696</v>
      </c>
      <c r="J140" s="70">
        <f>G140*I96</f>
        <v>12.025412049681744</v>
      </c>
      <c r="K140" s="67"/>
      <c r="L140" s="67"/>
      <c r="M140" s="67"/>
      <c r="N140" s="66"/>
      <c r="O140" s="71">
        <f t="shared" si="13"/>
        <v>1.4724994346549072</v>
      </c>
      <c r="P140" s="70">
        <f>G140*O96</f>
        <v>20.614992085168701</v>
      </c>
      <c r="Q140" s="54"/>
      <c r="R140" s="54"/>
      <c r="S140" s="54"/>
      <c r="T140" s="64"/>
      <c r="U140" s="71">
        <f t="shared" si="14"/>
        <v>1.9633325795398768</v>
      </c>
      <c r="V140" s="70">
        <f>G140*U96</f>
        <v>27.486656113558276</v>
      </c>
      <c r="W140" s="54"/>
      <c r="X140" s="54"/>
      <c r="Y140" s="54"/>
      <c r="Z140" s="64"/>
      <c r="AA140" s="65"/>
      <c r="AB140" s="54"/>
      <c r="AC140" s="64"/>
    </row>
    <row r="141" spans="1:29" s="53" customFormat="1" ht="30" customHeight="1" x14ac:dyDescent="0.25">
      <c r="A141" s="74">
        <v>44</v>
      </c>
      <c r="B141" s="7" t="s">
        <v>191</v>
      </c>
      <c r="C141" s="7" t="s">
        <v>191</v>
      </c>
      <c r="D141" s="7" t="s">
        <v>41</v>
      </c>
      <c r="E141" s="54"/>
      <c r="F141" s="73" t="s">
        <v>164</v>
      </c>
      <c r="G141" s="72">
        <v>1.3057509000354418E-3</v>
      </c>
      <c r="H141" s="55"/>
      <c r="I141" s="71">
        <f t="shared" si="12"/>
        <v>0.77085974677447078</v>
      </c>
      <c r="J141" s="70">
        <f>G141*I96</f>
        <v>10.792036454842592</v>
      </c>
      <c r="K141" s="67"/>
      <c r="L141" s="67"/>
      <c r="M141" s="67"/>
      <c r="N141" s="66"/>
      <c r="O141" s="71">
        <f t="shared" si="13"/>
        <v>1.3214738516133782</v>
      </c>
      <c r="P141" s="70">
        <f>G141*O96</f>
        <v>18.500633922587294</v>
      </c>
      <c r="Q141" s="54"/>
      <c r="R141" s="54"/>
      <c r="S141" s="54"/>
      <c r="T141" s="64"/>
      <c r="U141" s="71">
        <f t="shared" si="14"/>
        <v>1.761965135484505</v>
      </c>
      <c r="V141" s="70">
        <f>G141*U96</f>
        <v>24.667511896783068</v>
      </c>
      <c r="W141" s="54"/>
      <c r="X141" s="54"/>
      <c r="Y141" s="54"/>
      <c r="Z141" s="64"/>
      <c r="AA141" s="65"/>
      <c r="AB141" s="54"/>
      <c r="AC141" s="64"/>
    </row>
    <row r="142" spans="1:29" s="53" customFormat="1" ht="30" customHeight="1" x14ac:dyDescent="0.25">
      <c r="A142" s="74">
        <v>45</v>
      </c>
      <c r="B142" s="7" t="s">
        <v>190</v>
      </c>
      <c r="C142" s="7" t="s">
        <v>189</v>
      </c>
      <c r="D142" s="7" t="s">
        <v>92</v>
      </c>
      <c r="E142" s="54"/>
      <c r="F142" s="73" t="s">
        <v>164</v>
      </c>
      <c r="G142" s="72">
        <v>8.9537204573858866E-4</v>
      </c>
      <c r="H142" s="55"/>
      <c r="I142" s="71">
        <f t="shared" si="12"/>
        <v>0.52858954064535146</v>
      </c>
      <c r="J142" s="70">
        <f>G142*I96</f>
        <v>7.4002535690349198</v>
      </c>
      <c r="K142" s="67"/>
      <c r="L142" s="67"/>
      <c r="M142" s="67"/>
      <c r="N142" s="66"/>
      <c r="O142" s="71">
        <f t="shared" si="13"/>
        <v>0.90615349824917357</v>
      </c>
      <c r="P142" s="70">
        <f>G142*O96</f>
        <v>12.686148975488431</v>
      </c>
      <c r="Q142" s="54"/>
      <c r="R142" s="54"/>
      <c r="S142" s="54"/>
      <c r="T142" s="64"/>
      <c r="U142" s="71">
        <f t="shared" si="14"/>
        <v>1.2082046643322319</v>
      </c>
      <c r="V142" s="70">
        <f>G142*U96</f>
        <v>16.914865300651247</v>
      </c>
      <c r="W142" s="54"/>
      <c r="X142" s="54"/>
      <c r="Y142" s="54"/>
      <c r="Z142" s="64"/>
      <c r="AA142" s="65"/>
      <c r="AB142" s="54"/>
      <c r="AC142" s="64"/>
    </row>
    <row r="143" spans="1:29" s="53" customFormat="1" ht="30" customHeight="1" x14ac:dyDescent="0.25">
      <c r="A143" s="74">
        <v>46</v>
      </c>
      <c r="B143" s="7" t="s">
        <v>35</v>
      </c>
      <c r="C143" s="7" t="s">
        <v>34</v>
      </c>
      <c r="D143" s="7" t="s">
        <v>33</v>
      </c>
      <c r="E143" s="54"/>
      <c r="F143" s="73" t="s">
        <v>164</v>
      </c>
      <c r="G143" s="72">
        <v>3.2643772500886049E-2</v>
      </c>
      <c r="H143" s="55"/>
      <c r="I143" s="71">
        <f t="shared" si="12"/>
        <v>19.271493669361771</v>
      </c>
      <c r="J143" s="70">
        <f>G143*I96</f>
        <v>269.80091137106479</v>
      </c>
      <c r="K143" s="67"/>
      <c r="L143" s="67"/>
      <c r="M143" s="67"/>
      <c r="N143" s="66"/>
      <c r="O143" s="71">
        <f t="shared" si="13"/>
        <v>33.036846290334459</v>
      </c>
      <c r="P143" s="70">
        <f>G143*O96</f>
        <v>462.51584806468242</v>
      </c>
      <c r="Q143" s="54"/>
      <c r="R143" s="54"/>
      <c r="S143" s="54"/>
      <c r="T143" s="64"/>
      <c r="U143" s="71">
        <f t="shared" si="14"/>
        <v>44.049128387112624</v>
      </c>
      <c r="V143" s="70">
        <f>G143*U96</f>
        <v>616.68779741957678</v>
      </c>
      <c r="W143" s="54"/>
      <c r="X143" s="54"/>
      <c r="Y143" s="54"/>
      <c r="Z143" s="64"/>
      <c r="AA143" s="65"/>
      <c r="AB143" s="54"/>
      <c r="AC143" s="64"/>
    </row>
    <row r="144" spans="1:29" s="53" customFormat="1" ht="30" customHeight="1" x14ac:dyDescent="0.25">
      <c r="A144" s="74">
        <v>47</v>
      </c>
      <c r="B144" s="7" t="s">
        <v>65</v>
      </c>
      <c r="C144" s="7" t="s">
        <v>64</v>
      </c>
      <c r="D144" s="7" t="s">
        <v>63</v>
      </c>
      <c r="E144" s="54"/>
      <c r="F144" s="73" t="s">
        <v>164</v>
      </c>
      <c r="G144" s="72">
        <v>1.9138577477662334E-2</v>
      </c>
      <c r="H144" s="55"/>
      <c r="I144" s="71">
        <f t="shared" si="12"/>
        <v>11.298601431294387</v>
      </c>
      <c r="J144" s="70">
        <f>G144*I96</f>
        <v>158.18042003812141</v>
      </c>
      <c r="K144" s="67"/>
      <c r="L144" s="67"/>
      <c r="M144" s="67"/>
      <c r="N144" s="66"/>
      <c r="O144" s="71">
        <f t="shared" si="13"/>
        <v>19.369031025076087</v>
      </c>
      <c r="P144" s="70">
        <f>G144*O96</f>
        <v>271.16643435106522</v>
      </c>
      <c r="Q144" s="54"/>
      <c r="R144" s="54"/>
      <c r="S144" s="54"/>
      <c r="T144" s="64"/>
      <c r="U144" s="71">
        <f t="shared" si="14"/>
        <v>25.825374700101456</v>
      </c>
      <c r="V144" s="70">
        <f>G144*U96</f>
        <v>361.55524580142037</v>
      </c>
      <c r="W144" s="54"/>
      <c r="X144" s="54"/>
      <c r="Y144" s="54"/>
      <c r="Z144" s="64"/>
      <c r="AA144" s="65"/>
      <c r="AB144" s="54"/>
      <c r="AC144" s="64"/>
    </row>
    <row r="145" spans="1:29" s="53" customFormat="1" ht="30" customHeight="1" x14ac:dyDescent="0.25">
      <c r="A145" s="74">
        <v>48</v>
      </c>
      <c r="B145" s="7" t="s">
        <v>188</v>
      </c>
      <c r="C145" s="7" t="s">
        <v>187</v>
      </c>
      <c r="D145" s="7" t="s">
        <v>41</v>
      </c>
      <c r="E145" s="54"/>
      <c r="F145" s="73" t="s">
        <v>164</v>
      </c>
      <c r="G145" s="72">
        <v>5.7397078848700787E-2</v>
      </c>
      <c r="H145" s="55"/>
      <c r="I145" s="71">
        <f t="shared" si="12"/>
        <v>33.884792011786388</v>
      </c>
      <c r="J145" s="70">
        <f>G145*I96</f>
        <v>474.3870881650094</v>
      </c>
      <c r="K145" s="67"/>
      <c r="L145" s="67"/>
      <c r="M145" s="67"/>
      <c r="N145" s="66"/>
      <c r="O145" s="71">
        <f t="shared" si="13"/>
        <v>58.088214877348079</v>
      </c>
      <c r="P145" s="70">
        <f>G145*O96</f>
        <v>813.23500828287308</v>
      </c>
      <c r="Q145" s="54"/>
      <c r="R145" s="54"/>
      <c r="S145" s="54"/>
      <c r="T145" s="64"/>
      <c r="U145" s="71">
        <f t="shared" si="14"/>
        <v>77.450953169797458</v>
      </c>
      <c r="V145" s="70">
        <f>G145*U96</f>
        <v>1084.3133443771644</v>
      </c>
      <c r="W145" s="54"/>
      <c r="X145" s="54"/>
      <c r="Y145" s="54"/>
      <c r="Z145" s="64"/>
      <c r="AA145" s="65"/>
      <c r="AB145" s="54"/>
      <c r="AC145" s="64"/>
    </row>
    <row r="146" spans="1:29" s="53" customFormat="1" ht="30" customHeight="1" x14ac:dyDescent="0.25">
      <c r="A146" s="74">
        <v>49</v>
      </c>
      <c r="B146" s="7" t="s">
        <v>186</v>
      </c>
      <c r="C146" s="7" t="s">
        <v>185</v>
      </c>
      <c r="D146" s="7" t="s">
        <v>33</v>
      </c>
      <c r="E146" s="54"/>
      <c r="F146" s="73" t="s">
        <v>164</v>
      </c>
      <c r="G146" s="72">
        <v>4.7585293514148745E-2</v>
      </c>
      <c r="H146" s="55"/>
      <c r="I146" s="71">
        <f t="shared" si="12"/>
        <v>28.092331628881073</v>
      </c>
      <c r="J146" s="70">
        <f>G146*I96</f>
        <v>393.292642804335</v>
      </c>
      <c r="K146" s="67"/>
      <c r="L146" s="67"/>
      <c r="M146" s="67"/>
      <c r="N146" s="66"/>
      <c r="O146" s="71">
        <f t="shared" si="13"/>
        <v>48.158282792367537</v>
      </c>
      <c r="P146" s="70">
        <f>G146*O96</f>
        <v>674.21595909314556</v>
      </c>
      <c r="Q146" s="54"/>
      <c r="R146" s="54"/>
      <c r="S146" s="54"/>
      <c r="T146" s="64"/>
      <c r="U146" s="71">
        <f t="shared" si="14"/>
        <v>64.211043723156735</v>
      </c>
      <c r="V146" s="70">
        <f>G146*U96</f>
        <v>898.95461212419434</v>
      </c>
      <c r="W146" s="54"/>
      <c r="X146" s="54"/>
      <c r="Y146" s="54"/>
      <c r="Z146" s="64"/>
      <c r="AA146" s="65"/>
      <c r="AB146" s="54"/>
      <c r="AC146" s="64"/>
    </row>
    <row r="147" spans="1:29" s="53" customFormat="1" ht="30" customHeight="1" x14ac:dyDescent="0.25">
      <c r="A147" s="74">
        <v>50</v>
      </c>
      <c r="B147" s="7" t="s">
        <v>184</v>
      </c>
      <c r="C147" s="7" t="s">
        <v>183</v>
      </c>
      <c r="D147" s="7" t="s">
        <v>46</v>
      </c>
      <c r="E147" s="54"/>
      <c r="F147" s="73" t="s">
        <v>164</v>
      </c>
      <c r="G147" s="72">
        <v>3.9564252271073887E-2</v>
      </c>
      <c r="H147" s="55"/>
      <c r="I147" s="71">
        <f t="shared" si="12"/>
        <v>23.357050327266467</v>
      </c>
      <c r="J147" s="70">
        <f>G147*I96</f>
        <v>326.99870458173052</v>
      </c>
      <c r="K147" s="67"/>
      <c r="L147" s="67"/>
      <c r="M147" s="67"/>
      <c r="N147" s="66"/>
      <c r="O147" s="71">
        <f t="shared" si="13"/>
        <v>40.040657703885358</v>
      </c>
      <c r="P147" s="70">
        <f>G147*O96</f>
        <v>560.56920785439502</v>
      </c>
      <c r="Q147" s="54"/>
      <c r="R147" s="54"/>
      <c r="S147" s="54"/>
      <c r="T147" s="64"/>
      <c r="U147" s="71">
        <f t="shared" si="14"/>
        <v>53.387543605180497</v>
      </c>
      <c r="V147" s="70">
        <f>G147*U96</f>
        <v>747.42561047252696</v>
      </c>
      <c r="W147" s="54"/>
      <c r="X147" s="54"/>
      <c r="Y147" s="54"/>
      <c r="Z147" s="64"/>
      <c r="AA147" s="65"/>
      <c r="AB147" s="54"/>
      <c r="AC147" s="64"/>
    </row>
    <row r="148" spans="1:29" s="53" customFormat="1" ht="30" customHeight="1" x14ac:dyDescent="0.25">
      <c r="A148" s="74">
        <v>51</v>
      </c>
      <c r="B148" s="7" t="s">
        <v>182</v>
      </c>
      <c r="C148" s="7" t="s">
        <v>181</v>
      </c>
      <c r="D148" s="7" t="s">
        <v>41</v>
      </c>
      <c r="E148" s="54"/>
      <c r="F148" s="73" t="s">
        <v>164</v>
      </c>
      <c r="G148" s="72">
        <v>2.993900277938406E-2</v>
      </c>
      <c r="H148" s="55"/>
      <c r="I148" s="71">
        <f t="shared" si="12"/>
        <v>17.674712765328938</v>
      </c>
      <c r="J148" s="70">
        <f>G148*I96</f>
        <v>247.44597871460513</v>
      </c>
      <c r="K148" s="67"/>
      <c r="L148" s="67"/>
      <c r="M148" s="67"/>
      <c r="N148" s="66"/>
      <c r="O148" s="71">
        <f t="shared" si="13"/>
        <v>30.299507597706743</v>
      </c>
      <c r="P148" s="70">
        <f>G148*O96</f>
        <v>424.19310636789442</v>
      </c>
      <c r="Q148" s="54"/>
      <c r="R148" s="54"/>
      <c r="S148" s="54"/>
      <c r="T148" s="64"/>
      <c r="U148" s="71">
        <f t="shared" si="14"/>
        <v>40.399343463609</v>
      </c>
      <c r="V148" s="70">
        <f>G148*U96</f>
        <v>565.590808490526</v>
      </c>
      <c r="W148" s="54"/>
      <c r="X148" s="54"/>
      <c r="Y148" s="54"/>
      <c r="Z148" s="64"/>
      <c r="AA148" s="65"/>
      <c r="AB148" s="54"/>
      <c r="AC148" s="64"/>
    </row>
    <row r="149" spans="1:29" s="53" customFormat="1" ht="30" customHeight="1" x14ac:dyDescent="0.25">
      <c r="A149" s="74">
        <v>52</v>
      </c>
      <c r="B149" s="7" t="s">
        <v>180</v>
      </c>
      <c r="C149" s="7" t="s">
        <v>179</v>
      </c>
      <c r="D149" s="7" t="s">
        <v>46</v>
      </c>
      <c r="E149" s="54"/>
      <c r="F149" s="73" t="s">
        <v>164</v>
      </c>
      <c r="G149" s="72">
        <v>2.9379395250797444E-2</v>
      </c>
      <c r="H149" s="55"/>
      <c r="I149" s="71">
        <f t="shared" si="12"/>
        <v>17.344344302425593</v>
      </c>
      <c r="J149" s="70">
        <f>G149*I96</f>
        <v>242.82082023395833</v>
      </c>
      <c r="K149" s="67"/>
      <c r="L149" s="67"/>
      <c r="M149" s="67"/>
      <c r="N149" s="66"/>
      <c r="O149" s="71">
        <f t="shared" si="13"/>
        <v>29.733161661301015</v>
      </c>
      <c r="P149" s="70">
        <f>G149*O96</f>
        <v>416.26426325821421</v>
      </c>
      <c r="Q149" s="54"/>
      <c r="R149" s="54"/>
      <c r="S149" s="54"/>
      <c r="T149" s="64"/>
      <c r="U149" s="71">
        <f t="shared" si="14"/>
        <v>39.644215548401363</v>
      </c>
      <c r="V149" s="70">
        <f>G149*U96</f>
        <v>555.0190176776191</v>
      </c>
      <c r="W149" s="54"/>
      <c r="X149" s="54"/>
      <c r="Y149" s="54"/>
      <c r="Z149" s="64"/>
      <c r="AA149" s="65"/>
      <c r="AB149" s="54"/>
      <c r="AC149" s="64"/>
    </row>
    <row r="150" spans="1:29" s="53" customFormat="1" ht="30" customHeight="1" x14ac:dyDescent="0.25">
      <c r="A150" s="74">
        <v>53</v>
      </c>
      <c r="B150" s="7" t="s">
        <v>178</v>
      </c>
      <c r="C150" s="7" t="s">
        <v>177</v>
      </c>
      <c r="D150" s="7" t="s">
        <v>24</v>
      </c>
      <c r="E150" s="54"/>
      <c r="F150" s="73" t="s">
        <v>164</v>
      </c>
      <c r="G150" s="72">
        <v>2.8726519800779723E-2</v>
      </c>
      <c r="H150" s="55"/>
      <c r="I150" s="71">
        <f t="shared" si="12"/>
        <v>16.958914429038359</v>
      </c>
      <c r="J150" s="70">
        <f>G150*I96</f>
        <v>237.42480200653702</v>
      </c>
      <c r="K150" s="67"/>
      <c r="L150" s="67"/>
      <c r="M150" s="67"/>
      <c r="N150" s="66"/>
      <c r="O150" s="71">
        <f t="shared" si="13"/>
        <v>29.072424735494327</v>
      </c>
      <c r="P150" s="70">
        <f>G150*O96</f>
        <v>407.01394629692055</v>
      </c>
      <c r="Q150" s="54"/>
      <c r="R150" s="54"/>
      <c r="S150" s="54"/>
      <c r="T150" s="64"/>
      <c r="U150" s="71">
        <f t="shared" si="14"/>
        <v>38.763232980659104</v>
      </c>
      <c r="V150" s="70">
        <f>G150*U96</f>
        <v>542.68526172922748</v>
      </c>
      <c r="W150" s="54"/>
      <c r="X150" s="54"/>
      <c r="Y150" s="54"/>
      <c r="Z150" s="64"/>
      <c r="AA150" s="65"/>
      <c r="AB150" s="54"/>
      <c r="AC150" s="64"/>
    </row>
    <row r="151" spans="1:29" s="53" customFormat="1" ht="30" customHeight="1" x14ac:dyDescent="0.25">
      <c r="A151" s="74">
        <v>54</v>
      </c>
      <c r="B151" s="7" t="s">
        <v>176</v>
      </c>
      <c r="C151" s="7" t="s">
        <v>175</v>
      </c>
      <c r="D151" s="7" t="s">
        <v>33</v>
      </c>
      <c r="E151" s="54"/>
      <c r="F151" s="73" t="s">
        <v>164</v>
      </c>
      <c r="G151" s="72">
        <v>1.745975489190248E-2</v>
      </c>
      <c r="H151" s="55"/>
      <c r="I151" s="71">
        <f t="shared" si="12"/>
        <v>10.307496042584352</v>
      </c>
      <c r="J151" s="70">
        <f>G151*I96</f>
        <v>144.30494459618095</v>
      </c>
      <c r="K151" s="67"/>
      <c r="L151" s="67"/>
      <c r="M151" s="67"/>
      <c r="N151" s="66"/>
      <c r="O151" s="71">
        <f t="shared" si="13"/>
        <v>17.669993215858888</v>
      </c>
      <c r="P151" s="70">
        <f>G151*O96</f>
        <v>247.37990502202442</v>
      </c>
      <c r="Q151" s="54"/>
      <c r="R151" s="54"/>
      <c r="S151" s="54"/>
      <c r="T151" s="64"/>
      <c r="U151" s="71">
        <f t="shared" si="14"/>
        <v>23.559990954478518</v>
      </c>
      <c r="V151" s="70">
        <f>G151*U96</f>
        <v>329.83987336269928</v>
      </c>
      <c r="W151" s="54"/>
      <c r="X151" s="54"/>
      <c r="Y151" s="54"/>
      <c r="Z151" s="64"/>
      <c r="AA151" s="65"/>
      <c r="AB151" s="54"/>
      <c r="AC151" s="64"/>
    </row>
    <row r="152" spans="1:29" s="53" customFormat="1" ht="30" customHeight="1" x14ac:dyDescent="0.25">
      <c r="A152" s="74">
        <v>55</v>
      </c>
      <c r="B152" s="7" t="s">
        <v>174</v>
      </c>
      <c r="C152" s="7" t="s">
        <v>173</v>
      </c>
      <c r="D152" s="7" t="s">
        <v>41</v>
      </c>
      <c r="E152" s="54"/>
      <c r="F152" s="73" t="s">
        <v>164</v>
      </c>
      <c r="G152" s="72">
        <v>1.55757428789942E-2</v>
      </c>
      <c r="H152" s="55"/>
      <c r="I152" s="71">
        <f t="shared" si="12"/>
        <v>9.19525555080976</v>
      </c>
      <c r="J152" s="70">
        <f>G152*I96</f>
        <v>128.73357771133664</v>
      </c>
      <c r="K152" s="67"/>
      <c r="L152" s="67"/>
      <c r="M152" s="67"/>
      <c r="N152" s="66"/>
      <c r="O152" s="71">
        <f t="shared" si="13"/>
        <v>15.763295229959585</v>
      </c>
      <c r="P152" s="70">
        <f>G152*O96</f>
        <v>220.6861332194342</v>
      </c>
      <c r="Q152" s="54"/>
      <c r="R152" s="54"/>
      <c r="S152" s="54"/>
      <c r="T152" s="64"/>
      <c r="U152" s="71">
        <f t="shared" si="14"/>
        <v>21.017726973279451</v>
      </c>
      <c r="V152" s="70">
        <f>G152*U96</f>
        <v>294.24817762591232</v>
      </c>
      <c r="W152" s="54"/>
      <c r="X152" s="54"/>
      <c r="Y152" s="54"/>
      <c r="Z152" s="64"/>
      <c r="AA152" s="65"/>
      <c r="AB152" s="54"/>
      <c r="AC152" s="64"/>
    </row>
    <row r="153" spans="1:29" s="53" customFormat="1" ht="30" customHeight="1" x14ac:dyDescent="0.25">
      <c r="A153" s="74">
        <v>56</v>
      </c>
      <c r="B153" s="7" t="s">
        <v>172</v>
      </c>
      <c r="C153" s="7" t="s">
        <v>171</v>
      </c>
      <c r="D153" s="7" t="s">
        <v>21</v>
      </c>
      <c r="E153" s="54"/>
      <c r="F153" s="73" t="s">
        <v>164</v>
      </c>
      <c r="G153" s="72">
        <v>2.7980376429330902E-2</v>
      </c>
      <c r="H153" s="55"/>
      <c r="I153" s="71">
        <f t="shared" si="12"/>
        <v>16.518423145167237</v>
      </c>
      <c r="J153" s="70">
        <f>G153*I96</f>
        <v>231.25792403234129</v>
      </c>
      <c r="K153" s="67"/>
      <c r="L153" s="67"/>
      <c r="M153" s="67"/>
      <c r="N153" s="66"/>
      <c r="O153" s="71">
        <f t="shared" si="13"/>
        <v>28.317296820286682</v>
      </c>
      <c r="P153" s="70">
        <f>G153*O96</f>
        <v>396.44215548401354</v>
      </c>
      <c r="Q153" s="54"/>
      <c r="R153" s="54"/>
      <c r="S153" s="54"/>
      <c r="T153" s="64"/>
      <c r="U153" s="71">
        <f t="shared" si="14"/>
        <v>37.756395760382254</v>
      </c>
      <c r="V153" s="70">
        <f>G153*U96</f>
        <v>528.58954064535158</v>
      </c>
      <c r="W153" s="54"/>
      <c r="X153" s="54"/>
      <c r="Y153" s="54"/>
      <c r="Z153" s="64"/>
      <c r="AA153" s="65"/>
      <c r="AB153" s="54"/>
      <c r="AC153" s="64"/>
    </row>
    <row r="154" spans="1:29" s="53" customFormat="1" ht="30" customHeight="1" x14ac:dyDescent="0.25">
      <c r="A154" s="74">
        <v>57</v>
      </c>
      <c r="B154" s="7" t="s">
        <v>170</v>
      </c>
      <c r="C154" s="7" t="s">
        <v>169</v>
      </c>
      <c r="D154" s="7" t="s">
        <v>92</v>
      </c>
      <c r="E154" s="54"/>
      <c r="F154" s="73" t="s">
        <v>164</v>
      </c>
      <c r="G154" s="72">
        <v>1.3971534630379229E-2</v>
      </c>
      <c r="H154" s="55"/>
      <c r="I154" s="71">
        <f t="shared" si="12"/>
        <v>8.2481992904868378</v>
      </c>
      <c r="J154" s="70">
        <f>G154*I96</f>
        <v>115.47479006681573</v>
      </c>
      <c r="K154" s="67"/>
      <c r="L154" s="67"/>
      <c r="M154" s="67"/>
      <c r="N154" s="66"/>
      <c r="O154" s="71">
        <f t="shared" si="13"/>
        <v>14.139770212263148</v>
      </c>
      <c r="P154" s="70">
        <f>G154*O96</f>
        <v>197.95678297168408</v>
      </c>
      <c r="Q154" s="54"/>
      <c r="R154" s="54"/>
      <c r="S154" s="54"/>
      <c r="T154" s="64"/>
      <c r="U154" s="71">
        <f t="shared" si="14"/>
        <v>18.8530269496842</v>
      </c>
      <c r="V154" s="70">
        <f>G154*U96</f>
        <v>263.94237729557881</v>
      </c>
      <c r="W154" s="54"/>
      <c r="X154" s="54"/>
      <c r="Y154" s="54"/>
      <c r="Z154" s="64"/>
      <c r="AA154" s="65"/>
      <c r="AB154" s="54"/>
      <c r="AC154" s="64"/>
    </row>
    <row r="155" spans="1:29" s="53" customFormat="1" ht="30" customHeight="1" x14ac:dyDescent="0.25">
      <c r="A155" s="74">
        <v>58</v>
      </c>
      <c r="B155" s="7" t="s">
        <v>168</v>
      </c>
      <c r="C155" s="7" t="s">
        <v>167</v>
      </c>
      <c r="D155" s="7" t="s">
        <v>41</v>
      </c>
      <c r="E155" s="54"/>
      <c r="F155" s="73" t="s">
        <v>164</v>
      </c>
      <c r="G155" s="72">
        <v>1.3057509000354418E-2</v>
      </c>
      <c r="H155" s="55"/>
      <c r="I155" s="71">
        <f t="shared" si="12"/>
        <v>7.708597467744708</v>
      </c>
      <c r="J155" s="70">
        <f>G155*I96</f>
        <v>107.92036454842591</v>
      </c>
      <c r="K155" s="67"/>
      <c r="L155" s="67"/>
      <c r="M155" s="67"/>
      <c r="N155" s="66"/>
      <c r="O155" s="71">
        <f t="shared" si="13"/>
        <v>13.214738516133782</v>
      </c>
      <c r="P155" s="70">
        <f>G155*O96</f>
        <v>185.00633922587295</v>
      </c>
      <c r="Q155" s="54"/>
      <c r="R155" s="54"/>
      <c r="S155" s="54"/>
      <c r="T155" s="64"/>
      <c r="U155" s="71">
        <f t="shared" si="14"/>
        <v>17.619651354845047</v>
      </c>
      <c r="V155" s="70">
        <f>G155*U96</f>
        <v>246.67511896783066</v>
      </c>
      <c r="W155" s="54"/>
      <c r="X155" s="54"/>
      <c r="Y155" s="54"/>
      <c r="Z155" s="64"/>
      <c r="AA155" s="65"/>
      <c r="AB155" s="54"/>
      <c r="AC155" s="64"/>
    </row>
    <row r="156" spans="1:29" s="53" customFormat="1" ht="30" customHeight="1" x14ac:dyDescent="0.25">
      <c r="A156" s="74">
        <v>59</v>
      </c>
      <c r="B156" s="7" t="s">
        <v>166</v>
      </c>
      <c r="C156" s="7" t="s">
        <v>165</v>
      </c>
      <c r="D156" s="7" t="s">
        <v>46</v>
      </c>
      <c r="E156" s="54"/>
      <c r="F156" s="73" t="s">
        <v>164</v>
      </c>
      <c r="G156" s="72">
        <v>1.2404633550336698E-2</v>
      </c>
      <c r="H156" s="55"/>
      <c r="I156" s="71">
        <f t="shared" si="12"/>
        <v>7.3231675943574723</v>
      </c>
      <c r="J156" s="70">
        <f>G156*I96</f>
        <v>102.52434632100461</v>
      </c>
      <c r="K156" s="67"/>
      <c r="L156" s="67"/>
      <c r="M156" s="67"/>
      <c r="N156" s="66"/>
      <c r="O156" s="71">
        <f t="shared" si="13"/>
        <v>12.554001590327093</v>
      </c>
      <c r="P156" s="70">
        <f>G156*O96</f>
        <v>175.75602226457931</v>
      </c>
      <c r="Q156" s="54"/>
      <c r="R156" s="54"/>
      <c r="S156" s="54"/>
      <c r="T156" s="64"/>
      <c r="U156" s="71">
        <f t="shared" si="14"/>
        <v>16.738668787102796</v>
      </c>
      <c r="V156" s="70">
        <f>G156*U96</f>
        <v>234.34136301943914</v>
      </c>
      <c r="W156" s="54"/>
      <c r="X156" s="54"/>
      <c r="Y156" s="54"/>
      <c r="Z156" s="64"/>
      <c r="AA156" s="65"/>
      <c r="AB156" s="54"/>
      <c r="AC156" s="64"/>
    </row>
    <row r="157" spans="1:29" s="53" customFormat="1" ht="30" customHeight="1" x14ac:dyDescent="0.25">
      <c r="A157" s="54"/>
      <c r="B157" s="54"/>
      <c r="C157" s="69"/>
      <c r="D157" s="54"/>
      <c r="E157" s="54"/>
      <c r="F157" s="54"/>
      <c r="G157" s="56"/>
      <c r="H157" s="55"/>
      <c r="I157" s="68"/>
      <c r="J157" s="67"/>
      <c r="K157" s="67"/>
      <c r="L157" s="67"/>
      <c r="M157" s="67"/>
      <c r="N157" s="66"/>
      <c r="O157" s="65"/>
      <c r="P157" s="54"/>
      <c r="Q157" s="54"/>
      <c r="R157" s="54"/>
      <c r="S157" s="54"/>
      <c r="T157" s="64"/>
      <c r="U157" s="65"/>
      <c r="V157" s="54"/>
      <c r="W157" s="54"/>
      <c r="X157" s="54"/>
      <c r="Y157" s="54"/>
      <c r="Z157" s="64"/>
      <c r="AA157" s="65"/>
      <c r="AB157" s="54"/>
      <c r="AC157" s="64"/>
    </row>
    <row r="158" spans="1:29" s="29" customFormat="1" ht="30" customHeight="1" thickBot="1" x14ac:dyDescent="0.75">
      <c r="A158" s="37"/>
      <c r="B158" s="491" t="s">
        <v>163</v>
      </c>
      <c r="C158" s="492"/>
      <c r="D158" s="492"/>
      <c r="E158" s="492"/>
      <c r="F158" s="493"/>
      <c r="G158" s="36"/>
      <c r="H158" s="35"/>
      <c r="I158" s="32">
        <f>SUM(I98:I157)</f>
        <v>590.3574309261802</v>
      </c>
      <c r="J158" s="34">
        <f>SUM(J98:J157)</f>
        <v>8265.0040329665244</v>
      </c>
      <c r="K158" s="34"/>
      <c r="L158" s="34"/>
      <c r="M158" s="34"/>
      <c r="N158" s="33"/>
      <c r="O158" s="32">
        <f>SUM(O98:O157)</f>
        <v>1012.0413101591657</v>
      </c>
      <c r="P158" s="34">
        <f>SUM(P98:P157)</f>
        <v>14168.578342228318</v>
      </c>
      <c r="Q158" s="34"/>
      <c r="R158" s="34"/>
      <c r="S158" s="34"/>
      <c r="T158" s="33"/>
      <c r="U158" s="32">
        <f>SUM(U98:U157)</f>
        <v>1349.3884135455548</v>
      </c>
      <c r="V158" s="34">
        <f>SUM(V98:V157)</f>
        <v>18891.43778963777</v>
      </c>
      <c r="W158" s="34"/>
      <c r="X158" s="34"/>
      <c r="Y158" s="34"/>
      <c r="Z158" s="33"/>
      <c r="AA158" s="32"/>
      <c r="AB158" s="31"/>
      <c r="AC158" s="30"/>
    </row>
    <row r="159" spans="1:29" s="60" customFormat="1" ht="25.15" customHeight="1" x14ac:dyDescent="0.25">
      <c r="A159" s="62"/>
      <c r="B159" s="63" t="s">
        <v>162</v>
      </c>
      <c r="C159" s="62"/>
      <c r="D159" s="62"/>
      <c r="E159" s="62"/>
      <c r="F159" s="62"/>
      <c r="H159" s="61"/>
      <c r="I159" s="509" t="s">
        <v>161</v>
      </c>
      <c r="J159" s="510"/>
      <c r="K159" s="510"/>
      <c r="L159" s="510"/>
      <c r="M159" s="510"/>
      <c r="N159" s="511"/>
      <c r="O159" s="512">
        <v>45713</v>
      </c>
      <c r="P159" s="513"/>
      <c r="Q159" s="513"/>
      <c r="R159" s="513"/>
      <c r="S159" s="513"/>
      <c r="T159" s="514"/>
      <c r="U159" s="512">
        <v>45741</v>
      </c>
      <c r="V159" s="513"/>
      <c r="W159" s="513"/>
      <c r="X159" s="513"/>
      <c r="Y159" s="513"/>
      <c r="Z159" s="514"/>
      <c r="AA159" s="515" t="s">
        <v>160</v>
      </c>
      <c r="AB159" s="516"/>
      <c r="AC159" s="517"/>
    </row>
    <row r="160" spans="1:29" s="57" customFormat="1" ht="25.15" customHeight="1" x14ac:dyDescent="0.25">
      <c r="A160" s="53"/>
      <c r="B160" s="53"/>
      <c r="C160" s="53"/>
      <c r="D160" s="53"/>
      <c r="E160" s="53"/>
      <c r="F160" s="53"/>
      <c r="H160" s="59"/>
      <c r="I160" s="518">
        <f>J3*2%</f>
        <v>5510.0026886443466</v>
      </c>
      <c r="J160" s="518"/>
      <c r="K160" s="58">
        <v>10</v>
      </c>
      <c r="L160" s="58">
        <v>20</v>
      </c>
      <c r="M160" s="58">
        <v>30</v>
      </c>
      <c r="N160" s="58" t="s">
        <v>110</v>
      </c>
      <c r="O160" s="518">
        <f>K3*2%</f>
        <v>4722.8594474094398</v>
      </c>
      <c r="P160" s="518"/>
      <c r="Q160" s="58">
        <v>10</v>
      </c>
      <c r="R160" s="58">
        <v>20</v>
      </c>
      <c r="S160" s="58">
        <v>30</v>
      </c>
      <c r="T160" s="58" t="s">
        <v>110</v>
      </c>
      <c r="U160" s="518">
        <f>L3*2%</f>
        <v>6297.1459298792543</v>
      </c>
      <c r="V160" s="518"/>
      <c r="W160" s="58">
        <v>10</v>
      </c>
      <c r="X160" s="58">
        <v>20</v>
      </c>
      <c r="Y160" s="58">
        <v>30</v>
      </c>
      <c r="Z160" s="58" t="s">
        <v>110</v>
      </c>
      <c r="AA160" s="54" t="s">
        <v>119</v>
      </c>
      <c r="AB160" s="54" t="s">
        <v>159</v>
      </c>
      <c r="AC160" s="54" t="s">
        <v>110</v>
      </c>
    </row>
    <row r="161" spans="1:29" s="53" customFormat="1" ht="30" customHeight="1" x14ac:dyDescent="0.25">
      <c r="A161" s="54" t="s">
        <v>158</v>
      </c>
      <c r="B161" s="54" t="s">
        <v>157</v>
      </c>
      <c r="C161" s="54" t="s">
        <v>156</v>
      </c>
      <c r="D161" s="54" t="s">
        <v>155</v>
      </c>
      <c r="E161" s="54" t="s">
        <v>154</v>
      </c>
      <c r="F161" s="54" t="s">
        <v>153</v>
      </c>
      <c r="G161" s="56"/>
      <c r="H161" s="55"/>
      <c r="I161" s="54" t="s">
        <v>152</v>
      </c>
      <c r="J161" s="54" t="s">
        <v>152</v>
      </c>
      <c r="K161" s="54" t="s">
        <v>152</v>
      </c>
      <c r="L161" s="54" t="s">
        <v>152</v>
      </c>
      <c r="M161" s="54" t="s">
        <v>152</v>
      </c>
      <c r="N161" s="54"/>
      <c r="O161" s="54" t="s">
        <v>152</v>
      </c>
      <c r="P161" s="54" t="s">
        <v>152</v>
      </c>
      <c r="Q161" s="54" t="s">
        <v>152</v>
      </c>
      <c r="R161" s="54" t="s">
        <v>152</v>
      </c>
      <c r="S161" s="54" t="s">
        <v>152</v>
      </c>
      <c r="T161" s="54"/>
      <c r="U161" s="54" t="s">
        <v>152</v>
      </c>
      <c r="V161" s="54" t="s">
        <v>152</v>
      </c>
      <c r="W161" s="54" t="s">
        <v>152</v>
      </c>
      <c r="X161" s="54" t="s">
        <v>152</v>
      </c>
      <c r="Y161" s="54" t="s">
        <v>152</v>
      </c>
      <c r="Z161" s="54"/>
      <c r="AA161" s="54" t="s">
        <v>152</v>
      </c>
      <c r="AB161" s="54" t="s">
        <v>152</v>
      </c>
      <c r="AC161" s="54"/>
    </row>
    <row r="162" spans="1:29" ht="30" customHeight="1" x14ac:dyDescent="0.6">
      <c r="A162" s="51">
        <v>1</v>
      </c>
      <c r="B162" s="50" t="s">
        <v>151</v>
      </c>
      <c r="C162" s="52"/>
      <c r="D162" s="47"/>
      <c r="E162" s="47"/>
      <c r="F162" s="46"/>
      <c r="G162" s="45"/>
      <c r="H162" s="44"/>
      <c r="I162" s="43"/>
      <c r="J162" s="42"/>
      <c r="K162" s="42"/>
      <c r="L162" s="42"/>
      <c r="M162" s="42"/>
      <c r="N162" s="41"/>
      <c r="O162" s="43"/>
      <c r="P162" s="42"/>
      <c r="Q162" s="42"/>
      <c r="R162" s="42"/>
      <c r="S162" s="42"/>
      <c r="T162" s="41"/>
      <c r="U162" s="43"/>
      <c r="V162" s="42"/>
      <c r="W162" s="42"/>
      <c r="X162" s="42"/>
      <c r="Y162" s="42"/>
      <c r="Z162" s="41"/>
      <c r="AA162" s="40"/>
      <c r="AB162" s="39"/>
      <c r="AC162" s="38"/>
    </row>
    <row r="163" spans="1:29" ht="30" customHeight="1" x14ac:dyDescent="0.6">
      <c r="A163" s="51">
        <v>2</v>
      </c>
      <c r="B163" s="50" t="s">
        <v>150</v>
      </c>
      <c r="C163" s="49"/>
      <c r="D163" s="47"/>
      <c r="E163" s="47"/>
      <c r="F163" s="46"/>
      <c r="G163" s="45"/>
      <c r="H163" s="48"/>
      <c r="I163" s="43"/>
      <c r="J163" s="42"/>
      <c r="K163" s="42"/>
      <c r="L163" s="42"/>
      <c r="M163" s="42"/>
      <c r="N163" s="41"/>
      <c r="O163" s="43"/>
      <c r="P163" s="42"/>
      <c r="Q163" s="42"/>
      <c r="R163" s="42"/>
      <c r="S163" s="42"/>
      <c r="T163" s="41"/>
      <c r="U163" s="43"/>
      <c r="V163" s="42"/>
      <c r="W163" s="42"/>
      <c r="X163" s="42"/>
      <c r="Y163" s="42"/>
      <c r="Z163" s="41"/>
      <c r="AA163" s="40"/>
      <c r="AB163" s="39"/>
      <c r="AC163" s="38"/>
    </row>
    <row r="164" spans="1:29" ht="30" customHeight="1" x14ac:dyDescent="0.6">
      <c r="A164" s="46"/>
      <c r="B164" s="47"/>
      <c r="C164" s="47"/>
      <c r="D164" s="47"/>
      <c r="E164" s="47"/>
      <c r="F164" s="46"/>
      <c r="G164" s="45"/>
      <c r="H164" s="44"/>
      <c r="I164" s="43"/>
      <c r="J164" s="42"/>
      <c r="K164" s="42"/>
      <c r="L164" s="42"/>
      <c r="M164" s="42"/>
      <c r="N164" s="41"/>
      <c r="O164" s="43"/>
      <c r="P164" s="42"/>
      <c r="Q164" s="42"/>
      <c r="R164" s="42"/>
      <c r="S164" s="42"/>
      <c r="T164" s="41"/>
      <c r="U164" s="43"/>
      <c r="V164" s="42"/>
      <c r="W164" s="42"/>
      <c r="X164" s="42"/>
      <c r="Y164" s="42"/>
      <c r="Z164" s="41"/>
      <c r="AA164" s="40"/>
      <c r="AB164" s="39"/>
      <c r="AC164" s="38"/>
    </row>
    <row r="165" spans="1:29" s="29" customFormat="1" ht="30" customHeight="1" thickBot="1" x14ac:dyDescent="0.75">
      <c r="A165" s="37"/>
      <c r="B165" s="491" t="s">
        <v>149</v>
      </c>
      <c r="C165" s="492"/>
      <c r="D165" s="492"/>
      <c r="E165" s="492"/>
      <c r="F165" s="493"/>
      <c r="G165" s="36"/>
      <c r="H165" s="35"/>
      <c r="I165" s="32"/>
      <c r="J165" s="34"/>
      <c r="K165" s="34"/>
      <c r="L165" s="34"/>
      <c r="M165" s="34"/>
      <c r="N165" s="33"/>
      <c r="O165" s="32"/>
      <c r="P165" s="34"/>
      <c r="Q165" s="34"/>
      <c r="R165" s="34"/>
      <c r="S165" s="34"/>
      <c r="T165" s="33"/>
      <c r="U165" s="32"/>
      <c r="V165" s="34"/>
      <c r="W165" s="34"/>
      <c r="X165" s="34"/>
      <c r="Y165" s="34"/>
      <c r="Z165" s="33"/>
      <c r="AA165" s="32"/>
      <c r="AB165" s="31"/>
      <c r="AC165" s="30"/>
    </row>
  </sheetData>
  <mergeCells count="44">
    <mergeCell ref="AA159:AC159"/>
    <mergeCell ref="I160:J160"/>
    <mergeCell ref="O160:P160"/>
    <mergeCell ref="U160:V160"/>
    <mergeCell ref="I96:J96"/>
    <mergeCell ref="O96:P96"/>
    <mergeCell ref="U96:V96"/>
    <mergeCell ref="B165:F165"/>
    <mergeCell ref="B158:F158"/>
    <mergeCell ref="I159:N159"/>
    <mergeCell ref="O159:T159"/>
    <mergeCell ref="U159:Z159"/>
    <mergeCell ref="I94:AC94"/>
    <mergeCell ref="I95:N95"/>
    <mergeCell ref="O95:T95"/>
    <mergeCell ref="U95:Z95"/>
    <mergeCell ref="AA95:AC95"/>
    <mergeCell ref="AA13:AC13"/>
    <mergeCell ref="B91:F91"/>
    <mergeCell ref="B15:C15"/>
    <mergeCell ref="D15:E15"/>
    <mergeCell ref="B29:F29"/>
    <mergeCell ref="I31:AC31"/>
    <mergeCell ref="I32:N32"/>
    <mergeCell ref="O32:T32"/>
    <mergeCell ref="U32:Z32"/>
    <mergeCell ref="AA32:AC32"/>
    <mergeCell ref="I33:J33"/>
    <mergeCell ref="O33:P33"/>
    <mergeCell ref="U33:V33"/>
    <mergeCell ref="B34:C34"/>
    <mergeCell ref="D34:E34"/>
    <mergeCell ref="J1:L1"/>
    <mergeCell ref="M1:O1"/>
    <mergeCell ref="P1:R1"/>
    <mergeCell ref="S1:U1"/>
    <mergeCell ref="I12:AC12"/>
    <mergeCell ref="E2:F2"/>
    <mergeCell ref="I14:J14"/>
    <mergeCell ref="O14:P14"/>
    <mergeCell ref="U14:V14"/>
    <mergeCell ref="I13:N13"/>
    <mergeCell ref="O13:T13"/>
    <mergeCell ref="U13:Z13"/>
  </mergeCells>
  <conditionalFormatting sqref="B158:C158">
    <cfRule type="duplicateValues" dxfId="25" priority="1"/>
    <cfRule type="duplicateValues" dxfId="24" priority="2"/>
  </conditionalFormatting>
  <conditionalFormatting sqref="B162:C162 B53:C94 B28:C31 B163 B164:C165">
    <cfRule type="duplicateValues" dxfId="23" priority="5"/>
  </conditionalFormatting>
  <conditionalFormatting sqref="B162:C162 B53:C94 B28:C31 B164:C164 B163">
    <cfRule type="duplicateValues" dxfId="22" priority="4"/>
  </conditionalFormatting>
  <conditionalFormatting sqref="B165:C165">
    <cfRule type="duplicateValues" dxfId="21" priority="3"/>
  </conditionalFormatting>
  <pageMargins left="0.45" right="0.45" top="0.5" bottom="0.5" header="0.3" footer="0.3"/>
  <pageSetup paperSize="7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F4F05-7F82-48B1-89A1-40AD0964A968}">
  <sheetPr>
    <tabColor rgb="FFFFFF00"/>
  </sheetPr>
  <dimension ref="A2:DH215"/>
  <sheetViews>
    <sheetView zoomScaleNormal="100" workbookViewId="0">
      <pane xSplit="10" ySplit="147" topLeftCell="CR205" activePane="bottomRight" state="frozen"/>
      <selection pane="topRight" activeCell="K1" sqref="K1"/>
      <selection pane="bottomLeft" activeCell="A148" sqref="A148"/>
      <selection pane="bottomRight" activeCell="DG215" sqref="DG215"/>
    </sheetView>
  </sheetViews>
  <sheetFormatPr defaultColWidth="9" defaultRowHeight="30" customHeight="1" x14ac:dyDescent="0.25"/>
  <cols>
    <col min="1" max="1" width="5" style="1" bestFit="1" customWidth="1"/>
    <col min="2" max="2" width="26.140625" style="197" bestFit="1" customWidth="1"/>
    <col min="3" max="3" width="19.85546875" style="1" customWidth="1"/>
    <col min="4" max="4" width="13.85546875" style="1" customWidth="1"/>
    <col min="5" max="5" width="14.5703125" style="1" customWidth="1"/>
    <col min="6" max="6" width="10" style="1" customWidth="1"/>
    <col min="7" max="7" width="11" style="1" customWidth="1"/>
    <col min="8" max="8" width="16.5703125" style="1" customWidth="1"/>
    <col min="9" max="9" width="12.42578125" style="1" customWidth="1"/>
    <col min="10" max="10" width="11.5703125" style="1" customWidth="1"/>
    <col min="11" max="11" width="6.28515625" style="1" customWidth="1"/>
    <col min="12" max="13" width="7.140625" style="1" customWidth="1"/>
    <col min="14" max="14" width="6.28515625" style="1" customWidth="1"/>
    <col min="15" max="16" width="7.5703125" style="1" customWidth="1"/>
    <col min="17" max="17" width="6.28515625" style="1" customWidth="1"/>
    <col min="18" max="19" width="7.140625" style="1" customWidth="1"/>
    <col min="20" max="20" width="6.28515625" style="1" customWidth="1"/>
    <col min="21" max="22" width="7.5703125" style="1" customWidth="1"/>
    <col min="23" max="23" width="6.28515625" style="1" customWidth="1"/>
    <col min="24" max="25" width="7.5703125" style="1" customWidth="1"/>
    <col min="26" max="26" width="6.28515625" style="1" customWidth="1"/>
    <col min="27" max="28" width="7.5703125" style="1" customWidth="1"/>
    <col min="29" max="29" width="6.28515625" style="1" customWidth="1"/>
    <col min="30" max="31" width="7.5703125" style="1" customWidth="1"/>
    <col min="32" max="32" width="6.28515625" style="1" customWidth="1"/>
    <col min="33" max="34" width="7.140625" style="1" customWidth="1"/>
    <col min="35" max="35" width="6.7109375" style="1" customWidth="1"/>
    <col min="36" max="37" width="7.5703125" style="1" customWidth="1"/>
    <col min="38" max="38" width="6.28515625" style="1" customWidth="1"/>
    <col min="39" max="41" width="7.140625" style="1" customWidth="1"/>
    <col min="42" max="42" width="8.7109375" style="1" customWidth="1"/>
    <col min="43" max="43" width="8" style="1" customWidth="1"/>
    <col min="44" max="44" width="7.140625" style="1" bestFit="1" customWidth="1"/>
    <col min="45" max="46" width="8" style="1" bestFit="1" customWidth="1"/>
    <col min="47" max="47" width="6.28515625" style="1" customWidth="1"/>
    <col min="48" max="49" width="7.140625" style="1" customWidth="1"/>
    <col min="50" max="50" width="6.28515625" style="1" customWidth="1"/>
    <col min="51" max="52" width="7.140625" style="1" customWidth="1"/>
    <col min="53" max="53" width="6.28515625" style="1" customWidth="1"/>
    <col min="54" max="55" width="7.140625" style="1" customWidth="1"/>
    <col min="56" max="56" width="6.28515625" style="1" customWidth="1"/>
    <col min="57" max="58" width="7.140625" style="1" customWidth="1"/>
    <col min="59" max="59" width="6.28515625" style="1" customWidth="1"/>
    <col min="60" max="61" width="7.140625" style="1" customWidth="1"/>
    <col min="62" max="62" width="6.28515625" style="1" customWidth="1"/>
    <col min="63" max="64" width="7.140625" style="1" customWidth="1"/>
    <col min="65" max="65" width="6.140625" style="1" customWidth="1"/>
    <col min="66" max="66" width="7.140625" style="1" customWidth="1"/>
    <col min="67" max="67" width="7" style="1" customWidth="1"/>
    <col min="68" max="68" width="6.28515625" style="1" customWidth="1"/>
    <col min="69" max="70" width="7.140625" style="1" customWidth="1"/>
    <col min="71" max="71" width="6.28515625" style="1" customWidth="1"/>
    <col min="72" max="74" width="7.140625" style="1" customWidth="1"/>
    <col min="75" max="75" width="8.5703125" style="1" customWidth="1"/>
    <col min="76" max="76" width="8" style="1" customWidth="1"/>
    <col min="77" max="77" width="6.28515625" style="1" customWidth="1"/>
    <col min="78" max="78" width="8" style="1" customWidth="1"/>
    <col min="79" max="79" width="7.140625" style="1" customWidth="1"/>
    <col min="80" max="80" width="6.28515625" style="1" customWidth="1"/>
    <col min="81" max="82" width="7.140625" style="1" customWidth="1"/>
    <col min="83" max="83" width="6.28515625" style="1" customWidth="1"/>
    <col min="84" max="85" width="7.140625" style="1" customWidth="1"/>
    <col min="86" max="86" width="6.28515625" style="1" customWidth="1"/>
    <col min="87" max="88" width="7.140625" style="1" customWidth="1"/>
    <col min="89" max="89" width="6.28515625" style="1" customWidth="1"/>
    <col min="90" max="91" width="7.140625" style="1" customWidth="1"/>
    <col min="92" max="92" width="6.28515625" style="1" customWidth="1"/>
    <col min="93" max="94" width="7.140625" style="1" customWidth="1"/>
    <col min="95" max="95" width="6.28515625" style="1" customWidth="1"/>
    <col min="96" max="97" width="7.140625" style="1" customWidth="1"/>
    <col min="98" max="98" width="6.28515625" style="1" customWidth="1"/>
    <col min="99" max="100" width="7.140625" style="1" customWidth="1"/>
    <col min="101" max="101" width="6.28515625" style="1" customWidth="1"/>
    <col min="102" max="103" width="7.140625" style="1" customWidth="1"/>
    <col min="104" max="104" width="6.28515625" style="1" customWidth="1"/>
    <col min="105" max="106" width="7.140625" style="1" customWidth="1"/>
    <col min="107" max="107" width="6.28515625" style="1" customWidth="1"/>
    <col min="108" max="110" width="7.140625" style="1" customWidth="1"/>
    <col min="111" max="111" width="8.5703125" style="1" customWidth="1"/>
    <col min="112" max="112" width="8" style="1" customWidth="1"/>
    <col min="113" max="113" width="9" style="1" customWidth="1"/>
    <col min="114" max="16384" width="9" style="1"/>
  </cols>
  <sheetData>
    <row r="2" spans="1:112" ht="30" hidden="1" customHeight="1" x14ac:dyDescent="0.25">
      <c r="A2" s="546" t="s">
        <v>433</v>
      </c>
      <c r="B2" s="546"/>
      <c r="C2" s="546"/>
      <c r="D2" s="546"/>
      <c r="E2" s="546"/>
    </row>
    <row r="3" spans="1:112" ht="30" hidden="1" customHeight="1" x14ac:dyDescent="0.25">
      <c r="A3" s="275" t="s">
        <v>118</v>
      </c>
      <c r="B3" s="192" t="s">
        <v>117</v>
      </c>
      <c r="C3" s="23"/>
      <c r="D3" s="540" t="s">
        <v>116</v>
      </c>
      <c r="E3" s="541"/>
      <c r="F3" s="542" t="s">
        <v>115</v>
      </c>
      <c r="G3" s="543" t="s">
        <v>114</v>
      </c>
      <c r="H3" s="544"/>
      <c r="I3" s="531" t="s">
        <v>113</v>
      </c>
      <c r="J3" s="545" t="s">
        <v>112</v>
      </c>
      <c r="K3" s="520" t="s">
        <v>402</v>
      </c>
      <c r="L3" s="520"/>
      <c r="M3" s="520"/>
      <c r="N3" s="547" t="s">
        <v>403</v>
      </c>
      <c r="O3" s="548"/>
      <c r="P3" s="549"/>
      <c r="Q3" s="520" t="s">
        <v>404</v>
      </c>
      <c r="R3" s="520"/>
      <c r="S3" s="520"/>
      <c r="T3" s="547" t="s">
        <v>405</v>
      </c>
      <c r="U3" s="548"/>
      <c r="V3" s="549"/>
      <c r="W3" s="520" t="s">
        <v>406</v>
      </c>
      <c r="X3" s="520"/>
      <c r="Y3" s="520"/>
      <c r="Z3" s="547" t="s">
        <v>407</v>
      </c>
      <c r="AA3" s="548"/>
      <c r="AB3" s="549"/>
      <c r="AC3" s="520" t="s">
        <v>408</v>
      </c>
      <c r="AD3" s="520"/>
      <c r="AE3" s="520"/>
      <c r="AF3" s="547" t="s">
        <v>409</v>
      </c>
      <c r="AG3" s="548"/>
      <c r="AH3" s="549"/>
      <c r="AI3" s="520" t="s">
        <v>410</v>
      </c>
      <c r="AJ3" s="520"/>
      <c r="AK3" s="520"/>
      <c r="AL3" s="547" t="s">
        <v>411</v>
      </c>
      <c r="AM3" s="548"/>
      <c r="AN3" s="549"/>
      <c r="AO3" s="521" t="s">
        <v>350</v>
      </c>
      <c r="AP3" s="521"/>
      <c r="AQ3" s="521"/>
      <c r="AR3" s="520" t="s">
        <v>412</v>
      </c>
      <c r="AS3" s="520"/>
      <c r="AT3" s="520"/>
      <c r="AU3" s="520" t="s">
        <v>413</v>
      </c>
      <c r="AV3" s="520"/>
      <c r="AW3" s="520"/>
      <c r="AX3" s="520" t="s">
        <v>414</v>
      </c>
      <c r="AY3" s="520"/>
      <c r="AZ3" s="520"/>
      <c r="BA3" s="520" t="s">
        <v>415</v>
      </c>
      <c r="BB3" s="520"/>
      <c r="BC3" s="520"/>
      <c r="BD3" s="520" t="s">
        <v>416</v>
      </c>
      <c r="BE3" s="520"/>
      <c r="BF3" s="520"/>
      <c r="BG3" s="520" t="s">
        <v>417</v>
      </c>
      <c r="BH3" s="520"/>
      <c r="BI3" s="520"/>
      <c r="BJ3" s="520" t="s">
        <v>418</v>
      </c>
      <c r="BK3" s="520"/>
      <c r="BL3" s="520"/>
      <c r="BM3" s="520" t="s">
        <v>419</v>
      </c>
      <c r="BN3" s="520"/>
      <c r="BO3" s="520"/>
      <c r="BP3" s="520" t="s">
        <v>420</v>
      </c>
      <c r="BQ3" s="520"/>
      <c r="BR3" s="520"/>
      <c r="BS3" s="520" t="s">
        <v>421</v>
      </c>
      <c r="BT3" s="520"/>
      <c r="BU3" s="520"/>
      <c r="BV3" s="521" t="s">
        <v>351</v>
      </c>
      <c r="BW3" s="521"/>
      <c r="BX3" s="521"/>
      <c r="BY3" s="520" t="s">
        <v>422</v>
      </c>
      <c r="BZ3" s="520"/>
      <c r="CA3" s="520"/>
      <c r="CB3" s="520" t="s">
        <v>423</v>
      </c>
      <c r="CC3" s="520"/>
      <c r="CD3" s="520"/>
      <c r="CE3" s="520" t="s">
        <v>424</v>
      </c>
      <c r="CF3" s="520"/>
      <c r="CG3" s="520"/>
      <c r="CH3" s="520" t="s">
        <v>425</v>
      </c>
      <c r="CI3" s="520"/>
      <c r="CJ3" s="520"/>
      <c r="CK3" s="520" t="s">
        <v>426</v>
      </c>
      <c r="CL3" s="520"/>
      <c r="CM3" s="520"/>
      <c r="CN3" s="520" t="s">
        <v>427</v>
      </c>
      <c r="CO3" s="520"/>
      <c r="CP3" s="520"/>
      <c r="CQ3" s="520" t="s">
        <v>428</v>
      </c>
      <c r="CR3" s="520"/>
      <c r="CS3" s="520"/>
      <c r="CT3" s="520" t="s">
        <v>429</v>
      </c>
      <c r="CU3" s="520"/>
      <c r="CV3" s="520"/>
      <c r="CW3" s="520" t="s">
        <v>430</v>
      </c>
      <c r="CX3" s="520"/>
      <c r="CY3" s="520"/>
      <c r="CZ3" s="520" t="s">
        <v>431</v>
      </c>
      <c r="DA3" s="520"/>
      <c r="DB3" s="520"/>
      <c r="DC3" s="520" t="s">
        <v>432</v>
      </c>
      <c r="DD3" s="520"/>
      <c r="DE3" s="520"/>
      <c r="DF3" s="520" t="s">
        <v>111</v>
      </c>
      <c r="DG3" s="520"/>
      <c r="DH3" s="520"/>
    </row>
    <row r="4" spans="1:112" ht="30" hidden="1" customHeight="1" x14ac:dyDescent="0.25">
      <c r="A4" s="276"/>
      <c r="B4" s="193"/>
      <c r="C4" s="24"/>
      <c r="D4" s="529"/>
      <c r="E4" s="530"/>
      <c r="F4" s="536"/>
      <c r="G4" s="534"/>
      <c r="H4" s="535"/>
      <c r="I4" s="531"/>
      <c r="J4" s="538"/>
      <c r="K4" s="10" t="s">
        <v>109</v>
      </c>
      <c r="L4" s="11" t="s">
        <v>108</v>
      </c>
      <c r="M4" s="11" t="s">
        <v>348</v>
      </c>
      <c r="N4" s="10" t="s">
        <v>109</v>
      </c>
      <c r="O4" s="11" t="s">
        <v>108</v>
      </c>
      <c r="P4" s="11" t="s">
        <v>348</v>
      </c>
      <c r="Q4" s="10" t="s">
        <v>109</v>
      </c>
      <c r="R4" s="11" t="s">
        <v>108</v>
      </c>
      <c r="S4" s="11" t="s">
        <v>348</v>
      </c>
      <c r="T4" s="10" t="s">
        <v>109</v>
      </c>
      <c r="U4" s="11" t="s">
        <v>108</v>
      </c>
      <c r="V4" s="11" t="s">
        <v>348</v>
      </c>
      <c r="W4" s="10" t="s">
        <v>109</v>
      </c>
      <c r="X4" s="11" t="s">
        <v>108</v>
      </c>
      <c r="Y4" s="11" t="s">
        <v>348</v>
      </c>
      <c r="Z4" s="10" t="s">
        <v>109</v>
      </c>
      <c r="AA4" s="11" t="s">
        <v>108</v>
      </c>
      <c r="AB4" s="11" t="s">
        <v>348</v>
      </c>
      <c r="AC4" s="10" t="s">
        <v>109</v>
      </c>
      <c r="AD4" s="11" t="s">
        <v>108</v>
      </c>
      <c r="AE4" s="11" t="s">
        <v>348</v>
      </c>
      <c r="AF4" s="10" t="s">
        <v>109</v>
      </c>
      <c r="AG4" s="11" t="s">
        <v>108</v>
      </c>
      <c r="AH4" s="11" t="s">
        <v>348</v>
      </c>
      <c r="AI4" s="10" t="s">
        <v>109</v>
      </c>
      <c r="AJ4" s="11" t="s">
        <v>108</v>
      </c>
      <c r="AK4" s="11" t="s">
        <v>348</v>
      </c>
      <c r="AL4" s="10" t="s">
        <v>109</v>
      </c>
      <c r="AM4" s="11" t="s">
        <v>108</v>
      </c>
      <c r="AN4" s="11" t="s">
        <v>348</v>
      </c>
      <c r="AO4" s="10" t="s">
        <v>109</v>
      </c>
      <c r="AP4" s="11" t="s">
        <v>108</v>
      </c>
      <c r="AQ4" s="11" t="s">
        <v>348</v>
      </c>
      <c r="AR4" s="10" t="s">
        <v>109</v>
      </c>
      <c r="AS4" s="11" t="s">
        <v>108</v>
      </c>
      <c r="AT4" s="11" t="s">
        <v>348</v>
      </c>
      <c r="AU4" s="10" t="s">
        <v>109</v>
      </c>
      <c r="AV4" s="11" t="s">
        <v>108</v>
      </c>
      <c r="AW4" s="11" t="s">
        <v>348</v>
      </c>
      <c r="AX4" s="10" t="s">
        <v>109</v>
      </c>
      <c r="AY4" s="11" t="s">
        <v>108</v>
      </c>
      <c r="AZ4" s="11" t="s">
        <v>348</v>
      </c>
      <c r="BA4" s="10" t="s">
        <v>109</v>
      </c>
      <c r="BB4" s="11" t="s">
        <v>108</v>
      </c>
      <c r="BC4" s="11" t="s">
        <v>348</v>
      </c>
      <c r="BD4" s="10" t="s">
        <v>109</v>
      </c>
      <c r="BE4" s="11" t="s">
        <v>108</v>
      </c>
      <c r="BF4" s="11" t="s">
        <v>348</v>
      </c>
      <c r="BG4" s="10" t="s">
        <v>109</v>
      </c>
      <c r="BH4" s="11" t="s">
        <v>108</v>
      </c>
      <c r="BI4" s="11" t="s">
        <v>348</v>
      </c>
      <c r="BJ4" s="10" t="s">
        <v>109</v>
      </c>
      <c r="BK4" s="11" t="s">
        <v>108</v>
      </c>
      <c r="BL4" s="11" t="s">
        <v>348</v>
      </c>
      <c r="BM4" s="10" t="s">
        <v>109</v>
      </c>
      <c r="BN4" s="11" t="s">
        <v>108</v>
      </c>
      <c r="BO4" s="11" t="s">
        <v>348</v>
      </c>
      <c r="BP4" s="10" t="s">
        <v>109</v>
      </c>
      <c r="BQ4" s="11" t="s">
        <v>108</v>
      </c>
      <c r="BR4" s="11" t="s">
        <v>348</v>
      </c>
      <c r="BS4" s="10" t="s">
        <v>109</v>
      </c>
      <c r="BT4" s="11" t="s">
        <v>108</v>
      </c>
      <c r="BU4" s="11" t="s">
        <v>348</v>
      </c>
      <c r="BV4" s="10" t="s">
        <v>109</v>
      </c>
      <c r="BW4" s="11" t="s">
        <v>108</v>
      </c>
      <c r="BX4" s="11" t="s">
        <v>348</v>
      </c>
      <c r="BY4" s="10" t="s">
        <v>109</v>
      </c>
      <c r="BZ4" s="11" t="s">
        <v>108</v>
      </c>
      <c r="CA4" s="11" t="s">
        <v>348</v>
      </c>
      <c r="CB4" s="10" t="s">
        <v>109</v>
      </c>
      <c r="CC4" s="11" t="s">
        <v>108</v>
      </c>
      <c r="CD4" s="11" t="s">
        <v>348</v>
      </c>
      <c r="CE4" s="10" t="s">
        <v>109</v>
      </c>
      <c r="CF4" s="11" t="s">
        <v>108</v>
      </c>
      <c r="CG4" s="11" t="s">
        <v>348</v>
      </c>
      <c r="CH4" s="10" t="s">
        <v>109</v>
      </c>
      <c r="CI4" s="11" t="s">
        <v>108</v>
      </c>
      <c r="CJ4" s="11" t="s">
        <v>348</v>
      </c>
      <c r="CK4" s="10" t="s">
        <v>109</v>
      </c>
      <c r="CL4" s="11" t="s">
        <v>108</v>
      </c>
      <c r="CM4" s="11" t="s">
        <v>348</v>
      </c>
      <c r="CN4" s="10" t="s">
        <v>109</v>
      </c>
      <c r="CO4" s="11" t="s">
        <v>108</v>
      </c>
      <c r="CP4" s="11" t="s">
        <v>348</v>
      </c>
      <c r="CQ4" s="10" t="s">
        <v>109</v>
      </c>
      <c r="CR4" s="11" t="s">
        <v>108</v>
      </c>
      <c r="CS4" s="11" t="s">
        <v>348</v>
      </c>
      <c r="CT4" s="10" t="s">
        <v>109</v>
      </c>
      <c r="CU4" s="11" t="s">
        <v>108</v>
      </c>
      <c r="CV4" s="11" t="s">
        <v>348</v>
      </c>
      <c r="CW4" s="10" t="s">
        <v>109</v>
      </c>
      <c r="CX4" s="11" t="s">
        <v>108</v>
      </c>
      <c r="CY4" s="11" t="s">
        <v>348</v>
      </c>
      <c r="CZ4" s="10" t="s">
        <v>109</v>
      </c>
      <c r="DA4" s="11" t="s">
        <v>108</v>
      </c>
      <c r="DB4" s="11" t="s">
        <v>348</v>
      </c>
      <c r="DC4" s="10" t="s">
        <v>109</v>
      </c>
      <c r="DD4" s="11" t="s">
        <v>108</v>
      </c>
      <c r="DE4" s="11" t="s">
        <v>348</v>
      </c>
      <c r="DF4" s="10" t="s">
        <v>109</v>
      </c>
      <c r="DG4" s="11" t="s">
        <v>108</v>
      </c>
      <c r="DH4" s="11" t="s">
        <v>348</v>
      </c>
    </row>
    <row r="5" spans="1:112" ht="30" hidden="1" customHeight="1" x14ac:dyDescent="0.25">
      <c r="A5" s="4">
        <v>1</v>
      </c>
      <c r="B5" s="194" t="s">
        <v>81</v>
      </c>
      <c r="C5" s="7" t="s">
        <v>80</v>
      </c>
      <c r="D5" s="7" t="s">
        <v>28</v>
      </c>
      <c r="E5" s="169" t="s">
        <v>317</v>
      </c>
      <c r="F5" s="8" t="s">
        <v>5</v>
      </c>
      <c r="G5" s="25" t="s">
        <v>27</v>
      </c>
      <c r="H5" s="7" t="s">
        <v>26</v>
      </c>
      <c r="I5" s="7" t="s">
        <v>25</v>
      </c>
      <c r="J5" s="3" t="s">
        <v>1</v>
      </c>
      <c r="K5" s="6"/>
      <c r="L5" s="6"/>
      <c r="M5" s="6"/>
      <c r="N5" s="6">
        <v>305</v>
      </c>
      <c r="O5" s="6">
        <v>4070</v>
      </c>
      <c r="P5" s="6">
        <v>3036.8</v>
      </c>
      <c r="Q5" s="6"/>
      <c r="R5" s="6"/>
      <c r="S5" s="6"/>
      <c r="T5" s="6"/>
      <c r="U5" s="6"/>
      <c r="V5" s="6"/>
      <c r="W5" s="6">
        <v>390</v>
      </c>
      <c r="X5" s="6">
        <v>5160</v>
      </c>
      <c r="Y5" s="6">
        <v>3950.4</v>
      </c>
      <c r="Z5" s="6">
        <v>300</v>
      </c>
      <c r="AA5" s="6">
        <v>4000</v>
      </c>
      <c r="AB5" s="6">
        <v>2992</v>
      </c>
      <c r="AC5" s="6"/>
      <c r="AD5" s="6"/>
      <c r="AE5" s="6"/>
      <c r="AF5" s="6">
        <v>300</v>
      </c>
      <c r="AG5" s="6">
        <v>3800</v>
      </c>
      <c r="AH5" s="6">
        <v>3296</v>
      </c>
      <c r="AI5" s="6">
        <v>200</v>
      </c>
      <c r="AJ5" s="6">
        <v>2800</v>
      </c>
      <c r="AK5" s="6">
        <v>1792</v>
      </c>
      <c r="AL5" s="6">
        <v>100</v>
      </c>
      <c r="AM5" s="6">
        <v>1200</v>
      </c>
      <c r="AN5" s="6">
        <v>1200</v>
      </c>
      <c r="AO5" s="173">
        <f>+K5+N5+Q5+T5+W5+Z5+AC5+AF5+AI5+AL5</f>
        <v>1595</v>
      </c>
      <c r="AP5" s="173">
        <f t="shared" ref="AP5:AP16" si="0">+L5+O5+R5+U5+X5+AA5+AD5+AG5+AJ5+AM5</f>
        <v>21030</v>
      </c>
      <c r="AQ5" s="173">
        <f t="shared" ref="AQ5:AQ16" si="1">+M5+P5+S5+V5+Y5+AB5+AE5+AH5+AK5+AN5</f>
        <v>16267.2</v>
      </c>
      <c r="AR5" s="6"/>
      <c r="AS5" s="6"/>
      <c r="AT5" s="6"/>
      <c r="AU5" s="6">
        <v>500</v>
      </c>
      <c r="AV5" s="6">
        <v>6600</v>
      </c>
      <c r="AW5" s="6">
        <v>5088</v>
      </c>
      <c r="AX5" s="6">
        <v>300</v>
      </c>
      <c r="AY5" s="6">
        <v>3900</v>
      </c>
      <c r="AZ5" s="6">
        <v>3144</v>
      </c>
      <c r="BA5" s="6">
        <v>300</v>
      </c>
      <c r="BB5" s="6">
        <v>4000</v>
      </c>
      <c r="BC5" s="6">
        <v>2992</v>
      </c>
      <c r="BD5" s="6">
        <v>200</v>
      </c>
      <c r="BE5" s="6">
        <v>2500</v>
      </c>
      <c r="BF5" s="6">
        <v>2248</v>
      </c>
      <c r="BG5" s="6">
        <v>200</v>
      </c>
      <c r="BH5" s="6">
        <v>2800</v>
      </c>
      <c r="BI5" s="6">
        <v>1792</v>
      </c>
      <c r="BJ5" s="6">
        <v>230</v>
      </c>
      <c r="BK5" s="6">
        <v>2960</v>
      </c>
      <c r="BL5" s="6">
        <v>2456</v>
      </c>
      <c r="BM5" s="6"/>
      <c r="BN5" s="6"/>
      <c r="BO5" s="6"/>
      <c r="BP5" s="6">
        <v>430</v>
      </c>
      <c r="BQ5" s="6">
        <v>5620</v>
      </c>
      <c r="BR5" s="6">
        <v>4460.8</v>
      </c>
      <c r="BS5" s="6">
        <v>270</v>
      </c>
      <c r="BT5" s="6">
        <v>3580</v>
      </c>
      <c r="BU5" s="6">
        <v>2723.2</v>
      </c>
      <c r="BV5" s="173">
        <f>+AR5+AU5+AX5+BA5+BD5+BG5+BJ5+BM5+BP5+BS5+AO5</f>
        <v>4025</v>
      </c>
      <c r="BW5" s="173">
        <f t="shared" ref="BW5:BW16" si="2">+AS5+AV5+AY5+BB5+BE5+BH5+BK5+BN5+BQ5+BT5+AP5</f>
        <v>52990</v>
      </c>
      <c r="BX5" s="173">
        <f t="shared" ref="BX5:BX16" si="3">+AT5+AW5+AZ5+BC5+BF5+BI5+BL5+BO5+BR5+BU5+AQ5</f>
        <v>41171.199999999997</v>
      </c>
      <c r="BY5" s="6">
        <v>450</v>
      </c>
      <c r="BZ5" s="6">
        <v>5800</v>
      </c>
      <c r="CA5" s="6">
        <v>4792</v>
      </c>
      <c r="CB5" s="6">
        <v>300</v>
      </c>
      <c r="CC5" s="6">
        <v>4000</v>
      </c>
      <c r="CD5" s="6">
        <v>2992</v>
      </c>
      <c r="CE5" s="6">
        <v>155</v>
      </c>
      <c r="CF5" s="6">
        <v>1960</v>
      </c>
      <c r="CG5" s="6">
        <v>1708</v>
      </c>
      <c r="CH5" s="6">
        <v>250</v>
      </c>
      <c r="CI5" s="6">
        <v>3200</v>
      </c>
      <c r="CJ5" s="6">
        <v>2696</v>
      </c>
      <c r="CK5" s="6"/>
      <c r="CL5" s="6"/>
      <c r="CM5" s="6"/>
      <c r="CN5" s="6">
        <v>310</v>
      </c>
      <c r="CO5" s="6">
        <v>4020</v>
      </c>
      <c r="CP5" s="6">
        <v>3264</v>
      </c>
      <c r="CQ5" s="6">
        <v>170</v>
      </c>
      <c r="CR5" s="6">
        <v>2140</v>
      </c>
      <c r="CS5" s="6">
        <v>1888</v>
      </c>
      <c r="CT5" s="6"/>
      <c r="CU5" s="6"/>
      <c r="CV5" s="6"/>
      <c r="CW5" s="6">
        <v>180</v>
      </c>
      <c r="CX5" s="6">
        <v>2320</v>
      </c>
      <c r="CY5" s="6">
        <v>1916.8000000000002</v>
      </c>
      <c r="CZ5" s="6">
        <v>250</v>
      </c>
      <c r="DA5" s="6">
        <v>3300</v>
      </c>
      <c r="DB5" s="6">
        <v>2544</v>
      </c>
      <c r="DC5" s="6">
        <v>410</v>
      </c>
      <c r="DD5" s="6">
        <v>5420</v>
      </c>
      <c r="DE5" s="6">
        <v>4160</v>
      </c>
      <c r="DF5" s="173">
        <f>BV5+CB5+CE5+CH5+CK5+CN5+CQ5+CT5+CW5+CZ5+DC5+BY5</f>
        <v>6500</v>
      </c>
      <c r="DG5" s="173">
        <f>BW5+CC5+CF5+CI5+CL5+CO5+CR5+CU5+CX5+DA5+DD5+BZ5</f>
        <v>85150</v>
      </c>
      <c r="DH5" s="173">
        <f t="shared" ref="DH5:DH16" si="4">BX5+CD5+CG5+CJ5+CM5+CP5+CS5+CV5+CY5+DB5+DE5+CA5</f>
        <v>67132</v>
      </c>
    </row>
    <row r="6" spans="1:112" ht="30" hidden="1" customHeight="1" x14ac:dyDescent="0.25">
      <c r="A6" s="4">
        <v>2</v>
      </c>
      <c r="B6" s="194" t="s">
        <v>84</v>
      </c>
      <c r="C6" s="7" t="s">
        <v>324</v>
      </c>
      <c r="D6" s="7" t="s">
        <v>28</v>
      </c>
      <c r="E6" s="169" t="s">
        <v>321</v>
      </c>
      <c r="F6" s="8" t="s">
        <v>5</v>
      </c>
      <c r="G6" s="25" t="s">
        <v>27</v>
      </c>
      <c r="H6" s="7" t="s">
        <v>26</v>
      </c>
      <c r="I6" s="7" t="s">
        <v>25</v>
      </c>
      <c r="J6" s="3" t="s">
        <v>1</v>
      </c>
      <c r="K6" s="6"/>
      <c r="L6" s="6"/>
      <c r="M6" s="6"/>
      <c r="N6" s="6"/>
      <c r="O6" s="6"/>
      <c r="P6" s="6"/>
      <c r="Q6" s="187"/>
      <c r="R6" s="187"/>
      <c r="S6" s="187"/>
      <c r="T6" s="187"/>
      <c r="U6" s="187"/>
      <c r="V6" s="187"/>
      <c r="W6" s="6">
        <v>100</v>
      </c>
      <c r="X6" s="6">
        <v>1200</v>
      </c>
      <c r="Y6" s="6">
        <v>1200</v>
      </c>
      <c r="Z6" s="6"/>
      <c r="AA6" s="6"/>
      <c r="AB6" s="6"/>
      <c r="AC6" s="6"/>
      <c r="AD6" s="6"/>
      <c r="AE6" s="6"/>
      <c r="AF6" s="6"/>
      <c r="AG6" s="6"/>
      <c r="AH6" s="6"/>
      <c r="AI6" s="6">
        <v>400</v>
      </c>
      <c r="AJ6" s="6">
        <v>5200</v>
      </c>
      <c r="AK6" s="6">
        <v>4192</v>
      </c>
      <c r="AL6" s="6"/>
      <c r="AM6" s="6"/>
      <c r="AN6" s="6"/>
      <c r="AO6" s="173">
        <f t="shared" ref="AO6:AO16" si="5">+K6+N6+Q6+T6+W6+Z6+AC6+AF6+AI6+AL6</f>
        <v>500</v>
      </c>
      <c r="AP6" s="173">
        <f t="shared" si="0"/>
        <v>6400</v>
      </c>
      <c r="AQ6" s="173">
        <f t="shared" si="1"/>
        <v>5392</v>
      </c>
      <c r="AR6" s="6"/>
      <c r="AS6" s="6"/>
      <c r="AT6" s="6"/>
      <c r="AU6" s="6">
        <v>400</v>
      </c>
      <c r="AV6" s="6">
        <v>5400</v>
      </c>
      <c r="AW6" s="6">
        <v>3888</v>
      </c>
      <c r="AX6" s="6"/>
      <c r="AY6" s="6"/>
      <c r="AZ6" s="6"/>
      <c r="BA6" s="6"/>
      <c r="BB6" s="6"/>
      <c r="BC6" s="6"/>
      <c r="BD6" s="6">
        <v>100</v>
      </c>
      <c r="BE6" s="6">
        <v>1200</v>
      </c>
      <c r="BF6" s="6">
        <v>1200</v>
      </c>
      <c r="BG6" s="6"/>
      <c r="BH6" s="6"/>
      <c r="BI6" s="6"/>
      <c r="BJ6" s="6">
        <v>600</v>
      </c>
      <c r="BK6" s="6">
        <v>8200</v>
      </c>
      <c r="BL6" s="6">
        <v>5680</v>
      </c>
      <c r="BM6" s="6"/>
      <c r="BN6" s="6"/>
      <c r="BO6" s="6"/>
      <c r="BP6" s="6"/>
      <c r="BQ6" s="6"/>
      <c r="BR6" s="6"/>
      <c r="BS6" s="6"/>
      <c r="BT6" s="6"/>
      <c r="BU6" s="6"/>
      <c r="BV6" s="173">
        <f t="shared" ref="BV6:BV16" si="6">+AR6+AU6+AX6+BA6+BD6+BG6+BJ6+BM6+BP6+BS6+AO6</f>
        <v>1600</v>
      </c>
      <c r="BW6" s="173">
        <f t="shared" si="2"/>
        <v>21200</v>
      </c>
      <c r="BX6" s="173">
        <f t="shared" si="3"/>
        <v>16160</v>
      </c>
      <c r="BY6" s="6"/>
      <c r="BZ6" s="6"/>
      <c r="CA6" s="6"/>
      <c r="CB6" s="6">
        <v>200</v>
      </c>
      <c r="CC6" s="6">
        <v>2400</v>
      </c>
      <c r="CD6" s="6">
        <v>2400</v>
      </c>
      <c r="CE6" s="6"/>
      <c r="CF6" s="6"/>
      <c r="CG6" s="6"/>
      <c r="CH6" s="6">
        <v>200</v>
      </c>
      <c r="CI6" s="6">
        <v>2800</v>
      </c>
      <c r="CJ6" s="6">
        <v>1792</v>
      </c>
      <c r="CK6" s="6"/>
      <c r="CL6" s="6"/>
      <c r="CM6" s="6"/>
      <c r="CN6" s="6"/>
      <c r="CO6" s="6"/>
      <c r="CP6" s="6"/>
      <c r="CQ6" s="6"/>
      <c r="CR6" s="6"/>
      <c r="CS6" s="6"/>
      <c r="CT6" s="6">
        <v>100</v>
      </c>
      <c r="CU6" s="6">
        <v>1200</v>
      </c>
      <c r="CV6" s="6">
        <v>1200</v>
      </c>
      <c r="CW6" s="6">
        <v>300</v>
      </c>
      <c r="CX6" s="6">
        <v>4200</v>
      </c>
      <c r="CY6" s="6">
        <v>2688</v>
      </c>
      <c r="CZ6" s="6"/>
      <c r="DA6" s="6"/>
      <c r="DB6" s="6"/>
      <c r="DC6" s="6">
        <v>700</v>
      </c>
      <c r="DD6" s="6">
        <v>9400</v>
      </c>
      <c r="DE6" s="6">
        <v>6880</v>
      </c>
      <c r="DF6" s="173">
        <f t="shared" ref="DF6:DF16" si="7">BV6+CB6+CE6+CH6+CK6+CN6+CQ6+CT6+CW6+CZ6+DC6+BY6</f>
        <v>3100</v>
      </c>
      <c r="DG6" s="173">
        <f t="shared" ref="DG6:DG16" si="8">BW6+CC6+CF6+CI6+CL6+CO6+CR6+CU6+CX6+DA6+DD6+BZ6</f>
        <v>41200</v>
      </c>
      <c r="DH6" s="173">
        <f t="shared" si="4"/>
        <v>31120</v>
      </c>
    </row>
    <row r="7" spans="1:112" ht="31.5" hidden="1" customHeight="1" x14ac:dyDescent="0.25">
      <c r="A7" s="4">
        <v>3</v>
      </c>
      <c r="B7" s="194" t="s">
        <v>54</v>
      </c>
      <c r="C7" s="7" t="s">
        <v>53</v>
      </c>
      <c r="D7" s="7" t="s">
        <v>41</v>
      </c>
      <c r="E7" s="169" t="s">
        <v>319</v>
      </c>
      <c r="F7" s="8" t="s">
        <v>5</v>
      </c>
      <c r="G7" s="25" t="s">
        <v>40</v>
      </c>
      <c r="H7" s="25" t="s">
        <v>39</v>
      </c>
      <c r="I7" s="7" t="s">
        <v>38</v>
      </c>
      <c r="J7" s="3" t="s">
        <v>1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>
        <v>300</v>
      </c>
      <c r="AD7" s="6">
        <v>3800</v>
      </c>
      <c r="AE7" s="6">
        <v>3296</v>
      </c>
      <c r="AF7" s="6"/>
      <c r="AG7" s="6"/>
      <c r="AH7" s="6"/>
      <c r="AI7" s="6"/>
      <c r="AJ7" s="6"/>
      <c r="AK7" s="6"/>
      <c r="AL7" s="6"/>
      <c r="AM7" s="6"/>
      <c r="AN7" s="6"/>
      <c r="AO7" s="173">
        <f t="shared" si="5"/>
        <v>300</v>
      </c>
      <c r="AP7" s="173">
        <f t="shared" si="0"/>
        <v>3800</v>
      </c>
      <c r="AQ7" s="173">
        <f t="shared" si="1"/>
        <v>3296</v>
      </c>
      <c r="AR7" s="6"/>
      <c r="AS7" s="6"/>
      <c r="AT7" s="6"/>
      <c r="AU7" s="6"/>
      <c r="AV7" s="6"/>
      <c r="AW7" s="6"/>
      <c r="AX7" s="6">
        <v>200</v>
      </c>
      <c r="AY7" s="6">
        <v>2600</v>
      </c>
      <c r="AZ7" s="6">
        <v>2096</v>
      </c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173">
        <f t="shared" si="6"/>
        <v>500</v>
      </c>
      <c r="BW7" s="173">
        <f t="shared" si="2"/>
        <v>6400</v>
      </c>
      <c r="BX7" s="173">
        <f t="shared" si="3"/>
        <v>5392</v>
      </c>
      <c r="BY7" s="6"/>
      <c r="BZ7" s="6"/>
      <c r="CA7" s="6"/>
      <c r="CB7" s="6"/>
      <c r="CC7" s="6"/>
      <c r="CD7" s="6"/>
      <c r="CE7" s="6">
        <v>500</v>
      </c>
      <c r="CF7" s="6">
        <v>6600</v>
      </c>
      <c r="CG7" s="6">
        <v>5088</v>
      </c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173">
        <f t="shared" si="7"/>
        <v>1000</v>
      </c>
      <c r="DG7" s="173">
        <f t="shared" si="8"/>
        <v>13000</v>
      </c>
      <c r="DH7" s="173">
        <f t="shared" si="4"/>
        <v>10480</v>
      </c>
    </row>
    <row r="8" spans="1:112" ht="30" hidden="1" customHeight="1" x14ac:dyDescent="0.25">
      <c r="A8" s="4">
        <v>4</v>
      </c>
      <c r="B8" s="194" t="s">
        <v>60</v>
      </c>
      <c r="C8" s="7" t="s">
        <v>59</v>
      </c>
      <c r="D8" s="7" t="s">
        <v>41</v>
      </c>
      <c r="E8" s="169" t="s">
        <v>319</v>
      </c>
      <c r="F8" s="8" t="s">
        <v>5</v>
      </c>
      <c r="G8" s="25" t="s">
        <v>40</v>
      </c>
      <c r="H8" s="25" t="s">
        <v>39</v>
      </c>
      <c r="I8" s="7" t="s">
        <v>38</v>
      </c>
      <c r="J8" s="3" t="s">
        <v>1</v>
      </c>
      <c r="K8" s="9"/>
      <c r="L8" s="9"/>
      <c r="M8" s="6"/>
      <c r="N8" s="6"/>
      <c r="O8" s="6"/>
      <c r="P8" s="6"/>
      <c r="Q8" s="6"/>
      <c r="R8" s="6"/>
      <c r="S8" s="6"/>
      <c r="T8" s="6"/>
      <c r="U8" s="6"/>
      <c r="V8" s="6"/>
      <c r="W8" s="6">
        <v>40</v>
      </c>
      <c r="X8" s="6">
        <v>560</v>
      </c>
      <c r="Y8" s="6">
        <v>358.40000000000003</v>
      </c>
      <c r="Z8" s="6">
        <v>60</v>
      </c>
      <c r="AA8" s="6">
        <v>800</v>
      </c>
      <c r="AB8" s="6">
        <v>598.40000000000009</v>
      </c>
      <c r="AC8" s="6"/>
      <c r="AD8" s="6"/>
      <c r="AE8" s="6"/>
      <c r="AF8" s="6">
        <v>20</v>
      </c>
      <c r="AG8" s="6">
        <v>280</v>
      </c>
      <c r="AH8" s="6">
        <v>179.20000000000002</v>
      </c>
      <c r="AI8" s="6"/>
      <c r="AJ8" s="6"/>
      <c r="AK8" s="6"/>
      <c r="AL8" s="6"/>
      <c r="AM8" s="6"/>
      <c r="AN8" s="6"/>
      <c r="AO8" s="173">
        <f t="shared" si="5"/>
        <v>120</v>
      </c>
      <c r="AP8" s="173">
        <f t="shared" si="0"/>
        <v>1640</v>
      </c>
      <c r="AQ8" s="173">
        <f t="shared" si="1"/>
        <v>1136.0000000000002</v>
      </c>
      <c r="AR8" s="6"/>
      <c r="AS8" s="6"/>
      <c r="AT8" s="6"/>
      <c r="AU8" s="6">
        <v>50</v>
      </c>
      <c r="AV8" s="6">
        <v>640</v>
      </c>
      <c r="AW8" s="6">
        <v>539.20000000000005</v>
      </c>
      <c r="AX8" s="6"/>
      <c r="AY8" s="6"/>
      <c r="AZ8" s="6"/>
      <c r="BA8" s="6"/>
      <c r="BB8" s="6"/>
      <c r="BC8" s="6"/>
      <c r="BD8" s="6"/>
      <c r="BE8" s="6"/>
      <c r="BF8" s="6"/>
      <c r="BG8" s="6">
        <v>85</v>
      </c>
      <c r="BH8" s="6">
        <v>1130</v>
      </c>
      <c r="BI8" s="6">
        <v>852.80000000000007</v>
      </c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173">
        <f t="shared" si="6"/>
        <v>255</v>
      </c>
      <c r="BW8" s="173">
        <f t="shared" si="2"/>
        <v>3410</v>
      </c>
      <c r="BX8" s="173">
        <f t="shared" si="3"/>
        <v>2528</v>
      </c>
      <c r="BY8" s="6"/>
      <c r="BZ8" s="6"/>
      <c r="CA8" s="6"/>
      <c r="CB8" s="6"/>
      <c r="CC8" s="6"/>
      <c r="CD8" s="6"/>
      <c r="CE8" s="6"/>
      <c r="CF8" s="6"/>
      <c r="CG8" s="6"/>
      <c r="CH8" s="6">
        <v>50</v>
      </c>
      <c r="CI8" s="6">
        <v>600</v>
      </c>
      <c r="CJ8" s="6">
        <v>600</v>
      </c>
      <c r="CK8" s="6"/>
      <c r="CL8" s="6"/>
      <c r="CM8" s="6"/>
      <c r="CN8" s="6">
        <v>30</v>
      </c>
      <c r="CO8" s="6">
        <v>420</v>
      </c>
      <c r="CP8" s="6">
        <v>268.8</v>
      </c>
      <c r="CQ8" s="6"/>
      <c r="CR8" s="6"/>
      <c r="CS8" s="6"/>
      <c r="CT8" s="6"/>
      <c r="CU8" s="6"/>
      <c r="CV8" s="6"/>
      <c r="CW8" s="6"/>
      <c r="CX8" s="6"/>
      <c r="CY8" s="6"/>
      <c r="CZ8" s="6">
        <v>70</v>
      </c>
      <c r="DA8" s="6">
        <v>880</v>
      </c>
      <c r="DB8" s="6">
        <v>779.2</v>
      </c>
      <c r="DC8" s="6"/>
      <c r="DD8" s="6"/>
      <c r="DE8" s="6"/>
      <c r="DF8" s="173">
        <f t="shared" si="7"/>
        <v>405</v>
      </c>
      <c r="DG8" s="173">
        <f t="shared" si="8"/>
        <v>5310</v>
      </c>
      <c r="DH8" s="173">
        <f t="shared" si="4"/>
        <v>4176</v>
      </c>
    </row>
    <row r="9" spans="1:112" ht="30" hidden="1" customHeight="1" x14ac:dyDescent="0.25">
      <c r="A9" s="4">
        <v>5</v>
      </c>
      <c r="B9" s="194" t="s">
        <v>77</v>
      </c>
      <c r="C9" s="7" t="s">
        <v>76</v>
      </c>
      <c r="D9" s="7" t="s">
        <v>28</v>
      </c>
      <c r="E9" s="169" t="s">
        <v>317</v>
      </c>
      <c r="F9" s="8" t="s">
        <v>5</v>
      </c>
      <c r="G9" s="25" t="s">
        <v>27</v>
      </c>
      <c r="H9" s="7" t="s">
        <v>26</v>
      </c>
      <c r="I9" s="7" t="s">
        <v>25</v>
      </c>
      <c r="J9" s="3" t="s">
        <v>1</v>
      </c>
      <c r="K9" s="9"/>
      <c r="L9" s="9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173">
        <f t="shared" si="5"/>
        <v>0</v>
      </c>
      <c r="AP9" s="173">
        <f t="shared" si="0"/>
        <v>0</v>
      </c>
      <c r="AQ9" s="173">
        <f t="shared" si="1"/>
        <v>0</v>
      </c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173">
        <f t="shared" si="6"/>
        <v>0</v>
      </c>
      <c r="BW9" s="173">
        <f t="shared" si="2"/>
        <v>0</v>
      </c>
      <c r="BX9" s="173">
        <f t="shared" si="3"/>
        <v>0</v>
      </c>
      <c r="BY9" s="6"/>
      <c r="BZ9" s="6"/>
      <c r="CA9" s="6"/>
      <c r="CB9" s="6">
        <v>100</v>
      </c>
      <c r="CC9" s="6">
        <v>1200</v>
      </c>
      <c r="CD9" s="6">
        <v>1200</v>
      </c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>
        <v>500</v>
      </c>
      <c r="DD9" s="6">
        <v>6200</v>
      </c>
      <c r="DE9" s="6">
        <v>5696</v>
      </c>
      <c r="DF9" s="173">
        <f t="shared" si="7"/>
        <v>600</v>
      </c>
      <c r="DG9" s="173">
        <f t="shared" si="8"/>
        <v>7400</v>
      </c>
      <c r="DH9" s="173">
        <f t="shared" si="4"/>
        <v>6896</v>
      </c>
    </row>
    <row r="10" spans="1:112" ht="30" hidden="1" customHeight="1" x14ac:dyDescent="0.25">
      <c r="A10" s="4">
        <v>6</v>
      </c>
      <c r="B10" s="194" t="s">
        <v>398</v>
      </c>
      <c r="C10" s="7" t="s">
        <v>55</v>
      </c>
      <c r="D10" s="7" t="s">
        <v>41</v>
      </c>
      <c r="E10" s="169" t="s">
        <v>319</v>
      </c>
      <c r="F10" s="8" t="s">
        <v>5</v>
      </c>
      <c r="G10" s="25" t="s">
        <v>40</v>
      </c>
      <c r="H10" s="25" t="s">
        <v>39</v>
      </c>
      <c r="I10" s="7" t="s">
        <v>38</v>
      </c>
      <c r="J10" s="3" t="s">
        <v>1</v>
      </c>
      <c r="K10" s="9"/>
      <c r="L10" s="9"/>
      <c r="M10" s="6"/>
      <c r="N10" s="6"/>
      <c r="O10" s="6"/>
      <c r="P10" s="6"/>
      <c r="Q10" s="6">
        <v>50</v>
      </c>
      <c r="R10" s="6">
        <v>1200</v>
      </c>
      <c r="S10" s="6">
        <v>768</v>
      </c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>
        <v>50</v>
      </c>
      <c r="AG10" s="6">
        <v>1000</v>
      </c>
      <c r="AH10" s="6">
        <v>640</v>
      </c>
      <c r="AI10" s="6">
        <v>2</v>
      </c>
      <c r="AJ10" s="6">
        <v>24</v>
      </c>
      <c r="AK10" s="6">
        <v>24</v>
      </c>
      <c r="AL10" s="6">
        <v>30</v>
      </c>
      <c r="AM10" s="6">
        <v>720</v>
      </c>
      <c r="AN10" s="6">
        <v>460.8</v>
      </c>
      <c r="AO10" s="173">
        <f t="shared" si="5"/>
        <v>132</v>
      </c>
      <c r="AP10" s="173">
        <f t="shared" si="0"/>
        <v>2944</v>
      </c>
      <c r="AQ10" s="173">
        <f t="shared" si="1"/>
        <v>1892.8</v>
      </c>
      <c r="AR10" s="6"/>
      <c r="AS10" s="6"/>
      <c r="AT10" s="6"/>
      <c r="AU10" s="6"/>
      <c r="AV10" s="6"/>
      <c r="AW10" s="6"/>
      <c r="AX10" s="6">
        <v>50</v>
      </c>
      <c r="AY10" s="6">
        <v>1100</v>
      </c>
      <c r="AZ10" s="6">
        <v>704</v>
      </c>
      <c r="BA10" s="6"/>
      <c r="BB10" s="6"/>
      <c r="BC10" s="6"/>
      <c r="BD10" s="6">
        <v>50</v>
      </c>
      <c r="BE10" s="6">
        <v>1200</v>
      </c>
      <c r="BF10" s="6">
        <v>768</v>
      </c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>
        <v>59</v>
      </c>
      <c r="BT10" s="6">
        <v>1416</v>
      </c>
      <c r="BU10" s="6">
        <v>906.24</v>
      </c>
      <c r="BV10" s="173">
        <f t="shared" si="6"/>
        <v>291</v>
      </c>
      <c r="BW10" s="173">
        <f t="shared" si="2"/>
        <v>6660</v>
      </c>
      <c r="BX10" s="173">
        <f t="shared" si="3"/>
        <v>4271.04</v>
      </c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>
        <v>30</v>
      </c>
      <c r="CO10" s="6">
        <v>720</v>
      </c>
      <c r="CP10" s="6">
        <v>460.8</v>
      </c>
      <c r="CQ10" s="6">
        <v>20</v>
      </c>
      <c r="CR10" s="6">
        <v>480</v>
      </c>
      <c r="CS10" s="6">
        <v>307.2</v>
      </c>
      <c r="CT10" s="6">
        <v>22</v>
      </c>
      <c r="CU10" s="6">
        <v>304</v>
      </c>
      <c r="CV10" s="6">
        <v>203.20000000000002</v>
      </c>
      <c r="CW10" s="6">
        <v>49</v>
      </c>
      <c r="CX10" s="6">
        <v>1176</v>
      </c>
      <c r="CY10" s="6">
        <v>752.64</v>
      </c>
      <c r="CZ10" s="6"/>
      <c r="DA10" s="6"/>
      <c r="DB10" s="6"/>
      <c r="DC10" s="6">
        <v>20</v>
      </c>
      <c r="DD10" s="6">
        <v>480</v>
      </c>
      <c r="DE10" s="6">
        <v>307.2</v>
      </c>
      <c r="DF10" s="173">
        <f t="shared" si="7"/>
        <v>432</v>
      </c>
      <c r="DG10" s="173">
        <f t="shared" si="8"/>
        <v>9820</v>
      </c>
      <c r="DH10" s="173">
        <f t="shared" si="4"/>
        <v>6302.08</v>
      </c>
    </row>
    <row r="11" spans="1:112" ht="29.25" hidden="1" customHeight="1" x14ac:dyDescent="0.25">
      <c r="A11" s="4">
        <v>7</v>
      </c>
      <c r="B11" s="194" t="s">
        <v>83</v>
      </c>
      <c r="C11" s="7" t="s">
        <v>82</v>
      </c>
      <c r="D11" s="7" t="s">
        <v>28</v>
      </c>
      <c r="E11" s="169" t="s">
        <v>317</v>
      </c>
      <c r="F11" s="8" t="s">
        <v>5</v>
      </c>
      <c r="G11" s="25" t="s">
        <v>27</v>
      </c>
      <c r="H11" s="7" t="s">
        <v>26</v>
      </c>
      <c r="I11" s="7" t="s">
        <v>25</v>
      </c>
      <c r="J11" s="3" t="s">
        <v>1</v>
      </c>
      <c r="K11" s="9"/>
      <c r="L11" s="9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173">
        <f t="shared" si="5"/>
        <v>0</v>
      </c>
      <c r="AP11" s="173">
        <f t="shared" si="0"/>
        <v>0</v>
      </c>
      <c r="AQ11" s="173">
        <f t="shared" si="1"/>
        <v>0</v>
      </c>
      <c r="AR11" s="6"/>
      <c r="AS11" s="6"/>
      <c r="AT11" s="6"/>
      <c r="AU11" s="6">
        <v>200</v>
      </c>
      <c r="AV11" s="6">
        <v>2800</v>
      </c>
      <c r="AW11" s="6">
        <v>1792</v>
      </c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173">
        <f t="shared" si="6"/>
        <v>200</v>
      </c>
      <c r="BW11" s="173">
        <f t="shared" si="2"/>
        <v>2800</v>
      </c>
      <c r="BX11" s="173">
        <f t="shared" si="3"/>
        <v>1792</v>
      </c>
      <c r="BY11" s="6"/>
      <c r="BZ11" s="6"/>
      <c r="CA11" s="6"/>
      <c r="CB11" s="6"/>
      <c r="CC11" s="6"/>
      <c r="CD11" s="6"/>
      <c r="CE11" s="6">
        <v>250</v>
      </c>
      <c r="CF11" s="6">
        <v>3300</v>
      </c>
      <c r="CG11" s="6">
        <v>2544</v>
      </c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173">
        <f t="shared" si="7"/>
        <v>450</v>
      </c>
      <c r="DG11" s="173">
        <f t="shared" si="8"/>
        <v>6100</v>
      </c>
      <c r="DH11" s="173">
        <f t="shared" si="4"/>
        <v>4336</v>
      </c>
    </row>
    <row r="12" spans="1:112" ht="30" hidden="1" customHeight="1" x14ac:dyDescent="0.25">
      <c r="A12" s="4">
        <v>8</v>
      </c>
      <c r="B12" s="194" t="s">
        <v>107</v>
      </c>
      <c r="C12" s="7" t="s">
        <v>106</v>
      </c>
      <c r="D12" s="7" t="s">
        <v>41</v>
      </c>
      <c r="E12" s="169" t="s">
        <v>319</v>
      </c>
      <c r="F12" s="8" t="s">
        <v>5</v>
      </c>
      <c r="G12" s="25" t="s">
        <v>40</v>
      </c>
      <c r="H12" s="25" t="s">
        <v>39</v>
      </c>
      <c r="I12" s="7" t="s">
        <v>38</v>
      </c>
      <c r="J12" s="3" t="s">
        <v>1</v>
      </c>
      <c r="K12" s="9"/>
      <c r="L12" s="9"/>
      <c r="M12" s="6"/>
      <c r="N12" s="6">
        <v>60</v>
      </c>
      <c r="O12" s="6">
        <v>1440</v>
      </c>
      <c r="P12" s="6">
        <v>921.6</v>
      </c>
      <c r="Q12" s="6"/>
      <c r="R12" s="6"/>
      <c r="S12" s="6"/>
      <c r="T12" s="6"/>
      <c r="U12" s="6"/>
      <c r="V12" s="6"/>
      <c r="W12" s="6"/>
      <c r="X12" s="6"/>
      <c r="Y12" s="6"/>
      <c r="Z12" s="6">
        <v>110</v>
      </c>
      <c r="AA12" s="6">
        <v>2140</v>
      </c>
      <c r="AB12" s="6">
        <v>1369.6</v>
      </c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173">
        <f t="shared" si="5"/>
        <v>170</v>
      </c>
      <c r="AP12" s="173">
        <f t="shared" si="0"/>
        <v>3580</v>
      </c>
      <c r="AQ12" s="173">
        <f t="shared" si="1"/>
        <v>2291.1999999999998</v>
      </c>
      <c r="AR12" s="6"/>
      <c r="AS12" s="6"/>
      <c r="AT12" s="6"/>
      <c r="AU12" s="6">
        <v>50</v>
      </c>
      <c r="AV12" s="6">
        <v>700</v>
      </c>
      <c r="AW12" s="6">
        <v>448</v>
      </c>
      <c r="AX12" s="6"/>
      <c r="AY12" s="6"/>
      <c r="AZ12" s="6"/>
      <c r="BA12" s="6">
        <v>50</v>
      </c>
      <c r="BB12" s="6">
        <v>700</v>
      </c>
      <c r="BC12" s="6">
        <v>448</v>
      </c>
      <c r="BD12" s="6"/>
      <c r="BE12" s="6"/>
      <c r="BF12" s="6"/>
      <c r="BG12" s="6"/>
      <c r="BH12" s="6"/>
      <c r="BI12" s="6"/>
      <c r="BJ12" s="6">
        <v>85</v>
      </c>
      <c r="BK12" s="6">
        <v>1790</v>
      </c>
      <c r="BL12" s="6">
        <v>1145.5999999999999</v>
      </c>
      <c r="BM12" s="6"/>
      <c r="BN12" s="6"/>
      <c r="BO12" s="6"/>
      <c r="BP12" s="6"/>
      <c r="BQ12" s="6"/>
      <c r="BR12" s="6"/>
      <c r="BS12" s="6">
        <v>85</v>
      </c>
      <c r="BT12" s="6">
        <v>1790</v>
      </c>
      <c r="BU12" s="6">
        <v>1145.5999999999999</v>
      </c>
      <c r="BV12" s="173">
        <f t="shared" si="6"/>
        <v>440</v>
      </c>
      <c r="BW12" s="173">
        <f t="shared" si="2"/>
        <v>8560</v>
      </c>
      <c r="BX12" s="173">
        <f t="shared" si="3"/>
        <v>5478.4</v>
      </c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>
        <v>50</v>
      </c>
      <c r="CX12" s="6">
        <v>700</v>
      </c>
      <c r="CY12" s="6">
        <v>448</v>
      </c>
      <c r="CZ12" s="6">
        <v>60</v>
      </c>
      <c r="DA12" s="6">
        <v>1440</v>
      </c>
      <c r="DB12" s="6">
        <v>921.6</v>
      </c>
      <c r="DC12" s="6">
        <v>50</v>
      </c>
      <c r="DD12" s="6">
        <v>700</v>
      </c>
      <c r="DE12" s="6">
        <v>448</v>
      </c>
      <c r="DF12" s="173">
        <f t="shared" si="7"/>
        <v>600</v>
      </c>
      <c r="DG12" s="173">
        <f t="shared" si="8"/>
        <v>11400</v>
      </c>
      <c r="DH12" s="173">
        <f t="shared" si="4"/>
        <v>7296</v>
      </c>
    </row>
    <row r="13" spans="1:112" ht="30" hidden="1" customHeight="1" x14ac:dyDescent="0.25">
      <c r="A13" s="4">
        <v>9</v>
      </c>
      <c r="B13" s="194" t="s">
        <v>399</v>
      </c>
      <c r="C13" s="7" t="s">
        <v>85</v>
      </c>
      <c r="D13" s="7" t="s">
        <v>28</v>
      </c>
      <c r="E13" s="169" t="s">
        <v>321</v>
      </c>
      <c r="F13" s="8" t="s">
        <v>5</v>
      </c>
      <c r="G13" s="25" t="s">
        <v>27</v>
      </c>
      <c r="H13" s="7" t="s">
        <v>26</v>
      </c>
      <c r="I13" s="7" t="s">
        <v>25</v>
      </c>
      <c r="J13" s="3" t="s">
        <v>1</v>
      </c>
      <c r="K13" s="9"/>
      <c r="L13" s="9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173">
        <f t="shared" si="5"/>
        <v>0</v>
      </c>
      <c r="AP13" s="173">
        <f t="shared" si="0"/>
        <v>0</v>
      </c>
      <c r="AQ13" s="173">
        <f t="shared" si="1"/>
        <v>0</v>
      </c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>
        <v>100</v>
      </c>
      <c r="BH13" s="6">
        <v>1400</v>
      </c>
      <c r="BI13" s="6">
        <v>896</v>
      </c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173">
        <f t="shared" si="6"/>
        <v>100</v>
      </c>
      <c r="BW13" s="173">
        <f t="shared" si="2"/>
        <v>1400</v>
      </c>
      <c r="BX13" s="173">
        <f t="shared" si="3"/>
        <v>896</v>
      </c>
      <c r="BY13" s="6">
        <v>100</v>
      </c>
      <c r="BZ13" s="6">
        <v>1200</v>
      </c>
      <c r="CA13" s="6">
        <v>1200</v>
      </c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173">
        <f t="shared" si="7"/>
        <v>200</v>
      </c>
      <c r="DG13" s="173">
        <f t="shared" si="8"/>
        <v>2600</v>
      </c>
      <c r="DH13" s="173">
        <f t="shared" si="4"/>
        <v>2096</v>
      </c>
    </row>
    <row r="14" spans="1:112" ht="30" hidden="1" customHeight="1" x14ac:dyDescent="0.25">
      <c r="A14" s="4">
        <v>10</v>
      </c>
      <c r="B14" s="194" t="s">
        <v>56</v>
      </c>
      <c r="C14" s="7" t="s">
        <v>452</v>
      </c>
      <c r="D14" s="7" t="s">
        <v>41</v>
      </c>
      <c r="E14" s="169" t="s">
        <v>319</v>
      </c>
      <c r="F14" s="8" t="s">
        <v>5</v>
      </c>
      <c r="G14" s="25" t="s">
        <v>40</v>
      </c>
      <c r="H14" s="25" t="s">
        <v>39</v>
      </c>
      <c r="I14" s="7" t="s">
        <v>38</v>
      </c>
      <c r="J14" s="3" t="s">
        <v>1</v>
      </c>
      <c r="K14" s="9"/>
      <c r="L14" s="9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>
        <v>100</v>
      </c>
      <c r="AG14" s="6">
        <v>1400</v>
      </c>
      <c r="AH14" s="6">
        <v>896</v>
      </c>
      <c r="AI14" s="6">
        <v>150</v>
      </c>
      <c r="AJ14" s="6">
        <v>2000</v>
      </c>
      <c r="AK14" s="6">
        <v>1496</v>
      </c>
      <c r="AL14" s="6"/>
      <c r="AM14" s="6"/>
      <c r="AN14" s="6"/>
      <c r="AO14" s="173">
        <f t="shared" si="5"/>
        <v>250</v>
      </c>
      <c r="AP14" s="173">
        <f t="shared" si="0"/>
        <v>3400</v>
      </c>
      <c r="AQ14" s="173">
        <f t="shared" si="1"/>
        <v>2392</v>
      </c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>
        <v>150</v>
      </c>
      <c r="BT14" s="6">
        <v>1900</v>
      </c>
      <c r="BU14" s="6">
        <v>1648</v>
      </c>
      <c r="BV14" s="173">
        <f t="shared" si="6"/>
        <v>400</v>
      </c>
      <c r="BW14" s="173">
        <f t="shared" si="2"/>
        <v>5300</v>
      </c>
      <c r="BX14" s="173">
        <f t="shared" si="3"/>
        <v>4040</v>
      </c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173">
        <f t="shared" si="7"/>
        <v>400</v>
      </c>
      <c r="DG14" s="173">
        <f t="shared" si="8"/>
        <v>5300</v>
      </c>
      <c r="DH14" s="173">
        <f t="shared" si="4"/>
        <v>4040</v>
      </c>
    </row>
    <row r="15" spans="1:112" ht="30" hidden="1" customHeight="1" x14ac:dyDescent="0.25">
      <c r="A15" s="4">
        <v>11</v>
      </c>
      <c r="B15" s="194" t="s">
        <v>52</v>
      </c>
      <c r="C15" s="7" t="s">
        <v>51</v>
      </c>
      <c r="D15" s="7" t="s">
        <v>8</v>
      </c>
      <c r="E15" s="169" t="s">
        <v>317</v>
      </c>
      <c r="F15" s="8" t="s">
        <v>5</v>
      </c>
      <c r="G15" s="25" t="s">
        <v>4</v>
      </c>
      <c r="H15" s="7" t="s">
        <v>3</v>
      </c>
      <c r="I15" s="7" t="s">
        <v>2</v>
      </c>
      <c r="J15" s="3" t="s">
        <v>1</v>
      </c>
      <c r="K15" s="9"/>
      <c r="L15" s="9"/>
      <c r="M15" s="6"/>
      <c r="N15" s="6">
        <v>100</v>
      </c>
      <c r="O15" s="6">
        <v>1280</v>
      </c>
      <c r="P15" s="6">
        <v>1078.4000000000001</v>
      </c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>
        <v>100</v>
      </c>
      <c r="AM15" s="6">
        <v>1280</v>
      </c>
      <c r="AN15" s="6">
        <v>1078.4000000000001</v>
      </c>
      <c r="AO15" s="173">
        <f t="shared" si="5"/>
        <v>200</v>
      </c>
      <c r="AP15" s="173">
        <f t="shared" si="0"/>
        <v>2560</v>
      </c>
      <c r="AQ15" s="173">
        <f t="shared" si="1"/>
        <v>2156.8000000000002</v>
      </c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>
        <v>50</v>
      </c>
      <c r="BH15" s="6">
        <v>650</v>
      </c>
      <c r="BI15" s="6">
        <v>524</v>
      </c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173">
        <f t="shared" si="6"/>
        <v>250</v>
      </c>
      <c r="BW15" s="173">
        <f t="shared" si="2"/>
        <v>3210</v>
      </c>
      <c r="BX15" s="173">
        <f t="shared" si="3"/>
        <v>2680.8</v>
      </c>
      <c r="BY15" s="6"/>
      <c r="BZ15" s="6"/>
      <c r="CA15" s="6"/>
      <c r="CB15" s="6"/>
      <c r="CC15" s="6"/>
      <c r="CD15" s="6"/>
      <c r="CE15" s="6">
        <v>100</v>
      </c>
      <c r="CF15" s="6">
        <v>1300</v>
      </c>
      <c r="CG15" s="6">
        <v>1048</v>
      </c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>
        <v>150</v>
      </c>
      <c r="DD15" s="6">
        <v>1950</v>
      </c>
      <c r="DE15" s="6">
        <v>1572</v>
      </c>
      <c r="DF15" s="173">
        <f t="shared" si="7"/>
        <v>500</v>
      </c>
      <c r="DG15" s="173">
        <f t="shared" si="8"/>
        <v>6460</v>
      </c>
      <c r="DH15" s="173">
        <f t="shared" si="4"/>
        <v>5300.8</v>
      </c>
    </row>
    <row r="16" spans="1:112" ht="30" hidden="1" customHeight="1" x14ac:dyDescent="0.25">
      <c r="A16" s="4">
        <v>12</v>
      </c>
      <c r="B16" s="194" t="s">
        <v>69</v>
      </c>
      <c r="C16" s="7" t="s">
        <v>68</v>
      </c>
      <c r="D16" s="7" t="s">
        <v>28</v>
      </c>
      <c r="E16" s="169" t="s">
        <v>317</v>
      </c>
      <c r="F16" s="8" t="s">
        <v>5</v>
      </c>
      <c r="G16" s="25" t="s">
        <v>27</v>
      </c>
      <c r="H16" s="7" t="s">
        <v>26</v>
      </c>
      <c r="I16" s="7" t="s">
        <v>25</v>
      </c>
      <c r="J16" s="3" t="s">
        <v>1</v>
      </c>
      <c r="K16" s="9"/>
      <c r="L16" s="9"/>
      <c r="M16" s="6"/>
      <c r="N16" s="6"/>
      <c r="O16" s="6"/>
      <c r="P16" s="6"/>
      <c r="Q16" s="6">
        <v>150</v>
      </c>
      <c r="R16" s="6">
        <v>1800</v>
      </c>
      <c r="S16" s="6">
        <v>1800</v>
      </c>
      <c r="T16" s="6"/>
      <c r="U16" s="6"/>
      <c r="V16" s="6"/>
      <c r="W16" s="6"/>
      <c r="X16" s="6"/>
      <c r="Y16" s="6"/>
      <c r="Z16" s="6"/>
      <c r="AA16" s="6"/>
      <c r="AB16" s="6"/>
      <c r="AC16" s="6">
        <v>50</v>
      </c>
      <c r="AD16" s="6">
        <v>600</v>
      </c>
      <c r="AE16" s="6">
        <v>600</v>
      </c>
      <c r="AF16" s="6"/>
      <c r="AG16" s="6"/>
      <c r="AH16" s="6"/>
      <c r="AI16" s="6"/>
      <c r="AJ16" s="6"/>
      <c r="AK16" s="6"/>
      <c r="AL16" s="6"/>
      <c r="AM16" s="6"/>
      <c r="AN16" s="6"/>
      <c r="AO16" s="173">
        <f t="shared" si="5"/>
        <v>200</v>
      </c>
      <c r="AP16" s="173">
        <f t="shared" si="0"/>
        <v>2400</v>
      </c>
      <c r="AQ16" s="173">
        <f t="shared" si="1"/>
        <v>2400</v>
      </c>
      <c r="AR16" s="6"/>
      <c r="AS16" s="6"/>
      <c r="AT16" s="6"/>
      <c r="AU16" s="6">
        <v>50</v>
      </c>
      <c r="AV16" s="6">
        <v>600</v>
      </c>
      <c r="AW16" s="6">
        <v>600</v>
      </c>
      <c r="AX16" s="6"/>
      <c r="AY16" s="6"/>
      <c r="AZ16" s="6"/>
      <c r="BA16" s="6">
        <v>100</v>
      </c>
      <c r="BB16" s="6">
        <v>1200</v>
      </c>
      <c r="BC16" s="6">
        <v>1200</v>
      </c>
      <c r="BD16" s="6"/>
      <c r="BE16" s="6"/>
      <c r="BF16" s="6"/>
      <c r="BG16" s="6">
        <v>100</v>
      </c>
      <c r="BH16" s="6">
        <v>1200</v>
      </c>
      <c r="BI16" s="6">
        <v>1200</v>
      </c>
      <c r="BJ16" s="6">
        <v>50</v>
      </c>
      <c r="BK16" s="6">
        <v>600</v>
      </c>
      <c r="BL16" s="6">
        <v>600</v>
      </c>
      <c r="BM16" s="6"/>
      <c r="BN16" s="6"/>
      <c r="BO16" s="6"/>
      <c r="BP16" s="6">
        <v>30</v>
      </c>
      <c r="BQ16" s="6">
        <v>420</v>
      </c>
      <c r="BR16" s="6">
        <v>268.8</v>
      </c>
      <c r="BS16" s="6"/>
      <c r="BT16" s="6"/>
      <c r="BU16" s="6"/>
      <c r="BV16" s="173">
        <f t="shared" si="6"/>
        <v>530</v>
      </c>
      <c r="BW16" s="173">
        <f t="shared" si="2"/>
        <v>6420</v>
      </c>
      <c r="BX16" s="173">
        <f t="shared" si="3"/>
        <v>6268.8</v>
      </c>
      <c r="BY16" s="6"/>
      <c r="BZ16" s="6"/>
      <c r="CA16" s="6"/>
      <c r="CB16" s="6">
        <v>100</v>
      </c>
      <c r="CC16" s="6">
        <v>1200</v>
      </c>
      <c r="CD16" s="6">
        <v>1200</v>
      </c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>
        <v>50</v>
      </c>
      <c r="CR16" s="6">
        <v>600</v>
      </c>
      <c r="CS16" s="6">
        <v>600</v>
      </c>
      <c r="CT16" s="6">
        <v>120</v>
      </c>
      <c r="CU16" s="6">
        <v>1440</v>
      </c>
      <c r="CV16" s="6">
        <v>1440</v>
      </c>
      <c r="CW16" s="6"/>
      <c r="CX16" s="6"/>
      <c r="CY16" s="6"/>
      <c r="CZ16" s="6"/>
      <c r="DA16" s="6"/>
      <c r="DB16" s="6"/>
      <c r="DC16" s="6"/>
      <c r="DD16" s="6"/>
      <c r="DE16" s="6"/>
      <c r="DF16" s="173">
        <f t="shared" si="7"/>
        <v>800</v>
      </c>
      <c r="DG16" s="173">
        <f t="shared" si="8"/>
        <v>9660</v>
      </c>
      <c r="DH16" s="173">
        <f t="shared" si="4"/>
        <v>9508.7999999999993</v>
      </c>
    </row>
    <row r="17" spans="1:112" ht="30" hidden="1" customHeight="1" x14ac:dyDescent="0.25">
      <c r="A17" s="194">
        <v>13</v>
      </c>
      <c r="B17" s="194" t="s">
        <v>7</v>
      </c>
      <c r="C17" s="7" t="s">
        <v>6</v>
      </c>
      <c r="D17" s="169" t="s">
        <v>451</v>
      </c>
      <c r="E17" s="169" t="s">
        <v>447</v>
      </c>
      <c r="F17" s="8" t="s">
        <v>5</v>
      </c>
      <c r="G17" s="25"/>
      <c r="H17" s="7"/>
      <c r="I17" s="7"/>
      <c r="J17" s="3"/>
      <c r="K17" s="9"/>
      <c r="L17" s="9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173">
        <f t="shared" ref="AO17:AO18" si="9">+K17+N17+Q17+T17+W17+Z17+AC17+AF17+AI17+AL17</f>
        <v>0</v>
      </c>
      <c r="AP17" s="173">
        <f t="shared" ref="AP17:AP18" si="10">+L17+O17+R17+U17+X17+AA17+AD17+AG17+AJ17+AM17</f>
        <v>0</v>
      </c>
      <c r="AQ17" s="173">
        <f t="shared" ref="AQ17:AQ18" si="11">+M17+P17+S17+V17+Y17+AB17+AE17+AH17+AK17+AN17</f>
        <v>0</v>
      </c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>
        <v>220</v>
      </c>
      <c r="BE17" s="6">
        <v>3180</v>
      </c>
      <c r="BF17" s="6">
        <v>2251.1999999999998</v>
      </c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173">
        <f t="shared" ref="BV17:BV18" si="12">+AR17+AU17+AX17+BA17+BD17+BG17+BJ17+BM17+BP17+BS17+AO17</f>
        <v>220</v>
      </c>
      <c r="BW17" s="173">
        <f t="shared" ref="BW17:BW18" si="13">+AS17+AV17+AY17+BB17+BE17+BH17+BK17+BN17+BQ17+BT17+AP17</f>
        <v>3180</v>
      </c>
      <c r="BX17" s="173">
        <f t="shared" ref="BX17:BX18" si="14">+AT17+AW17+AZ17+BC17+BF17+BI17+BL17+BO17+BR17+BU17+AQ17</f>
        <v>2251.1999999999998</v>
      </c>
      <c r="BY17" s="6"/>
      <c r="BZ17" s="6"/>
      <c r="CA17" s="6"/>
      <c r="CB17" s="6">
        <v>101</v>
      </c>
      <c r="CC17" s="6">
        <v>1414</v>
      </c>
      <c r="CD17" s="6">
        <v>904.96</v>
      </c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173">
        <f t="shared" ref="DF17" si="15">BV17+CB17+CE17+CH17+CK17+CN17+CQ17+CT17+CW17+CZ17+DC17+BY17</f>
        <v>321</v>
      </c>
      <c r="DG17" s="173">
        <f t="shared" ref="DG17" si="16">BW17+CC17+CF17+CI17+CL17+CO17+CR17+CU17+CX17+DA17+DD17+BZ17</f>
        <v>4594</v>
      </c>
      <c r="DH17" s="173">
        <f t="shared" ref="DH17" si="17">BX17+CD17+CG17+CJ17+CM17+CP17+CS17+CV17+CY17+DB17+DE17+CA17</f>
        <v>3156.16</v>
      </c>
    </row>
    <row r="18" spans="1:112" ht="30" hidden="1" customHeight="1" x14ac:dyDescent="0.25">
      <c r="A18" s="4">
        <v>14</v>
      </c>
      <c r="B18" s="194" t="s">
        <v>87</v>
      </c>
      <c r="C18" s="7" t="s">
        <v>86</v>
      </c>
      <c r="D18" s="7" t="s">
        <v>28</v>
      </c>
      <c r="E18" s="169" t="s">
        <v>317</v>
      </c>
      <c r="F18" s="8" t="s">
        <v>5</v>
      </c>
      <c r="G18" s="25"/>
      <c r="H18" s="7"/>
      <c r="I18" s="7"/>
      <c r="J18" s="3"/>
      <c r="K18" s="9"/>
      <c r="L18" s="9"/>
      <c r="M18" s="6"/>
      <c r="N18" s="6"/>
      <c r="O18" s="6"/>
      <c r="P18" s="6"/>
      <c r="Q18" s="6"/>
      <c r="R18" s="6"/>
      <c r="S18" s="6"/>
      <c r="T18" s="6"/>
      <c r="U18" s="6"/>
      <c r="V18" s="6"/>
      <c r="W18" s="6">
        <v>100</v>
      </c>
      <c r="X18" s="6">
        <v>1400</v>
      </c>
      <c r="Y18" s="6">
        <v>896</v>
      </c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173">
        <f t="shared" si="9"/>
        <v>100</v>
      </c>
      <c r="AP18" s="173">
        <f t="shared" si="10"/>
        <v>1400</v>
      </c>
      <c r="AQ18" s="173">
        <f t="shared" si="11"/>
        <v>896</v>
      </c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173">
        <f t="shared" si="12"/>
        <v>100</v>
      </c>
      <c r="BW18" s="173">
        <f t="shared" si="13"/>
        <v>1400</v>
      </c>
      <c r="BX18" s="173">
        <f t="shared" si="14"/>
        <v>896</v>
      </c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173">
        <f t="shared" ref="DF18" si="18">BV18+CB18+CE18+CH18+CK18+CN18+CQ18+CT18+CW18+CZ18+DC18+BY18</f>
        <v>100</v>
      </c>
      <c r="DG18" s="173">
        <f t="shared" ref="DG18" si="19">BW18+CC18+CF18+CI18+CL18+CO18+CR18+CU18+CX18+DA18+DD18+BZ18</f>
        <v>1400</v>
      </c>
      <c r="DH18" s="173">
        <f t="shared" ref="DH18" si="20">BX18+CD18+CG18+CJ18+CM18+CP18+CS18+CV18+CY18+DB18+DE18+CA18</f>
        <v>896</v>
      </c>
    </row>
    <row r="19" spans="1:112" ht="30" hidden="1" customHeight="1" x14ac:dyDescent="0.25">
      <c r="A19" s="522" t="s">
        <v>0</v>
      </c>
      <c r="B19" s="523"/>
      <c r="C19" s="523"/>
      <c r="D19" s="523"/>
      <c r="E19" s="524"/>
      <c r="F19" s="4"/>
      <c r="G19" s="4"/>
      <c r="H19" s="4"/>
      <c r="I19" s="4"/>
      <c r="J19" s="4"/>
      <c r="K19" s="7">
        <f>SUM(K5:K18)</f>
        <v>0</v>
      </c>
      <c r="L19" s="7">
        <f t="shared" ref="L19:AN19" si="21">SUM(L5:L18)</f>
        <v>0</v>
      </c>
      <c r="M19" s="7">
        <f t="shared" si="21"/>
        <v>0</v>
      </c>
      <c r="N19" s="7">
        <f t="shared" si="21"/>
        <v>465</v>
      </c>
      <c r="O19" s="7">
        <f t="shared" si="21"/>
        <v>6790</v>
      </c>
      <c r="P19" s="7">
        <f t="shared" si="21"/>
        <v>5036.8</v>
      </c>
      <c r="Q19" s="7">
        <f t="shared" si="21"/>
        <v>200</v>
      </c>
      <c r="R19" s="7">
        <f t="shared" si="21"/>
        <v>3000</v>
      </c>
      <c r="S19" s="7">
        <f t="shared" si="21"/>
        <v>2568</v>
      </c>
      <c r="T19" s="7">
        <f t="shared" si="21"/>
        <v>0</v>
      </c>
      <c r="U19" s="7">
        <f t="shared" si="21"/>
        <v>0</v>
      </c>
      <c r="V19" s="7">
        <f t="shared" si="21"/>
        <v>0</v>
      </c>
      <c r="W19" s="7">
        <f t="shared" si="21"/>
        <v>630</v>
      </c>
      <c r="X19" s="7">
        <f t="shared" si="21"/>
        <v>8320</v>
      </c>
      <c r="Y19" s="7">
        <f t="shared" si="21"/>
        <v>6404.7999999999993</v>
      </c>
      <c r="Z19" s="7">
        <f t="shared" si="21"/>
        <v>470</v>
      </c>
      <c r="AA19" s="7">
        <f t="shared" si="21"/>
        <v>6940</v>
      </c>
      <c r="AB19" s="7">
        <f t="shared" si="21"/>
        <v>4960</v>
      </c>
      <c r="AC19" s="7">
        <f t="shared" si="21"/>
        <v>350</v>
      </c>
      <c r="AD19" s="7">
        <f t="shared" si="21"/>
        <v>4400</v>
      </c>
      <c r="AE19" s="7">
        <f t="shared" si="21"/>
        <v>3896</v>
      </c>
      <c r="AF19" s="7">
        <f t="shared" si="21"/>
        <v>470</v>
      </c>
      <c r="AG19" s="7">
        <f t="shared" si="21"/>
        <v>6480</v>
      </c>
      <c r="AH19" s="7">
        <f t="shared" si="21"/>
        <v>5011.2</v>
      </c>
      <c r="AI19" s="7">
        <f t="shared" si="21"/>
        <v>752</v>
      </c>
      <c r="AJ19" s="7">
        <f t="shared" si="21"/>
        <v>10024</v>
      </c>
      <c r="AK19" s="7">
        <f t="shared" si="21"/>
        <v>7504</v>
      </c>
      <c r="AL19" s="7">
        <f t="shared" si="21"/>
        <v>230</v>
      </c>
      <c r="AM19" s="7">
        <f t="shared" si="21"/>
        <v>3200</v>
      </c>
      <c r="AN19" s="7">
        <f t="shared" si="21"/>
        <v>2739.2</v>
      </c>
      <c r="AO19" s="282">
        <f t="shared" ref="AO19" si="22">SUM(AO5:AO18)</f>
        <v>3567</v>
      </c>
      <c r="AP19" s="282">
        <f t="shared" ref="AP19" si="23">SUM(AP5:AP18)</f>
        <v>49154</v>
      </c>
      <c r="AQ19" s="282">
        <f t="shared" ref="AQ19" si="24">SUM(AQ5:AQ18)</f>
        <v>38120</v>
      </c>
      <c r="AR19" s="2">
        <f>SUM(AR5:AR18)</f>
        <v>0</v>
      </c>
      <c r="AS19" s="2">
        <f t="shared" ref="AS19:BU19" si="25">SUM(AS5:AS18)</f>
        <v>0</v>
      </c>
      <c r="AT19" s="2">
        <f t="shared" si="25"/>
        <v>0</v>
      </c>
      <c r="AU19" s="2">
        <f t="shared" si="25"/>
        <v>1250</v>
      </c>
      <c r="AV19" s="2">
        <f t="shared" si="25"/>
        <v>16740</v>
      </c>
      <c r="AW19" s="2">
        <f t="shared" si="25"/>
        <v>12355.2</v>
      </c>
      <c r="AX19" s="2">
        <f t="shared" si="25"/>
        <v>550</v>
      </c>
      <c r="AY19" s="2">
        <f t="shared" si="25"/>
        <v>7600</v>
      </c>
      <c r="AZ19" s="2">
        <f t="shared" si="25"/>
        <v>5944</v>
      </c>
      <c r="BA19" s="2">
        <f t="shared" si="25"/>
        <v>450</v>
      </c>
      <c r="BB19" s="2">
        <f t="shared" si="25"/>
        <v>5900</v>
      </c>
      <c r="BC19" s="2">
        <f t="shared" si="25"/>
        <v>4640</v>
      </c>
      <c r="BD19" s="2">
        <f t="shared" si="25"/>
        <v>570</v>
      </c>
      <c r="BE19" s="2">
        <f t="shared" si="25"/>
        <v>8080</v>
      </c>
      <c r="BF19" s="2">
        <f t="shared" si="25"/>
        <v>6467.2</v>
      </c>
      <c r="BG19" s="2">
        <f t="shared" si="25"/>
        <v>535</v>
      </c>
      <c r="BH19" s="2">
        <f t="shared" si="25"/>
        <v>7180</v>
      </c>
      <c r="BI19" s="2">
        <f t="shared" si="25"/>
        <v>5264.8</v>
      </c>
      <c r="BJ19" s="2">
        <f t="shared" si="25"/>
        <v>965</v>
      </c>
      <c r="BK19" s="2">
        <f t="shared" si="25"/>
        <v>13550</v>
      </c>
      <c r="BL19" s="2">
        <f t="shared" si="25"/>
        <v>9881.6</v>
      </c>
      <c r="BM19" s="2">
        <f t="shared" si="25"/>
        <v>0</v>
      </c>
      <c r="BN19" s="2">
        <f t="shared" si="25"/>
        <v>0</v>
      </c>
      <c r="BO19" s="2">
        <f t="shared" si="25"/>
        <v>0</v>
      </c>
      <c r="BP19" s="2">
        <f t="shared" si="25"/>
        <v>460</v>
      </c>
      <c r="BQ19" s="2">
        <f t="shared" si="25"/>
        <v>6040</v>
      </c>
      <c r="BR19" s="2">
        <f t="shared" si="25"/>
        <v>4729.6000000000004</v>
      </c>
      <c r="BS19" s="2">
        <f t="shared" si="25"/>
        <v>564</v>
      </c>
      <c r="BT19" s="2">
        <f t="shared" si="25"/>
        <v>8686</v>
      </c>
      <c r="BU19" s="2">
        <f t="shared" si="25"/>
        <v>6423.0399999999991</v>
      </c>
      <c r="BV19" s="198">
        <f>SUM(BV5:BV18)</f>
        <v>8911</v>
      </c>
      <c r="BW19" s="198">
        <f t="shared" ref="BW19:BX19" si="26">SUM(BW5:BW18)</f>
        <v>122930</v>
      </c>
      <c r="BX19" s="198">
        <f t="shared" si="26"/>
        <v>93825.439999999988</v>
      </c>
      <c r="BY19" s="2">
        <f>SUM(BY5:BY18)</f>
        <v>550</v>
      </c>
      <c r="BZ19" s="2">
        <f t="shared" ref="BZ19:DE19" si="27">SUM(BZ5:BZ18)</f>
        <v>7000</v>
      </c>
      <c r="CA19" s="2">
        <f t="shared" si="27"/>
        <v>5992</v>
      </c>
      <c r="CB19" s="2">
        <f t="shared" si="27"/>
        <v>801</v>
      </c>
      <c r="CC19" s="2">
        <f t="shared" si="27"/>
        <v>10214</v>
      </c>
      <c r="CD19" s="2">
        <f t="shared" si="27"/>
        <v>8696.9599999999991</v>
      </c>
      <c r="CE19" s="2">
        <f t="shared" si="27"/>
        <v>1005</v>
      </c>
      <c r="CF19" s="2">
        <f t="shared" si="27"/>
        <v>13160</v>
      </c>
      <c r="CG19" s="2">
        <f t="shared" si="27"/>
        <v>10388</v>
      </c>
      <c r="CH19" s="2">
        <f t="shared" si="27"/>
        <v>500</v>
      </c>
      <c r="CI19" s="2">
        <f t="shared" si="27"/>
        <v>6600</v>
      </c>
      <c r="CJ19" s="2">
        <f t="shared" si="27"/>
        <v>5088</v>
      </c>
      <c r="CK19" s="2">
        <f t="shared" si="27"/>
        <v>0</v>
      </c>
      <c r="CL19" s="2">
        <f t="shared" si="27"/>
        <v>0</v>
      </c>
      <c r="CM19" s="2">
        <f t="shared" si="27"/>
        <v>0</v>
      </c>
      <c r="CN19" s="2">
        <f t="shared" si="27"/>
        <v>370</v>
      </c>
      <c r="CO19" s="2">
        <f t="shared" si="27"/>
        <v>5160</v>
      </c>
      <c r="CP19" s="2">
        <f t="shared" si="27"/>
        <v>3993.6000000000004</v>
      </c>
      <c r="CQ19" s="2">
        <f t="shared" si="27"/>
        <v>240</v>
      </c>
      <c r="CR19" s="2">
        <f t="shared" si="27"/>
        <v>3220</v>
      </c>
      <c r="CS19" s="2">
        <f t="shared" si="27"/>
        <v>2795.2</v>
      </c>
      <c r="CT19" s="2">
        <f t="shared" si="27"/>
        <v>242</v>
      </c>
      <c r="CU19" s="2">
        <f t="shared" si="27"/>
        <v>2944</v>
      </c>
      <c r="CV19" s="2">
        <f t="shared" si="27"/>
        <v>2843.2</v>
      </c>
      <c r="CW19" s="2">
        <f t="shared" si="27"/>
        <v>579</v>
      </c>
      <c r="CX19" s="2">
        <f t="shared" si="27"/>
        <v>8396</v>
      </c>
      <c r="CY19" s="2">
        <f t="shared" si="27"/>
        <v>5805.4400000000005</v>
      </c>
      <c r="CZ19" s="2">
        <f t="shared" si="27"/>
        <v>380</v>
      </c>
      <c r="DA19" s="2">
        <f t="shared" si="27"/>
        <v>5620</v>
      </c>
      <c r="DB19" s="2">
        <f t="shared" si="27"/>
        <v>4244.8</v>
      </c>
      <c r="DC19" s="2">
        <f t="shared" si="27"/>
        <v>1830</v>
      </c>
      <c r="DD19" s="2">
        <f t="shared" si="27"/>
        <v>24150</v>
      </c>
      <c r="DE19" s="2">
        <f t="shared" si="27"/>
        <v>19063.2</v>
      </c>
      <c r="DF19" s="198">
        <f>SUM(DF5:DF18)</f>
        <v>15408</v>
      </c>
      <c r="DG19" s="198">
        <f>SUM(DG5:DG18)</f>
        <v>209394</v>
      </c>
      <c r="DH19" s="198">
        <f t="shared" ref="DH19" si="28">SUM(DH5:DH18)</f>
        <v>162735.84</v>
      </c>
    </row>
    <row r="20" spans="1:112" ht="30" hidden="1" customHeight="1" x14ac:dyDescent="0.25"/>
    <row r="21" spans="1:112" ht="30" hidden="1" customHeight="1" x14ac:dyDescent="0.25">
      <c r="A21" s="539" t="s">
        <v>118</v>
      </c>
      <c r="B21" s="383" t="s">
        <v>117</v>
      </c>
      <c r="C21" s="384"/>
      <c r="D21" s="540" t="s">
        <v>116</v>
      </c>
      <c r="E21" s="541"/>
      <c r="F21" s="542" t="s">
        <v>115</v>
      </c>
      <c r="G21" s="543" t="s">
        <v>114</v>
      </c>
      <c r="H21" s="544"/>
      <c r="I21" s="531" t="s">
        <v>113</v>
      </c>
      <c r="J21" s="545" t="s">
        <v>112</v>
      </c>
      <c r="K21" s="520" t="s">
        <v>402</v>
      </c>
      <c r="L21" s="520"/>
      <c r="M21" s="520"/>
      <c r="N21" s="547" t="s">
        <v>403</v>
      </c>
      <c r="O21" s="548"/>
      <c r="P21" s="549"/>
      <c r="Q21" s="520" t="s">
        <v>404</v>
      </c>
      <c r="R21" s="520"/>
      <c r="S21" s="520"/>
      <c r="T21" s="547" t="s">
        <v>405</v>
      </c>
      <c r="U21" s="548"/>
      <c r="V21" s="549"/>
      <c r="W21" s="520" t="s">
        <v>406</v>
      </c>
      <c r="X21" s="520"/>
      <c r="Y21" s="520"/>
      <c r="Z21" s="547" t="s">
        <v>407</v>
      </c>
      <c r="AA21" s="548"/>
      <c r="AB21" s="549"/>
      <c r="AC21" s="520" t="s">
        <v>408</v>
      </c>
      <c r="AD21" s="520"/>
      <c r="AE21" s="520"/>
      <c r="AF21" s="547" t="s">
        <v>409</v>
      </c>
      <c r="AG21" s="548"/>
      <c r="AH21" s="549"/>
      <c r="AI21" s="520" t="s">
        <v>410</v>
      </c>
      <c r="AJ21" s="520"/>
      <c r="AK21" s="520"/>
      <c r="AL21" s="547" t="s">
        <v>411</v>
      </c>
      <c r="AM21" s="548"/>
      <c r="AN21" s="549"/>
      <c r="AO21" s="521" t="s">
        <v>350</v>
      </c>
      <c r="AP21" s="521"/>
      <c r="AQ21" s="521"/>
      <c r="AR21" s="520" t="s">
        <v>412</v>
      </c>
      <c r="AS21" s="520"/>
      <c r="AT21" s="520"/>
      <c r="AU21" s="520" t="s">
        <v>413</v>
      </c>
      <c r="AV21" s="520"/>
      <c r="AW21" s="520"/>
      <c r="AX21" s="520" t="s">
        <v>414</v>
      </c>
      <c r="AY21" s="520"/>
      <c r="AZ21" s="520"/>
      <c r="BA21" s="520" t="s">
        <v>415</v>
      </c>
      <c r="BB21" s="520"/>
      <c r="BC21" s="520"/>
      <c r="BD21" s="520" t="s">
        <v>416</v>
      </c>
      <c r="BE21" s="520"/>
      <c r="BF21" s="520"/>
      <c r="BG21" s="520" t="s">
        <v>417</v>
      </c>
      <c r="BH21" s="520"/>
      <c r="BI21" s="520"/>
      <c r="BJ21" s="520" t="s">
        <v>418</v>
      </c>
      <c r="BK21" s="520"/>
      <c r="BL21" s="520"/>
      <c r="BM21" s="520" t="s">
        <v>419</v>
      </c>
      <c r="BN21" s="520"/>
      <c r="BO21" s="520"/>
      <c r="BP21" s="520" t="s">
        <v>420</v>
      </c>
      <c r="BQ21" s="520"/>
      <c r="BR21" s="520"/>
      <c r="BS21" s="520" t="s">
        <v>421</v>
      </c>
      <c r="BT21" s="520"/>
      <c r="BU21" s="520"/>
      <c r="BV21" s="521" t="s">
        <v>351</v>
      </c>
      <c r="BW21" s="521"/>
      <c r="BX21" s="521"/>
      <c r="BY21" s="520" t="s">
        <v>422</v>
      </c>
      <c r="BZ21" s="520"/>
      <c r="CA21" s="520"/>
      <c r="CB21" s="520" t="s">
        <v>423</v>
      </c>
      <c r="CC21" s="520"/>
      <c r="CD21" s="520"/>
      <c r="CE21" s="520" t="s">
        <v>424</v>
      </c>
      <c r="CF21" s="520"/>
      <c r="CG21" s="520"/>
      <c r="CH21" s="520" t="s">
        <v>425</v>
      </c>
      <c r="CI21" s="520"/>
      <c r="CJ21" s="520"/>
      <c r="CK21" s="520" t="s">
        <v>426</v>
      </c>
      <c r="CL21" s="520"/>
      <c r="CM21" s="520"/>
      <c r="CN21" s="520" t="s">
        <v>427</v>
      </c>
      <c r="CO21" s="520"/>
      <c r="CP21" s="520"/>
      <c r="CQ21" s="520" t="s">
        <v>428</v>
      </c>
      <c r="CR21" s="520"/>
      <c r="CS21" s="520"/>
      <c r="CT21" s="520" t="s">
        <v>429</v>
      </c>
      <c r="CU21" s="520"/>
      <c r="CV21" s="520"/>
      <c r="CW21" s="520" t="s">
        <v>430</v>
      </c>
      <c r="CX21" s="520"/>
      <c r="CY21" s="520"/>
      <c r="CZ21" s="520" t="s">
        <v>431</v>
      </c>
      <c r="DA21" s="520"/>
      <c r="DB21" s="520"/>
      <c r="DC21" s="520" t="s">
        <v>432</v>
      </c>
      <c r="DD21" s="520"/>
      <c r="DE21" s="520"/>
      <c r="DF21" s="520" t="s">
        <v>111</v>
      </c>
      <c r="DG21" s="520"/>
      <c r="DH21" s="520"/>
    </row>
    <row r="22" spans="1:112" ht="30" hidden="1" customHeight="1" x14ac:dyDescent="0.25">
      <c r="A22" s="526"/>
      <c r="B22" s="385"/>
      <c r="C22" s="386"/>
      <c r="D22" s="529"/>
      <c r="E22" s="530"/>
      <c r="F22" s="536"/>
      <c r="G22" s="534"/>
      <c r="H22" s="535"/>
      <c r="I22" s="531"/>
      <c r="J22" s="538"/>
      <c r="K22" s="10" t="s">
        <v>109</v>
      </c>
      <c r="L22" s="11" t="s">
        <v>108</v>
      </c>
      <c r="M22" s="11" t="s">
        <v>348</v>
      </c>
      <c r="N22" s="10" t="s">
        <v>109</v>
      </c>
      <c r="O22" s="11" t="s">
        <v>108</v>
      </c>
      <c r="P22" s="11" t="s">
        <v>348</v>
      </c>
      <c r="Q22" s="10" t="s">
        <v>109</v>
      </c>
      <c r="R22" s="11" t="s">
        <v>108</v>
      </c>
      <c r="S22" s="11" t="s">
        <v>348</v>
      </c>
      <c r="T22" s="10" t="s">
        <v>109</v>
      </c>
      <c r="U22" s="11" t="s">
        <v>108</v>
      </c>
      <c r="V22" s="11" t="s">
        <v>348</v>
      </c>
      <c r="W22" s="10" t="s">
        <v>109</v>
      </c>
      <c r="X22" s="11" t="s">
        <v>108</v>
      </c>
      <c r="Y22" s="11" t="s">
        <v>348</v>
      </c>
      <c r="Z22" s="10" t="s">
        <v>109</v>
      </c>
      <c r="AA22" s="11" t="s">
        <v>108</v>
      </c>
      <c r="AB22" s="11" t="s">
        <v>348</v>
      </c>
      <c r="AC22" s="10" t="s">
        <v>109</v>
      </c>
      <c r="AD22" s="11" t="s">
        <v>108</v>
      </c>
      <c r="AE22" s="11" t="s">
        <v>348</v>
      </c>
      <c r="AF22" s="10" t="s">
        <v>109</v>
      </c>
      <c r="AG22" s="11" t="s">
        <v>108</v>
      </c>
      <c r="AH22" s="11" t="s">
        <v>348</v>
      </c>
      <c r="AI22" s="10" t="s">
        <v>109</v>
      </c>
      <c r="AJ22" s="11" t="s">
        <v>108</v>
      </c>
      <c r="AK22" s="11" t="s">
        <v>348</v>
      </c>
      <c r="AL22" s="10" t="s">
        <v>109</v>
      </c>
      <c r="AM22" s="11" t="s">
        <v>108</v>
      </c>
      <c r="AN22" s="11" t="s">
        <v>348</v>
      </c>
      <c r="AO22" s="10" t="s">
        <v>109</v>
      </c>
      <c r="AP22" s="11" t="s">
        <v>108</v>
      </c>
      <c r="AQ22" s="11" t="s">
        <v>348</v>
      </c>
      <c r="AR22" s="10" t="s">
        <v>109</v>
      </c>
      <c r="AS22" s="11" t="s">
        <v>108</v>
      </c>
      <c r="AT22" s="11" t="s">
        <v>348</v>
      </c>
      <c r="AU22" s="10" t="s">
        <v>109</v>
      </c>
      <c r="AV22" s="11" t="s">
        <v>108</v>
      </c>
      <c r="AW22" s="11" t="s">
        <v>348</v>
      </c>
      <c r="AX22" s="10" t="s">
        <v>109</v>
      </c>
      <c r="AY22" s="11" t="s">
        <v>108</v>
      </c>
      <c r="AZ22" s="11" t="s">
        <v>348</v>
      </c>
      <c r="BA22" s="10" t="s">
        <v>109</v>
      </c>
      <c r="BB22" s="11" t="s">
        <v>108</v>
      </c>
      <c r="BC22" s="11" t="s">
        <v>348</v>
      </c>
      <c r="BD22" s="10" t="s">
        <v>109</v>
      </c>
      <c r="BE22" s="11" t="s">
        <v>108</v>
      </c>
      <c r="BF22" s="11" t="s">
        <v>348</v>
      </c>
      <c r="BG22" s="10" t="s">
        <v>109</v>
      </c>
      <c r="BH22" s="11" t="s">
        <v>108</v>
      </c>
      <c r="BI22" s="11" t="s">
        <v>348</v>
      </c>
      <c r="BJ22" s="10" t="s">
        <v>109</v>
      </c>
      <c r="BK22" s="11" t="s">
        <v>108</v>
      </c>
      <c r="BL22" s="11" t="s">
        <v>348</v>
      </c>
      <c r="BM22" s="10" t="s">
        <v>109</v>
      </c>
      <c r="BN22" s="11" t="s">
        <v>108</v>
      </c>
      <c r="BO22" s="11" t="s">
        <v>348</v>
      </c>
      <c r="BP22" s="10" t="s">
        <v>109</v>
      </c>
      <c r="BQ22" s="11" t="s">
        <v>108</v>
      </c>
      <c r="BR22" s="11" t="s">
        <v>348</v>
      </c>
      <c r="BS22" s="10" t="s">
        <v>109</v>
      </c>
      <c r="BT22" s="11" t="s">
        <v>108</v>
      </c>
      <c r="BU22" s="11" t="s">
        <v>348</v>
      </c>
      <c r="BV22" s="10" t="s">
        <v>109</v>
      </c>
      <c r="BW22" s="11" t="s">
        <v>108</v>
      </c>
      <c r="BX22" s="11" t="s">
        <v>348</v>
      </c>
      <c r="BY22" s="10" t="s">
        <v>109</v>
      </c>
      <c r="BZ22" s="11" t="s">
        <v>108</v>
      </c>
      <c r="CA22" s="11" t="s">
        <v>348</v>
      </c>
      <c r="CB22" s="10" t="s">
        <v>109</v>
      </c>
      <c r="CC22" s="11" t="s">
        <v>108</v>
      </c>
      <c r="CD22" s="11" t="s">
        <v>348</v>
      </c>
      <c r="CE22" s="10" t="s">
        <v>109</v>
      </c>
      <c r="CF22" s="11" t="s">
        <v>108</v>
      </c>
      <c r="CG22" s="11" t="s">
        <v>348</v>
      </c>
      <c r="CH22" s="10" t="s">
        <v>109</v>
      </c>
      <c r="CI22" s="11" t="s">
        <v>108</v>
      </c>
      <c r="CJ22" s="11" t="s">
        <v>348</v>
      </c>
      <c r="CK22" s="10" t="s">
        <v>109</v>
      </c>
      <c r="CL22" s="11" t="s">
        <v>108</v>
      </c>
      <c r="CM22" s="11" t="s">
        <v>348</v>
      </c>
      <c r="CN22" s="10" t="s">
        <v>109</v>
      </c>
      <c r="CO22" s="11" t="s">
        <v>108</v>
      </c>
      <c r="CP22" s="11" t="s">
        <v>348</v>
      </c>
      <c r="CQ22" s="10" t="s">
        <v>109</v>
      </c>
      <c r="CR22" s="11" t="s">
        <v>108</v>
      </c>
      <c r="CS22" s="11" t="s">
        <v>348</v>
      </c>
      <c r="CT22" s="10" t="s">
        <v>109</v>
      </c>
      <c r="CU22" s="11" t="s">
        <v>108</v>
      </c>
      <c r="CV22" s="11" t="s">
        <v>348</v>
      </c>
      <c r="CW22" s="10" t="s">
        <v>109</v>
      </c>
      <c r="CX22" s="11" t="s">
        <v>108</v>
      </c>
      <c r="CY22" s="11" t="s">
        <v>348</v>
      </c>
      <c r="CZ22" s="10" t="s">
        <v>109</v>
      </c>
      <c r="DA22" s="11" t="s">
        <v>108</v>
      </c>
      <c r="DB22" s="11" t="s">
        <v>348</v>
      </c>
      <c r="DC22" s="10" t="s">
        <v>109</v>
      </c>
      <c r="DD22" s="11" t="s">
        <v>108</v>
      </c>
      <c r="DE22" s="11" t="s">
        <v>348</v>
      </c>
      <c r="DF22" s="10" t="s">
        <v>109</v>
      </c>
      <c r="DG22" s="11" t="s">
        <v>108</v>
      </c>
      <c r="DH22" s="11" t="s">
        <v>348</v>
      </c>
    </row>
    <row r="23" spans="1:112" ht="30" hidden="1" customHeight="1" x14ac:dyDescent="0.25">
      <c r="A23" s="25">
        <v>1</v>
      </c>
      <c r="B23" s="194" t="s">
        <v>62</v>
      </c>
      <c r="C23" s="7" t="s">
        <v>453</v>
      </c>
      <c r="D23" s="7" t="s">
        <v>272</v>
      </c>
      <c r="E23" s="180" t="s">
        <v>357</v>
      </c>
      <c r="F23" s="169" t="s">
        <v>271</v>
      </c>
      <c r="G23" s="25"/>
      <c r="H23" s="7"/>
      <c r="I23" s="7"/>
      <c r="J23" s="3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>
        <v>50</v>
      </c>
      <c r="AA23" s="6">
        <v>600</v>
      </c>
      <c r="AB23" s="6">
        <v>600</v>
      </c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173">
        <f t="shared" ref="AO23:AO45" si="29">+K23+N23+Q23+T23+W23+Z23+AC23+AF23+AI23+AL23</f>
        <v>50</v>
      </c>
      <c r="AP23" s="173">
        <f t="shared" ref="AP23:AP45" si="30">+L23+O23+R23+U23+X23+AA23+AD23+AG23+AJ23+AM23</f>
        <v>600</v>
      </c>
      <c r="AQ23" s="173">
        <f t="shared" ref="AQ23:AQ45" si="31">+M23+P23+S23+V23+Y23+AB23+AE23+AH23+AK23+AN23</f>
        <v>600</v>
      </c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173">
        <f>+AO23+AR23+AU23+AX23+BA23+BD23+BG23+BJ23+BM23+BP23+BS23</f>
        <v>50</v>
      </c>
      <c r="BW23" s="173">
        <f t="shared" ref="BW23:BW45" si="32">+AP23+AS23+AV23+AY23+BB23+BE23+BH23+BK23+BN23+BQ23+BT23</f>
        <v>600</v>
      </c>
      <c r="BX23" s="173">
        <f t="shared" ref="BX23:BX45" si="33">+AQ23+AT23+AW23+AZ23+BC23+BF23+BI23+BL23+BO23+BR23+BU23</f>
        <v>600</v>
      </c>
      <c r="BY23" s="6">
        <v>210</v>
      </c>
      <c r="BZ23" s="6">
        <v>2920</v>
      </c>
      <c r="CA23" s="6">
        <v>1912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>
        <v>50</v>
      </c>
      <c r="CO23" s="6">
        <v>600</v>
      </c>
      <c r="CP23" s="6">
        <v>600</v>
      </c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173">
        <f>BV23+CB23+CE23+CH23+CK23+CN23+CQ23+CT23+CW23+CZ23+DC23+BY23</f>
        <v>310</v>
      </c>
      <c r="DG23" s="173">
        <f t="shared" ref="DG23:DG45" si="34">BW23+CC23+CF23+CI23+CL23+CO23+CR23+CU23+CX23+DA23+DD23+BZ23</f>
        <v>4120</v>
      </c>
      <c r="DH23" s="173">
        <f t="shared" ref="DH23:DH45" si="35">BX23+CD23+CG23+CJ23+CM23+CP23+CS23+CV23+CY23+DB23+DE23+CA23</f>
        <v>3112</v>
      </c>
    </row>
    <row r="24" spans="1:112" ht="30" hidden="1" customHeight="1" x14ac:dyDescent="0.25">
      <c r="A24" s="25">
        <v>2</v>
      </c>
      <c r="B24" s="194" t="s">
        <v>20</v>
      </c>
      <c r="C24" s="7" t="s">
        <v>19</v>
      </c>
      <c r="D24" s="7" t="s">
        <v>28</v>
      </c>
      <c r="E24" s="180" t="s">
        <v>401</v>
      </c>
      <c r="F24" s="169" t="s">
        <v>271</v>
      </c>
      <c r="G24" s="25"/>
      <c r="H24" s="7"/>
      <c r="I24" s="7"/>
      <c r="J24" s="3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173">
        <f t="shared" si="29"/>
        <v>0</v>
      </c>
      <c r="AP24" s="173">
        <f t="shared" si="30"/>
        <v>0</v>
      </c>
      <c r="AQ24" s="173">
        <f t="shared" si="31"/>
        <v>0</v>
      </c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173">
        <f t="shared" ref="BV24:BV44" si="36">+AO24+AR24+AU24+AX24+BA24+BD24+BG24+BJ24+BM24+BP24+BS24</f>
        <v>0</v>
      </c>
      <c r="BW24" s="173">
        <f t="shared" si="32"/>
        <v>0</v>
      </c>
      <c r="BX24" s="173">
        <f t="shared" si="33"/>
        <v>0</v>
      </c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173">
        <f t="shared" ref="DF24:DF45" si="37">BV24+CB24+CE24+CH24+CK24+CN24+CQ24+CT24+CW24+CZ24+DC24+BY24</f>
        <v>0</v>
      </c>
      <c r="DG24" s="173">
        <f t="shared" si="34"/>
        <v>0</v>
      </c>
      <c r="DH24" s="173">
        <f t="shared" si="35"/>
        <v>0</v>
      </c>
    </row>
    <row r="25" spans="1:112" ht="30" hidden="1" customHeight="1" x14ac:dyDescent="0.25">
      <c r="A25" s="25">
        <v>3</v>
      </c>
      <c r="B25" s="194" t="s">
        <v>274</v>
      </c>
      <c r="C25" s="7" t="s">
        <v>273</v>
      </c>
      <c r="D25" s="7" t="s">
        <v>28</v>
      </c>
      <c r="E25" s="180" t="s">
        <v>353</v>
      </c>
      <c r="F25" s="169" t="s">
        <v>271</v>
      </c>
      <c r="G25" s="25"/>
      <c r="H25" s="25"/>
      <c r="I25" s="7"/>
      <c r="J25" s="3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>
        <v>100</v>
      </c>
      <c r="AJ25" s="6">
        <v>1400</v>
      </c>
      <c r="AK25" s="6">
        <v>896</v>
      </c>
      <c r="AL25" s="6"/>
      <c r="AM25" s="6"/>
      <c r="AN25" s="6"/>
      <c r="AO25" s="173">
        <f t="shared" si="29"/>
        <v>100</v>
      </c>
      <c r="AP25" s="173">
        <f t="shared" si="30"/>
        <v>1400</v>
      </c>
      <c r="AQ25" s="173">
        <f t="shared" si="31"/>
        <v>896</v>
      </c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173">
        <f t="shared" si="36"/>
        <v>100</v>
      </c>
      <c r="BW25" s="173">
        <f t="shared" si="32"/>
        <v>1400</v>
      </c>
      <c r="BX25" s="173">
        <f t="shared" si="33"/>
        <v>896</v>
      </c>
      <c r="BY25" s="6">
        <v>100</v>
      </c>
      <c r="BZ25" s="6">
        <v>1300</v>
      </c>
      <c r="CA25" s="6">
        <v>1048</v>
      </c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>
        <v>50</v>
      </c>
      <c r="DD25" s="6">
        <v>700</v>
      </c>
      <c r="DE25" s="6">
        <v>448</v>
      </c>
      <c r="DF25" s="173">
        <f t="shared" si="37"/>
        <v>250</v>
      </c>
      <c r="DG25" s="173">
        <f t="shared" si="34"/>
        <v>3400</v>
      </c>
      <c r="DH25" s="173">
        <f t="shared" si="35"/>
        <v>2392</v>
      </c>
    </row>
    <row r="26" spans="1:112" ht="30" hidden="1" customHeight="1" x14ac:dyDescent="0.25">
      <c r="A26" s="25">
        <v>4</v>
      </c>
      <c r="B26" s="194" t="s">
        <v>48</v>
      </c>
      <c r="C26" s="7" t="s">
        <v>47</v>
      </c>
      <c r="D26" s="7" t="s">
        <v>28</v>
      </c>
      <c r="E26" s="180" t="s">
        <v>360</v>
      </c>
      <c r="F26" s="169" t="s">
        <v>271</v>
      </c>
      <c r="G26" s="25"/>
      <c r="H26" s="25"/>
      <c r="I26" s="7"/>
      <c r="J26" s="3"/>
      <c r="K26" s="9"/>
      <c r="L26" s="9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>
        <v>50</v>
      </c>
      <c r="AD26" s="6">
        <v>700</v>
      </c>
      <c r="AE26" s="6">
        <v>448</v>
      </c>
      <c r="AF26" s="6"/>
      <c r="AG26" s="6"/>
      <c r="AH26" s="6"/>
      <c r="AI26" s="6"/>
      <c r="AJ26" s="6"/>
      <c r="AK26" s="6"/>
      <c r="AL26" s="6"/>
      <c r="AM26" s="6"/>
      <c r="AN26" s="6"/>
      <c r="AO26" s="173">
        <f t="shared" si="29"/>
        <v>50</v>
      </c>
      <c r="AP26" s="173">
        <f t="shared" si="30"/>
        <v>700</v>
      </c>
      <c r="AQ26" s="173">
        <f t="shared" si="31"/>
        <v>448</v>
      </c>
      <c r="AR26" s="6"/>
      <c r="AS26" s="6"/>
      <c r="AT26" s="6"/>
      <c r="AU26" s="6">
        <v>50</v>
      </c>
      <c r="AV26" s="6">
        <v>700</v>
      </c>
      <c r="AW26" s="6">
        <v>448</v>
      </c>
      <c r="AX26" s="6"/>
      <c r="AY26" s="6"/>
      <c r="AZ26" s="6"/>
      <c r="BA26" s="6"/>
      <c r="BB26" s="6"/>
      <c r="BC26" s="6"/>
      <c r="BD26" s="6">
        <v>60</v>
      </c>
      <c r="BE26" s="6">
        <v>820</v>
      </c>
      <c r="BF26" s="6">
        <v>568</v>
      </c>
      <c r="BG26" s="6"/>
      <c r="BH26" s="6"/>
      <c r="BI26" s="6"/>
      <c r="BJ26" s="6"/>
      <c r="BK26" s="6"/>
      <c r="BL26" s="6"/>
      <c r="BM26" s="6"/>
      <c r="BN26" s="6"/>
      <c r="BO26" s="6"/>
      <c r="BP26" s="6">
        <v>50</v>
      </c>
      <c r="BQ26" s="6">
        <v>700</v>
      </c>
      <c r="BR26" s="6">
        <v>448</v>
      </c>
      <c r="BS26" s="6"/>
      <c r="BT26" s="6"/>
      <c r="BU26" s="6"/>
      <c r="BV26" s="173">
        <f t="shared" si="36"/>
        <v>210</v>
      </c>
      <c r="BW26" s="173">
        <f t="shared" si="32"/>
        <v>2920</v>
      </c>
      <c r="BX26" s="173">
        <f t="shared" si="33"/>
        <v>1912</v>
      </c>
      <c r="BY26" s="6"/>
      <c r="BZ26" s="6"/>
      <c r="CA26" s="6"/>
      <c r="CB26" s="6"/>
      <c r="CC26" s="6"/>
      <c r="CD26" s="6"/>
      <c r="CE26" s="6"/>
      <c r="CF26" s="6"/>
      <c r="CG26" s="6"/>
      <c r="CH26" s="6">
        <v>50</v>
      </c>
      <c r="CI26" s="6">
        <v>700</v>
      </c>
      <c r="CJ26" s="6">
        <v>448</v>
      </c>
      <c r="CK26" s="6"/>
      <c r="CL26" s="6"/>
      <c r="CM26" s="6"/>
      <c r="CN26" s="6"/>
      <c r="CO26" s="6"/>
      <c r="CP26" s="6"/>
      <c r="CQ26" s="6">
        <v>60</v>
      </c>
      <c r="CR26" s="6">
        <v>820</v>
      </c>
      <c r="CS26" s="6">
        <v>568</v>
      </c>
      <c r="CT26" s="6"/>
      <c r="CU26" s="6"/>
      <c r="CV26" s="6"/>
      <c r="CW26" s="6"/>
      <c r="CX26" s="6"/>
      <c r="CY26" s="6"/>
      <c r="CZ26" s="6"/>
      <c r="DA26" s="6"/>
      <c r="DB26" s="6"/>
      <c r="DC26" s="6">
        <v>30</v>
      </c>
      <c r="DD26" s="6">
        <v>420</v>
      </c>
      <c r="DE26" s="6">
        <v>268.8</v>
      </c>
      <c r="DF26" s="173">
        <f t="shared" si="37"/>
        <v>350</v>
      </c>
      <c r="DG26" s="173">
        <f t="shared" si="34"/>
        <v>4860</v>
      </c>
      <c r="DH26" s="173">
        <f t="shared" si="35"/>
        <v>3196.8</v>
      </c>
    </row>
    <row r="27" spans="1:112" ht="30" hidden="1" customHeight="1" x14ac:dyDescent="0.25">
      <c r="A27" s="25">
        <v>5</v>
      </c>
      <c r="B27" s="194" t="s">
        <v>75</v>
      </c>
      <c r="C27" s="7" t="s">
        <v>454</v>
      </c>
      <c r="D27" s="7" t="s">
        <v>28</v>
      </c>
      <c r="E27" s="180" t="s">
        <v>353</v>
      </c>
      <c r="F27" s="169" t="s">
        <v>271</v>
      </c>
      <c r="G27" s="25"/>
      <c r="H27" s="7"/>
      <c r="I27" s="7"/>
      <c r="J27" s="3"/>
      <c r="K27" s="9"/>
      <c r="L27" s="9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173">
        <f t="shared" si="29"/>
        <v>0</v>
      </c>
      <c r="AP27" s="173">
        <f t="shared" si="30"/>
        <v>0</v>
      </c>
      <c r="AQ27" s="173">
        <f t="shared" si="31"/>
        <v>0</v>
      </c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173">
        <f t="shared" si="36"/>
        <v>0</v>
      </c>
      <c r="BW27" s="173">
        <f t="shared" si="32"/>
        <v>0</v>
      </c>
      <c r="BX27" s="173">
        <f t="shared" si="33"/>
        <v>0</v>
      </c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>
        <v>300</v>
      </c>
      <c r="CR27" s="6">
        <v>3600</v>
      </c>
      <c r="CS27" s="6">
        <v>3600</v>
      </c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173">
        <f t="shared" si="37"/>
        <v>300</v>
      </c>
      <c r="DG27" s="173">
        <f t="shared" si="34"/>
        <v>3600</v>
      </c>
      <c r="DH27" s="173">
        <f t="shared" si="35"/>
        <v>3600</v>
      </c>
    </row>
    <row r="28" spans="1:112" ht="30" hidden="1" customHeight="1" x14ac:dyDescent="0.25">
      <c r="A28" s="25">
        <v>6</v>
      </c>
      <c r="B28" s="194" t="s">
        <v>79</v>
      </c>
      <c r="C28" s="7" t="s">
        <v>78</v>
      </c>
      <c r="D28" s="7" t="s">
        <v>21</v>
      </c>
      <c r="E28" s="180" t="s">
        <v>357</v>
      </c>
      <c r="F28" s="169" t="s">
        <v>271</v>
      </c>
      <c r="G28" s="25"/>
      <c r="H28" s="25"/>
      <c r="I28" s="7"/>
      <c r="J28" s="3"/>
      <c r="K28" s="9"/>
      <c r="L28" s="9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173">
        <f t="shared" si="29"/>
        <v>0</v>
      </c>
      <c r="AP28" s="173">
        <f t="shared" si="30"/>
        <v>0</v>
      </c>
      <c r="AQ28" s="173">
        <f t="shared" si="31"/>
        <v>0</v>
      </c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>
        <v>200</v>
      </c>
      <c r="BE28" s="6">
        <v>2660</v>
      </c>
      <c r="BF28" s="6">
        <v>2004.8</v>
      </c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173">
        <f t="shared" si="36"/>
        <v>200</v>
      </c>
      <c r="BW28" s="173">
        <f t="shared" si="32"/>
        <v>2660</v>
      </c>
      <c r="BX28" s="173">
        <f t="shared" si="33"/>
        <v>2004.8</v>
      </c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173">
        <f t="shared" si="37"/>
        <v>200</v>
      </c>
      <c r="DG28" s="173">
        <f t="shared" si="34"/>
        <v>2660</v>
      </c>
      <c r="DH28" s="173">
        <f t="shared" si="35"/>
        <v>2004.8</v>
      </c>
    </row>
    <row r="29" spans="1:112" ht="30" hidden="1" customHeight="1" x14ac:dyDescent="0.25">
      <c r="A29" s="25">
        <v>7</v>
      </c>
      <c r="B29" s="194" t="s">
        <v>89</v>
      </c>
      <c r="C29" s="7" t="s">
        <v>88</v>
      </c>
      <c r="D29" s="7" t="s">
        <v>41</v>
      </c>
      <c r="E29" s="180" t="s">
        <v>354</v>
      </c>
      <c r="F29" s="169" t="s">
        <v>271</v>
      </c>
      <c r="G29" s="25"/>
      <c r="H29" s="7"/>
      <c r="I29" s="7"/>
      <c r="J29" s="3"/>
      <c r="K29" s="9"/>
      <c r="L29" s="9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173">
        <f t="shared" si="29"/>
        <v>0</v>
      </c>
      <c r="AP29" s="173">
        <f t="shared" si="30"/>
        <v>0</v>
      </c>
      <c r="AQ29" s="173">
        <f t="shared" si="31"/>
        <v>0</v>
      </c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173">
        <f t="shared" si="36"/>
        <v>0</v>
      </c>
      <c r="BW29" s="173">
        <f t="shared" si="32"/>
        <v>0</v>
      </c>
      <c r="BX29" s="173">
        <f t="shared" si="33"/>
        <v>0</v>
      </c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>
        <v>210</v>
      </c>
      <c r="DA29" s="6">
        <v>2920</v>
      </c>
      <c r="DB29" s="6">
        <v>1876</v>
      </c>
      <c r="DC29" s="6"/>
      <c r="DD29" s="6"/>
      <c r="DE29" s="6"/>
      <c r="DF29" s="173">
        <f t="shared" si="37"/>
        <v>210</v>
      </c>
      <c r="DG29" s="173">
        <f t="shared" si="34"/>
        <v>2920</v>
      </c>
      <c r="DH29" s="173">
        <f t="shared" si="35"/>
        <v>1876</v>
      </c>
    </row>
    <row r="30" spans="1:112" ht="30" hidden="1" customHeight="1" x14ac:dyDescent="0.25">
      <c r="A30" s="25">
        <v>8</v>
      </c>
      <c r="B30" s="194" t="s">
        <v>144</v>
      </c>
      <c r="C30" s="7" t="s">
        <v>143</v>
      </c>
      <c r="D30" s="7" t="s">
        <v>46</v>
      </c>
      <c r="E30" s="180" t="s">
        <v>357</v>
      </c>
      <c r="F30" s="169" t="s">
        <v>271</v>
      </c>
      <c r="G30" s="25"/>
      <c r="H30" s="25"/>
      <c r="I30" s="7"/>
      <c r="J30" s="3"/>
      <c r="K30" s="9"/>
      <c r="L30" s="9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>
        <v>70</v>
      </c>
      <c r="AA30" s="6">
        <v>840</v>
      </c>
      <c r="AB30" s="6">
        <v>840</v>
      </c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173">
        <f t="shared" si="29"/>
        <v>70</v>
      </c>
      <c r="AP30" s="173">
        <f t="shared" si="30"/>
        <v>840</v>
      </c>
      <c r="AQ30" s="173">
        <f t="shared" si="31"/>
        <v>840</v>
      </c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173">
        <f t="shared" si="36"/>
        <v>70</v>
      </c>
      <c r="BW30" s="173">
        <f t="shared" si="32"/>
        <v>840</v>
      </c>
      <c r="BX30" s="173">
        <f t="shared" si="33"/>
        <v>840</v>
      </c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173">
        <f t="shared" si="37"/>
        <v>70</v>
      </c>
      <c r="DG30" s="173">
        <f t="shared" si="34"/>
        <v>840</v>
      </c>
      <c r="DH30" s="173">
        <f t="shared" si="35"/>
        <v>840</v>
      </c>
    </row>
    <row r="31" spans="1:112" ht="30" hidden="1" customHeight="1" x14ac:dyDescent="0.25">
      <c r="A31" s="25">
        <v>9</v>
      </c>
      <c r="B31" s="194" t="s">
        <v>30</v>
      </c>
      <c r="C31" s="7" t="s">
        <v>29</v>
      </c>
      <c r="D31" s="7" t="s">
        <v>46</v>
      </c>
      <c r="E31" s="180" t="s">
        <v>353</v>
      </c>
      <c r="F31" s="169" t="s">
        <v>271</v>
      </c>
      <c r="G31" s="25" t="s">
        <v>27</v>
      </c>
      <c r="H31" s="7" t="s">
        <v>26</v>
      </c>
      <c r="I31" s="7" t="s">
        <v>25</v>
      </c>
      <c r="J31" s="3" t="s">
        <v>1</v>
      </c>
      <c r="K31" s="9"/>
      <c r="L31" s="9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173">
        <f t="shared" si="29"/>
        <v>0</v>
      </c>
      <c r="AP31" s="173">
        <f t="shared" si="30"/>
        <v>0</v>
      </c>
      <c r="AQ31" s="173">
        <f t="shared" si="31"/>
        <v>0</v>
      </c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173">
        <f t="shared" si="36"/>
        <v>0</v>
      </c>
      <c r="BW31" s="173">
        <f t="shared" si="32"/>
        <v>0</v>
      </c>
      <c r="BX31" s="173">
        <f t="shared" si="33"/>
        <v>0</v>
      </c>
      <c r="BY31" s="6"/>
      <c r="BZ31" s="6"/>
      <c r="CA31" s="6"/>
      <c r="CB31" s="6">
        <v>200</v>
      </c>
      <c r="CC31" s="6">
        <v>2400</v>
      </c>
      <c r="CD31" s="6">
        <v>2400</v>
      </c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173">
        <f t="shared" si="37"/>
        <v>200</v>
      </c>
      <c r="DG31" s="173">
        <f t="shared" si="34"/>
        <v>2400</v>
      </c>
      <c r="DH31" s="173">
        <f t="shared" si="35"/>
        <v>2400</v>
      </c>
    </row>
    <row r="32" spans="1:112" ht="30" hidden="1" customHeight="1" x14ac:dyDescent="0.25">
      <c r="A32" s="25">
        <v>10</v>
      </c>
      <c r="B32" s="194" t="s">
        <v>10</v>
      </c>
      <c r="C32" s="7" t="s">
        <v>9</v>
      </c>
      <c r="D32" s="7" t="s">
        <v>21</v>
      </c>
      <c r="E32" s="180" t="s">
        <v>401</v>
      </c>
      <c r="F32" s="169" t="s">
        <v>271</v>
      </c>
      <c r="G32" s="25" t="s">
        <v>40</v>
      </c>
      <c r="H32" s="25" t="s">
        <v>39</v>
      </c>
      <c r="I32" s="7" t="s">
        <v>38</v>
      </c>
      <c r="J32" s="3" t="s">
        <v>1</v>
      </c>
      <c r="K32" s="9"/>
      <c r="L32" s="9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173">
        <f t="shared" si="29"/>
        <v>0</v>
      </c>
      <c r="AP32" s="173">
        <f t="shared" si="30"/>
        <v>0</v>
      </c>
      <c r="AQ32" s="173">
        <f t="shared" si="31"/>
        <v>0</v>
      </c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173">
        <f t="shared" si="36"/>
        <v>0</v>
      </c>
      <c r="BW32" s="173">
        <f t="shared" si="32"/>
        <v>0</v>
      </c>
      <c r="BX32" s="173">
        <f t="shared" si="33"/>
        <v>0</v>
      </c>
      <c r="BY32" s="6"/>
      <c r="BZ32" s="6"/>
      <c r="CA32" s="6"/>
      <c r="CB32" s="6">
        <v>100</v>
      </c>
      <c r="CC32" s="6">
        <v>1300</v>
      </c>
      <c r="CD32" s="6">
        <v>1048</v>
      </c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173">
        <f t="shared" si="37"/>
        <v>100</v>
      </c>
      <c r="DG32" s="173">
        <f t="shared" si="34"/>
        <v>1300</v>
      </c>
      <c r="DH32" s="173">
        <f t="shared" si="35"/>
        <v>1048</v>
      </c>
    </row>
    <row r="33" spans="1:112" ht="30" hidden="1" customHeight="1" x14ac:dyDescent="0.25">
      <c r="A33" s="25">
        <v>11</v>
      </c>
      <c r="B33" s="194" t="s">
        <v>306</v>
      </c>
      <c r="C33" s="7" t="s">
        <v>305</v>
      </c>
      <c r="D33" s="7" t="s">
        <v>41</v>
      </c>
      <c r="E33" s="180" t="s">
        <v>353</v>
      </c>
      <c r="F33" s="169" t="s">
        <v>271</v>
      </c>
      <c r="G33" s="25" t="s">
        <v>4</v>
      </c>
      <c r="H33" s="7" t="s">
        <v>3</v>
      </c>
      <c r="I33" s="7" t="s">
        <v>2</v>
      </c>
      <c r="J33" s="3" t="s">
        <v>1</v>
      </c>
      <c r="K33" s="9"/>
      <c r="L33" s="9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173">
        <f t="shared" si="29"/>
        <v>0</v>
      </c>
      <c r="AP33" s="173">
        <f t="shared" si="30"/>
        <v>0</v>
      </c>
      <c r="AQ33" s="173">
        <f t="shared" si="31"/>
        <v>0</v>
      </c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173">
        <f t="shared" si="36"/>
        <v>0</v>
      </c>
      <c r="BW33" s="173">
        <f t="shared" si="32"/>
        <v>0</v>
      </c>
      <c r="BX33" s="173">
        <f t="shared" si="33"/>
        <v>0</v>
      </c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>
        <v>50</v>
      </c>
      <c r="CO33" s="6">
        <v>600</v>
      </c>
      <c r="CP33" s="6">
        <v>600</v>
      </c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173">
        <f t="shared" si="37"/>
        <v>50</v>
      </c>
      <c r="DG33" s="173">
        <f t="shared" si="34"/>
        <v>600</v>
      </c>
      <c r="DH33" s="173">
        <f t="shared" si="35"/>
        <v>600</v>
      </c>
    </row>
    <row r="34" spans="1:112" ht="30" hidden="1" customHeight="1" x14ac:dyDescent="0.25">
      <c r="A34" s="25">
        <v>12</v>
      </c>
      <c r="B34" s="194" t="s">
        <v>23</v>
      </c>
      <c r="C34" s="7" t="s">
        <v>22</v>
      </c>
      <c r="D34" s="7" t="s">
        <v>41</v>
      </c>
      <c r="E34" s="180" t="s">
        <v>357</v>
      </c>
      <c r="F34" s="169" t="s">
        <v>271</v>
      </c>
      <c r="G34" s="25" t="s">
        <v>27</v>
      </c>
      <c r="H34" s="7" t="s">
        <v>26</v>
      </c>
      <c r="I34" s="7" t="s">
        <v>25</v>
      </c>
      <c r="J34" s="3" t="s">
        <v>1</v>
      </c>
      <c r="K34" s="9"/>
      <c r="L34" s="9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173">
        <f t="shared" si="29"/>
        <v>0</v>
      </c>
      <c r="AP34" s="173">
        <f t="shared" si="30"/>
        <v>0</v>
      </c>
      <c r="AQ34" s="173">
        <f t="shared" si="31"/>
        <v>0</v>
      </c>
      <c r="AR34" s="6"/>
      <c r="AS34" s="6"/>
      <c r="AT34" s="6"/>
      <c r="AU34" s="6"/>
      <c r="AV34" s="6"/>
      <c r="AW34" s="6"/>
      <c r="AX34" s="6"/>
      <c r="AY34" s="6"/>
      <c r="AZ34" s="6"/>
      <c r="BA34" s="6">
        <v>204</v>
      </c>
      <c r="BB34" s="6">
        <v>2856</v>
      </c>
      <c r="BC34" s="6">
        <v>1827.84</v>
      </c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173">
        <f t="shared" si="36"/>
        <v>204</v>
      </c>
      <c r="BW34" s="173">
        <f t="shared" si="32"/>
        <v>2856</v>
      </c>
      <c r="BX34" s="173">
        <f t="shared" si="33"/>
        <v>1827.84</v>
      </c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173">
        <f t="shared" si="37"/>
        <v>204</v>
      </c>
      <c r="DG34" s="173">
        <f t="shared" si="34"/>
        <v>2856</v>
      </c>
      <c r="DH34" s="173">
        <f t="shared" si="35"/>
        <v>1827.84</v>
      </c>
    </row>
    <row r="35" spans="1:112" ht="30" hidden="1" customHeight="1" x14ac:dyDescent="0.25">
      <c r="A35" s="25">
        <v>13</v>
      </c>
      <c r="B35" s="194" t="s">
        <v>309</v>
      </c>
      <c r="C35" s="7" t="s">
        <v>455</v>
      </c>
      <c r="D35" s="7" t="s">
        <v>41</v>
      </c>
      <c r="E35" s="180" t="s">
        <v>353</v>
      </c>
      <c r="F35" s="169" t="s">
        <v>271</v>
      </c>
      <c r="G35" s="25" t="s">
        <v>40</v>
      </c>
      <c r="H35" s="25" t="s">
        <v>39</v>
      </c>
      <c r="I35" s="7" t="s">
        <v>38</v>
      </c>
      <c r="J35" s="3"/>
      <c r="K35" s="9"/>
      <c r="L35" s="9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173">
        <f t="shared" si="29"/>
        <v>0</v>
      </c>
      <c r="AP35" s="173">
        <f t="shared" si="30"/>
        <v>0</v>
      </c>
      <c r="AQ35" s="173">
        <f t="shared" si="31"/>
        <v>0</v>
      </c>
      <c r="AR35" s="6"/>
      <c r="AS35" s="6"/>
      <c r="AT35" s="6"/>
      <c r="AU35" s="6"/>
      <c r="AV35" s="6"/>
      <c r="AW35" s="6"/>
      <c r="AX35" s="6">
        <v>50</v>
      </c>
      <c r="AY35" s="6">
        <v>640</v>
      </c>
      <c r="AZ35" s="6">
        <v>539.20000000000005</v>
      </c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>
        <v>80</v>
      </c>
      <c r="BQ35" s="6">
        <v>1020</v>
      </c>
      <c r="BR35" s="6">
        <v>868.8</v>
      </c>
      <c r="BS35" s="6"/>
      <c r="BT35" s="6"/>
      <c r="BU35" s="6"/>
      <c r="BV35" s="173">
        <f t="shared" si="36"/>
        <v>130</v>
      </c>
      <c r="BW35" s="173">
        <f t="shared" si="32"/>
        <v>1660</v>
      </c>
      <c r="BX35" s="173">
        <f t="shared" si="33"/>
        <v>1408</v>
      </c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173">
        <f t="shared" si="37"/>
        <v>130</v>
      </c>
      <c r="DG35" s="173">
        <f t="shared" si="34"/>
        <v>1660</v>
      </c>
      <c r="DH35" s="173">
        <f t="shared" si="35"/>
        <v>1408</v>
      </c>
    </row>
    <row r="36" spans="1:112" ht="30" hidden="1" customHeight="1" x14ac:dyDescent="0.25">
      <c r="A36" s="25">
        <v>14</v>
      </c>
      <c r="B36" s="194" t="s">
        <v>304</v>
      </c>
      <c r="C36" s="7" t="s">
        <v>303</v>
      </c>
      <c r="D36" s="7" t="s">
        <v>46</v>
      </c>
      <c r="E36" s="180" t="s">
        <v>353</v>
      </c>
      <c r="F36" s="169" t="s">
        <v>271</v>
      </c>
      <c r="G36" s="25"/>
      <c r="H36" s="7"/>
      <c r="I36" s="7"/>
      <c r="J36" s="3"/>
      <c r="K36" s="9"/>
      <c r="L36" s="9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173">
        <f t="shared" si="29"/>
        <v>0</v>
      </c>
      <c r="AP36" s="173">
        <f t="shared" si="30"/>
        <v>0</v>
      </c>
      <c r="AQ36" s="173">
        <f t="shared" si="31"/>
        <v>0</v>
      </c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173">
        <f t="shared" si="36"/>
        <v>0</v>
      </c>
      <c r="BW36" s="173">
        <f t="shared" si="32"/>
        <v>0</v>
      </c>
      <c r="BX36" s="173">
        <f t="shared" si="33"/>
        <v>0</v>
      </c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>
        <v>100</v>
      </c>
      <c r="DD36" s="6">
        <v>1400</v>
      </c>
      <c r="DE36" s="6">
        <v>896</v>
      </c>
      <c r="DF36" s="173">
        <f t="shared" si="37"/>
        <v>100</v>
      </c>
      <c r="DG36" s="173">
        <f t="shared" si="34"/>
        <v>1400</v>
      </c>
      <c r="DH36" s="173">
        <f t="shared" si="35"/>
        <v>896</v>
      </c>
    </row>
    <row r="37" spans="1:112" ht="30" hidden="1" customHeight="1" x14ac:dyDescent="0.25">
      <c r="A37" s="25">
        <v>15</v>
      </c>
      <c r="B37" s="194" t="s">
        <v>45</v>
      </c>
      <c r="C37" s="7" t="s">
        <v>44</v>
      </c>
      <c r="D37" s="7" t="s">
        <v>24</v>
      </c>
      <c r="E37" s="180" t="s">
        <v>357</v>
      </c>
      <c r="F37" s="169" t="s">
        <v>271</v>
      </c>
      <c r="G37" s="25"/>
      <c r="H37" s="7"/>
      <c r="I37" s="7"/>
      <c r="J37" s="3"/>
      <c r="K37" s="9"/>
      <c r="L37" s="9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173">
        <f t="shared" si="29"/>
        <v>0</v>
      </c>
      <c r="AP37" s="173">
        <f t="shared" si="30"/>
        <v>0</v>
      </c>
      <c r="AQ37" s="173">
        <f t="shared" si="31"/>
        <v>0</v>
      </c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>
        <v>200</v>
      </c>
      <c r="BQ37" s="6">
        <v>2600</v>
      </c>
      <c r="BR37" s="6">
        <v>2096</v>
      </c>
      <c r="BS37" s="6"/>
      <c r="BT37" s="6"/>
      <c r="BU37" s="6"/>
      <c r="BV37" s="173">
        <f t="shared" si="36"/>
        <v>200</v>
      </c>
      <c r="BW37" s="173">
        <f t="shared" si="32"/>
        <v>2600</v>
      </c>
      <c r="BX37" s="173">
        <f t="shared" si="33"/>
        <v>2096</v>
      </c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173">
        <f t="shared" si="37"/>
        <v>200</v>
      </c>
      <c r="DG37" s="173">
        <f t="shared" si="34"/>
        <v>2600</v>
      </c>
      <c r="DH37" s="173">
        <f t="shared" si="35"/>
        <v>2096</v>
      </c>
    </row>
    <row r="38" spans="1:112" ht="30" hidden="1" customHeight="1" x14ac:dyDescent="0.25">
      <c r="A38" s="25">
        <v>16</v>
      </c>
      <c r="B38" s="194" t="s">
        <v>50</v>
      </c>
      <c r="C38" s="7" t="s">
        <v>49</v>
      </c>
      <c r="D38" s="7" t="s">
        <v>46</v>
      </c>
      <c r="E38" s="180" t="s">
        <v>360</v>
      </c>
      <c r="F38" s="169" t="s">
        <v>271</v>
      </c>
      <c r="G38" s="25"/>
      <c r="H38" s="7"/>
      <c r="I38" s="7"/>
      <c r="J38" s="3"/>
      <c r="K38" s="9"/>
      <c r="L38" s="9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173">
        <f t="shared" si="29"/>
        <v>0</v>
      </c>
      <c r="AP38" s="173">
        <f t="shared" si="30"/>
        <v>0</v>
      </c>
      <c r="AQ38" s="173">
        <f t="shared" si="31"/>
        <v>0</v>
      </c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173">
        <f t="shared" si="36"/>
        <v>0</v>
      </c>
      <c r="BW38" s="173">
        <f t="shared" si="32"/>
        <v>0</v>
      </c>
      <c r="BX38" s="173">
        <f t="shared" si="33"/>
        <v>0</v>
      </c>
      <c r="BY38" s="6"/>
      <c r="BZ38" s="6"/>
      <c r="CA38" s="6"/>
      <c r="CB38" s="6">
        <v>100</v>
      </c>
      <c r="CC38" s="6">
        <v>1400</v>
      </c>
      <c r="CD38" s="6">
        <v>896</v>
      </c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173">
        <f t="shared" si="37"/>
        <v>100</v>
      </c>
      <c r="DG38" s="173">
        <f t="shared" si="34"/>
        <v>1400</v>
      </c>
      <c r="DH38" s="173">
        <f t="shared" si="35"/>
        <v>896</v>
      </c>
    </row>
    <row r="39" spans="1:112" ht="30" hidden="1" customHeight="1" x14ac:dyDescent="0.25">
      <c r="A39" s="25">
        <v>17</v>
      </c>
      <c r="B39" s="194" t="s">
        <v>67</v>
      </c>
      <c r="C39" s="7" t="s">
        <v>66</v>
      </c>
      <c r="D39" s="7" t="s">
        <v>46</v>
      </c>
      <c r="E39" s="180" t="s">
        <v>352</v>
      </c>
      <c r="F39" s="169" t="s">
        <v>271</v>
      </c>
      <c r="G39" s="25"/>
      <c r="H39" s="7"/>
      <c r="I39" s="7"/>
      <c r="J39" s="3"/>
      <c r="K39" s="9"/>
      <c r="L39" s="9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173">
        <f t="shared" si="29"/>
        <v>0</v>
      </c>
      <c r="AP39" s="173">
        <f t="shared" si="30"/>
        <v>0</v>
      </c>
      <c r="AQ39" s="173">
        <f t="shared" si="31"/>
        <v>0</v>
      </c>
      <c r="AR39" s="6"/>
      <c r="AS39" s="6"/>
      <c r="AT39" s="6"/>
      <c r="AU39" s="6"/>
      <c r="AV39" s="6"/>
      <c r="AW39" s="6"/>
      <c r="AX39" s="6">
        <v>100</v>
      </c>
      <c r="AY39" s="6">
        <v>1400</v>
      </c>
      <c r="AZ39" s="6">
        <v>896</v>
      </c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173">
        <f t="shared" si="36"/>
        <v>100</v>
      </c>
      <c r="BW39" s="173">
        <f t="shared" si="32"/>
        <v>1400</v>
      </c>
      <c r="BX39" s="173">
        <f t="shared" si="33"/>
        <v>896</v>
      </c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173">
        <f t="shared" si="37"/>
        <v>100</v>
      </c>
      <c r="DG39" s="173">
        <f t="shared" si="34"/>
        <v>1400</v>
      </c>
      <c r="DH39" s="173">
        <f t="shared" si="35"/>
        <v>896</v>
      </c>
    </row>
    <row r="40" spans="1:112" ht="30" hidden="1" customHeight="1" x14ac:dyDescent="0.25">
      <c r="A40" s="25">
        <v>18</v>
      </c>
      <c r="B40" s="194" t="s">
        <v>300</v>
      </c>
      <c r="C40" s="7" t="s">
        <v>299</v>
      </c>
      <c r="D40" s="7" t="s">
        <v>8</v>
      </c>
      <c r="E40" s="180" t="s">
        <v>360</v>
      </c>
      <c r="F40" s="169" t="s">
        <v>271</v>
      </c>
      <c r="G40" s="25"/>
      <c r="H40" s="7"/>
      <c r="I40" s="7"/>
      <c r="J40" s="3"/>
      <c r="K40" s="9"/>
      <c r="L40" s="9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>
        <v>49</v>
      </c>
      <c r="AD40" s="6">
        <v>686</v>
      </c>
      <c r="AE40" s="6">
        <v>439.04</v>
      </c>
      <c r="AF40" s="6"/>
      <c r="AG40" s="6"/>
      <c r="AH40" s="6"/>
      <c r="AI40" s="6"/>
      <c r="AJ40" s="6"/>
      <c r="AK40" s="6"/>
      <c r="AL40" s="6"/>
      <c r="AM40" s="6"/>
      <c r="AN40" s="6"/>
      <c r="AO40" s="173">
        <f t="shared" si="29"/>
        <v>49</v>
      </c>
      <c r="AP40" s="173">
        <f t="shared" si="30"/>
        <v>686</v>
      </c>
      <c r="AQ40" s="173">
        <f t="shared" si="31"/>
        <v>439.04</v>
      </c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>
        <v>25</v>
      </c>
      <c r="BE40" s="6">
        <v>350</v>
      </c>
      <c r="BF40" s="6">
        <v>224</v>
      </c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173">
        <f t="shared" si="36"/>
        <v>74</v>
      </c>
      <c r="BW40" s="173">
        <f t="shared" si="32"/>
        <v>1036</v>
      </c>
      <c r="BX40" s="173">
        <f t="shared" si="33"/>
        <v>663.04</v>
      </c>
      <c r="BY40" s="6"/>
      <c r="BZ40" s="6"/>
      <c r="CA40" s="6"/>
      <c r="CB40" s="6">
        <v>25</v>
      </c>
      <c r="CC40" s="6">
        <v>350</v>
      </c>
      <c r="CD40" s="6">
        <v>224</v>
      </c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>
        <v>25</v>
      </c>
      <c r="CR40" s="6">
        <v>350</v>
      </c>
      <c r="CS40" s="6">
        <v>224</v>
      </c>
      <c r="CT40" s="6"/>
      <c r="CU40" s="6"/>
      <c r="CV40" s="6"/>
      <c r="CW40" s="6"/>
      <c r="CX40" s="6"/>
      <c r="CY40" s="6"/>
      <c r="CZ40" s="6"/>
      <c r="DA40" s="6"/>
      <c r="DB40" s="6"/>
      <c r="DC40" s="6">
        <v>25</v>
      </c>
      <c r="DD40" s="6">
        <v>350</v>
      </c>
      <c r="DE40" s="6">
        <v>224</v>
      </c>
      <c r="DF40" s="173">
        <f t="shared" si="37"/>
        <v>149</v>
      </c>
      <c r="DG40" s="173">
        <f t="shared" si="34"/>
        <v>2086</v>
      </c>
      <c r="DH40" s="173">
        <f t="shared" si="35"/>
        <v>1335.04</v>
      </c>
    </row>
    <row r="41" spans="1:112" ht="30" hidden="1" customHeight="1" x14ac:dyDescent="0.25">
      <c r="A41" s="25">
        <v>19</v>
      </c>
      <c r="B41" s="194" t="s">
        <v>302</v>
      </c>
      <c r="C41" s="7" t="s">
        <v>302</v>
      </c>
      <c r="D41" s="7" t="s">
        <v>41</v>
      </c>
      <c r="E41" s="180" t="s">
        <v>358</v>
      </c>
      <c r="F41" s="169" t="s">
        <v>271</v>
      </c>
      <c r="G41" s="25"/>
      <c r="H41" s="7"/>
      <c r="I41" s="7"/>
      <c r="J41" s="3"/>
      <c r="K41" s="9"/>
      <c r="L41" s="9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>
        <v>35</v>
      </c>
      <c r="AM41" s="6">
        <v>470</v>
      </c>
      <c r="AN41" s="6">
        <v>344</v>
      </c>
      <c r="AO41" s="173">
        <f t="shared" si="29"/>
        <v>35</v>
      </c>
      <c r="AP41" s="173">
        <f t="shared" si="30"/>
        <v>470</v>
      </c>
      <c r="AQ41" s="173">
        <f t="shared" si="31"/>
        <v>344</v>
      </c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>
        <v>40</v>
      </c>
      <c r="BQ41" s="6">
        <v>530</v>
      </c>
      <c r="BR41" s="6">
        <v>404</v>
      </c>
      <c r="BS41" s="6"/>
      <c r="BT41" s="6"/>
      <c r="BU41" s="6"/>
      <c r="BV41" s="173">
        <f t="shared" si="36"/>
        <v>75</v>
      </c>
      <c r="BW41" s="173">
        <f t="shared" si="32"/>
        <v>1000</v>
      </c>
      <c r="BX41" s="173">
        <f t="shared" si="33"/>
        <v>748</v>
      </c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>
        <v>35</v>
      </c>
      <c r="CX41" s="6">
        <v>470</v>
      </c>
      <c r="CY41" s="6">
        <v>344</v>
      </c>
      <c r="CZ41" s="6"/>
      <c r="DA41" s="6"/>
      <c r="DB41" s="6"/>
      <c r="DC41" s="6"/>
      <c r="DD41" s="6"/>
      <c r="DE41" s="6"/>
      <c r="DF41" s="173">
        <f t="shared" si="37"/>
        <v>110</v>
      </c>
      <c r="DG41" s="173">
        <f t="shared" si="34"/>
        <v>1470</v>
      </c>
      <c r="DH41" s="173">
        <f t="shared" si="35"/>
        <v>1092</v>
      </c>
    </row>
    <row r="42" spans="1:112" ht="30" hidden="1" customHeight="1" x14ac:dyDescent="0.25">
      <c r="A42" s="25">
        <v>20</v>
      </c>
      <c r="B42" s="194" t="s">
        <v>294</v>
      </c>
      <c r="C42" s="7" t="s">
        <v>294</v>
      </c>
      <c r="D42" s="7" t="s">
        <v>41</v>
      </c>
      <c r="E42" s="181" t="s">
        <v>358</v>
      </c>
      <c r="F42" s="169" t="s">
        <v>271</v>
      </c>
      <c r="G42" s="25"/>
      <c r="H42" s="7"/>
      <c r="I42" s="7"/>
      <c r="J42" s="3"/>
      <c r="K42" s="9"/>
      <c r="L42" s="9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173">
        <f t="shared" si="29"/>
        <v>0</v>
      </c>
      <c r="AP42" s="173">
        <f t="shared" si="30"/>
        <v>0</v>
      </c>
      <c r="AQ42" s="173">
        <f t="shared" si="31"/>
        <v>0</v>
      </c>
      <c r="AR42" s="6"/>
      <c r="AS42" s="6"/>
      <c r="AT42" s="6"/>
      <c r="AU42" s="6"/>
      <c r="AV42" s="6"/>
      <c r="AW42" s="6"/>
      <c r="AX42" s="6"/>
      <c r="AY42" s="6"/>
      <c r="AZ42" s="6"/>
      <c r="BA42" s="6">
        <v>0.5</v>
      </c>
      <c r="BB42" s="6">
        <v>6</v>
      </c>
      <c r="BC42" s="6">
        <v>6</v>
      </c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>
        <v>5</v>
      </c>
      <c r="BT42" s="6">
        <v>60</v>
      </c>
      <c r="BU42" s="6">
        <v>60</v>
      </c>
      <c r="BV42" s="173">
        <f t="shared" si="36"/>
        <v>5.5</v>
      </c>
      <c r="BW42" s="173">
        <f t="shared" si="32"/>
        <v>66</v>
      </c>
      <c r="BX42" s="173">
        <f t="shared" si="33"/>
        <v>66</v>
      </c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173">
        <f t="shared" si="37"/>
        <v>5.5</v>
      </c>
      <c r="DG42" s="173">
        <f t="shared" si="34"/>
        <v>66</v>
      </c>
      <c r="DH42" s="173">
        <f t="shared" si="35"/>
        <v>66</v>
      </c>
    </row>
    <row r="43" spans="1:112" ht="30" hidden="1" customHeight="1" x14ac:dyDescent="0.25">
      <c r="A43" s="25">
        <v>21</v>
      </c>
      <c r="B43" s="194" t="s">
        <v>307</v>
      </c>
      <c r="C43" s="7" t="s">
        <v>307</v>
      </c>
      <c r="D43" s="7" t="s">
        <v>46</v>
      </c>
      <c r="E43" s="181" t="s">
        <v>353</v>
      </c>
      <c r="F43" s="169" t="s">
        <v>271</v>
      </c>
      <c r="G43" s="25"/>
      <c r="H43" s="7"/>
      <c r="I43" s="7"/>
      <c r="J43" s="3"/>
      <c r="K43" s="9"/>
      <c r="L43" s="9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173">
        <f t="shared" si="29"/>
        <v>0</v>
      </c>
      <c r="AP43" s="173">
        <f t="shared" si="30"/>
        <v>0</v>
      </c>
      <c r="AQ43" s="173">
        <f t="shared" si="31"/>
        <v>0</v>
      </c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173">
        <f t="shared" si="36"/>
        <v>0</v>
      </c>
      <c r="BW43" s="173">
        <f t="shared" si="32"/>
        <v>0</v>
      </c>
      <c r="BX43" s="173">
        <f t="shared" si="33"/>
        <v>0</v>
      </c>
      <c r="BY43" s="6"/>
      <c r="BZ43" s="6"/>
      <c r="CA43" s="6"/>
      <c r="CB43" s="6">
        <v>50</v>
      </c>
      <c r="CC43" s="6">
        <v>640</v>
      </c>
      <c r="CD43" s="6">
        <v>539.20000000000005</v>
      </c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173">
        <f t="shared" si="37"/>
        <v>50</v>
      </c>
      <c r="DG43" s="173">
        <f t="shared" si="34"/>
        <v>640</v>
      </c>
      <c r="DH43" s="173">
        <f t="shared" si="35"/>
        <v>539.20000000000005</v>
      </c>
    </row>
    <row r="44" spans="1:112" ht="30" hidden="1" customHeight="1" x14ac:dyDescent="0.25">
      <c r="A44" s="25">
        <v>22</v>
      </c>
      <c r="B44" s="194" t="s">
        <v>142</v>
      </c>
      <c r="C44" s="7" t="s">
        <v>142</v>
      </c>
      <c r="D44" s="7" t="s">
        <v>28</v>
      </c>
      <c r="E44" s="180" t="s">
        <v>360</v>
      </c>
      <c r="F44" s="169" t="s">
        <v>271</v>
      </c>
      <c r="G44" s="25"/>
      <c r="H44" s="7"/>
      <c r="I44" s="7"/>
      <c r="J44" s="3"/>
      <c r="K44" s="9"/>
      <c r="L44" s="9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173">
        <f t="shared" si="29"/>
        <v>0</v>
      </c>
      <c r="AP44" s="173">
        <f t="shared" si="30"/>
        <v>0</v>
      </c>
      <c r="AQ44" s="173">
        <f t="shared" si="31"/>
        <v>0</v>
      </c>
      <c r="AR44" s="6"/>
      <c r="AS44" s="6"/>
      <c r="AT44" s="6"/>
      <c r="AU44" s="6">
        <v>50</v>
      </c>
      <c r="AV44" s="6">
        <v>700</v>
      </c>
      <c r="AW44" s="6">
        <v>448</v>
      </c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173">
        <f t="shared" si="36"/>
        <v>50</v>
      </c>
      <c r="BW44" s="173">
        <f t="shared" si="32"/>
        <v>700</v>
      </c>
      <c r="BX44" s="173">
        <f t="shared" si="33"/>
        <v>448</v>
      </c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>
        <v>50</v>
      </c>
      <c r="DD44" s="6">
        <v>700</v>
      </c>
      <c r="DE44" s="6">
        <v>448</v>
      </c>
      <c r="DF44" s="173">
        <f t="shared" si="37"/>
        <v>100</v>
      </c>
      <c r="DG44" s="173">
        <f t="shared" si="34"/>
        <v>1400</v>
      </c>
      <c r="DH44" s="173">
        <f t="shared" si="35"/>
        <v>896</v>
      </c>
    </row>
    <row r="45" spans="1:112" ht="30" hidden="1" customHeight="1" x14ac:dyDescent="0.25">
      <c r="A45" s="25">
        <v>23</v>
      </c>
      <c r="B45" s="194" t="s">
        <v>18</v>
      </c>
      <c r="C45" s="7" t="s">
        <v>17</v>
      </c>
      <c r="D45" s="7" t="s">
        <v>21</v>
      </c>
      <c r="E45" s="180" t="s">
        <v>354</v>
      </c>
      <c r="F45" s="169" t="s">
        <v>271</v>
      </c>
      <c r="G45" s="25"/>
      <c r="H45" s="7"/>
      <c r="I45" s="7"/>
      <c r="J45" s="3"/>
      <c r="K45" s="9"/>
      <c r="L45" s="9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173">
        <f t="shared" si="29"/>
        <v>0</v>
      </c>
      <c r="AP45" s="173">
        <f t="shared" si="30"/>
        <v>0</v>
      </c>
      <c r="AQ45" s="173">
        <f t="shared" si="31"/>
        <v>0</v>
      </c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173">
        <f>+AO45+AR45+AU45+AX45+BA45+BD45+BG45+BJ45+BM45+BP45+BS45</f>
        <v>0</v>
      </c>
      <c r="BW45" s="173">
        <f t="shared" si="32"/>
        <v>0</v>
      </c>
      <c r="BX45" s="173">
        <f t="shared" si="33"/>
        <v>0</v>
      </c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173">
        <f t="shared" si="37"/>
        <v>0</v>
      </c>
      <c r="DG45" s="173">
        <f t="shared" si="34"/>
        <v>0</v>
      </c>
      <c r="DH45" s="173">
        <f t="shared" si="35"/>
        <v>0</v>
      </c>
    </row>
    <row r="46" spans="1:112" ht="30" hidden="1" customHeight="1" x14ac:dyDescent="0.25">
      <c r="A46" s="376">
        <v>24</v>
      </c>
      <c r="B46" s="380" t="s">
        <v>449</v>
      </c>
      <c r="C46" s="7" t="s">
        <v>286</v>
      </c>
      <c r="D46" s="7" t="s">
        <v>450</v>
      </c>
      <c r="E46" s="7" t="s">
        <v>360</v>
      </c>
      <c r="F46" s="169" t="s">
        <v>271</v>
      </c>
      <c r="G46" s="377"/>
      <c r="H46" s="281"/>
      <c r="I46" s="281"/>
      <c r="J46" s="3"/>
      <c r="K46" s="9"/>
      <c r="L46" s="9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>
        <v>50</v>
      </c>
      <c r="AD46" s="6">
        <v>700</v>
      </c>
      <c r="AE46" s="6">
        <v>448</v>
      </c>
      <c r="AF46" s="6"/>
      <c r="AG46" s="6"/>
      <c r="AH46" s="6"/>
      <c r="AI46" s="6"/>
      <c r="AJ46" s="6"/>
      <c r="AK46" s="6"/>
      <c r="AL46" s="6"/>
      <c r="AM46" s="6"/>
      <c r="AN46" s="6"/>
      <c r="AO46" s="173">
        <f t="shared" ref="AO46" si="38">+K46+N46+Q46+T46+W46+Z46+AC46+AF46+AI46+AL46</f>
        <v>50</v>
      </c>
      <c r="AP46" s="173">
        <f t="shared" ref="AP46" si="39">+L46+O46+R46+U46+X46+AA46+AD46+AG46+AJ46+AM46</f>
        <v>700</v>
      </c>
      <c r="AQ46" s="173">
        <f t="shared" ref="AQ46" si="40">+M46+P46+S46+V46+Y46+AB46+AE46+AH46+AK46+AN46</f>
        <v>448</v>
      </c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173">
        <f>+AO46+AR46+AU46+AX46+BA46+BD46+BG46+BJ46+BM46+BP46+BS46</f>
        <v>50</v>
      </c>
      <c r="BW46" s="173">
        <f t="shared" ref="BW46" si="41">+AP46+AS46+AV46+AY46+BB46+BE46+BH46+BK46+BN46+BQ46+BT46</f>
        <v>700</v>
      </c>
      <c r="BX46" s="173">
        <f t="shared" ref="BX46" si="42">+AQ46+AT46+AW46+AZ46+BC46+BF46+BI46+BL46+BO46+BR46+BU46</f>
        <v>448</v>
      </c>
      <c r="BY46" s="6"/>
      <c r="BZ46" s="6"/>
      <c r="CA46" s="6"/>
      <c r="CB46" s="6">
        <v>50</v>
      </c>
      <c r="CC46" s="6">
        <v>700</v>
      </c>
      <c r="CD46" s="6">
        <v>448</v>
      </c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173">
        <f t="shared" ref="DF46" si="43">BV46+CB46+CE46+CH46+CK46+CN46+CQ46+CT46+CW46+CZ46+DC46+BY46</f>
        <v>100</v>
      </c>
      <c r="DG46" s="173">
        <f t="shared" ref="DG46" si="44">BW46+CC46+CF46+CI46+CL46+CO46+CR46+CU46+CX46+DA46+DD46+BZ46</f>
        <v>1400</v>
      </c>
      <c r="DH46" s="173">
        <f t="shared" ref="DH46" si="45">BX46+CD46+CG46+CJ46+CM46+CP46+CS46+CV46+CY46+DB46+DE46+CA46</f>
        <v>896</v>
      </c>
    </row>
    <row r="47" spans="1:112" ht="30" hidden="1" customHeight="1" x14ac:dyDescent="0.25">
      <c r="A47" s="522" t="s">
        <v>0</v>
      </c>
      <c r="B47" s="523"/>
      <c r="C47" s="523"/>
      <c r="D47" s="523"/>
      <c r="E47" s="523"/>
      <c r="F47" s="523"/>
      <c r="G47" s="523"/>
      <c r="H47" s="523"/>
      <c r="I47" s="523"/>
      <c r="J47" s="524"/>
      <c r="K47" s="7">
        <f>SUM(K23:K46)</f>
        <v>0</v>
      </c>
      <c r="L47" s="7">
        <f t="shared" ref="L47:AN47" si="46">SUM(L23:L46)</f>
        <v>0</v>
      </c>
      <c r="M47" s="7">
        <f t="shared" si="46"/>
        <v>0</v>
      </c>
      <c r="N47" s="7">
        <f t="shared" si="46"/>
        <v>0</v>
      </c>
      <c r="O47" s="7">
        <f t="shared" si="46"/>
        <v>0</v>
      </c>
      <c r="P47" s="7">
        <f t="shared" si="46"/>
        <v>0</v>
      </c>
      <c r="Q47" s="7">
        <f t="shared" si="46"/>
        <v>0</v>
      </c>
      <c r="R47" s="7">
        <f t="shared" si="46"/>
        <v>0</v>
      </c>
      <c r="S47" s="7">
        <f t="shared" si="46"/>
        <v>0</v>
      </c>
      <c r="T47" s="7">
        <f t="shared" si="46"/>
        <v>0</v>
      </c>
      <c r="U47" s="7">
        <f t="shared" si="46"/>
        <v>0</v>
      </c>
      <c r="V47" s="7">
        <f t="shared" si="46"/>
        <v>0</v>
      </c>
      <c r="W47" s="7">
        <f t="shared" si="46"/>
        <v>0</v>
      </c>
      <c r="X47" s="7">
        <f t="shared" si="46"/>
        <v>0</v>
      </c>
      <c r="Y47" s="7">
        <f t="shared" si="46"/>
        <v>0</v>
      </c>
      <c r="Z47" s="7">
        <f t="shared" si="46"/>
        <v>120</v>
      </c>
      <c r="AA47" s="7">
        <f t="shared" si="46"/>
        <v>1440</v>
      </c>
      <c r="AB47" s="7">
        <f t="shared" si="46"/>
        <v>1440</v>
      </c>
      <c r="AC47" s="7">
        <f t="shared" si="46"/>
        <v>149</v>
      </c>
      <c r="AD47" s="7">
        <f t="shared" si="46"/>
        <v>2086</v>
      </c>
      <c r="AE47" s="7">
        <f t="shared" si="46"/>
        <v>1335.04</v>
      </c>
      <c r="AF47" s="7">
        <f t="shared" si="46"/>
        <v>0</v>
      </c>
      <c r="AG47" s="7">
        <f t="shared" si="46"/>
        <v>0</v>
      </c>
      <c r="AH47" s="7">
        <f t="shared" si="46"/>
        <v>0</v>
      </c>
      <c r="AI47" s="7">
        <f t="shared" si="46"/>
        <v>100</v>
      </c>
      <c r="AJ47" s="7">
        <f t="shared" si="46"/>
        <v>1400</v>
      </c>
      <c r="AK47" s="7">
        <f t="shared" si="46"/>
        <v>896</v>
      </c>
      <c r="AL47" s="7">
        <f t="shared" si="46"/>
        <v>35</v>
      </c>
      <c r="AM47" s="7">
        <f t="shared" si="46"/>
        <v>470</v>
      </c>
      <c r="AN47" s="7">
        <f t="shared" si="46"/>
        <v>344</v>
      </c>
      <c r="AO47" s="210">
        <f>SUM(AO23:AO46)</f>
        <v>404</v>
      </c>
      <c r="AP47" s="210">
        <f t="shared" ref="AP47" si="47">SUM(AP23:AP46)</f>
        <v>5396</v>
      </c>
      <c r="AQ47" s="210">
        <f t="shared" ref="AQ47" si="48">SUM(AQ23:AQ46)</f>
        <v>4015.04</v>
      </c>
      <c r="AR47" s="7">
        <f>SUM(AR23:AR46)</f>
        <v>0</v>
      </c>
      <c r="AS47" s="7">
        <f t="shared" ref="AS47:BX47" si="49">SUM(AS23:AS46)</f>
        <v>0</v>
      </c>
      <c r="AT47" s="7">
        <f t="shared" si="49"/>
        <v>0</v>
      </c>
      <c r="AU47" s="7">
        <f t="shared" si="49"/>
        <v>100</v>
      </c>
      <c r="AV47" s="7">
        <f t="shared" si="49"/>
        <v>1400</v>
      </c>
      <c r="AW47" s="7">
        <f t="shared" si="49"/>
        <v>896</v>
      </c>
      <c r="AX47" s="7">
        <f t="shared" si="49"/>
        <v>150</v>
      </c>
      <c r="AY47" s="7">
        <f t="shared" si="49"/>
        <v>2040</v>
      </c>
      <c r="AZ47" s="7">
        <f t="shared" si="49"/>
        <v>1435.2</v>
      </c>
      <c r="BA47" s="7">
        <f t="shared" si="49"/>
        <v>204.5</v>
      </c>
      <c r="BB47" s="7">
        <f t="shared" si="49"/>
        <v>2862</v>
      </c>
      <c r="BC47" s="7">
        <f t="shared" si="49"/>
        <v>1833.84</v>
      </c>
      <c r="BD47" s="7">
        <f t="shared" si="49"/>
        <v>285</v>
      </c>
      <c r="BE47" s="7">
        <f t="shared" si="49"/>
        <v>3830</v>
      </c>
      <c r="BF47" s="7">
        <f t="shared" si="49"/>
        <v>2796.8</v>
      </c>
      <c r="BG47" s="7">
        <f t="shared" si="49"/>
        <v>0</v>
      </c>
      <c r="BH47" s="7">
        <f t="shared" si="49"/>
        <v>0</v>
      </c>
      <c r="BI47" s="7">
        <f t="shared" si="49"/>
        <v>0</v>
      </c>
      <c r="BJ47" s="7">
        <f t="shared" si="49"/>
        <v>0</v>
      </c>
      <c r="BK47" s="7">
        <f t="shared" si="49"/>
        <v>0</v>
      </c>
      <c r="BL47" s="7">
        <f t="shared" si="49"/>
        <v>0</v>
      </c>
      <c r="BM47" s="7">
        <f t="shared" si="49"/>
        <v>0</v>
      </c>
      <c r="BN47" s="7">
        <f t="shared" si="49"/>
        <v>0</v>
      </c>
      <c r="BO47" s="7">
        <f t="shared" si="49"/>
        <v>0</v>
      </c>
      <c r="BP47" s="7">
        <f t="shared" si="49"/>
        <v>370</v>
      </c>
      <c r="BQ47" s="7">
        <f t="shared" si="49"/>
        <v>4850</v>
      </c>
      <c r="BR47" s="7">
        <f t="shared" si="49"/>
        <v>3816.8</v>
      </c>
      <c r="BS47" s="7">
        <f t="shared" si="49"/>
        <v>5</v>
      </c>
      <c r="BT47" s="7">
        <f t="shared" si="49"/>
        <v>60</v>
      </c>
      <c r="BU47" s="7">
        <f t="shared" si="49"/>
        <v>60</v>
      </c>
      <c r="BV47" s="210">
        <f>SUM(BV23:BV46)</f>
        <v>1518.5</v>
      </c>
      <c r="BW47" s="210">
        <f t="shared" si="49"/>
        <v>20438</v>
      </c>
      <c r="BX47" s="210">
        <f t="shared" si="49"/>
        <v>14853.68</v>
      </c>
      <c r="BY47" s="7">
        <f>SUM(BY23:BY46)</f>
        <v>310</v>
      </c>
      <c r="BZ47" s="7">
        <f t="shared" ref="BZ47:DE47" si="50">SUM(BZ23:BZ46)</f>
        <v>4220</v>
      </c>
      <c r="CA47" s="7">
        <f t="shared" si="50"/>
        <v>2960</v>
      </c>
      <c r="CB47" s="7">
        <f t="shared" si="50"/>
        <v>525</v>
      </c>
      <c r="CC47" s="7">
        <f t="shared" si="50"/>
        <v>6790</v>
      </c>
      <c r="CD47" s="7">
        <f t="shared" si="50"/>
        <v>5555.2</v>
      </c>
      <c r="CE47" s="7">
        <f t="shared" si="50"/>
        <v>0</v>
      </c>
      <c r="CF47" s="7">
        <f t="shared" si="50"/>
        <v>0</v>
      </c>
      <c r="CG47" s="7">
        <f t="shared" si="50"/>
        <v>0</v>
      </c>
      <c r="CH47" s="7">
        <f t="shared" si="50"/>
        <v>50</v>
      </c>
      <c r="CI47" s="7">
        <f t="shared" si="50"/>
        <v>700</v>
      </c>
      <c r="CJ47" s="7">
        <f t="shared" si="50"/>
        <v>448</v>
      </c>
      <c r="CK47" s="7">
        <f t="shared" si="50"/>
        <v>0</v>
      </c>
      <c r="CL47" s="7">
        <f t="shared" si="50"/>
        <v>0</v>
      </c>
      <c r="CM47" s="7">
        <f t="shared" si="50"/>
        <v>0</v>
      </c>
      <c r="CN47" s="7">
        <f t="shared" si="50"/>
        <v>100</v>
      </c>
      <c r="CO47" s="7">
        <f t="shared" si="50"/>
        <v>1200</v>
      </c>
      <c r="CP47" s="7">
        <f t="shared" si="50"/>
        <v>1200</v>
      </c>
      <c r="CQ47" s="7">
        <f t="shared" si="50"/>
        <v>385</v>
      </c>
      <c r="CR47" s="7">
        <f t="shared" si="50"/>
        <v>4770</v>
      </c>
      <c r="CS47" s="7">
        <f t="shared" si="50"/>
        <v>4392</v>
      </c>
      <c r="CT47" s="7">
        <f t="shared" si="50"/>
        <v>0</v>
      </c>
      <c r="CU47" s="7">
        <f t="shared" si="50"/>
        <v>0</v>
      </c>
      <c r="CV47" s="7">
        <f t="shared" si="50"/>
        <v>0</v>
      </c>
      <c r="CW47" s="7">
        <f t="shared" si="50"/>
        <v>35</v>
      </c>
      <c r="CX47" s="7">
        <f t="shared" si="50"/>
        <v>470</v>
      </c>
      <c r="CY47" s="7">
        <f t="shared" si="50"/>
        <v>344</v>
      </c>
      <c r="CZ47" s="7">
        <f t="shared" si="50"/>
        <v>210</v>
      </c>
      <c r="DA47" s="7">
        <f t="shared" si="50"/>
        <v>2920</v>
      </c>
      <c r="DB47" s="7">
        <f t="shared" si="50"/>
        <v>1876</v>
      </c>
      <c r="DC47" s="7">
        <f t="shared" si="50"/>
        <v>255</v>
      </c>
      <c r="DD47" s="7">
        <f t="shared" si="50"/>
        <v>3570</v>
      </c>
      <c r="DE47" s="7">
        <f t="shared" si="50"/>
        <v>2284.8000000000002</v>
      </c>
      <c r="DF47" s="210">
        <f>SUM(DF23:DF46)</f>
        <v>3388.5</v>
      </c>
      <c r="DG47" s="210">
        <f>SUM(DG23:DG46)</f>
        <v>45078</v>
      </c>
      <c r="DH47" s="210">
        <f>SUM(DH23:DH46)</f>
        <v>33913.68</v>
      </c>
    </row>
    <row r="48" spans="1:112" ht="30" hidden="1" customHeight="1" x14ac:dyDescent="0.25"/>
    <row r="49" spans="1:112" ht="30" hidden="1" customHeight="1" x14ac:dyDescent="0.25">
      <c r="A49" s="539" t="s">
        <v>118</v>
      </c>
      <c r="B49" s="192" t="s">
        <v>117</v>
      </c>
      <c r="C49" s="23"/>
      <c r="D49" s="540" t="s">
        <v>116</v>
      </c>
      <c r="E49" s="541"/>
      <c r="F49" s="542" t="s">
        <v>115</v>
      </c>
      <c r="G49" s="543" t="s">
        <v>114</v>
      </c>
      <c r="H49" s="544"/>
      <c r="I49" s="531" t="s">
        <v>113</v>
      </c>
      <c r="J49" s="545" t="s">
        <v>112</v>
      </c>
      <c r="K49" s="520" t="s">
        <v>402</v>
      </c>
      <c r="L49" s="520"/>
      <c r="M49" s="520"/>
      <c r="N49" s="547" t="s">
        <v>403</v>
      </c>
      <c r="O49" s="548"/>
      <c r="P49" s="549"/>
      <c r="Q49" s="520" t="s">
        <v>404</v>
      </c>
      <c r="R49" s="520"/>
      <c r="S49" s="520"/>
      <c r="T49" s="547" t="s">
        <v>405</v>
      </c>
      <c r="U49" s="548"/>
      <c r="V49" s="549"/>
      <c r="W49" s="520" t="s">
        <v>406</v>
      </c>
      <c r="X49" s="520"/>
      <c r="Y49" s="520"/>
      <c r="Z49" s="547" t="s">
        <v>407</v>
      </c>
      <c r="AA49" s="548"/>
      <c r="AB49" s="549"/>
      <c r="AC49" s="520" t="s">
        <v>408</v>
      </c>
      <c r="AD49" s="520"/>
      <c r="AE49" s="520"/>
      <c r="AF49" s="547" t="s">
        <v>409</v>
      </c>
      <c r="AG49" s="548"/>
      <c r="AH49" s="549"/>
      <c r="AI49" s="520" t="s">
        <v>410</v>
      </c>
      <c r="AJ49" s="520"/>
      <c r="AK49" s="520"/>
      <c r="AL49" s="547" t="s">
        <v>411</v>
      </c>
      <c r="AM49" s="548"/>
      <c r="AN49" s="549"/>
      <c r="AO49" s="521" t="s">
        <v>350</v>
      </c>
      <c r="AP49" s="521"/>
      <c r="AQ49" s="521"/>
      <c r="AR49" s="520" t="s">
        <v>412</v>
      </c>
      <c r="AS49" s="520"/>
      <c r="AT49" s="520"/>
      <c r="AU49" s="520" t="s">
        <v>413</v>
      </c>
      <c r="AV49" s="520"/>
      <c r="AW49" s="520"/>
      <c r="AX49" s="520" t="s">
        <v>414</v>
      </c>
      <c r="AY49" s="520"/>
      <c r="AZ49" s="520"/>
      <c r="BA49" s="520" t="s">
        <v>415</v>
      </c>
      <c r="BB49" s="520"/>
      <c r="BC49" s="520"/>
      <c r="BD49" s="520" t="s">
        <v>416</v>
      </c>
      <c r="BE49" s="520"/>
      <c r="BF49" s="520"/>
      <c r="BG49" s="520" t="s">
        <v>417</v>
      </c>
      <c r="BH49" s="520"/>
      <c r="BI49" s="520"/>
      <c r="BJ49" s="520" t="s">
        <v>418</v>
      </c>
      <c r="BK49" s="520"/>
      <c r="BL49" s="520"/>
      <c r="BM49" s="520" t="s">
        <v>419</v>
      </c>
      <c r="BN49" s="520"/>
      <c r="BO49" s="520"/>
      <c r="BP49" s="520" t="s">
        <v>420</v>
      </c>
      <c r="BQ49" s="520"/>
      <c r="BR49" s="520"/>
      <c r="BS49" s="520" t="s">
        <v>421</v>
      </c>
      <c r="BT49" s="520"/>
      <c r="BU49" s="520"/>
      <c r="BV49" s="521" t="s">
        <v>351</v>
      </c>
      <c r="BW49" s="521"/>
      <c r="BX49" s="521"/>
      <c r="BY49" s="520" t="s">
        <v>422</v>
      </c>
      <c r="BZ49" s="520"/>
      <c r="CA49" s="520"/>
      <c r="CB49" s="520" t="s">
        <v>423</v>
      </c>
      <c r="CC49" s="520"/>
      <c r="CD49" s="520"/>
      <c r="CE49" s="520" t="s">
        <v>424</v>
      </c>
      <c r="CF49" s="520"/>
      <c r="CG49" s="520"/>
      <c r="CH49" s="520" t="s">
        <v>425</v>
      </c>
      <c r="CI49" s="520"/>
      <c r="CJ49" s="520"/>
      <c r="CK49" s="520" t="s">
        <v>426</v>
      </c>
      <c r="CL49" s="520"/>
      <c r="CM49" s="520"/>
      <c r="CN49" s="520" t="s">
        <v>427</v>
      </c>
      <c r="CO49" s="520"/>
      <c r="CP49" s="520"/>
      <c r="CQ49" s="520" t="s">
        <v>428</v>
      </c>
      <c r="CR49" s="520"/>
      <c r="CS49" s="520"/>
      <c r="CT49" s="520" t="s">
        <v>429</v>
      </c>
      <c r="CU49" s="520"/>
      <c r="CV49" s="520"/>
      <c r="CW49" s="520" t="s">
        <v>430</v>
      </c>
      <c r="CX49" s="520"/>
      <c r="CY49" s="520"/>
      <c r="CZ49" s="520" t="s">
        <v>431</v>
      </c>
      <c r="DA49" s="520"/>
      <c r="DB49" s="520"/>
      <c r="DC49" s="520" t="s">
        <v>432</v>
      </c>
      <c r="DD49" s="520"/>
      <c r="DE49" s="520"/>
      <c r="DF49" s="520" t="s">
        <v>111</v>
      </c>
      <c r="DG49" s="520"/>
      <c r="DH49" s="520"/>
    </row>
    <row r="50" spans="1:112" ht="30" hidden="1" customHeight="1" x14ac:dyDescent="0.25">
      <c r="A50" s="526"/>
      <c r="B50" s="193"/>
      <c r="C50" s="24"/>
      <c r="D50" s="529"/>
      <c r="E50" s="530"/>
      <c r="F50" s="536"/>
      <c r="G50" s="534"/>
      <c r="H50" s="535"/>
      <c r="I50" s="531"/>
      <c r="J50" s="538"/>
      <c r="K50" s="10" t="s">
        <v>109</v>
      </c>
      <c r="L50" s="11" t="s">
        <v>108</v>
      </c>
      <c r="M50" s="11" t="s">
        <v>348</v>
      </c>
      <c r="N50" s="10" t="s">
        <v>109</v>
      </c>
      <c r="O50" s="11" t="s">
        <v>108</v>
      </c>
      <c r="P50" s="11" t="s">
        <v>348</v>
      </c>
      <c r="Q50" s="10" t="s">
        <v>109</v>
      </c>
      <c r="R50" s="11" t="s">
        <v>108</v>
      </c>
      <c r="S50" s="11" t="s">
        <v>348</v>
      </c>
      <c r="T50" s="10" t="s">
        <v>109</v>
      </c>
      <c r="U50" s="11" t="s">
        <v>108</v>
      </c>
      <c r="V50" s="11" t="s">
        <v>348</v>
      </c>
      <c r="W50" s="10" t="s">
        <v>109</v>
      </c>
      <c r="X50" s="11" t="s">
        <v>108</v>
      </c>
      <c r="Y50" s="11" t="s">
        <v>348</v>
      </c>
      <c r="Z50" s="10" t="s">
        <v>109</v>
      </c>
      <c r="AA50" s="11" t="s">
        <v>108</v>
      </c>
      <c r="AB50" s="11" t="s">
        <v>348</v>
      </c>
      <c r="AC50" s="10" t="s">
        <v>109</v>
      </c>
      <c r="AD50" s="11" t="s">
        <v>108</v>
      </c>
      <c r="AE50" s="11" t="s">
        <v>348</v>
      </c>
      <c r="AF50" s="10" t="s">
        <v>109</v>
      </c>
      <c r="AG50" s="11" t="s">
        <v>108</v>
      </c>
      <c r="AH50" s="11" t="s">
        <v>348</v>
      </c>
      <c r="AI50" s="10" t="s">
        <v>109</v>
      </c>
      <c r="AJ50" s="11" t="s">
        <v>108</v>
      </c>
      <c r="AK50" s="11" t="s">
        <v>348</v>
      </c>
      <c r="AL50" s="10" t="s">
        <v>109</v>
      </c>
      <c r="AM50" s="11" t="s">
        <v>108</v>
      </c>
      <c r="AN50" s="11" t="s">
        <v>348</v>
      </c>
      <c r="AO50" s="10" t="s">
        <v>109</v>
      </c>
      <c r="AP50" s="11" t="s">
        <v>108</v>
      </c>
      <c r="AQ50" s="11" t="s">
        <v>348</v>
      </c>
      <c r="AR50" s="10" t="s">
        <v>109</v>
      </c>
      <c r="AS50" s="11" t="s">
        <v>108</v>
      </c>
      <c r="AT50" s="11" t="s">
        <v>348</v>
      </c>
      <c r="AU50" s="10" t="s">
        <v>109</v>
      </c>
      <c r="AV50" s="11" t="s">
        <v>108</v>
      </c>
      <c r="AW50" s="11" t="s">
        <v>348</v>
      </c>
      <c r="AX50" s="10" t="s">
        <v>109</v>
      </c>
      <c r="AY50" s="11" t="s">
        <v>108</v>
      </c>
      <c r="AZ50" s="11" t="s">
        <v>348</v>
      </c>
      <c r="BA50" s="10" t="s">
        <v>109</v>
      </c>
      <c r="BB50" s="11" t="s">
        <v>108</v>
      </c>
      <c r="BC50" s="11" t="s">
        <v>348</v>
      </c>
      <c r="BD50" s="10" t="s">
        <v>109</v>
      </c>
      <c r="BE50" s="11" t="s">
        <v>108</v>
      </c>
      <c r="BF50" s="11" t="s">
        <v>348</v>
      </c>
      <c r="BG50" s="10" t="s">
        <v>109</v>
      </c>
      <c r="BH50" s="11" t="s">
        <v>108</v>
      </c>
      <c r="BI50" s="11" t="s">
        <v>348</v>
      </c>
      <c r="BJ50" s="10" t="s">
        <v>109</v>
      </c>
      <c r="BK50" s="11" t="s">
        <v>108</v>
      </c>
      <c r="BL50" s="11" t="s">
        <v>348</v>
      </c>
      <c r="BM50" s="10" t="s">
        <v>109</v>
      </c>
      <c r="BN50" s="11" t="s">
        <v>108</v>
      </c>
      <c r="BO50" s="11" t="s">
        <v>348</v>
      </c>
      <c r="BP50" s="10" t="s">
        <v>109</v>
      </c>
      <c r="BQ50" s="11" t="s">
        <v>108</v>
      </c>
      <c r="BR50" s="11" t="s">
        <v>348</v>
      </c>
      <c r="BS50" s="10" t="s">
        <v>109</v>
      </c>
      <c r="BT50" s="11" t="s">
        <v>108</v>
      </c>
      <c r="BU50" s="11" t="s">
        <v>348</v>
      </c>
      <c r="BV50" s="10" t="s">
        <v>109</v>
      </c>
      <c r="BW50" s="11" t="s">
        <v>108</v>
      </c>
      <c r="BX50" s="11" t="s">
        <v>348</v>
      </c>
      <c r="BY50" s="10" t="s">
        <v>109</v>
      </c>
      <c r="BZ50" s="11" t="s">
        <v>108</v>
      </c>
      <c r="CA50" s="11" t="s">
        <v>348</v>
      </c>
      <c r="CB50" s="10" t="s">
        <v>109</v>
      </c>
      <c r="CC50" s="11" t="s">
        <v>108</v>
      </c>
      <c r="CD50" s="11" t="s">
        <v>348</v>
      </c>
      <c r="CE50" s="10" t="s">
        <v>109</v>
      </c>
      <c r="CF50" s="11" t="s">
        <v>108</v>
      </c>
      <c r="CG50" s="11" t="s">
        <v>348</v>
      </c>
      <c r="CH50" s="10" t="s">
        <v>109</v>
      </c>
      <c r="CI50" s="11" t="s">
        <v>108</v>
      </c>
      <c r="CJ50" s="11" t="s">
        <v>348</v>
      </c>
      <c r="CK50" s="10" t="s">
        <v>109</v>
      </c>
      <c r="CL50" s="11" t="s">
        <v>108</v>
      </c>
      <c r="CM50" s="11" t="s">
        <v>348</v>
      </c>
      <c r="CN50" s="10" t="s">
        <v>109</v>
      </c>
      <c r="CO50" s="11" t="s">
        <v>108</v>
      </c>
      <c r="CP50" s="11" t="s">
        <v>348</v>
      </c>
      <c r="CQ50" s="10" t="s">
        <v>109</v>
      </c>
      <c r="CR50" s="11" t="s">
        <v>108</v>
      </c>
      <c r="CS50" s="11" t="s">
        <v>348</v>
      </c>
      <c r="CT50" s="10" t="s">
        <v>109</v>
      </c>
      <c r="CU50" s="11" t="s">
        <v>108</v>
      </c>
      <c r="CV50" s="11" t="s">
        <v>348</v>
      </c>
      <c r="CW50" s="10" t="s">
        <v>109</v>
      </c>
      <c r="CX50" s="11" t="s">
        <v>108</v>
      </c>
      <c r="CY50" s="11" t="s">
        <v>348</v>
      </c>
      <c r="CZ50" s="10" t="s">
        <v>109</v>
      </c>
      <c r="DA50" s="11" t="s">
        <v>108</v>
      </c>
      <c r="DB50" s="11" t="s">
        <v>348</v>
      </c>
      <c r="DC50" s="10" t="s">
        <v>109</v>
      </c>
      <c r="DD50" s="11" t="s">
        <v>108</v>
      </c>
      <c r="DE50" s="11" t="s">
        <v>348</v>
      </c>
      <c r="DF50" s="10" t="s">
        <v>109</v>
      </c>
      <c r="DG50" s="11" t="s">
        <v>108</v>
      </c>
      <c r="DH50" s="11" t="s">
        <v>348</v>
      </c>
    </row>
    <row r="51" spans="1:112" ht="30" hidden="1" customHeight="1" x14ac:dyDescent="0.25">
      <c r="A51" s="25">
        <v>1</v>
      </c>
      <c r="B51" s="190" t="s">
        <v>277</v>
      </c>
      <c r="C51" s="6" t="s">
        <v>456</v>
      </c>
      <c r="D51" s="6" t="s">
        <v>41</v>
      </c>
      <c r="E51" s="180" t="s">
        <v>353</v>
      </c>
      <c r="F51" s="5" t="s">
        <v>164</v>
      </c>
      <c r="G51" s="25"/>
      <c r="H51" s="7"/>
      <c r="I51" s="7"/>
      <c r="J51" s="3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173">
        <f t="shared" ref="AO51:AO64" si="51">+K51+N51+Q51+T51+W51+Z51+AC51+AF51+AI51+AL51</f>
        <v>0</v>
      </c>
      <c r="AP51" s="173">
        <f t="shared" ref="AP51:AP64" si="52">+L51+O51+R51+U51+X51+AA51+AD51+AG51+AJ51+AM51</f>
        <v>0</v>
      </c>
      <c r="AQ51" s="173">
        <f t="shared" ref="AQ51:AQ64" si="53">+M51+P51+S51+V51+Y51+AB51+AE51+AH51+AK51+AN51</f>
        <v>0</v>
      </c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173">
        <f>+AO51+AR51+AU51+AX51+BA51+BD51+BG51+BJ51+BM51+BP51+BS51</f>
        <v>0</v>
      </c>
      <c r="BW51" s="173">
        <f t="shared" ref="BW51:BW64" si="54">+AP51+AS51+AV51+AY51+BB51+BE51+BH51+BK51+BN51+BQ51+BT51</f>
        <v>0</v>
      </c>
      <c r="BX51" s="173">
        <f t="shared" ref="BX51:BX64" si="55">+AQ51+AT51+AW51+AZ51+BC51+BF51+BI51+BL51+BO51+BR51+BU51</f>
        <v>0</v>
      </c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>
        <v>70</v>
      </c>
      <c r="CO51" s="6">
        <v>880</v>
      </c>
      <c r="CP51" s="6">
        <v>779.2</v>
      </c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173">
        <f t="shared" ref="DF51:DF64" si="56">BV51+CB51+CE51+CH51+CK51+CN51+CQ51+CT51+CW51+CZ51+DC51+BY51</f>
        <v>70</v>
      </c>
      <c r="DG51" s="173">
        <f t="shared" ref="DG51:DG64" si="57">BW51+CC51+CF51+CI51+CL51+CO51+CR51+CU51+CX51+DA51+DD51+BZ51</f>
        <v>880</v>
      </c>
      <c r="DH51" s="173">
        <f t="shared" ref="DH51:DH64" si="58">BX51+CD51+CG51+CJ51+CM51+CP51+CS51+CV51+CY51+DB51+DE51+CA51</f>
        <v>779.2</v>
      </c>
    </row>
    <row r="52" spans="1:112" ht="30" hidden="1" customHeight="1" x14ac:dyDescent="0.25">
      <c r="A52" s="25">
        <v>2</v>
      </c>
      <c r="B52" s="190" t="s">
        <v>105</v>
      </c>
      <c r="C52" s="6" t="s">
        <v>104</v>
      </c>
      <c r="D52" s="6" t="s">
        <v>41</v>
      </c>
      <c r="E52" s="180" t="s">
        <v>400</v>
      </c>
      <c r="F52" s="5" t="s">
        <v>164</v>
      </c>
      <c r="G52" s="25"/>
      <c r="H52" s="7"/>
      <c r="I52" s="7"/>
      <c r="J52" s="3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173">
        <f t="shared" si="51"/>
        <v>0</v>
      </c>
      <c r="AP52" s="173">
        <f t="shared" si="52"/>
        <v>0</v>
      </c>
      <c r="AQ52" s="173">
        <f t="shared" si="53"/>
        <v>0</v>
      </c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173">
        <f t="shared" ref="BV52:BV64" si="59">+AO52+AR52+AU52+AX52+BA52+BD52+BG52+BJ52+BM52+BP52+BS52</f>
        <v>0</v>
      </c>
      <c r="BW52" s="173">
        <f t="shared" si="54"/>
        <v>0</v>
      </c>
      <c r="BX52" s="173">
        <f t="shared" si="55"/>
        <v>0</v>
      </c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173">
        <f t="shared" si="56"/>
        <v>0</v>
      </c>
      <c r="DG52" s="173">
        <f t="shared" si="57"/>
        <v>0</v>
      </c>
      <c r="DH52" s="173">
        <f t="shared" si="58"/>
        <v>0</v>
      </c>
    </row>
    <row r="53" spans="1:112" ht="30" hidden="1" customHeight="1" x14ac:dyDescent="0.25">
      <c r="A53" s="25">
        <v>3</v>
      </c>
      <c r="B53" s="190" t="s">
        <v>32</v>
      </c>
      <c r="C53" s="6" t="s">
        <v>31</v>
      </c>
      <c r="D53" s="6" t="s">
        <v>41</v>
      </c>
      <c r="E53" s="180" t="s">
        <v>357</v>
      </c>
      <c r="F53" s="5" t="s">
        <v>164</v>
      </c>
      <c r="G53" s="25"/>
      <c r="H53" s="25"/>
      <c r="I53" s="7"/>
      <c r="J53" s="3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>
        <v>50</v>
      </c>
      <c r="AA53" s="6">
        <v>1160</v>
      </c>
      <c r="AB53" s="6">
        <v>640</v>
      </c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173">
        <f t="shared" si="51"/>
        <v>50</v>
      </c>
      <c r="AP53" s="173">
        <f t="shared" si="52"/>
        <v>1160</v>
      </c>
      <c r="AQ53" s="173">
        <f t="shared" si="53"/>
        <v>640</v>
      </c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173">
        <f t="shared" si="59"/>
        <v>50</v>
      </c>
      <c r="BW53" s="173">
        <f t="shared" si="54"/>
        <v>1160</v>
      </c>
      <c r="BX53" s="173">
        <f t="shared" si="55"/>
        <v>640</v>
      </c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>
        <v>150</v>
      </c>
      <c r="CO53" s="6">
        <v>1800</v>
      </c>
      <c r="CP53" s="6">
        <v>1800</v>
      </c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173">
        <f t="shared" si="56"/>
        <v>200</v>
      </c>
      <c r="DG53" s="173">
        <f t="shared" si="57"/>
        <v>2960</v>
      </c>
      <c r="DH53" s="173">
        <f t="shared" si="58"/>
        <v>2440</v>
      </c>
    </row>
    <row r="54" spans="1:112" ht="30" hidden="1" customHeight="1" x14ac:dyDescent="0.25">
      <c r="A54" s="25">
        <v>4</v>
      </c>
      <c r="B54" s="190" t="s">
        <v>281</v>
      </c>
      <c r="C54" s="6" t="s">
        <v>280</v>
      </c>
      <c r="D54" s="6" t="s">
        <v>24</v>
      </c>
      <c r="E54" s="180" t="s">
        <v>358</v>
      </c>
      <c r="F54" s="5" t="s">
        <v>164</v>
      </c>
      <c r="G54" s="25"/>
      <c r="H54" s="25"/>
      <c r="I54" s="7"/>
      <c r="J54" s="3"/>
      <c r="K54" s="9"/>
      <c r="L54" s="9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173">
        <f t="shared" si="51"/>
        <v>0</v>
      </c>
      <c r="AP54" s="173">
        <f t="shared" si="52"/>
        <v>0</v>
      </c>
      <c r="AQ54" s="173">
        <f t="shared" si="53"/>
        <v>0</v>
      </c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173">
        <f t="shared" si="59"/>
        <v>0</v>
      </c>
      <c r="BW54" s="173">
        <f t="shared" si="54"/>
        <v>0</v>
      </c>
      <c r="BX54" s="173">
        <f t="shared" si="55"/>
        <v>0</v>
      </c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173">
        <f t="shared" si="56"/>
        <v>0</v>
      </c>
      <c r="DG54" s="173">
        <f t="shared" si="57"/>
        <v>0</v>
      </c>
      <c r="DH54" s="173">
        <f t="shared" si="58"/>
        <v>0</v>
      </c>
    </row>
    <row r="55" spans="1:112" ht="30" hidden="1" customHeight="1" x14ac:dyDescent="0.25">
      <c r="A55" s="25">
        <v>5</v>
      </c>
      <c r="B55" s="190" t="s">
        <v>98</v>
      </c>
      <c r="C55" s="6" t="s">
        <v>97</v>
      </c>
      <c r="D55" s="6" t="s">
        <v>41</v>
      </c>
      <c r="E55" s="180" t="s">
        <v>401</v>
      </c>
      <c r="F55" s="5" t="s">
        <v>164</v>
      </c>
      <c r="G55" s="25"/>
      <c r="H55" s="7"/>
      <c r="I55" s="7"/>
      <c r="J55" s="3"/>
      <c r="K55" s="9"/>
      <c r="L55" s="9"/>
      <c r="M55" s="6"/>
      <c r="N55" s="6"/>
      <c r="O55" s="6"/>
      <c r="P55" s="6"/>
      <c r="Q55" s="6"/>
      <c r="R55" s="6"/>
      <c r="S55" s="6"/>
      <c r="T55" s="6"/>
      <c r="U55" s="6"/>
      <c r="V55" s="6"/>
      <c r="W55" s="6">
        <v>225</v>
      </c>
      <c r="X55" s="6">
        <v>2900</v>
      </c>
      <c r="Y55" s="6">
        <v>2396</v>
      </c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173">
        <f t="shared" si="51"/>
        <v>225</v>
      </c>
      <c r="AP55" s="173">
        <f t="shared" si="52"/>
        <v>2900</v>
      </c>
      <c r="AQ55" s="173">
        <f t="shared" si="53"/>
        <v>2396</v>
      </c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173">
        <f t="shared" si="59"/>
        <v>225</v>
      </c>
      <c r="BW55" s="173">
        <f t="shared" si="54"/>
        <v>2900</v>
      </c>
      <c r="BX55" s="173">
        <f t="shared" si="55"/>
        <v>2396</v>
      </c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173">
        <f t="shared" si="56"/>
        <v>225</v>
      </c>
      <c r="DG55" s="173">
        <f t="shared" si="57"/>
        <v>2900</v>
      </c>
      <c r="DH55" s="173">
        <f t="shared" si="58"/>
        <v>2396</v>
      </c>
    </row>
    <row r="56" spans="1:112" ht="30" hidden="1" customHeight="1" x14ac:dyDescent="0.25">
      <c r="A56" s="25">
        <v>6</v>
      </c>
      <c r="B56" s="190" t="s">
        <v>293</v>
      </c>
      <c r="C56" s="6" t="s">
        <v>292</v>
      </c>
      <c r="D56" s="6" t="s">
        <v>41</v>
      </c>
      <c r="E56" s="180" t="s">
        <v>358</v>
      </c>
      <c r="F56" s="5" t="s">
        <v>164</v>
      </c>
      <c r="G56" s="25"/>
      <c r="H56" s="25"/>
      <c r="I56" s="7"/>
      <c r="J56" s="3"/>
      <c r="K56" s="9"/>
      <c r="L56" s="9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173">
        <f t="shared" si="51"/>
        <v>0</v>
      </c>
      <c r="AP56" s="173">
        <f t="shared" si="52"/>
        <v>0</v>
      </c>
      <c r="AQ56" s="173">
        <f t="shared" si="53"/>
        <v>0</v>
      </c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>
        <v>50</v>
      </c>
      <c r="BT56" s="6">
        <v>700</v>
      </c>
      <c r="BU56" s="6">
        <v>448</v>
      </c>
      <c r="BV56" s="173">
        <f t="shared" si="59"/>
        <v>50</v>
      </c>
      <c r="BW56" s="173">
        <f t="shared" si="54"/>
        <v>700</v>
      </c>
      <c r="BX56" s="173">
        <f t="shared" si="55"/>
        <v>448</v>
      </c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173">
        <f t="shared" si="56"/>
        <v>50</v>
      </c>
      <c r="DG56" s="173">
        <f t="shared" si="57"/>
        <v>700</v>
      </c>
      <c r="DH56" s="173">
        <f t="shared" si="58"/>
        <v>448</v>
      </c>
    </row>
    <row r="57" spans="1:112" ht="30" hidden="1" customHeight="1" x14ac:dyDescent="0.25">
      <c r="A57" s="25">
        <v>7</v>
      </c>
      <c r="B57" s="190" t="s">
        <v>16</v>
      </c>
      <c r="C57" s="6" t="s">
        <v>457</v>
      </c>
      <c r="D57" s="6" t="s">
        <v>24</v>
      </c>
      <c r="E57" s="180" t="s">
        <v>318</v>
      </c>
      <c r="F57" s="5" t="s">
        <v>164</v>
      </c>
      <c r="G57" s="25"/>
      <c r="H57" s="7"/>
      <c r="I57" s="7"/>
      <c r="J57" s="3"/>
      <c r="K57" s="9"/>
      <c r="L57" s="9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100</v>
      </c>
      <c r="AJ57" s="6">
        <v>1200</v>
      </c>
      <c r="AK57" s="6">
        <v>840</v>
      </c>
      <c r="AL57" s="6"/>
      <c r="AM57" s="6"/>
      <c r="AN57" s="6"/>
      <c r="AO57" s="173">
        <f t="shared" si="51"/>
        <v>100</v>
      </c>
      <c r="AP57" s="173">
        <f t="shared" si="52"/>
        <v>1200</v>
      </c>
      <c r="AQ57" s="173">
        <f t="shared" si="53"/>
        <v>840</v>
      </c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173">
        <f t="shared" si="59"/>
        <v>100</v>
      </c>
      <c r="BW57" s="173">
        <f t="shared" si="54"/>
        <v>1200</v>
      </c>
      <c r="BX57" s="173">
        <f t="shared" si="55"/>
        <v>840</v>
      </c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173">
        <f t="shared" si="56"/>
        <v>100</v>
      </c>
      <c r="DG57" s="173">
        <f t="shared" si="57"/>
        <v>1200</v>
      </c>
      <c r="DH57" s="173">
        <f t="shared" si="58"/>
        <v>840</v>
      </c>
    </row>
    <row r="58" spans="1:112" ht="30" hidden="1" customHeight="1" x14ac:dyDescent="0.25">
      <c r="A58" s="25">
        <v>8</v>
      </c>
      <c r="B58" s="190" t="s">
        <v>94</v>
      </c>
      <c r="C58" s="6" t="s">
        <v>93</v>
      </c>
      <c r="D58" s="6" t="s">
        <v>46</v>
      </c>
      <c r="E58" s="180" t="s">
        <v>359</v>
      </c>
      <c r="F58" s="5" t="s">
        <v>164</v>
      </c>
      <c r="G58" s="25"/>
      <c r="H58" s="25"/>
      <c r="I58" s="7"/>
      <c r="J58" s="3"/>
      <c r="K58" s="9"/>
      <c r="L58" s="9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173">
        <f t="shared" si="51"/>
        <v>0</v>
      </c>
      <c r="AP58" s="173">
        <f t="shared" si="52"/>
        <v>0</v>
      </c>
      <c r="AQ58" s="173">
        <f t="shared" si="53"/>
        <v>0</v>
      </c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173">
        <f t="shared" si="59"/>
        <v>0</v>
      </c>
      <c r="BW58" s="173">
        <f t="shared" si="54"/>
        <v>0</v>
      </c>
      <c r="BX58" s="173">
        <f t="shared" si="55"/>
        <v>0</v>
      </c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173">
        <f t="shared" si="56"/>
        <v>0</v>
      </c>
      <c r="DG58" s="173">
        <f t="shared" si="57"/>
        <v>0</v>
      </c>
      <c r="DH58" s="173">
        <f t="shared" si="58"/>
        <v>0</v>
      </c>
    </row>
    <row r="59" spans="1:112" ht="30" hidden="1" customHeight="1" x14ac:dyDescent="0.25">
      <c r="A59" s="25">
        <v>9</v>
      </c>
      <c r="B59" s="190" t="s">
        <v>100</v>
      </c>
      <c r="C59" s="6" t="s">
        <v>99</v>
      </c>
      <c r="D59" s="6" t="s">
        <v>41</v>
      </c>
      <c r="E59" s="180" t="s">
        <v>359</v>
      </c>
      <c r="F59" s="5" t="s">
        <v>164</v>
      </c>
      <c r="G59" s="25" t="s">
        <v>27</v>
      </c>
      <c r="H59" s="7" t="s">
        <v>26</v>
      </c>
      <c r="I59" s="7" t="s">
        <v>25</v>
      </c>
      <c r="J59" s="3" t="s">
        <v>1</v>
      </c>
      <c r="K59" s="9"/>
      <c r="L59" s="9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173">
        <f t="shared" si="51"/>
        <v>0</v>
      </c>
      <c r="AP59" s="173">
        <f t="shared" si="52"/>
        <v>0</v>
      </c>
      <c r="AQ59" s="173">
        <f t="shared" si="53"/>
        <v>0</v>
      </c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173">
        <f t="shared" si="59"/>
        <v>0</v>
      </c>
      <c r="BW59" s="173">
        <f t="shared" si="54"/>
        <v>0</v>
      </c>
      <c r="BX59" s="173">
        <f t="shared" si="55"/>
        <v>0</v>
      </c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173">
        <f t="shared" si="56"/>
        <v>0</v>
      </c>
      <c r="DG59" s="173">
        <f t="shared" si="57"/>
        <v>0</v>
      </c>
      <c r="DH59" s="173">
        <f t="shared" si="58"/>
        <v>0</v>
      </c>
    </row>
    <row r="60" spans="1:112" ht="30" hidden="1" customHeight="1" x14ac:dyDescent="0.25">
      <c r="A60" s="25">
        <v>10</v>
      </c>
      <c r="B60" s="190" t="s">
        <v>166</v>
      </c>
      <c r="C60" s="6" t="s">
        <v>458</v>
      </c>
      <c r="D60" s="6" t="s">
        <v>21</v>
      </c>
      <c r="E60" s="180" t="s">
        <v>360</v>
      </c>
      <c r="F60" s="5" t="s">
        <v>164</v>
      </c>
      <c r="G60" s="25" t="s">
        <v>40</v>
      </c>
      <c r="H60" s="25" t="s">
        <v>39</v>
      </c>
      <c r="I60" s="7" t="s">
        <v>38</v>
      </c>
      <c r="J60" s="3" t="s">
        <v>1</v>
      </c>
      <c r="K60" s="9"/>
      <c r="L60" s="9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173">
        <f t="shared" si="51"/>
        <v>0</v>
      </c>
      <c r="AP60" s="173">
        <f t="shared" si="52"/>
        <v>0</v>
      </c>
      <c r="AQ60" s="173">
        <f t="shared" si="53"/>
        <v>0</v>
      </c>
      <c r="AR60" s="6"/>
      <c r="AS60" s="6"/>
      <c r="AT60" s="6"/>
      <c r="AU60" s="6">
        <v>25</v>
      </c>
      <c r="AV60" s="6">
        <v>350</v>
      </c>
      <c r="AW60" s="6">
        <v>224</v>
      </c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173">
        <f t="shared" si="59"/>
        <v>25</v>
      </c>
      <c r="BW60" s="173">
        <f t="shared" si="54"/>
        <v>350</v>
      </c>
      <c r="BX60" s="173">
        <f t="shared" si="55"/>
        <v>224</v>
      </c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>
        <v>25</v>
      </c>
      <c r="CR60" s="6">
        <v>350</v>
      </c>
      <c r="CS60" s="6">
        <v>224</v>
      </c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173">
        <f t="shared" si="56"/>
        <v>50</v>
      </c>
      <c r="DG60" s="173">
        <f t="shared" si="57"/>
        <v>700</v>
      </c>
      <c r="DH60" s="173">
        <f t="shared" si="58"/>
        <v>448</v>
      </c>
    </row>
    <row r="61" spans="1:112" ht="30" hidden="1" customHeight="1" x14ac:dyDescent="0.25">
      <c r="A61" s="25">
        <v>11</v>
      </c>
      <c r="B61" s="190" t="s">
        <v>283</v>
      </c>
      <c r="C61" s="6" t="s">
        <v>459</v>
      </c>
      <c r="D61" s="6" t="s">
        <v>41</v>
      </c>
      <c r="E61" s="180" t="s">
        <v>358</v>
      </c>
      <c r="F61" s="5" t="s">
        <v>164</v>
      </c>
      <c r="G61" s="25" t="s">
        <v>4</v>
      </c>
      <c r="H61" s="7" t="s">
        <v>3</v>
      </c>
      <c r="I61" s="7" t="s">
        <v>2</v>
      </c>
      <c r="J61" s="3" t="s">
        <v>1</v>
      </c>
      <c r="K61" s="9"/>
      <c r="L61" s="9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173">
        <f t="shared" si="51"/>
        <v>0</v>
      </c>
      <c r="AP61" s="173">
        <f t="shared" si="52"/>
        <v>0</v>
      </c>
      <c r="AQ61" s="173">
        <f t="shared" si="53"/>
        <v>0</v>
      </c>
      <c r="AR61" s="6"/>
      <c r="AS61" s="6"/>
      <c r="AT61" s="6"/>
      <c r="AU61" s="6">
        <v>10</v>
      </c>
      <c r="AV61" s="6">
        <v>140</v>
      </c>
      <c r="AW61" s="6">
        <v>89.600000000000009</v>
      </c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173">
        <f t="shared" si="59"/>
        <v>10</v>
      </c>
      <c r="BW61" s="173">
        <f t="shared" si="54"/>
        <v>140</v>
      </c>
      <c r="BX61" s="173">
        <f t="shared" si="55"/>
        <v>89.600000000000009</v>
      </c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>
        <v>10</v>
      </c>
      <c r="CO61" s="6">
        <v>140</v>
      </c>
      <c r="CP61" s="6">
        <v>89.600000000000009</v>
      </c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173">
        <f t="shared" si="56"/>
        <v>20</v>
      </c>
      <c r="DG61" s="173">
        <f t="shared" si="57"/>
        <v>280</v>
      </c>
      <c r="DH61" s="173">
        <f t="shared" si="58"/>
        <v>179.20000000000002</v>
      </c>
    </row>
    <row r="62" spans="1:112" ht="30" hidden="1" customHeight="1" x14ac:dyDescent="0.25">
      <c r="A62" s="25">
        <v>12</v>
      </c>
      <c r="B62" s="190" t="s">
        <v>146</v>
      </c>
      <c r="C62" s="6" t="s">
        <v>145</v>
      </c>
      <c r="D62" s="6" t="s">
        <v>41</v>
      </c>
      <c r="E62" s="180" t="s">
        <v>360</v>
      </c>
      <c r="F62" s="5" t="s">
        <v>164</v>
      </c>
      <c r="G62" s="25" t="s">
        <v>27</v>
      </c>
      <c r="H62" s="7" t="s">
        <v>26</v>
      </c>
      <c r="I62" s="7" t="s">
        <v>25</v>
      </c>
      <c r="J62" s="3" t="s">
        <v>1</v>
      </c>
      <c r="K62" s="9"/>
      <c r="L62" s="9"/>
      <c r="M62" s="6"/>
      <c r="N62" s="6">
        <v>30</v>
      </c>
      <c r="O62" s="6">
        <v>420</v>
      </c>
      <c r="P62" s="6">
        <v>268.8</v>
      </c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173">
        <f t="shared" si="51"/>
        <v>30</v>
      </c>
      <c r="AP62" s="173">
        <f t="shared" si="52"/>
        <v>420</v>
      </c>
      <c r="AQ62" s="173">
        <f t="shared" si="53"/>
        <v>268.8</v>
      </c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>
        <v>20</v>
      </c>
      <c r="BE62" s="6">
        <v>280</v>
      </c>
      <c r="BF62" s="6">
        <v>179.20000000000002</v>
      </c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173">
        <f t="shared" si="59"/>
        <v>50</v>
      </c>
      <c r="BW62" s="173">
        <f t="shared" si="54"/>
        <v>700</v>
      </c>
      <c r="BX62" s="173">
        <f t="shared" si="55"/>
        <v>448</v>
      </c>
      <c r="BY62" s="6"/>
      <c r="BZ62" s="6"/>
      <c r="CA62" s="6"/>
      <c r="CB62" s="6"/>
      <c r="CC62" s="6"/>
      <c r="CD62" s="6"/>
      <c r="CE62" s="6"/>
      <c r="CF62" s="6"/>
      <c r="CG62" s="6"/>
      <c r="CH62" s="6">
        <v>30</v>
      </c>
      <c r="CI62" s="6">
        <v>420</v>
      </c>
      <c r="CJ62" s="6">
        <v>268.8</v>
      </c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173">
        <f t="shared" si="56"/>
        <v>80</v>
      </c>
      <c r="DG62" s="173">
        <f t="shared" si="57"/>
        <v>1120</v>
      </c>
      <c r="DH62" s="173">
        <f t="shared" si="58"/>
        <v>716.8</v>
      </c>
    </row>
    <row r="63" spans="1:112" ht="30" hidden="1" customHeight="1" x14ac:dyDescent="0.25">
      <c r="A63" s="25">
        <v>13</v>
      </c>
      <c r="B63" s="190" t="s">
        <v>43</v>
      </c>
      <c r="C63" s="6" t="s">
        <v>460</v>
      </c>
      <c r="D63" s="6" t="s">
        <v>46</v>
      </c>
      <c r="E63" s="180" t="s">
        <v>358</v>
      </c>
      <c r="F63" s="5" t="s">
        <v>164</v>
      </c>
      <c r="G63" s="25" t="s">
        <v>40</v>
      </c>
      <c r="H63" s="25" t="s">
        <v>39</v>
      </c>
      <c r="I63" s="7" t="s">
        <v>38</v>
      </c>
      <c r="J63" s="3"/>
      <c r="K63" s="9"/>
      <c r="L63" s="9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173">
        <f t="shared" si="51"/>
        <v>0</v>
      </c>
      <c r="AP63" s="173">
        <f t="shared" si="52"/>
        <v>0</v>
      </c>
      <c r="AQ63" s="173">
        <f t="shared" si="53"/>
        <v>0</v>
      </c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173">
        <f t="shared" si="59"/>
        <v>0</v>
      </c>
      <c r="BW63" s="173">
        <f t="shared" si="54"/>
        <v>0</v>
      </c>
      <c r="BX63" s="173">
        <f t="shared" si="55"/>
        <v>0</v>
      </c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173">
        <f t="shared" si="56"/>
        <v>0</v>
      </c>
      <c r="DG63" s="173">
        <f t="shared" si="57"/>
        <v>0</v>
      </c>
      <c r="DH63" s="173">
        <f t="shared" si="58"/>
        <v>0</v>
      </c>
    </row>
    <row r="64" spans="1:112" ht="30" hidden="1" customHeight="1" x14ac:dyDescent="0.25">
      <c r="A64" s="25">
        <v>14</v>
      </c>
      <c r="B64" s="190" t="s">
        <v>140</v>
      </c>
      <c r="C64" s="6" t="s">
        <v>461</v>
      </c>
      <c r="D64" s="6" t="s">
        <v>41</v>
      </c>
      <c r="E64" s="180" t="s">
        <v>358</v>
      </c>
      <c r="F64" s="5" t="s">
        <v>164</v>
      </c>
      <c r="G64" s="25"/>
      <c r="H64" s="7"/>
      <c r="I64" s="7"/>
      <c r="J64" s="3"/>
      <c r="K64" s="9"/>
      <c r="L64" s="9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>
        <v>10</v>
      </c>
      <c r="AD64" s="6">
        <v>140</v>
      </c>
      <c r="AE64" s="6">
        <v>89.600000000000009</v>
      </c>
      <c r="AF64" s="6"/>
      <c r="AG64" s="6"/>
      <c r="AH64" s="6"/>
      <c r="AI64" s="6"/>
      <c r="AJ64" s="6"/>
      <c r="AK64" s="6"/>
      <c r="AL64" s="6"/>
      <c r="AM64" s="6"/>
      <c r="AN64" s="6"/>
      <c r="AO64" s="173">
        <f t="shared" si="51"/>
        <v>10</v>
      </c>
      <c r="AP64" s="173">
        <f t="shared" si="52"/>
        <v>140</v>
      </c>
      <c r="AQ64" s="173">
        <f t="shared" si="53"/>
        <v>89.600000000000009</v>
      </c>
      <c r="AR64" s="6"/>
      <c r="AS64" s="6"/>
      <c r="AT64" s="6"/>
      <c r="AU64" s="6"/>
      <c r="AV64" s="6"/>
      <c r="AW64" s="6"/>
      <c r="AX64" s="6"/>
      <c r="AY64" s="6"/>
      <c r="AZ64" s="6"/>
      <c r="BA64" s="6">
        <v>10</v>
      </c>
      <c r="BB64" s="6">
        <v>140</v>
      </c>
      <c r="BC64" s="6">
        <v>89.600000000000009</v>
      </c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173">
        <f t="shared" si="59"/>
        <v>20</v>
      </c>
      <c r="BW64" s="173">
        <f t="shared" si="54"/>
        <v>280</v>
      </c>
      <c r="BX64" s="173">
        <f t="shared" si="55"/>
        <v>179.20000000000002</v>
      </c>
      <c r="BY64" s="6"/>
      <c r="BZ64" s="6"/>
      <c r="CA64" s="6"/>
      <c r="CB64" s="6"/>
      <c r="CC64" s="6"/>
      <c r="CD64" s="6"/>
      <c r="CE64" s="6"/>
      <c r="CF64" s="6"/>
      <c r="CG64" s="6"/>
      <c r="CH64" s="6">
        <v>1</v>
      </c>
      <c r="CI64" s="6">
        <v>12</v>
      </c>
      <c r="CJ64" s="6">
        <v>12</v>
      </c>
      <c r="CK64" s="6"/>
      <c r="CL64" s="6"/>
      <c r="CM64" s="6"/>
      <c r="CN64" s="6"/>
      <c r="CO64" s="6"/>
      <c r="CP64" s="6"/>
      <c r="CQ64" s="6"/>
      <c r="CR64" s="6"/>
      <c r="CS64" s="6"/>
      <c r="CT64" s="6">
        <v>15</v>
      </c>
      <c r="CU64" s="6">
        <v>210</v>
      </c>
      <c r="CV64" s="6">
        <v>134.4</v>
      </c>
      <c r="CW64" s="6"/>
      <c r="CX64" s="6"/>
      <c r="CY64" s="6"/>
      <c r="CZ64" s="6"/>
      <c r="DA64" s="6"/>
      <c r="DB64" s="6"/>
      <c r="DC64" s="6"/>
      <c r="DD64" s="6"/>
      <c r="DE64" s="6"/>
      <c r="DF64" s="173">
        <f t="shared" si="56"/>
        <v>36</v>
      </c>
      <c r="DG64" s="173">
        <f t="shared" si="57"/>
        <v>502</v>
      </c>
      <c r="DH64" s="173">
        <f t="shared" si="58"/>
        <v>325.60000000000002</v>
      </c>
    </row>
    <row r="65" spans="1:112" ht="30" hidden="1" customHeight="1" x14ac:dyDescent="0.25">
      <c r="A65" s="4"/>
      <c r="B65" s="522" t="s">
        <v>0</v>
      </c>
      <c r="C65" s="523"/>
      <c r="D65" s="523"/>
      <c r="E65" s="523"/>
      <c r="F65" s="523"/>
      <c r="G65" s="523"/>
      <c r="H65" s="523"/>
      <c r="I65" s="524"/>
      <c r="J65" s="4"/>
      <c r="K65" s="2">
        <f t="shared" ref="K65:AP65" si="60">SUM(K51:K64)</f>
        <v>0</v>
      </c>
      <c r="L65" s="2">
        <f t="shared" si="60"/>
        <v>0</v>
      </c>
      <c r="M65" s="2">
        <f t="shared" si="60"/>
        <v>0</v>
      </c>
      <c r="N65" s="2">
        <f t="shared" si="60"/>
        <v>30</v>
      </c>
      <c r="O65" s="2">
        <f t="shared" si="60"/>
        <v>420</v>
      </c>
      <c r="P65" s="2">
        <f t="shared" si="60"/>
        <v>268.8</v>
      </c>
      <c r="Q65" s="2">
        <f t="shared" si="60"/>
        <v>0</v>
      </c>
      <c r="R65" s="2">
        <f t="shared" si="60"/>
        <v>0</v>
      </c>
      <c r="S65" s="2">
        <f t="shared" si="60"/>
        <v>0</v>
      </c>
      <c r="T65" s="2">
        <f t="shared" si="60"/>
        <v>0</v>
      </c>
      <c r="U65" s="2">
        <f t="shared" si="60"/>
        <v>0</v>
      </c>
      <c r="V65" s="2">
        <f t="shared" si="60"/>
        <v>0</v>
      </c>
      <c r="W65" s="2">
        <f t="shared" si="60"/>
        <v>225</v>
      </c>
      <c r="X65" s="2">
        <f t="shared" si="60"/>
        <v>2900</v>
      </c>
      <c r="Y65" s="2">
        <f t="shared" si="60"/>
        <v>2396</v>
      </c>
      <c r="Z65" s="2">
        <f t="shared" si="60"/>
        <v>50</v>
      </c>
      <c r="AA65" s="2">
        <f t="shared" si="60"/>
        <v>1160</v>
      </c>
      <c r="AB65" s="2">
        <f t="shared" si="60"/>
        <v>640</v>
      </c>
      <c r="AC65" s="2">
        <f t="shared" si="60"/>
        <v>10</v>
      </c>
      <c r="AD65" s="2">
        <f t="shared" si="60"/>
        <v>140</v>
      </c>
      <c r="AE65" s="2">
        <f t="shared" si="60"/>
        <v>89.600000000000009</v>
      </c>
      <c r="AF65" s="2">
        <f t="shared" si="60"/>
        <v>0</v>
      </c>
      <c r="AG65" s="2">
        <f t="shared" si="60"/>
        <v>0</v>
      </c>
      <c r="AH65" s="2">
        <f t="shared" si="60"/>
        <v>0</v>
      </c>
      <c r="AI65" s="2">
        <f t="shared" si="60"/>
        <v>100</v>
      </c>
      <c r="AJ65" s="2">
        <f t="shared" si="60"/>
        <v>1200</v>
      </c>
      <c r="AK65" s="2">
        <f t="shared" si="60"/>
        <v>840</v>
      </c>
      <c r="AL65" s="2">
        <f t="shared" si="60"/>
        <v>0</v>
      </c>
      <c r="AM65" s="2">
        <f t="shared" si="60"/>
        <v>0</v>
      </c>
      <c r="AN65" s="2">
        <f t="shared" si="60"/>
        <v>0</v>
      </c>
      <c r="AO65" s="198">
        <f t="shared" si="60"/>
        <v>415</v>
      </c>
      <c r="AP65" s="198">
        <f t="shared" si="60"/>
        <v>5820</v>
      </c>
      <c r="AQ65" s="198">
        <f t="shared" ref="AQ65:BV65" si="61">SUM(AQ51:AQ64)</f>
        <v>4234.4000000000005</v>
      </c>
      <c r="AR65" s="2">
        <f t="shared" si="61"/>
        <v>0</v>
      </c>
      <c r="AS65" s="2">
        <f t="shared" si="61"/>
        <v>0</v>
      </c>
      <c r="AT65" s="2">
        <f t="shared" si="61"/>
        <v>0</v>
      </c>
      <c r="AU65" s="2">
        <f t="shared" si="61"/>
        <v>35</v>
      </c>
      <c r="AV65" s="2">
        <f t="shared" si="61"/>
        <v>490</v>
      </c>
      <c r="AW65" s="2">
        <f t="shared" si="61"/>
        <v>313.60000000000002</v>
      </c>
      <c r="AX65" s="2">
        <f t="shared" si="61"/>
        <v>0</v>
      </c>
      <c r="AY65" s="2">
        <f t="shared" si="61"/>
        <v>0</v>
      </c>
      <c r="AZ65" s="2">
        <f t="shared" si="61"/>
        <v>0</v>
      </c>
      <c r="BA65" s="2">
        <f t="shared" si="61"/>
        <v>10</v>
      </c>
      <c r="BB65" s="2">
        <f t="shared" si="61"/>
        <v>140</v>
      </c>
      <c r="BC65" s="2">
        <f t="shared" si="61"/>
        <v>89.600000000000009</v>
      </c>
      <c r="BD65" s="2">
        <f t="shared" si="61"/>
        <v>20</v>
      </c>
      <c r="BE65" s="2">
        <f t="shared" si="61"/>
        <v>280</v>
      </c>
      <c r="BF65" s="2">
        <f t="shared" si="61"/>
        <v>179.20000000000002</v>
      </c>
      <c r="BG65" s="2">
        <f t="shared" si="61"/>
        <v>0</v>
      </c>
      <c r="BH65" s="2">
        <f t="shared" si="61"/>
        <v>0</v>
      </c>
      <c r="BI65" s="2">
        <f t="shared" si="61"/>
        <v>0</v>
      </c>
      <c r="BJ65" s="2">
        <f t="shared" si="61"/>
        <v>0</v>
      </c>
      <c r="BK65" s="2">
        <f t="shared" si="61"/>
        <v>0</v>
      </c>
      <c r="BL65" s="2">
        <f t="shared" si="61"/>
        <v>0</v>
      </c>
      <c r="BM65" s="2">
        <f t="shared" si="61"/>
        <v>0</v>
      </c>
      <c r="BN65" s="2">
        <f t="shared" si="61"/>
        <v>0</v>
      </c>
      <c r="BO65" s="2">
        <f t="shared" si="61"/>
        <v>0</v>
      </c>
      <c r="BP65" s="2">
        <f t="shared" si="61"/>
        <v>0</v>
      </c>
      <c r="BQ65" s="2">
        <f t="shared" si="61"/>
        <v>0</v>
      </c>
      <c r="BR65" s="2">
        <f t="shared" si="61"/>
        <v>0</v>
      </c>
      <c r="BS65" s="2">
        <f t="shared" si="61"/>
        <v>50</v>
      </c>
      <c r="BT65" s="2">
        <f t="shared" si="61"/>
        <v>700</v>
      </c>
      <c r="BU65" s="2">
        <f t="shared" si="61"/>
        <v>448</v>
      </c>
      <c r="BV65" s="198">
        <f t="shared" si="61"/>
        <v>530</v>
      </c>
      <c r="BW65" s="198">
        <f t="shared" ref="BW65:DB65" si="62">SUM(BW51:BW64)</f>
        <v>7430</v>
      </c>
      <c r="BX65" s="198">
        <f t="shared" si="62"/>
        <v>5264.8</v>
      </c>
      <c r="BY65" s="2">
        <f t="shared" si="62"/>
        <v>0</v>
      </c>
      <c r="BZ65" s="2">
        <f t="shared" si="62"/>
        <v>0</v>
      </c>
      <c r="CA65" s="2">
        <f t="shared" si="62"/>
        <v>0</v>
      </c>
      <c r="CB65" s="2">
        <f t="shared" si="62"/>
        <v>0</v>
      </c>
      <c r="CC65" s="2">
        <f t="shared" si="62"/>
        <v>0</v>
      </c>
      <c r="CD65" s="2">
        <f t="shared" si="62"/>
        <v>0</v>
      </c>
      <c r="CE65" s="2">
        <f t="shared" si="62"/>
        <v>0</v>
      </c>
      <c r="CF65" s="2">
        <f t="shared" si="62"/>
        <v>0</v>
      </c>
      <c r="CG65" s="2">
        <f t="shared" si="62"/>
        <v>0</v>
      </c>
      <c r="CH65" s="2">
        <f t="shared" si="62"/>
        <v>31</v>
      </c>
      <c r="CI65" s="2">
        <f t="shared" si="62"/>
        <v>432</v>
      </c>
      <c r="CJ65" s="2">
        <f t="shared" si="62"/>
        <v>280.8</v>
      </c>
      <c r="CK65" s="2">
        <f t="shared" si="62"/>
        <v>0</v>
      </c>
      <c r="CL65" s="2">
        <f t="shared" si="62"/>
        <v>0</v>
      </c>
      <c r="CM65" s="2">
        <f t="shared" si="62"/>
        <v>0</v>
      </c>
      <c r="CN65" s="2">
        <f t="shared" si="62"/>
        <v>230</v>
      </c>
      <c r="CO65" s="2">
        <f t="shared" si="62"/>
        <v>2820</v>
      </c>
      <c r="CP65" s="2">
        <f t="shared" si="62"/>
        <v>2668.7999999999997</v>
      </c>
      <c r="CQ65" s="2">
        <f t="shared" si="62"/>
        <v>25</v>
      </c>
      <c r="CR65" s="2">
        <f t="shared" si="62"/>
        <v>350</v>
      </c>
      <c r="CS65" s="2">
        <f t="shared" si="62"/>
        <v>224</v>
      </c>
      <c r="CT65" s="2">
        <f t="shared" si="62"/>
        <v>15</v>
      </c>
      <c r="CU65" s="2">
        <f t="shared" si="62"/>
        <v>210</v>
      </c>
      <c r="CV65" s="2">
        <f t="shared" si="62"/>
        <v>134.4</v>
      </c>
      <c r="CW65" s="2">
        <f t="shared" si="62"/>
        <v>0</v>
      </c>
      <c r="CX65" s="2">
        <f t="shared" si="62"/>
        <v>0</v>
      </c>
      <c r="CY65" s="2">
        <f t="shared" si="62"/>
        <v>0</v>
      </c>
      <c r="CZ65" s="2">
        <f t="shared" si="62"/>
        <v>0</v>
      </c>
      <c r="DA65" s="2">
        <f t="shared" si="62"/>
        <v>0</v>
      </c>
      <c r="DB65" s="2">
        <f t="shared" si="62"/>
        <v>0</v>
      </c>
      <c r="DC65" s="2">
        <f t="shared" ref="DC65:DH65" si="63">SUM(DC51:DC64)</f>
        <v>0</v>
      </c>
      <c r="DD65" s="2">
        <f t="shared" si="63"/>
        <v>0</v>
      </c>
      <c r="DE65" s="2">
        <f t="shared" si="63"/>
        <v>0</v>
      </c>
      <c r="DF65" s="198">
        <f t="shared" si="63"/>
        <v>831</v>
      </c>
      <c r="DG65" s="198">
        <f t="shared" si="63"/>
        <v>11242</v>
      </c>
      <c r="DH65" s="198">
        <f t="shared" si="63"/>
        <v>8572.7999999999993</v>
      </c>
    </row>
    <row r="66" spans="1:112" ht="30" hidden="1" customHeight="1" x14ac:dyDescent="0.25">
      <c r="A66" s="189"/>
      <c r="B66" s="199"/>
      <c r="I66" s="200"/>
      <c r="J66" s="201"/>
      <c r="K66" s="202"/>
      <c r="L66" s="188"/>
      <c r="M66" s="188"/>
      <c r="N66" s="203"/>
      <c r="O66" s="204"/>
      <c r="P66" s="200"/>
      <c r="Q66" s="188"/>
      <c r="R66" s="188"/>
      <c r="S66" s="188"/>
      <c r="T66" s="188"/>
      <c r="U66" s="188"/>
      <c r="V66" s="188"/>
      <c r="W66" s="188"/>
      <c r="X66" s="188"/>
      <c r="Y66" s="188"/>
      <c r="Z66" s="188"/>
      <c r="AA66" s="188"/>
      <c r="AB66" s="188"/>
      <c r="AC66" s="188"/>
      <c r="AD66" s="188"/>
      <c r="AE66" s="188"/>
      <c r="AF66" s="188"/>
      <c r="AG66" s="188"/>
      <c r="AH66" s="188"/>
      <c r="AI66" s="188"/>
      <c r="AJ66" s="188"/>
      <c r="AK66" s="188"/>
      <c r="AL66" s="188"/>
      <c r="AM66" s="188"/>
      <c r="AN66" s="188"/>
      <c r="AO66" s="188"/>
      <c r="AP66" s="188"/>
      <c r="AQ66" s="188"/>
      <c r="AR66" s="188"/>
      <c r="AS66" s="188"/>
      <c r="AT66" s="188"/>
      <c r="AU66" s="188"/>
      <c r="AV66" s="188"/>
      <c r="AW66" s="188"/>
      <c r="AX66" s="188"/>
      <c r="AY66" s="188"/>
      <c r="AZ66" s="188"/>
      <c r="BA66" s="188"/>
      <c r="BB66" s="188"/>
      <c r="BC66" s="188"/>
      <c r="BD66" s="188"/>
      <c r="BE66" s="188"/>
      <c r="BF66" s="188"/>
      <c r="BG66" s="188"/>
      <c r="BH66" s="188"/>
      <c r="BI66" s="188"/>
      <c r="BJ66" s="188"/>
      <c r="BK66" s="188"/>
      <c r="BL66" s="188"/>
      <c r="BM66" s="188"/>
      <c r="BN66" s="188"/>
      <c r="BO66" s="188"/>
      <c r="BP66" s="188"/>
      <c r="BQ66" s="188"/>
      <c r="BR66" s="188"/>
      <c r="BS66" s="188"/>
      <c r="BT66" s="188"/>
      <c r="BU66" s="188"/>
      <c r="BV66" s="188"/>
      <c r="BW66" s="188"/>
      <c r="BX66" s="188"/>
      <c r="BY66" s="188"/>
      <c r="BZ66" s="188"/>
      <c r="CA66" s="188"/>
      <c r="CB66" s="188"/>
      <c r="CC66" s="188"/>
      <c r="CD66" s="188"/>
      <c r="CE66" s="188"/>
      <c r="CF66" s="188"/>
      <c r="CG66" s="188"/>
      <c r="CH66" s="188"/>
      <c r="CI66" s="188"/>
      <c r="CJ66" s="188"/>
      <c r="CK66" s="188"/>
      <c r="CL66" s="188"/>
      <c r="CM66" s="188"/>
      <c r="CN66" s="188"/>
      <c r="CO66" s="188"/>
      <c r="CP66" s="188"/>
      <c r="CQ66" s="188"/>
      <c r="CR66" s="188"/>
      <c r="CS66" s="188"/>
      <c r="CT66" s="188"/>
      <c r="CU66" s="188"/>
      <c r="CV66" s="188"/>
      <c r="CW66" s="188"/>
      <c r="CX66" s="188"/>
      <c r="CY66" s="188"/>
      <c r="CZ66" s="188"/>
      <c r="DA66" s="188"/>
      <c r="DB66" s="188"/>
      <c r="DC66" s="188"/>
      <c r="DD66" s="188"/>
      <c r="DE66" s="188"/>
      <c r="DF66" s="188"/>
      <c r="DG66" s="188"/>
      <c r="DH66" s="188"/>
    </row>
    <row r="67" spans="1:112" ht="30" hidden="1" customHeight="1" x14ac:dyDescent="0.25">
      <c r="A67" s="525" t="s">
        <v>118</v>
      </c>
      <c r="B67" s="195" t="s">
        <v>117</v>
      </c>
      <c r="C67" s="175"/>
      <c r="D67" s="527" t="s">
        <v>116</v>
      </c>
      <c r="E67" s="528"/>
      <c r="F67" s="531" t="s">
        <v>115</v>
      </c>
      <c r="G67" s="532" t="s">
        <v>114</v>
      </c>
      <c r="H67" s="533"/>
      <c r="I67" s="536" t="s">
        <v>113</v>
      </c>
      <c r="J67" s="537" t="s">
        <v>112</v>
      </c>
      <c r="K67" s="520" t="s">
        <v>402</v>
      </c>
      <c r="L67" s="520"/>
      <c r="M67" s="520"/>
      <c r="N67" s="547" t="s">
        <v>403</v>
      </c>
      <c r="O67" s="548"/>
      <c r="P67" s="549"/>
      <c r="Q67" s="520" t="s">
        <v>404</v>
      </c>
      <c r="R67" s="520"/>
      <c r="S67" s="520"/>
      <c r="T67" s="547" t="s">
        <v>405</v>
      </c>
      <c r="U67" s="548"/>
      <c r="V67" s="549"/>
      <c r="W67" s="520" t="s">
        <v>406</v>
      </c>
      <c r="X67" s="520"/>
      <c r="Y67" s="520"/>
      <c r="Z67" s="547" t="s">
        <v>407</v>
      </c>
      <c r="AA67" s="548"/>
      <c r="AB67" s="549"/>
      <c r="AC67" s="520" t="s">
        <v>408</v>
      </c>
      <c r="AD67" s="520"/>
      <c r="AE67" s="520"/>
      <c r="AF67" s="547" t="s">
        <v>409</v>
      </c>
      <c r="AG67" s="548"/>
      <c r="AH67" s="549"/>
      <c r="AI67" s="520" t="s">
        <v>410</v>
      </c>
      <c r="AJ67" s="520"/>
      <c r="AK67" s="520"/>
      <c r="AL67" s="547" t="s">
        <v>411</v>
      </c>
      <c r="AM67" s="548"/>
      <c r="AN67" s="549"/>
      <c r="AO67" s="521" t="s">
        <v>350</v>
      </c>
      <c r="AP67" s="521"/>
      <c r="AQ67" s="521"/>
      <c r="AR67" s="520" t="s">
        <v>412</v>
      </c>
      <c r="AS67" s="520"/>
      <c r="AT67" s="520"/>
      <c r="AU67" s="520" t="s">
        <v>413</v>
      </c>
      <c r="AV67" s="520"/>
      <c r="AW67" s="520"/>
      <c r="AX67" s="520" t="s">
        <v>414</v>
      </c>
      <c r="AY67" s="520"/>
      <c r="AZ67" s="520"/>
      <c r="BA67" s="520" t="s">
        <v>415</v>
      </c>
      <c r="BB67" s="520"/>
      <c r="BC67" s="520"/>
      <c r="BD67" s="520" t="s">
        <v>416</v>
      </c>
      <c r="BE67" s="520"/>
      <c r="BF67" s="520"/>
      <c r="BG67" s="520" t="s">
        <v>417</v>
      </c>
      <c r="BH67" s="520"/>
      <c r="BI67" s="520"/>
      <c r="BJ67" s="520" t="s">
        <v>418</v>
      </c>
      <c r="BK67" s="520"/>
      <c r="BL67" s="520"/>
      <c r="BM67" s="520" t="s">
        <v>419</v>
      </c>
      <c r="BN67" s="520"/>
      <c r="BO67" s="520"/>
      <c r="BP67" s="520" t="s">
        <v>420</v>
      </c>
      <c r="BQ67" s="520"/>
      <c r="BR67" s="520"/>
      <c r="BS67" s="520" t="s">
        <v>421</v>
      </c>
      <c r="BT67" s="520"/>
      <c r="BU67" s="520"/>
      <c r="BV67" s="521" t="s">
        <v>351</v>
      </c>
      <c r="BW67" s="521"/>
      <c r="BX67" s="521"/>
      <c r="BY67" s="520" t="s">
        <v>422</v>
      </c>
      <c r="BZ67" s="520"/>
      <c r="CA67" s="520"/>
      <c r="CB67" s="520" t="s">
        <v>423</v>
      </c>
      <c r="CC67" s="520"/>
      <c r="CD67" s="520"/>
      <c r="CE67" s="520" t="s">
        <v>424</v>
      </c>
      <c r="CF67" s="520"/>
      <c r="CG67" s="520"/>
      <c r="CH67" s="520" t="s">
        <v>425</v>
      </c>
      <c r="CI67" s="520"/>
      <c r="CJ67" s="520"/>
      <c r="CK67" s="520" t="s">
        <v>426</v>
      </c>
      <c r="CL67" s="520"/>
      <c r="CM67" s="520"/>
      <c r="CN67" s="520" t="s">
        <v>427</v>
      </c>
      <c r="CO67" s="520"/>
      <c r="CP67" s="520"/>
      <c r="CQ67" s="520" t="s">
        <v>428</v>
      </c>
      <c r="CR67" s="520"/>
      <c r="CS67" s="520"/>
      <c r="CT67" s="520" t="s">
        <v>429</v>
      </c>
      <c r="CU67" s="520"/>
      <c r="CV67" s="520"/>
      <c r="CW67" s="520" t="s">
        <v>430</v>
      </c>
      <c r="CX67" s="520"/>
      <c r="CY67" s="520"/>
      <c r="CZ67" s="520" t="s">
        <v>431</v>
      </c>
      <c r="DA67" s="520"/>
      <c r="DB67" s="520"/>
      <c r="DC67" s="520" t="s">
        <v>432</v>
      </c>
      <c r="DD67" s="520"/>
      <c r="DE67" s="520"/>
      <c r="DF67" s="520" t="s">
        <v>111</v>
      </c>
      <c r="DG67" s="520"/>
      <c r="DH67" s="520"/>
    </row>
    <row r="68" spans="1:112" ht="30" hidden="1" customHeight="1" x14ac:dyDescent="0.25">
      <c r="A68" s="526"/>
      <c r="B68" s="193"/>
      <c r="C68" s="24"/>
      <c r="D68" s="529"/>
      <c r="E68" s="530"/>
      <c r="F68" s="531"/>
      <c r="G68" s="534"/>
      <c r="H68" s="535"/>
      <c r="I68" s="531"/>
      <c r="J68" s="538"/>
      <c r="K68" s="10" t="s">
        <v>109</v>
      </c>
      <c r="L68" s="11" t="s">
        <v>108</v>
      </c>
      <c r="M68" s="11" t="s">
        <v>348</v>
      </c>
      <c r="N68" s="10" t="s">
        <v>109</v>
      </c>
      <c r="O68" s="11" t="s">
        <v>108</v>
      </c>
      <c r="P68" s="11" t="s">
        <v>348</v>
      </c>
      <c r="Q68" s="10" t="s">
        <v>109</v>
      </c>
      <c r="R68" s="11" t="s">
        <v>108</v>
      </c>
      <c r="S68" s="11" t="s">
        <v>348</v>
      </c>
      <c r="T68" s="10" t="s">
        <v>109</v>
      </c>
      <c r="U68" s="11" t="s">
        <v>108</v>
      </c>
      <c r="V68" s="11" t="s">
        <v>348</v>
      </c>
      <c r="W68" s="10" t="s">
        <v>109</v>
      </c>
      <c r="X68" s="11" t="s">
        <v>108</v>
      </c>
      <c r="Y68" s="11" t="s">
        <v>348</v>
      </c>
      <c r="Z68" s="10" t="s">
        <v>109</v>
      </c>
      <c r="AA68" s="11" t="s">
        <v>108</v>
      </c>
      <c r="AB68" s="11" t="s">
        <v>348</v>
      </c>
      <c r="AC68" s="10" t="s">
        <v>109</v>
      </c>
      <c r="AD68" s="11" t="s">
        <v>108</v>
      </c>
      <c r="AE68" s="11" t="s">
        <v>348</v>
      </c>
      <c r="AF68" s="10" t="s">
        <v>109</v>
      </c>
      <c r="AG68" s="11" t="s">
        <v>108</v>
      </c>
      <c r="AH68" s="11" t="s">
        <v>348</v>
      </c>
      <c r="AI68" s="10" t="s">
        <v>109</v>
      </c>
      <c r="AJ68" s="11" t="s">
        <v>108</v>
      </c>
      <c r="AK68" s="11" t="s">
        <v>348</v>
      </c>
      <c r="AL68" s="10" t="s">
        <v>109</v>
      </c>
      <c r="AM68" s="11" t="s">
        <v>108</v>
      </c>
      <c r="AN68" s="11" t="s">
        <v>348</v>
      </c>
      <c r="AO68" s="10" t="s">
        <v>109</v>
      </c>
      <c r="AP68" s="11" t="s">
        <v>108</v>
      </c>
      <c r="AQ68" s="11" t="s">
        <v>348</v>
      </c>
      <c r="AR68" s="10" t="s">
        <v>109</v>
      </c>
      <c r="AS68" s="11" t="s">
        <v>108</v>
      </c>
      <c r="AT68" s="11" t="s">
        <v>348</v>
      </c>
      <c r="AU68" s="10" t="s">
        <v>109</v>
      </c>
      <c r="AV68" s="11" t="s">
        <v>108</v>
      </c>
      <c r="AW68" s="11" t="s">
        <v>348</v>
      </c>
      <c r="AX68" s="10" t="s">
        <v>109</v>
      </c>
      <c r="AY68" s="11" t="s">
        <v>108</v>
      </c>
      <c r="AZ68" s="11" t="s">
        <v>348</v>
      </c>
      <c r="BA68" s="10" t="s">
        <v>109</v>
      </c>
      <c r="BB68" s="11" t="s">
        <v>108</v>
      </c>
      <c r="BC68" s="11" t="s">
        <v>348</v>
      </c>
      <c r="BD68" s="10" t="s">
        <v>109</v>
      </c>
      <c r="BE68" s="11" t="s">
        <v>108</v>
      </c>
      <c r="BF68" s="11" t="s">
        <v>348</v>
      </c>
      <c r="BG68" s="10" t="s">
        <v>109</v>
      </c>
      <c r="BH68" s="11" t="s">
        <v>108</v>
      </c>
      <c r="BI68" s="11" t="s">
        <v>348</v>
      </c>
      <c r="BJ68" s="10" t="s">
        <v>109</v>
      </c>
      <c r="BK68" s="11" t="s">
        <v>108</v>
      </c>
      <c r="BL68" s="11" t="s">
        <v>348</v>
      </c>
      <c r="BM68" s="10" t="s">
        <v>109</v>
      </c>
      <c r="BN68" s="11" t="s">
        <v>108</v>
      </c>
      <c r="BO68" s="11" t="s">
        <v>348</v>
      </c>
      <c r="BP68" s="10" t="s">
        <v>109</v>
      </c>
      <c r="BQ68" s="11" t="s">
        <v>108</v>
      </c>
      <c r="BR68" s="11" t="s">
        <v>348</v>
      </c>
      <c r="BS68" s="10" t="s">
        <v>109</v>
      </c>
      <c r="BT68" s="11" t="s">
        <v>108</v>
      </c>
      <c r="BU68" s="11" t="s">
        <v>348</v>
      </c>
      <c r="BV68" s="10" t="s">
        <v>109</v>
      </c>
      <c r="BW68" s="11" t="s">
        <v>108</v>
      </c>
      <c r="BX68" s="11" t="s">
        <v>348</v>
      </c>
      <c r="BY68" s="10" t="s">
        <v>109</v>
      </c>
      <c r="BZ68" s="11" t="s">
        <v>108</v>
      </c>
      <c r="CA68" s="11" t="s">
        <v>348</v>
      </c>
      <c r="CB68" s="10" t="s">
        <v>109</v>
      </c>
      <c r="CC68" s="11" t="s">
        <v>108</v>
      </c>
      <c r="CD68" s="11" t="s">
        <v>348</v>
      </c>
      <c r="CE68" s="10" t="s">
        <v>109</v>
      </c>
      <c r="CF68" s="11" t="s">
        <v>108</v>
      </c>
      <c r="CG68" s="11" t="s">
        <v>348</v>
      </c>
      <c r="CH68" s="10" t="s">
        <v>109</v>
      </c>
      <c r="CI68" s="11" t="s">
        <v>108</v>
      </c>
      <c r="CJ68" s="11" t="s">
        <v>348</v>
      </c>
      <c r="CK68" s="10" t="s">
        <v>109</v>
      </c>
      <c r="CL68" s="11" t="s">
        <v>108</v>
      </c>
      <c r="CM68" s="11" t="s">
        <v>348</v>
      </c>
      <c r="CN68" s="10" t="s">
        <v>109</v>
      </c>
      <c r="CO68" s="11" t="s">
        <v>108</v>
      </c>
      <c r="CP68" s="11" t="s">
        <v>348</v>
      </c>
      <c r="CQ68" s="10" t="s">
        <v>109</v>
      </c>
      <c r="CR68" s="11" t="s">
        <v>108</v>
      </c>
      <c r="CS68" s="11" t="s">
        <v>348</v>
      </c>
      <c r="CT68" s="10" t="s">
        <v>109</v>
      </c>
      <c r="CU68" s="11" t="s">
        <v>108</v>
      </c>
      <c r="CV68" s="11" t="s">
        <v>348</v>
      </c>
      <c r="CW68" s="10" t="s">
        <v>109</v>
      </c>
      <c r="CX68" s="11" t="s">
        <v>108</v>
      </c>
      <c r="CY68" s="11" t="s">
        <v>348</v>
      </c>
      <c r="CZ68" s="10" t="s">
        <v>109</v>
      </c>
      <c r="DA68" s="11" t="s">
        <v>108</v>
      </c>
      <c r="DB68" s="11" t="s">
        <v>348</v>
      </c>
      <c r="DC68" s="10" t="s">
        <v>109</v>
      </c>
      <c r="DD68" s="11" t="s">
        <v>108</v>
      </c>
      <c r="DE68" s="11" t="s">
        <v>348</v>
      </c>
      <c r="DF68" s="10" t="s">
        <v>109</v>
      </c>
      <c r="DG68" s="11" t="s">
        <v>108</v>
      </c>
      <c r="DH68" s="11" t="s">
        <v>348</v>
      </c>
    </row>
    <row r="69" spans="1:112" ht="30" hidden="1" customHeight="1" x14ac:dyDescent="0.25">
      <c r="A69" s="25">
        <v>1</v>
      </c>
      <c r="B69" s="191" t="s">
        <v>151</v>
      </c>
      <c r="C69" s="191"/>
      <c r="D69" s="191" t="s">
        <v>40</v>
      </c>
      <c r="E69" s="180" t="s">
        <v>357</v>
      </c>
      <c r="F69" s="5" t="s">
        <v>355</v>
      </c>
      <c r="G69" s="25"/>
      <c r="H69" s="7"/>
      <c r="I69" s="7"/>
      <c r="J69" s="3"/>
      <c r="K69" s="6"/>
      <c r="L69" s="6"/>
      <c r="M69" s="6"/>
      <c r="N69" s="6">
        <v>95</v>
      </c>
      <c r="O69" s="6">
        <v>1220</v>
      </c>
      <c r="P69" s="6">
        <v>1018.4</v>
      </c>
      <c r="Q69" s="6">
        <v>40</v>
      </c>
      <c r="R69" s="6">
        <v>500</v>
      </c>
      <c r="S69" s="6">
        <v>449.6</v>
      </c>
      <c r="T69" s="6"/>
      <c r="U69" s="6"/>
      <c r="V69" s="6"/>
      <c r="W69" s="6">
        <v>112.54166666666667</v>
      </c>
      <c r="X69" s="6">
        <v>1397</v>
      </c>
      <c r="Y69" s="6">
        <v>1346.95</v>
      </c>
      <c r="Z69" s="6">
        <v>100</v>
      </c>
      <c r="AA69" s="6">
        <v>1200</v>
      </c>
      <c r="AB69" s="6">
        <v>1200</v>
      </c>
      <c r="AC69" s="6">
        <v>50</v>
      </c>
      <c r="AD69" s="6">
        <v>600</v>
      </c>
      <c r="AE69" s="6">
        <v>600</v>
      </c>
      <c r="AF69" s="6">
        <v>105</v>
      </c>
      <c r="AG69" s="6">
        <v>1370</v>
      </c>
      <c r="AH69" s="6">
        <v>1092.8000000000002</v>
      </c>
      <c r="AI69" s="6">
        <v>20.666666666666661</v>
      </c>
      <c r="AJ69" s="6">
        <v>250</v>
      </c>
      <c r="AK69" s="6">
        <v>244.06</v>
      </c>
      <c r="AL69" s="6">
        <v>46.083333333333336</v>
      </c>
      <c r="AM69" s="6">
        <v>620</v>
      </c>
      <c r="AN69" s="6">
        <v>451.16000000000008</v>
      </c>
      <c r="AO69" s="173">
        <f t="shared" ref="AO69" si="64">+K69+N69+Q69+T69+W69+Z69+AC69+AF69+AI69+AL69</f>
        <v>569.29166666666674</v>
      </c>
      <c r="AP69" s="173">
        <f t="shared" ref="AP69" si="65">+L69+O69+R69+U69+X69+AA69+AD69+AG69+AJ69+AM69</f>
        <v>7157</v>
      </c>
      <c r="AQ69" s="173">
        <f t="shared" ref="AQ69" si="66">+M69+P69+S69+V69+Y69+AB69+AE69+AH69+AK69+AN69</f>
        <v>6402.97</v>
      </c>
      <c r="AR69" s="6"/>
      <c r="AS69" s="6"/>
      <c r="AT69" s="6"/>
      <c r="AU69" s="6">
        <v>0.75</v>
      </c>
      <c r="AV69" s="6">
        <v>9</v>
      </c>
      <c r="AW69" s="6">
        <v>9</v>
      </c>
      <c r="AX69" s="6">
        <v>170</v>
      </c>
      <c r="AY69" s="6">
        <v>2260</v>
      </c>
      <c r="AZ69" s="6">
        <v>1705.6</v>
      </c>
      <c r="BA69" s="6">
        <v>40.666666666666664</v>
      </c>
      <c r="BB69" s="6">
        <v>529</v>
      </c>
      <c r="BC69" s="6">
        <v>415.78000000000003</v>
      </c>
      <c r="BD69" s="6">
        <v>25</v>
      </c>
      <c r="BE69" s="6">
        <v>350</v>
      </c>
      <c r="BF69" s="6">
        <v>224</v>
      </c>
      <c r="BG69" s="6">
        <v>133</v>
      </c>
      <c r="BH69" s="6">
        <v>1756</v>
      </c>
      <c r="BI69" s="6">
        <v>1352.8</v>
      </c>
      <c r="BJ69" s="6">
        <v>85</v>
      </c>
      <c r="BK69" s="6">
        <v>1020</v>
      </c>
      <c r="BL69" s="6">
        <v>1020</v>
      </c>
      <c r="BM69" s="6"/>
      <c r="BN69" s="6"/>
      <c r="BO69" s="6"/>
      <c r="BP69" s="6">
        <v>212</v>
      </c>
      <c r="BQ69" s="6">
        <v>2714</v>
      </c>
      <c r="BR69" s="6">
        <v>2285.6</v>
      </c>
      <c r="BS69" s="6">
        <v>10</v>
      </c>
      <c r="BT69" s="6">
        <v>120</v>
      </c>
      <c r="BU69" s="6">
        <v>120</v>
      </c>
      <c r="BV69" s="173">
        <f t="shared" ref="BV69" si="67">+AO69+AR69+AU69+AX69+BA69+BD69+BG69+BJ69+BM69+BP69+BS69</f>
        <v>1245.7083333333335</v>
      </c>
      <c r="BW69" s="173">
        <f t="shared" ref="BW69" si="68">+AP69+AS69+AV69+AY69+BB69+BE69+BH69+BK69+BN69+BQ69+BT69</f>
        <v>15915</v>
      </c>
      <c r="BX69" s="173">
        <f>+AQ69+AT69+AW69+AZ69+BC69+BF69+BI69+BL69+BO69+BR69+BU69</f>
        <v>13535.75</v>
      </c>
      <c r="BY69" s="6">
        <v>57.011904761904766</v>
      </c>
      <c r="BZ69" s="6">
        <v>685</v>
      </c>
      <c r="CA69" s="6">
        <v>682.83999999999992</v>
      </c>
      <c r="CB69" s="6">
        <v>247</v>
      </c>
      <c r="CC69" s="6">
        <v>3008</v>
      </c>
      <c r="CD69" s="6">
        <v>2897.12</v>
      </c>
      <c r="CE69" s="6">
        <v>28</v>
      </c>
      <c r="CF69" s="6">
        <v>368</v>
      </c>
      <c r="CG69" s="6">
        <v>287.35999999999996</v>
      </c>
      <c r="CH69" s="6">
        <v>59.714285714285715</v>
      </c>
      <c r="CI69" s="6">
        <v>787</v>
      </c>
      <c r="CJ69" s="6">
        <v>602.32000000000005</v>
      </c>
      <c r="CK69" s="6"/>
      <c r="CL69" s="6"/>
      <c r="CM69" s="6"/>
      <c r="CN69" s="6">
        <v>163</v>
      </c>
      <c r="CO69" s="6">
        <v>2256</v>
      </c>
      <c r="CP69" s="6">
        <v>1489.1999999999998</v>
      </c>
      <c r="CQ69" s="6">
        <v>45</v>
      </c>
      <c r="CR69" s="6">
        <v>590</v>
      </c>
      <c r="CS69" s="6">
        <v>464</v>
      </c>
      <c r="CT69" s="6">
        <v>285</v>
      </c>
      <c r="CU69" s="6">
        <v>3500</v>
      </c>
      <c r="CV69" s="6">
        <v>2668.4</v>
      </c>
      <c r="CW69" s="6">
        <v>132</v>
      </c>
      <c r="CX69" s="6">
        <v>1828</v>
      </c>
      <c r="CY69" s="6">
        <v>1213.1200000000001</v>
      </c>
      <c r="CZ69" s="6">
        <v>60</v>
      </c>
      <c r="DA69" s="6">
        <v>734</v>
      </c>
      <c r="DB69" s="6">
        <v>698.72</v>
      </c>
      <c r="DC69" s="6">
        <v>315</v>
      </c>
      <c r="DD69" s="6">
        <v>3790</v>
      </c>
      <c r="DE69" s="6">
        <v>3764.8</v>
      </c>
      <c r="DF69" s="173">
        <f t="shared" ref="DF69" si="69">BV69+CB69+CE69+CH69+CK69+CN69+CQ69+CT69+CW69+CZ69+DC69+BY69</f>
        <v>2637.4345238095239</v>
      </c>
      <c r="DG69" s="173">
        <f>BW69+CC69+CF69+CI69+CL69+CO69+CR69+CU69+CX69+DA69+DD69+BZ69</f>
        <v>33461</v>
      </c>
      <c r="DH69" s="173">
        <f t="shared" ref="DH69" si="70">BX69+CD69+CG69+CJ69+CM69+CP69+CS69+CV69+CY69+DB69+DE69+CA69</f>
        <v>28303.63</v>
      </c>
    </row>
    <row r="70" spans="1:112" ht="30" hidden="1" customHeight="1" x14ac:dyDescent="0.25">
      <c r="A70" s="184" t="s">
        <v>0</v>
      </c>
      <c r="B70" s="196"/>
      <c r="C70" s="185"/>
      <c r="D70" s="185"/>
      <c r="E70" s="186"/>
      <c r="F70" s="4"/>
      <c r="G70" s="4"/>
      <c r="H70" s="4"/>
      <c r="I70" s="4"/>
      <c r="J70" s="3"/>
      <c r="K70" s="2">
        <f t="shared" ref="K70:BV70" si="71">SUM(K69:K69)</f>
        <v>0</v>
      </c>
      <c r="L70" s="2">
        <f t="shared" si="71"/>
        <v>0</v>
      </c>
      <c r="M70" s="2">
        <f t="shared" si="71"/>
        <v>0</v>
      </c>
      <c r="N70" s="2">
        <f t="shared" si="71"/>
        <v>95</v>
      </c>
      <c r="O70" s="2">
        <f t="shared" si="71"/>
        <v>1220</v>
      </c>
      <c r="P70" s="2">
        <f t="shared" si="71"/>
        <v>1018.4</v>
      </c>
      <c r="Q70" s="2">
        <f t="shared" si="71"/>
        <v>40</v>
      </c>
      <c r="R70" s="2">
        <f t="shared" si="71"/>
        <v>500</v>
      </c>
      <c r="S70" s="2">
        <f t="shared" si="71"/>
        <v>449.6</v>
      </c>
      <c r="T70" s="2">
        <f t="shared" si="71"/>
        <v>0</v>
      </c>
      <c r="U70" s="2">
        <f t="shared" si="71"/>
        <v>0</v>
      </c>
      <c r="V70" s="2">
        <f t="shared" si="71"/>
        <v>0</v>
      </c>
      <c r="W70" s="2">
        <f t="shared" si="71"/>
        <v>112.54166666666667</v>
      </c>
      <c r="X70" s="2">
        <f t="shared" si="71"/>
        <v>1397</v>
      </c>
      <c r="Y70" s="2">
        <f t="shared" si="71"/>
        <v>1346.95</v>
      </c>
      <c r="Z70" s="2">
        <f t="shared" si="71"/>
        <v>100</v>
      </c>
      <c r="AA70" s="2">
        <f t="shared" si="71"/>
        <v>1200</v>
      </c>
      <c r="AB70" s="2">
        <f t="shared" si="71"/>
        <v>1200</v>
      </c>
      <c r="AC70" s="2">
        <f t="shared" si="71"/>
        <v>50</v>
      </c>
      <c r="AD70" s="2">
        <f t="shared" si="71"/>
        <v>600</v>
      </c>
      <c r="AE70" s="2">
        <f t="shared" si="71"/>
        <v>600</v>
      </c>
      <c r="AF70" s="2">
        <f t="shared" si="71"/>
        <v>105</v>
      </c>
      <c r="AG70" s="2">
        <f t="shared" si="71"/>
        <v>1370</v>
      </c>
      <c r="AH70" s="2">
        <f t="shared" si="71"/>
        <v>1092.8000000000002</v>
      </c>
      <c r="AI70" s="2">
        <f t="shared" si="71"/>
        <v>20.666666666666661</v>
      </c>
      <c r="AJ70" s="2">
        <f t="shared" si="71"/>
        <v>250</v>
      </c>
      <c r="AK70" s="2">
        <f t="shared" si="71"/>
        <v>244.06</v>
      </c>
      <c r="AL70" s="2">
        <f t="shared" si="71"/>
        <v>46.083333333333336</v>
      </c>
      <c r="AM70" s="2">
        <f t="shared" si="71"/>
        <v>620</v>
      </c>
      <c r="AN70" s="2">
        <f t="shared" si="71"/>
        <v>451.16000000000008</v>
      </c>
      <c r="AO70" s="198">
        <f t="shared" si="71"/>
        <v>569.29166666666674</v>
      </c>
      <c r="AP70" s="198">
        <f t="shared" si="71"/>
        <v>7157</v>
      </c>
      <c r="AQ70" s="198">
        <f t="shared" si="71"/>
        <v>6402.97</v>
      </c>
      <c r="AR70" s="2">
        <f t="shared" si="71"/>
        <v>0</v>
      </c>
      <c r="AS70" s="2">
        <f t="shared" si="71"/>
        <v>0</v>
      </c>
      <c r="AT70" s="2">
        <f t="shared" si="71"/>
        <v>0</v>
      </c>
      <c r="AU70" s="2">
        <f t="shared" si="71"/>
        <v>0.75</v>
      </c>
      <c r="AV70" s="2">
        <f t="shared" si="71"/>
        <v>9</v>
      </c>
      <c r="AW70" s="2">
        <f t="shared" si="71"/>
        <v>9</v>
      </c>
      <c r="AX70" s="2">
        <f t="shared" si="71"/>
        <v>170</v>
      </c>
      <c r="AY70" s="2">
        <f t="shared" si="71"/>
        <v>2260</v>
      </c>
      <c r="AZ70" s="2">
        <f t="shared" si="71"/>
        <v>1705.6</v>
      </c>
      <c r="BA70" s="2">
        <f t="shared" si="71"/>
        <v>40.666666666666664</v>
      </c>
      <c r="BB70" s="2">
        <f t="shared" si="71"/>
        <v>529</v>
      </c>
      <c r="BC70" s="2">
        <f t="shared" si="71"/>
        <v>415.78000000000003</v>
      </c>
      <c r="BD70" s="2">
        <f t="shared" si="71"/>
        <v>25</v>
      </c>
      <c r="BE70" s="2">
        <f t="shared" si="71"/>
        <v>350</v>
      </c>
      <c r="BF70" s="2">
        <f t="shared" si="71"/>
        <v>224</v>
      </c>
      <c r="BG70" s="2">
        <f t="shared" si="71"/>
        <v>133</v>
      </c>
      <c r="BH70" s="2">
        <f t="shared" si="71"/>
        <v>1756</v>
      </c>
      <c r="BI70" s="2">
        <f t="shared" si="71"/>
        <v>1352.8</v>
      </c>
      <c r="BJ70" s="2">
        <f t="shared" si="71"/>
        <v>85</v>
      </c>
      <c r="BK70" s="2">
        <f t="shared" si="71"/>
        <v>1020</v>
      </c>
      <c r="BL70" s="2">
        <f t="shared" si="71"/>
        <v>1020</v>
      </c>
      <c r="BM70" s="2">
        <f t="shared" si="71"/>
        <v>0</v>
      </c>
      <c r="BN70" s="2">
        <f t="shared" si="71"/>
        <v>0</v>
      </c>
      <c r="BO70" s="2">
        <f t="shared" si="71"/>
        <v>0</v>
      </c>
      <c r="BP70" s="2">
        <f t="shared" si="71"/>
        <v>212</v>
      </c>
      <c r="BQ70" s="2">
        <f t="shared" si="71"/>
        <v>2714</v>
      </c>
      <c r="BR70" s="2">
        <f t="shared" si="71"/>
        <v>2285.6</v>
      </c>
      <c r="BS70" s="2">
        <f t="shared" si="71"/>
        <v>10</v>
      </c>
      <c r="BT70" s="2">
        <f t="shared" si="71"/>
        <v>120</v>
      </c>
      <c r="BU70" s="2">
        <f t="shared" si="71"/>
        <v>120</v>
      </c>
      <c r="BV70" s="198">
        <f t="shared" si="71"/>
        <v>1245.7083333333335</v>
      </c>
      <c r="BW70" s="198">
        <f t="shared" ref="BW70:DH70" si="72">SUM(BW69:BW69)</f>
        <v>15915</v>
      </c>
      <c r="BX70" s="198">
        <f t="shared" si="72"/>
        <v>13535.75</v>
      </c>
      <c r="BY70" s="2">
        <f t="shared" si="72"/>
        <v>57.011904761904766</v>
      </c>
      <c r="BZ70" s="2">
        <f t="shared" si="72"/>
        <v>685</v>
      </c>
      <c r="CA70" s="2">
        <f t="shared" si="72"/>
        <v>682.83999999999992</v>
      </c>
      <c r="CB70" s="2">
        <f t="shared" si="72"/>
        <v>247</v>
      </c>
      <c r="CC70" s="2">
        <f t="shared" si="72"/>
        <v>3008</v>
      </c>
      <c r="CD70" s="2">
        <f t="shared" si="72"/>
        <v>2897.12</v>
      </c>
      <c r="CE70" s="2">
        <f t="shared" si="72"/>
        <v>28</v>
      </c>
      <c r="CF70" s="2">
        <f t="shared" si="72"/>
        <v>368</v>
      </c>
      <c r="CG70" s="2">
        <f t="shared" si="72"/>
        <v>287.35999999999996</v>
      </c>
      <c r="CH70" s="2">
        <f t="shared" si="72"/>
        <v>59.714285714285715</v>
      </c>
      <c r="CI70" s="2">
        <f t="shared" si="72"/>
        <v>787</v>
      </c>
      <c r="CJ70" s="2">
        <f t="shared" si="72"/>
        <v>602.32000000000005</v>
      </c>
      <c r="CK70" s="2">
        <f t="shared" si="72"/>
        <v>0</v>
      </c>
      <c r="CL70" s="2">
        <f t="shared" si="72"/>
        <v>0</v>
      </c>
      <c r="CM70" s="2">
        <f t="shared" si="72"/>
        <v>0</v>
      </c>
      <c r="CN70" s="2">
        <f t="shared" si="72"/>
        <v>163</v>
      </c>
      <c r="CO70" s="2">
        <f t="shared" si="72"/>
        <v>2256</v>
      </c>
      <c r="CP70" s="2">
        <f t="shared" si="72"/>
        <v>1489.1999999999998</v>
      </c>
      <c r="CQ70" s="2">
        <f t="shared" si="72"/>
        <v>45</v>
      </c>
      <c r="CR70" s="2">
        <f t="shared" si="72"/>
        <v>590</v>
      </c>
      <c r="CS70" s="2">
        <f t="shared" si="72"/>
        <v>464</v>
      </c>
      <c r="CT70" s="2">
        <f t="shared" si="72"/>
        <v>285</v>
      </c>
      <c r="CU70" s="2">
        <f t="shared" si="72"/>
        <v>3500</v>
      </c>
      <c r="CV70" s="2">
        <f t="shared" si="72"/>
        <v>2668.4</v>
      </c>
      <c r="CW70" s="2">
        <f t="shared" si="72"/>
        <v>132</v>
      </c>
      <c r="CX70" s="2">
        <f t="shared" si="72"/>
        <v>1828</v>
      </c>
      <c r="CY70" s="2">
        <f t="shared" si="72"/>
        <v>1213.1200000000001</v>
      </c>
      <c r="CZ70" s="2">
        <f t="shared" si="72"/>
        <v>60</v>
      </c>
      <c r="DA70" s="2">
        <f t="shared" si="72"/>
        <v>734</v>
      </c>
      <c r="DB70" s="2">
        <f t="shared" si="72"/>
        <v>698.72</v>
      </c>
      <c r="DC70" s="2">
        <f t="shared" si="72"/>
        <v>315</v>
      </c>
      <c r="DD70" s="2">
        <f t="shared" si="72"/>
        <v>3790</v>
      </c>
      <c r="DE70" s="2">
        <f t="shared" si="72"/>
        <v>3764.8</v>
      </c>
      <c r="DF70" s="198">
        <f t="shared" si="72"/>
        <v>2637.4345238095239</v>
      </c>
      <c r="DG70" s="198">
        <f t="shared" si="72"/>
        <v>33461</v>
      </c>
      <c r="DH70" s="198">
        <f t="shared" si="72"/>
        <v>28303.63</v>
      </c>
    </row>
    <row r="71" spans="1:112" ht="30" hidden="1" customHeight="1" x14ac:dyDescent="0.25"/>
    <row r="72" spans="1:112" ht="30" hidden="1" customHeight="1" x14ac:dyDescent="0.25">
      <c r="K72" s="174">
        <f t="shared" ref="K72:AP72" si="73">SUM(K19+K47+K65+K69)</f>
        <v>0</v>
      </c>
      <c r="L72" s="174">
        <f t="shared" si="73"/>
        <v>0</v>
      </c>
      <c r="M72" s="174">
        <f t="shared" si="73"/>
        <v>0</v>
      </c>
      <c r="N72" s="174">
        <f t="shared" si="73"/>
        <v>590</v>
      </c>
      <c r="O72" s="174">
        <f t="shared" si="73"/>
        <v>8430</v>
      </c>
      <c r="P72" s="174">
        <f t="shared" si="73"/>
        <v>6324</v>
      </c>
      <c r="Q72" s="174">
        <f t="shared" si="73"/>
        <v>240</v>
      </c>
      <c r="R72" s="174">
        <f t="shared" si="73"/>
        <v>3500</v>
      </c>
      <c r="S72" s="174">
        <f t="shared" si="73"/>
        <v>3017.6</v>
      </c>
      <c r="T72" s="174">
        <f t="shared" si="73"/>
        <v>0</v>
      </c>
      <c r="U72" s="174">
        <f t="shared" si="73"/>
        <v>0</v>
      </c>
      <c r="V72" s="174">
        <f t="shared" si="73"/>
        <v>0</v>
      </c>
      <c r="W72" s="174">
        <f t="shared" si="73"/>
        <v>967.54166666666663</v>
      </c>
      <c r="X72" s="174">
        <f t="shared" si="73"/>
        <v>12617</v>
      </c>
      <c r="Y72" s="174">
        <f t="shared" si="73"/>
        <v>10147.75</v>
      </c>
      <c r="Z72" s="174">
        <f t="shared" si="73"/>
        <v>740</v>
      </c>
      <c r="AA72" s="174">
        <f t="shared" si="73"/>
        <v>10740</v>
      </c>
      <c r="AB72" s="174">
        <f t="shared" si="73"/>
        <v>8240</v>
      </c>
      <c r="AC72" s="174">
        <f t="shared" si="73"/>
        <v>559</v>
      </c>
      <c r="AD72" s="174">
        <f t="shared" si="73"/>
        <v>7226</v>
      </c>
      <c r="AE72" s="174">
        <f t="shared" si="73"/>
        <v>5920.64</v>
      </c>
      <c r="AF72" s="174">
        <f t="shared" si="73"/>
        <v>575</v>
      </c>
      <c r="AG72" s="174">
        <f t="shared" si="73"/>
        <v>7850</v>
      </c>
      <c r="AH72" s="174">
        <f t="shared" si="73"/>
        <v>6104</v>
      </c>
      <c r="AI72" s="174">
        <f t="shared" si="73"/>
        <v>972.66666666666663</v>
      </c>
      <c r="AJ72" s="174">
        <f t="shared" si="73"/>
        <v>12874</v>
      </c>
      <c r="AK72" s="174">
        <f t="shared" si="73"/>
        <v>9484.06</v>
      </c>
      <c r="AL72" s="174">
        <f t="shared" si="73"/>
        <v>311.08333333333331</v>
      </c>
      <c r="AM72" s="174">
        <f t="shared" si="73"/>
        <v>4290</v>
      </c>
      <c r="AN72" s="174">
        <f t="shared" si="73"/>
        <v>3534.3599999999997</v>
      </c>
      <c r="AO72" s="174">
        <f t="shared" si="73"/>
        <v>4955.291666666667</v>
      </c>
      <c r="AP72" s="174">
        <f t="shared" si="73"/>
        <v>67527</v>
      </c>
      <c r="AQ72" s="174">
        <f t="shared" ref="AQ72:BV72" si="74">SUM(AQ19+AQ47+AQ65+AQ69)</f>
        <v>52772.41</v>
      </c>
      <c r="AR72" s="174">
        <f t="shared" si="74"/>
        <v>0</v>
      </c>
      <c r="AS72" s="174">
        <f t="shared" si="74"/>
        <v>0</v>
      </c>
      <c r="AT72" s="174">
        <f t="shared" si="74"/>
        <v>0</v>
      </c>
      <c r="AU72" s="174">
        <f t="shared" si="74"/>
        <v>1385.75</v>
      </c>
      <c r="AV72" s="174">
        <f t="shared" si="74"/>
        <v>18639</v>
      </c>
      <c r="AW72" s="174">
        <f t="shared" si="74"/>
        <v>13573.800000000001</v>
      </c>
      <c r="AX72" s="174">
        <f t="shared" si="74"/>
        <v>870</v>
      </c>
      <c r="AY72" s="174">
        <f t="shared" si="74"/>
        <v>11900</v>
      </c>
      <c r="AZ72" s="174">
        <f t="shared" si="74"/>
        <v>9084.7999999999993</v>
      </c>
      <c r="BA72" s="174">
        <f t="shared" si="74"/>
        <v>705.16666666666663</v>
      </c>
      <c r="BB72" s="174">
        <f t="shared" si="74"/>
        <v>9431</v>
      </c>
      <c r="BC72" s="174">
        <f t="shared" si="74"/>
        <v>6979.22</v>
      </c>
      <c r="BD72" s="174">
        <f t="shared" si="74"/>
        <v>900</v>
      </c>
      <c r="BE72" s="174">
        <f t="shared" si="74"/>
        <v>12540</v>
      </c>
      <c r="BF72" s="174">
        <f t="shared" si="74"/>
        <v>9667.2000000000007</v>
      </c>
      <c r="BG72" s="174">
        <f t="shared" si="74"/>
        <v>668</v>
      </c>
      <c r="BH72" s="174">
        <f t="shared" si="74"/>
        <v>8936</v>
      </c>
      <c r="BI72" s="174">
        <f t="shared" si="74"/>
        <v>6617.6</v>
      </c>
      <c r="BJ72" s="174">
        <f t="shared" si="74"/>
        <v>1050</v>
      </c>
      <c r="BK72" s="174">
        <f t="shared" si="74"/>
        <v>14570</v>
      </c>
      <c r="BL72" s="174">
        <f t="shared" si="74"/>
        <v>10901.6</v>
      </c>
      <c r="BM72" s="174">
        <f t="shared" si="74"/>
        <v>0</v>
      </c>
      <c r="BN72" s="174">
        <f t="shared" si="74"/>
        <v>0</v>
      </c>
      <c r="BO72" s="174">
        <f t="shared" si="74"/>
        <v>0</v>
      </c>
      <c r="BP72" s="174">
        <f t="shared" si="74"/>
        <v>1042</v>
      </c>
      <c r="BQ72" s="174">
        <f t="shared" si="74"/>
        <v>13604</v>
      </c>
      <c r="BR72" s="174">
        <f t="shared" si="74"/>
        <v>10832.000000000002</v>
      </c>
      <c r="BS72" s="174">
        <f t="shared" si="74"/>
        <v>629</v>
      </c>
      <c r="BT72" s="174">
        <f t="shared" si="74"/>
        <v>9566</v>
      </c>
      <c r="BU72" s="174">
        <f t="shared" si="74"/>
        <v>7051.0399999999991</v>
      </c>
      <c r="BV72" s="174">
        <f t="shared" si="74"/>
        <v>12205.208333333334</v>
      </c>
      <c r="BW72" s="174">
        <f t="shared" ref="BW72:DB72" si="75">SUM(BW19+BW47+BW65+BW69)</f>
        <v>166713</v>
      </c>
      <c r="BX72" s="174">
        <f t="shared" si="75"/>
        <v>127479.67</v>
      </c>
      <c r="BY72" s="174">
        <f t="shared" si="75"/>
        <v>917.01190476190482</v>
      </c>
      <c r="BZ72" s="174">
        <f t="shared" si="75"/>
        <v>11905</v>
      </c>
      <c r="CA72" s="174">
        <f t="shared" si="75"/>
        <v>9634.84</v>
      </c>
      <c r="CB72" s="174">
        <f t="shared" si="75"/>
        <v>1573</v>
      </c>
      <c r="CC72" s="174">
        <f t="shared" si="75"/>
        <v>20012</v>
      </c>
      <c r="CD72" s="174">
        <f t="shared" si="75"/>
        <v>17149.28</v>
      </c>
      <c r="CE72" s="174">
        <f t="shared" si="75"/>
        <v>1033</v>
      </c>
      <c r="CF72" s="174">
        <f t="shared" si="75"/>
        <v>13528</v>
      </c>
      <c r="CG72" s="174">
        <f t="shared" si="75"/>
        <v>10675.36</v>
      </c>
      <c r="CH72" s="174">
        <f t="shared" si="75"/>
        <v>640.71428571428567</v>
      </c>
      <c r="CI72" s="174">
        <f t="shared" si="75"/>
        <v>8519</v>
      </c>
      <c r="CJ72" s="174">
        <f t="shared" si="75"/>
        <v>6419.12</v>
      </c>
      <c r="CK72" s="174">
        <f t="shared" si="75"/>
        <v>0</v>
      </c>
      <c r="CL72" s="174">
        <f t="shared" si="75"/>
        <v>0</v>
      </c>
      <c r="CM72" s="174">
        <f t="shared" si="75"/>
        <v>0</v>
      </c>
      <c r="CN72" s="174">
        <f t="shared" si="75"/>
        <v>863</v>
      </c>
      <c r="CO72" s="174">
        <f t="shared" si="75"/>
        <v>11436</v>
      </c>
      <c r="CP72" s="174">
        <f t="shared" si="75"/>
        <v>9351.5999999999985</v>
      </c>
      <c r="CQ72" s="174">
        <f t="shared" si="75"/>
        <v>695</v>
      </c>
      <c r="CR72" s="174">
        <f t="shared" si="75"/>
        <v>8930</v>
      </c>
      <c r="CS72" s="174">
        <f t="shared" si="75"/>
        <v>7875.2</v>
      </c>
      <c r="CT72" s="174">
        <f t="shared" si="75"/>
        <v>542</v>
      </c>
      <c r="CU72" s="174">
        <f t="shared" si="75"/>
        <v>6654</v>
      </c>
      <c r="CV72" s="174">
        <f t="shared" si="75"/>
        <v>5646</v>
      </c>
      <c r="CW72" s="174">
        <f t="shared" si="75"/>
        <v>746</v>
      </c>
      <c r="CX72" s="174">
        <f t="shared" si="75"/>
        <v>10694</v>
      </c>
      <c r="CY72" s="174">
        <f t="shared" si="75"/>
        <v>7362.56</v>
      </c>
      <c r="CZ72" s="174">
        <f t="shared" si="75"/>
        <v>650</v>
      </c>
      <c r="DA72" s="174">
        <f t="shared" si="75"/>
        <v>9274</v>
      </c>
      <c r="DB72" s="174">
        <f t="shared" si="75"/>
        <v>6819.52</v>
      </c>
      <c r="DC72" s="174">
        <f t="shared" ref="DC72:DH72" si="76">SUM(DC19+DC47+DC65+DC69)</f>
        <v>2400</v>
      </c>
      <c r="DD72" s="174">
        <f t="shared" si="76"/>
        <v>31510</v>
      </c>
      <c r="DE72" s="174">
        <f t="shared" si="76"/>
        <v>25112.799999999999</v>
      </c>
      <c r="DF72" s="174">
        <f t="shared" si="76"/>
        <v>22264.934523809523</v>
      </c>
      <c r="DG72" s="174">
        <f t="shared" si="76"/>
        <v>299175</v>
      </c>
      <c r="DH72" s="174">
        <f t="shared" si="76"/>
        <v>233525.94999999998</v>
      </c>
    </row>
    <row r="73" spans="1:112" ht="30" hidden="1" customHeight="1" x14ac:dyDescent="0.25"/>
    <row r="74" spans="1:112" ht="30" hidden="1" customHeight="1" x14ac:dyDescent="0.25">
      <c r="A74" s="546" t="s">
        <v>464</v>
      </c>
      <c r="B74" s="546"/>
      <c r="C74" s="546"/>
      <c r="D74" s="546"/>
      <c r="E74" s="546"/>
    </row>
    <row r="75" spans="1:112" ht="30" hidden="1" customHeight="1" x14ac:dyDescent="0.25">
      <c r="A75" s="275" t="s">
        <v>118</v>
      </c>
      <c r="B75" s="192" t="s">
        <v>117</v>
      </c>
      <c r="C75" s="23"/>
      <c r="D75" s="540" t="s">
        <v>116</v>
      </c>
      <c r="E75" s="541"/>
      <c r="F75" s="542" t="s">
        <v>115</v>
      </c>
      <c r="G75" s="543" t="s">
        <v>114</v>
      </c>
      <c r="H75" s="544"/>
      <c r="I75" s="531" t="s">
        <v>113</v>
      </c>
      <c r="J75" s="545" t="s">
        <v>112</v>
      </c>
      <c r="K75" s="520" t="s">
        <v>465</v>
      </c>
      <c r="L75" s="520"/>
      <c r="M75" s="520"/>
      <c r="N75" s="520" t="s">
        <v>466</v>
      </c>
      <c r="O75" s="520"/>
      <c r="P75" s="520"/>
      <c r="Q75" s="520" t="s">
        <v>467</v>
      </c>
      <c r="R75" s="520"/>
      <c r="S75" s="520"/>
      <c r="T75" s="520" t="s">
        <v>468</v>
      </c>
      <c r="U75" s="520"/>
      <c r="V75" s="520"/>
      <c r="W75" s="520" t="s">
        <v>469</v>
      </c>
      <c r="X75" s="520"/>
      <c r="Y75" s="520"/>
      <c r="Z75" s="520" t="s">
        <v>470</v>
      </c>
      <c r="AA75" s="520"/>
      <c r="AB75" s="520"/>
      <c r="AC75" s="520" t="s">
        <v>471</v>
      </c>
      <c r="AD75" s="520"/>
      <c r="AE75" s="520"/>
      <c r="AF75" s="520" t="s">
        <v>472</v>
      </c>
      <c r="AG75" s="520"/>
      <c r="AH75" s="520"/>
      <c r="AI75" s="520" t="s">
        <v>473</v>
      </c>
      <c r="AJ75" s="520"/>
      <c r="AK75" s="520"/>
      <c r="AL75" s="520" t="s">
        <v>474</v>
      </c>
      <c r="AM75" s="520"/>
      <c r="AN75" s="520"/>
      <c r="AO75" s="521" t="s">
        <v>350</v>
      </c>
      <c r="AP75" s="521"/>
      <c r="AQ75" s="521"/>
      <c r="AR75" s="520" t="s">
        <v>475</v>
      </c>
      <c r="AS75" s="520"/>
      <c r="AT75" s="520"/>
      <c r="AU75" s="520" t="s">
        <v>476</v>
      </c>
      <c r="AV75" s="520"/>
      <c r="AW75" s="520"/>
      <c r="AX75" s="520" t="s">
        <v>477</v>
      </c>
      <c r="AY75" s="520"/>
      <c r="AZ75" s="520"/>
      <c r="BA75" s="520" t="s">
        <v>478</v>
      </c>
      <c r="BB75" s="520"/>
      <c r="BC75" s="520"/>
      <c r="BD75" s="520" t="s">
        <v>479</v>
      </c>
      <c r="BE75" s="520"/>
      <c r="BF75" s="520"/>
      <c r="BG75" s="520" t="s">
        <v>480</v>
      </c>
      <c r="BH75" s="520"/>
      <c r="BI75" s="520"/>
      <c r="BJ75" s="520" t="s">
        <v>481</v>
      </c>
      <c r="BK75" s="520"/>
      <c r="BL75" s="520"/>
      <c r="BM75" s="520" t="s">
        <v>482</v>
      </c>
      <c r="BN75" s="520"/>
      <c r="BO75" s="520"/>
      <c r="BP75" s="520" t="s">
        <v>483</v>
      </c>
      <c r="BQ75" s="520"/>
      <c r="BR75" s="520"/>
      <c r="BS75" s="520" t="s">
        <v>484</v>
      </c>
      <c r="BT75" s="520"/>
      <c r="BU75" s="520"/>
      <c r="BV75" s="521" t="s">
        <v>351</v>
      </c>
      <c r="BW75" s="521"/>
      <c r="BX75" s="521"/>
      <c r="BY75" s="520" t="s">
        <v>485</v>
      </c>
      <c r="BZ75" s="520"/>
      <c r="CA75" s="520"/>
      <c r="CB75" s="520" t="s">
        <v>486</v>
      </c>
      <c r="CC75" s="520"/>
      <c r="CD75" s="520"/>
      <c r="CE75" s="520" t="s">
        <v>487</v>
      </c>
      <c r="CF75" s="520"/>
      <c r="CG75" s="520"/>
      <c r="CH75" s="520" t="s">
        <v>488</v>
      </c>
      <c r="CI75" s="520"/>
      <c r="CJ75" s="520"/>
      <c r="CK75" s="520" t="s">
        <v>489</v>
      </c>
      <c r="CL75" s="520"/>
      <c r="CM75" s="520"/>
      <c r="CN75" s="520" t="s">
        <v>490</v>
      </c>
      <c r="CO75" s="520"/>
      <c r="CP75" s="520"/>
      <c r="CQ75" s="520" t="s">
        <v>491</v>
      </c>
      <c r="CR75" s="520"/>
      <c r="CS75" s="520"/>
      <c r="CT75" s="520" t="s">
        <v>492</v>
      </c>
      <c r="CU75" s="520"/>
      <c r="CV75" s="520"/>
      <c r="CW75" s="520" t="s">
        <v>493</v>
      </c>
      <c r="CX75" s="520"/>
      <c r="CY75" s="520"/>
      <c r="CZ75" s="520" t="s">
        <v>494</v>
      </c>
      <c r="DA75" s="520"/>
      <c r="DB75" s="520"/>
      <c r="DC75" s="520" t="s">
        <v>495</v>
      </c>
      <c r="DD75" s="520"/>
      <c r="DE75" s="520"/>
      <c r="DF75" s="520" t="s">
        <v>111</v>
      </c>
      <c r="DG75" s="520"/>
      <c r="DH75" s="520"/>
    </row>
    <row r="76" spans="1:112" ht="30" hidden="1" customHeight="1" x14ac:dyDescent="0.25">
      <c r="A76" s="276"/>
      <c r="B76" s="193"/>
      <c r="C76" s="24"/>
      <c r="D76" s="529"/>
      <c r="E76" s="530"/>
      <c r="F76" s="536"/>
      <c r="G76" s="534"/>
      <c r="H76" s="535"/>
      <c r="I76" s="531"/>
      <c r="J76" s="538"/>
      <c r="K76" s="10" t="s">
        <v>109</v>
      </c>
      <c r="L76" s="11" t="s">
        <v>108</v>
      </c>
      <c r="M76" s="11" t="s">
        <v>348</v>
      </c>
      <c r="N76" s="10" t="s">
        <v>109</v>
      </c>
      <c r="O76" s="11" t="s">
        <v>108</v>
      </c>
      <c r="P76" s="11" t="s">
        <v>348</v>
      </c>
      <c r="Q76" s="10" t="s">
        <v>109</v>
      </c>
      <c r="R76" s="11" t="s">
        <v>108</v>
      </c>
      <c r="S76" s="11" t="s">
        <v>348</v>
      </c>
      <c r="T76" s="10" t="s">
        <v>109</v>
      </c>
      <c r="U76" s="11" t="s">
        <v>108</v>
      </c>
      <c r="V76" s="11" t="s">
        <v>348</v>
      </c>
      <c r="W76" s="10" t="s">
        <v>109</v>
      </c>
      <c r="X76" s="11" t="s">
        <v>108</v>
      </c>
      <c r="Y76" s="11" t="s">
        <v>348</v>
      </c>
      <c r="Z76" s="10" t="s">
        <v>109</v>
      </c>
      <c r="AA76" s="11" t="s">
        <v>108</v>
      </c>
      <c r="AB76" s="11" t="s">
        <v>348</v>
      </c>
      <c r="AC76" s="10" t="s">
        <v>109</v>
      </c>
      <c r="AD76" s="11" t="s">
        <v>108</v>
      </c>
      <c r="AE76" s="11" t="s">
        <v>348</v>
      </c>
      <c r="AF76" s="10" t="s">
        <v>109</v>
      </c>
      <c r="AG76" s="11" t="s">
        <v>108</v>
      </c>
      <c r="AH76" s="11" t="s">
        <v>348</v>
      </c>
      <c r="AI76" s="10" t="s">
        <v>109</v>
      </c>
      <c r="AJ76" s="11" t="s">
        <v>108</v>
      </c>
      <c r="AK76" s="11" t="s">
        <v>348</v>
      </c>
      <c r="AL76" s="10" t="s">
        <v>109</v>
      </c>
      <c r="AM76" s="11" t="s">
        <v>108</v>
      </c>
      <c r="AN76" s="11" t="s">
        <v>348</v>
      </c>
      <c r="AO76" s="10" t="s">
        <v>109</v>
      </c>
      <c r="AP76" s="11" t="s">
        <v>108</v>
      </c>
      <c r="AQ76" s="11" t="s">
        <v>348</v>
      </c>
      <c r="AR76" s="10" t="s">
        <v>109</v>
      </c>
      <c r="AS76" s="11" t="s">
        <v>108</v>
      </c>
      <c r="AT76" s="11" t="s">
        <v>348</v>
      </c>
      <c r="AU76" s="10" t="s">
        <v>109</v>
      </c>
      <c r="AV76" s="11" t="s">
        <v>108</v>
      </c>
      <c r="AW76" s="11" t="s">
        <v>348</v>
      </c>
      <c r="AX76" s="10" t="s">
        <v>109</v>
      </c>
      <c r="AY76" s="11" t="s">
        <v>108</v>
      </c>
      <c r="AZ76" s="11" t="s">
        <v>348</v>
      </c>
      <c r="BA76" s="10" t="s">
        <v>109</v>
      </c>
      <c r="BB76" s="11" t="s">
        <v>108</v>
      </c>
      <c r="BC76" s="11" t="s">
        <v>348</v>
      </c>
      <c r="BD76" s="10" t="s">
        <v>109</v>
      </c>
      <c r="BE76" s="11" t="s">
        <v>108</v>
      </c>
      <c r="BF76" s="11" t="s">
        <v>348</v>
      </c>
      <c r="BG76" s="10" t="s">
        <v>109</v>
      </c>
      <c r="BH76" s="11" t="s">
        <v>108</v>
      </c>
      <c r="BI76" s="11" t="s">
        <v>348</v>
      </c>
      <c r="BJ76" s="10" t="s">
        <v>109</v>
      </c>
      <c r="BK76" s="11" t="s">
        <v>108</v>
      </c>
      <c r="BL76" s="11" t="s">
        <v>348</v>
      </c>
      <c r="BM76" s="10" t="s">
        <v>109</v>
      </c>
      <c r="BN76" s="11" t="s">
        <v>108</v>
      </c>
      <c r="BO76" s="11" t="s">
        <v>348</v>
      </c>
      <c r="BP76" s="10" t="s">
        <v>109</v>
      </c>
      <c r="BQ76" s="11" t="s">
        <v>108</v>
      </c>
      <c r="BR76" s="11" t="s">
        <v>348</v>
      </c>
      <c r="BS76" s="10" t="s">
        <v>109</v>
      </c>
      <c r="BT76" s="11" t="s">
        <v>108</v>
      </c>
      <c r="BU76" s="11" t="s">
        <v>348</v>
      </c>
      <c r="BV76" s="10" t="s">
        <v>109</v>
      </c>
      <c r="BW76" s="11" t="s">
        <v>108</v>
      </c>
      <c r="BX76" s="11" t="s">
        <v>348</v>
      </c>
      <c r="BY76" s="10" t="s">
        <v>109</v>
      </c>
      <c r="BZ76" s="11" t="s">
        <v>108</v>
      </c>
      <c r="CA76" s="11" t="s">
        <v>348</v>
      </c>
      <c r="CB76" s="10" t="s">
        <v>109</v>
      </c>
      <c r="CC76" s="11" t="s">
        <v>108</v>
      </c>
      <c r="CD76" s="11" t="s">
        <v>348</v>
      </c>
      <c r="CE76" s="10" t="s">
        <v>109</v>
      </c>
      <c r="CF76" s="11" t="s">
        <v>108</v>
      </c>
      <c r="CG76" s="11" t="s">
        <v>348</v>
      </c>
      <c r="CH76" s="10" t="s">
        <v>109</v>
      </c>
      <c r="CI76" s="11" t="s">
        <v>108</v>
      </c>
      <c r="CJ76" s="11" t="s">
        <v>348</v>
      </c>
      <c r="CK76" s="10" t="s">
        <v>109</v>
      </c>
      <c r="CL76" s="11" t="s">
        <v>108</v>
      </c>
      <c r="CM76" s="11" t="s">
        <v>348</v>
      </c>
      <c r="CN76" s="10" t="s">
        <v>109</v>
      </c>
      <c r="CO76" s="11" t="s">
        <v>108</v>
      </c>
      <c r="CP76" s="11" t="s">
        <v>348</v>
      </c>
      <c r="CQ76" s="10" t="s">
        <v>109</v>
      </c>
      <c r="CR76" s="11" t="s">
        <v>108</v>
      </c>
      <c r="CS76" s="11" t="s">
        <v>348</v>
      </c>
      <c r="CT76" s="10" t="s">
        <v>109</v>
      </c>
      <c r="CU76" s="11" t="s">
        <v>108</v>
      </c>
      <c r="CV76" s="11" t="s">
        <v>348</v>
      </c>
      <c r="CW76" s="10" t="s">
        <v>109</v>
      </c>
      <c r="CX76" s="11" t="s">
        <v>108</v>
      </c>
      <c r="CY76" s="11" t="s">
        <v>348</v>
      </c>
      <c r="CZ76" s="10" t="s">
        <v>109</v>
      </c>
      <c r="DA76" s="11" t="s">
        <v>108</v>
      </c>
      <c r="DB76" s="11" t="s">
        <v>348</v>
      </c>
      <c r="DC76" s="10" t="s">
        <v>109</v>
      </c>
      <c r="DD76" s="11" t="s">
        <v>108</v>
      </c>
      <c r="DE76" s="11" t="s">
        <v>348</v>
      </c>
      <c r="DF76" s="10" t="s">
        <v>109</v>
      </c>
      <c r="DG76" s="11" t="s">
        <v>108</v>
      </c>
      <c r="DH76" s="11" t="s">
        <v>348</v>
      </c>
    </row>
    <row r="77" spans="1:112" ht="30" hidden="1" customHeight="1" x14ac:dyDescent="0.25">
      <c r="A77" s="4">
        <v>1</v>
      </c>
      <c r="B77" s="194" t="s">
        <v>81</v>
      </c>
      <c r="C77" s="7" t="s">
        <v>80</v>
      </c>
      <c r="D77" s="7" t="s">
        <v>28</v>
      </c>
      <c r="E77" s="169" t="s">
        <v>317</v>
      </c>
      <c r="F77" s="8" t="s">
        <v>5</v>
      </c>
      <c r="G77" s="25" t="s">
        <v>27</v>
      </c>
      <c r="H77" s="7" t="s">
        <v>26</v>
      </c>
      <c r="I77" s="7" t="s">
        <v>25</v>
      </c>
      <c r="J77" s="3" t="s">
        <v>1</v>
      </c>
      <c r="K77" s="6"/>
      <c r="L77" s="6"/>
      <c r="M77" s="6"/>
      <c r="N77" s="6">
        <v>435</v>
      </c>
      <c r="O77" s="6">
        <v>5560</v>
      </c>
      <c r="P77" s="6">
        <v>4703.2</v>
      </c>
      <c r="Q77" s="6">
        <v>200</v>
      </c>
      <c r="R77" s="6">
        <v>2800</v>
      </c>
      <c r="S77" s="6">
        <v>1792</v>
      </c>
      <c r="T77" s="6">
        <v>220</v>
      </c>
      <c r="U77" s="6">
        <v>2880</v>
      </c>
      <c r="V77" s="6">
        <v>2275.1999999999998</v>
      </c>
      <c r="W77" s="6">
        <v>270</v>
      </c>
      <c r="X77" s="6">
        <v>3640</v>
      </c>
      <c r="Y77" s="6">
        <v>2632</v>
      </c>
      <c r="Z77" s="6">
        <v>250</v>
      </c>
      <c r="AA77" s="6">
        <v>3200</v>
      </c>
      <c r="AB77" s="6">
        <v>2696</v>
      </c>
      <c r="AC77" s="6">
        <v>150</v>
      </c>
      <c r="AD77" s="6">
        <v>2000</v>
      </c>
      <c r="AE77" s="6">
        <v>1496</v>
      </c>
      <c r="AF77" s="6"/>
      <c r="AG77" s="6"/>
      <c r="AH77" s="6"/>
      <c r="AI77" s="6">
        <v>525</v>
      </c>
      <c r="AJ77" s="6">
        <v>6800</v>
      </c>
      <c r="AK77" s="6">
        <v>5540</v>
      </c>
      <c r="AL77" s="6"/>
      <c r="AM77" s="6"/>
      <c r="AN77" s="6"/>
      <c r="AO77" s="173">
        <f>+K77+N77+Q77+T77+W77+Z77+AC77+AF77+AI77+AL77</f>
        <v>2050</v>
      </c>
      <c r="AP77" s="173">
        <f t="shared" ref="AP77:AP90" si="77">+L77+O77+R77+U77+X77+AA77+AD77+AG77+AJ77+AM77</f>
        <v>26880</v>
      </c>
      <c r="AQ77" s="173">
        <f t="shared" ref="AQ77:AQ90" si="78">+M77+P77+S77+V77+Y77+AB77+AE77+AH77+AK77+AN77</f>
        <v>21134.400000000001</v>
      </c>
      <c r="AR77" s="6">
        <v>280</v>
      </c>
      <c r="AS77" s="6">
        <v>3620</v>
      </c>
      <c r="AT77" s="6">
        <v>2964.8</v>
      </c>
      <c r="AU77" s="6"/>
      <c r="AV77" s="6"/>
      <c r="AW77" s="6"/>
      <c r="AX77" s="6">
        <v>400</v>
      </c>
      <c r="AY77" s="6">
        <v>5200</v>
      </c>
      <c r="AZ77" s="6">
        <v>4192</v>
      </c>
      <c r="BA77" s="6"/>
      <c r="BB77" s="6"/>
      <c r="BC77" s="6"/>
      <c r="BD77" s="6"/>
      <c r="BE77" s="6"/>
      <c r="BF77" s="6"/>
      <c r="BG77" s="6">
        <v>320</v>
      </c>
      <c r="BH77" s="6">
        <v>4160</v>
      </c>
      <c r="BI77" s="6">
        <v>3353.6000000000004</v>
      </c>
      <c r="BJ77" s="6">
        <v>425</v>
      </c>
      <c r="BK77" s="6">
        <v>5650</v>
      </c>
      <c r="BL77" s="6">
        <v>4264</v>
      </c>
      <c r="BM77" s="6">
        <v>150</v>
      </c>
      <c r="BN77" s="6">
        <v>2000</v>
      </c>
      <c r="BO77" s="6">
        <v>1496</v>
      </c>
      <c r="BP77" s="6">
        <v>400</v>
      </c>
      <c r="BQ77" s="6">
        <v>5300</v>
      </c>
      <c r="BR77" s="6">
        <v>4040</v>
      </c>
      <c r="BS77" s="6"/>
      <c r="BT77" s="6"/>
      <c r="BU77" s="6"/>
      <c r="BV77" s="173">
        <f>+AR77+AU77+AX77+BA77+BD77+BG77+BJ77+BM77+BP77+BS77+AO77</f>
        <v>4025</v>
      </c>
      <c r="BW77" s="173">
        <f t="shared" ref="BW77:BW90" si="79">+AS77+AV77+AY77+BB77+BE77+BH77+BK77+BN77+BQ77+BT77+AP77</f>
        <v>52810</v>
      </c>
      <c r="BX77" s="173">
        <f t="shared" ref="BX77:BX90" si="80">+AT77+AW77+AZ77+BC77+BF77+BI77+BL77+BO77+BR77+BU77+AQ77</f>
        <v>41444.800000000003</v>
      </c>
      <c r="BY77" s="6">
        <v>250</v>
      </c>
      <c r="BZ77" s="6">
        <v>3300</v>
      </c>
      <c r="CA77" s="6">
        <v>2544</v>
      </c>
      <c r="CB77" s="6"/>
      <c r="CC77" s="6"/>
      <c r="CD77" s="6"/>
      <c r="CE77" s="6">
        <v>310</v>
      </c>
      <c r="CF77" s="6">
        <v>4040</v>
      </c>
      <c r="CG77" s="6">
        <v>3233.6</v>
      </c>
      <c r="CH77" s="6">
        <v>200</v>
      </c>
      <c r="CI77" s="6">
        <v>2600</v>
      </c>
      <c r="CJ77" s="6">
        <v>2096</v>
      </c>
      <c r="CK77" s="6">
        <v>200</v>
      </c>
      <c r="CL77" s="6">
        <v>2600</v>
      </c>
      <c r="CM77" s="6">
        <v>2096</v>
      </c>
      <c r="CN77" s="6">
        <v>230</v>
      </c>
      <c r="CO77" s="6">
        <v>3020</v>
      </c>
      <c r="CP77" s="6">
        <v>2364.8000000000002</v>
      </c>
      <c r="CQ77" s="6"/>
      <c r="CR77" s="6"/>
      <c r="CS77" s="6"/>
      <c r="CT77" s="6">
        <v>785</v>
      </c>
      <c r="CU77" s="6">
        <v>10220</v>
      </c>
      <c r="CV77" s="6">
        <v>8204</v>
      </c>
      <c r="CW77" s="6"/>
      <c r="CX77" s="6"/>
      <c r="CY77" s="6"/>
      <c r="CZ77" s="6"/>
      <c r="DA77" s="6"/>
      <c r="DB77" s="6"/>
      <c r="DC77" s="6"/>
      <c r="DD77" s="6"/>
      <c r="DE77" s="6"/>
      <c r="DF77" s="173">
        <f>BV77+CB77+CE77+CH77+CK77+CN77+CQ77+CT77+CW77+CZ77+DC77+BY77</f>
        <v>6000</v>
      </c>
      <c r="DG77" s="173">
        <f>BW77+CC77+CF77+CI77+CL77+CO77+CR77+CU77+CX77+DA77+DD77+BZ77</f>
        <v>78590</v>
      </c>
      <c r="DH77" s="173">
        <f t="shared" ref="DH77:DH90" si="81">BX77+CD77+CG77+CJ77+CM77+CP77+CS77+CV77+CY77+DB77+DE77+CA77</f>
        <v>61983.200000000004</v>
      </c>
    </row>
    <row r="78" spans="1:112" ht="30" hidden="1" customHeight="1" x14ac:dyDescent="0.25">
      <c r="A78" s="4">
        <v>2</v>
      </c>
      <c r="B78" s="194" t="s">
        <v>84</v>
      </c>
      <c r="C78" s="7" t="s">
        <v>324</v>
      </c>
      <c r="D78" s="7" t="s">
        <v>28</v>
      </c>
      <c r="E78" s="169" t="s">
        <v>321</v>
      </c>
      <c r="F78" s="8" t="s">
        <v>5</v>
      </c>
      <c r="G78" s="25" t="s">
        <v>27</v>
      </c>
      <c r="H78" s="7" t="s">
        <v>26</v>
      </c>
      <c r="I78" s="7" t="s">
        <v>25</v>
      </c>
      <c r="J78" s="3" t="s">
        <v>1</v>
      </c>
      <c r="K78" s="6"/>
      <c r="L78" s="6"/>
      <c r="M78" s="6"/>
      <c r="N78" s="6"/>
      <c r="O78" s="6"/>
      <c r="P78" s="6"/>
      <c r="Q78" s="187"/>
      <c r="R78" s="187"/>
      <c r="S78" s="187"/>
      <c r="T78" s="187">
        <v>200</v>
      </c>
      <c r="U78" s="187">
        <v>2400</v>
      </c>
      <c r="V78" s="187">
        <v>2400</v>
      </c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>
        <v>300</v>
      </c>
      <c r="AJ78" s="6">
        <v>3600</v>
      </c>
      <c r="AK78" s="6">
        <v>3600</v>
      </c>
      <c r="AL78" s="6"/>
      <c r="AM78" s="6"/>
      <c r="AN78" s="6"/>
      <c r="AO78" s="173">
        <f t="shared" ref="AO78:AO90" si="82">+K78+N78+Q78+T78+W78+Z78+AC78+AF78+AI78+AL78</f>
        <v>500</v>
      </c>
      <c r="AP78" s="173">
        <f t="shared" si="77"/>
        <v>6000</v>
      </c>
      <c r="AQ78" s="173">
        <f t="shared" si="78"/>
        <v>6000</v>
      </c>
      <c r="AR78" s="6">
        <v>500</v>
      </c>
      <c r="AS78" s="6">
        <v>7000</v>
      </c>
      <c r="AT78" s="6">
        <v>4480</v>
      </c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>
        <v>100</v>
      </c>
      <c r="BQ78" s="6">
        <v>1200</v>
      </c>
      <c r="BR78" s="6">
        <v>1200</v>
      </c>
      <c r="BS78" s="6">
        <v>200</v>
      </c>
      <c r="BT78" s="6">
        <v>2800</v>
      </c>
      <c r="BU78" s="6">
        <v>1792</v>
      </c>
      <c r="BV78" s="173">
        <f t="shared" ref="BV78:BV90" si="83">+AR78+AU78+AX78+BA78+BD78+BG78+BJ78+BM78+BP78+BS78+AO78</f>
        <v>1300</v>
      </c>
      <c r="BW78" s="173">
        <f t="shared" si="79"/>
        <v>17000</v>
      </c>
      <c r="BX78" s="173">
        <f t="shared" si="80"/>
        <v>13472</v>
      </c>
      <c r="BY78" s="6">
        <v>300</v>
      </c>
      <c r="BZ78" s="6">
        <v>4200</v>
      </c>
      <c r="CA78" s="6">
        <v>2688</v>
      </c>
      <c r="CB78" s="6"/>
      <c r="CC78" s="6"/>
      <c r="CD78" s="6"/>
      <c r="CE78" s="6">
        <v>100</v>
      </c>
      <c r="CF78" s="6">
        <v>1200</v>
      </c>
      <c r="CG78" s="6">
        <v>1200</v>
      </c>
      <c r="CH78" s="6"/>
      <c r="CI78" s="6"/>
      <c r="CJ78" s="6"/>
      <c r="CK78" s="6"/>
      <c r="CL78" s="6"/>
      <c r="CM78" s="6"/>
      <c r="CN78" s="6">
        <v>100</v>
      </c>
      <c r="CO78" s="6">
        <v>1200</v>
      </c>
      <c r="CP78" s="6">
        <v>1200</v>
      </c>
      <c r="CQ78" s="6">
        <v>100</v>
      </c>
      <c r="CR78" s="6">
        <v>1400</v>
      </c>
      <c r="CS78" s="6">
        <v>896</v>
      </c>
      <c r="CT78" s="6">
        <v>600</v>
      </c>
      <c r="CU78" s="6">
        <v>8000</v>
      </c>
      <c r="CV78" s="6">
        <v>5984</v>
      </c>
      <c r="CW78" s="6"/>
      <c r="CX78" s="6"/>
      <c r="CY78" s="6"/>
      <c r="CZ78" s="6"/>
      <c r="DA78" s="6"/>
      <c r="DB78" s="6"/>
      <c r="DC78" s="6"/>
      <c r="DD78" s="6"/>
      <c r="DE78" s="6"/>
      <c r="DF78" s="173">
        <f t="shared" ref="DF78:DF90" si="84">BV78+CB78+CE78+CH78+CK78+CN78+CQ78+CT78+CW78+CZ78+DC78+BY78</f>
        <v>2500</v>
      </c>
      <c r="DG78" s="173">
        <f t="shared" ref="DG78:DG90" si="85">BW78+CC78+CF78+CI78+CL78+CO78+CR78+CU78+CX78+DA78+DD78+BZ78</f>
        <v>33000</v>
      </c>
      <c r="DH78" s="173">
        <f t="shared" si="81"/>
        <v>25440</v>
      </c>
    </row>
    <row r="79" spans="1:112" ht="31.5" hidden="1" customHeight="1" x14ac:dyDescent="0.25">
      <c r="A79" s="4">
        <v>3</v>
      </c>
      <c r="B79" s="194" t="s">
        <v>54</v>
      </c>
      <c r="C79" s="7" t="s">
        <v>53</v>
      </c>
      <c r="D79" s="7" t="s">
        <v>41</v>
      </c>
      <c r="E79" s="169" t="s">
        <v>319</v>
      </c>
      <c r="F79" s="8" t="s">
        <v>5</v>
      </c>
      <c r="G79" s="25" t="s">
        <v>40</v>
      </c>
      <c r="H79" s="25" t="s">
        <v>39</v>
      </c>
      <c r="I79" s="7" t="s">
        <v>38</v>
      </c>
      <c r="J79" s="3" t="s">
        <v>1</v>
      </c>
      <c r="K79" s="6"/>
      <c r="L79" s="6"/>
      <c r="M79" s="6"/>
      <c r="N79" s="6">
        <v>200</v>
      </c>
      <c r="O79" s="6">
        <v>2400</v>
      </c>
      <c r="P79" s="6">
        <v>2400</v>
      </c>
      <c r="Q79" s="6"/>
      <c r="R79" s="6"/>
      <c r="S79" s="6"/>
      <c r="T79" s="6"/>
      <c r="U79" s="6"/>
      <c r="V79" s="6"/>
      <c r="W79" s="6">
        <v>150</v>
      </c>
      <c r="X79" s="6">
        <v>2040</v>
      </c>
      <c r="Y79" s="6">
        <v>1435.2</v>
      </c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173">
        <f t="shared" si="82"/>
        <v>350</v>
      </c>
      <c r="AP79" s="173">
        <f t="shared" si="77"/>
        <v>4440</v>
      </c>
      <c r="AQ79" s="173">
        <f t="shared" si="78"/>
        <v>3835.2</v>
      </c>
      <c r="AR79" s="6">
        <v>300</v>
      </c>
      <c r="AS79" s="6">
        <v>4000</v>
      </c>
      <c r="AT79" s="6">
        <v>2992</v>
      </c>
      <c r="AU79" s="6"/>
      <c r="AV79" s="6"/>
      <c r="AW79" s="6"/>
      <c r="AX79" s="6"/>
      <c r="AY79" s="6"/>
      <c r="AZ79" s="6"/>
      <c r="BA79" s="6">
        <v>250</v>
      </c>
      <c r="BB79" s="6">
        <v>3200</v>
      </c>
      <c r="BC79" s="6">
        <v>2696</v>
      </c>
      <c r="BD79" s="6"/>
      <c r="BE79" s="6"/>
      <c r="BF79" s="6"/>
      <c r="BG79" s="6">
        <v>300</v>
      </c>
      <c r="BH79" s="6">
        <v>3800</v>
      </c>
      <c r="BI79" s="6">
        <v>3296</v>
      </c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173">
        <f t="shared" si="83"/>
        <v>1200</v>
      </c>
      <c r="BW79" s="173">
        <f t="shared" si="79"/>
        <v>15440</v>
      </c>
      <c r="BX79" s="173">
        <f t="shared" si="80"/>
        <v>12819.2</v>
      </c>
      <c r="BY79" s="6"/>
      <c r="BZ79" s="6"/>
      <c r="CA79" s="6"/>
      <c r="CB79" s="6"/>
      <c r="CC79" s="6"/>
      <c r="CD79" s="6"/>
      <c r="CE79" s="6">
        <v>200</v>
      </c>
      <c r="CF79" s="6">
        <v>2600</v>
      </c>
      <c r="CG79" s="6">
        <v>2096</v>
      </c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173">
        <f t="shared" si="84"/>
        <v>1400</v>
      </c>
      <c r="DG79" s="173">
        <f t="shared" si="85"/>
        <v>18040</v>
      </c>
      <c r="DH79" s="173">
        <f t="shared" si="81"/>
        <v>14915.2</v>
      </c>
    </row>
    <row r="80" spans="1:112" ht="30" hidden="1" customHeight="1" x14ac:dyDescent="0.25">
      <c r="A80" s="4">
        <v>4</v>
      </c>
      <c r="B80" s="194" t="s">
        <v>60</v>
      </c>
      <c r="C80" s="7" t="s">
        <v>59</v>
      </c>
      <c r="D80" s="7" t="s">
        <v>41</v>
      </c>
      <c r="E80" s="169" t="s">
        <v>319</v>
      </c>
      <c r="F80" s="8" t="s">
        <v>5</v>
      </c>
      <c r="G80" s="25" t="s">
        <v>40</v>
      </c>
      <c r="H80" s="25" t="s">
        <v>39</v>
      </c>
      <c r="I80" s="7" t="s">
        <v>38</v>
      </c>
      <c r="J80" s="3" t="s">
        <v>1</v>
      </c>
      <c r="K80" s="9"/>
      <c r="L80" s="9"/>
      <c r="M80" s="6"/>
      <c r="N80" s="9"/>
      <c r="O80" s="9"/>
      <c r="P80" s="6"/>
      <c r="Q80" s="6">
        <v>20</v>
      </c>
      <c r="R80" s="6">
        <v>280</v>
      </c>
      <c r="S80" s="6">
        <v>179.20000000000002</v>
      </c>
      <c r="T80" s="6">
        <v>35</v>
      </c>
      <c r="U80" s="6">
        <v>490</v>
      </c>
      <c r="V80" s="6">
        <v>313.60000000000002</v>
      </c>
      <c r="W80" s="6"/>
      <c r="X80" s="6"/>
      <c r="Y80" s="6"/>
      <c r="Z80" s="6"/>
      <c r="AA80" s="6"/>
      <c r="AB80" s="6"/>
      <c r="AC80" s="6">
        <v>20</v>
      </c>
      <c r="AD80" s="6">
        <v>240</v>
      </c>
      <c r="AE80" s="6">
        <v>240</v>
      </c>
      <c r="AF80" s="6"/>
      <c r="AG80" s="6"/>
      <c r="AH80" s="6"/>
      <c r="AI80" s="6"/>
      <c r="AJ80" s="6"/>
      <c r="AK80" s="6"/>
      <c r="AL80" s="6"/>
      <c r="AM80" s="6"/>
      <c r="AN80" s="6"/>
      <c r="AO80" s="173">
        <f t="shared" si="82"/>
        <v>75</v>
      </c>
      <c r="AP80" s="173">
        <f t="shared" si="77"/>
        <v>1010</v>
      </c>
      <c r="AQ80" s="173">
        <f t="shared" si="78"/>
        <v>732.80000000000007</v>
      </c>
      <c r="AR80" s="6"/>
      <c r="AS80" s="6"/>
      <c r="AT80" s="6"/>
      <c r="AU80" s="6"/>
      <c r="AV80" s="6"/>
      <c r="AW80" s="6"/>
      <c r="AX80" s="6">
        <v>60</v>
      </c>
      <c r="AY80" s="6">
        <v>780</v>
      </c>
      <c r="AZ80" s="6">
        <v>628.79999999999995</v>
      </c>
      <c r="BA80" s="6">
        <v>45</v>
      </c>
      <c r="BB80" s="6">
        <v>630</v>
      </c>
      <c r="BC80" s="6">
        <v>403.20000000000005</v>
      </c>
      <c r="BD80" s="6"/>
      <c r="BE80" s="6"/>
      <c r="BF80" s="6"/>
      <c r="BG80" s="6">
        <v>20</v>
      </c>
      <c r="BH80" s="6">
        <v>240</v>
      </c>
      <c r="BI80" s="6">
        <v>240</v>
      </c>
      <c r="BJ80" s="6"/>
      <c r="BK80" s="6"/>
      <c r="BL80" s="6"/>
      <c r="BM80" s="6"/>
      <c r="BN80" s="6"/>
      <c r="BO80" s="6"/>
      <c r="BP80" s="6">
        <v>50</v>
      </c>
      <c r="BQ80" s="6">
        <v>700</v>
      </c>
      <c r="BR80" s="6">
        <v>448</v>
      </c>
      <c r="BS80" s="6"/>
      <c r="BT80" s="6"/>
      <c r="BU80" s="6"/>
      <c r="BV80" s="173">
        <f t="shared" si="83"/>
        <v>250</v>
      </c>
      <c r="BW80" s="173">
        <f t="shared" si="79"/>
        <v>3360</v>
      </c>
      <c r="BX80" s="173">
        <f t="shared" si="80"/>
        <v>2452.8000000000002</v>
      </c>
      <c r="BY80" s="6">
        <v>30</v>
      </c>
      <c r="BZ80" s="6">
        <v>360</v>
      </c>
      <c r="CA80" s="6">
        <v>360</v>
      </c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>
        <v>105</v>
      </c>
      <c r="CR80" s="6">
        <v>1410</v>
      </c>
      <c r="CS80" s="6">
        <v>1032</v>
      </c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173">
        <f t="shared" si="84"/>
        <v>385</v>
      </c>
      <c r="DG80" s="173">
        <f t="shared" si="85"/>
        <v>5130</v>
      </c>
      <c r="DH80" s="173">
        <f t="shared" si="81"/>
        <v>3844.8</v>
      </c>
    </row>
    <row r="81" spans="1:112" ht="30" hidden="1" customHeight="1" x14ac:dyDescent="0.25">
      <c r="A81" s="4">
        <v>5</v>
      </c>
      <c r="B81" s="194" t="s">
        <v>77</v>
      </c>
      <c r="C81" s="7" t="s">
        <v>76</v>
      </c>
      <c r="D81" s="7" t="s">
        <v>28</v>
      </c>
      <c r="E81" s="169" t="s">
        <v>317</v>
      </c>
      <c r="F81" s="8" t="s">
        <v>5</v>
      </c>
      <c r="G81" s="25" t="s">
        <v>27</v>
      </c>
      <c r="H81" s="7" t="s">
        <v>26</v>
      </c>
      <c r="I81" s="7" t="s">
        <v>25</v>
      </c>
      <c r="J81" s="3" t="s">
        <v>1</v>
      </c>
      <c r="K81" s="9"/>
      <c r="L81" s="9"/>
      <c r="M81" s="6"/>
      <c r="N81" s="9"/>
      <c r="O81" s="9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173">
        <f t="shared" si="82"/>
        <v>0</v>
      </c>
      <c r="AP81" s="173">
        <f t="shared" si="77"/>
        <v>0</v>
      </c>
      <c r="AQ81" s="173">
        <f t="shared" si="78"/>
        <v>0</v>
      </c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173">
        <f t="shared" si="83"/>
        <v>0</v>
      </c>
      <c r="BW81" s="173">
        <f t="shared" si="79"/>
        <v>0</v>
      </c>
      <c r="BX81" s="173">
        <f t="shared" si="80"/>
        <v>0</v>
      </c>
      <c r="BY81" s="6"/>
      <c r="BZ81" s="6"/>
      <c r="CA81" s="6"/>
      <c r="CB81" s="6"/>
      <c r="CC81" s="6"/>
      <c r="CD81" s="6"/>
      <c r="CE81" s="6"/>
      <c r="CF81" s="6"/>
      <c r="CG81" s="6"/>
      <c r="CH81" s="6">
        <v>500</v>
      </c>
      <c r="CI81" s="6">
        <v>6400</v>
      </c>
      <c r="CJ81" s="6">
        <v>5392</v>
      </c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173">
        <f t="shared" si="84"/>
        <v>500</v>
      </c>
      <c r="DG81" s="173">
        <f t="shared" si="85"/>
        <v>6400</v>
      </c>
      <c r="DH81" s="173">
        <f t="shared" si="81"/>
        <v>5392</v>
      </c>
    </row>
    <row r="82" spans="1:112" ht="30" hidden="1" customHeight="1" x14ac:dyDescent="0.25">
      <c r="A82" s="4">
        <v>6</v>
      </c>
      <c r="B82" s="194" t="s">
        <v>398</v>
      </c>
      <c r="C82" s="7" t="s">
        <v>55</v>
      </c>
      <c r="D82" s="7" t="s">
        <v>41</v>
      </c>
      <c r="E82" s="169" t="s">
        <v>319</v>
      </c>
      <c r="F82" s="8" t="s">
        <v>5</v>
      </c>
      <c r="G82" s="25" t="s">
        <v>40</v>
      </c>
      <c r="H82" s="25" t="s">
        <v>39</v>
      </c>
      <c r="I82" s="7" t="s">
        <v>38</v>
      </c>
      <c r="J82" s="3" t="s">
        <v>1</v>
      </c>
      <c r="K82" s="9"/>
      <c r="L82" s="9"/>
      <c r="M82" s="6"/>
      <c r="N82" s="9">
        <v>20</v>
      </c>
      <c r="O82" s="9">
        <v>480</v>
      </c>
      <c r="P82" s="6">
        <v>307.2</v>
      </c>
      <c r="Q82" s="6">
        <v>30</v>
      </c>
      <c r="R82" s="6">
        <v>720</v>
      </c>
      <c r="S82" s="6">
        <v>460.8</v>
      </c>
      <c r="T82" s="6"/>
      <c r="U82" s="6"/>
      <c r="V82" s="6"/>
      <c r="W82" s="6"/>
      <c r="X82" s="6"/>
      <c r="Y82" s="6"/>
      <c r="Z82" s="6"/>
      <c r="AA82" s="6"/>
      <c r="AB82" s="6"/>
      <c r="AC82" s="6">
        <v>80</v>
      </c>
      <c r="AD82" s="6">
        <v>1720</v>
      </c>
      <c r="AE82" s="6">
        <v>1100.8</v>
      </c>
      <c r="AF82" s="6"/>
      <c r="AG82" s="6"/>
      <c r="AH82" s="6"/>
      <c r="AI82" s="6">
        <v>65</v>
      </c>
      <c r="AJ82" s="6">
        <v>1410</v>
      </c>
      <c r="AK82" s="6">
        <v>902.4</v>
      </c>
      <c r="AL82" s="6"/>
      <c r="AM82" s="6"/>
      <c r="AN82" s="6"/>
      <c r="AO82" s="173">
        <f t="shared" si="82"/>
        <v>195</v>
      </c>
      <c r="AP82" s="173">
        <f t="shared" si="77"/>
        <v>4330</v>
      </c>
      <c r="AQ82" s="173">
        <f t="shared" si="78"/>
        <v>2771.2</v>
      </c>
      <c r="AR82" s="6">
        <v>55</v>
      </c>
      <c r="AS82" s="6">
        <v>1260</v>
      </c>
      <c r="AT82" s="6">
        <v>828</v>
      </c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>
        <v>80</v>
      </c>
      <c r="BN82" s="6">
        <v>1920</v>
      </c>
      <c r="BO82" s="6">
        <v>1228.8</v>
      </c>
      <c r="BP82" s="6">
        <v>50</v>
      </c>
      <c r="BQ82" s="6">
        <v>1000</v>
      </c>
      <c r="BR82" s="6">
        <v>640</v>
      </c>
      <c r="BS82" s="6"/>
      <c r="BT82" s="6"/>
      <c r="BU82" s="6"/>
      <c r="BV82" s="173">
        <f t="shared" si="83"/>
        <v>380</v>
      </c>
      <c r="BW82" s="173">
        <f t="shared" si="79"/>
        <v>8510</v>
      </c>
      <c r="BX82" s="173">
        <f t="shared" si="80"/>
        <v>5468</v>
      </c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>
        <v>49</v>
      </c>
      <c r="CL82" s="6">
        <v>686</v>
      </c>
      <c r="CM82" s="6">
        <v>439.04</v>
      </c>
      <c r="CN82" s="6">
        <v>29</v>
      </c>
      <c r="CO82" s="6">
        <v>696</v>
      </c>
      <c r="CP82" s="6">
        <v>445.44</v>
      </c>
      <c r="CQ82" s="6">
        <v>30</v>
      </c>
      <c r="CR82" s="6">
        <v>720</v>
      </c>
      <c r="CS82" s="6">
        <v>460.8</v>
      </c>
      <c r="CT82" s="6">
        <v>30</v>
      </c>
      <c r="CU82" s="6">
        <v>620</v>
      </c>
      <c r="CV82" s="6">
        <v>396.8</v>
      </c>
      <c r="CW82" s="6"/>
      <c r="CX82" s="6"/>
      <c r="CY82" s="6"/>
      <c r="CZ82" s="6"/>
      <c r="DA82" s="6"/>
      <c r="DB82" s="6"/>
      <c r="DC82" s="6"/>
      <c r="DD82" s="6"/>
      <c r="DE82" s="6"/>
      <c r="DF82" s="173">
        <f t="shared" si="84"/>
        <v>518</v>
      </c>
      <c r="DG82" s="173">
        <f t="shared" si="85"/>
        <v>11232</v>
      </c>
      <c r="DH82" s="173">
        <f t="shared" si="81"/>
        <v>7210.08</v>
      </c>
    </row>
    <row r="83" spans="1:112" ht="29.25" hidden="1" customHeight="1" x14ac:dyDescent="0.25">
      <c r="A83" s="4">
        <v>7</v>
      </c>
      <c r="B83" s="194" t="s">
        <v>83</v>
      </c>
      <c r="C83" s="7" t="s">
        <v>82</v>
      </c>
      <c r="D83" s="7" t="s">
        <v>28</v>
      </c>
      <c r="E83" s="169" t="s">
        <v>317</v>
      </c>
      <c r="F83" s="8" t="s">
        <v>5</v>
      </c>
      <c r="G83" s="25" t="s">
        <v>27</v>
      </c>
      <c r="H83" s="7" t="s">
        <v>26</v>
      </c>
      <c r="I83" s="7" t="s">
        <v>25</v>
      </c>
      <c r="J83" s="3" t="s">
        <v>1</v>
      </c>
      <c r="K83" s="9"/>
      <c r="L83" s="9"/>
      <c r="M83" s="6"/>
      <c r="N83" s="9">
        <v>400</v>
      </c>
      <c r="O83" s="9">
        <v>5400</v>
      </c>
      <c r="P83" s="6">
        <v>3888</v>
      </c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173">
        <f t="shared" si="82"/>
        <v>400</v>
      </c>
      <c r="AP83" s="173">
        <f t="shared" si="77"/>
        <v>5400</v>
      </c>
      <c r="AQ83" s="173">
        <f t="shared" si="78"/>
        <v>3888</v>
      </c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173">
        <f t="shared" si="83"/>
        <v>400</v>
      </c>
      <c r="BW83" s="173">
        <f t="shared" si="79"/>
        <v>5400</v>
      </c>
      <c r="BX83" s="173">
        <f t="shared" si="80"/>
        <v>3888</v>
      </c>
      <c r="BY83" s="6"/>
      <c r="BZ83" s="6"/>
      <c r="CA83" s="6"/>
      <c r="CB83" s="6"/>
      <c r="CC83" s="6"/>
      <c r="CD83" s="6"/>
      <c r="CE83" s="6"/>
      <c r="CF83" s="6"/>
      <c r="CG83" s="6"/>
      <c r="CH83" s="6">
        <v>180</v>
      </c>
      <c r="CI83" s="6">
        <v>2460</v>
      </c>
      <c r="CJ83" s="6">
        <v>1704</v>
      </c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173">
        <f t="shared" si="84"/>
        <v>580</v>
      </c>
      <c r="DG83" s="173">
        <f t="shared" si="85"/>
        <v>7860</v>
      </c>
      <c r="DH83" s="173">
        <f t="shared" si="81"/>
        <v>5592</v>
      </c>
    </row>
    <row r="84" spans="1:112" ht="30" hidden="1" customHeight="1" x14ac:dyDescent="0.25">
      <c r="A84" s="4">
        <v>8</v>
      </c>
      <c r="B84" s="194" t="s">
        <v>107</v>
      </c>
      <c r="C84" s="7" t="s">
        <v>106</v>
      </c>
      <c r="D84" s="7" t="s">
        <v>41</v>
      </c>
      <c r="E84" s="169" t="s">
        <v>319</v>
      </c>
      <c r="F84" s="8" t="s">
        <v>5</v>
      </c>
      <c r="G84" s="25" t="s">
        <v>40</v>
      </c>
      <c r="H84" s="25" t="s">
        <v>39</v>
      </c>
      <c r="I84" s="7" t="s">
        <v>38</v>
      </c>
      <c r="J84" s="3" t="s">
        <v>1</v>
      </c>
      <c r="K84" s="9"/>
      <c r="L84" s="9"/>
      <c r="M84" s="6"/>
      <c r="N84" s="9"/>
      <c r="O84" s="9"/>
      <c r="P84" s="6"/>
      <c r="Q84" s="6"/>
      <c r="R84" s="6"/>
      <c r="S84" s="6"/>
      <c r="T84" s="6"/>
      <c r="U84" s="6"/>
      <c r="V84" s="6"/>
      <c r="W84" s="6">
        <v>110</v>
      </c>
      <c r="X84" s="6">
        <v>2140</v>
      </c>
      <c r="Y84" s="6">
        <v>1369.6</v>
      </c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173">
        <f t="shared" si="82"/>
        <v>110</v>
      </c>
      <c r="AP84" s="173">
        <f t="shared" si="77"/>
        <v>2140</v>
      </c>
      <c r="AQ84" s="173">
        <f t="shared" si="78"/>
        <v>1369.6</v>
      </c>
      <c r="AR84" s="6"/>
      <c r="AS84" s="6"/>
      <c r="AT84" s="6"/>
      <c r="AU84" s="6"/>
      <c r="AV84" s="6"/>
      <c r="AW84" s="6"/>
      <c r="AX84" s="6">
        <v>60</v>
      </c>
      <c r="AY84" s="6">
        <v>1440</v>
      </c>
      <c r="AZ84" s="6">
        <v>921.6</v>
      </c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>
        <v>60</v>
      </c>
      <c r="BQ84" s="6">
        <v>1440</v>
      </c>
      <c r="BR84" s="6">
        <v>921.6</v>
      </c>
      <c r="BS84" s="6"/>
      <c r="BT84" s="6"/>
      <c r="BU84" s="6"/>
      <c r="BV84" s="173">
        <f t="shared" si="83"/>
        <v>230</v>
      </c>
      <c r="BW84" s="173">
        <f t="shared" si="79"/>
        <v>5020</v>
      </c>
      <c r="BX84" s="173">
        <f t="shared" si="80"/>
        <v>3212.8</v>
      </c>
      <c r="BY84" s="6"/>
      <c r="BZ84" s="6"/>
      <c r="CA84" s="6"/>
      <c r="CB84" s="6"/>
      <c r="CC84" s="6"/>
      <c r="CD84" s="6"/>
      <c r="CE84" s="6">
        <v>110</v>
      </c>
      <c r="CF84" s="6">
        <v>2140</v>
      </c>
      <c r="CG84" s="6">
        <v>1369.6</v>
      </c>
      <c r="CH84" s="6"/>
      <c r="CI84" s="6"/>
      <c r="CJ84" s="6"/>
      <c r="CK84" s="6">
        <v>50</v>
      </c>
      <c r="CL84" s="6">
        <v>700</v>
      </c>
      <c r="CM84" s="6">
        <v>448</v>
      </c>
      <c r="CN84" s="6"/>
      <c r="CO84" s="6"/>
      <c r="CP84" s="6"/>
      <c r="CQ84" s="6"/>
      <c r="CR84" s="6"/>
      <c r="CS84" s="6"/>
      <c r="CT84" s="6">
        <v>100</v>
      </c>
      <c r="CU84" s="6">
        <v>1300</v>
      </c>
      <c r="CV84" s="6">
        <v>1048</v>
      </c>
      <c r="CW84" s="6"/>
      <c r="CX84" s="6"/>
      <c r="CY84" s="6"/>
      <c r="CZ84" s="6"/>
      <c r="DA84" s="6"/>
      <c r="DB84" s="6"/>
      <c r="DC84" s="6"/>
      <c r="DD84" s="6"/>
      <c r="DE84" s="6"/>
      <c r="DF84" s="173">
        <f t="shared" si="84"/>
        <v>490</v>
      </c>
      <c r="DG84" s="173">
        <f t="shared" si="85"/>
        <v>9160</v>
      </c>
      <c r="DH84" s="173">
        <f t="shared" si="81"/>
        <v>6078.4</v>
      </c>
    </row>
    <row r="85" spans="1:112" ht="30" hidden="1" customHeight="1" x14ac:dyDescent="0.25">
      <c r="A85" s="4">
        <v>9</v>
      </c>
      <c r="B85" s="194" t="s">
        <v>399</v>
      </c>
      <c r="C85" s="7" t="s">
        <v>85</v>
      </c>
      <c r="D85" s="7" t="s">
        <v>28</v>
      </c>
      <c r="E85" s="169" t="s">
        <v>321</v>
      </c>
      <c r="F85" s="8" t="s">
        <v>5</v>
      </c>
      <c r="G85" s="25" t="s">
        <v>27</v>
      </c>
      <c r="H85" s="7" t="s">
        <v>26</v>
      </c>
      <c r="I85" s="7" t="s">
        <v>25</v>
      </c>
      <c r="J85" s="3" t="s">
        <v>1</v>
      </c>
      <c r="K85" s="9"/>
      <c r="L85" s="9"/>
      <c r="M85" s="6"/>
      <c r="N85" s="9"/>
      <c r="O85" s="9"/>
      <c r="P85" s="6"/>
      <c r="Q85" s="6"/>
      <c r="R85" s="6"/>
      <c r="S85" s="6"/>
      <c r="T85" s="6"/>
      <c r="U85" s="6"/>
      <c r="V85" s="6"/>
      <c r="W85" s="6"/>
      <c r="X85" s="6"/>
      <c r="Y85" s="6"/>
      <c r="Z85" s="6">
        <v>200</v>
      </c>
      <c r="AA85" s="6">
        <v>2800</v>
      </c>
      <c r="AB85" s="6">
        <v>1792</v>
      </c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173">
        <f t="shared" si="82"/>
        <v>200</v>
      </c>
      <c r="AP85" s="173">
        <f t="shared" si="77"/>
        <v>2800</v>
      </c>
      <c r="AQ85" s="173">
        <f t="shared" si="78"/>
        <v>1792</v>
      </c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>
        <v>100</v>
      </c>
      <c r="BN85" s="6">
        <v>1200</v>
      </c>
      <c r="BO85" s="6">
        <v>1200</v>
      </c>
      <c r="BP85" s="6"/>
      <c r="BQ85" s="6"/>
      <c r="BR85" s="6"/>
      <c r="BS85" s="6"/>
      <c r="BT85" s="6"/>
      <c r="BU85" s="6"/>
      <c r="BV85" s="173">
        <f t="shared" si="83"/>
        <v>300</v>
      </c>
      <c r="BW85" s="173">
        <f t="shared" si="79"/>
        <v>4000</v>
      </c>
      <c r="BX85" s="173">
        <f t="shared" si="80"/>
        <v>2992</v>
      </c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>
        <v>200</v>
      </c>
      <c r="CU85" s="6">
        <v>2800</v>
      </c>
      <c r="CV85" s="6">
        <v>1792</v>
      </c>
      <c r="CW85" s="6"/>
      <c r="CX85" s="6"/>
      <c r="CY85" s="6"/>
      <c r="CZ85" s="6"/>
      <c r="DA85" s="6"/>
      <c r="DB85" s="6"/>
      <c r="DC85" s="6"/>
      <c r="DD85" s="6"/>
      <c r="DE85" s="6"/>
      <c r="DF85" s="173">
        <f t="shared" si="84"/>
        <v>500</v>
      </c>
      <c r="DG85" s="173">
        <f t="shared" si="85"/>
        <v>6800</v>
      </c>
      <c r="DH85" s="173">
        <f t="shared" si="81"/>
        <v>4784</v>
      </c>
    </row>
    <row r="86" spans="1:112" ht="30" hidden="1" customHeight="1" x14ac:dyDescent="0.25">
      <c r="A86" s="4">
        <v>10</v>
      </c>
      <c r="B86" s="194" t="s">
        <v>56</v>
      </c>
      <c r="C86" s="7" t="s">
        <v>452</v>
      </c>
      <c r="D86" s="7" t="s">
        <v>41</v>
      </c>
      <c r="E86" s="169" t="s">
        <v>319</v>
      </c>
      <c r="F86" s="8" t="s">
        <v>5</v>
      </c>
      <c r="G86" s="25" t="s">
        <v>40</v>
      </c>
      <c r="H86" s="25" t="s">
        <v>39</v>
      </c>
      <c r="I86" s="7" t="s">
        <v>38</v>
      </c>
      <c r="J86" s="3" t="s">
        <v>1</v>
      </c>
      <c r="K86" s="9"/>
      <c r="L86" s="9"/>
      <c r="M86" s="6"/>
      <c r="N86" s="9"/>
      <c r="O86" s="9"/>
      <c r="P86" s="6"/>
      <c r="Q86" s="6"/>
      <c r="R86" s="6"/>
      <c r="S86" s="6"/>
      <c r="T86" s="6">
        <v>250</v>
      </c>
      <c r="U86" s="6">
        <v>3400</v>
      </c>
      <c r="V86" s="6">
        <v>2392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173">
        <f t="shared" si="82"/>
        <v>250</v>
      </c>
      <c r="AP86" s="173">
        <f t="shared" si="77"/>
        <v>3400</v>
      </c>
      <c r="AQ86" s="173">
        <f t="shared" si="78"/>
        <v>2392</v>
      </c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>
        <v>200</v>
      </c>
      <c r="BQ86" s="6">
        <v>2660</v>
      </c>
      <c r="BR86" s="6">
        <v>2004.8</v>
      </c>
      <c r="BS86" s="6"/>
      <c r="BT86" s="6"/>
      <c r="BU86" s="6"/>
      <c r="BV86" s="173">
        <f t="shared" si="83"/>
        <v>450</v>
      </c>
      <c r="BW86" s="173">
        <f t="shared" si="79"/>
        <v>6060</v>
      </c>
      <c r="BX86" s="173">
        <f t="shared" si="80"/>
        <v>4396.8</v>
      </c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>
        <v>130</v>
      </c>
      <c r="CO86" s="6">
        <v>1620</v>
      </c>
      <c r="CP86" s="6">
        <v>1468.8</v>
      </c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173">
        <f t="shared" si="84"/>
        <v>580</v>
      </c>
      <c r="DG86" s="173">
        <f t="shared" si="85"/>
        <v>7680</v>
      </c>
      <c r="DH86" s="173">
        <f t="shared" si="81"/>
        <v>5865.6</v>
      </c>
    </row>
    <row r="87" spans="1:112" ht="30" hidden="1" customHeight="1" x14ac:dyDescent="0.25">
      <c r="A87" s="4">
        <v>11</v>
      </c>
      <c r="B87" s="194" t="s">
        <v>52</v>
      </c>
      <c r="C87" s="7" t="s">
        <v>51</v>
      </c>
      <c r="D87" s="7" t="s">
        <v>8</v>
      </c>
      <c r="E87" s="169" t="s">
        <v>317</v>
      </c>
      <c r="F87" s="8" t="s">
        <v>5</v>
      </c>
      <c r="G87" s="25" t="s">
        <v>4</v>
      </c>
      <c r="H87" s="7" t="s">
        <v>3</v>
      </c>
      <c r="I87" s="7" t="s">
        <v>2</v>
      </c>
      <c r="J87" s="3" t="s">
        <v>1</v>
      </c>
      <c r="K87" s="9"/>
      <c r="L87" s="9"/>
      <c r="M87" s="6"/>
      <c r="N87" s="9"/>
      <c r="O87" s="9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>
        <v>100</v>
      </c>
      <c r="AJ87" s="6">
        <v>1280</v>
      </c>
      <c r="AK87" s="6">
        <v>1078.4000000000001</v>
      </c>
      <c r="AL87" s="6"/>
      <c r="AM87" s="6"/>
      <c r="AN87" s="6"/>
      <c r="AO87" s="173">
        <f t="shared" si="82"/>
        <v>100</v>
      </c>
      <c r="AP87" s="173">
        <f t="shared" si="77"/>
        <v>1280</v>
      </c>
      <c r="AQ87" s="173">
        <f t="shared" si="78"/>
        <v>1078.4000000000001</v>
      </c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>
        <v>100</v>
      </c>
      <c r="BK87" s="6">
        <v>1300</v>
      </c>
      <c r="BL87" s="6">
        <v>1048</v>
      </c>
      <c r="BM87" s="6"/>
      <c r="BN87" s="6"/>
      <c r="BO87" s="6"/>
      <c r="BP87" s="6"/>
      <c r="BQ87" s="6"/>
      <c r="BR87" s="6"/>
      <c r="BS87" s="6"/>
      <c r="BT87" s="6"/>
      <c r="BU87" s="6"/>
      <c r="BV87" s="173">
        <f t="shared" si="83"/>
        <v>200</v>
      </c>
      <c r="BW87" s="173">
        <f t="shared" si="79"/>
        <v>2580</v>
      </c>
      <c r="BX87" s="173">
        <f t="shared" si="80"/>
        <v>2126.4</v>
      </c>
      <c r="BY87" s="6"/>
      <c r="BZ87" s="6"/>
      <c r="CA87" s="6"/>
      <c r="CB87" s="6"/>
      <c r="CC87" s="6"/>
      <c r="CD87" s="6"/>
      <c r="CE87" s="6"/>
      <c r="CF87" s="6"/>
      <c r="CG87" s="6"/>
      <c r="CH87" s="6">
        <v>100</v>
      </c>
      <c r="CI87" s="6">
        <v>1300</v>
      </c>
      <c r="CJ87" s="6">
        <v>1048</v>
      </c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173">
        <f t="shared" si="84"/>
        <v>300</v>
      </c>
      <c r="DG87" s="173">
        <f t="shared" si="85"/>
        <v>3880</v>
      </c>
      <c r="DH87" s="173">
        <f t="shared" si="81"/>
        <v>3174.4</v>
      </c>
    </row>
    <row r="88" spans="1:112" ht="30" hidden="1" customHeight="1" x14ac:dyDescent="0.25">
      <c r="A88" s="4">
        <v>12</v>
      </c>
      <c r="B88" s="194" t="s">
        <v>69</v>
      </c>
      <c r="C88" s="7" t="s">
        <v>68</v>
      </c>
      <c r="D88" s="7" t="s">
        <v>28</v>
      </c>
      <c r="E88" s="169" t="s">
        <v>317</v>
      </c>
      <c r="F88" s="8" t="s">
        <v>5</v>
      </c>
      <c r="G88" s="25" t="s">
        <v>27</v>
      </c>
      <c r="H88" s="7" t="s">
        <v>26</v>
      </c>
      <c r="I88" s="7" t="s">
        <v>25</v>
      </c>
      <c r="J88" s="3" t="s">
        <v>1</v>
      </c>
      <c r="K88" s="9"/>
      <c r="L88" s="9"/>
      <c r="M88" s="6"/>
      <c r="N88" s="9">
        <v>50</v>
      </c>
      <c r="O88" s="9">
        <v>600</v>
      </c>
      <c r="P88" s="6">
        <v>600</v>
      </c>
      <c r="Q88" s="6">
        <v>30</v>
      </c>
      <c r="R88" s="6">
        <v>360</v>
      </c>
      <c r="S88" s="6">
        <v>360</v>
      </c>
      <c r="T88" s="6">
        <v>50</v>
      </c>
      <c r="U88" s="6">
        <v>600</v>
      </c>
      <c r="V88" s="6">
        <v>600</v>
      </c>
      <c r="W88" s="6">
        <v>100</v>
      </c>
      <c r="X88" s="6">
        <v>1200</v>
      </c>
      <c r="Y88" s="6">
        <v>1200</v>
      </c>
      <c r="Z88" s="6"/>
      <c r="AA88" s="6"/>
      <c r="AB88" s="6"/>
      <c r="AC88" s="6">
        <v>50</v>
      </c>
      <c r="AD88" s="6">
        <v>600</v>
      </c>
      <c r="AE88" s="6">
        <v>600</v>
      </c>
      <c r="AF88" s="6"/>
      <c r="AG88" s="6"/>
      <c r="AH88" s="6"/>
      <c r="AI88" s="6"/>
      <c r="AJ88" s="6"/>
      <c r="AK88" s="6"/>
      <c r="AL88" s="6">
        <v>50</v>
      </c>
      <c r="AM88" s="6">
        <v>600</v>
      </c>
      <c r="AN88" s="6">
        <v>600</v>
      </c>
      <c r="AO88" s="173">
        <f t="shared" si="82"/>
        <v>330</v>
      </c>
      <c r="AP88" s="173">
        <f t="shared" si="77"/>
        <v>3960</v>
      </c>
      <c r="AQ88" s="173">
        <f t="shared" si="78"/>
        <v>3960</v>
      </c>
      <c r="AR88" s="6"/>
      <c r="AS88" s="6"/>
      <c r="AT88" s="6"/>
      <c r="AU88" s="6"/>
      <c r="AV88" s="6"/>
      <c r="AW88" s="6"/>
      <c r="AX88" s="6">
        <v>30</v>
      </c>
      <c r="AY88" s="6">
        <v>360</v>
      </c>
      <c r="AZ88" s="6">
        <v>360</v>
      </c>
      <c r="BA88" s="6">
        <v>50</v>
      </c>
      <c r="BB88" s="6">
        <v>600</v>
      </c>
      <c r="BC88" s="6">
        <v>600</v>
      </c>
      <c r="BD88" s="6"/>
      <c r="BE88" s="6"/>
      <c r="BF88" s="6"/>
      <c r="BG88" s="6"/>
      <c r="BH88" s="6"/>
      <c r="BI88" s="6"/>
      <c r="BJ88" s="6">
        <v>70</v>
      </c>
      <c r="BK88" s="6">
        <v>840</v>
      </c>
      <c r="BL88" s="6">
        <v>840</v>
      </c>
      <c r="BM88" s="6"/>
      <c r="BN88" s="6"/>
      <c r="BO88" s="6"/>
      <c r="BP88" s="6"/>
      <c r="BQ88" s="6"/>
      <c r="BR88" s="6"/>
      <c r="BS88" s="6">
        <v>150</v>
      </c>
      <c r="BT88" s="6">
        <v>1800</v>
      </c>
      <c r="BU88" s="6">
        <v>1800</v>
      </c>
      <c r="BV88" s="173">
        <f t="shared" si="83"/>
        <v>630</v>
      </c>
      <c r="BW88" s="173">
        <f t="shared" si="79"/>
        <v>7560</v>
      </c>
      <c r="BX88" s="173">
        <f t="shared" si="80"/>
        <v>7560</v>
      </c>
      <c r="BY88" s="6"/>
      <c r="BZ88" s="6"/>
      <c r="CA88" s="6"/>
      <c r="CB88" s="6"/>
      <c r="CC88" s="6"/>
      <c r="CD88" s="6"/>
      <c r="CE88" s="6">
        <v>50</v>
      </c>
      <c r="CF88" s="6">
        <v>600</v>
      </c>
      <c r="CG88" s="6">
        <v>600</v>
      </c>
      <c r="CH88" s="6">
        <v>30</v>
      </c>
      <c r="CI88" s="6">
        <v>360</v>
      </c>
      <c r="CJ88" s="6">
        <v>360</v>
      </c>
      <c r="CK88" s="6">
        <v>70</v>
      </c>
      <c r="CL88" s="6">
        <v>840</v>
      </c>
      <c r="CM88" s="6">
        <v>840</v>
      </c>
      <c r="CN88" s="6">
        <v>70</v>
      </c>
      <c r="CO88" s="6">
        <v>840</v>
      </c>
      <c r="CP88" s="6">
        <v>840</v>
      </c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173">
        <f t="shared" si="84"/>
        <v>850</v>
      </c>
      <c r="DG88" s="173">
        <f t="shared" si="85"/>
        <v>10200</v>
      </c>
      <c r="DH88" s="173">
        <f t="shared" si="81"/>
        <v>10200</v>
      </c>
    </row>
    <row r="89" spans="1:112" ht="30" hidden="1" customHeight="1" x14ac:dyDescent="0.25">
      <c r="A89" s="194">
        <v>13</v>
      </c>
      <c r="B89" s="194" t="s">
        <v>7</v>
      </c>
      <c r="C89" s="7" t="s">
        <v>6</v>
      </c>
      <c r="D89" s="169" t="s">
        <v>451</v>
      </c>
      <c r="E89" s="169" t="s">
        <v>447</v>
      </c>
      <c r="F89" s="8" t="s">
        <v>5</v>
      </c>
      <c r="G89" s="25"/>
      <c r="H89" s="7"/>
      <c r="I89" s="7"/>
      <c r="J89" s="3"/>
      <c r="K89" s="9"/>
      <c r="L89" s="9"/>
      <c r="M89" s="6"/>
      <c r="N89" s="9"/>
      <c r="O89" s="9"/>
      <c r="P89" s="6"/>
      <c r="Q89" s="6"/>
      <c r="R89" s="6"/>
      <c r="S89" s="6"/>
      <c r="T89" s="6"/>
      <c r="U89" s="6"/>
      <c r="V89" s="6"/>
      <c r="W89" s="6"/>
      <c r="X89" s="6"/>
      <c r="Y89" s="6"/>
      <c r="Z89" s="6">
        <v>220</v>
      </c>
      <c r="AA89" s="6">
        <v>2880</v>
      </c>
      <c r="AB89" s="6">
        <v>2275.1999999999998</v>
      </c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173">
        <f t="shared" si="82"/>
        <v>220</v>
      </c>
      <c r="AP89" s="173">
        <f t="shared" si="77"/>
        <v>2880</v>
      </c>
      <c r="AQ89" s="173">
        <f t="shared" si="78"/>
        <v>2275.1999999999998</v>
      </c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173">
        <f t="shared" si="83"/>
        <v>220</v>
      </c>
      <c r="BW89" s="173">
        <f t="shared" si="79"/>
        <v>2880</v>
      </c>
      <c r="BX89" s="173">
        <f t="shared" si="80"/>
        <v>2275.1999999999998</v>
      </c>
      <c r="BY89" s="6"/>
      <c r="BZ89" s="6"/>
      <c r="CA89" s="6"/>
      <c r="CB89" s="6"/>
      <c r="CC89" s="6"/>
      <c r="CD89" s="6"/>
      <c r="CE89" s="6"/>
      <c r="CF89" s="6"/>
      <c r="CG89" s="6"/>
      <c r="CH89" s="6">
        <v>170</v>
      </c>
      <c r="CI89" s="6">
        <v>2840</v>
      </c>
      <c r="CJ89" s="6">
        <v>1904</v>
      </c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173">
        <f t="shared" si="84"/>
        <v>390</v>
      </c>
      <c r="DG89" s="173">
        <f t="shared" si="85"/>
        <v>5720</v>
      </c>
      <c r="DH89" s="173">
        <f t="shared" si="81"/>
        <v>4179.2</v>
      </c>
    </row>
    <row r="90" spans="1:112" ht="30" hidden="1" customHeight="1" x14ac:dyDescent="0.25">
      <c r="A90" s="4">
        <v>14</v>
      </c>
      <c r="B90" s="194" t="s">
        <v>87</v>
      </c>
      <c r="C90" s="7" t="s">
        <v>86</v>
      </c>
      <c r="D90" s="7" t="s">
        <v>28</v>
      </c>
      <c r="E90" s="169" t="s">
        <v>317</v>
      </c>
      <c r="F90" s="8" t="s">
        <v>5</v>
      </c>
      <c r="G90" s="25"/>
      <c r="H90" s="7"/>
      <c r="I90" s="7"/>
      <c r="J90" s="3"/>
      <c r="K90" s="9"/>
      <c r="L90" s="9"/>
      <c r="M90" s="6"/>
      <c r="N90" s="9"/>
      <c r="O90" s="9"/>
      <c r="P90" s="6"/>
      <c r="Q90" s="6"/>
      <c r="R90" s="6"/>
      <c r="S90" s="6"/>
      <c r="T90" s="6"/>
      <c r="U90" s="6"/>
      <c r="V90" s="6"/>
      <c r="W90" s="6"/>
      <c r="X90" s="6"/>
      <c r="Y90" s="6"/>
      <c r="Z90" s="6">
        <v>200</v>
      </c>
      <c r="AA90" s="6">
        <v>2600</v>
      </c>
      <c r="AB90" s="6">
        <v>2096</v>
      </c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173">
        <f t="shared" si="82"/>
        <v>200</v>
      </c>
      <c r="AP90" s="173">
        <f t="shared" si="77"/>
        <v>2600</v>
      </c>
      <c r="AQ90" s="173">
        <f t="shared" si="78"/>
        <v>2096</v>
      </c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173">
        <f t="shared" si="83"/>
        <v>200</v>
      </c>
      <c r="BW90" s="173">
        <f t="shared" si="79"/>
        <v>2600</v>
      </c>
      <c r="BX90" s="173">
        <f t="shared" si="80"/>
        <v>2096</v>
      </c>
      <c r="BY90" s="6"/>
      <c r="BZ90" s="6"/>
      <c r="CA90" s="6"/>
      <c r="CB90" s="6"/>
      <c r="CC90" s="6"/>
      <c r="CD90" s="6"/>
      <c r="CE90" s="6">
        <v>200</v>
      </c>
      <c r="CF90" s="6">
        <v>2800</v>
      </c>
      <c r="CG90" s="6">
        <v>1792</v>
      </c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173">
        <f t="shared" si="84"/>
        <v>400</v>
      </c>
      <c r="DG90" s="173">
        <f t="shared" si="85"/>
        <v>5400</v>
      </c>
      <c r="DH90" s="173">
        <f t="shared" si="81"/>
        <v>3888</v>
      </c>
    </row>
    <row r="91" spans="1:112" ht="30" hidden="1" customHeight="1" x14ac:dyDescent="0.25">
      <c r="A91" s="522" t="s">
        <v>0</v>
      </c>
      <c r="B91" s="523"/>
      <c r="C91" s="523"/>
      <c r="D91" s="523"/>
      <c r="E91" s="524"/>
      <c r="F91" s="4"/>
      <c r="G91" s="4"/>
      <c r="H91" s="4"/>
      <c r="I91" s="4"/>
      <c r="J91" s="4"/>
      <c r="K91" s="7">
        <f>SUM(K77:K90)</f>
        <v>0</v>
      </c>
      <c r="L91" s="7">
        <f t="shared" ref="L91:AQ91" si="86">SUM(L77:L90)</f>
        <v>0</v>
      </c>
      <c r="M91" s="7">
        <f t="shared" si="86"/>
        <v>0</v>
      </c>
      <c r="N91" s="7">
        <f t="shared" si="86"/>
        <v>1105</v>
      </c>
      <c r="O91" s="7">
        <f t="shared" si="86"/>
        <v>14440</v>
      </c>
      <c r="P91" s="7">
        <f t="shared" si="86"/>
        <v>11898.4</v>
      </c>
      <c r="Q91" s="7">
        <f t="shared" si="86"/>
        <v>280</v>
      </c>
      <c r="R91" s="7">
        <f t="shared" si="86"/>
        <v>4160</v>
      </c>
      <c r="S91" s="7">
        <f t="shared" si="86"/>
        <v>2792</v>
      </c>
      <c r="T91" s="7">
        <f t="shared" si="86"/>
        <v>755</v>
      </c>
      <c r="U91" s="7">
        <f t="shared" si="86"/>
        <v>9770</v>
      </c>
      <c r="V91" s="7">
        <f t="shared" si="86"/>
        <v>7980.8</v>
      </c>
      <c r="W91" s="7">
        <f t="shared" si="86"/>
        <v>630</v>
      </c>
      <c r="X91" s="7">
        <f t="shared" si="86"/>
        <v>9020</v>
      </c>
      <c r="Y91" s="7">
        <f t="shared" si="86"/>
        <v>6636.7999999999993</v>
      </c>
      <c r="Z91" s="7">
        <f t="shared" si="86"/>
        <v>870</v>
      </c>
      <c r="AA91" s="7">
        <f t="shared" si="86"/>
        <v>11480</v>
      </c>
      <c r="AB91" s="7">
        <f t="shared" si="86"/>
        <v>8859.2000000000007</v>
      </c>
      <c r="AC91" s="7">
        <f t="shared" si="86"/>
        <v>300</v>
      </c>
      <c r="AD91" s="7">
        <f t="shared" si="86"/>
        <v>4560</v>
      </c>
      <c r="AE91" s="7">
        <f t="shared" si="86"/>
        <v>3436.8</v>
      </c>
      <c r="AF91" s="7">
        <f t="shared" si="86"/>
        <v>0</v>
      </c>
      <c r="AG91" s="7">
        <f t="shared" si="86"/>
        <v>0</v>
      </c>
      <c r="AH91" s="7">
        <f t="shared" si="86"/>
        <v>0</v>
      </c>
      <c r="AI91" s="7">
        <f t="shared" si="86"/>
        <v>990</v>
      </c>
      <c r="AJ91" s="7">
        <f t="shared" si="86"/>
        <v>13090</v>
      </c>
      <c r="AK91" s="7">
        <f t="shared" si="86"/>
        <v>11120.8</v>
      </c>
      <c r="AL91" s="7">
        <f t="shared" si="86"/>
        <v>50</v>
      </c>
      <c r="AM91" s="7">
        <f t="shared" si="86"/>
        <v>600</v>
      </c>
      <c r="AN91" s="7">
        <f t="shared" si="86"/>
        <v>600</v>
      </c>
      <c r="AO91" s="282">
        <f t="shared" si="86"/>
        <v>4980</v>
      </c>
      <c r="AP91" s="282">
        <f t="shared" si="86"/>
        <v>67120</v>
      </c>
      <c r="AQ91" s="282">
        <f t="shared" si="86"/>
        <v>53324.799999999996</v>
      </c>
      <c r="AR91" s="2">
        <f>SUM(AR77:AR90)</f>
        <v>1135</v>
      </c>
      <c r="AS91" s="2">
        <f t="shared" ref="AS91:BU91" si="87">SUM(AS77:AS90)</f>
        <v>15880</v>
      </c>
      <c r="AT91" s="2">
        <f t="shared" si="87"/>
        <v>11264.8</v>
      </c>
      <c r="AU91" s="2">
        <f t="shared" si="87"/>
        <v>0</v>
      </c>
      <c r="AV91" s="2">
        <f t="shared" si="87"/>
        <v>0</v>
      </c>
      <c r="AW91" s="2">
        <f t="shared" si="87"/>
        <v>0</v>
      </c>
      <c r="AX91" s="2">
        <f t="shared" si="87"/>
        <v>550</v>
      </c>
      <c r="AY91" s="2">
        <f t="shared" si="87"/>
        <v>7780</v>
      </c>
      <c r="AZ91" s="2">
        <f t="shared" si="87"/>
        <v>6102.4000000000005</v>
      </c>
      <c r="BA91" s="2">
        <f t="shared" si="87"/>
        <v>345</v>
      </c>
      <c r="BB91" s="2">
        <f t="shared" si="87"/>
        <v>4430</v>
      </c>
      <c r="BC91" s="2">
        <f t="shared" si="87"/>
        <v>3699.2</v>
      </c>
      <c r="BD91" s="2">
        <f t="shared" si="87"/>
        <v>0</v>
      </c>
      <c r="BE91" s="2">
        <f t="shared" si="87"/>
        <v>0</v>
      </c>
      <c r="BF91" s="2">
        <f t="shared" si="87"/>
        <v>0</v>
      </c>
      <c r="BG91" s="2">
        <f t="shared" si="87"/>
        <v>640</v>
      </c>
      <c r="BH91" s="2">
        <f t="shared" si="87"/>
        <v>8200</v>
      </c>
      <c r="BI91" s="2">
        <f t="shared" si="87"/>
        <v>6889.6</v>
      </c>
      <c r="BJ91" s="2">
        <f t="shared" si="87"/>
        <v>595</v>
      </c>
      <c r="BK91" s="2">
        <f t="shared" si="87"/>
        <v>7790</v>
      </c>
      <c r="BL91" s="2">
        <f t="shared" si="87"/>
        <v>6152</v>
      </c>
      <c r="BM91" s="2">
        <f t="shared" si="87"/>
        <v>330</v>
      </c>
      <c r="BN91" s="2">
        <f t="shared" si="87"/>
        <v>5120</v>
      </c>
      <c r="BO91" s="2">
        <f t="shared" si="87"/>
        <v>3924.8</v>
      </c>
      <c r="BP91" s="2">
        <f t="shared" si="87"/>
        <v>860</v>
      </c>
      <c r="BQ91" s="2">
        <f t="shared" si="87"/>
        <v>12300</v>
      </c>
      <c r="BR91" s="2">
        <f t="shared" si="87"/>
        <v>9254.4</v>
      </c>
      <c r="BS91" s="2">
        <f t="shared" si="87"/>
        <v>350</v>
      </c>
      <c r="BT91" s="2">
        <f t="shared" si="87"/>
        <v>4600</v>
      </c>
      <c r="BU91" s="2">
        <f t="shared" si="87"/>
        <v>3592</v>
      </c>
      <c r="BV91" s="198">
        <f>SUM(BV77:BV90)</f>
        <v>9785</v>
      </c>
      <c r="BW91" s="198">
        <f t="shared" ref="BW91:BX91" si="88">SUM(BW77:BW90)</f>
        <v>133220</v>
      </c>
      <c r="BX91" s="198">
        <f t="shared" si="88"/>
        <v>104204</v>
      </c>
      <c r="BY91" s="2">
        <f>SUM(BY77:BY90)</f>
        <v>580</v>
      </c>
      <c r="BZ91" s="2">
        <f t="shared" ref="BZ91:DE91" si="89">SUM(BZ77:BZ90)</f>
        <v>7860</v>
      </c>
      <c r="CA91" s="2">
        <f t="shared" si="89"/>
        <v>5592</v>
      </c>
      <c r="CB91" s="2">
        <f t="shared" si="89"/>
        <v>0</v>
      </c>
      <c r="CC91" s="2">
        <f t="shared" si="89"/>
        <v>0</v>
      </c>
      <c r="CD91" s="2">
        <f t="shared" si="89"/>
        <v>0</v>
      </c>
      <c r="CE91" s="2">
        <f t="shared" si="89"/>
        <v>970</v>
      </c>
      <c r="CF91" s="2">
        <f t="shared" si="89"/>
        <v>13380</v>
      </c>
      <c r="CG91" s="2">
        <f t="shared" si="89"/>
        <v>10291.200000000001</v>
      </c>
      <c r="CH91" s="2">
        <f t="shared" si="89"/>
        <v>1180</v>
      </c>
      <c r="CI91" s="2">
        <f t="shared" si="89"/>
        <v>15960</v>
      </c>
      <c r="CJ91" s="2">
        <f t="shared" si="89"/>
        <v>12504</v>
      </c>
      <c r="CK91" s="2">
        <f t="shared" si="89"/>
        <v>369</v>
      </c>
      <c r="CL91" s="2">
        <f t="shared" si="89"/>
        <v>4826</v>
      </c>
      <c r="CM91" s="2">
        <f t="shared" si="89"/>
        <v>3823.04</v>
      </c>
      <c r="CN91" s="2">
        <f t="shared" si="89"/>
        <v>559</v>
      </c>
      <c r="CO91" s="2">
        <f t="shared" si="89"/>
        <v>7376</v>
      </c>
      <c r="CP91" s="2">
        <f t="shared" si="89"/>
        <v>6319.04</v>
      </c>
      <c r="CQ91" s="2">
        <f t="shared" si="89"/>
        <v>235</v>
      </c>
      <c r="CR91" s="2">
        <f t="shared" si="89"/>
        <v>3530</v>
      </c>
      <c r="CS91" s="2">
        <f t="shared" si="89"/>
        <v>2388.8000000000002</v>
      </c>
      <c r="CT91" s="2">
        <f t="shared" si="89"/>
        <v>1715</v>
      </c>
      <c r="CU91" s="2">
        <f t="shared" si="89"/>
        <v>22940</v>
      </c>
      <c r="CV91" s="2">
        <f t="shared" si="89"/>
        <v>17424.8</v>
      </c>
      <c r="CW91" s="2">
        <f t="shared" si="89"/>
        <v>0</v>
      </c>
      <c r="CX91" s="2">
        <f t="shared" si="89"/>
        <v>0</v>
      </c>
      <c r="CY91" s="2">
        <f t="shared" si="89"/>
        <v>0</v>
      </c>
      <c r="CZ91" s="2">
        <f t="shared" si="89"/>
        <v>0</v>
      </c>
      <c r="DA91" s="2">
        <f t="shared" si="89"/>
        <v>0</v>
      </c>
      <c r="DB91" s="2">
        <f t="shared" si="89"/>
        <v>0</v>
      </c>
      <c r="DC91" s="2">
        <f t="shared" si="89"/>
        <v>0</v>
      </c>
      <c r="DD91" s="2">
        <f t="shared" si="89"/>
        <v>0</v>
      </c>
      <c r="DE91" s="2">
        <f t="shared" si="89"/>
        <v>0</v>
      </c>
      <c r="DF91" s="198">
        <f>SUM(DF77:DF90)</f>
        <v>15393</v>
      </c>
      <c r="DG91" s="198">
        <f>SUM(DG77:DG90)</f>
        <v>209092</v>
      </c>
      <c r="DH91" s="198">
        <f t="shared" ref="DH91" si="90">SUM(DH77:DH90)</f>
        <v>162546.88</v>
      </c>
    </row>
    <row r="92" spans="1:112" ht="30" hidden="1" customHeight="1" x14ac:dyDescent="0.25"/>
    <row r="93" spans="1:112" ht="30" hidden="1" customHeight="1" x14ac:dyDescent="0.25">
      <c r="A93" s="539" t="s">
        <v>118</v>
      </c>
      <c r="B93" s="383" t="s">
        <v>117</v>
      </c>
      <c r="C93" s="384"/>
      <c r="D93" s="540" t="s">
        <v>116</v>
      </c>
      <c r="E93" s="541"/>
      <c r="F93" s="542" t="s">
        <v>115</v>
      </c>
      <c r="G93" s="543" t="s">
        <v>114</v>
      </c>
      <c r="H93" s="544"/>
      <c r="I93" s="531" t="s">
        <v>113</v>
      </c>
      <c r="J93" s="545" t="s">
        <v>112</v>
      </c>
      <c r="K93" s="520" t="s">
        <v>465</v>
      </c>
      <c r="L93" s="520"/>
      <c r="M93" s="520"/>
      <c r="N93" s="520" t="s">
        <v>466</v>
      </c>
      <c r="O93" s="520"/>
      <c r="P93" s="520"/>
      <c r="Q93" s="520" t="s">
        <v>467</v>
      </c>
      <c r="R93" s="520"/>
      <c r="S93" s="520"/>
      <c r="T93" s="520" t="s">
        <v>468</v>
      </c>
      <c r="U93" s="520"/>
      <c r="V93" s="520"/>
      <c r="W93" s="520" t="s">
        <v>469</v>
      </c>
      <c r="X93" s="520"/>
      <c r="Y93" s="520"/>
      <c r="Z93" s="520" t="s">
        <v>470</v>
      </c>
      <c r="AA93" s="520"/>
      <c r="AB93" s="520"/>
      <c r="AC93" s="520" t="s">
        <v>471</v>
      </c>
      <c r="AD93" s="520"/>
      <c r="AE93" s="520"/>
      <c r="AF93" s="520" t="s">
        <v>472</v>
      </c>
      <c r="AG93" s="520"/>
      <c r="AH93" s="520"/>
      <c r="AI93" s="520" t="s">
        <v>473</v>
      </c>
      <c r="AJ93" s="520"/>
      <c r="AK93" s="520"/>
      <c r="AL93" s="520" t="s">
        <v>474</v>
      </c>
      <c r="AM93" s="520"/>
      <c r="AN93" s="520"/>
      <c r="AO93" s="521" t="s">
        <v>350</v>
      </c>
      <c r="AP93" s="521"/>
      <c r="AQ93" s="521"/>
      <c r="AR93" s="520" t="s">
        <v>475</v>
      </c>
      <c r="AS93" s="520"/>
      <c r="AT93" s="520"/>
      <c r="AU93" s="520" t="s">
        <v>476</v>
      </c>
      <c r="AV93" s="520"/>
      <c r="AW93" s="520"/>
      <c r="AX93" s="520" t="s">
        <v>477</v>
      </c>
      <c r="AY93" s="520"/>
      <c r="AZ93" s="520"/>
      <c r="BA93" s="520" t="s">
        <v>478</v>
      </c>
      <c r="BB93" s="520"/>
      <c r="BC93" s="520"/>
      <c r="BD93" s="520" t="s">
        <v>479</v>
      </c>
      <c r="BE93" s="520"/>
      <c r="BF93" s="520"/>
      <c r="BG93" s="520" t="s">
        <v>480</v>
      </c>
      <c r="BH93" s="520"/>
      <c r="BI93" s="520"/>
      <c r="BJ93" s="520" t="s">
        <v>481</v>
      </c>
      <c r="BK93" s="520"/>
      <c r="BL93" s="520"/>
      <c r="BM93" s="520" t="s">
        <v>482</v>
      </c>
      <c r="BN93" s="520"/>
      <c r="BO93" s="520"/>
      <c r="BP93" s="520" t="s">
        <v>483</v>
      </c>
      <c r="BQ93" s="520"/>
      <c r="BR93" s="520"/>
      <c r="BS93" s="520" t="s">
        <v>484</v>
      </c>
      <c r="BT93" s="520"/>
      <c r="BU93" s="520"/>
      <c r="BV93" s="521" t="s">
        <v>351</v>
      </c>
      <c r="BW93" s="521"/>
      <c r="BX93" s="521"/>
      <c r="BY93" s="520" t="s">
        <v>485</v>
      </c>
      <c r="BZ93" s="520"/>
      <c r="CA93" s="520"/>
      <c r="CB93" s="520" t="s">
        <v>486</v>
      </c>
      <c r="CC93" s="520"/>
      <c r="CD93" s="520"/>
      <c r="CE93" s="520" t="s">
        <v>487</v>
      </c>
      <c r="CF93" s="520"/>
      <c r="CG93" s="520"/>
      <c r="CH93" s="520" t="s">
        <v>488</v>
      </c>
      <c r="CI93" s="520"/>
      <c r="CJ93" s="520"/>
      <c r="CK93" s="520" t="s">
        <v>489</v>
      </c>
      <c r="CL93" s="520"/>
      <c r="CM93" s="520"/>
      <c r="CN93" s="520" t="s">
        <v>490</v>
      </c>
      <c r="CO93" s="520"/>
      <c r="CP93" s="520"/>
      <c r="CQ93" s="520" t="s">
        <v>491</v>
      </c>
      <c r="CR93" s="520"/>
      <c r="CS93" s="520"/>
      <c r="CT93" s="520" t="s">
        <v>492</v>
      </c>
      <c r="CU93" s="520"/>
      <c r="CV93" s="520"/>
      <c r="CW93" s="520" t="s">
        <v>493</v>
      </c>
      <c r="CX93" s="520"/>
      <c r="CY93" s="520"/>
      <c r="CZ93" s="520" t="s">
        <v>494</v>
      </c>
      <c r="DA93" s="520"/>
      <c r="DB93" s="520"/>
      <c r="DC93" s="520" t="s">
        <v>495</v>
      </c>
      <c r="DD93" s="520"/>
      <c r="DE93" s="520"/>
      <c r="DF93" s="520" t="s">
        <v>111</v>
      </c>
      <c r="DG93" s="520"/>
      <c r="DH93" s="520"/>
    </row>
    <row r="94" spans="1:112" ht="30" hidden="1" customHeight="1" x14ac:dyDescent="0.25">
      <c r="A94" s="526"/>
      <c r="B94" s="385"/>
      <c r="C94" s="386"/>
      <c r="D94" s="529"/>
      <c r="E94" s="530"/>
      <c r="F94" s="536"/>
      <c r="G94" s="534"/>
      <c r="H94" s="535"/>
      <c r="I94" s="531"/>
      <c r="J94" s="538"/>
      <c r="K94" s="10" t="s">
        <v>109</v>
      </c>
      <c r="L94" s="11" t="s">
        <v>108</v>
      </c>
      <c r="M94" s="11" t="s">
        <v>348</v>
      </c>
      <c r="N94" s="10" t="s">
        <v>109</v>
      </c>
      <c r="O94" s="11" t="s">
        <v>108</v>
      </c>
      <c r="P94" s="11" t="s">
        <v>348</v>
      </c>
      <c r="Q94" s="10" t="s">
        <v>109</v>
      </c>
      <c r="R94" s="11" t="s">
        <v>108</v>
      </c>
      <c r="S94" s="11" t="s">
        <v>348</v>
      </c>
      <c r="T94" s="10" t="s">
        <v>109</v>
      </c>
      <c r="U94" s="11" t="s">
        <v>108</v>
      </c>
      <c r="V94" s="11" t="s">
        <v>348</v>
      </c>
      <c r="W94" s="10" t="s">
        <v>109</v>
      </c>
      <c r="X94" s="11" t="s">
        <v>108</v>
      </c>
      <c r="Y94" s="11" t="s">
        <v>348</v>
      </c>
      <c r="Z94" s="10" t="s">
        <v>109</v>
      </c>
      <c r="AA94" s="11" t="s">
        <v>108</v>
      </c>
      <c r="AB94" s="11" t="s">
        <v>348</v>
      </c>
      <c r="AC94" s="10" t="s">
        <v>109</v>
      </c>
      <c r="AD94" s="11" t="s">
        <v>108</v>
      </c>
      <c r="AE94" s="11" t="s">
        <v>348</v>
      </c>
      <c r="AF94" s="10" t="s">
        <v>109</v>
      </c>
      <c r="AG94" s="11" t="s">
        <v>108</v>
      </c>
      <c r="AH94" s="11" t="s">
        <v>348</v>
      </c>
      <c r="AI94" s="10" t="s">
        <v>109</v>
      </c>
      <c r="AJ94" s="11" t="s">
        <v>108</v>
      </c>
      <c r="AK94" s="11" t="s">
        <v>348</v>
      </c>
      <c r="AL94" s="10" t="s">
        <v>109</v>
      </c>
      <c r="AM94" s="11" t="s">
        <v>108</v>
      </c>
      <c r="AN94" s="11" t="s">
        <v>348</v>
      </c>
      <c r="AO94" s="10" t="s">
        <v>109</v>
      </c>
      <c r="AP94" s="11" t="s">
        <v>108</v>
      </c>
      <c r="AQ94" s="11" t="s">
        <v>348</v>
      </c>
      <c r="AR94" s="10" t="s">
        <v>109</v>
      </c>
      <c r="AS94" s="11" t="s">
        <v>108</v>
      </c>
      <c r="AT94" s="11" t="s">
        <v>348</v>
      </c>
      <c r="AU94" s="10" t="s">
        <v>109</v>
      </c>
      <c r="AV94" s="11" t="s">
        <v>108</v>
      </c>
      <c r="AW94" s="11" t="s">
        <v>348</v>
      </c>
      <c r="AX94" s="10" t="s">
        <v>109</v>
      </c>
      <c r="AY94" s="11" t="s">
        <v>108</v>
      </c>
      <c r="AZ94" s="11" t="s">
        <v>348</v>
      </c>
      <c r="BA94" s="10" t="s">
        <v>109</v>
      </c>
      <c r="BB94" s="11" t="s">
        <v>108</v>
      </c>
      <c r="BC94" s="11" t="s">
        <v>348</v>
      </c>
      <c r="BD94" s="10" t="s">
        <v>109</v>
      </c>
      <c r="BE94" s="11" t="s">
        <v>108</v>
      </c>
      <c r="BF94" s="11" t="s">
        <v>348</v>
      </c>
      <c r="BG94" s="10" t="s">
        <v>109</v>
      </c>
      <c r="BH94" s="11" t="s">
        <v>108</v>
      </c>
      <c r="BI94" s="11" t="s">
        <v>348</v>
      </c>
      <c r="BJ94" s="10" t="s">
        <v>109</v>
      </c>
      <c r="BK94" s="11" t="s">
        <v>108</v>
      </c>
      <c r="BL94" s="11" t="s">
        <v>348</v>
      </c>
      <c r="BM94" s="10" t="s">
        <v>109</v>
      </c>
      <c r="BN94" s="11" t="s">
        <v>108</v>
      </c>
      <c r="BO94" s="11" t="s">
        <v>348</v>
      </c>
      <c r="BP94" s="10" t="s">
        <v>109</v>
      </c>
      <c r="BQ94" s="11" t="s">
        <v>108</v>
      </c>
      <c r="BR94" s="11" t="s">
        <v>348</v>
      </c>
      <c r="BS94" s="10" t="s">
        <v>109</v>
      </c>
      <c r="BT94" s="11" t="s">
        <v>108</v>
      </c>
      <c r="BU94" s="11" t="s">
        <v>348</v>
      </c>
      <c r="BV94" s="10" t="s">
        <v>109</v>
      </c>
      <c r="BW94" s="11" t="s">
        <v>108</v>
      </c>
      <c r="BX94" s="11" t="s">
        <v>348</v>
      </c>
      <c r="BY94" s="10" t="s">
        <v>109</v>
      </c>
      <c r="BZ94" s="11" t="s">
        <v>108</v>
      </c>
      <c r="CA94" s="11" t="s">
        <v>348</v>
      </c>
      <c r="CB94" s="10" t="s">
        <v>109</v>
      </c>
      <c r="CC94" s="11" t="s">
        <v>108</v>
      </c>
      <c r="CD94" s="11" t="s">
        <v>348</v>
      </c>
      <c r="CE94" s="10" t="s">
        <v>109</v>
      </c>
      <c r="CF94" s="11" t="s">
        <v>108</v>
      </c>
      <c r="CG94" s="11" t="s">
        <v>348</v>
      </c>
      <c r="CH94" s="10" t="s">
        <v>109</v>
      </c>
      <c r="CI94" s="11" t="s">
        <v>108</v>
      </c>
      <c r="CJ94" s="11" t="s">
        <v>348</v>
      </c>
      <c r="CK94" s="10" t="s">
        <v>109</v>
      </c>
      <c r="CL94" s="11" t="s">
        <v>108</v>
      </c>
      <c r="CM94" s="11" t="s">
        <v>348</v>
      </c>
      <c r="CN94" s="10" t="s">
        <v>109</v>
      </c>
      <c r="CO94" s="11" t="s">
        <v>108</v>
      </c>
      <c r="CP94" s="11" t="s">
        <v>348</v>
      </c>
      <c r="CQ94" s="10" t="s">
        <v>109</v>
      </c>
      <c r="CR94" s="11" t="s">
        <v>108</v>
      </c>
      <c r="CS94" s="11" t="s">
        <v>348</v>
      </c>
      <c r="CT94" s="10" t="s">
        <v>109</v>
      </c>
      <c r="CU94" s="11" t="s">
        <v>108</v>
      </c>
      <c r="CV94" s="11" t="s">
        <v>348</v>
      </c>
      <c r="CW94" s="10" t="s">
        <v>109</v>
      </c>
      <c r="CX94" s="11" t="s">
        <v>108</v>
      </c>
      <c r="CY94" s="11" t="s">
        <v>348</v>
      </c>
      <c r="CZ94" s="10" t="s">
        <v>109</v>
      </c>
      <c r="DA94" s="11" t="s">
        <v>108</v>
      </c>
      <c r="DB94" s="11" t="s">
        <v>348</v>
      </c>
      <c r="DC94" s="10" t="s">
        <v>109</v>
      </c>
      <c r="DD94" s="11" t="s">
        <v>108</v>
      </c>
      <c r="DE94" s="11" t="s">
        <v>348</v>
      </c>
      <c r="DF94" s="10" t="s">
        <v>109</v>
      </c>
      <c r="DG94" s="11" t="s">
        <v>108</v>
      </c>
      <c r="DH94" s="11" t="s">
        <v>348</v>
      </c>
    </row>
    <row r="95" spans="1:112" ht="30" hidden="1" customHeight="1" x14ac:dyDescent="0.25">
      <c r="A95" s="25">
        <v>1</v>
      </c>
      <c r="B95" s="194" t="s">
        <v>62</v>
      </c>
      <c r="C95" s="7" t="s">
        <v>453</v>
      </c>
      <c r="D95" s="7" t="s">
        <v>272</v>
      </c>
      <c r="E95" s="180" t="s">
        <v>357</v>
      </c>
      <c r="F95" s="169" t="s">
        <v>271</v>
      </c>
      <c r="G95" s="25"/>
      <c r="H95" s="7"/>
      <c r="I95" s="7"/>
      <c r="J95" s="3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173">
        <f t="shared" ref="AO95:AO118" si="91">+K95+N95+Q95+T95+W95+Z95+AC95+AF95+AI95+AL95</f>
        <v>0</v>
      </c>
      <c r="AP95" s="173">
        <f t="shared" ref="AP95:AP118" si="92">+L95+O95+R95+U95+X95+AA95+AD95+AG95+AJ95+AM95</f>
        <v>0</v>
      </c>
      <c r="AQ95" s="173">
        <f t="shared" ref="AQ95:AQ118" si="93">+M95+P95+S95+V95+Y95+AB95+AE95+AH95+AK95+AN95</f>
        <v>0</v>
      </c>
      <c r="AR95" s="6"/>
      <c r="AS95" s="6"/>
      <c r="AT95" s="6"/>
      <c r="AU95" s="6"/>
      <c r="AV95" s="6"/>
      <c r="AW95" s="6"/>
      <c r="AX95" s="6"/>
      <c r="AY95" s="6"/>
      <c r="AZ95" s="6"/>
      <c r="BA95" s="6">
        <v>200</v>
      </c>
      <c r="BB95" s="6">
        <v>2700</v>
      </c>
      <c r="BC95" s="6">
        <v>1944</v>
      </c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173">
        <f>+AO95+AR95+AU95+AX95+BA95+BD95+BG95+BJ95+BM95+BP95+BS95</f>
        <v>200</v>
      </c>
      <c r="BW95" s="173">
        <f t="shared" ref="BW95:BW118" si="94">+AP95+AS95+AV95+AY95+BB95+BE95+BH95+BK95+BN95+BQ95+BT95</f>
        <v>2700</v>
      </c>
      <c r="BX95" s="173">
        <f t="shared" ref="BX95:BX118" si="95">+AQ95+AT95+AW95+AZ95+BC95+BF95+BI95+BL95+BO95+BR95+BU95</f>
        <v>1944</v>
      </c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173">
        <f>BV95+CB95+CE95+CH95+CK95+CN95+CQ95+CT95+CW95+CZ95+DC95+BY95</f>
        <v>200</v>
      </c>
      <c r="DG95" s="173">
        <f t="shared" ref="DG95:DG118" si="96">BW95+CC95+CF95+CI95+CL95+CO95+CR95+CU95+CX95+DA95+DD95+BZ95</f>
        <v>2700</v>
      </c>
      <c r="DH95" s="173">
        <f t="shared" ref="DH95:DH118" si="97">BX95+CD95+CG95+CJ95+CM95+CP95+CS95+CV95+CY95+DB95+DE95+CA95</f>
        <v>1944</v>
      </c>
    </row>
    <row r="96" spans="1:112" ht="30" hidden="1" customHeight="1" x14ac:dyDescent="0.25">
      <c r="A96" s="25">
        <v>2</v>
      </c>
      <c r="B96" s="194" t="s">
        <v>20</v>
      </c>
      <c r="C96" s="7" t="s">
        <v>19</v>
      </c>
      <c r="D96" s="7" t="s">
        <v>28</v>
      </c>
      <c r="E96" s="180" t="s">
        <v>401</v>
      </c>
      <c r="F96" s="169" t="s">
        <v>271</v>
      </c>
      <c r="G96" s="25"/>
      <c r="H96" s="7"/>
      <c r="I96" s="7"/>
      <c r="J96" s="3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>
        <v>220</v>
      </c>
      <c r="X96" s="6">
        <v>2940</v>
      </c>
      <c r="Y96" s="6">
        <v>2184</v>
      </c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173">
        <f t="shared" si="91"/>
        <v>220</v>
      </c>
      <c r="AP96" s="173">
        <f t="shared" si="92"/>
        <v>2940</v>
      </c>
      <c r="AQ96" s="173">
        <f t="shared" si="93"/>
        <v>2184</v>
      </c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173">
        <f t="shared" ref="BV96:BV116" si="98">+AO96+AR96+AU96+AX96+BA96+BD96+BG96+BJ96+BM96+BP96+BS96</f>
        <v>220</v>
      </c>
      <c r="BW96" s="173">
        <f t="shared" si="94"/>
        <v>2940</v>
      </c>
      <c r="BX96" s="173">
        <f t="shared" si="95"/>
        <v>2184</v>
      </c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173">
        <f t="shared" ref="DF96:DF118" si="99">BV96+CB96+CE96+CH96+CK96+CN96+CQ96+CT96+CW96+CZ96+DC96+BY96</f>
        <v>220</v>
      </c>
      <c r="DG96" s="173">
        <f t="shared" si="96"/>
        <v>2940</v>
      </c>
      <c r="DH96" s="173">
        <f t="shared" si="97"/>
        <v>2184</v>
      </c>
    </row>
    <row r="97" spans="1:112" ht="30" hidden="1" customHeight="1" x14ac:dyDescent="0.25">
      <c r="A97" s="25">
        <v>3</v>
      </c>
      <c r="B97" s="194" t="s">
        <v>274</v>
      </c>
      <c r="C97" s="7" t="s">
        <v>273</v>
      </c>
      <c r="D97" s="7" t="s">
        <v>28</v>
      </c>
      <c r="E97" s="180" t="s">
        <v>353</v>
      </c>
      <c r="F97" s="169" t="s">
        <v>271</v>
      </c>
      <c r="G97" s="25"/>
      <c r="H97" s="25"/>
      <c r="I97" s="7"/>
      <c r="J97" s="3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>
        <v>100</v>
      </c>
      <c r="AD97" s="6">
        <v>1300</v>
      </c>
      <c r="AE97" s="6">
        <v>1048</v>
      </c>
      <c r="AF97" s="6"/>
      <c r="AG97" s="6"/>
      <c r="AH97" s="6"/>
      <c r="AI97" s="6"/>
      <c r="AJ97" s="6"/>
      <c r="AK97" s="6"/>
      <c r="AL97" s="6"/>
      <c r="AM97" s="6"/>
      <c r="AN97" s="6"/>
      <c r="AO97" s="173">
        <f t="shared" si="91"/>
        <v>100</v>
      </c>
      <c r="AP97" s="173">
        <f t="shared" si="92"/>
        <v>1300</v>
      </c>
      <c r="AQ97" s="173">
        <f t="shared" si="93"/>
        <v>1048</v>
      </c>
      <c r="AR97" s="6"/>
      <c r="AS97" s="6"/>
      <c r="AT97" s="6"/>
      <c r="AU97" s="6"/>
      <c r="AV97" s="6"/>
      <c r="AW97" s="6"/>
      <c r="AX97" s="6"/>
      <c r="AY97" s="6"/>
      <c r="AZ97" s="6"/>
      <c r="BA97" s="6">
        <v>100</v>
      </c>
      <c r="BB97" s="6">
        <v>1300</v>
      </c>
      <c r="BC97" s="6">
        <v>1048</v>
      </c>
      <c r="BD97" s="6"/>
      <c r="BE97" s="6"/>
      <c r="BF97" s="6"/>
      <c r="BG97" s="6"/>
      <c r="BH97" s="6"/>
      <c r="BI97" s="6"/>
      <c r="BJ97" s="6"/>
      <c r="BK97" s="6"/>
      <c r="BL97" s="6"/>
      <c r="BM97" s="6">
        <v>50</v>
      </c>
      <c r="BN97" s="6">
        <v>700</v>
      </c>
      <c r="BO97" s="6">
        <v>448</v>
      </c>
      <c r="BP97" s="6"/>
      <c r="BQ97" s="6"/>
      <c r="BR97" s="6"/>
      <c r="BS97" s="6"/>
      <c r="BT97" s="6"/>
      <c r="BU97" s="6"/>
      <c r="BV97" s="173">
        <f t="shared" si="98"/>
        <v>250</v>
      </c>
      <c r="BW97" s="173">
        <f t="shared" si="94"/>
        <v>3300</v>
      </c>
      <c r="BX97" s="173">
        <f t="shared" si="95"/>
        <v>2544</v>
      </c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173">
        <f t="shared" si="99"/>
        <v>250</v>
      </c>
      <c r="DG97" s="173">
        <f t="shared" si="96"/>
        <v>3300</v>
      </c>
      <c r="DH97" s="173">
        <f t="shared" si="97"/>
        <v>2544</v>
      </c>
    </row>
    <row r="98" spans="1:112" ht="30" hidden="1" customHeight="1" x14ac:dyDescent="0.25">
      <c r="A98" s="25">
        <v>4</v>
      </c>
      <c r="B98" s="194" t="s">
        <v>48</v>
      </c>
      <c r="C98" s="7" t="s">
        <v>47</v>
      </c>
      <c r="D98" s="7" t="s">
        <v>28</v>
      </c>
      <c r="E98" s="180" t="s">
        <v>360</v>
      </c>
      <c r="F98" s="169" t="s">
        <v>271</v>
      </c>
      <c r="G98" s="25"/>
      <c r="H98" s="25"/>
      <c r="I98" s="7"/>
      <c r="J98" s="3"/>
      <c r="K98" s="9"/>
      <c r="L98" s="9"/>
      <c r="M98" s="6"/>
      <c r="N98" s="6"/>
      <c r="O98" s="6"/>
      <c r="P98" s="6"/>
      <c r="Q98" s="6">
        <v>50</v>
      </c>
      <c r="R98" s="6">
        <v>700</v>
      </c>
      <c r="S98" s="6">
        <v>448</v>
      </c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>
        <v>50</v>
      </c>
      <c r="AJ98" s="6">
        <v>700</v>
      </c>
      <c r="AK98" s="6">
        <v>448</v>
      </c>
      <c r="AL98" s="6"/>
      <c r="AM98" s="6"/>
      <c r="AN98" s="6"/>
      <c r="AO98" s="173">
        <f t="shared" si="91"/>
        <v>100</v>
      </c>
      <c r="AP98" s="173">
        <f t="shared" si="92"/>
        <v>1400</v>
      </c>
      <c r="AQ98" s="173">
        <f t="shared" si="93"/>
        <v>896</v>
      </c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>
        <v>50</v>
      </c>
      <c r="BN98" s="6">
        <v>700</v>
      </c>
      <c r="BO98" s="6">
        <v>448</v>
      </c>
      <c r="BP98" s="6"/>
      <c r="BQ98" s="6"/>
      <c r="BR98" s="6"/>
      <c r="BS98" s="6"/>
      <c r="BT98" s="6"/>
      <c r="BU98" s="6"/>
      <c r="BV98" s="173">
        <f t="shared" si="98"/>
        <v>150</v>
      </c>
      <c r="BW98" s="173">
        <f t="shared" si="94"/>
        <v>2100</v>
      </c>
      <c r="BX98" s="173">
        <f t="shared" si="95"/>
        <v>1344</v>
      </c>
      <c r="BY98" s="6">
        <v>50</v>
      </c>
      <c r="BZ98" s="6">
        <v>700</v>
      </c>
      <c r="CA98" s="6">
        <v>448</v>
      </c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>
        <v>50</v>
      </c>
      <c r="CU98" s="6">
        <v>700</v>
      </c>
      <c r="CV98" s="6">
        <v>448</v>
      </c>
      <c r="CW98" s="6"/>
      <c r="CX98" s="6"/>
      <c r="CY98" s="6"/>
      <c r="CZ98" s="6"/>
      <c r="DA98" s="6"/>
      <c r="DB98" s="6"/>
      <c r="DC98" s="6"/>
      <c r="DD98" s="6"/>
      <c r="DE98" s="6"/>
      <c r="DF98" s="173">
        <f t="shared" si="99"/>
        <v>250</v>
      </c>
      <c r="DG98" s="173">
        <f t="shared" si="96"/>
        <v>3500</v>
      </c>
      <c r="DH98" s="173">
        <f t="shared" si="97"/>
        <v>2240</v>
      </c>
    </row>
    <row r="99" spans="1:112" ht="30" hidden="1" customHeight="1" x14ac:dyDescent="0.25">
      <c r="A99" s="25">
        <v>5</v>
      </c>
      <c r="B99" s="194" t="s">
        <v>75</v>
      </c>
      <c r="C99" s="7" t="s">
        <v>454</v>
      </c>
      <c r="D99" s="7" t="s">
        <v>28</v>
      </c>
      <c r="E99" s="180" t="s">
        <v>353</v>
      </c>
      <c r="F99" s="169" t="s">
        <v>271</v>
      </c>
      <c r="G99" s="25"/>
      <c r="H99" s="7"/>
      <c r="I99" s="7"/>
      <c r="J99" s="3"/>
      <c r="K99" s="9"/>
      <c r="L99" s="9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173">
        <f t="shared" si="91"/>
        <v>0</v>
      </c>
      <c r="AP99" s="173">
        <f t="shared" si="92"/>
        <v>0</v>
      </c>
      <c r="AQ99" s="173">
        <f t="shared" si="93"/>
        <v>0</v>
      </c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173">
        <f t="shared" si="98"/>
        <v>0</v>
      </c>
      <c r="BW99" s="173">
        <f t="shared" si="94"/>
        <v>0</v>
      </c>
      <c r="BX99" s="173">
        <f t="shared" si="95"/>
        <v>0</v>
      </c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173">
        <f t="shared" si="99"/>
        <v>0</v>
      </c>
      <c r="DG99" s="173">
        <f t="shared" si="96"/>
        <v>0</v>
      </c>
      <c r="DH99" s="173">
        <f t="shared" si="97"/>
        <v>0</v>
      </c>
    </row>
    <row r="100" spans="1:112" ht="30" hidden="1" customHeight="1" x14ac:dyDescent="0.25">
      <c r="A100" s="25">
        <v>6</v>
      </c>
      <c r="B100" s="194" t="s">
        <v>79</v>
      </c>
      <c r="C100" s="7" t="s">
        <v>78</v>
      </c>
      <c r="D100" s="7" t="s">
        <v>21</v>
      </c>
      <c r="E100" s="180" t="s">
        <v>357</v>
      </c>
      <c r="F100" s="169" t="s">
        <v>271</v>
      </c>
      <c r="G100" s="25"/>
      <c r="H100" s="25"/>
      <c r="I100" s="7"/>
      <c r="J100" s="3"/>
      <c r="K100" s="9"/>
      <c r="L100" s="9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173">
        <f t="shared" si="91"/>
        <v>0</v>
      </c>
      <c r="AP100" s="173">
        <f t="shared" si="92"/>
        <v>0</v>
      </c>
      <c r="AQ100" s="173">
        <f t="shared" si="93"/>
        <v>0</v>
      </c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173">
        <f t="shared" si="98"/>
        <v>0</v>
      </c>
      <c r="BW100" s="173">
        <f t="shared" si="94"/>
        <v>0</v>
      </c>
      <c r="BX100" s="173">
        <f t="shared" si="95"/>
        <v>0</v>
      </c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>
        <v>153</v>
      </c>
      <c r="CR100" s="6">
        <v>1986</v>
      </c>
      <c r="CS100" s="6">
        <v>1608</v>
      </c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173">
        <f t="shared" si="99"/>
        <v>153</v>
      </c>
      <c r="DG100" s="173">
        <f t="shared" si="96"/>
        <v>1986</v>
      </c>
      <c r="DH100" s="173">
        <f t="shared" si="97"/>
        <v>1608</v>
      </c>
    </row>
    <row r="101" spans="1:112" ht="30" hidden="1" customHeight="1" x14ac:dyDescent="0.25">
      <c r="A101" s="25">
        <v>7</v>
      </c>
      <c r="B101" s="194" t="s">
        <v>89</v>
      </c>
      <c r="C101" s="7" t="s">
        <v>88</v>
      </c>
      <c r="D101" s="7" t="s">
        <v>41</v>
      </c>
      <c r="E101" s="180" t="s">
        <v>354</v>
      </c>
      <c r="F101" s="169" t="s">
        <v>271</v>
      </c>
      <c r="G101" s="25"/>
      <c r="H101" s="7"/>
      <c r="I101" s="7"/>
      <c r="J101" s="3"/>
      <c r="K101" s="9"/>
      <c r="L101" s="9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>
        <v>100</v>
      </c>
      <c r="AM101" s="6">
        <v>1200</v>
      </c>
      <c r="AN101" s="6">
        <v>840</v>
      </c>
      <c r="AO101" s="173">
        <f t="shared" si="91"/>
        <v>100</v>
      </c>
      <c r="AP101" s="173">
        <f t="shared" si="92"/>
        <v>1200</v>
      </c>
      <c r="AQ101" s="173">
        <f t="shared" si="93"/>
        <v>840</v>
      </c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173">
        <f t="shared" si="98"/>
        <v>100</v>
      </c>
      <c r="BW101" s="173">
        <f t="shared" si="94"/>
        <v>1200</v>
      </c>
      <c r="BX101" s="173">
        <f t="shared" si="95"/>
        <v>840</v>
      </c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173">
        <f t="shared" si="99"/>
        <v>100</v>
      </c>
      <c r="DG101" s="173">
        <f t="shared" si="96"/>
        <v>1200</v>
      </c>
      <c r="DH101" s="173">
        <f t="shared" si="97"/>
        <v>840</v>
      </c>
    </row>
    <row r="102" spans="1:112" ht="30" hidden="1" customHeight="1" x14ac:dyDescent="0.25">
      <c r="A102" s="25">
        <v>8</v>
      </c>
      <c r="B102" s="194" t="s">
        <v>144</v>
      </c>
      <c r="C102" s="7" t="s">
        <v>143</v>
      </c>
      <c r="D102" s="7" t="s">
        <v>46</v>
      </c>
      <c r="E102" s="180" t="s">
        <v>357</v>
      </c>
      <c r="F102" s="169" t="s">
        <v>271</v>
      </c>
      <c r="G102" s="25"/>
      <c r="H102" s="25"/>
      <c r="I102" s="7"/>
      <c r="J102" s="3"/>
      <c r="K102" s="9"/>
      <c r="L102" s="9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173">
        <f t="shared" si="91"/>
        <v>0</v>
      </c>
      <c r="AP102" s="173">
        <f t="shared" si="92"/>
        <v>0</v>
      </c>
      <c r="AQ102" s="173">
        <f t="shared" si="93"/>
        <v>0</v>
      </c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>
        <v>125</v>
      </c>
      <c r="BH102" s="6">
        <v>1680</v>
      </c>
      <c r="BI102" s="6">
        <v>1449.2</v>
      </c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173">
        <f t="shared" si="98"/>
        <v>125</v>
      </c>
      <c r="BW102" s="173">
        <f t="shared" si="94"/>
        <v>1680</v>
      </c>
      <c r="BX102" s="173">
        <f t="shared" si="95"/>
        <v>1449.2</v>
      </c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173">
        <f t="shared" si="99"/>
        <v>125</v>
      </c>
      <c r="DG102" s="173">
        <f t="shared" si="96"/>
        <v>1680</v>
      </c>
      <c r="DH102" s="173">
        <f t="shared" si="97"/>
        <v>1449.2</v>
      </c>
    </row>
    <row r="103" spans="1:112" ht="30" hidden="1" customHeight="1" x14ac:dyDescent="0.25">
      <c r="A103" s="25">
        <v>9</v>
      </c>
      <c r="B103" s="194" t="s">
        <v>30</v>
      </c>
      <c r="C103" s="7" t="s">
        <v>29</v>
      </c>
      <c r="D103" s="7" t="s">
        <v>46</v>
      </c>
      <c r="E103" s="180" t="s">
        <v>353</v>
      </c>
      <c r="F103" s="169" t="s">
        <v>271</v>
      </c>
      <c r="G103" s="25" t="s">
        <v>27</v>
      </c>
      <c r="H103" s="7" t="s">
        <v>26</v>
      </c>
      <c r="I103" s="7" t="s">
        <v>25</v>
      </c>
      <c r="J103" s="3" t="s">
        <v>1</v>
      </c>
      <c r="K103" s="9"/>
      <c r="L103" s="9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173">
        <f t="shared" si="91"/>
        <v>0</v>
      </c>
      <c r="AP103" s="173">
        <f t="shared" si="92"/>
        <v>0</v>
      </c>
      <c r="AQ103" s="173">
        <f t="shared" si="93"/>
        <v>0</v>
      </c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173">
        <f t="shared" si="98"/>
        <v>0</v>
      </c>
      <c r="BW103" s="173">
        <f t="shared" si="94"/>
        <v>0</v>
      </c>
      <c r="BX103" s="173">
        <f t="shared" si="95"/>
        <v>0</v>
      </c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173">
        <f t="shared" si="99"/>
        <v>0</v>
      </c>
      <c r="DG103" s="173">
        <f t="shared" si="96"/>
        <v>0</v>
      </c>
      <c r="DH103" s="173">
        <f t="shared" si="97"/>
        <v>0</v>
      </c>
    </row>
    <row r="104" spans="1:112" ht="30" hidden="1" customHeight="1" x14ac:dyDescent="0.25">
      <c r="A104" s="25">
        <v>10</v>
      </c>
      <c r="B104" s="194" t="s">
        <v>10</v>
      </c>
      <c r="C104" s="7" t="s">
        <v>9</v>
      </c>
      <c r="D104" s="7" t="s">
        <v>21</v>
      </c>
      <c r="E104" s="180" t="s">
        <v>401</v>
      </c>
      <c r="F104" s="169" t="s">
        <v>271</v>
      </c>
      <c r="G104" s="25" t="s">
        <v>40</v>
      </c>
      <c r="H104" s="25" t="s">
        <v>39</v>
      </c>
      <c r="I104" s="7" t="s">
        <v>38</v>
      </c>
      <c r="J104" s="3" t="s">
        <v>1</v>
      </c>
      <c r="K104" s="9"/>
      <c r="L104" s="9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173">
        <f t="shared" si="91"/>
        <v>0</v>
      </c>
      <c r="AP104" s="173">
        <f t="shared" si="92"/>
        <v>0</v>
      </c>
      <c r="AQ104" s="173">
        <f t="shared" si="93"/>
        <v>0</v>
      </c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>
        <v>100</v>
      </c>
      <c r="BN104" s="6">
        <v>1260</v>
      </c>
      <c r="BO104" s="6">
        <v>1108.8</v>
      </c>
      <c r="BP104" s="6"/>
      <c r="BQ104" s="6"/>
      <c r="BR104" s="6"/>
      <c r="BS104" s="6"/>
      <c r="BT104" s="6"/>
      <c r="BU104" s="6"/>
      <c r="BV104" s="173">
        <f t="shared" si="98"/>
        <v>100</v>
      </c>
      <c r="BW104" s="173">
        <f t="shared" si="94"/>
        <v>1260</v>
      </c>
      <c r="BX104" s="173">
        <f t="shared" si="95"/>
        <v>1108.8</v>
      </c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173">
        <f t="shared" si="99"/>
        <v>100</v>
      </c>
      <c r="DG104" s="173">
        <f t="shared" si="96"/>
        <v>1260</v>
      </c>
      <c r="DH104" s="173">
        <f t="shared" si="97"/>
        <v>1108.8</v>
      </c>
    </row>
    <row r="105" spans="1:112" ht="30" hidden="1" customHeight="1" x14ac:dyDescent="0.25">
      <c r="A105" s="25">
        <v>11</v>
      </c>
      <c r="B105" s="194" t="s">
        <v>306</v>
      </c>
      <c r="C105" s="7" t="s">
        <v>305</v>
      </c>
      <c r="D105" s="7" t="s">
        <v>41</v>
      </c>
      <c r="E105" s="180" t="s">
        <v>353</v>
      </c>
      <c r="F105" s="169" t="s">
        <v>271</v>
      </c>
      <c r="G105" s="25" t="s">
        <v>4</v>
      </c>
      <c r="H105" s="7" t="s">
        <v>3</v>
      </c>
      <c r="I105" s="7" t="s">
        <v>2</v>
      </c>
      <c r="J105" s="3" t="s">
        <v>1</v>
      </c>
      <c r="K105" s="9"/>
      <c r="L105" s="9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173">
        <f t="shared" si="91"/>
        <v>0</v>
      </c>
      <c r="AP105" s="173">
        <f t="shared" si="92"/>
        <v>0</v>
      </c>
      <c r="AQ105" s="173">
        <f t="shared" si="93"/>
        <v>0</v>
      </c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173">
        <f t="shared" si="98"/>
        <v>0</v>
      </c>
      <c r="BW105" s="173">
        <f t="shared" si="94"/>
        <v>0</v>
      </c>
      <c r="BX105" s="173">
        <f t="shared" si="95"/>
        <v>0</v>
      </c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>
        <v>150</v>
      </c>
      <c r="CO105" s="6">
        <v>1900</v>
      </c>
      <c r="CP105" s="6">
        <v>1648</v>
      </c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173">
        <f t="shared" si="99"/>
        <v>150</v>
      </c>
      <c r="DG105" s="173">
        <f t="shared" si="96"/>
        <v>1900</v>
      </c>
      <c r="DH105" s="173">
        <f t="shared" si="97"/>
        <v>1648</v>
      </c>
    </row>
    <row r="106" spans="1:112" ht="30" hidden="1" customHeight="1" x14ac:dyDescent="0.25">
      <c r="A106" s="25">
        <v>12</v>
      </c>
      <c r="B106" s="194" t="s">
        <v>23</v>
      </c>
      <c r="C106" s="7" t="s">
        <v>22</v>
      </c>
      <c r="D106" s="7" t="s">
        <v>41</v>
      </c>
      <c r="E106" s="180" t="s">
        <v>357</v>
      </c>
      <c r="F106" s="169" t="s">
        <v>271</v>
      </c>
      <c r="G106" s="25" t="s">
        <v>27</v>
      </c>
      <c r="H106" s="7" t="s">
        <v>26</v>
      </c>
      <c r="I106" s="7" t="s">
        <v>25</v>
      </c>
      <c r="J106" s="3" t="s">
        <v>1</v>
      </c>
      <c r="K106" s="9"/>
      <c r="L106" s="9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173">
        <f t="shared" si="91"/>
        <v>0</v>
      </c>
      <c r="AP106" s="173">
        <f t="shared" si="92"/>
        <v>0</v>
      </c>
      <c r="AQ106" s="173">
        <f t="shared" si="93"/>
        <v>0</v>
      </c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173">
        <f t="shared" si="98"/>
        <v>0</v>
      </c>
      <c r="BW106" s="173">
        <f t="shared" si="94"/>
        <v>0</v>
      </c>
      <c r="BX106" s="173">
        <f t="shared" si="95"/>
        <v>0</v>
      </c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>
        <v>200</v>
      </c>
      <c r="CO106" s="6">
        <v>2800</v>
      </c>
      <c r="CP106" s="6">
        <v>1792</v>
      </c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173">
        <f t="shared" si="99"/>
        <v>200</v>
      </c>
      <c r="DG106" s="173">
        <f t="shared" si="96"/>
        <v>2800</v>
      </c>
      <c r="DH106" s="173">
        <f t="shared" si="97"/>
        <v>1792</v>
      </c>
    </row>
    <row r="107" spans="1:112" ht="30" hidden="1" customHeight="1" x14ac:dyDescent="0.25">
      <c r="A107" s="25">
        <v>13</v>
      </c>
      <c r="B107" s="194" t="s">
        <v>309</v>
      </c>
      <c r="C107" s="7" t="s">
        <v>455</v>
      </c>
      <c r="D107" s="7" t="s">
        <v>41</v>
      </c>
      <c r="E107" s="180" t="s">
        <v>353</v>
      </c>
      <c r="F107" s="169" t="s">
        <v>271</v>
      </c>
      <c r="G107" s="25" t="s">
        <v>40</v>
      </c>
      <c r="H107" s="25" t="s">
        <v>39</v>
      </c>
      <c r="I107" s="7" t="s">
        <v>38</v>
      </c>
      <c r="J107" s="3"/>
      <c r="K107" s="9"/>
      <c r="L107" s="9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173">
        <f t="shared" si="91"/>
        <v>0</v>
      </c>
      <c r="AP107" s="173">
        <f t="shared" si="92"/>
        <v>0</v>
      </c>
      <c r="AQ107" s="173">
        <f t="shared" si="93"/>
        <v>0</v>
      </c>
      <c r="AR107" s="6">
        <v>50</v>
      </c>
      <c r="AS107" s="6">
        <v>660</v>
      </c>
      <c r="AT107" s="6">
        <v>508.8</v>
      </c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>
        <v>60</v>
      </c>
      <c r="BQ107" s="6">
        <v>760</v>
      </c>
      <c r="BR107" s="6">
        <v>659.2</v>
      </c>
      <c r="BS107" s="6"/>
      <c r="BT107" s="6"/>
      <c r="BU107" s="6"/>
      <c r="BV107" s="173">
        <f t="shared" si="98"/>
        <v>110</v>
      </c>
      <c r="BW107" s="173">
        <f t="shared" si="94"/>
        <v>1420</v>
      </c>
      <c r="BX107" s="173">
        <f t="shared" si="95"/>
        <v>1168</v>
      </c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173">
        <f t="shared" si="99"/>
        <v>110</v>
      </c>
      <c r="DG107" s="173">
        <f t="shared" si="96"/>
        <v>1420</v>
      </c>
      <c r="DH107" s="173">
        <f t="shared" si="97"/>
        <v>1168</v>
      </c>
    </row>
    <row r="108" spans="1:112" ht="30" hidden="1" customHeight="1" x14ac:dyDescent="0.25">
      <c r="A108" s="25">
        <v>14</v>
      </c>
      <c r="B108" s="194" t="s">
        <v>304</v>
      </c>
      <c r="C108" s="7" t="s">
        <v>303</v>
      </c>
      <c r="D108" s="7" t="s">
        <v>46</v>
      </c>
      <c r="E108" s="180" t="s">
        <v>353</v>
      </c>
      <c r="F108" s="169" t="s">
        <v>271</v>
      </c>
      <c r="G108" s="25"/>
      <c r="H108" s="7"/>
      <c r="I108" s="7"/>
      <c r="J108" s="3"/>
      <c r="K108" s="9"/>
      <c r="L108" s="9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173">
        <f t="shared" si="91"/>
        <v>0</v>
      </c>
      <c r="AP108" s="173">
        <f t="shared" si="92"/>
        <v>0</v>
      </c>
      <c r="AQ108" s="173">
        <f t="shared" si="93"/>
        <v>0</v>
      </c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173">
        <f t="shared" si="98"/>
        <v>0</v>
      </c>
      <c r="BW108" s="173">
        <f t="shared" si="94"/>
        <v>0</v>
      </c>
      <c r="BX108" s="173">
        <f t="shared" si="95"/>
        <v>0</v>
      </c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173">
        <f t="shared" si="99"/>
        <v>0</v>
      </c>
      <c r="DG108" s="173">
        <f t="shared" si="96"/>
        <v>0</v>
      </c>
      <c r="DH108" s="173">
        <f t="shared" si="97"/>
        <v>0</v>
      </c>
    </row>
    <row r="109" spans="1:112" ht="30" hidden="1" customHeight="1" x14ac:dyDescent="0.25">
      <c r="A109" s="25">
        <v>15</v>
      </c>
      <c r="B109" s="194" t="s">
        <v>45</v>
      </c>
      <c r="C109" s="7" t="s">
        <v>44</v>
      </c>
      <c r="D109" s="7" t="s">
        <v>24</v>
      </c>
      <c r="E109" s="180" t="s">
        <v>357</v>
      </c>
      <c r="F109" s="169" t="s">
        <v>271</v>
      </c>
      <c r="G109" s="25"/>
      <c r="H109" s="7"/>
      <c r="I109" s="7"/>
      <c r="J109" s="3"/>
      <c r="K109" s="9"/>
      <c r="L109" s="9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173">
        <f t="shared" si="91"/>
        <v>0</v>
      </c>
      <c r="AP109" s="173">
        <f t="shared" si="92"/>
        <v>0</v>
      </c>
      <c r="AQ109" s="173">
        <f t="shared" si="93"/>
        <v>0</v>
      </c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173">
        <f t="shared" si="98"/>
        <v>0</v>
      </c>
      <c r="BW109" s="173">
        <f t="shared" si="94"/>
        <v>0</v>
      </c>
      <c r="BX109" s="173">
        <f t="shared" si="95"/>
        <v>0</v>
      </c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>
        <v>200</v>
      </c>
      <c r="CU109" s="6">
        <v>2600</v>
      </c>
      <c r="CV109" s="6">
        <v>2096</v>
      </c>
      <c r="CW109" s="6"/>
      <c r="CX109" s="6"/>
      <c r="CY109" s="6"/>
      <c r="CZ109" s="6"/>
      <c r="DA109" s="6"/>
      <c r="DB109" s="6"/>
      <c r="DC109" s="6"/>
      <c r="DD109" s="6"/>
      <c r="DE109" s="6"/>
      <c r="DF109" s="173">
        <f t="shared" si="99"/>
        <v>200</v>
      </c>
      <c r="DG109" s="173">
        <f t="shared" si="96"/>
        <v>2600</v>
      </c>
      <c r="DH109" s="173">
        <f t="shared" si="97"/>
        <v>2096</v>
      </c>
    </row>
    <row r="110" spans="1:112" ht="30" hidden="1" customHeight="1" x14ac:dyDescent="0.25">
      <c r="A110" s="25">
        <v>16</v>
      </c>
      <c r="B110" s="194" t="s">
        <v>50</v>
      </c>
      <c r="C110" s="7" t="s">
        <v>49</v>
      </c>
      <c r="D110" s="7" t="s">
        <v>46</v>
      </c>
      <c r="E110" s="180" t="s">
        <v>360</v>
      </c>
      <c r="F110" s="169" t="s">
        <v>271</v>
      </c>
      <c r="G110" s="25"/>
      <c r="H110" s="7"/>
      <c r="I110" s="7"/>
      <c r="J110" s="3"/>
      <c r="K110" s="9"/>
      <c r="L110" s="9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173">
        <f t="shared" si="91"/>
        <v>0</v>
      </c>
      <c r="AP110" s="173">
        <f t="shared" si="92"/>
        <v>0</v>
      </c>
      <c r="AQ110" s="173">
        <f t="shared" si="93"/>
        <v>0</v>
      </c>
      <c r="AR110" s="6"/>
      <c r="AS110" s="6"/>
      <c r="AT110" s="6"/>
      <c r="AU110" s="6">
        <v>100</v>
      </c>
      <c r="AV110" s="6">
        <v>1400</v>
      </c>
      <c r="AW110" s="6">
        <v>896</v>
      </c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173">
        <f t="shared" si="98"/>
        <v>100</v>
      </c>
      <c r="BW110" s="173">
        <f t="shared" si="94"/>
        <v>1400</v>
      </c>
      <c r="BX110" s="173">
        <f t="shared" si="95"/>
        <v>896</v>
      </c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173">
        <f t="shared" si="99"/>
        <v>100</v>
      </c>
      <c r="DG110" s="173">
        <f t="shared" si="96"/>
        <v>1400</v>
      </c>
      <c r="DH110" s="173">
        <f t="shared" si="97"/>
        <v>896</v>
      </c>
    </row>
    <row r="111" spans="1:112" ht="30" hidden="1" customHeight="1" x14ac:dyDescent="0.25">
      <c r="A111" s="25">
        <v>17</v>
      </c>
      <c r="B111" s="194" t="s">
        <v>67</v>
      </c>
      <c r="C111" s="7" t="s">
        <v>66</v>
      </c>
      <c r="D111" s="7" t="s">
        <v>46</v>
      </c>
      <c r="E111" s="180" t="s">
        <v>352</v>
      </c>
      <c r="F111" s="169" t="s">
        <v>271</v>
      </c>
      <c r="G111" s="25"/>
      <c r="H111" s="7"/>
      <c r="I111" s="7"/>
      <c r="J111" s="3"/>
      <c r="K111" s="9"/>
      <c r="L111" s="9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173">
        <f t="shared" si="91"/>
        <v>0</v>
      </c>
      <c r="AP111" s="173">
        <f t="shared" si="92"/>
        <v>0</v>
      </c>
      <c r="AQ111" s="173">
        <f t="shared" si="93"/>
        <v>0</v>
      </c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>
        <v>70</v>
      </c>
      <c r="BT111" s="6">
        <v>1180</v>
      </c>
      <c r="BU111" s="6">
        <v>755.2</v>
      </c>
      <c r="BV111" s="173">
        <f t="shared" si="98"/>
        <v>70</v>
      </c>
      <c r="BW111" s="173">
        <f t="shared" si="94"/>
        <v>1180</v>
      </c>
      <c r="BX111" s="173">
        <f t="shared" si="95"/>
        <v>755.2</v>
      </c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173">
        <f t="shared" si="99"/>
        <v>70</v>
      </c>
      <c r="DG111" s="173">
        <f t="shared" si="96"/>
        <v>1180</v>
      </c>
      <c r="DH111" s="173">
        <f t="shared" si="97"/>
        <v>755.2</v>
      </c>
    </row>
    <row r="112" spans="1:112" ht="30" hidden="1" customHeight="1" x14ac:dyDescent="0.25">
      <c r="A112" s="25">
        <v>18</v>
      </c>
      <c r="B112" s="194" t="s">
        <v>300</v>
      </c>
      <c r="C112" s="7" t="s">
        <v>299</v>
      </c>
      <c r="D112" s="7" t="s">
        <v>8</v>
      </c>
      <c r="E112" s="180" t="s">
        <v>360</v>
      </c>
      <c r="F112" s="169" t="s">
        <v>271</v>
      </c>
      <c r="G112" s="25"/>
      <c r="H112" s="7"/>
      <c r="I112" s="7"/>
      <c r="J112" s="3"/>
      <c r="K112" s="9"/>
      <c r="L112" s="9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>
        <v>50</v>
      </c>
      <c r="AD112" s="6">
        <v>700</v>
      </c>
      <c r="AE112" s="6">
        <v>448</v>
      </c>
      <c r="AF112" s="6"/>
      <c r="AG112" s="6"/>
      <c r="AH112" s="6"/>
      <c r="AI112" s="6"/>
      <c r="AJ112" s="6"/>
      <c r="AK112" s="6"/>
      <c r="AL112" s="6"/>
      <c r="AM112" s="6"/>
      <c r="AN112" s="6"/>
      <c r="AO112" s="173">
        <f t="shared" si="91"/>
        <v>50</v>
      </c>
      <c r="AP112" s="173">
        <f t="shared" si="92"/>
        <v>700</v>
      </c>
      <c r="AQ112" s="173">
        <f t="shared" si="93"/>
        <v>448</v>
      </c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>
        <v>50</v>
      </c>
      <c r="BK112" s="6">
        <v>700</v>
      </c>
      <c r="BL112" s="6">
        <v>448</v>
      </c>
      <c r="BM112" s="6"/>
      <c r="BN112" s="6"/>
      <c r="BO112" s="6"/>
      <c r="BP112" s="6"/>
      <c r="BQ112" s="6"/>
      <c r="BR112" s="6"/>
      <c r="BS112" s="6"/>
      <c r="BT112" s="6"/>
      <c r="BU112" s="6"/>
      <c r="BV112" s="173">
        <f t="shared" si="98"/>
        <v>100</v>
      </c>
      <c r="BW112" s="173">
        <f t="shared" si="94"/>
        <v>1400</v>
      </c>
      <c r="BX112" s="173">
        <f t="shared" si="95"/>
        <v>896</v>
      </c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>
        <v>25</v>
      </c>
      <c r="CU112" s="6">
        <v>350</v>
      </c>
      <c r="CV112" s="6">
        <v>224</v>
      </c>
      <c r="CW112" s="6"/>
      <c r="CX112" s="6"/>
      <c r="CY112" s="6"/>
      <c r="CZ112" s="6"/>
      <c r="DA112" s="6"/>
      <c r="DB112" s="6"/>
      <c r="DC112" s="6"/>
      <c r="DD112" s="6"/>
      <c r="DE112" s="6"/>
      <c r="DF112" s="173">
        <f t="shared" si="99"/>
        <v>125</v>
      </c>
      <c r="DG112" s="173">
        <f t="shared" si="96"/>
        <v>1750</v>
      </c>
      <c r="DH112" s="173">
        <f t="shared" si="97"/>
        <v>1120</v>
      </c>
    </row>
    <row r="113" spans="1:112" ht="30" hidden="1" customHeight="1" x14ac:dyDescent="0.25">
      <c r="A113" s="25">
        <v>19</v>
      </c>
      <c r="B113" s="194" t="s">
        <v>302</v>
      </c>
      <c r="C113" s="7" t="s">
        <v>302</v>
      </c>
      <c r="D113" s="7" t="s">
        <v>41</v>
      </c>
      <c r="E113" s="180" t="s">
        <v>358</v>
      </c>
      <c r="F113" s="169" t="s">
        <v>271</v>
      </c>
      <c r="G113" s="25"/>
      <c r="H113" s="7"/>
      <c r="I113" s="7"/>
      <c r="J113" s="3"/>
      <c r="K113" s="9"/>
      <c r="L113" s="9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>
        <v>40</v>
      </c>
      <c r="AD113" s="6">
        <v>530</v>
      </c>
      <c r="AE113" s="6">
        <v>404</v>
      </c>
      <c r="AF113" s="6"/>
      <c r="AG113" s="6"/>
      <c r="AH113" s="6"/>
      <c r="AI113" s="6"/>
      <c r="AJ113" s="6"/>
      <c r="AK113" s="6"/>
      <c r="AL113" s="6"/>
      <c r="AM113" s="6"/>
      <c r="AN113" s="6"/>
      <c r="AO113" s="173">
        <f t="shared" si="91"/>
        <v>40</v>
      </c>
      <c r="AP113" s="173">
        <f t="shared" si="92"/>
        <v>530</v>
      </c>
      <c r="AQ113" s="173">
        <f t="shared" si="93"/>
        <v>404</v>
      </c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>
        <v>30</v>
      </c>
      <c r="BK113" s="6">
        <v>410</v>
      </c>
      <c r="BL113" s="6">
        <v>284</v>
      </c>
      <c r="BM113" s="6"/>
      <c r="BN113" s="6"/>
      <c r="BO113" s="6"/>
      <c r="BP113" s="6"/>
      <c r="BQ113" s="6"/>
      <c r="BR113" s="6"/>
      <c r="BS113" s="6"/>
      <c r="BT113" s="6"/>
      <c r="BU113" s="6"/>
      <c r="BV113" s="173">
        <f t="shared" si="98"/>
        <v>70</v>
      </c>
      <c r="BW113" s="173">
        <f t="shared" si="94"/>
        <v>940</v>
      </c>
      <c r="BX113" s="173">
        <f t="shared" si="95"/>
        <v>688</v>
      </c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>
        <v>20</v>
      </c>
      <c r="CU113" s="6">
        <v>250</v>
      </c>
      <c r="CV113" s="6">
        <v>224.8</v>
      </c>
      <c r="CW113" s="6"/>
      <c r="CX113" s="6"/>
      <c r="CY113" s="6"/>
      <c r="CZ113" s="6"/>
      <c r="DA113" s="6"/>
      <c r="DB113" s="6"/>
      <c r="DC113" s="6"/>
      <c r="DD113" s="6"/>
      <c r="DE113" s="6"/>
      <c r="DF113" s="173">
        <f t="shared" si="99"/>
        <v>90</v>
      </c>
      <c r="DG113" s="173">
        <f t="shared" si="96"/>
        <v>1190</v>
      </c>
      <c r="DH113" s="173">
        <f t="shared" si="97"/>
        <v>912.8</v>
      </c>
    </row>
    <row r="114" spans="1:112" ht="30" hidden="1" customHeight="1" x14ac:dyDescent="0.25">
      <c r="A114" s="25">
        <v>20</v>
      </c>
      <c r="B114" s="194" t="s">
        <v>294</v>
      </c>
      <c r="C114" s="7" t="s">
        <v>294</v>
      </c>
      <c r="D114" s="7" t="s">
        <v>41</v>
      </c>
      <c r="E114" s="181" t="s">
        <v>358</v>
      </c>
      <c r="F114" s="169" t="s">
        <v>271</v>
      </c>
      <c r="G114" s="25"/>
      <c r="H114" s="7"/>
      <c r="I114" s="7"/>
      <c r="J114" s="3"/>
      <c r="K114" s="9"/>
      <c r="L114" s="9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>
        <v>4</v>
      </c>
      <c r="AD114" s="6">
        <v>48</v>
      </c>
      <c r="AE114" s="6">
        <v>48</v>
      </c>
      <c r="AF114" s="6"/>
      <c r="AG114" s="6"/>
      <c r="AH114" s="6"/>
      <c r="AI114" s="6"/>
      <c r="AJ114" s="6"/>
      <c r="AK114" s="6"/>
      <c r="AL114" s="6">
        <v>10</v>
      </c>
      <c r="AM114" s="6">
        <v>120</v>
      </c>
      <c r="AN114" s="6">
        <v>120</v>
      </c>
      <c r="AO114" s="173">
        <f t="shared" si="91"/>
        <v>14</v>
      </c>
      <c r="AP114" s="173">
        <f t="shared" si="92"/>
        <v>168</v>
      </c>
      <c r="AQ114" s="173">
        <f t="shared" si="93"/>
        <v>168</v>
      </c>
      <c r="AR114" s="6"/>
      <c r="AS114" s="6"/>
      <c r="AT114" s="6"/>
      <c r="AU114" s="6">
        <v>150</v>
      </c>
      <c r="AV114" s="6">
        <v>1800</v>
      </c>
      <c r="AW114" s="6">
        <v>1800</v>
      </c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173">
        <f t="shared" si="98"/>
        <v>164</v>
      </c>
      <c r="BW114" s="173">
        <f t="shared" si="94"/>
        <v>1968</v>
      </c>
      <c r="BX114" s="173">
        <f t="shared" si="95"/>
        <v>1968</v>
      </c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>
        <v>35</v>
      </c>
      <c r="CL114" s="6">
        <v>470</v>
      </c>
      <c r="CM114" s="6">
        <v>308</v>
      </c>
      <c r="CN114" s="6"/>
      <c r="CO114" s="6"/>
      <c r="CP114" s="6"/>
      <c r="CQ114" s="6">
        <v>175</v>
      </c>
      <c r="CR114" s="6">
        <v>2450</v>
      </c>
      <c r="CS114" s="6">
        <v>1568</v>
      </c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173">
        <f t="shared" si="99"/>
        <v>374</v>
      </c>
      <c r="DG114" s="173">
        <f t="shared" si="96"/>
        <v>4888</v>
      </c>
      <c r="DH114" s="173">
        <f t="shared" si="97"/>
        <v>3844</v>
      </c>
    </row>
    <row r="115" spans="1:112" ht="30" hidden="1" customHeight="1" x14ac:dyDescent="0.25">
      <c r="A115" s="25">
        <v>21</v>
      </c>
      <c r="B115" s="194" t="s">
        <v>307</v>
      </c>
      <c r="C115" s="7" t="s">
        <v>307</v>
      </c>
      <c r="D115" s="7" t="s">
        <v>46</v>
      </c>
      <c r="E115" s="181" t="s">
        <v>353</v>
      </c>
      <c r="F115" s="169" t="s">
        <v>271</v>
      </c>
      <c r="G115" s="25"/>
      <c r="H115" s="7"/>
      <c r="I115" s="7"/>
      <c r="J115" s="3"/>
      <c r="K115" s="9"/>
      <c r="L115" s="9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173">
        <f t="shared" si="91"/>
        <v>0</v>
      </c>
      <c r="AP115" s="173">
        <f t="shared" si="92"/>
        <v>0</v>
      </c>
      <c r="AQ115" s="173">
        <f t="shared" si="93"/>
        <v>0</v>
      </c>
      <c r="AR115" s="6">
        <v>70</v>
      </c>
      <c r="AS115" s="6">
        <v>940</v>
      </c>
      <c r="AT115" s="6">
        <v>688</v>
      </c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173">
        <f t="shared" si="98"/>
        <v>70</v>
      </c>
      <c r="BW115" s="173">
        <f t="shared" si="94"/>
        <v>940</v>
      </c>
      <c r="BX115" s="173">
        <f t="shared" si="95"/>
        <v>688</v>
      </c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173">
        <f t="shared" si="99"/>
        <v>70</v>
      </c>
      <c r="DG115" s="173">
        <f t="shared" si="96"/>
        <v>940</v>
      </c>
      <c r="DH115" s="173">
        <f t="shared" si="97"/>
        <v>688</v>
      </c>
    </row>
    <row r="116" spans="1:112" ht="30" hidden="1" customHeight="1" x14ac:dyDescent="0.25">
      <c r="A116" s="25">
        <v>22</v>
      </c>
      <c r="B116" s="194" t="s">
        <v>142</v>
      </c>
      <c r="C116" s="7" t="s">
        <v>142</v>
      </c>
      <c r="D116" s="7" t="s">
        <v>28</v>
      </c>
      <c r="E116" s="180" t="s">
        <v>360</v>
      </c>
      <c r="F116" s="169" t="s">
        <v>271</v>
      </c>
      <c r="G116" s="25"/>
      <c r="H116" s="7"/>
      <c r="I116" s="7"/>
      <c r="J116" s="3"/>
      <c r="K116" s="9"/>
      <c r="L116" s="9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173">
        <f t="shared" si="91"/>
        <v>0</v>
      </c>
      <c r="AP116" s="173">
        <f t="shared" si="92"/>
        <v>0</v>
      </c>
      <c r="AQ116" s="173">
        <f t="shared" si="93"/>
        <v>0</v>
      </c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>
        <v>50</v>
      </c>
      <c r="BQ116" s="6">
        <v>700</v>
      </c>
      <c r="BR116" s="6">
        <v>448</v>
      </c>
      <c r="BS116" s="6"/>
      <c r="BT116" s="6"/>
      <c r="BU116" s="6"/>
      <c r="BV116" s="173">
        <f t="shared" si="98"/>
        <v>50</v>
      </c>
      <c r="BW116" s="173">
        <f t="shared" si="94"/>
        <v>700</v>
      </c>
      <c r="BX116" s="173">
        <f t="shared" si="95"/>
        <v>448</v>
      </c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>
        <v>30</v>
      </c>
      <c r="CU116" s="6">
        <v>420</v>
      </c>
      <c r="CV116" s="6">
        <v>268.8</v>
      </c>
      <c r="CW116" s="6"/>
      <c r="CX116" s="6"/>
      <c r="CY116" s="6"/>
      <c r="CZ116" s="6"/>
      <c r="DA116" s="6"/>
      <c r="DB116" s="6"/>
      <c r="DC116" s="6"/>
      <c r="DD116" s="6"/>
      <c r="DE116" s="6"/>
      <c r="DF116" s="173">
        <f t="shared" si="99"/>
        <v>80</v>
      </c>
      <c r="DG116" s="173">
        <f t="shared" si="96"/>
        <v>1120</v>
      </c>
      <c r="DH116" s="173">
        <f t="shared" si="97"/>
        <v>716.8</v>
      </c>
    </row>
    <row r="117" spans="1:112" ht="30" hidden="1" customHeight="1" x14ac:dyDescent="0.25">
      <c r="A117" s="25">
        <v>23</v>
      </c>
      <c r="B117" s="194" t="s">
        <v>18</v>
      </c>
      <c r="C117" s="7" t="s">
        <v>17</v>
      </c>
      <c r="D117" s="7" t="s">
        <v>21</v>
      </c>
      <c r="E117" s="180" t="s">
        <v>354</v>
      </c>
      <c r="F117" s="169" t="s">
        <v>271</v>
      </c>
      <c r="G117" s="25"/>
      <c r="H117" s="7"/>
      <c r="I117" s="7"/>
      <c r="J117" s="3"/>
      <c r="K117" s="9"/>
      <c r="L117" s="9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173">
        <f t="shared" si="91"/>
        <v>0</v>
      </c>
      <c r="AP117" s="173">
        <f t="shared" si="92"/>
        <v>0</v>
      </c>
      <c r="AQ117" s="173">
        <f t="shared" si="93"/>
        <v>0</v>
      </c>
      <c r="AR117" s="6"/>
      <c r="AS117" s="6"/>
      <c r="AT117" s="6"/>
      <c r="AU117" s="6"/>
      <c r="AV117" s="6"/>
      <c r="AW117" s="6"/>
      <c r="AX117" s="6">
        <v>150</v>
      </c>
      <c r="AY117" s="6">
        <v>2100</v>
      </c>
      <c r="AZ117" s="6">
        <v>1344</v>
      </c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173">
        <f>+AO117+AR117+AU117+AX117+BA117+BD117+BG117+BJ117+BM117+BP117+BS117</f>
        <v>150</v>
      </c>
      <c r="BW117" s="173">
        <f t="shared" si="94"/>
        <v>2100</v>
      </c>
      <c r="BX117" s="173">
        <f t="shared" si="95"/>
        <v>1344</v>
      </c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173">
        <f t="shared" si="99"/>
        <v>150</v>
      </c>
      <c r="DG117" s="173">
        <f t="shared" si="96"/>
        <v>2100</v>
      </c>
      <c r="DH117" s="173">
        <f t="shared" si="97"/>
        <v>1344</v>
      </c>
    </row>
    <row r="118" spans="1:112" ht="30" hidden="1" customHeight="1" x14ac:dyDescent="0.25">
      <c r="A118" s="376">
        <v>24</v>
      </c>
      <c r="B118" s="380" t="s">
        <v>449</v>
      </c>
      <c r="C118" s="7" t="s">
        <v>286</v>
      </c>
      <c r="D118" s="7" t="s">
        <v>450</v>
      </c>
      <c r="E118" s="7" t="s">
        <v>360</v>
      </c>
      <c r="F118" s="169" t="s">
        <v>271</v>
      </c>
      <c r="G118" s="25"/>
      <c r="H118" s="7"/>
      <c r="I118" s="7"/>
      <c r="J118" s="3"/>
      <c r="K118" s="9"/>
      <c r="L118" s="9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>
        <v>50</v>
      </c>
      <c r="AJ118" s="6">
        <v>700</v>
      </c>
      <c r="AK118" s="6">
        <v>448</v>
      </c>
      <c r="AL118" s="6"/>
      <c r="AM118" s="6"/>
      <c r="AN118" s="6"/>
      <c r="AO118" s="173">
        <f t="shared" si="91"/>
        <v>50</v>
      </c>
      <c r="AP118" s="173">
        <f t="shared" si="92"/>
        <v>700</v>
      </c>
      <c r="AQ118" s="173">
        <f t="shared" si="93"/>
        <v>448</v>
      </c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173">
        <f>+AO118+AR118+AU118+AX118+BA118+BD118+BG118+BJ118+BM118+BP118+BS118</f>
        <v>50</v>
      </c>
      <c r="BW118" s="173">
        <f t="shared" si="94"/>
        <v>700</v>
      </c>
      <c r="BX118" s="173">
        <f t="shared" si="95"/>
        <v>448</v>
      </c>
      <c r="BY118" s="6"/>
      <c r="BZ118" s="6"/>
      <c r="CA118" s="6"/>
      <c r="CB118" s="6"/>
      <c r="CC118" s="6"/>
      <c r="CD118" s="6"/>
      <c r="CE118" s="6"/>
      <c r="CF118" s="6"/>
      <c r="CG118" s="6"/>
      <c r="CH118" s="6">
        <v>50</v>
      </c>
      <c r="CI118" s="6">
        <v>700</v>
      </c>
      <c r="CJ118" s="6">
        <v>448</v>
      </c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173">
        <f t="shared" si="99"/>
        <v>100</v>
      </c>
      <c r="DG118" s="173">
        <f t="shared" si="96"/>
        <v>1400</v>
      </c>
      <c r="DH118" s="173">
        <f t="shared" si="97"/>
        <v>896</v>
      </c>
    </row>
    <row r="119" spans="1:112" ht="30" hidden="1" customHeight="1" x14ac:dyDescent="0.25">
      <c r="A119" s="522" t="s">
        <v>0</v>
      </c>
      <c r="B119" s="523"/>
      <c r="C119" s="523"/>
      <c r="D119" s="523"/>
      <c r="E119" s="523"/>
      <c r="F119" s="523"/>
      <c r="G119" s="523"/>
      <c r="H119" s="523"/>
      <c r="I119" s="523"/>
      <c r="J119" s="524"/>
      <c r="K119" s="7">
        <f>SUM(K95:K118)</f>
        <v>0</v>
      </c>
      <c r="L119" s="7">
        <f t="shared" ref="L119:AN119" si="100">SUM(L95:L118)</f>
        <v>0</v>
      </c>
      <c r="M119" s="7">
        <f t="shared" si="100"/>
        <v>0</v>
      </c>
      <c r="N119" s="7">
        <f t="shared" si="100"/>
        <v>0</v>
      </c>
      <c r="O119" s="7">
        <f t="shared" si="100"/>
        <v>0</v>
      </c>
      <c r="P119" s="7">
        <f t="shared" si="100"/>
        <v>0</v>
      </c>
      <c r="Q119" s="7">
        <f t="shared" si="100"/>
        <v>50</v>
      </c>
      <c r="R119" s="7">
        <f t="shared" si="100"/>
        <v>700</v>
      </c>
      <c r="S119" s="7">
        <f t="shared" si="100"/>
        <v>448</v>
      </c>
      <c r="T119" s="7">
        <f t="shared" si="100"/>
        <v>0</v>
      </c>
      <c r="U119" s="7">
        <f t="shared" si="100"/>
        <v>0</v>
      </c>
      <c r="V119" s="7">
        <f t="shared" si="100"/>
        <v>0</v>
      </c>
      <c r="W119" s="7">
        <f t="shared" si="100"/>
        <v>220</v>
      </c>
      <c r="X119" s="7">
        <f t="shared" si="100"/>
        <v>2940</v>
      </c>
      <c r="Y119" s="7">
        <f t="shared" si="100"/>
        <v>2184</v>
      </c>
      <c r="Z119" s="7">
        <f t="shared" si="100"/>
        <v>0</v>
      </c>
      <c r="AA119" s="7">
        <f t="shared" si="100"/>
        <v>0</v>
      </c>
      <c r="AB119" s="7">
        <f t="shared" si="100"/>
        <v>0</v>
      </c>
      <c r="AC119" s="7">
        <f t="shared" si="100"/>
        <v>194</v>
      </c>
      <c r="AD119" s="7">
        <f t="shared" si="100"/>
        <v>2578</v>
      </c>
      <c r="AE119" s="7">
        <f t="shared" si="100"/>
        <v>1948</v>
      </c>
      <c r="AF119" s="7">
        <f t="shared" si="100"/>
        <v>0</v>
      </c>
      <c r="AG119" s="7">
        <f t="shared" si="100"/>
        <v>0</v>
      </c>
      <c r="AH119" s="7">
        <f t="shared" si="100"/>
        <v>0</v>
      </c>
      <c r="AI119" s="7">
        <f t="shared" si="100"/>
        <v>100</v>
      </c>
      <c r="AJ119" s="7">
        <f t="shared" si="100"/>
        <v>1400</v>
      </c>
      <c r="AK119" s="7">
        <f t="shared" si="100"/>
        <v>896</v>
      </c>
      <c r="AL119" s="7">
        <f t="shared" si="100"/>
        <v>110</v>
      </c>
      <c r="AM119" s="7">
        <f t="shared" si="100"/>
        <v>1320</v>
      </c>
      <c r="AN119" s="7">
        <f t="shared" si="100"/>
        <v>960</v>
      </c>
      <c r="AO119" s="210">
        <f>SUM(AO95:AO118)</f>
        <v>674</v>
      </c>
      <c r="AP119" s="210">
        <f t="shared" ref="AP119:AQ119" si="101">SUM(AP95:AP118)</f>
        <v>8938</v>
      </c>
      <c r="AQ119" s="210">
        <f t="shared" si="101"/>
        <v>6436</v>
      </c>
      <c r="AR119" s="7">
        <f>SUM(AR95:AR118)</f>
        <v>120</v>
      </c>
      <c r="AS119" s="7">
        <f t="shared" ref="AS119:BU119" si="102">SUM(AS95:AS118)</f>
        <v>1600</v>
      </c>
      <c r="AT119" s="7">
        <f t="shared" si="102"/>
        <v>1196.8</v>
      </c>
      <c r="AU119" s="7">
        <f t="shared" si="102"/>
        <v>250</v>
      </c>
      <c r="AV119" s="7">
        <f t="shared" si="102"/>
        <v>3200</v>
      </c>
      <c r="AW119" s="7">
        <f t="shared" si="102"/>
        <v>2696</v>
      </c>
      <c r="AX119" s="7">
        <f t="shared" si="102"/>
        <v>150</v>
      </c>
      <c r="AY119" s="7">
        <f t="shared" si="102"/>
        <v>2100</v>
      </c>
      <c r="AZ119" s="7">
        <f t="shared" si="102"/>
        <v>1344</v>
      </c>
      <c r="BA119" s="7">
        <f t="shared" si="102"/>
        <v>300</v>
      </c>
      <c r="BB119" s="7">
        <f t="shared" si="102"/>
        <v>4000</v>
      </c>
      <c r="BC119" s="7">
        <f t="shared" si="102"/>
        <v>2992</v>
      </c>
      <c r="BD119" s="7">
        <f t="shared" si="102"/>
        <v>0</v>
      </c>
      <c r="BE119" s="7">
        <f t="shared" si="102"/>
        <v>0</v>
      </c>
      <c r="BF119" s="7">
        <f t="shared" si="102"/>
        <v>0</v>
      </c>
      <c r="BG119" s="7">
        <f t="shared" si="102"/>
        <v>125</v>
      </c>
      <c r="BH119" s="7">
        <f t="shared" si="102"/>
        <v>1680</v>
      </c>
      <c r="BI119" s="7">
        <f t="shared" si="102"/>
        <v>1449.2</v>
      </c>
      <c r="BJ119" s="7">
        <f t="shared" si="102"/>
        <v>80</v>
      </c>
      <c r="BK119" s="7">
        <f t="shared" si="102"/>
        <v>1110</v>
      </c>
      <c r="BL119" s="7">
        <f t="shared" si="102"/>
        <v>732</v>
      </c>
      <c r="BM119" s="7">
        <f t="shared" si="102"/>
        <v>200</v>
      </c>
      <c r="BN119" s="7">
        <f t="shared" si="102"/>
        <v>2660</v>
      </c>
      <c r="BO119" s="7">
        <f t="shared" si="102"/>
        <v>2004.8</v>
      </c>
      <c r="BP119" s="7">
        <f t="shared" si="102"/>
        <v>110</v>
      </c>
      <c r="BQ119" s="7">
        <f t="shared" si="102"/>
        <v>1460</v>
      </c>
      <c r="BR119" s="7">
        <f t="shared" si="102"/>
        <v>1107.2</v>
      </c>
      <c r="BS119" s="7">
        <f t="shared" si="102"/>
        <v>70</v>
      </c>
      <c r="BT119" s="7">
        <f t="shared" si="102"/>
        <v>1180</v>
      </c>
      <c r="BU119" s="7">
        <f t="shared" si="102"/>
        <v>755.2</v>
      </c>
      <c r="BV119" s="210">
        <f>SUM(BV95:BV118)</f>
        <v>2079</v>
      </c>
      <c r="BW119" s="210">
        <f t="shared" ref="BW119:BX119" si="103">SUM(BW95:BW118)</f>
        <v>27928</v>
      </c>
      <c r="BX119" s="210">
        <f t="shared" si="103"/>
        <v>20713.2</v>
      </c>
      <c r="BY119" s="7">
        <f>SUM(BY95:BY118)</f>
        <v>50</v>
      </c>
      <c r="BZ119" s="7">
        <f t="shared" ref="BZ119:DE119" si="104">SUM(BZ95:BZ118)</f>
        <v>700</v>
      </c>
      <c r="CA119" s="7">
        <f t="shared" si="104"/>
        <v>448</v>
      </c>
      <c r="CB119" s="7">
        <f t="shared" si="104"/>
        <v>0</v>
      </c>
      <c r="CC119" s="7">
        <f t="shared" si="104"/>
        <v>0</v>
      </c>
      <c r="CD119" s="7">
        <f t="shared" si="104"/>
        <v>0</v>
      </c>
      <c r="CE119" s="7">
        <f t="shared" si="104"/>
        <v>0</v>
      </c>
      <c r="CF119" s="7">
        <f t="shared" si="104"/>
        <v>0</v>
      </c>
      <c r="CG119" s="7">
        <f t="shared" si="104"/>
        <v>0</v>
      </c>
      <c r="CH119" s="7">
        <f t="shared" si="104"/>
        <v>50</v>
      </c>
      <c r="CI119" s="7">
        <f t="shared" si="104"/>
        <v>700</v>
      </c>
      <c r="CJ119" s="7">
        <f t="shared" si="104"/>
        <v>448</v>
      </c>
      <c r="CK119" s="7">
        <f t="shared" si="104"/>
        <v>35</v>
      </c>
      <c r="CL119" s="7">
        <f t="shared" si="104"/>
        <v>470</v>
      </c>
      <c r="CM119" s="7">
        <f t="shared" si="104"/>
        <v>308</v>
      </c>
      <c r="CN119" s="7">
        <f t="shared" si="104"/>
        <v>350</v>
      </c>
      <c r="CO119" s="7">
        <f t="shared" si="104"/>
        <v>4700</v>
      </c>
      <c r="CP119" s="7">
        <f t="shared" si="104"/>
        <v>3440</v>
      </c>
      <c r="CQ119" s="7">
        <f t="shared" si="104"/>
        <v>328</v>
      </c>
      <c r="CR119" s="7">
        <f t="shared" si="104"/>
        <v>4436</v>
      </c>
      <c r="CS119" s="7">
        <f t="shared" si="104"/>
        <v>3176</v>
      </c>
      <c r="CT119" s="7">
        <f t="shared" si="104"/>
        <v>325</v>
      </c>
      <c r="CU119" s="7">
        <f t="shared" si="104"/>
        <v>4320</v>
      </c>
      <c r="CV119" s="7">
        <f t="shared" si="104"/>
        <v>3261.6000000000004</v>
      </c>
      <c r="CW119" s="7">
        <f t="shared" si="104"/>
        <v>0</v>
      </c>
      <c r="CX119" s="7">
        <f t="shared" si="104"/>
        <v>0</v>
      </c>
      <c r="CY119" s="7">
        <f t="shared" si="104"/>
        <v>0</v>
      </c>
      <c r="CZ119" s="7">
        <f t="shared" si="104"/>
        <v>0</v>
      </c>
      <c r="DA119" s="7">
        <f t="shared" si="104"/>
        <v>0</v>
      </c>
      <c r="DB119" s="7">
        <f t="shared" si="104"/>
        <v>0</v>
      </c>
      <c r="DC119" s="7">
        <f t="shared" si="104"/>
        <v>0</v>
      </c>
      <c r="DD119" s="7">
        <f t="shared" si="104"/>
        <v>0</v>
      </c>
      <c r="DE119" s="7">
        <f t="shared" si="104"/>
        <v>0</v>
      </c>
      <c r="DF119" s="210">
        <f>SUM(DF95:DF118)</f>
        <v>3217</v>
      </c>
      <c r="DG119" s="210">
        <f>SUM(DG95:DG118)</f>
        <v>43254</v>
      </c>
      <c r="DH119" s="210">
        <f>SUM(DH95:DH118)</f>
        <v>31794.799999999999</v>
      </c>
    </row>
    <row r="120" spans="1:112" ht="30" hidden="1" customHeight="1" x14ac:dyDescent="0.25"/>
    <row r="121" spans="1:112" ht="30" hidden="1" customHeight="1" x14ac:dyDescent="0.25">
      <c r="A121" s="539" t="s">
        <v>118</v>
      </c>
      <c r="B121" s="192" t="s">
        <v>117</v>
      </c>
      <c r="C121" s="23"/>
      <c r="D121" s="540" t="s">
        <v>116</v>
      </c>
      <c r="E121" s="541"/>
      <c r="F121" s="542" t="s">
        <v>115</v>
      </c>
      <c r="G121" s="543" t="s">
        <v>114</v>
      </c>
      <c r="H121" s="544"/>
      <c r="I121" s="531" t="s">
        <v>113</v>
      </c>
      <c r="J121" s="545" t="s">
        <v>112</v>
      </c>
      <c r="K121" s="520" t="s">
        <v>465</v>
      </c>
      <c r="L121" s="520"/>
      <c r="M121" s="520"/>
      <c r="N121" s="520" t="s">
        <v>466</v>
      </c>
      <c r="O121" s="520"/>
      <c r="P121" s="520"/>
      <c r="Q121" s="520" t="s">
        <v>467</v>
      </c>
      <c r="R121" s="520"/>
      <c r="S121" s="520"/>
      <c r="T121" s="520" t="s">
        <v>468</v>
      </c>
      <c r="U121" s="520"/>
      <c r="V121" s="520"/>
      <c r="W121" s="520" t="s">
        <v>469</v>
      </c>
      <c r="X121" s="520"/>
      <c r="Y121" s="520"/>
      <c r="Z121" s="520" t="s">
        <v>470</v>
      </c>
      <c r="AA121" s="520"/>
      <c r="AB121" s="520"/>
      <c r="AC121" s="520" t="s">
        <v>471</v>
      </c>
      <c r="AD121" s="520"/>
      <c r="AE121" s="520"/>
      <c r="AF121" s="520" t="s">
        <v>472</v>
      </c>
      <c r="AG121" s="520"/>
      <c r="AH121" s="520"/>
      <c r="AI121" s="520" t="s">
        <v>473</v>
      </c>
      <c r="AJ121" s="520"/>
      <c r="AK121" s="520"/>
      <c r="AL121" s="520" t="s">
        <v>474</v>
      </c>
      <c r="AM121" s="520"/>
      <c r="AN121" s="520"/>
      <c r="AO121" s="521" t="s">
        <v>350</v>
      </c>
      <c r="AP121" s="521"/>
      <c r="AQ121" s="521"/>
      <c r="AR121" s="520" t="s">
        <v>475</v>
      </c>
      <c r="AS121" s="520"/>
      <c r="AT121" s="520"/>
      <c r="AU121" s="520" t="s">
        <v>476</v>
      </c>
      <c r="AV121" s="520"/>
      <c r="AW121" s="520"/>
      <c r="AX121" s="520" t="s">
        <v>477</v>
      </c>
      <c r="AY121" s="520"/>
      <c r="AZ121" s="520"/>
      <c r="BA121" s="520" t="s">
        <v>478</v>
      </c>
      <c r="BB121" s="520"/>
      <c r="BC121" s="520"/>
      <c r="BD121" s="520" t="s">
        <v>479</v>
      </c>
      <c r="BE121" s="520"/>
      <c r="BF121" s="520"/>
      <c r="BG121" s="520" t="s">
        <v>480</v>
      </c>
      <c r="BH121" s="520"/>
      <c r="BI121" s="520"/>
      <c r="BJ121" s="520" t="s">
        <v>481</v>
      </c>
      <c r="BK121" s="520"/>
      <c r="BL121" s="520"/>
      <c r="BM121" s="520" t="s">
        <v>482</v>
      </c>
      <c r="BN121" s="520"/>
      <c r="BO121" s="520"/>
      <c r="BP121" s="520" t="s">
        <v>483</v>
      </c>
      <c r="BQ121" s="520"/>
      <c r="BR121" s="520"/>
      <c r="BS121" s="520" t="s">
        <v>484</v>
      </c>
      <c r="BT121" s="520"/>
      <c r="BU121" s="520"/>
      <c r="BV121" s="521" t="s">
        <v>351</v>
      </c>
      <c r="BW121" s="521"/>
      <c r="BX121" s="521"/>
      <c r="BY121" s="520" t="s">
        <v>485</v>
      </c>
      <c r="BZ121" s="520"/>
      <c r="CA121" s="520"/>
      <c r="CB121" s="520" t="s">
        <v>486</v>
      </c>
      <c r="CC121" s="520"/>
      <c r="CD121" s="520"/>
      <c r="CE121" s="520" t="s">
        <v>487</v>
      </c>
      <c r="CF121" s="520"/>
      <c r="CG121" s="520"/>
      <c r="CH121" s="520" t="s">
        <v>488</v>
      </c>
      <c r="CI121" s="520"/>
      <c r="CJ121" s="520"/>
      <c r="CK121" s="520" t="s">
        <v>489</v>
      </c>
      <c r="CL121" s="520"/>
      <c r="CM121" s="520"/>
      <c r="CN121" s="520" t="s">
        <v>490</v>
      </c>
      <c r="CO121" s="520"/>
      <c r="CP121" s="520"/>
      <c r="CQ121" s="520" t="s">
        <v>491</v>
      </c>
      <c r="CR121" s="520"/>
      <c r="CS121" s="520"/>
      <c r="CT121" s="520" t="s">
        <v>492</v>
      </c>
      <c r="CU121" s="520"/>
      <c r="CV121" s="520"/>
      <c r="CW121" s="520" t="s">
        <v>493</v>
      </c>
      <c r="CX121" s="520"/>
      <c r="CY121" s="520"/>
      <c r="CZ121" s="520" t="s">
        <v>494</v>
      </c>
      <c r="DA121" s="520"/>
      <c r="DB121" s="520"/>
      <c r="DC121" s="520" t="s">
        <v>495</v>
      </c>
      <c r="DD121" s="520"/>
      <c r="DE121" s="520"/>
      <c r="DF121" s="520" t="s">
        <v>111</v>
      </c>
      <c r="DG121" s="520"/>
      <c r="DH121" s="520"/>
    </row>
    <row r="122" spans="1:112" ht="30" hidden="1" customHeight="1" x14ac:dyDescent="0.25">
      <c r="A122" s="526"/>
      <c r="B122" s="193"/>
      <c r="C122" s="24"/>
      <c r="D122" s="529"/>
      <c r="E122" s="530"/>
      <c r="F122" s="536"/>
      <c r="G122" s="534"/>
      <c r="H122" s="535"/>
      <c r="I122" s="531"/>
      <c r="J122" s="538"/>
      <c r="K122" s="10" t="s">
        <v>109</v>
      </c>
      <c r="L122" s="11" t="s">
        <v>108</v>
      </c>
      <c r="M122" s="11" t="s">
        <v>348</v>
      </c>
      <c r="N122" s="10" t="s">
        <v>109</v>
      </c>
      <c r="O122" s="11" t="s">
        <v>108</v>
      </c>
      <c r="P122" s="11" t="s">
        <v>348</v>
      </c>
      <c r="Q122" s="10" t="s">
        <v>109</v>
      </c>
      <c r="R122" s="11" t="s">
        <v>108</v>
      </c>
      <c r="S122" s="11" t="s">
        <v>348</v>
      </c>
      <c r="T122" s="10" t="s">
        <v>109</v>
      </c>
      <c r="U122" s="11" t="s">
        <v>108</v>
      </c>
      <c r="V122" s="11" t="s">
        <v>348</v>
      </c>
      <c r="W122" s="10" t="s">
        <v>109</v>
      </c>
      <c r="X122" s="11" t="s">
        <v>108</v>
      </c>
      <c r="Y122" s="11" t="s">
        <v>348</v>
      </c>
      <c r="Z122" s="10" t="s">
        <v>109</v>
      </c>
      <c r="AA122" s="11" t="s">
        <v>108</v>
      </c>
      <c r="AB122" s="11" t="s">
        <v>348</v>
      </c>
      <c r="AC122" s="10" t="s">
        <v>109</v>
      </c>
      <c r="AD122" s="11" t="s">
        <v>108</v>
      </c>
      <c r="AE122" s="11" t="s">
        <v>348</v>
      </c>
      <c r="AF122" s="10" t="s">
        <v>109</v>
      </c>
      <c r="AG122" s="11" t="s">
        <v>108</v>
      </c>
      <c r="AH122" s="11" t="s">
        <v>348</v>
      </c>
      <c r="AI122" s="10" t="s">
        <v>109</v>
      </c>
      <c r="AJ122" s="11" t="s">
        <v>108</v>
      </c>
      <c r="AK122" s="11" t="s">
        <v>348</v>
      </c>
      <c r="AL122" s="10" t="s">
        <v>109</v>
      </c>
      <c r="AM122" s="11" t="s">
        <v>108</v>
      </c>
      <c r="AN122" s="11" t="s">
        <v>348</v>
      </c>
      <c r="AO122" s="10" t="s">
        <v>109</v>
      </c>
      <c r="AP122" s="11" t="s">
        <v>108</v>
      </c>
      <c r="AQ122" s="11" t="s">
        <v>348</v>
      </c>
      <c r="AR122" s="10" t="s">
        <v>109</v>
      </c>
      <c r="AS122" s="11" t="s">
        <v>108</v>
      </c>
      <c r="AT122" s="11" t="s">
        <v>348</v>
      </c>
      <c r="AU122" s="10" t="s">
        <v>109</v>
      </c>
      <c r="AV122" s="11" t="s">
        <v>108</v>
      </c>
      <c r="AW122" s="11" t="s">
        <v>348</v>
      </c>
      <c r="AX122" s="10" t="s">
        <v>109</v>
      </c>
      <c r="AY122" s="11" t="s">
        <v>108</v>
      </c>
      <c r="AZ122" s="11" t="s">
        <v>348</v>
      </c>
      <c r="BA122" s="10" t="s">
        <v>109</v>
      </c>
      <c r="BB122" s="11" t="s">
        <v>108</v>
      </c>
      <c r="BC122" s="11" t="s">
        <v>348</v>
      </c>
      <c r="BD122" s="10" t="s">
        <v>109</v>
      </c>
      <c r="BE122" s="11" t="s">
        <v>108</v>
      </c>
      <c r="BF122" s="11" t="s">
        <v>348</v>
      </c>
      <c r="BG122" s="10" t="s">
        <v>109</v>
      </c>
      <c r="BH122" s="11" t="s">
        <v>108</v>
      </c>
      <c r="BI122" s="11" t="s">
        <v>348</v>
      </c>
      <c r="BJ122" s="10" t="s">
        <v>109</v>
      </c>
      <c r="BK122" s="11" t="s">
        <v>108</v>
      </c>
      <c r="BL122" s="11" t="s">
        <v>348</v>
      </c>
      <c r="BM122" s="10" t="s">
        <v>109</v>
      </c>
      <c r="BN122" s="11" t="s">
        <v>108</v>
      </c>
      <c r="BO122" s="11" t="s">
        <v>348</v>
      </c>
      <c r="BP122" s="10" t="s">
        <v>109</v>
      </c>
      <c r="BQ122" s="11" t="s">
        <v>108</v>
      </c>
      <c r="BR122" s="11" t="s">
        <v>348</v>
      </c>
      <c r="BS122" s="10" t="s">
        <v>109</v>
      </c>
      <c r="BT122" s="11" t="s">
        <v>108</v>
      </c>
      <c r="BU122" s="11" t="s">
        <v>348</v>
      </c>
      <c r="BV122" s="10" t="s">
        <v>109</v>
      </c>
      <c r="BW122" s="11" t="s">
        <v>108</v>
      </c>
      <c r="BX122" s="11" t="s">
        <v>348</v>
      </c>
      <c r="BY122" s="10" t="s">
        <v>109</v>
      </c>
      <c r="BZ122" s="11" t="s">
        <v>108</v>
      </c>
      <c r="CA122" s="11" t="s">
        <v>348</v>
      </c>
      <c r="CB122" s="10" t="s">
        <v>109</v>
      </c>
      <c r="CC122" s="11" t="s">
        <v>108</v>
      </c>
      <c r="CD122" s="11" t="s">
        <v>348</v>
      </c>
      <c r="CE122" s="10" t="s">
        <v>109</v>
      </c>
      <c r="CF122" s="11" t="s">
        <v>108</v>
      </c>
      <c r="CG122" s="11" t="s">
        <v>348</v>
      </c>
      <c r="CH122" s="10" t="s">
        <v>109</v>
      </c>
      <c r="CI122" s="11" t="s">
        <v>108</v>
      </c>
      <c r="CJ122" s="11" t="s">
        <v>348</v>
      </c>
      <c r="CK122" s="10" t="s">
        <v>109</v>
      </c>
      <c r="CL122" s="11" t="s">
        <v>108</v>
      </c>
      <c r="CM122" s="11" t="s">
        <v>348</v>
      </c>
      <c r="CN122" s="10" t="s">
        <v>109</v>
      </c>
      <c r="CO122" s="11" t="s">
        <v>108</v>
      </c>
      <c r="CP122" s="11" t="s">
        <v>348</v>
      </c>
      <c r="CQ122" s="10" t="s">
        <v>109</v>
      </c>
      <c r="CR122" s="11" t="s">
        <v>108</v>
      </c>
      <c r="CS122" s="11" t="s">
        <v>348</v>
      </c>
      <c r="CT122" s="10" t="s">
        <v>109</v>
      </c>
      <c r="CU122" s="11" t="s">
        <v>108</v>
      </c>
      <c r="CV122" s="11" t="s">
        <v>348</v>
      </c>
      <c r="CW122" s="10" t="s">
        <v>109</v>
      </c>
      <c r="CX122" s="11" t="s">
        <v>108</v>
      </c>
      <c r="CY122" s="11" t="s">
        <v>348</v>
      </c>
      <c r="CZ122" s="10" t="s">
        <v>109</v>
      </c>
      <c r="DA122" s="11" t="s">
        <v>108</v>
      </c>
      <c r="DB122" s="11" t="s">
        <v>348</v>
      </c>
      <c r="DC122" s="10" t="s">
        <v>109</v>
      </c>
      <c r="DD122" s="11" t="s">
        <v>108</v>
      </c>
      <c r="DE122" s="11" t="s">
        <v>348</v>
      </c>
      <c r="DF122" s="10" t="s">
        <v>109</v>
      </c>
      <c r="DG122" s="11" t="s">
        <v>108</v>
      </c>
      <c r="DH122" s="11" t="s">
        <v>348</v>
      </c>
    </row>
    <row r="123" spans="1:112" ht="30" hidden="1" customHeight="1" x14ac:dyDescent="0.25">
      <c r="A123" s="25">
        <v>1</v>
      </c>
      <c r="B123" s="190" t="s">
        <v>277</v>
      </c>
      <c r="C123" s="6" t="s">
        <v>456</v>
      </c>
      <c r="D123" s="6" t="s">
        <v>41</v>
      </c>
      <c r="E123" s="180" t="s">
        <v>353</v>
      </c>
      <c r="F123" s="5" t="s">
        <v>164</v>
      </c>
      <c r="G123" s="25"/>
      <c r="H123" s="7"/>
      <c r="I123" s="7"/>
      <c r="J123" s="3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173">
        <f t="shared" ref="AO123:AO136" si="105">+K123+N123+Q123+T123+W123+Z123+AC123+AF123+AI123+AL123</f>
        <v>0</v>
      </c>
      <c r="AP123" s="173">
        <f t="shared" ref="AP123:AP136" si="106">+L123+O123+R123+U123+X123+AA123+AD123+AG123+AJ123+AM123</f>
        <v>0</v>
      </c>
      <c r="AQ123" s="173">
        <f t="shared" ref="AQ123:AQ136" si="107">+M123+P123+S123+V123+Y123+AB123+AE123+AH123+AK123+AN123</f>
        <v>0</v>
      </c>
      <c r="AR123" s="6"/>
      <c r="AS123" s="6"/>
      <c r="AT123" s="6"/>
      <c r="AU123" s="6"/>
      <c r="AV123" s="6"/>
      <c r="AW123" s="6"/>
      <c r="AX123" s="6">
        <v>200</v>
      </c>
      <c r="AY123" s="6">
        <v>2700</v>
      </c>
      <c r="AZ123" s="6">
        <v>1944</v>
      </c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173">
        <f>+AO123+AR123+AU123+AX123+BA123+BD123+BG123+BJ123+BM123+BP123+BS123</f>
        <v>200</v>
      </c>
      <c r="BW123" s="173">
        <f t="shared" ref="BW123:BW136" si="108">+AP123+AS123+AV123+AY123+BB123+BE123+BH123+BK123+BN123+BQ123+BT123</f>
        <v>2700</v>
      </c>
      <c r="BX123" s="173">
        <f t="shared" ref="BX123:BX136" si="109">+AQ123+AT123+AW123+AZ123+BC123+BF123+BI123+BL123+BO123+BR123+BU123</f>
        <v>1944</v>
      </c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173">
        <f t="shared" ref="DF123:DF136" si="110">BV123+CB123+CE123+CH123+CK123+CN123+CQ123+CT123+CW123+CZ123+DC123+BY123</f>
        <v>200</v>
      </c>
      <c r="DG123" s="173">
        <f t="shared" ref="DG123:DG136" si="111">BW123+CC123+CF123+CI123+CL123+CO123+CR123+CU123+CX123+DA123+DD123+BZ123</f>
        <v>2700</v>
      </c>
      <c r="DH123" s="173">
        <f t="shared" ref="DH123:DH136" si="112">BX123+CD123+CG123+CJ123+CM123+CP123+CS123+CV123+CY123+DB123+DE123+CA123</f>
        <v>1944</v>
      </c>
    </row>
    <row r="124" spans="1:112" ht="30" hidden="1" customHeight="1" x14ac:dyDescent="0.25">
      <c r="A124" s="25">
        <v>2</v>
      </c>
      <c r="B124" s="190" t="s">
        <v>105</v>
      </c>
      <c r="C124" s="6" t="s">
        <v>104</v>
      </c>
      <c r="D124" s="6" t="s">
        <v>41</v>
      </c>
      <c r="E124" s="180" t="s">
        <v>400</v>
      </c>
      <c r="F124" s="5" t="s">
        <v>164</v>
      </c>
      <c r="G124" s="25"/>
      <c r="H124" s="7"/>
      <c r="I124" s="7"/>
      <c r="J124" s="3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173">
        <f t="shared" si="105"/>
        <v>0</v>
      </c>
      <c r="AP124" s="173">
        <f t="shared" si="106"/>
        <v>0</v>
      </c>
      <c r="AQ124" s="173">
        <f t="shared" si="107"/>
        <v>0</v>
      </c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173">
        <f t="shared" ref="BV124:BV136" si="113">+AO124+AR124+AU124+AX124+BA124+BD124+BG124+BJ124+BM124+BP124+BS124</f>
        <v>0</v>
      </c>
      <c r="BW124" s="173">
        <f t="shared" si="108"/>
        <v>0</v>
      </c>
      <c r="BX124" s="173">
        <f t="shared" si="109"/>
        <v>0</v>
      </c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173">
        <f t="shared" si="110"/>
        <v>0</v>
      </c>
      <c r="DG124" s="173">
        <f t="shared" si="111"/>
        <v>0</v>
      </c>
      <c r="DH124" s="173">
        <f t="shared" si="112"/>
        <v>0</v>
      </c>
    </row>
    <row r="125" spans="1:112" ht="30" hidden="1" customHeight="1" x14ac:dyDescent="0.25">
      <c r="A125" s="25">
        <v>3</v>
      </c>
      <c r="B125" s="190" t="s">
        <v>32</v>
      </c>
      <c r="C125" s="6" t="s">
        <v>31</v>
      </c>
      <c r="D125" s="6" t="s">
        <v>41</v>
      </c>
      <c r="E125" s="180" t="s">
        <v>357</v>
      </c>
      <c r="F125" s="5" t="s">
        <v>164</v>
      </c>
      <c r="G125" s="25"/>
      <c r="H125" s="25"/>
      <c r="I125" s="7"/>
      <c r="J125" s="3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173">
        <f t="shared" si="105"/>
        <v>0</v>
      </c>
      <c r="AP125" s="173">
        <f t="shared" si="106"/>
        <v>0</v>
      </c>
      <c r="AQ125" s="173">
        <f t="shared" si="107"/>
        <v>0</v>
      </c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>
        <v>50</v>
      </c>
      <c r="BH125" s="6">
        <v>600</v>
      </c>
      <c r="BI125" s="6">
        <v>600</v>
      </c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173">
        <f t="shared" si="113"/>
        <v>50</v>
      </c>
      <c r="BW125" s="173">
        <f t="shared" si="108"/>
        <v>600</v>
      </c>
      <c r="BX125" s="173">
        <f t="shared" si="109"/>
        <v>600</v>
      </c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173">
        <f t="shared" si="110"/>
        <v>50</v>
      </c>
      <c r="DG125" s="173">
        <f t="shared" si="111"/>
        <v>600</v>
      </c>
      <c r="DH125" s="173">
        <f t="shared" si="112"/>
        <v>600</v>
      </c>
    </row>
    <row r="126" spans="1:112" ht="30" hidden="1" customHeight="1" x14ac:dyDescent="0.25">
      <c r="A126" s="25">
        <v>4</v>
      </c>
      <c r="B126" s="190" t="s">
        <v>281</v>
      </c>
      <c r="C126" s="6" t="s">
        <v>280</v>
      </c>
      <c r="D126" s="6" t="s">
        <v>24</v>
      </c>
      <c r="E126" s="180" t="s">
        <v>358</v>
      </c>
      <c r="F126" s="5" t="s">
        <v>164</v>
      </c>
      <c r="G126" s="25"/>
      <c r="H126" s="25"/>
      <c r="I126" s="7"/>
      <c r="J126" s="3"/>
      <c r="K126" s="9"/>
      <c r="L126" s="9"/>
      <c r="M126" s="6"/>
      <c r="N126" s="9"/>
      <c r="O126" s="9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>
        <v>5</v>
      </c>
      <c r="AM126" s="6">
        <v>60</v>
      </c>
      <c r="AN126" s="6">
        <v>60</v>
      </c>
      <c r="AO126" s="173">
        <f t="shared" si="105"/>
        <v>5</v>
      </c>
      <c r="AP126" s="173">
        <f t="shared" si="106"/>
        <v>60</v>
      </c>
      <c r="AQ126" s="173">
        <f t="shared" si="107"/>
        <v>60</v>
      </c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173">
        <f t="shared" si="113"/>
        <v>5</v>
      </c>
      <c r="BW126" s="173">
        <f t="shared" si="108"/>
        <v>60</v>
      </c>
      <c r="BX126" s="173">
        <f t="shared" si="109"/>
        <v>60</v>
      </c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173">
        <f t="shared" si="110"/>
        <v>5</v>
      </c>
      <c r="DG126" s="173">
        <f t="shared" si="111"/>
        <v>60</v>
      </c>
      <c r="DH126" s="173">
        <f t="shared" si="112"/>
        <v>60</v>
      </c>
    </row>
    <row r="127" spans="1:112" ht="30" hidden="1" customHeight="1" x14ac:dyDescent="0.25">
      <c r="A127" s="25">
        <v>5</v>
      </c>
      <c r="B127" s="190" t="s">
        <v>98</v>
      </c>
      <c r="C127" s="6" t="s">
        <v>97</v>
      </c>
      <c r="D127" s="6" t="s">
        <v>41</v>
      </c>
      <c r="E127" s="180" t="s">
        <v>401</v>
      </c>
      <c r="F127" s="5" t="s">
        <v>164</v>
      </c>
      <c r="G127" s="25"/>
      <c r="H127" s="7"/>
      <c r="I127" s="7"/>
      <c r="J127" s="3"/>
      <c r="K127" s="9"/>
      <c r="L127" s="9"/>
      <c r="M127" s="6"/>
      <c r="N127" s="9"/>
      <c r="O127" s="9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173">
        <f t="shared" si="105"/>
        <v>0</v>
      </c>
      <c r="AP127" s="173">
        <f t="shared" si="106"/>
        <v>0</v>
      </c>
      <c r="AQ127" s="173">
        <f t="shared" si="107"/>
        <v>0</v>
      </c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>
        <v>100</v>
      </c>
      <c r="BN127" s="6">
        <v>1200</v>
      </c>
      <c r="BO127" s="6">
        <v>1200</v>
      </c>
      <c r="BP127" s="6"/>
      <c r="BQ127" s="6"/>
      <c r="BR127" s="6"/>
      <c r="BS127" s="6"/>
      <c r="BT127" s="6"/>
      <c r="BU127" s="6"/>
      <c r="BV127" s="173">
        <f t="shared" si="113"/>
        <v>100</v>
      </c>
      <c r="BW127" s="173">
        <f t="shared" si="108"/>
        <v>1200</v>
      </c>
      <c r="BX127" s="173">
        <f t="shared" si="109"/>
        <v>1200</v>
      </c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173">
        <f t="shared" si="110"/>
        <v>100</v>
      </c>
      <c r="DG127" s="173">
        <f t="shared" si="111"/>
        <v>1200</v>
      </c>
      <c r="DH127" s="173">
        <f t="shared" si="112"/>
        <v>1200</v>
      </c>
    </row>
    <row r="128" spans="1:112" ht="30" hidden="1" customHeight="1" x14ac:dyDescent="0.25">
      <c r="A128" s="25">
        <v>6</v>
      </c>
      <c r="B128" s="190" t="s">
        <v>293</v>
      </c>
      <c r="C128" s="6" t="s">
        <v>292</v>
      </c>
      <c r="D128" s="6" t="s">
        <v>41</v>
      </c>
      <c r="E128" s="180" t="s">
        <v>358</v>
      </c>
      <c r="F128" s="5" t="s">
        <v>164</v>
      </c>
      <c r="G128" s="25"/>
      <c r="H128" s="25"/>
      <c r="I128" s="7"/>
      <c r="J128" s="3"/>
      <c r="K128" s="9"/>
      <c r="L128" s="9"/>
      <c r="M128" s="6"/>
      <c r="N128" s="9"/>
      <c r="O128" s="9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173">
        <f t="shared" si="105"/>
        <v>0</v>
      </c>
      <c r="AP128" s="173">
        <f t="shared" si="106"/>
        <v>0</v>
      </c>
      <c r="AQ128" s="173">
        <f t="shared" si="107"/>
        <v>0</v>
      </c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173">
        <f t="shared" si="113"/>
        <v>0</v>
      </c>
      <c r="BW128" s="173">
        <f t="shared" si="108"/>
        <v>0</v>
      </c>
      <c r="BX128" s="173">
        <f t="shared" si="109"/>
        <v>0</v>
      </c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173">
        <f t="shared" si="110"/>
        <v>0</v>
      </c>
      <c r="DG128" s="173">
        <f t="shared" si="111"/>
        <v>0</v>
      </c>
      <c r="DH128" s="173">
        <f t="shared" si="112"/>
        <v>0</v>
      </c>
    </row>
    <row r="129" spans="1:112" ht="30" hidden="1" customHeight="1" x14ac:dyDescent="0.25">
      <c r="A129" s="25">
        <v>7</v>
      </c>
      <c r="B129" s="190" t="s">
        <v>16</v>
      </c>
      <c r="C129" s="6" t="s">
        <v>457</v>
      </c>
      <c r="D129" s="6" t="s">
        <v>24</v>
      </c>
      <c r="E129" s="180" t="s">
        <v>318</v>
      </c>
      <c r="F129" s="5" t="s">
        <v>164</v>
      </c>
      <c r="G129" s="25"/>
      <c r="H129" s="7"/>
      <c r="I129" s="7"/>
      <c r="J129" s="3"/>
      <c r="K129" s="9"/>
      <c r="L129" s="9"/>
      <c r="M129" s="6"/>
      <c r="N129" s="9"/>
      <c r="O129" s="9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173">
        <f t="shared" si="105"/>
        <v>0</v>
      </c>
      <c r="AP129" s="173">
        <f t="shared" si="106"/>
        <v>0</v>
      </c>
      <c r="AQ129" s="173">
        <f t="shared" si="107"/>
        <v>0</v>
      </c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173">
        <f t="shared" si="113"/>
        <v>0</v>
      </c>
      <c r="BW129" s="173">
        <f t="shared" si="108"/>
        <v>0</v>
      </c>
      <c r="BX129" s="173">
        <f t="shared" si="109"/>
        <v>0</v>
      </c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173">
        <f t="shared" si="110"/>
        <v>0</v>
      </c>
      <c r="DG129" s="173">
        <f t="shared" si="111"/>
        <v>0</v>
      </c>
      <c r="DH129" s="173">
        <f t="shared" si="112"/>
        <v>0</v>
      </c>
    </row>
    <row r="130" spans="1:112" ht="30" hidden="1" customHeight="1" x14ac:dyDescent="0.25">
      <c r="A130" s="25">
        <v>8</v>
      </c>
      <c r="B130" s="190" t="s">
        <v>94</v>
      </c>
      <c r="C130" s="6" t="s">
        <v>93</v>
      </c>
      <c r="D130" s="6" t="s">
        <v>46</v>
      </c>
      <c r="E130" s="180" t="s">
        <v>359</v>
      </c>
      <c r="F130" s="5" t="s">
        <v>164</v>
      </c>
      <c r="G130" s="25"/>
      <c r="H130" s="25"/>
      <c r="I130" s="7"/>
      <c r="J130" s="3"/>
      <c r="K130" s="9"/>
      <c r="L130" s="9"/>
      <c r="M130" s="6"/>
      <c r="N130" s="9"/>
      <c r="O130" s="9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>
        <v>100</v>
      </c>
      <c r="AM130" s="6">
        <v>1400</v>
      </c>
      <c r="AN130" s="6">
        <v>896</v>
      </c>
      <c r="AO130" s="173">
        <f t="shared" si="105"/>
        <v>100</v>
      </c>
      <c r="AP130" s="173">
        <f t="shared" si="106"/>
        <v>1400</v>
      </c>
      <c r="AQ130" s="173">
        <f t="shared" si="107"/>
        <v>896</v>
      </c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173">
        <f t="shared" si="113"/>
        <v>100</v>
      </c>
      <c r="BW130" s="173">
        <f t="shared" si="108"/>
        <v>1400</v>
      </c>
      <c r="BX130" s="173">
        <f t="shared" si="109"/>
        <v>896</v>
      </c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173">
        <f t="shared" si="110"/>
        <v>100</v>
      </c>
      <c r="DG130" s="173">
        <f t="shared" si="111"/>
        <v>1400</v>
      </c>
      <c r="DH130" s="173">
        <f t="shared" si="112"/>
        <v>896</v>
      </c>
    </row>
    <row r="131" spans="1:112" ht="30" hidden="1" customHeight="1" x14ac:dyDescent="0.25">
      <c r="A131" s="25">
        <v>9</v>
      </c>
      <c r="B131" s="190" t="s">
        <v>100</v>
      </c>
      <c r="C131" s="6" t="s">
        <v>99</v>
      </c>
      <c r="D131" s="6" t="s">
        <v>41</v>
      </c>
      <c r="E131" s="180" t="s">
        <v>359</v>
      </c>
      <c r="F131" s="5" t="s">
        <v>164</v>
      </c>
      <c r="G131" s="25" t="s">
        <v>27</v>
      </c>
      <c r="H131" s="7" t="s">
        <v>26</v>
      </c>
      <c r="I131" s="7" t="s">
        <v>25</v>
      </c>
      <c r="J131" s="3" t="s">
        <v>1</v>
      </c>
      <c r="K131" s="9"/>
      <c r="L131" s="9"/>
      <c r="M131" s="6"/>
      <c r="N131" s="9"/>
      <c r="O131" s="9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173">
        <f t="shared" si="105"/>
        <v>0</v>
      </c>
      <c r="AP131" s="173">
        <f t="shared" si="106"/>
        <v>0</v>
      </c>
      <c r="AQ131" s="173">
        <f t="shared" si="107"/>
        <v>0</v>
      </c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173">
        <f t="shared" si="113"/>
        <v>0</v>
      </c>
      <c r="BW131" s="173">
        <f t="shared" si="108"/>
        <v>0</v>
      </c>
      <c r="BX131" s="173">
        <f t="shared" si="109"/>
        <v>0</v>
      </c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173">
        <f t="shared" si="110"/>
        <v>0</v>
      </c>
      <c r="DG131" s="173">
        <f t="shared" si="111"/>
        <v>0</v>
      </c>
      <c r="DH131" s="173">
        <f t="shared" si="112"/>
        <v>0</v>
      </c>
    </row>
    <row r="132" spans="1:112" ht="30" hidden="1" customHeight="1" x14ac:dyDescent="0.25">
      <c r="A132" s="25">
        <v>10</v>
      </c>
      <c r="B132" s="190" t="s">
        <v>166</v>
      </c>
      <c r="C132" s="6" t="s">
        <v>458</v>
      </c>
      <c r="D132" s="6" t="s">
        <v>21</v>
      </c>
      <c r="E132" s="180" t="s">
        <v>360</v>
      </c>
      <c r="F132" s="5" t="s">
        <v>164</v>
      </c>
      <c r="G132" s="25" t="s">
        <v>40</v>
      </c>
      <c r="H132" s="25" t="s">
        <v>39</v>
      </c>
      <c r="I132" s="7" t="s">
        <v>38</v>
      </c>
      <c r="J132" s="3" t="s">
        <v>1</v>
      </c>
      <c r="K132" s="9"/>
      <c r="L132" s="9"/>
      <c r="M132" s="6"/>
      <c r="N132" s="9"/>
      <c r="O132" s="9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173">
        <f t="shared" si="105"/>
        <v>0</v>
      </c>
      <c r="AP132" s="173">
        <f t="shared" si="106"/>
        <v>0</v>
      </c>
      <c r="AQ132" s="173">
        <f t="shared" si="107"/>
        <v>0</v>
      </c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>
        <v>25</v>
      </c>
      <c r="BK132" s="6">
        <v>350</v>
      </c>
      <c r="BL132" s="6">
        <v>224</v>
      </c>
      <c r="BM132" s="6"/>
      <c r="BN132" s="6"/>
      <c r="BO132" s="6"/>
      <c r="BP132" s="6"/>
      <c r="BQ132" s="6"/>
      <c r="BR132" s="6"/>
      <c r="BS132" s="6"/>
      <c r="BT132" s="6"/>
      <c r="BU132" s="6"/>
      <c r="BV132" s="173">
        <f t="shared" si="113"/>
        <v>25</v>
      </c>
      <c r="BW132" s="173">
        <f t="shared" si="108"/>
        <v>350</v>
      </c>
      <c r="BX132" s="173">
        <f t="shared" si="109"/>
        <v>224</v>
      </c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  <c r="CL132" s="6"/>
      <c r="CM132" s="6"/>
      <c r="CN132" s="6"/>
      <c r="CO132" s="6"/>
      <c r="CP132" s="6"/>
      <c r="CQ132" s="6"/>
      <c r="CR132" s="6"/>
      <c r="CS132" s="6"/>
      <c r="CT132" s="6">
        <v>25</v>
      </c>
      <c r="CU132" s="6">
        <v>350</v>
      </c>
      <c r="CV132" s="6">
        <v>224</v>
      </c>
      <c r="CW132" s="6"/>
      <c r="CX132" s="6"/>
      <c r="CY132" s="6"/>
      <c r="CZ132" s="6"/>
      <c r="DA132" s="6"/>
      <c r="DB132" s="6"/>
      <c r="DC132" s="6"/>
      <c r="DD132" s="6"/>
      <c r="DE132" s="6"/>
      <c r="DF132" s="173">
        <f t="shared" si="110"/>
        <v>50</v>
      </c>
      <c r="DG132" s="173">
        <f t="shared" si="111"/>
        <v>700</v>
      </c>
      <c r="DH132" s="173">
        <f t="shared" si="112"/>
        <v>448</v>
      </c>
    </row>
    <row r="133" spans="1:112" ht="30" hidden="1" customHeight="1" x14ac:dyDescent="0.25">
      <c r="A133" s="25">
        <v>11</v>
      </c>
      <c r="B133" s="190" t="s">
        <v>283</v>
      </c>
      <c r="C133" s="6" t="s">
        <v>459</v>
      </c>
      <c r="D133" s="6" t="s">
        <v>41</v>
      </c>
      <c r="E133" s="180" t="s">
        <v>358</v>
      </c>
      <c r="F133" s="5" t="s">
        <v>164</v>
      </c>
      <c r="G133" s="25" t="s">
        <v>4</v>
      </c>
      <c r="H133" s="7" t="s">
        <v>3</v>
      </c>
      <c r="I133" s="7" t="s">
        <v>2</v>
      </c>
      <c r="J133" s="3" t="s">
        <v>1</v>
      </c>
      <c r="K133" s="9"/>
      <c r="L133" s="9"/>
      <c r="M133" s="6"/>
      <c r="N133" s="9">
        <v>10</v>
      </c>
      <c r="O133" s="9">
        <v>140</v>
      </c>
      <c r="P133" s="6">
        <v>89.600000000000009</v>
      </c>
      <c r="Q133" s="6">
        <v>1</v>
      </c>
      <c r="R133" s="6">
        <v>12</v>
      </c>
      <c r="S133" s="6">
        <v>12</v>
      </c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173">
        <f t="shared" si="105"/>
        <v>11</v>
      </c>
      <c r="AP133" s="173">
        <f t="shared" si="106"/>
        <v>152</v>
      </c>
      <c r="AQ133" s="173">
        <f t="shared" si="107"/>
        <v>101.60000000000001</v>
      </c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>
        <v>10</v>
      </c>
      <c r="BQ133" s="6">
        <v>140</v>
      </c>
      <c r="BR133" s="6">
        <v>89.600000000000009</v>
      </c>
      <c r="BS133" s="6"/>
      <c r="BT133" s="6"/>
      <c r="BU133" s="6"/>
      <c r="BV133" s="173">
        <f t="shared" si="113"/>
        <v>21</v>
      </c>
      <c r="BW133" s="173">
        <f t="shared" si="108"/>
        <v>292</v>
      </c>
      <c r="BX133" s="173">
        <f t="shared" si="109"/>
        <v>191.20000000000002</v>
      </c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6"/>
      <c r="CL133" s="6"/>
      <c r="CM133" s="6"/>
      <c r="CN133" s="6"/>
      <c r="CO133" s="6"/>
      <c r="CP133" s="6"/>
      <c r="CQ133" s="6">
        <v>10</v>
      </c>
      <c r="CR133" s="6">
        <v>140</v>
      </c>
      <c r="CS133" s="6">
        <v>89.600000000000009</v>
      </c>
      <c r="CT133" s="6"/>
      <c r="CU133" s="6"/>
      <c r="CV133" s="6"/>
      <c r="CW133" s="6"/>
      <c r="CX133" s="6"/>
      <c r="CY133" s="6"/>
      <c r="CZ133" s="6"/>
      <c r="DA133" s="6"/>
      <c r="DB133" s="6"/>
      <c r="DC133" s="6"/>
      <c r="DD133" s="6"/>
      <c r="DE133" s="6"/>
      <c r="DF133" s="173">
        <f t="shared" si="110"/>
        <v>31</v>
      </c>
      <c r="DG133" s="173">
        <f t="shared" si="111"/>
        <v>432</v>
      </c>
      <c r="DH133" s="173">
        <f t="shared" si="112"/>
        <v>280.8</v>
      </c>
    </row>
    <row r="134" spans="1:112" ht="30" hidden="1" customHeight="1" x14ac:dyDescent="0.25">
      <c r="A134" s="25">
        <v>12</v>
      </c>
      <c r="B134" s="190" t="s">
        <v>146</v>
      </c>
      <c r="C134" s="6" t="s">
        <v>145</v>
      </c>
      <c r="D134" s="6" t="s">
        <v>41</v>
      </c>
      <c r="E134" s="180" t="s">
        <v>360</v>
      </c>
      <c r="F134" s="5" t="s">
        <v>164</v>
      </c>
      <c r="G134" s="25" t="s">
        <v>27</v>
      </c>
      <c r="H134" s="7" t="s">
        <v>26</v>
      </c>
      <c r="I134" s="7" t="s">
        <v>25</v>
      </c>
      <c r="J134" s="3" t="s">
        <v>1</v>
      </c>
      <c r="K134" s="9"/>
      <c r="L134" s="9"/>
      <c r="M134" s="6"/>
      <c r="N134" s="9"/>
      <c r="O134" s="9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>
        <v>30</v>
      </c>
      <c r="AJ134" s="6">
        <v>420</v>
      </c>
      <c r="AK134" s="6">
        <v>268.8</v>
      </c>
      <c r="AL134" s="6"/>
      <c r="AM134" s="6"/>
      <c r="AN134" s="6"/>
      <c r="AO134" s="173">
        <f t="shared" si="105"/>
        <v>30</v>
      </c>
      <c r="AP134" s="173">
        <f t="shared" si="106"/>
        <v>420</v>
      </c>
      <c r="AQ134" s="173">
        <f t="shared" si="107"/>
        <v>268.8</v>
      </c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173">
        <f t="shared" si="113"/>
        <v>30</v>
      </c>
      <c r="BW134" s="173">
        <f t="shared" si="108"/>
        <v>420</v>
      </c>
      <c r="BX134" s="173">
        <f t="shared" si="109"/>
        <v>268.8</v>
      </c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>
        <v>2</v>
      </c>
      <c r="CL134" s="6">
        <v>24</v>
      </c>
      <c r="CM134" s="6">
        <v>24</v>
      </c>
      <c r="CN134" s="6"/>
      <c r="CO134" s="6"/>
      <c r="CP134" s="6"/>
      <c r="CQ134" s="6"/>
      <c r="CR134" s="6"/>
      <c r="CS134" s="6"/>
      <c r="CT134" s="6">
        <v>30</v>
      </c>
      <c r="CU134" s="6">
        <v>420</v>
      </c>
      <c r="CV134" s="6">
        <v>268.8</v>
      </c>
      <c r="CW134" s="6"/>
      <c r="CX134" s="6"/>
      <c r="CY134" s="6"/>
      <c r="CZ134" s="6"/>
      <c r="DA134" s="6"/>
      <c r="DB134" s="6"/>
      <c r="DC134" s="6"/>
      <c r="DD134" s="6"/>
      <c r="DE134" s="6"/>
      <c r="DF134" s="173">
        <f t="shared" si="110"/>
        <v>62</v>
      </c>
      <c r="DG134" s="173">
        <f t="shared" si="111"/>
        <v>864</v>
      </c>
      <c r="DH134" s="173">
        <f t="shared" si="112"/>
        <v>561.6</v>
      </c>
    </row>
    <row r="135" spans="1:112" ht="30" hidden="1" customHeight="1" x14ac:dyDescent="0.25">
      <c r="A135" s="25">
        <v>13</v>
      </c>
      <c r="B135" s="190" t="s">
        <v>43</v>
      </c>
      <c r="C135" s="6" t="s">
        <v>460</v>
      </c>
      <c r="D135" s="6" t="s">
        <v>46</v>
      </c>
      <c r="E135" s="180" t="s">
        <v>358</v>
      </c>
      <c r="F135" s="5" t="s">
        <v>164</v>
      </c>
      <c r="G135" s="25" t="s">
        <v>40</v>
      </c>
      <c r="H135" s="25" t="s">
        <v>39</v>
      </c>
      <c r="I135" s="7" t="s">
        <v>38</v>
      </c>
      <c r="J135" s="3"/>
      <c r="K135" s="9"/>
      <c r="L135" s="9"/>
      <c r="M135" s="6"/>
      <c r="N135" s="9"/>
      <c r="O135" s="9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173">
        <f t="shared" si="105"/>
        <v>0</v>
      </c>
      <c r="AP135" s="173">
        <f t="shared" si="106"/>
        <v>0</v>
      </c>
      <c r="AQ135" s="173">
        <f t="shared" si="107"/>
        <v>0</v>
      </c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173">
        <f t="shared" si="113"/>
        <v>0</v>
      </c>
      <c r="BW135" s="173">
        <f t="shared" si="108"/>
        <v>0</v>
      </c>
      <c r="BX135" s="173">
        <f t="shared" si="109"/>
        <v>0</v>
      </c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6"/>
      <c r="CM135" s="6"/>
      <c r="CN135" s="6"/>
      <c r="CO135" s="6"/>
      <c r="CP135" s="6"/>
      <c r="CQ135" s="6"/>
      <c r="CR135" s="6"/>
      <c r="CS135" s="6"/>
      <c r="CT135" s="6"/>
      <c r="CU135" s="6"/>
      <c r="CV135" s="6"/>
      <c r="CW135" s="6"/>
      <c r="CX135" s="6"/>
      <c r="CY135" s="6"/>
      <c r="CZ135" s="6"/>
      <c r="DA135" s="6"/>
      <c r="DB135" s="6"/>
      <c r="DC135" s="6"/>
      <c r="DD135" s="6"/>
      <c r="DE135" s="6"/>
      <c r="DF135" s="173">
        <f t="shared" si="110"/>
        <v>0</v>
      </c>
      <c r="DG135" s="173">
        <f t="shared" si="111"/>
        <v>0</v>
      </c>
      <c r="DH135" s="173">
        <f t="shared" si="112"/>
        <v>0</v>
      </c>
    </row>
    <row r="136" spans="1:112" ht="30" hidden="1" customHeight="1" x14ac:dyDescent="0.25">
      <c r="A136" s="25">
        <v>14</v>
      </c>
      <c r="B136" s="190" t="s">
        <v>140</v>
      </c>
      <c r="C136" s="6" t="s">
        <v>461</v>
      </c>
      <c r="D136" s="6" t="s">
        <v>41</v>
      </c>
      <c r="E136" s="180" t="s">
        <v>358</v>
      </c>
      <c r="F136" s="5" t="s">
        <v>164</v>
      </c>
      <c r="G136" s="25"/>
      <c r="H136" s="7"/>
      <c r="I136" s="7"/>
      <c r="J136" s="3"/>
      <c r="K136" s="9"/>
      <c r="L136" s="9"/>
      <c r="M136" s="6"/>
      <c r="N136" s="9"/>
      <c r="O136" s="9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173">
        <f t="shared" si="105"/>
        <v>0</v>
      </c>
      <c r="AP136" s="173">
        <f t="shared" si="106"/>
        <v>0</v>
      </c>
      <c r="AQ136" s="173">
        <f t="shared" si="107"/>
        <v>0</v>
      </c>
      <c r="AR136" s="6">
        <v>10</v>
      </c>
      <c r="AS136" s="6">
        <v>140</v>
      </c>
      <c r="AT136" s="6">
        <v>89.600000000000009</v>
      </c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>
        <v>10</v>
      </c>
      <c r="BT136" s="6">
        <v>140</v>
      </c>
      <c r="BU136" s="6">
        <v>89.600000000000009</v>
      </c>
      <c r="BV136" s="173">
        <f t="shared" si="113"/>
        <v>20</v>
      </c>
      <c r="BW136" s="173">
        <f t="shared" si="108"/>
        <v>280</v>
      </c>
      <c r="BX136" s="173">
        <f t="shared" si="109"/>
        <v>179.20000000000002</v>
      </c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  <c r="CJ136" s="6"/>
      <c r="CK136" s="6"/>
      <c r="CL136" s="6"/>
      <c r="CM136" s="6"/>
      <c r="CN136" s="6"/>
      <c r="CO136" s="6"/>
      <c r="CP136" s="6"/>
      <c r="CQ136" s="6"/>
      <c r="CR136" s="6"/>
      <c r="CS136" s="6"/>
      <c r="CT136" s="6"/>
      <c r="CU136" s="6"/>
      <c r="CV136" s="6"/>
      <c r="CW136" s="6"/>
      <c r="CX136" s="6"/>
      <c r="CY136" s="6"/>
      <c r="CZ136" s="6"/>
      <c r="DA136" s="6"/>
      <c r="DB136" s="6"/>
      <c r="DC136" s="6"/>
      <c r="DD136" s="6"/>
      <c r="DE136" s="6"/>
      <c r="DF136" s="173">
        <f t="shared" si="110"/>
        <v>20</v>
      </c>
      <c r="DG136" s="173">
        <f t="shared" si="111"/>
        <v>280</v>
      </c>
      <c r="DH136" s="173">
        <f t="shared" si="112"/>
        <v>179.20000000000002</v>
      </c>
    </row>
    <row r="137" spans="1:112" ht="30" hidden="1" customHeight="1" x14ac:dyDescent="0.25">
      <c r="A137" s="4"/>
      <c r="B137" s="522" t="s">
        <v>0</v>
      </c>
      <c r="C137" s="523"/>
      <c r="D137" s="523"/>
      <c r="E137" s="523"/>
      <c r="F137" s="523"/>
      <c r="G137" s="523"/>
      <c r="H137" s="523"/>
      <c r="I137" s="524"/>
      <c r="J137" s="4"/>
      <c r="K137" s="2">
        <f t="shared" ref="K137:AP137" si="114">SUM(K123:K136)</f>
        <v>0</v>
      </c>
      <c r="L137" s="2">
        <f t="shared" si="114"/>
        <v>0</v>
      </c>
      <c r="M137" s="2">
        <f t="shared" si="114"/>
        <v>0</v>
      </c>
      <c r="N137" s="2">
        <f t="shared" si="114"/>
        <v>10</v>
      </c>
      <c r="O137" s="2">
        <f t="shared" si="114"/>
        <v>140</v>
      </c>
      <c r="P137" s="2">
        <f t="shared" si="114"/>
        <v>89.600000000000009</v>
      </c>
      <c r="Q137" s="2">
        <f t="shared" si="114"/>
        <v>1</v>
      </c>
      <c r="R137" s="2">
        <f t="shared" si="114"/>
        <v>12</v>
      </c>
      <c r="S137" s="2">
        <f t="shared" si="114"/>
        <v>12</v>
      </c>
      <c r="T137" s="2">
        <f t="shared" si="114"/>
        <v>0</v>
      </c>
      <c r="U137" s="2">
        <f t="shared" si="114"/>
        <v>0</v>
      </c>
      <c r="V137" s="2">
        <f t="shared" si="114"/>
        <v>0</v>
      </c>
      <c r="W137" s="2">
        <f t="shared" si="114"/>
        <v>0</v>
      </c>
      <c r="X137" s="2">
        <f t="shared" si="114"/>
        <v>0</v>
      </c>
      <c r="Y137" s="2">
        <f t="shared" si="114"/>
        <v>0</v>
      </c>
      <c r="Z137" s="2">
        <f t="shared" si="114"/>
        <v>0</v>
      </c>
      <c r="AA137" s="2">
        <f t="shared" si="114"/>
        <v>0</v>
      </c>
      <c r="AB137" s="2">
        <f t="shared" si="114"/>
        <v>0</v>
      </c>
      <c r="AC137" s="2">
        <f t="shared" si="114"/>
        <v>0</v>
      </c>
      <c r="AD137" s="2">
        <f t="shared" si="114"/>
        <v>0</v>
      </c>
      <c r="AE137" s="2">
        <f t="shared" si="114"/>
        <v>0</v>
      </c>
      <c r="AF137" s="2">
        <f t="shared" si="114"/>
        <v>0</v>
      </c>
      <c r="AG137" s="2">
        <f t="shared" si="114"/>
        <v>0</v>
      </c>
      <c r="AH137" s="2">
        <f t="shared" si="114"/>
        <v>0</v>
      </c>
      <c r="AI137" s="2">
        <f t="shared" si="114"/>
        <v>30</v>
      </c>
      <c r="AJ137" s="2">
        <f t="shared" si="114"/>
        <v>420</v>
      </c>
      <c r="AK137" s="2">
        <f t="shared" si="114"/>
        <v>268.8</v>
      </c>
      <c r="AL137" s="2">
        <f t="shared" si="114"/>
        <v>105</v>
      </c>
      <c r="AM137" s="2">
        <f t="shared" si="114"/>
        <v>1460</v>
      </c>
      <c r="AN137" s="2">
        <f t="shared" si="114"/>
        <v>956</v>
      </c>
      <c r="AO137" s="198">
        <f t="shared" si="114"/>
        <v>146</v>
      </c>
      <c r="AP137" s="198">
        <f t="shared" si="114"/>
        <v>2032</v>
      </c>
      <c r="AQ137" s="198">
        <f t="shared" ref="AQ137:DB137" si="115">SUM(AQ123:AQ136)</f>
        <v>1326.3999999999999</v>
      </c>
      <c r="AR137" s="2">
        <f t="shared" si="115"/>
        <v>10</v>
      </c>
      <c r="AS137" s="2">
        <f t="shared" si="115"/>
        <v>140</v>
      </c>
      <c r="AT137" s="2">
        <f t="shared" si="115"/>
        <v>89.600000000000009</v>
      </c>
      <c r="AU137" s="2">
        <f t="shared" si="115"/>
        <v>0</v>
      </c>
      <c r="AV137" s="2">
        <f t="shared" si="115"/>
        <v>0</v>
      </c>
      <c r="AW137" s="2">
        <f t="shared" si="115"/>
        <v>0</v>
      </c>
      <c r="AX137" s="2">
        <f t="shared" si="115"/>
        <v>200</v>
      </c>
      <c r="AY137" s="2">
        <f t="shared" si="115"/>
        <v>2700</v>
      </c>
      <c r="AZ137" s="2">
        <f t="shared" si="115"/>
        <v>1944</v>
      </c>
      <c r="BA137" s="2">
        <f t="shared" si="115"/>
        <v>0</v>
      </c>
      <c r="BB137" s="2">
        <f t="shared" si="115"/>
        <v>0</v>
      </c>
      <c r="BC137" s="2">
        <f t="shared" si="115"/>
        <v>0</v>
      </c>
      <c r="BD137" s="2">
        <f t="shared" si="115"/>
        <v>0</v>
      </c>
      <c r="BE137" s="2">
        <f t="shared" si="115"/>
        <v>0</v>
      </c>
      <c r="BF137" s="2">
        <f t="shared" si="115"/>
        <v>0</v>
      </c>
      <c r="BG137" s="2">
        <f t="shared" si="115"/>
        <v>50</v>
      </c>
      <c r="BH137" s="2">
        <f t="shared" si="115"/>
        <v>600</v>
      </c>
      <c r="BI137" s="2">
        <f t="shared" si="115"/>
        <v>600</v>
      </c>
      <c r="BJ137" s="2">
        <f t="shared" si="115"/>
        <v>25</v>
      </c>
      <c r="BK137" s="2">
        <f t="shared" si="115"/>
        <v>350</v>
      </c>
      <c r="BL137" s="2">
        <f t="shared" si="115"/>
        <v>224</v>
      </c>
      <c r="BM137" s="2">
        <f t="shared" si="115"/>
        <v>100</v>
      </c>
      <c r="BN137" s="2">
        <f t="shared" si="115"/>
        <v>1200</v>
      </c>
      <c r="BO137" s="2">
        <f t="shared" si="115"/>
        <v>1200</v>
      </c>
      <c r="BP137" s="2">
        <f t="shared" si="115"/>
        <v>10</v>
      </c>
      <c r="BQ137" s="2">
        <f t="shared" si="115"/>
        <v>140</v>
      </c>
      <c r="BR137" s="2">
        <f t="shared" si="115"/>
        <v>89.600000000000009</v>
      </c>
      <c r="BS137" s="2">
        <f t="shared" si="115"/>
        <v>10</v>
      </c>
      <c r="BT137" s="2">
        <f t="shared" si="115"/>
        <v>140</v>
      </c>
      <c r="BU137" s="2">
        <f t="shared" si="115"/>
        <v>89.600000000000009</v>
      </c>
      <c r="BV137" s="198">
        <f t="shared" si="115"/>
        <v>551</v>
      </c>
      <c r="BW137" s="198">
        <f t="shared" si="115"/>
        <v>7302</v>
      </c>
      <c r="BX137" s="198">
        <f t="shared" si="115"/>
        <v>5563.2</v>
      </c>
      <c r="BY137" s="2">
        <f t="shared" si="115"/>
        <v>0</v>
      </c>
      <c r="BZ137" s="2">
        <f t="shared" si="115"/>
        <v>0</v>
      </c>
      <c r="CA137" s="2">
        <f t="shared" si="115"/>
        <v>0</v>
      </c>
      <c r="CB137" s="2">
        <f t="shared" si="115"/>
        <v>0</v>
      </c>
      <c r="CC137" s="2">
        <f t="shared" si="115"/>
        <v>0</v>
      </c>
      <c r="CD137" s="2">
        <f t="shared" si="115"/>
        <v>0</v>
      </c>
      <c r="CE137" s="2">
        <f t="shared" si="115"/>
        <v>0</v>
      </c>
      <c r="CF137" s="2">
        <f t="shared" si="115"/>
        <v>0</v>
      </c>
      <c r="CG137" s="2">
        <f t="shared" si="115"/>
        <v>0</v>
      </c>
      <c r="CH137" s="2">
        <f t="shared" si="115"/>
        <v>0</v>
      </c>
      <c r="CI137" s="2">
        <f t="shared" si="115"/>
        <v>0</v>
      </c>
      <c r="CJ137" s="2">
        <f t="shared" si="115"/>
        <v>0</v>
      </c>
      <c r="CK137" s="2">
        <f t="shared" si="115"/>
        <v>2</v>
      </c>
      <c r="CL137" s="2">
        <f t="shared" si="115"/>
        <v>24</v>
      </c>
      <c r="CM137" s="2">
        <f t="shared" si="115"/>
        <v>24</v>
      </c>
      <c r="CN137" s="2">
        <f t="shared" si="115"/>
        <v>0</v>
      </c>
      <c r="CO137" s="2">
        <f t="shared" si="115"/>
        <v>0</v>
      </c>
      <c r="CP137" s="2">
        <f t="shared" si="115"/>
        <v>0</v>
      </c>
      <c r="CQ137" s="2">
        <f t="shared" si="115"/>
        <v>10</v>
      </c>
      <c r="CR137" s="2">
        <f t="shared" si="115"/>
        <v>140</v>
      </c>
      <c r="CS137" s="2">
        <f t="shared" si="115"/>
        <v>89.600000000000009</v>
      </c>
      <c r="CT137" s="2">
        <f t="shared" si="115"/>
        <v>55</v>
      </c>
      <c r="CU137" s="2">
        <f t="shared" si="115"/>
        <v>770</v>
      </c>
      <c r="CV137" s="2">
        <f t="shared" si="115"/>
        <v>492.8</v>
      </c>
      <c r="CW137" s="2">
        <f t="shared" si="115"/>
        <v>0</v>
      </c>
      <c r="CX137" s="2">
        <f t="shared" si="115"/>
        <v>0</v>
      </c>
      <c r="CY137" s="2">
        <f t="shared" si="115"/>
        <v>0</v>
      </c>
      <c r="CZ137" s="2">
        <f t="shared" si="115"/>
        <v>0</v>
      </c>
      <c r="DA137" s="2">
        <f t="shared" si="115"/>
        <v>0</v>
      </c>
      <c r="DB137" s="2">
        <f t="shared" si="115"/>
        <v>0</v>
      </c>
      <c r="DC137" s="2">
        <f t="shared" ref="DC137:DH137" si="116">SUM(DC123:DC136)</f>
        <v>0</v>
      </c>
      <c r="DD137" s="2">
        <f t="shared" si="116"/>
        <v>0</v>
      </c>
      <c r="DE137" s="2">
        <f t="shared" si="116"/>
        <v>0</v>
      </c>
      <c r="DF137" s="198">
        <f t="shared" si="116"/>
        <v>618</v>
      </c>
      <c r="DG137" s="198">
        <f t="shared" si="116"/>
        <v>8236</v>
      </c>
      <c r="DH137" s="198">
        <f t="shared" si="116"/>
        <v>6169.6</v>
      </c>
    </row>
    <row r="138" spans="1:112" ht="30" hidden="1" customHeight="1" x14ac:dyDescent="0.25">
      <c r="A138" s="189"/>
      <c r="B138" s="199"/>
      <c r="I138" s="200"/>
      <c r="J138" s="201"/>
      <c r="K138" s="202"/>
      <c r="L138" s="188"/>
      <c r="M138" s="188"/>
      <c r="N138" s="203"/>
      <c r="O138" s="204"/>
      <c r="P138" s="200"/>
      <c r="Q138" s="188"/>
      <c r="R138" s="188"/>
      <c r="S138" s="188"/>
      <c r="T138" s="188"/>
      <c r="U138" s="188"/>
      <c r="V138" s="188"/>
      <c r="W138" s="188"/>
      <c r="X138" s="188"/>
      <c r="Y138" s="188"/>
      <c r="Z138" s="188"/>
      <c r="AA138" s="188"/>
      <c r="AB138" s="188"/>
      <c r="AC138" s="188"/>
      <c r="AD138" s="188"/>
      <c r="AE138" s="188"/>
      <c r="AF138" s="188"/>
      <c r="AG138" s="188"/>
      <c r="AH138" s="188"/>
      <c r="AI138" s="188"/>
      <c r="AJ138" s="188"/>
      <c r="AK138" s="188"/>
      <c r="AL138" s="188"/>
      <c r="AM138" s="188"/>
      <c r="AN138" s="188"/>
      <c r="AO138" s="188"/>
      <c r="AP138" s="188"/>
      <c r="AQ138" s="188"/>
      <c r="AR138" s="188"/>
      <c r="AS138" s="188"/>
      <c r="AT138" s="188"/>
      <c r="AU138" s="188"/>
      <c r="AV138" s="188"/>
      <c r="AW138" s="188"/>
      <c r="AX138" s="188"/>
      <c r="AY138" s="188"/>
      <c r="AZ138" s="188"/>
      <c r="BA138" s="188"/>
      <c r="BB138" s="188"/>
      <c r="BC138" s="188"/>
      <c r="BD138" s="188"/>
      <c r="BE138" s="188"/>
      <c r="BF138" s="188"/>
      <c r="BG138" s="188"/>
      <c r="BH138" s="188"/>
      <c r="BI138" s="188"/>
      <c r="BJ138" s="188"/>
      <c r="BK138" s="188"/>
      <c r="BL138" s="188"/>
      <c r="BM138" s="188"/>
      <c r="BN138" s="188"/>
      <c r="BO138" s="188"/>
      <c r="BP138" s="188"/>
      <c r="BQ138" s="188"/>
      <c r="BR138" s="188"/>
      <c r="BS138" s="188"/>
      <c r="BT138" s="188"/>
      <c r="BU138" s="188"/>
      <c r="BV138" s="188"/>
      <c r="BW138" s="188"/>
      <c r="BX138" s="188"/>
      <c r="BY138" s="188"/>
      <c r="BZ138" s="188"/>
      <c r="CA138" s="188"/>
      <c r="CB138" s="188"/>
      <c r="CC138" s="188"/>
      <c r="CD138" s="188"/>
      <c r="CE138" s="188"/>
      <c r="CF138" s="188"/>
      <c r="CG138" s="188"/>
      <c r="CH138" s="188"/>
      <c r="CI138" s="188"/>
      <c r="CJ138" s="188"/>
      <c r="CK138" s="188"/>
      <c r="CL138" s="188"/>
      <c r="CM138" s="188"/>
      <c r="CN138" s="188"/>
      <c r="CO138" s="188"/>
      <c r="CP138" s="188"/>
      <c r="CQ138" s="188"/>
      <c r="CR138" s="188"/>
      <c r="CS138" s="188"/>
      <c r="CT138" s="188"/>
      <c r="CU138" s="188"/>
      <c r="CV138" s="188"/>
      <c r="CW138" s="188"/>
      <c r="CX138" s="188"/>
      <c r="CY138" s="188"/>
      <c r="CZ138" s="188"/>
      <c r="DA138" s="188"/>
      <c r="DB138" s="188"/>
      <c r="DC138" s="188"/>
      <c r="DD138" s="188"/>
      <c r="DE138" s="188"/>
      <c r="DF138" s="188"/>
      <c r="DG138" s="188"/>
      <c r="DH138" s="188"/>
    </row>
    <row r="139" spans="1:112" ht="30" hidden="1" customHeight="1" x14ac:dyDescent="0.25">
      <c r="A139" s="525" t="s">
        <v>118</v>
      </c>
      <c r="B139" s="195" t="s">
        <v>117</v>
      </c>
      <c r="C139" s="175"/>
      <c r="D139" s="527" t="s">
        <v>116</v>
      </c>
      <c r="E139" s="528"/>
      <c r="F139" s="531" t="s">
        <v>115</v>
      </c>
      <c r="G139" s="532" t="s">
        <v>114</v>
      </c>
      <c r="H139" s="533"/>
      <c r="I139" s="536" t="s">
        <v>113</v>
      </c>
      <c r="J139" s="537" t="s">
        <v>112</v>
      </c>
      <c r="K139" s="520" t="s">
        <v>465</v>
      </c>
      <c r="L139" s="520"/>
      <c r="M139" s="520"/>
      <c r="N139" s="520" t="s">
        <v>466</v>
      </c>
      <c r="O139" s="520"/>
      <c r="P139" s="520"/>
      <c r="Q139" s="520" t="s">
        <v>467</v>
      </c>
      <c r="R139" s="520"/>
      <c r="S139" s="520"/>
      <c r="T139" s="520" t="s">
        <v>468</v>
      </c>
      <c r="U139" s="520"/>
      <c r="V139" s="520"/>
      <c r="W139" s="520" t="s">
        <v>469</v>
      </c>
      <c r="X139" s="520"/>
      <c r="Y139" s="520"/>
      <c r="Z139" s="520" t="s">
        <v>470</v>
      </c>
      <c r="AA139" s="520"/>
      <c r="AB139" s="520"/>
      <c r="AC139" s="520" t="s">
        <v>471</v>
      </c>
      <c r="AD139" s="520"/>
      <c r="AE139" s="520"/>
      <c r="AF139" s="520" t="s">
        <v>472</v>
      </c>
      <c r="AG139" s="520"/>
      <c r="AH139" s="520"/>
      <c r="AI139" s="520" t="s">
        <v>473</v>
      </c>
      <c r="AJ139" s="520"/>
      <c r="AK139" s="520"/>
      <c r="AL139" s="520" t="s">
        <v>474</v>
      </c>
      <c r="AM139" s="520"/>
      <c r="AN139" s="520"/>
      <c r="AO139" s="521" t="s">
        <v>350</v>
      </c>
      <c r="AP139" s="521"/>
      <c r="AQ139" s="521"/>
      <c r="AR139" s="520" t="s">
        <v>475</v>
      </c>
      <c r="AS139" s="520"/>
      <c r="AT139" s="520"/>
      <c r="AU139" s="520" t="s">
        <v>476</v>
      </c>
      <c r="AV139" s="520"/>
      <c r="AW139" s="520"/>
      <c r="AX139" s="520" t="s">
        <v>477</v>
      </c>
      <c r="AY139" s="520"/>
      <c r="AZ139" s="520"/>
      <c r="BA139" s="520" t="s">
        <v>478</v>
      </c>
      <c r="BB139" s="520"/>
      <c r="BC139" s="520"/>
      <c r="BD139" s="520" t="s">
        <v>479</v>
      </c>
      <c r="BE139" s="520"/>
      <c r="BF139" s="520"/>
      <c r="BG139" s="520" t="s">
        <v>480</v>
      </c>
      <c r="BH139" s="520"/>
      <c r="BI139" s="520"/>
      <c r="BJ139" s="520" t="s">
        <v>481</v>
      </c>
      <c r="BK139" s="520"/>
      <c r="BL139" s="520"/>
      <c r="BM139" s="520" t="s">
        <v>482</v>
      </c>
      <c r="BN139" s="520"/>
      <c r="BO139" s="520"/>
      <c r="BP139" s="520" t="s">
        <v>483</v>
      </c>
      <c r="BQ139" s="520"/>
      <c r="BR139" s="520"/>
      <c r="BS139" s="520" t="s">
        <v>484</v>
      </c>
      <c r="BT139" s="520"/>
      <c r="BU139" s="520"/>
      <c r="BV139" s="521" t="s">
        <v>351</v>
      </c>
      <c r="BW139" s="521"/>
      <c r="BX139" s="521"/>
      <c r="BY139" s="520" t="s">
        <v>485</v>
      </c>
      <c r="BZ139" s="520"/>
      <c r="CA139" s="520"/>
      <c r="CB139" s="520" t="s">
        <v>486</v>
      </c>
      <c r="CC139" s="520"/>
      <c r="CD139" s="520"/>
      <c r="CE139" s="520" t="s">
        <v>487</v>
      </c>
      <c r="CF139" s="520"/>
      <c r="CG139" s="520"/>
      <c r="CH139" s="520" t="s">
        <v>488</v>
      </c>
      <c r="CI139" s="520"/>
      <c r="CJ139" s="520"/>
      <c r="CK139" s="520" t="s">
        <v>489</v>
      </c>
      <c r="CL139" s="520"/>
      <c r="CM139" s="520"/>
      <c r="CN139" s="520" t="s">
        <v>490</v>
      </c>
      <c r="CO139" s="520"/>
      <c r="CP139" s="520"/>
      <c r="CQ139" s="520" t="s">
        <v>491</v>
      </c>
      <c r="CR139" s="520"/>
      <c r="CS139" s="520"/>
      <c r="CT139" s="520" t="s">
        <v>492</v>
      </c>
      <c r="CU139" s="520"/>
      <c r="CV139" s="520"/>
      <c r="CW139" s="520" t="s">
        <v>493</v>
      </c>
      <c r="CX139" s="520"/>
      <c r="CY139" s="520"/>
      <c r="CZ139" s="520" t="s">
        <v>494</v>
      </c>
      <c r="DA139" s="520"/>
      <c r="DB139" s="520"/>
      <c r="DC139" s="520" t="s">
        <v>495</v>
      </c>
      <c r="DD139" s="520"/>
      <c r="DE139" s="520"/>
      <c r="DF139" s="520" t="s">
        <v>111</v>
      </c>
      <c r="DG139" s="520"/>
      <c r="DH139" s="520"/>
    </row>
    <row r="140" spans="1:112" ht="30" hidden="1" customHeight="1" x14ac:dyDescent="0.25">
      <c r="A140" s="526"/>
      <c r="B140" s="193"/>
      <c r="C140" s="24"/>
      <c r="D140" s="529"/>
      <c r="E140" s="530"/>
      <c r="F140" s="531"/>
      <c r="G140" s="534"/>
      <c r="H140" s="535"/>
      <c r="I140" s="531"/>
      <c r="J140" s="538"/>
      <c r="K140" s="10" t="s">
        <v>109</v>
      </c>
      <c r="L140" s="11" t="s">
        <v>108</v>
      </c>
      <c r="M140" s="11" t="s">
        <v>348</v>
      </c>
      <c r="N140" s="10" t="s">
        <v>109</v>
      </c>
      <c r="O140" s="11" t="s">
        <v>108</v>
      </c>
      <c r="P140" s="11" t="s">
        <v>348</v>
      </c>
      <c r="Q140" s="10" t="s">
        <v>109</v>
      </c>
      <c r="R140" s="11" t="s">
        <v>108</v>
      </c>
      <c r="S140" s="11" t="s">
        <v>348</v>
      </c>
      <c r="T140" s="10" t="s">
        <v>109</v>
      </c>
      <c r="U140" s="11" t="s">
        <v>108</v>
      </c>
      <c r="V140" s="11" t="s">
        <v>348</v>
      </c>
      <c r="W140" s="10" t="s">
        <v>109</v>
      </c>
      <c r="X140" s="11" t="s">
        <v>108</v>
      </c>
      <c r="Y140" s="11" t="s">
        <v>348</v>
      </c>
      <c r="Z140" s="10" t="s">
        <v>109</v>
      </c>
      <c r="AA140" s="11" t="s">
        <v>108</v>
      </c>
      <c r="AB140" s="11" t="s">
        <v>348</v>
      </c>
      <c r="AC140" s="10" t="s">
        <v>109</v>
      </c>
      <c r="AD140" s="11" t="s">
        <v>108</v>
      </c>
      <c r="AE140" s="11" t="s">
        <v>348</v>
      </c>
      <c r="AF140" s="10" t="s">
        <v>109</v>
      </c>
      <c r="AG140" s="11" t="s">
        <v>108</v>
      </c>
      <c r="AH140" s="11" t="s">
        <v>348</v>
      </c>
      <c r="AI140" s="10" t="s">
        <v>109</v>
      </c>
      <c r="AJ140" s="11" t="s">
        <v>108</v>
      </c>
      <c r="AK140" s="11" t="s">
        <v>348</v>
      </c>
      <c r="AL140" s="10" t="s">
        <v>109</v>
      </c>
      <c r="AM140" s="11" t="s">
        <v>108</v>
      </c>
      <c r="AN140" s="11" t="s">
        <v>348</v>
      </c>
      <c r="AO140" s="10" t="s">
        <v>109</v>
      </c>
      <c r="AP140" s="11" t="s">
        <v>108</v>
      </c>
      <c r="AQ140" s="11" t="s">
        <v>348</v>
      </c>
      <c r="AR140" s="10" t="s">
        <v>109</v>
      </c>
      <c r="AS140" s="11" t="s">
        <v>108</v>
      </c>
      <c r="AT140" s="11" t="s">
        <v>348</v>
      </c>
      <c r="AU140" s="10" t="s">
        <v>109</v>
      </c>
      <c r="AV140" s="11" t="s">
        <v>108</v>
      </c>
      <c r="AW140" s="11" t="s">
        <v>348</v>
      </c>
      <c r="AX140" s="10" t="s">
        <v>109</v>
      </c>
      <c r="AY140" s="11" t="s">
        <v>108</v>
      </c>
      <c r="AZ140" s="11" t="s">
        <v>348</v>
      </c>
      <c r="BA140" s="10" t="s">
        <v>109</v>
      </c>
      <c r="BB140" s="11" t="s">
        <v>108</v>
      </c>
      <c r="BC140" s="11" t="s">
        <v>348</v>
      </c>
      <c r="BD140" s="10" t="s">
        <v>109</v>
      </c>
      <c r="BE140" s="11" t="s">
        <v>108</v>
      </c>
      <c r="BF140" s="11" t="s">
        <v>348</v>
      </c>
      <c r="BG140" s="10" t="s">
        <v>109</v>
      </c>
      <c r="BH140" s="11" t="s">
        <v>108</v>
      </c>
      <c r="BI140" s="11" t="s">
        <v>348</v>
      </c>
      <c r="BJ140" s="10" t="s">
        <v>109</v>
      </c>
      <c r="BK140" s="11" t="s">
        <v>108</v>
      </c>
      <c r="BL140" s="11" t="s">
        <v>348</v>
      </c>
      <c r="BM140" s="10" t="s">
        <v>109</v>
      </c>
      <c r="BN140" s="11" t="s">
        <v>108</v>
      </c>
      <c r="BO140" s="11" t="s">
        <v>348</v>
      </c>
      <c r="BP140" s="10" t="s">
        <v>109</v>
      </c>
      <c r="BQ140" s="11" t="s">
        <v>108</v>
      </c>
      <c r="BR140" s="11" t="s">
        <v>348</v>
      </c>
      <c r="BS140" s="10" t="s">
        <v>109</v>
      </c>
      <c r="BT140" s="11" t="s">
        <v>108</v>
      </c>
      <c r="BU140" s="11" t="s">
        <v>348</v>
      </c>
      <c r="BV140" s="10" t="s">
        <v>109</v>
      </c>
      <c r="BW140" s="11" t="s">
        <v>108</v>
      </c>
      <c r="BX140" s="11" t="s">
        <v>348</v>
      </c>
      <c r="BY140" s="10" t="s">
        <v>109</v>
      </c>
      <c r="BZ140" s="11" t="s">
        <v>108</v>
      </c>
      <c r="CA140" s="11" t="s">
        <v>348</v>
      </c>
      <c r="CB140" s="10" t="s">
        <v>109</v>
      </c>
      <c r="CC140" s="11" t="s">
        <v>108</v>
      </c>
      <c r="CD140" s="11" t="s">
        <v>348</v>
      </c>
      <c r="CE140" s="10" t="s">
        <v>109</v>
      </c>
      <c r="CF140" s="11" t="s">
        <v>108</v>
      </c>
      <c r="CG140" s="11" t="s">
        <v>348</v>
      </c>
      <c r="CH140" s="10" t="s">
        <v>109</v>
      </c>
      <c r="CI140" s="11" t="s">
        <v>108</v>
      </c>
      <c r="CJ140" s="11" t="s">
        <v>348</v>
      </c>
      <c r="CK140" s="10" t="s">
        <v>109</v>
      </c>
      <c r="CL140" s="11" t="s">
        <v>108</v>
      </c>
      <c r="CM140" s="11" t="s">
        <v>348</v>
      </c>
      <c r="CN140" s="10" t="s">
        <v>109</v>
      </c>
      <c r="CO140" s="11" t="s">
        <v>108</v>
      </c>
      <c r="CP140" s="11" t="s">
        <v>348</v>
      </c>
      <c r="CQ140" s="10" t="s">
        <v>109</v>
      </c>
      <c r="CR140" s="11" t="s">
        <v>108</v>
      </c>
      <c r="CS140" s="11" t="s">
        <v>348</v>
      </c>
      <c r="CT140" s="10" t="s">
        <v>109</v>
      </c>
      <c r="CU140" s="11" t="s">
        <v>108</v>
      </c>
      <c r="CV140" s="11" t="s">
        <v>348</v>
      </c>
      <c r="CW140" s="10" t="s">
        <v>109</v>
      </c>
      <c r="CX140" s="11" t="s">
        <v>108</v>
      </c>
      <c r="CY140" s="11" t="s">
        <v>348</v>
      </c>
      <c r="CZ140" s="10" t="s">
        <v>109</v>
      </c>
      <c r="DA140" s="11" t="s">
        <v>108</v>
      </c>
      <c r="DB140" s="11" t="s">
        <v>348</v>
      </c>
      <c r="DC140" s="10" t="s">
        <v>109</v>
      </c>
      <c r="DD140" s="11" t="s">
        <v>108</v>
      </c>
      <c r="DE140" s="11" t="s">
        <v>348</v>
      </c>
      <c r="DF140" s="10" t="s">
        <v>109</v>
      </c>
      <c r="DG140" s="11" t="s">
        <v>108</v>
      </c>
      <c r="DH140" s="11" t="s">
        <v>348</v>
      </c>
    </row>
    <row r="141" spans="1:112" ht="30" hidden="1" customHeight="1" x14ac:dyDescent="0.25">
      <c r="A141" s="25">
        <v>1</v>
      </c>
      <c r="B141" s="191" t="s">
        <v>151</v>
      </c>
      <c r="C141" s="191"/>
      <c r="D141" s="191" t="s">
        <v>40</v>
      </c>
      <c r="E141" s="180" t="s">
        <v>357</v>
      </c>
      <c r="F141" s="5" t="s">
        <v>355</v>
      </c>
      <c r="G141" s="25"/>
      <c r="H141" s="7"/>
      <c r="I141" s="7"/>
      <c r="J141" s="3"/>
      <c r="K141" s="6"/>
      <c r="L141" s="6"/>
      <c r="M141" s="6"/>
      <c r="N141" s="6">
        <v>105</v>
      </c>
      <c r="O141" s="6">
        <v>1340</v>
      </c>
      <c r="P141" s="6">
        <v>1138.4000000000001</v>
      </c>
      <c r="Q141" s="6">
        <v>164.59523809523807</v>
      </c>
      <c r="R141" s="6">
        <v>2046</v>
      </c>
      <c r="S141" s="6">
        <v>1867.4399999999998</v>
      </c>
      <c r="T141" s="6">
        <v>45</v>
      </c>
      <c r="U141" s="6">
        <v>720</v>
      </c>
      <c r="V141" s="6">
        <v>482.4</v>
      </c>
      <c r="W141" s="6">
        <v>43.375</v>
      </c>
      <c r="X141" s="6">
        <v>612</v>
      </c>
      <c r="Y141" s="6">
        <v>419.85</v>
      </c>
      <c r="Z141" s="6">
        <v>7</v>
      </c>
      <c r="AA141" s="6">
        <v>84</v>
      </c>
      <c r="AB141" s="6">
        <v>76.8</v>
      </c>
      <c r="AC141" s="6">
        <v>60</v>
      </c>
      <c r="AD141" s="6">
        <v>740</v>
      </c>
      <c r="AE141" s="6">
        <v>689.6</v>
      </c>
      <c r="AF141" s="6"/>
      <c r="AG141" s="6"/>
      <c r="AH141" s="6"/>
      <c r="AI141" s="6">
        <v>55</v>
      </c>
      <c r="AJ141" s="6">
        <v>760</v>
      </c>
      <c r="AK141" s="6">
        <v>508</v>
      </c>
      <c r="AL141" s="6">
        <v>78</v>
      </c>
      <c r="AM141" s="6">
        <v>1120</v>
      </c>
      <c r="AN141" s="6">
        <v>764.32</v>
      </c>
      <c r="AO141" s="173">
        <f t="shared" ref="AO141" si="117">+K141+N141+Q141+T141+W141+Z141+AC141+AF141+AI141+AL141</f>
        <v>557.97023809523807</v>
      </c>
      <c r="AP141" s="173">
        <f t="shared" ref="AP141" si="118">+L141+O141+R141+U141+X141+AA141+AD141+AG141+AJ141+AM141</f>
        <v>7422</v>
      </c>
      <c r="AQ141" s="173">
        <f t="shared" ref="AQ141" si="119">+M141+P141+S141+V141+Y141+AB141+AE141+AH141+AK141+AN141</f>
        <v>5946.81</v>
      </c>
      <c r="AR141" s="6">
        <v>20.416666666666664</v>
      </c>
      <c r="AS141" s="6">
        <f>265+36</f>
        <v>301</v>
      </c>
      <c r="AT141" s="6">
        <f>214.6+36</f>
        <v>250.6</v>
      </c>
      <c r="AU141" s="6">
        <v>53.416666666666664</v>
      </c>
      <c r="AV141" s="6">
        <v>641</v>
      </c>
      <c r="AW141" s="6">
        <v>641</v>
      </c>
      <c r="AX141" s="6">
        <v>130.25</v>
      </c>
      <c r="AY141" s="6">
        <v>1685</v>
      </c>
      <c r="AZ141" s="6">
        <v>1377.56</v>
      </c>
      <c r="BA141" s="6">
        <v>101.75</v>
      </c>
      <c r="BB141" s="6">
        <v>1361</v>
      </c>
      <c r="BC141" s="6">
        <v>1008.2</v>
      </c>
      <c r="BD141" s="6"/>
      <c r="BE141" s="6"/>
      <c r="BF141" s="6"/>
      <c r="BG141" s="6">
        <v>77</v>
      </c>
      <c r="BH141" s="6">
        <v>1064</v>
      </c>
      <c r="BI141" s="6">
        <v>926.8</v>
      </c>
      <c r="BJ141" s="6">
        <v>67</v>
      </c>
      <c r="BK141" s="6">
        <v>934</v>
      </c>
      <c r="BL141" s="6">
        <v>606.40000000000009</v>
      </c>
      <c r="BM141" s="6">
        <v>232</v>
      </c>
      <c r="BN141" s="6">
        <v>2984</v>
      </c>
      <c r="BO141" s="6">
        <v>2480</v>
      </c>
      <c r="BP141" s="6">
        <v>65.083333333333329</v>
      </c>
      <c r="BQ141" s="6">
        <v>781</v>
      </c>
      <c r="BR141" s="6">
        <v>781</v>
      </c>
      <c r="BS141" s="6">
        <v>99</v>
      </c>
      <c r="BT141" s="6">
        <v>1228</v>
      </c>
      <c r="BU141" s="6">
        <v>1127.2</v>
      </c>
      <c r="BV141" s="173">
        <f t="shared" ref="BV141" si="120">+AO141+AR141+AU141+AX141+BA141+BD141+BG141+BJ141+BM141+BP141+BS141</f>
        <v>1403.8869047619046</v>
      </c>
      <c r="BW141" s="173">
        <f t="shared" ref="BW141" si="121">+AP141+AS141+AV141+AY141+BB141+BE141+BH141+BK141+BN141+BQ141+BT141</f>
        <v>18401</v>
      </c>
      <c r="BX141" s="173">
        <f>+AQ141+AT141+AW141+AZ141+BC141+BF141+BI141+BL141+BO141+BR141+BU141</f>
        <v>15145.570000000002</v>
      </c>
      <c r="BY141" s="6">
        <v>16</v>
      </c>
      <c r="BZ141" s="6">
        <v>196</v>
      </c>
      <c r="CA141" s="6">
        <v>178.72000000000003</v>
      </c>
      <c r="CB141" s="6"/>
      <c r="CC141" s="6"/>
      <c r="CD141" s="6"/>
      <c r="CE141" s="6">
        <v>37</v>
      </c>
      <c r="CF141" s="6">
        <v>484</v>
      </c>
      <c r="CG141" s="6">
        <v>383.20000000000005</v>
      </c>
      <c r="CH141" s="6">
        <v>80</v>
      </c>
      <c r="CI141" s="6">
        <v>1070</v>
      </c>
      <c r="CJ141" s="6">
        <v>792.8</v>
      </c>
      <c r="CK141" s="6">
        <v>43</v>
      </c>
      <c r="CL141" s="6">
        <v>532</v>
      </c>
      <c r="CM141" s="6">
        <v>491.67999999999995</v>
      </c>
      <c r="CN141" s="6">
        <v>16</v>
      </c>
      <c r="CO141" s="6">
        <v>212</v>
      </c>
      <c r="CP141" s="6">
        <v>161.60000000000002</v>
      </c>
      <c r="CQ141" s="6">
        <v>144</v>
      </c>
      <c r="CR141" s="6">
        <v>1734</v>
      </c>
      <c r="CS141" s="6">
        <v>1718.88</v>
      </c>
      <c r="CT141" s="6">
        <v>211</v>
      </c>
      <c r="CU141" s="6">
        <v>2688</v>
      </c>
      <c r="CV141" s="6">
        <v>2294.88</v>
      </c>
      <c r="CW141" s="6"/>
      <c r="CX141" s="6"/>
      <c r="CY141" s="6"/>
      <c r="CZ141" s="6"/>
      <c r="DA141" s="6"/>
      <c r="DB141" s="6"/>
      <c r="DC141" s="6"/>
      <c r="DD141" s="6"/>
      <c r="DE141" s="6"/>
      <c r="DF141" s="173">
        <f t="shared" ref="DF141" si="122">BV141+CB141+CE141+CH141+CK141+CN141+CQ141+CT141+CW141+CZ141+DC141+BY141</f>
        <v>1950.8869047619046</v>
      </c>
      <c r="DG141" s="173">
        <f>BW141+CC141+CF141+CI141+CL141+CO141+CR141+CU141+CX141+DA141+DD141+BZ141</f>
        <v>25317</v>
      </c>
      <c r="DH141" s="173">
        <f t="shared" ref="DH141" si="123">BX141+CD141+CG141+CJ141+CM141+CP141+CS141+CV141+CY141+DB141+DE141+CA141</f>
        <v>21167.33</v>
      </c>
    </row>
    <row r="142" spans="1:112" ht="30" hidden="1" customHeight="1" x14ac:dyDescent="0.25">
      <c r="A142" s="184" t="s">
        <v>0</v>
      </c>
      <c r="B142" s="196"/>
      <c r="C142" s="185"/>
      <c r="D142" s="185"/>
      <c r="E142" s="186"/>
      <c r="F142" s="4"/>
      <c r="G142" s="4"/>
      <c r="H142" s="4"/>
      <c r="I142" s="4"/>
      <c r="J142" s="3"/>
      <c r="K142" s="2">
        <f t="shared" ref="K142:BV142" si="124">SUM(K141:K141)</f>
        <v>0</v>
      </c>
      <c r="L142" s="2">
        <f t="shared" si="124"/>
        <v>0</v>
      </c>
      <c r="M142" s="2">
        <f t="shared" si="124"/>
        <v>0</v>
      </c>
      <c r="N142" s="2">
        <f t="shared" si="124"/>
        <v>105</v>
      </c>
      <c r="O142" s="2">
        <f t="shared" si="124"/>
        <v>1340</v>
      </c>
      <c r="P142" s="2">
        <f t="shared" si="124"/>
        <v>1138.4000000000001</v>
      </c>
      <c r="Q142" s="2">
        <f t="shared" si="124"/>
        <v>164.59523809523807</v>
      </c>
      <c r="R142" s="2">
        <f t="shared" si="124"/>
        <v>2046</v>
      </c>
      <c r="S142" s="2">
        <f t="shared" si="124"/>
        <v>1867.4399999999998</v>
      </c>
      <c r="T142" s="2">
        <f t="shared" si="124"/>
        <v>45</v>
      </c>
      <c r="U142" s="2">
        <f t="shared" si="124"/>
        <v>720</v>
      </c>
      <c r="V142" s="2">
        <f t="shared" si="124"/>
        <v>482.4</v>
      </c>
      <c r="W142" s="2">
        <f t="shared" si="124"/>
        <v>43.375</v>
      </c>
      <c r="X142" s="2">
        <f t="shared" si="124"/>
        <v>612</v>
      </c>
      <c r="Y142" s="2">
        <f t="shared" si="124"/>
        <v>419.85</v>
      </c>
      <c r="Z142" s="2">
        <f t="shared" si="124"/>
        <v>7</v>
      </c>
      <c r="AA142" s="2">
        <f t="shared" si="124"/>
        <v>84</v>
      </c>
      <c r="AB142" s="2">
        <f t="shared" si="124"/>
        <v>76.8</v>
      </c>
      <c r="AC142" s="2">
        <f t="shared" si="124"/>
        <v>60</v>
      </c>
      <c r="AD142" s="2">
        <f t="shared" si="124"/>
        <v>740</v>
      </c>
      <c r="AE142" s="2">
        <f t="shared" si="124"/>
        <v>689.6</v>
      </c>
      <c r="AF142" s="2">
        <f t="shared" si="124"/>
        <v>0</v>
      </c>
      <c r="AG142" s="2">
        <f t="shared" si="124"/>
        <v>0</v>
      </c>
      <c r="AH142" s="2">
        <f t="shared" si="124"/>
        <v>0</v>
      </c>
      <c r="AI142" s="2">
        <f t="shared" si="124"/>
        <v>55</v>
      </c>
      <c r="AJ142" s="2">
        <f t="shared" si="124"/>
        <v>760</v>
      </c>
      <c r="AK142" s="2">
        <f t="shared" si="124"/>
        <v>508</v>
      </c>
      <c r="AL142" s="2">
        <f t="shared" si="124"/>
        <v>78</v>
      </c>
      <c r="AM142" s="2">
        <f t="shared" si="124"/>
        <v>1120</v>
      </c>
      <c r="AN142" s="2">
        <f t="shared" si="124"/>
        <v>764.32</v>
      </c>
      <c r="AO142" s="198">
        <f t="shared" si="124"/>
        <v>557.97023809523807</v>
      </c>
      <c r="AP142" s="198">
        <f t="shared" si="124"/>
        <v>7422</v>
      </c>
      <c r="AQ142" s="198">
        <f t="shared" si="124"/>
        <v>5946.81</v>
      </c>
      <c r="AR142" s="2">
        <f t="shared" si="124"/>
        <v>20.416666666666664</v>
      </c>
      <c r="AS142" s="2">
        <f t="shared" si="124"/>
        <v>301</v>
      </c>
      <c r="AT142" s="2">
        <f t="shared" si="124"/>
        <v>250.6</v>
      </c>
      <c r="AU142" s="2">
        <f t="shared" si="124"/>
        <v>53.416666666666664</v>
      </c>
      <c r="AV142" s="2">
        <f t="shared" si="124"/>
        <v>641</v>
      </c>
      <c r="AW142" s="2">
        <f t="shared" si="124"/>
        <v>641</v>
      </c>
      <c r="AX142" s="2">
        <f t="shared" si="124"/>
        <v>130.25</v>
      </c>
      <c r="AY142" s="2">
        <f t="shared" si="124"/>
        <v>1685</v>
      </c>
      <c r="AZ142" s="2">
        <f t="shared" si="124"/>
        <v>1377.56</v>
      </c>
      <c r="BA142" s="2">
        <f t="shared" si="124"/>
        <v>101.75</v>
      </c>
      <c r="BB142" s="2">
        <f t="shared" si="124"/>
        <v>1361</v>
      </c>
      <c r="BC142" s="2">
        <f t="shared" si="124"/>
        <v>1008.2</v>
      </c>
      <c r="BD142" s="2">
        <f t="shared" si="124"/>
        <v>0</v>
      </c>
      <c r="BE142" s="2">
        <f t="shared" si="124"/>
        <v>0</v>
      </c>
      <c r="BF142" s="2">
        <f t="shared" si="124"/>
        <v>0</v>
      </c>
      <c r="BG142" s="2">
        <f t="shared" si="124"/>
        <v>77</v>
      </c>
      <c r="BH142" s="2">
        <f t="shared" si="124"/>
        <v>1064</v>
      </c>
      <c r="BI142" s="2">
        <f t="shared" si="124"/>
        <v>926.8</v>
      </c>
      <c r="BJ142" s="2">
        <f t="shared" si="124"/>
        <v>67</v>
      </c>
      <c r="BK142" s="2">
        <f t="shared" si="124"/>
        <v>934</v>
      </c>
      <c r="BL142" s="2">
        <f t="shared" si="124"/>
        <v>606.40000000000009</v>
      </c>
      <c r="BM142" s="2">
        <f t="shared" si="124"/>
        <v>232</v>
      </c>
      <c r="BN142" s="2">
        <f t="shared" si="124"/>
        <v>2984</v>
      </c>
      <c r="BO142" s="2">
        <f t="shared" si="124"/>
        <v>2480</v>
      </c>
      <c r="BP142" s="2">
        <f t="shared" si="124"/>
        <v>65.083333333333329</v>
      </c>
      <c r="BQ142" s="2">
        <f t="shared" si="124"/>
        <v>781</v>
      </c>
      <c r="BR142" s="2">
        <f t="shared" si="124"/>
        <v>781</v>
      </c>
      <c r="BS142" s="2">
        <f t="shared" si="124"/>
        <v>99</v>
      </c>
      <c r="BT142" s="2">
        <f t="shared" si="124"/>
        <v>1228</v>
      </c>
      <c r="BU142" s="2">
        <f t="shared" si="124"/>
        <v>1127.2</v>
      </c>
      <c r="BV142" s="198">
        <f t="shared" si="124"/>
        <v>1403.8869047619046</v>
      </c>
      <c r="BW142" s="198">
        <f t="shared" ref="BW142:DH142" si="125">SUM(BW141:BW141)</f>
        <v>18401</v>
      </c>
      <c r="BX142" s="198">
        <f t="shared" si="125"/>
        <v>15145.570000000002</v>
      </c>
      <c r="BY142" s="2">
        <f t="shared" si="125"/>
        <v>16</v>
      </c>
      <c r="BZ142" s="2">
        <f t="shared" si="125"/>
        <v>196</v>
      </c>
      <c r="CA142" s="2">
        <f t="shared" si="125"/>
        <v>178.72000000000003</v>
      </c>
      <c r="CB142" s="2">
        <f t="shared" si="125"/>
        <v>0</v>
      </c>
      <c r="CC142" s="2">
        <f t="shared" si="125"/>
        <v>0</v>
      </c>
      <c r="CD142" s="2">
        <f t="shared" si="125"/>
        <v>0</v>
      </c>
      <c r="CE142" s="2">
        <f t="shared" si="125"/>
        <v>37</v>
      </c>
      <c r="CF142" s="2">
        <f t="shared" si="125"/>
        <v>484</v>
      </c>
      <c r="CG142" s="2">
        <f t="shared" si="125"/>
        <v>383.20000000000005</v>
      </c>
      <c r="CH142" s="2">
        <f t="shared" si="125"/>
        <v>80</v>
      </c>
      <c r="CI142" s="2">
        <f t="shared" si="125"/>
        <v>1070</v>
      </c>
      <c r="CJ142" s="2">
        <f t="shared" si="125"/>
        <v>792.8</v>
      </c>
      <c r="CK142" s="2">
        <f t="shared" si="125"/>
        <v>43</v>
      </c>
      <c r="CL142" s="2">
        <f t="shared" si="125"/>
        <v>532</v>
      </c>
      <c r="CM142" s="2">
        <f t="shared" si="125"/>
        <v>491.67999999999995</v>
      </c>
      <c r="CN142" s="2">
        <f t="shared" si="125"/>
        <v>16</v>
      </c>
      <c r="CO142" s="2">
        <f t="shared" si="125"/>
        <v>212</v>
      </c>
      <c r="CP142" s="2">
        <f t="shared" si="125"/>
        <v>161.60000000000002</v>
      </c>
      <c r="CQ142" s="2">
        <f t="shared" si="125"/>
        <v>144</v>
      </c>
      <c r="CR142" s="2">
        <f t="shared" si="125"/>
        <v>1734</v>
      </c>
      <c r="CS142" s="2">
        <f t="shared" si="125"/>
        <v>1718.88</v>
      </c>
      <c r="CT142" s="2">
        <f t="shared" si="125"/>
        <v>211</v>
      </c>
      <c r="CU142" s="2">
        <f t="shared" si="125"/>
        <v>2688</v>
      </c>
      <c r="CV142" s="2">
        <f t="shared" si="125"/>
        <v>2294.88</v>
      </c>
      <c r="CW142" s="2">
        <f t="shared" si="125"/>
        <v>0</v>
      </c>
      <c r="CX142" s="2">
        <f t="shared" si="125"/>
        <v>0</v>
      </c>
      <c r="CY142" s="2">
        <f t="shared" si="125"/>
        <v>0</v>
      </c>
      <c r="CZ142" s="2">
        <f t="shared" si="125"/>
        <v>0</v>
      </c>
      <c r="DA142" s="2">
        <f t="shared" si="125"/>
        <v>0</v>
      </c>
      <c r="DB142" s="2">
        <f t="shared" si="125"/>
        <v>0</v>
      </c>
      <c r="DC142" s="2">
        <f t="shared" si="125"/>
        <v>0</v>
      </c>
      <c r="DD142" s="2">
        <f t="shared" si="125"/>
        <v>0</v>
      </c>
      <c r="DE142" s="2">
        <f t="shared" si="125"/>
        <v>0</v>
      </c>
      <c r="DF142" s="198">
        <f t="shared" si="125"/>
        <v>1950.8869047619046</v>
      </c>
      <c r="DG142" s="198">
        <f t="shared" si="125"/>
        <v>25317</v>
      </c>
      <c r="DH142" s="198">
        <f t="shared" si="125"/>
        <v>21167.33</v>
      </c>
    </row>
    <row r="143" spans="1:112" ht="30" hidden="1" customHeight="1" x14ac:dyDescent="0.25"/>
    <row r="144" spans="1:112" ht="30" hidden="1" customHeight="1" x14ac:dyDescent="0.25">
      <c r="K144" s="174">
        <f t="shared" ref="K144:BV144" si="126">SUM(K91+K119+K137+K141)</f>
        <v>0</v>
      </c>
      <c r="L144" s="174">
        <f t="shared" si="126"/>
        <v>0</v>
      </c>
      <c r="M144" s="174">
        <f t="shared" si="126"/>
        <v>0</v>
      </c>
      <c r="N144" s="174">
        <f t="shared" si="126"/>
        <v>1220</v>
      </c>
      <c r="O144" s="174">
        <f t="shared" si="126"/>
        <v>15920</v>
      </c>
      <c r="P144" s="174">
        <f t="shared" si="126"/>
        <v>13126.4</v>
      </c>
      <c r="Q144" s="174">
        <f t="shared" si="126"/>
        <v>495.59523809523807</v>
      </c>
      <c r="R144" s="174">
        <f t="shared" si="126"/>
        <v>6918</v>
      </c>
      <c r="S144" s="174">
        <f t="shared" si="126"/>
        <v>5119.4399999999996</v>
      </c>
      <c r="T144" s="174">
        <f t="shared" si="126"/>
        <v>800</v>
      </c>
      <c r="U144" s="174">
        <f t="shared" si="126"/>
        <v>10490</v>
      </c>
      <c r="V144" s="174">
        <f t="shared" si="126"/>
        <v>8463.2000000000007</v>
      </c>
      <c r="W144" s="174">
        <f t="shared" si="126"/>
        <v>893.375</v>
      </c>
      <c r="X144" s="174">
        <f t="shared" si="126"/>
        <v>12572</v>
      </c>
      <c r="Y144" s="174">
        <f t="shared" si="126"/>
        <v>9240.65</v>
      </c>
      <c r="Z144" s="174">
        <f t="shared" si="126"/>
        <v>877</v>
      </c>
      <c r="AA144" s="174">
        <f t="shared" si="126"/>
        <v>11564</v>
      </c>
      <c r="AB144" s="174">
        <f t="shared" si="126"/>
        <v>8936</v>
      </c>
      <c r="AC144" s="174">
        <f t="shared" si="126"/>
        <v>554</v>
      </c>
      <c r="AD144" s="174">
        <f t="shared" si="126"/>
        <v>7878</v>
      </c>
      <c r="AE144" s="174">
        <f t="shared" si="126"/>
        <v>6074.4000000000005</v>
      </c>
      <c r="AF144" s="174">
        <f t="shared" si="126"/>
        <v>0</v>
      </c>
      <c r="AG144" s="174">
        <f t="shared" si="126"/>
        <v>0</v>
      </c>
      <c r="AH144" s="174">
        <f t="shared" si="126"/>
        <v>0</v>
      </c>
      <c r="AI144" s="174">
        <f t="shared" si="126"/>
        <v>1175</v>
      </c>
      <c r="AJ144" s="174">
        <f t="shared" si="126"/>
        <v>15670</v>
      </c>
      <c r="AK144" s="174">
        <f t="shared" si="126"/>
        <v>12793.599999999999</v>
      </c>
      <c r="AL144" s="174">
        <f t="shared" si="126"/>
        <v>343</v>
      </c>
      <c r="AM144" s="174">
        <f t="shared" si="126"/>
        <v>4500</v>
      </c>
      <c r="AN144" s="174">
        <f t="shared" si="126"/>
        <v>3280.32</v>
      </c>
      <c r="AO144" s="174">
        <f t="shared" si="126"/>
        <v>6357.9702380952385</v>
      </c>
      <c r="AP144" s="174">
        <f t="shared" si="126"/>
        <v>85512</v>
      </c>
      <c r="AQ144" s="174">
        <f t="shared" si="126"/>
        <v>67034.009999999995</v>
      </c>
      <c r="AR144" s="174">
        <f t="shared" si="126"/>
        <v>1285.4166666666667</v>
      </c>
      <c r="AS144" s="174">
        <f t="shared" si="126"/>
        <v>17921</v>
      </c>
      <c r="AT144" s="174">
        <f t="shared" si="126"/>
        <v>12801.8</v>
      </c>
      <c r="AU144" s="174">
        <f t="shared" si="126"/>
        <v>303.41666666666669</v>
      </c>
      <c r="AV144" s="174">
        <f t="shared" si="126"/>
        <v>3841</v>
      </c>
      <c r="AW144" s="174">
        <f t="shared" si="126"/>
        <v>3337</v>
      </c>
      <c r="AX144" s="174">
        <f t="shared" si="126"/>
        <v>1030.25</v>
      </c>
      <c r="AY144" s="174">
        <f t="shared" si="126"/>
        <v>14265</v>
      </c>
      <c r="AZ144" s="174">
        <f t="shared" si="126"/>
        <v>10767.960000000001</v>
      </c>
      <c r="BA144" s="174">
        <f t="shared" si="126"/>
        <v>746.75</v>
      </c>
      <c r="BB144" s="174">
        <f t="shared" si="126"/>
        <v>9791</v>
      </c>
      <c r="BC144" s="174">
        <f t="shared" si="126"/>
        <v>7699.4</v>
      </c>
      <c r="BD144" s="174">
        <f t="shared" si="126"/>
        <v>0</v>
      </c>
      <c r="BE144" s="174">
        <f t="shared" si="126"/>
        <v>0</v>
      </c>
      <c r="BF144" s="174">
        <f t="shared" si="126"/>
        <v>0</v>
      </c>
      <c r="BG144" s="174">
        <f t="shared" si="126"/>
        <v>892</v>
      </c>
      <c r="BH144" s="174">
        <f t="shared" si="126"/>
        <v>11544</v>
      </c>
      <c r="BI144" s="174">
        <f t="shared" si="126"/>
        <v>9865.6</v>
      </c>
      <c r="BJ144" s="174">
        <f t="shared" si="126"/>
        <v>767</v>
      </c>
      <c r="BK144" s="174">
        <f t="shared" si="126"/>
        <v>10184</v>
      </c>
      <c r="BL144" s="174">
        <f t="shared" si="126"/>
        <v>7714.4</v>
      </c>
      <c r="BM144" s="174">
        <f t="shared" si="126"/>
        <v>862</v>
      </c>
      <c r="BN144" s="174">
        <f t="shared" si="126"/>
        <v>11964</v>
      </c>
      <c r="BO144" s="174">
        <f t="shared" si="126"/>
        <v>9609.6</v>
      </c>
      <c r="BP144" s="174">
        <f t="shared" si="126"/>
        <v>1045.0833333333333</v>
      </c>
      <c r="BQ144" s="174">
        <f t="shared" si="126"/>
        <v>14681</v>
      </c>
      <c r="BR144" s="174">
        <f t="shared" si="126"/>
        <v>11232.2</v>
      </c>
      <c r="BS144" s="174">
        <f t="shared" si="126"/>
        <v>529</v>
      </c>
      <c r="BT144" s="174">
        <f t="shared" si="126"/>
        <v>7148</v>
      </c>
      <c r="BU144" s="174">
        <f t="shared" si="126"/>
        <v>5564</v>
      </c>
      <c r="BV144" s="174">
        <f t="shared" si="126"/>
        <v>13818.886904761905</v>
      </c>
      <c r="BW144" s="174">
        <f t="shared" ref="BW144:DH144" si="127">SUM(BW91+BW119+BW137+BW141)</f>
        <v>186851</v>
      </c>
      <c r="BX144" s="174">
        <f t="shared" si="127"/>
        <v>145625.97</v>
      </c>
      <c r="BY144" s="174">
        <f t="shared" si="127"/>
        <v>646</v>
      </c>
      <c r="BZ144" s="174">
        <f t="shared" si="127"/>
        <v>8756</v>
      </c>
      <c r="CA144" s="174">
        <f t="shared" si="127"/>
        <v>6218.72</v>
      </c>
      <c r="CB144" s="174">
        <f t="shared" si="127"/>
        <v>0</v>
      </c>
      <c r="CC144" s="174">
        <f t="shared" si="127"/>
        <v>0</v>
      </c>
      <c r="CD144" s="174">
        <f t="shared" si="127"/>
        <v>0</v>
      </c>
      <c r="CE144" s="174">
        <f t="shared" si="127"/>
        <v>1007</v>
      </c>
      <c r="CF144" s="174">
        <f t="shared" si="127"/>
        <v>13864</v>
      </c>
      <c r="CG144" s="174">
        <f t="shared" si="127"/>
        <v>10674.400000000001</v>
      </c>
      <c r="CH144" s="174">
        <f t="shared" si="127"/>
        <v>1310</v>
      </c>
      <c r="CI144" s="174">
        <f t="shared" si="127"/>
        <v>17730</v>
      </c>
      <c r="CJ144" s="174">
        <f t="shared" si="127"/>
        <v>13744.8</v>
      </c>
      <c r="CK144" s="174">
        <f t="shared" si="127"/>
        <v>449</v>
      </c>
      <c r="CL144" s="174">
        <f t="shared" si="127"/>
        <v>5852</v>
      </c>
      <c r="CM144" s="174">
        <f t="shared" si="127"/>
        <v>4646.72</v>
      </c>
      <c r="CN144" s="174">
        <f t="shared" si="127"/>
        <v>925</v>
      </c>
      <c r="CO144" s="174">
        <f t="shared" si="127"/>
        <v>12288</v>
      </c>
      <c r="CP144" s="174">
        <f t="shared" si="127"/>
        <v>9920.6400000000012</v>
      </c>
      <c r="CQ144" s="174">
        <f t="shared" si="127"/>
        <v>717</v>
      </c>
      <c r="CR144" s="174">
        <f t="shared" si="127"/>
        <v>9840</v>
      </c>
      <c r="CS144" s="174">
        <f t="shared" si="127"/>
        <v>7373.2800000000007</v>
      </c>
      <c r="CT144" s="174">
        <f t="shared" si="127"/>
        <v>2306</v>
      </c>
      <c r="CU144" s="174">
        <f t="shared" si="127"/>
        <v>30718</v>
      </c>
      <c r="CV144" s="174">
        <f t="shared" si="127"/>
        <v>23474.080000000002</v>
      </c>
      <c r="CW144" s="174">
        <f t="shared" si="127"/>
        <v>0</v>
      </c>
      <c r="CX144" s="174">
        <f t="shared" si="127"/>
        <v>0</v>
      </c>
      <c r="CY144" s="174">
        <f t="shared" si="127"/>
        <v>0</v>
      </c>
      <c r="CZ144" s="174">
        <f t="shared" si="127"/>
        <v>0</v>
      </c>
      <c r="DA144" s="174">
        <f t="shared" si="127"/>
        <v>0</v>
      </c>
      <c r="DB144" s="174">
        <f t="shared" si="127"/>
        <v>0</v>
      </c>
      <c r="DC144" s="174">
        <f t="shared" si="127"/>
        <v>0</v>
      </c>
      <c r="DD144" s="174">
        <f t="shared" si="127"/>
        <v>0</v>
      </c>
      <c r="DE144" s="174">
        <f t="shared" si="127"/>
        <v>0</v>
      </c>
      <c r="DF144" s="174">
        <f t="shared" si="127"/>
        <v>21178.886904761905</v>
      </c>
      <c r="DG144" s="174">
        <f t="shared" si="127"/>
        <v>285899</v>
      </c>
      <c r="DH144" s="174">
        <f t="shared" si="127"/>
        <v>221678.61</v>
      </c>
    </row>
    <row r="145" spans="1:112" ht="30" customHeight="1" x14ac:dyDescent="0.25">
      <c r="A145" s="546" t="s">
        <v>509</v>
      </c>
      <c r="B145" s="546"/>
      <c r="C145" s="546"/>
      <c r="D145" s="546"/>
      <c r="E145" s="546"/>
    </row>
    <row r="146" spans="1:112" ht="30" customHeight="1" x14ac:dyDescent="0.25">
      <c r="A146" s="275" t="s">
        <v>118</v>
      </c>
      <c r="B146" s="192" t="s">
        <v>117</v>
      </c>
      <c r="C146" s="23"/>
      <c r="D146" s="540" t="s">
        <v>116</v>
      </c>
      <c r="E146" s="541"/>
      <c r="F146" s="542" t="s">
        <v>115</v>
      </c>
      <c r="G146" s="543" t="s">
        <v>114</v>
      </c>
      <c r="H146" s="544"/>
      <c r="I146" s="531" t="s">
        <v>113</v>
      </c>
      <c r="J146" s="545" t="s">
        <v>112</v>
      </c>
      <c r="K146" s="520" t="s">
        <v>510</v>
      </c>
      <c r="L146" s="520"/>
      <c r="M146" s="520"/>
      <c r="N146" s="520" t="s">
        <v>511</v>
      </c>
      <c r="O146" s="520"/>
      <c r="P146" s="520"/>
      <c r="Q146" s="520" t="s">
        <v>512</v>
      </c>
      <c r="R146" s="520"/>
      <c r="S146" s="520"/>
      <c r="T146" s="520" t="s">
        <v>513</v>
      </c>
      <c r="U146" s="520"/>
      <c r="V146" s="520"/>
      <c r="W146" s="520" t="s">
        <v>514</v>
      </c>
      <c r="X146" s="520"/>
      <c r="Y146" s="520"/>
      <c r="Z146" s="520" t="s">
        <v>515</v>
      </c>
      <c r="AA146" s="520"/>
      <c r="AB146" s="520"/>
      <c r="AC146" s="520" t="s">
        <v>516</v>
      </c>
      <c r="AD146" s="520"/>
      <c r="AE146" s="520"/>
      <c r="AF146" s="520" t="s">
        <v>517</v>
      </c>
      <c r="AG146" s="520"/>
      <c r="AH146" s="520"/>
      <c r="AI146" s="520" t="s">
        <v>518</v>
      </c>
      <c r="AJ146" s="520"/>
      <c r="AK146" s="520"/>
      <c r="AL146" s="520" t="s">
        <v>519</v>
      </c>
      <c r="AM146" s="520"/>
      <c r="AN146" s="520"/>
      <c r="AO146" s="521" t="s">
        <v>350</v>
      </c>
      <c r="AP146" s="521"/>
      <c r="AQ146" s="521"/>
      <c r="AR146" s="520" t="s">
        <v>520</v>
      </c>
      <c r="AS146" s="520"/>
      <c r="AT146" s="520"/>
      <c r="AU146" s="520" t="s">
        <v>521</v>
      </c>
      <c r="AV146" s="520"/>
      <c r="AW146" s="520"/>
      <c r="AX146" s="520" t="s">
        <v>522</v>
      </c>
      <c r="AY146" s="520"/>
      <c r="AZ146" s="520"/>
      <c r="BA146" s="520" t="s">
        <v>523</v>
      </c>
      <c r="BB146" s="520"/>
      <c r="BC146" s="520"/>
      <c r="BD146" s="520" t="s">
        <v>524</v>
      </c>
      <c r="BE146" s="520"/>
      <c r="BF146" s="520"/>
      <c r="BG146" s="520" t="s">
        <v>525</v>
      </c>
      <c r="BH146" s="520"/>
      <c r="BI146" s="520"/>
      <c r="BJ146" s="520" t="s">
        <v>526</v>
      </c>
      <c r="BK146" s="520"/>
      <c r="BL146" s="520"/>
      <c r="BM146" s="520" t="s">
        <v>527</v>
      </c>
      <c r="BN146" s="520"/>
      <c r="BO146" s="520"/>
      <c r="BP146" s="520" t="s">
        <v>528</v>
      </c>
      <c r="BQ146" s="520"/>
      <c r="BR146" s="520"/>
      <c r="BS146" s="520" t="s">
        <v>529</v>
      </c>
      <c r="BT146" s="520"/>
      <c r="BU146" s="520"/>
      <c r="BV146" s="521" t="s">
        <v>351</v>
      </c>
      <c r="BW146" s="521"/>
      <c r="BX146" s="521"/>
      <c r="BY146" s="520" t="s">
        <v>530</v>
      </c>
      <c r="BZ146" s="520"/>
      <c r="CA146" s="520"/>
      <c r="CB146" s="520" t="s">
        <v>531</v>
      </c>
      <c r="CC146" s="520"/>
      <c r="CD146" s="520"/>
      <c r="CE146" s="520" t="s">
        <v>532</v>
      </c>
      <c r="CF146" s="520"/>
      <c r="CG146" s="520"/>
      <c r="CH146" s="520" t="s">
        <v>533</v>
      </c>
      <c r="CI146" s="520"/>
      <c r="CJ146" s="520"/>
      <c r="CK146" s="520" t="s">
        <v>534</v>
      </c>
      <c r="CL146" s="520"/>
      <c r="CM146" s="520"/>
      <c r="CN146" s="520" t="s">
        <v>535</v>
      </c>
      <c r="CO146" s="520"/>
      <c r="CP146" s="520"/>
      <c r="CQ146" s="520" t="s">
        <v>536</v>
      </c>
      <c r="CR146" s="520"/>
      <c r="CS146" s="520"/>
      <c r="CT146" s="520" t="s">
        <v>537</v>
      </c>
      <c r="CU146" s="520"/>
      <c r="CV146" s="520"/>
      <c r="CW146" s="520" t="s">
        <v>538</v>
      </c>
      <c r="CX146" s="520"/>
      <c r="CY146" s="520"/>
      <c r="CZ146" s="520" t="s">
        <v>539</v>
      </c>
      <c r="DA146" s="520"/>
      <c r="DB146" s="520"/>
      <c r="DC146" s="520" t="s">
        <v>540</v>
      </c>
      <c r="DD146" s="520"/>
      <c r="DE146" s="520"/>
      <c r="DF146" s="520" t="s">
        <v>111</v>
      </c>
      <c r="DG146" s="520"/>
      <c r="DH146" s="520"/>
    </row>
    <row r="147" spans="1:112" ht="30" customHeight="1" x14ac:dyDescent="0.25">
      <c r="A147" s="276"/>
      <c r="B147" s="193"/>
      <c r="C147" s="24"/>
      <c r="D147" s="529"/>
      <c r="E147" s="530"/>
      <c r="F147" s="536"/>
      <c r="G147" s="534"/>
      <c r="H147" s="535"/>
      <c r="I147" s="531"/>
      <c r="J147" s="538"/>
      <c r="K147" s="10" t="s">
        <v>109</v>
      </c>
      <c r="L147" s="11" t="s">
        <v>108</v>
      </c>
      <c r="M147" s="11" t="s">
        <v>348</v>
      </c>
      <c r="N147" s="10" t="s">
        <v>109</v>
      </c>
      <c r="O147" s="11" t="s">
        <v>108</v>
      </c>
      <c r="P147" s="11" t="s">
        <v>348</v>
      </c>
      <c r="Q147" s="10" t="s">
        <v>109</v>
      </c>
      <c r="R147" s="11" t="s">
        <v>108</v>
      </c>
      <c r="S147" s="11" t="s">
        <v>348</v>
      </c>
      <c r="T147" s="10" t="s">
        <v>109</v>
      </c>
      <c r="U147" s="11" t="s">
        <v>108</v>
      </c>
      <c r="V147" s="11" t="s">
        <v>348</v>
      </c>
      <c r="W147" s="10" t="s">
        <v>109</v>
      </c>
      <c r="X147" s="11" t="s">
        <v>108</v>
      </c>
      <c r="Y147" s="11" t="s">
        <v>348</v>
      </c>
      <c r="Z147" s="10" t="s">
        <v>109</v>
      </c>
      <c r="AA147" s="11" t="s">
        <v>108</v>
      </c>
      <c r="AB147" s="11" t="s">
        <v>348</v>
      </c>
      <c r="AC147" s="10" t="s">
        <v>109</v>
      </c>
      <c r="AD147" s="11" t="s">
        <v>108</v>
      </c>
      <c r="AE147" s="11" t="s">
        <v>348</v>
      </c>
      <c r="AF147" s="10" t="s">
        <v>109</v>
      </c>
      <c r="AG147" s="11" t="s">
        <v>108</v>
      </c>
      <c r="AH147" s="11" t="s">
        <v>348</v>
      </c>
      <c r="AI147" s="10" t="s">
        <v>109</v>
      </c>
      <c r="AJ147" s="11" t="s">
        <v>108</v>
      </c>
      <c r="AK147" s="11" t="s">
        <v>348</v>
      </c>
      <c r="AL147" s="10" t="s">
        <v>109</v>
      </c>
      <c r="AM147" s="11" t="s">
        <v>108</v>
      </c>
      <c r="AN147" s="11" t="s">
        <v>348</v>
      </c>
      <c r="AO147" s="10" t="s">
        <v>109</v>
      </c>
      <c r="AP147" s="11" t="s">
        <v>108</v>
      </c>
      <c r="AQ147" s="11" t="s">
        <v>348</v>
      </c>
      <c r="AR147" s="10" t="s">
        <v>109</v>
      </c>
      <c r="AS147" s="11" t="s">
        <v>108</v>
      </c>
      <c r="AT147" s="11" t="s">
        <v>348</v>
      </c>
      <c r="AU147" s="10" t="s">
        <v>109</v>
      </c>
      <c r="AV147" s="11" t="s">
        <v>108</v>
      </c>
      <c r="AW147" s="11" t="s">
        <v>348</v>
      </c>
      <c r="AX147" s="10" t="s">
        <v>109</v>
      </c>
      <c r="AY147" s="11" t="s">
        <v>108</v>
      </c>
      <c r="AZ147" s="11" t="s">
        <v>348</v>
      </c>
      <c r="BA147" s="10" t="s">
        <v>109</v>
      </c>
      <c r="BB147" s="11" t="s">
        <v>108</v>
      </c>
      <c r="BC147" s="11" t="s">
        <v>348</v>
      </c>
      <c r="BD147" s="10" t="s">
        <v>109</v>
      </c>
      <c r="BE147" s="11" t="s">
        <v>108</v>
      </c>
      <c r="BF147" s="11" t="s">
        <v>348</v>
      </c>
      <c r="BG147" s="10" t="s">
        <v>109</v>
      </c>
      <c r="BH147" s="11" t="s">
        <v>108</v>
      </c>
      <c r="BI147" s="11" t="s">
        <v>348</v>
      </c>
      <c r="BJ147" s="10" t="s">
        <v>109</v>
      </c>
      <c r="BK147" s="11" t="s">
        <v>108</v>
      </c>
      <c r="BL147" s="11" t="s">
        <v>348</v>
      </c>
      <c r="BM147" s="10" t="s">
        <v>109</v>
      </c>
      <c r="BN147" s="11" t="s">
        <v>108</v>
      </c>
      <c r="BO147" s="11" t="s">
        <v>348</v>
      </c>
      <c r="BP147" s="10" t="s">
        <v>109</v>
      </c>
      <c r="BQ147" s="11" t="s">
        <v>108</v>
      </c>
      <c r="BR147" s="11" t="s">
        <v>348</v>
      </c>
      <c r="BS147" s="10" t="s">
        <v>109</v>
      </c>
      <c r="BT147" s="11" t="s">
        <v>108</v>
      </c>
      <c r="BU147" s="11" t="s">
        <v>348</v>
      </c>
      <c r="BV147" s="10" t="s">
        <v>109</v>
      </c>
      <c r="BW147" s="11" t="s">
        <v>108</v>
      </c>
      <c r="BX147" s="11" t="s">
        <v>348</v>
      </c>
      <c r="BY147" s="10" t="s">
        <v>109</v>
      </c>
      <c r="BZ147" s="11" t="s">
        <v>108</v>
      </c>
      <c r="CA147" s="11" t="s">
        <v>348</v>
      </c>
      <c r="CB147" s="10" t="s">
        <v>109</v>
      </c>
      <c r="CC147" s="11" t="s">
        <v>108</v>
      </c>
      <c r="CD147" s="11" t="s">
        <v>348</v>
      </c>
      <c r="CE147" s="10" t="s">
        <v>109</v>
      </c>
      <c r="CF147" s="11" t="s">
        <v>108</v>
      </c>
      <c r="CG147" s="11" t="s">
        <v>348</v>
      </c>
      <c r="CH147" s="10" t="s">
        <v>109</v>
      </c>
      <c r="CI147" s="11" t="s">
        <v>108</v>
      </c>
      <c r="CJ147" s="11" t="s">
        <v>348</v>
      </c>
      <c r="CK147" s="10" t="s">
        <v>109</v>
      </c>
      <c r="CL147" s="11" t="s">
        <v>108</v>
      </c>
      <c r="CM147" s="11" t="s">
        <v>348</v>
      </c>
      <c r="CN147" s="10" t="s">
        <v>109</v>
      </c>
      <c r="CO147" s="11" t="s">
        <v>108</v>
      </c>
      <c r="CP147" s="11" t="s">
        <v>348</v>
      </c>
      <c r="CQ147" s="10" t="s">
        <v>109</v>
      </c>
      <c r="CR147" s="11" t="s">
        <v>108</v>
      </c>
      <c r="CS147" s="11" t="s">
        <v>348</v>
      </c>
      <c r="CT147" s="10" t="s">
        <v>109</v>
      </c>
      <c r="CU147" s="11" t="s">
        <v>108</v>
      </c>
      <c r="CV147" s="11" t="s">
        <v>348</v>
      </c>
      <c r="CW147" s="10" t="s">
        <v>109</v>
      </c>
      <c r="CX147" s="11" t="s">
        <v>108</v>
      </c>
      <c r="CY147" s="11" t="s">
        <v>348</v>
      </c>
      <c r="CZ147" s="10" t="s">
        <v>109</v>
      </c>
      <c r="DA147" s="11" t="s">
        <v>108</v>
      </c>
      <c r="DB147" s="11" t="s">
        <v>348</v>
      </c>
      <c r="DC147" s="10" t="s">
        <v>109</v>
      </c>
      <c r="DD147" s="11" t="s">
        <v>108</v>
      </c>
      <c r="DE147" s="11" t="s">
        <v>348</v>
      </c>
      <c r="DF147" s="10" t="s">
        <v>109</v>
      </c>
      <c r="DG147" s="11" t="s">
        <v>108</v>
      </c>
      <c r="DH147" s="11" t="s">
        <v>348</v>
      </c>
    </row>
    <row r="148" spans="1:112" ht="30" customHeight="1" x14ac:dyDescent="0.25">
      <c r="A148" s="4">
        <v>1</v>
      </c>
      <c r="B148" s="194" t="s">
        <v>81</v>
      </c>
      <c r="C148" s="7" t="s">
        <v>80</v>
      </c>
      <c r="D148" s="7" t="s">
        <v>28</v>
      </c>
      <c r="E148" s="169" t="s">
        <v>317</v>
      </c>
      <c r="F148" s="8" t="s">
        <v>5</v>
      </c>
      <c r="G148" s="25" t="s">
        <v>27</v>
      </c>
      <c r="H148" s="7" t="s">
        <v>26</v>
      </c>
      <c r="I148" s="7" t="s">
        <v>25</v>
      </c>
      <c r="J148" s="3" t="s">
        <v>1</v>
      </c>
      <c r="K148" s="6"/>
      <c r="L148" s="6"/>
      <c r="M148" s="6"/>
      <c r="N148" s="6"/>
      <c r="O148" s="6"/>
      <c r="P148" s="6"/>
      <c r="Q148" s="6">
        <v>300</v>
      </c>
      <c r="R148" s="6">
        <v>3800</v>
      </c>
      <c r="S148" s="6">
        <v>3296</v>
      </c>
      <c r="T148" s="6"/>
      <c r="U148" s="6"/>
      <c r="V148" s="6"/>
      <c r="W148" s="6">
        <v>300</v>
      </c>
      <c r="X148" s="6">
        <v>3800</v>
      </c>
      <c r="Y148" s="6">
        <v>3296</v>
      </c>
      <c r="Z148" s="6">
        <v>715</v>
      </c>
      <c r="AA148" s="6">
        <v>9350</v>
      </c>
      <c r="AB148" s="6">
        <v>7409.6</v>
      </c>
      <c r="AC148" s="6">
        <v>380</v>
      </c>
      <c r="AD148" s="6">
        <v>5020</v>
      </c>
      <c r="AE148" s="6">
        <v>3860.8</v>
      </c>
      <c r="AF148" s="6"/>
      <c r="AG148" s="6"/>
      <c r="AH148" s="6"/>
      <c r="AI148" s="6">
        <v>800</v>
      </c>
      <c r="AJ148" s="6">
        <v>10600</v>
      </c>
      <c r="AK148" s="6">
        <v>8080</v>
      </c>
      <c r="AL148" s="6">
        <v>200</v>
      </c>
      <c r="AM148" s="6">
        <v>2500</v>
      </c>
      <c r="AN148" s="6">
        <v>2248</v>
      </c>
      <c r="AO148" s="173">
        <f>+K148+N148+Q148+T148+W148+Z148+AC148+AF148+AI148+AL148</f>
        <v>2695</v>
      </c>
      <c r="AP148" s="173">
        <f t="shared" ref="AP148:AP161" si="128">+L148+O148+R148+U148+X148+AA148+AD148+AG148+AJ148+AM148</f>
        <v>35070</v>
      </c>
      <c r="AQ148" s="173">
        <f t="shared" ref="AQ148:AQ161" si="129">+M148+P148+S148+V148+Y148+AB148+AE148+AH148+AK148+AN148</f>
        <v>28190.400000000001</v>
      </c>
      <c r="AR148" s="6">
        <v>410</v>
      </c>
      <c r="AS148" s="6">
        <v>5540</v>
      </c>
      <c r="AT148" s="6">
        <v>3977.6</v>
      </c>
      <c r="AU148" s="6"/>
      <c r="AV148" s="6"/>
      <c r="AW148" s="6"/>
      <c r="AX148" s="6">
        <v>110</v>
      </c>
      <c r="AY148" s="6">
        <v>1380</v>
      </c>
      <c r="AZ148" s="6">
        <v>1228.8</v>
      </c>
      <c r="BA148" s="6"/>
      <c r="BB148" s="6"/>
      <c r="BC148" s="6"/>
      <c r="BD148" s="6"/>
      <c r="BE148" s="6"/>
      <c r="BF148" s="6"/>
      <c r="BG148" s="6">
        <v>535</v>
      </c>
      <c r="BH148" s="6">
        <v>6980</v>
      </c>
      <c r="BI148" s="6">
        <v>5568.8</v>
      </c>
      <c r="BJ148" s="6">
        <v>650</v>
      </c>
      <c r="BK148" s="6">
        <v>8400</v>
      </c>
      <c r="BL148" s="6">
        <v>6888</v>
      </c>
      <c r="BM148" s="6">
        <v>320</v>
      </c>
      <c r="BN148" s="6">
        <v>4180</v>
      </c>
      <c r="BO148" s="6">
        <v>3323.2</v>
      </c>
      <c r="BP148" s="6">
        <v>120</v>
      </c>
      <c r="BQ148" s="6">
        <v>1540</v>
      </c>
      <c r="BR148" s="6">
        <v>1288</v>
      </c>
      <c r="BS148" s="6">
        <v>220</v>
      </c>
      <c r="BT148" s="6">
        <v>3040</v>
      </c>
      <c r="BU148" s="6">
        <v>2032</v>
      </c>
      <c r="BV148" s="173">
        <f>+AR148+AU148+AX148+BA148+BD148+BG148+BJ148+BM148+BP148+BS148+AO148</f>
        <v>5060</v>
      </c>
      <c r="BW148" s="173">
        <f t="shared" ref="BW148:BW161" si="130">+AS148+AV148+AY148+BB148+BE148+BH148+BK148+BN148+BQ148+BT148+AP148</f>
        <v>66130</v>
      </c>
      <c r="BX148" s="173">
        <f t="shared" ref="BX148:BX161" si="131">+AT148+AW148+AZ148+BC148+BF148+BI148+BL148+BO148+BR148+BU148+AQ148</f>
        <v>52496.800000000003</v>
      </c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  <c r="CT148" s="6"/>
      <c r="CU148" s="6"/>
      <c r="CV148" s="6"/>
      <c r="CW148" s="6"/>
      <c r="CX148" s="6"/>
      <c r="CY148" s="6"/>
      <c r="CZ148" s="6"/>
      <c r="DA148" s="6"/>
      <c r="DB148" s="6"/>
      <c r="DC148" s="6"/>
      <c r="DD148" s="6"/>
      <c r="DE148" s="6"/>
      <c r="DF148" s="173">
        <f>BV148+CB148+CE148+CH148+CK148+CN148+CQ148+CT148+CW148+CZ148+DC148+BY148</f>
        <v>5060</v>
      </c>
      <c r="DG148" s="173">
        <f>BW148+CC148+CF148+CI148+CL148+CO148+CR148+CU148+CX148+DA148+DD148+BZ148</f>
        <v>66130</v>
      </c>
      <c r="DH148" s="173">
        <f t="shared" ref="DH148:DH161" si="132">BX148+CD148+CG148+CJ148+CM148+CP148+CS148+CV148+CY148+DB148+DE148+CA148</f>
        <v>52496.800000000003</v>
      </c>
    </row>
    <row r="149" spans="1:112" ht="30" customHeight="1" x14ac:dyDescent="0.25">
      <c r="A149" s="4">
        <v>2</v>
      </c>
      <c r="B149" s="194" t="s">
        <v>84</v>
      </c>
      <c r="C149" s="7" t="s">
        <v>324</v>
      </c>
      <c r="D149" s="7" t="s">
        <v>28</v>
      </c>
      <c r="E149" s="169" t="s">
        <v>321</v>
      </c>
      <c r="F149" s="8" t="s">
        <v>5</v>
      </c>
      <c r="G149" s="25" t="s">
        <v>27</v>
      </c>
      <c r="H149" s="7" t="s">
        <v>26</v>
      </c>
      <c r="I149" s="7" t="s">
        <v>25</v>
      </c>
      <c r="J149" s="3" t="s">
        <v>1</v>
      </c>
      <c r="K149" s="6"/>
      <c r="L149" s="6"/>
      <c r="M149" s="6"/>
      <c r="N149" s="6"/>
      <c r="O149" s="6"/>
      <c r="P149" s="6"/>
      <c r="Q149" s="187">
        <v>200</v>
      </c>
      <c r="R149" s="187">
        <v>2400</v>
      </c>
      <c r="S149" s="187">
        <v>2400</v>
      </c>
      <c r="T149" s="187"/>
      <c r="U149" s="187"/>
      <c r="V149" s="187"/>
      <c r="W149" s="6"/>
      <c r="X149" s="6"/>
      <c r="Y149" s="6"/>
      <c r="Z149" s="6">
        <v>100</v>
      </c>
      <c r="AA149" s="6">
        <v>1200</v>
      </c>
      <c r="AB149" s="6">
        <v>1200</v>
      </c>
      <c r="AC149" s="6">
        <v>500</v>
      </c>
      <c r="AD149" s="6">
        <v>7000</v>
      </c>
      <c r="AE149" s="6">
        <v>4480</v>
      </c>
      <c r="AF149" s="6"/>
      <c r="AG149" s="6"/>
      <c r="AH149" s="6"/>
      <c r="AI149" s="6"/>
      <c r="AJ149" s="6"/>
      <c r="AK149" s="6"/>
      <c r="AL149" s="6"/>
      <c r="AM149" s="6"/>
      <c r="AN149" s="6"/>
      <c r="AO149" s="173">
        <f t="shared" ref="AO149:AO161" si="133">+K149+N149+Q149+T149+W149+Z149+AC149+AF149+AI149+AL149</f>
        <v>800</v>
      </c>
      <c r="AP149" s="173">
        <f t="shared" si="128"/>
        <v>10600</v>
      </c>
      <c r="AQ149" s="173">
        <f t="shared" si="129"/>
        <v>8080</v>
      </c>
      <c r="AR149" s="6">
        <v>200</v>
      </c>
      <c r="AS149" s="6">
        <v>2400</v>
      </c>
      <c r="AT149" s="6">
        <v>2400</v>
      </c>
      <c r="AU149" s="6"/>
      <c r="AV149" s="6"/>
      <c r="AW149" s="6"/>
      <c r="AX149" s="6"/>
      <c r="AY149" s="6"/>
      <c r="AZ149" s="6"/>
      <c r="BA149" s="6">
        <v>700</v>
      </c>
      <c r="BB149" s="6">
        <v>9400</v>
      </c>
      <c r="BC149" s="6">
        <v>6880</v>
      </c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>
        <v>600</v>
      </c>
      <c r="BQ149" s="6">
        <v>8200</v>
      </c>
      <c r="BR149" s="6">
        <v>5680</v>
      </c>
      <c r="BS149" s="6"/>
      <c r="BT149" s="6"/>
      <c r="BU149" s="6"/>
      <c r="BV149" s="173">
        <f t="shared" ref="BV149:BV161" si="134">+AR149+AU149+AX149+BA149+BD149+BG149+BJ149+BM149+BP149+BS149+AO149</f>
        <v>2300</v>
      </c>
      <c r="BW149" s="173">
        <f t="shared" si="130"/>
        <v>30600</v>
      </c>
      <c r="BX149" s="173">
        <f t="shared" si="131"/>
        <v>23040</v>
      </c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6"/>
      <c r="CS149" s="6"/>
      <c r="CT149" s="6"/>
      <c r="CU149" s="6"/>
      <c r="CV149" s="6"/>
      <c r="CW149" s="6"/>
      <c r="CX149" s="6"/>
      <c r="CY149" s="6"/>
      <c r="CZ149" s="6"/>
      <c r="DA149" s="6"/>
      <c r="DB149" s="6"/>
      <c r="DC149" s="6"/>
      <c r="DD149" s="6"/>
      <c r="DE149" s="6"/>
      <c r="DF149" s="173">
        <f t="shared" ref="DF149:DF161" si="135">BV149+CB149+CE149+CH149+CK149+CN149+CQ149+CT149+CW149+CZ149+DC149+BY149</f>
        <v>2300</v>
      </c>
      <c r="DG149" s="173">
        <f t="shared" ref="DG149:DG161" si="136">BW149+CC149+CF149+CI149+CL149+CO149+CR149+CU149+CX149+DA149+DD149+BZ149</f>
        <v>30600</v>
      </c>
      <c r="DH149" s="173">
        <f t="shared" si="132"/>
        <v>23040</v>
      </c>
    </row>
    <row r="150" spans="1:112" ht="30" customHeight="1" x14ac:dyDescent="0.25">
      <c r="A150" s="4">
        <v>3</v>
      </c>
      <c r="B150" s="194" t="s">
        <v>54</v>
      </c>
      <c r="C150" s="7" t="s">
        <v>53</v>
      </c>
      <c r="D150" s="7" t="s">
        <v>41</v>
      </c>
      <c r="E150" s="169" t="s">
        <v>319</v>
      </c>
      <c r="F150" s="8" t="s">
        <v>5</v>
      </c>
      <c r="G150" s="25" t="s">
        <v>40</v>
      </c>
      <c r="H150" s="25" t="s">
        <v>39</v>
      </c>
      <c r="I150" s="7" t="s">
        <v>38</v>
      </c>
      <c r="J150" s="3" t="s">
        <v>1</v>
      </c>
      <c r="K150" s="6"/>
      <c r="L150" s="6"/>
      <c r="M150" s="6"/>
      <c r="N150" s="6"/>
      <c r="O150" s="6"/>
      <c r="P150" s="6"/>
      <c r="Q150" s="6"/>
      <c r="R150" s="6"/>
      <c r="S150" s="6"/>
      <c r="T150" s="6">
        <v>200</v>
      </c>
      <c r="U150" s="6">
        <v>2400</v>
      </c>
      <c r="V150" s="6">
        <v>2400</v>
      </c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173">
        <f t="shared" si="133"/>
        <v>200</v>
      </c>
      <c r="AP150" s="173">
        <f t="shared" si="128"/>
        <v>2400</v>
      </c>
      <c r="AQ150" s="173">
        <f t="shared" si="129"/>
        <v>2400</v>
      </c>
      <c r="AR150" s="6"/>
      <c r="AS150" s="6"/>
      <c r="AT150" s="6"/>
      <c r="AU150" s="6">
        <v>300</v>
      </c>
      <c r="AV150" s="6">
        <v>4000</v>
      </c>
      <c r="AW150" s="6">
        <v>2992</v>
      </c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>
        <v>200</v>
      </c>
      <c r="BN150" s="6">
        <v>2500</v>
      </c>
      <c r="BO150" s="6">
        <v>2248</v>
      </c>
      <c r="BP150" s="6">
        <v>100</v>
      </c>
      <c r="BQ150" s="6">
        <v>1400</v>
      </c>
      <c r="BR150" s="6">
        <v>896</v>
      </c>
      <c r="BS150" s="6">
        <v>200</v>
      </c>
      <c r="BT150" s="6">
        <v>2400</v>
      </c>
      <c r="BU150" s="6">
        <v>2400</v>
      </c>
      <c r="BV150" s="173">
        <f t="shared" si="134"/>
        <v>1000</v>
      </c>
      <c r="BW150" s="173">
        <f t="shared" si="130"/>
        <v>12700</v>
      </c>
      <c r="BX150" s="173">
        <f t="shared" si="131"/>
        <v>10936</v>
      </c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  <c r="CT150" s="6"/>
      <c r="CU150" s="6"/>
      <c r="CV150" s="6"/>
      <c r="CW150" s="6"/>
      <c r="CX150" s="6"/>
      <c r="CY150" s="6"/>
      <c r="CZ150" s="6"/>
      <c r="DA150" s="6"/>
      <c r="DB150" s="6"/>
      <c r="DC150" s="6"/>
      <c r="DD150" s="6"/>
      <c r="DE150" s="6"/>
      <c r="DF150" s="173">
        <f t="shared" si="135"/>
        <v>1000</v>
      </c>
      <c r="DG150" s="173">
        <f t="shared" si="136"/>
        <v>12700</v>
      </c>
      <c r="DH150" s="173">
        <f t="shared" si="132"/>
        <v>10936</v>
      </c>
    </row>
    <row r="151" spans="1:112" ht="30" customHeight="1" x14ac:dyDescent="0.25">
      <c r="A151" s="4">
        <v>4</v>
      </c>
      <c r="B151" s="194" t="s">
        <v>60</v>
      </c>
      <c r="C151" s="7" t="s">
        <v>59</v>
      </c>
      <c r="D151" s="7" t="s">
        <v>41</v>
      </c>
      <c r="E151" s="169" t="s">
        <v>319</v>
      </c>
      <c r="F151" s="8" t="s">
        <v>5</v>
      </c>
      <c r="G151" s="25" t="s">
        <v>40</v>
      </c>
      <c r="H151" s="25" t="s">
        <v>39</v>
      </c>
      <c r="I151" s="7" t="s">
        <v>38</v>
      </c>
      <c r="J151" s="3" t="s">
        <v>1</v>
      </c>
      <c r="K151" s="9"/>
      <c r="L151" s="9"/>
      <c r="M151" s="6"/>
      <c r="N151" s="9"/>
      <c r="O151" s="9"/>
      <c r="P151" s="6"/>
      <c r="Q151" s="6"/>
      <c r="R151" s="6"/>
      <c r="S151" s="6"/>
      <c r="T151" s="6"/>
      <c r="U151" s="6"/>
      <c r="V151" s="6"/>
      <c r="W151" s="6">
        <v>194</v>
      </c>
      <c r="X151" s="6">
        <v>2616</v>
      </c>
      <c r="Y151" s="6">
        <v>1890.24</v>
      </c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173">
        <f t="shared" si="133"/>
        <v>194</v>
      </c>
      <c r="AP151" s="173">
        <f t="shared" si="128"/>
        <v>2616</v>
      </c>
      <c r="AQ151" s="173">
        <f t="shared" si="129"/>
        <v>1890.24</v>
      </c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>
        <v>100</v>
      </c>
      <c r="BH151" s="6">
        <v>1340</v>
      </c>
      <c r="BI151" s="6">
        <v>987.2</v>
      </c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173">
        <f t="shared" si="134"/>
        <v>294</v>
      </c>
      <c r="BW151" s="173">
        <f t="shared" si="130"/>
        <v>3956</v>
      </c>
      <c r="BX151" s="173">
        <f t="shared" si="131"/>
        <v>2877.44</v>
      </c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  <c r="CJ151" s="6"/>
      <c r="CK151" s="6"/>
      <c r="CL151" s="6"/>
      <c r="CM151" s="6"/>
      <c r="CN151" s="6"/>
      <c r="CO151" s="6"/>
      <c r="CP151" s="6"/>
      <c r="CQ151" s="6"/>
      <c r="CR151" s="6"/>
      <c r="CS151" s="6"/>
      <c r="CT151" s="6"/>
      <c r="CU151" s="6"/>
      <c r="CV151" s="6"/>
      <c r="CW151" s="6"/>
      <c r="CX151" s="6"/>
      <c r="CY151" s="6"/>
      <c r="CZ151" s="6"/>
      <c r="DA151" s="6"/>
      <c r="DB151" s="6"/>
      <c r="DC151" s="6"/>
      <c r="DD151" s="6"/>
      <c r="DE151" s="6"/>
      <c r="DF151" s="173">
        <f t="shared" si="135"/>
        <v>294</v>
      </c>
      <c r="DG151" s="173">
        <f t="shared" si="136"/>
        <v>3956</v>
      </c>
      <c r="DH151" s="173">
        <f t="shared" si="132"/>
        <v>2877.44</v>
      </c>
    </row>
    <row r="152" spans="1:112" ht="30" customHeight="1" x14ac:dyDescent="0.25">
      <c r="A152" s="4">
        <v>5</v>
      </c>
      <c r="B152" s="194" t="s">
        <v>77</v>
      </c>
      <c r="C152" s="7" t="s">
        <v>76</v>
      </c>
      <c r="D152" s="7" t="s">
        <v>28</v>
      </c>
      <c r="E152" s="169" t="s">
        <v>317</v>
      </c>
      <c r="F152" s="8" t="s">
        <v>5</v>
      </c>
      <c r="G152" s="25" t="s">
        <v>27</v>
      </c>
      <c r="H152" s="7" t="s">
        <v>26</v>
      </c>
      <c r="I152" s="7" t="s">
        <v>25</v>
      </c>
      <c r="J152" s="3" t="s">
        <v>1</v>
      </c>
      <c r="K152" s="9"/>
      <c r="L152" s="9"/>
      <c r="M152" s="6"/>
      <c r="N152" s="9"/>
      <c r="O152" s="9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173">
        <f t="shared" si="133"/>
        <v>0</v>
      </c>
      <c r="AP152" s="173">
        <f t="shared" si="128"/>
        <v>0</v>
      </c>
      <c r="AQ152" s="173">
        <f t="shared" si="129"/>
        <v>0</v>
      </c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173">
        <f t="shared" si="134"/>
        <v>0</v>
      </c>
      <c r="BW152" s="173">
        <f t="shared" si="130"/>
        <v>0</v>
      </c>
      <c r="BX152" s="173">
        <f t="shared" si="131"/>
        <v>0</v>
      </c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6"/>
      <c r="CS152" s="6"/>
      <c r="CT152" s="6"/>
      <c r="CU152" s="6"/>
      <c r="CV152" s="6"/>
      <c r="CW152" s="6"/>
      <c r="CX152" s="6"/>
      <c r="CY152" s="6"/>
      <c r="CZ152" s="6"/>
      <c r="DA152" s="6"/>
      <c r="DB152" s="6"/>
      <c r="DC152" s="6"/>
      <c r="DD152" s="6"/>
      <c r="DE152" s="6"/>
      <c r="DF152" s="173">
        <f t="shared" si="135"/>
        <v>0</v>
      </c>
      <c r="DG152" s="173">
        <f t="shared" si="136"/>
        <v>0</v>
      </c>
      <c r="DH152" s="173">
        <f t="shared" si="132"/>
        <v>0</v>
      </c>
    </row>
    <row r="153" spans="1:112" ht="30" customHeight="1" x14ac:dyDescent="0.25">
      <c r="A153" s="4">
        <v>6</v>
      </c>
      <c r="B153" s="194" t="s">
        <v>398</v>
      </c>
      <c r="C153" s="7" t="s">
        <v>55</v>
      </c>
      <c r="D153" s="7" t="s">
        <v>41</v>
      </c>
      <c r="E153" s="169" t="s">
        <v>319</v>
      </c>
      <c r="F153" s="8" t="s">
        <v>5</v>
      </c>
      <c r="G153" s="25" t="s">
        <v>40</v>
      </c>
      <c r="H153" s="25" t="s">
        <v>39</v>
      </c>
      <c r="I153" s="7" t="s">
        <v>38</v>
      </c>
      <c r="J153" s="3" t="s">
        <v>1</v>
      </c>
      <c r="K153" s="9"/>
      <c r="L153" s="9"/>
      <c r="M153" s="6"/>
      <c r="N153" s="9"/>
      <c r="O153" s="9"/>
      <c r="P153" s="6"/>
      <c r="Q153" s="6"/>
      <c r="R153" s="6"/>
      <c r="S153" s="6"/>
      <c r="T153" s="6">
        <v>50</v>
      </c>
      <c r="U153" s="6">
        <v>1200</v>
      </c>
      <c r="V153" s="6">
        <v>768</v>
      </c>
      <c r="W153" s="6"/>
      <c r="X153" s="6"/>
      <c r="Y153" s="6"/>
      <c r="Z153" s="6"/>
      <c r="AA153" s="6"/>
      <c r="AB153" s="6"/>
      <c r="AC153" s="6">
        <v>60</v>
      </c>
      <c r="AD153" s="6">
        <v>1440</v>
      </c>
      <c r="AE153" s="6">
        <v>921.6</v>
      </c>
      <c r="AF153" s="6"/>
      <c r="AG153" s="6"/>
      <c r="AH153" s="6"/>
      <c r="AI153" s="6">
        <v>20</v>
      </c>
      <c r="AJ153" s="6">
        <v>280</v>
      </c>
      <c r="AK153" s="6">
        <v>179.20000000000002</v>
      </c>
      <c r="AL153" s="6"/>
      <c r="AM153" s="6"/>
      <c r="AN153" s="6"/>
      <c r="AO153" s="173">
        <f t="shared" si="133"/>
        <v>130</v>
      </c>
      <c r="AP153" s="173">
        <f t="shared" si="128"/>
        <v>2920</v>
      </c>
      <c r="AQ153" s="173">
        <f t="shared" si="129"/>
        <v>1868.8</v>
      </c>
      <c r="AR153" s="6">
        <v>40</v>
      </c>
      <c r="AS153" s="6">
        <v>860</v>
      </c>
      <c r="AT153" s="6">
        <v>550.4</v>
      </c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>
        <v>90</v>
      </c>
      <c r="BH153" s="6">
        <v>1760</v>
      </c>
      <c r="BI153" s="6">
        <v>1126.4000000000001</v>
      </c>
      <c r="BJ153" s="6"/>
      <c r="BK153" s="6"/>
      <c r="BL153" s="6"/>
      <c r="BM153" s="6"/>
      <c r="BN153" s="6"/>
      <c r="BO153" s="6"/>
      <c r="BP153" s="6"/>
      <c r="BQ153" s="6"/>
      <c r="BR153" s="6"/>
      <c r="BS153" s="6">
        <v>40</v>
      </c>
      <c r="BT153" s="6">
        <v>960</v>
      </c>
      <c r="BU153" s="6">
        <v>614.4</v>
      </c>
      <c r="BV153" s="173">
        <f t="shared" si="134"/>
        <v>300</v>
      </c>
      <c r="BW153" s="173">
        <f t="shared" si="130"/>
        <v>6500</v>
      </c>
      <c r="BX153" s="173">
        <f t="shared" si="131"/>
        <v>4160</v>
      </c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  <c r="CJ153" s="6"/>
      <c r="CK153" s="6"/>
      <c r="CL153" s="6"/>
      <c r="CM153" s="6"/>
      <c r="CN153" s="6"/>
      <c r="CO153" s="6"/>
      <c r="CP153" s="6"/>
      <c r="CQ153" s="6"/>
      <c r="CR153" s="6"/>
      <c r="CS153" s="6"/>
      <c r="CT153" s="6"/>
      <c r="CU153" s="6"/>
      <c r="CV153" s="6"/>
      <c r="CW153" s="6"/>
      <c r="CX153" s="6"/>
      <c r="CY153" s="6"/>
      <c r="CZ153" s="6"/>
      <c r="DA153" s="6"/>
      <c r="DB153" s="6"/>
      <c r="DC153" s="6"/>
      <c r="DD153" s="6"/>
      <c r="DE153" s="6"/>
      <c r="DF153" s="173">
        <f t="shared" si="135"/>
        <v>300</v>
      </c>
      <c r="DG153" s="173">
        <f t="shared" si="136"/>
        <v>6500</v>
      </c>
      <c r="DH153" s="173">
        <f t="shared" si="132"/>
        <v>4160</v>
      </c>
    </row>
    <row r="154" spans="1:112" ht="30" customHeight="1" x14ac:dyDescent="0.25">
      <c r="A154" s="4">
        <v>7</v>
      </c>
      <c r="B154" s="194" t="s">
        <v>83</v>
      </c>
      <c r="C154" s="7" t="s">
        <v>82</v>
      </c>
      <c r="D154" s="7" t="s">
        <v>28</v>
      </c>
      <c r="E154" s="169" t="s">
        <v>317</v>
      </c>
      <c r="F154" s="8" t="s">
        <v>5</v>
      </c>
      <c r="G154" s="25" t="s">
        <v>27</v>
      </c>
      <c r="H154" s="7" t="s">
        <v>26</v>
      </c>
      <c r="I154" s="7" t="s">
        <v>25</v>
      </c>
      <c r="J154" s="3" t="s">
        <v>1</v>
      </c>
      <c r="K154" s="9"/>
      <c r="L154" s="9"/>
      <c r="M154" s="6"/>
      <c r="N154" s="9"/>
      <c r="O154" s="9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>
        <v>500</v>
      </c>
      <c r="AJ154" s="6">
        <v>6600</v>
      </c>
      <c r="AK154" s="6">
        <v>5088</v>
      </c>
      <c r="AL154" s="6"/>
      <c r="AM154" s="6"/>
      <c r="AN154" s="6"/>
      <c r="AO154" s="173">
        <f t="shared" si="133"/>
        <v>500</v>
      </c>
      <c r="AP154" s="173">
        <f t="shared" si="128"/>
        <v>6600</v>
      </c>
      <c r="AQ154" s="173">
        <f t="shared" si="129"/>
        <v>5088</v>
      </c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173">
        <f t="shared" si="134"/>
        <v>500</v>
      </c>
      <c r="BW154" s="173">
        <f t="shared" si="130"/>
        <v>6600</v>
      </c>
      <c r="BX154" s="173">
        <f t="shared" si="131"/>
        <v>5088</v>
      </c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6"/>
      <c r="CK154" s="6"/>
      <c r="CL154" s="6"/>
      <c r="CM154" s="6"/>
      <c r="CN154" s="6"/>
      <c r="CO154" s="6"/>
      <c r="CP154" s="6"/>
      <c r="CQ154" s="6"/>
      <c r="CR154" s="6"/>
      <c r="CS154" s="6"/>
      <c r="CT154" s="6"/>
      <c r="CU154" s="6"/>
      <c r="CV154" s="6"/>
      <c r="CW154" s="6"/>
      <c r="CX154" s="6"/>
      <c r="CY154" s="6"/>
      <c r="CZ154" s="6"/>
      <c r="DA154" s="6"/>
      <c r="DB154" s="6"/>
      <c r="DC154" s="6"/>
      <c r="DD154" s="6"/>
      <c r="DE154" s="6"/>
      <c r="DF154" s="173">
        <f t="shared" si="135"/>
        <v>500</v>
      </c>
      <c r="DG154" s="173">
        <f t="shared" si="136"/>
        <v>6600</v>
      </c>
      <c r="DH154" s="173">
        <f t="shared" si="132"/>
        <v>5088</v>
      </c>
    </row>
    <row r="155" spans="1:112" ht="30" customHeight="1" x14ac:dyDescent="0.25">
      <c r="A155" s="4">
        <v>8</v>
      </c>
      <c r="B155" s="194" t="s">
        <v>107</v>
      </c>
      <c r="C155" s="7" t="s">
        <v>106</v>
      </c>
      <c r="D155" s="7" t="s">
        <v>41</v>
      </c>
      <c r="E155" s="169" t="s">
        <v>319</v>
      </c>
      <c r="F155" s="8" t="s">
        <v>5</v>
      </c>
      <c r="G155" s="25" t="s">
        <v>40</v>
      </c>
      <c r="H155" s="25" t="s">
        <v>39</v>
      </c>
      <c r="I155" s="7" t="s">
        <v>38</v>
      </c>
      <c r="J155" s="3" t="s">
        <v>1</v>
      </c>
      <c r="K155" s="9"/>
      <c r="L155" s="9"/>
      <c r="M155" s="6"/>
      <c r="N155" s="9"/>
      <c r="O155" s="9"/>
      <c r="P155" s="6"/>
      <c r="Q155" s="6"/>
      <c r="R155" s="6"/>
      <c r="S155" s="6"/>
      <c r="T155" s="6"/>
      <c r="U155" s="6"/>
      <c r="V155" s="6"/>
      <c r="W155" s="6">
        <v>120</v>
      </c>
      <c r="X155" s="6">
        <v>2180</v>
      </c>
      <c r="Y155" s="6">
        <v>1611.2</v>
      </c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173">
        <f t="shared" si="133"/>
        <v>120</v>
      </c>
      <c r="AP155" s="173">
        <f t="shared" si="128"/>
        <v>2180</v>
      </c>
      <c r="AQ155" s="173">
        <f t="shared" si="129"/>
        <v>1611.2</v>
      </c>
      <c r="AR155" s="6"/>
      <c r="AS155" s="6"/>
      <c r="AT155" s="6"/>
      <c r="AU155" s="6">
        <v>110</v>
      </c>
      <c r="AV155" s="6">
        <v>2140</v>
      </c>
      <c r="AW155" s="6">
        <v>1369.6</v>
      </c>
      <c r="AX155" s="6"/>
      <c r="AY155" s="6"/>
      <c r="AZ155" s="6"/>
      <c r="BA155" s="6">
        <v>110</v>
      </c>
      <c r="BB155" s="6">
        <v>2040</v>
      </c>
      <c r="BC155" s="6">
        <v>1521.6</v>
      </c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173">
        <f t="shared" si="134"/>
        <v>340</v>
      </c>
      <c r="BW155" s="173">
        <f t="shared" si="130"/>
        <v>6360</v>
      </c>
      <c r="BX155" s="173">
        <f t="shared" si="131"/>
        <v>4502.3999999999996</v>
      </c>
      <c r="BY155" s="6"/>
      <c r="BZ155" s="6"/>
      <c r="CA155" s="6"/>
      <c r="CB155" s="6"/>
      <c r="CC155" s="6"/>
      <c r="CD155" s="6"/>
      <c r="CE155" s="6"/>
      <c r="CF155" s="6"/>
      <c r="CG155" s="6"/>
      <c r="CH155" s="6"/>
      <c r="CI155" s="6"/>
      <c r="CJ155" s="6"/>
      <c r="CK155" s="6"/>
      <c r="CL155" s="6"/>
      <c r="CM155" s="6"/>
      <c r="CN155" s="6"/>
      <c r="CO155" s="6"/>
      <c r="CP155" s="6"/>
      <c r="CQ155" s="6"/>
      <c r="CR155" s="6"/>
      <c r="CS155" s="6"/>
      <c r="CT155" s="6"/>
      <c r="CU155" s="6"/>
      <c r="CV155" s="6"/>
      <c r="CW155" s="6"/>
      <c r="CX155" s="6"/>
      <c r="CY155" s="6"/>
      <c r="CZ155" s="6"/>
      <c r="DA155" s="6"/>
      <c r="DB155" s="6"/>
      <c r="DC155" s="6"/>
      <c r="DD155" s="6"/>
      <c r="DE155" s="6"/>
      <c r="DF155" s="173">
        <f t="shared" si="135"/>
        <v>340</v>
      </c>
      <c r="DG155" s="173">
        <f t="shared" si="136"/>
        <v>6360</v>
      </c>
      <c r="DH155" s="173">
        <f t="shared" si="132"/>
        <v>4502.3999999999996</v>
      </c>
    </row>
    <row r="156" spans="1:112" ht="30" customHeight="1" x14ac:dyDescent="0.25">
      <c r="A156" s="4">
        <v>9</v>
      </c>
      <c r="B156" s="194" t="s">
        <v>399</v>
      </c>
      <c r="C156" s="7" t="s">
        <v>85</v>
      </c>
      <c r="D156" s="7" t="s">
        <v>28</v>
      </c>
      <c r="E156" s="169" t="s">
        <v>321</v>
      </c>
      <c r="F156" s="8" t="s">
        <v>5</v>
      </c>
      <c r="G156" s="25" t="s">
        <v>27</v>
      </c>
      <c r="H156" s="7" t="s">
        <v>26</v>
      </c>
      <c r="I156" s="7" t="s">
        <v>25</v>
      </c>
      <c r="J156" s="3" t="s">
        <v>1</v>
      </c>
      <c r="K156" s="9"/>
      <c r="L156" s="9"/>
      <c r="M156" s="6"/>
      <c r="N156" s="9"/>
      <c r="O156" s="9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>
        <v>300</v>
      </c>
      <c r="AJ156" s="6">
        <v>4000</v>
      </c>
      <c r="AK156" s="6">
        <v>2992</v>
      </c>
      <c r="AL156" s="6"/>
      <c r="AM156" s="6"/>
      <c r="AN156" s="6"/>
      <c r="AO156" s="173">
        <f t="shared" si="133"/>
        <v>300</v>
      </c>
      <c r="AP156" s="173">
        <f t="shared" si="128"/>
        <v>4000</v>
      </c>
      <c r="AQ156" s="173">
        <f t="shared" si="129"/>
        <v>2992</v>
      </c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>
        <v>200</v>
      </c>
      <c r="BN156" s="6">
        <v>2400</v>
      </c>
      <c r="BO156" s="6">
        <v>2400</v>
      </c>
      <c r="BP156" s="6"/>
      <c r="BQ156" s="6"/>
      <c r="BR156" s="6"/>
      <c r="BS156" s="6"/>
      <c r="BT156" s="6"/>
      <c r="BU156" s="6"/>
      <c r="BV156" s="173">
        <f t="shared" si="134"/>
        <v>500</v>
      </c>
      <c r="BW156" s="173">
        <f t="shared" si="130"/>
        <v>6400</v>
      </c>
      <c r="BX156" s="173">
        <f t="shared" si="131"/>
        <v>5392</v>
      </c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6"/>
      <c r="CK156" s="6"/>
      <c r="CL156" s="6"/>
      <c r="CM156" s="6"/>
      <c r="CN156" s="6"/>
      <c r="CO156" s="6"/>
      <c r="CP156" s="6"/>
      <c r="CQ156" s="6"/>
      <c r="CR156" s="6"/>
      <c r="CS156" s="6"/>
      <c r="CT156" s="6"/>
      <c r="CU156" s="6"/>
      <c r="CV156" s="6"/>
      <c r="CW156" s="6"/>
      <c r="CX156" s="6"/>
      <c r="CY156" s="6"/>
      <c r="CZ156" s="6"/>
      <c r="DA156" s="6"/>
      <c r="DB156" s="6"/>
      <c r="DC156" s="6"/>
      <c r="DD156" s="6"/>
      <c r="DE156" s="6"/>
      <c r="DF156" s="173">
        <f t="shared" si="135"/>
        <v>500</v>
      </c>
      <c r="DG156" s="173">
        <f t="shared" si="136"/>
        <v>6400</v>
      </c>
      <c r="DH156" s="173">
        <f t="shared" si="132"/>
        <v>5392</v>
      </c>
    </row>
    <row r="157" spans="1:112" ht="30" customHeight="1" x14ac:dyDescent="0.25">
      <c r="A157" s="4">
        <v>10</v>
      </c>
      <c r="B157" s="194" t="s">
        <v>56</v>
      </c>
      <c r="C157" s="7" t="s">
        <v>452</v>
      </c>
      <c r="D157" s="7" t="s">
        <v>41</v>
      </c>
      <c r="E157" s="169" t="s">
        <v>319</v>
      </c>
      <c r="F157" s="8" t="s">
        <v>5</v>
      </c>
      <c r="G157" s="25" t="s">
        <v>40</v>
      </c>
      <c r="H157" s="25" t="s">
        <v>39</v>
      </c>
      <c r="I157" s="7" t="s">
        <v>38</v>
      </c>
      <c r="J157" s="3" t="s">
        <v>1</v>
      </c>
      <c r="K157" s="9"/>
      <c r="L157" s="9"/>
      <c r="M157" s="6"/>
      <c r="N157" s="9"/>
      <c r="O157" s="9"/>
      <c r="P157" s="6"/>
      <c r="Q157" s="6"/>
      <c r="R157" s="6"/>
      <c r="S157" s="6"/>
      <c r="T157" s="6"/>
      <c r="U157" s="6"/>
      <c r="V157" s="6"/>
      <c r="W157" s="6">
        <v>100</v>
      </c>
      <c r="X157" s="6">
        <v>1400</v>
      </c>
      <c r="Y157" s="6">
        <v>896</v>
      </c>
      <c r="Z157" s="6">
        <v>175</v>
      </c>
      <c r="AA157" s="6">
        <v>2200</v>
      </c>
      <c r="AB157" s="6">
        <v>1948</v>
      </c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173">
        <f t="shared" si="133"/>
        <v>275</v>
      </c>
      <c r="AP157" s="173">
        <f t="shared" si="128"/>
        <v>3600</v>
      </c>
      <c r="AQ157" s="173">
        <f t="shared" si="129"/>
        <v>2844</v>
      </c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>
        <v>225</v>
      </c>
      <c r="BQ157" s="6">
        <v>3050</v>
      </c>
      <c r="BR157" s="6">
        <v>2168</v>
      </c>
      <c r="BS157" s="6"/>
      <c r="BT157" s="6"/>
      <c r="BU157" s="6"/>
      <c r="BV157" s="173">
        <f t="shared" si="134"/>
        <v>500</v>
      </c>
      <c r="BW157" s="173">
        <f t="shared" si="130"/>
        <v>6650</v>
      </c>
      <c r="BX157" s="173">
        <f t="shared" si="131"/>
        <v>5012</v>
      </c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6"/>
      <c r="CK157" s="6"/>
      <c r="CL157" s="6"/>
      <c r="CM157" s="6"/>
      <c r="CN157" s="6"/>
      <c r="CO157" s="6"/>
      <c r="CP157" s="6"/>
      <c r="CQ157" s="6"/>
      <c r="CR157" s="6"/>
      <c r="CS157" s="6"/>
      <c r="CT157" s="6"/>
      <c r="CU157" s="6"/>
      <c r="CV157" s="6"/>
      <c r="CW157" s="6"/>
      <c r="CX157" s="6"/>
      <c r="CY157" s="6"/>
      <c r="CZ157" s="6"/>
      <c r="DA157" s="6"/>
      <c r="DB157" s="6"/>
      <c r="DC157" s="6"/>
      <c r="DD157" s="6"/>
      <c r="DE157" s="6"/>
      <c r="DF157" s="173">
        <f t="shared" si="135"/>
        <v>500</v>
      </c>
      <c r="DG157" s="173">
        <f t="shared" si="136"/>
        <v>6650</v>
      </c>
      <c r="DH157" s="173">
        <f t="shared" si="132"/>
        <v>5012</v>
      </c>
    </row>
    <row r="158" spans="1:112" ht="30" customHeight="1" x14ac:dyDescent="0.25">
      <c r="A158" s="4">
        <v>11</v>
      </c>
      <c r="B158" s="194" t="s">
        <v>52</v>
      </c>
      <c r="C158" s="7" t="s">
        <v>51</v>
      </c>
      <c r="D158" s="7" t="s">
        <v>8</v>
      </c>
      <c r="E158" s="169" t="s">
        <v>317</v>
      </c>
      <c r="F158" s="8" t="s">
        <v>5</v>
      </c>
      <c r="G158" s="25" t="s">
        <v>4</v>
      </c>
      <c r="H158" s="7" t="s">
        <v>3</v>
      </c>
      <c r="I158" s="7" t="s">
        <v>2</v>
      </c>
      <c r="J158" s="3" t="s">
        <v>1</v>
      </c>
      <c r="K158" s="9"/>
      <c r="L158" s="9"/>
      <c r="M158" s="6"/>
      <c r="N158" s="9"/>
      <c r="O158" s="9"/>
      <c r="P158" s="6"/>
      <c r="Q158" s="6">
        <v>115</v>
      </c>
      <c r="R158" s="6">
        <v>1440</v>
      </c>
      <c r="S158" s="6">
        <v>1288.8</v>
      </c>
      <c r="T158" s="6"/>
      <c r="U158" s="6"/>
      <c r="V158" s="6"/>
      <c r="W158" s="6"/>
      <c r="X158" s="6"/>
      <c r="Y158" s="6"/>
      <c r="Z158" s="6"/>
      <c r="AA158" s="6"/>
      <c r="AB158" s="6"/>
      <c r="AC158" s="6">
        <v>200</v>
      </c>
      <c r="AD158" s="6">
        <v>2600</v>
      </c>
      <c r="AE158" s="6">
        <v>2096</v>
      </c>
      <c r="AF158" s="6"/>
      <c r="AG158" s="6"/>
      <c r="AH158" s="6"/>
      <c r="AI158" s="6"/>
      <c r="AJ158" s="6"/>
      <c r="AK158" s="6"/>
      <c r="AL158" s="6"/>
      <c r="AM158" s="6"/>
      <c r="AN158" s="6"/>
      <c r="AO158" s="173">
        <f t="shared" si="133"/>
        <v>315</v>
      </c>
      <c r="AP158" s="173">
        <f t="shared" si="128"/>
        <v>4040</v>
      </c>
      <c r="AQ158" s="173">
        <f t="shared" si="129"/>
        <v>3384.8</v>
      </c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>
        <v>100</v>
      </c>
      <c r="BN158" s="6">
        <v>1300</v>
      </c>
      <c r="BO158" s="6">
        <v>1048</v>
      </c>
      <c r="BP158" s="6"/>
      <c r="BQ158" s="6"/>
      <c r="BR158" s="6"/>
      <c r="BS158" s="6"/>
      <c r="BT158" s="6"/>
      <c r="BU158" s="6"/>
      <c r="BV158" s="173">
        <f t="shared" si="134"/>
        <v>415</v>
      </c>
      <c r="BW158" s="173">
        <f t="shared" si="130"/>
        <v>5340</v>
      </c>
      <c r="BX158" s="173">
        <f t="shared" si="131"/>
        <v>4432.8</v>
      </c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  <c r="CL158" s="6"/>
      <c r="CM158" s="6"/>
      <c r="CN158" s="6"/>
      <c r="CO158" s="6"/>
      <c r="CP158" s="6"/>
      <c r="CQ158" s="6"/>
      <c r="CR158" s="6"/>
      <c r="CS158" s="6"/>
      <c r="CT158" s="6"/>
      <c r="CU158" s="6"/>
      <c r="CV158" s="6"/>
      <c r="CW158" s="6"/>
      <c r="CX158" s="6"/>
      <c r="CY158" s="6"/>
      <c r="CZ158" s="6"/>
      <c r="DA158" s="6"/>
      <c r="DB158" s="6"/>
      <c r="DC158" s="6"/>
      <c r="DD158" s="6"/>
      <c r="DE158" s="6"/>
      <c r="DF158" s="173">
        <f t="shared" si="135"/>
        <v>415</v>
      </c>
      <c r="DG158" s="173">
        <f t="shared" si="136"/>
        <v>5340</v>
      </c>
      <c r="DH158" s="173">
        <f t="shared" si="132"/>
        <v>4432.8</v>
      </c>
    </row>
    <row r="159" spans="1:112" ht="30" customHeight="1" x14ac:dyDescent="0.25">
      <c r="A159" s="4">
        <v>12</v>
      </c>
      <c r="B159" s="194" t="s">
        <v>69</v>
      </c>
      <c r="C159" s="7" t="s">
        <v>68</v>
      </c>
      <c r="D159" s="7" t="s">
        <v>28</v>
      </c>
      <c r="E159" s="169" t="s">
        <v>317</v>
      </c>
      <c r="F159" s="8" t="s">
        <v>5</v>
      </c>
      <c r="G159" s="25" t="s">
        <v>27</v>
      </c>
      <c r="H159" s="7" t="s">
        <v>26</v>
      </c>
      <c r="I159" s="7" t="s">
        <v>25</v>
      </c>
      <c r="J159" s="3" t="s">
        <v>1</v>
      </c>
      <c r="K159" s="9"/>
      <c r="L159" s="9"/>
      <c r="M159" s="6"/>
      <c r="N159" s="9"/>
      <c r="O159" s="9"/>
      <c r="P159" s="6"/>
      <c r="Q159" s="6"/>
      <c r="R159" s="6"/>
      <c r="S159" s="6"/>
      <c r="T159" s="6">
        <v>80</v>
      </c>
      <c r="U159" s="6">
        <v>960</v>
      </c>
      <c r="V159" s="6">
        <v>960</v>
      </c>
      <c r="W159" s="6">
        <v>600</v>
      </c>
      <c r="X159" s="6">
        <v>7200</v>
      </c>
      <c r="Y159" s="6">
        <v>7200</v>
      </c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173">
        <f t="shared" si="133"/>
        <v>680</v>
      </c>
      <c r="AP159" s="173">
        <f t="shared" si="128"/>
        <v>8160</v>
      </c>
      <c r="AQ159" s="173">
        <f t="shared" si="129"/>
        <v>8160</v>
      </c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173">
        <f t="shared" si="134"/>
        <v>680</v>
      </c>
      <c r="BW159" s="173">
        <f t="shared" si="130"/>
        <v>8160</v>
      </c>
      <c r="BX159" s="173">
        <f t="shared" si="131"/>
        <v>8160</v>
      </c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6"/>
      <c r="CK159" s="6"/>
      <c r="CL159" s="6"/>
      <c r="CM159" s="6"/>
      <c r="CN159" s="6"/>
      <c r="CO159" s="6"/>
      <c r="CP159" s="6"/>
      <c r="CQ159" s="6"/>
      <c r="CR159" s="6"/>
      <c r="CS159" s="6"/>
      <c r="CT159" s="6"/>
      <c r="CU159" s="6"/>
      <c r="CV159" s="6"/>
      <c r="CW159" s="6"/>
      <c r="CX159" s="6"/>
      <c r="CY159" s="6"/>
      <c r="CZ159" s="6"/>
      <c r="DA159" s="6"/>
      <c r="DB159" s="6"/>
      <c r="DC159" s="6"/>
      <c r="DD159" s="6"/>
      <c r="DE159" s="6"/>
      <c r="DF159" s="173">
        <f t="shared" si="135"/>
        <v>680</v>
      </c>
      <c r="DG159" s="173">
        <f t="shared" si="136"/>
        <v>8160</v>
      </c>
      <c r="DH159" s="173">
        <f t="shared" si="132"/>
        <v>8160</v>
      </c>
    </row>
    <row r="160" spans="1:112" ht="30" customHeight="1" x14ac:dyDescent="0.25">
      <c r="A160" s="194">
        <v>13</v>
      </c>
      <c r="B160" s="194" t="s">
        <v>7</v>
      </c>
      <c r="C160" s="7" t="s">
        <v>6</v>
      </c>
      <c r="D160" s="169" t="s">
        <v>451</v>
      </c>
      <c r="E160" s="169" t="s">
        <v>447</v>
      </c>
      <c r="F160" s="8" t="s">
        <v>5</v>
      </c>
      <c r="G160" s="25"/>
      <c r="H160" s="7"/>
      <c r="I160" s="7"/>
      <c r="J160" s="3"/>
      <c r="K160" s="9"/>
      <c r="L160" s="9"/>
      <c r="M160" s="6"/>
      <c r="N160" s="9"/>
      <c r="O160" s="9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173">
        <f t="shared" si="133"/>
        <v>0</v>
      </c>
      <c r="AP160" s="173">
        <f t="shared" si="128"/>
        <v>0</v>
      </c>
      <c r="AQ160" s="173">
        <f t="shared" si="129"/>
        <v>0</v>
      </c>
      <c r="AR160" s="6"/>
      <c r="AS160" s="6"/>
      <c r="AT160" s="6"/>
      <c r="AU160" s="6">
        <v>229</v>
      </c>
      <c r="AV160" s="6">
        <v>3396</v>
      </c>
      <c r="AW160" s="6">
        <v>2389.44</v>
      </c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173">
        <f t="shared" si="134"/>
        <v>229</v>
      </c>
      <c r="BW160" s="173">
        <f t="shared" si="130"/>
        <v>3396</v>
      </c>
      <c r="BX160" s="173">
        <f t="shared" si="131"/>
        <v>2389.44</v>
      </c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/>
      <c r="CQ160" s="6"/>
      <c r="CR160" s="6"/>
      <c r="CS160" s="6"/>
      <c r="CT160" s="6"/>
      <c r="CU160" s="6"/>
      <c r="CV160" s="6"/>
      <c r="CW160" s="6"/>
      <c r="CX160" s="6"/>
      <c r="CY160" s="6"/>
      <c r="CZ160" s="6"/>
      <c r="DA160" s="6"/>
      <c r="DB160" s="6"/>
      <c r="DC160" s="6"/>
      <c r="DD160" s="6"/>
      <c r="DE160" s="6"/>
      <c r="DF160" s="173">
        <f t="shared" si="135"/>
        <v>229</v>
      </c>
      <c r="DG160" s="173">
        <f t="shared" si="136"/>
        <v>3396</v>
      </c>
      <c r="DH160" s="173">
        <f t="shared" si="132"/>
        <v>2389.44</v>
      </c>
    </row>
    <row r="161" spans="1:112" ht="30" customHeight="1" x14ac:dyDescent="0.25">
      <c r="A161" s="4">
        <v>14</v>
      </c>
      <c r="B161" s="194" t="s">
        <v>87</v>
      </c>
      <c r="C161" s="7" t="s">
        <v>86</v>
      </c>
      <c r="D161" s="7" t="s">
        <v>28</v>
      </c>
      <c r="E161" s="169" t="s">
        <v>317</v>
      </c>
      <c r="F161" s="8" t="s">
        <v>5</v>
      </c>
      <c r="G161" s="25"/>
      <c r="H161" s="7"/>
      <c r="I161" s="7"/>
      <c r="J161" s="3"/>
      <c r="K161" s="9"/>
      <c r="L161" s="9"/>
      <c r="M161" s="6"/>
      <c r="N161" s="9"/>
      <c r="O161" s="9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173">
        <f t="shared" si="133"/>
        <v>0</v>
      </c>
      <c r="AP161" s="173">
        <f t="shared" si="128"/>
        <v>0</v>
      </c>
      <c r="AQ161" s="173">
        <f t="shared" si="129"/>
        <v>0</v>
      </c>
      <c r="AR161" s="6"/>
      <c r="AS161" s="6"/>
      <c r="AT161" s="6"/>
      <c r="AU161" s="6">
        <v>250</v>
      </c>
      <c r="AV161" s="6">
        <v>3400</v>
      </c>
      <c r="AW161" s="6">
        <v>2392</v>
      </c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173">
        <f t="shared" si="134"/>
        <v>250</v>
      </c>
      <c r="BW161" s="173">
        <f t="shared" si="130"/>
        <v>3400</v>
      </c>
      <c r="BX161" s="173">
        <f t="shared" si="131"/>
        <v>2392</v>
      </c>
      <c r="BY161" s="6"/>
      <c r="BZ161" s="6"/>
      <c r="CA161" s="6"/>
      <c r="CB161" s="6"/>
      <c r="CC161" s="6"/>
      <c r="CD161" s="6"/>
      <c r="CE161" s="6"/>
      <c r="CF161" s="6"/>
      <c r="CG161" s="6"/>
      <c r="CH161" s="6"/>
      <c r="CI161" s="6"/>
      <c r="CJ161" s="6"/>
      <c r="CK161" s="6"/>
      <c r="CL161" s="6"/>
      <c r="CM161" s="6"/>
      <c r="CN161" s="6"/>
      <c r="CO161" s="6"/>
      <c r="CP161" s="6"/>
      <c r="CQ161" s="6"/>
      <c r="CR161" s="6"/>
      <c r="CS161" s="6"/>
      <c r="CT161" s="6"/>
      <c r="CU161" s="6"/>
      <c r="CV161" s="6"/>
      <c r="CW161" s="6"/>
      <c r="CX161" s="6"/>
      <c r="CY161" s="6"/>
      <c r="CZ161" s="6"/>
      <c r="DA161" s="6"/>
      <c r="DB161" s="6"/>
      <c r="DC161" s="6"/>
      <c r="DD161" s="6"/>
      <c r="DE161" s="6"/>
      <c r="DF161" s="173">
        <f t="shared" si="135"/>
        <v>250</v>
      </c>
      <c r="DG161" s="173">
        <f t="shared" si="136"/>
        <v>3400</v>
      </c>
      <c r="DH161" s="173">
        <f t="shared" si="132"/>
        <v>2392</v>
      </c>
    </row>
    <row r="162" spans="1:112" ht="30" customHeight="1" x14ac:dyDescent="0.25">
      <c r="A162" s="522" t="s">
        <v>0</v>
      </c>
      <c r="B162" s="523"/>
      <c r="C162" s="523"/>
      <c r="D162" s="523"/>
      <c r="E162" s="524"/>
      <c r="F162" s="4"/>
      <c r="G162" s="4"/>
      <c r="H162" s="4"/>
      <c r="I162" s="4"/>
      <c r="J162" s="4"/>
      <c r="K162" s="7">
        <f>SUM(K148:K161)</f>
        <v>0</v>
      </c>
      <c r="L162" s="7">
        <f t="shared" ref="L162:AQ162" si="137">SUM(L148:L161)</f>
        <v>0</v>
      </c>
      <c r="M162" s="7">
        <f t="shared" si="137"/>
        <v>0</v>
      </c>
      <c r="N162" s="7">
        <f t="shared" si="137"/>
        <v>0</v>
      </c>
      <c r="O162" s="7">
        <f t="shared" si="137"/>
        <v>0</v>
      </c>
      <c r="P162" s="7">
        <f t="shared" si="137"/>
        <v>0</v>
      </c>
      <c r="Q162" s="7">
        <f t="shared" si="137"/>
        <v>615</v>
      </c>
      <c r="R162" s="7">
        <f t="shared" si="137"/>
        <v>7640</v>
      </c>
      <c r="S162" s="7">
        <f t="shared" si="137"/>
        <v>6984.8</v>
      </c>
      <c r="T162" s="7">
        <f t="shared" si="137"/>
        <v>330</v>
      </c>
      <c r="U162" s="7">
        <f t="shared" si="137"/>
        <v>4560</v>
      </c>
      <c r="V162" s="7">
        <f t="shared" si="137"/>
        <v>4128</v>
      </c>
      <c r="W162" s="7">
        <f t="shared" si="137"/>
        <v>1314</v>
      </c>
      <c r="X162" s="7">
        <f t="shared" si="137"/>
        <v>17196</v>
      </c>
      <c r="Y162" s="7">
        <f t="shared" si="137"/>
        <v>14893.439999999999</v>
      </c>
      <c r="Z162" s="7">
        <f t="shared" si="137"/>
        <v>990</v>
      </c>
      <c r="AA162" s="7">
        <f t="shared" si="137"/>
        <v>12750</v>
      </c>
      <c r="AB162" s="7">
        <f t="shared" si="137"/>
        <v>10557.6</v>
      </c>
      <c r="AC162" s="7">
        <f t="shared" si="137"/>
        <v>1140</v>
      </c>
      <c r="AD162" s="7">
        <f t="shared" si="137"/>
        <v>16060</v>
      </c>
      <c r="AE162" s="7">
        <f t="shared" si="137"/>
        <v>11358.4</v>
      </c>
      <c r="AF162" s="7">
        <f t="shared" si="137"/>
        <v>0</v>
      </c>
      <c r="AG162" s="7">
        <f t="shared" si="137"/>
        <v>0</v>
      </c>
      <c r="AH162" s="7">
        <f t="shared" si="137"/>
        <v>0</v>
      </c>
      <c r="AI162" s="7">
        <f t="shared" si="137"/>
        <v>1620</v>
      </c>
      <c r="AJ162" s="7">
        <f t="shared" si="137"/>
        <v>21480</v>
      </c>
      <c r="AK162" s="7">
        <f t="shared" si="137"/>
        <v>16339.2</v>
      </c>
      <c r="AL162" s="7">
        <f t="shared" si="137"/>
        <v>200</v>
      </c>
      <c r="AM162" s="7">
        <f t="shared" si="137"/>
        <v>2500</v>
      </c>
      <c r="AN162" s="7">
        <f t="shared" si="137"/>
        <v>2248</v>
      </c>
      <c r="AO162" s="282">
        <f t="shared" si="137"/>
        <v>6209</v>
      </c>
      <c r="AP162" s="282">
        <f t="shared" si="137"/>
        <v>82186</v>
      </c>
      <c r="AQ162" s="282">
        <f t="shared" si="137"/>
        <v>66509.440000000002</v>
      </c>
      <c r="AR162" s="2">
        <f>SUM(AR148:AR161)</f>
        <v>650</v>
      </c>
      <c r="AS162" s="2">
        <f t="shared" ref="AS162:BU162" si="138">SUM(AS148:AS161)</f>
        <v>8800</v>
      </c>
      <c r="AT162" s="2">
        <f t="shared" si="138"/>
        <v>6928</v>
      </c>
      <c r="AU162" s="2">
        <f t="shared" si="138"/>
        <v>889</v>
      </c>
      <c r="AV162" s="2">
        <f t="shared" si="138"/>
        <v>12936</v>
      </c>
      <c r="AW162" s="2">
        <f t="shared" si="138"/>
        <v>9143.0400000000009</v>
      </c>
      <c r="AX162" s="2">
        <f t="shared" si="138"/>
        <v>110</v>
      </c>
      <c r="AY162" s="2">
        <f t="shared" si="138"/>
        <v>1380</v>
      </c>
      <c r="AZ162" s="2">
        <f t="shared" si="138"/>
        <v>1228.8</v>
      </c>
      <c r="BA162" s="2">
        <f t="shared" si="138"/>
        <v>810</v>
      </c>
      <c r="BB162" s="2">
        <f t="shared" si="138"/>
        <v>11440</v>
      </c>
      <c r="BC162" s="2">
        <f t="shared" si="138"/>
        <v>8401.6</v>
      </c>
      <c r="BD162" s="2">
        <f t="shared" si="138"/>
        <v>0</v>
      </c>
      <c r="BE162" s="2">
        <f t="shared" si="138"/>
        <v>0</v>
      </c>
      <c r="BF162" s="2">
        <f t="shared" si="138"/>
        <v>0</v>
      </c>
      <c r="BG162" s="2">
        <f t="shared" si="138"/>
        <v>725</v>
      </c>
      <c r="BH162" s="2">
        <f t="shared" si="138"/>
        <v>10080</v>
      </c>
      <c r="BI162" s="2">
        <f t="shared" si="138"/>
        <v>7682.4</v>
      </c>
      <c r="BJ162" s="2">
        <f t="shared" si="138"/>
        <v>650</v>
      </c>
      <c r="BK162" s="2">
        <f t="shared" si="138"/>
        <v>8400</v>
      </c>
      <c r="BL162" s="2">
        <f t="shared" si="138"/>
        <v>6888</v>
      </c>
      <c r="BM162" s="2">
        <f t="shared" si="138"/>
        <v>820</v>
      </c>
      <c r="BN162" s="2">
        <f t="shared" si="138"/>
        <v>10380</v>
      </c>
      <c r="BO162" s="2">
        <f t="shared" si="138"/>
        <v>9019.2000000000007</v>
      </c>
      <c r="BP162" s="2">
        <f t="shared" si="138"/>
        <v>1045</v>
      </c>
      <c r="BQ162" s="2">
        <f t="shared" si="138"/>
        <v>14190</v>
      </c>
      <c r="BR162" s="2">
        <f t="shared" si="138"/>
        <v>10032</v>
      </c>
      <c r="BS162" s="2">
        <f t="shared" si="138"/>
        <v>460</v>
      </c>
      <c r="BT162" s="2">
        <f t="shared" si="138"/>
        <v>6400</v>
      </c>
      <c r="BU162" s="2">
        <f t="shared" si="138"/>
        <v>5046.3999999999996</v>
      </c>
      <c r="BV162" s="198">
        <f>SUM(BV148:BV161)</f>
        <v>12368</v>
      </c>
      <c r="BW162" s="198">
        <f t="shared" ref="BW162:BX162" si="139">SUM(BW148:BW161)</f>
        <v>166192</v>
      </c>
      <c r="BX162" s="198">
        <f t="shared" si="139"/>
        <v>130878.88</v>
      </c>
      <c r="BY162" s="2">
        <f>SUM(BY148:BY161)</f>
        <v>0</v>
      </c>
      <c r="BZ162" s="2">
        <f t="shared" ref="BZ162:DE162" si="140">SUM(BZ148:BZ161)</f>
        <v>0</v>
      </c>
      <c r="CA162" s="2">
        <f t="shared" si="140"/>
        <v>0</v>
      </c>
      <c r="CB162" s="2">
        <f t="shared" si="140"/>
        <v>0</v>
      </c>
      <c r="CC162" s="2">
        <f t="shared" si="140"/>
        <v>0</v>
      </c>
      <c r="CD162" s="2">
        <f t="shared" si="140"/>
        <v>0</v>
      </c>
      <c r="CE162" s="2">
        <f t="shared" si="140"/>
        <v>0</v>
      </c>
      <c r="CF162" s="2">
        <f t="shared" si="140"/>
        <v>0</v>
      </c>
      <c r="CG162" s="2">
        <f t="shared" si="140"/>
        <v>0</v>
      </c>
      <c r="CH162" s="2">
        <f t="shared" si="140"/>
        <v>0</v>
      </c>
      <c r="CI162" s="2">
        <f t="shared" si="140"/>
        <v>0</v>
      </c>
      <c r="CJ162" s="2">
        <f t="shared" si="140"/>
        <v>0</v>
      </c>
      <c r="CK162" s="2">
        <f t="shared" si="140"/>
        <v>0</v>
      </c>
      <c r="CL162" s="2">
        <f t="shared" si="140"/>
        <v>0</v>
      </c>
      <c r="CM162" s="2">
        <f t="shared" si="140"/>
        <v>0</v>
      </c>
      <c r="CN162" s="2">
        <f t="shared" si="140"/>
        <v>0</v>
      </c>
      <c r="CO162" s="2">
        <f t="shared" si="140"/>
        <v>0</v>
      </c>
      <c r="CP162" s="2">
        <f t="shared" si="140"/>
        <v>0</v>
      </c>
      <c r="CQ162" s="2">
        <f t="shared" si="140"/>
        <v>0</v>
      </c>
      <c r="CR162" s="2">
        <f t="shared" si="140"/>
        <v>0</v>
      </c>
      <c r="CS162" s="2">
        <f t="shared" si="140"/>
        <v>0</v>
      </c>
      <c r="CT162" s="2">
        <f t="shared" si="140"/>
        <v>0</v>
      </c>
      <c r="CU162" s="2">
        <f t="shared" si="140"/>
        <v>0</v>
      </c>
      <c r="CV162" s="2">
        <f t="shared" si="140"/>
        <v>0</v>
      </c>
      <c r="CW162" s="2">
        <f t="shared" si="140"/>
        <v>0</v>
      </c>
      <c r="CX162" s="2">
        <f t="shared" si="140"/>
        <v>0</v>
      </c>
      <c r="CY162" s="2">
        <f t="shared" si="140"/>
        <v>0</v>
      </c>
      <c r="CZ162" s="2">
        <f t="shared" si="140"/>
        <v>0</v>
      </c>
      <c r="DA162" s="2">
        <f t="shared" si="140"/>
        <v>0</v>
      </c>
      <c r="DB162" s="2">
        <f t="shared" si="140"/>
        <v>0</v>
      </c>
      <c r="DC162" s="2">
        <f t="shared" si="140"/>
        <v>0</v>
      </c>
      <c r="DD162" s="2">
        <f t="shared" si="140"/>
        <v>0</v>
      </c>
      <c r="DE162" s="2">
        <f t="shared" si="140"/>
        <v>0</v>
      </c>
      <c r="DF162" s="198">
        <f>SUM(DF148:DF161)</f>
        <v>12368</v>
      </c>
      <c r="DG162" s="198">
        <f>SUM(DG148:DG161)</f>
        <v>166192</v>
      </c>
      <c r="DH162" s="198">
        <f t="shared" ref="DH162" si="141">SUM(DH148:DH161)</f>
        <v>130878.88</v>
      </c>
    </row>
    <row r="164" spans="1:112" ht="30" customHeight="1" x14ac:dyDescent="0.25">
      <c r="A164" s="539" t="s">
        <v>118</v>
      </c>
      <c r="B164" s="383" t="s">
        <v>117</v>
      </c>
      <c r="C164" s="384"/>
      <c r="D164" s="540" t="s">
        <v>116</v>
      </c>
      <c r="E164" s="541"/>
      <c r="F164" s="542" t="s">
        <v>115</v>
      </c>
      <c r="G164" s="543" t="s">
        <v>114</v>
      </c>
      <c r="H164" s="544"/>
      <c r="I164" s="531" t="s">
        <v>113</v>
      </c>
      <c r="J164" s="545" t="s">
        <v>112</v>
      </c>
      <c r="K164" s="520" t="s">
        <v>510</v>
      </c>
      <c r="L164" s="520"/>
      <c r="M164" s="520"/>
      <c r="N164" s="520" t="s">
        <v>511</v>
      </c>
      <c r="O164" s="520"/>
      <c r="P164" s="520"/>
      <c r="Q164" s="520" t="s">
        <v>512</v>
      </c>
      <c r="R164" s="520"/>
      <c r="S164" s="520"/>
      <c r="T164" s="520" t="s">
        <v>513</v>
      </c>
      <c r="U164" s="520"/>
      <c r="V164" s="520"/>
      <c r="W164" s="520" t="s">
        <v>514</v>
      </c>
      <c r="X164" s="520"/>
      <c r="Y164" s="520"/>
      <c r="Z164" s="520" t="s">
        <v>515</v>
      </c>
      <c r="AA164" s="520"/>
      <c r="AB164" s="520"/>
      <c r="AC164" s="520" t="s">
        <v>516</v>
      </c>
      <c r="AD164" s="520"/>
      <c r="AE164" s="520"/>
      <c r="AF164" s="520" t="s">
        <v>517</v>
      </c>
      <c r="AG164" s="520"/>
      <c r="AH164" s="520"/>
      <c r="AI164" s="520" t="s">
        <v>518</v>
      </c>
      <c r="AJ164" s="520"/>
      <c r="AK164" s="520"/>
      <c r="AL164" s="520" t="s">
        <v>519</v>
      </c>
      <c r="AM164" s="520"/>
      <c r="AN164" s="520"/>
      <c r="AO164" s="521" t="s">
        <v>350</v>
      </c>
      <c r="AP164" s="521"/>
      <c r="AQ164" s="521"/>
      <c r="AR164" s="520" t="s">
        <v>520</v>
      </c>
      <c r="AS164" s="520"/>
      <c r="AT164" s="520"/>
      <c r="AU164" s="520" t="s">
        <v>521</v>
      </c>
      <c r="AV164" s="520"/>
      <c r="AW164" s="520"/>
      <c r="AX164" s="520" t="s">
        <v>522</v>
      </c>
      <c r="AY164" s="520"/>
      <c r="AZ164" s="520"/>
      <c r="BA164" s="520" t="s">
        <v>523</v>
      </c>
      <c r="BB164" s="520"/>
      <c r="BC164" s="520"/>
      <c r="BD164" s="520" t="s">
        <v>524</v>
      </c>
      <c r="BE164" s="520"/>
      <c r="BF164" s="520"/>
      <c r="BG164" s="520" t="s">
        <v>525</v>
      </c>
      <c r="BH164" s="520"/>
      <c r="BI164" s="520"/>
      <c r="BJ164" s="520" t="s">
        <v>526</v>
      </c>
      <c r="BK164" s="520"/>
      <c r="BL164" s="520"/>
      <c r="BM164" s="520" t="s">
        <v>527</v>
      </c>
      <c r="BN164" s="520"/>
      <c r="BO164" s="520"/>
      <c r="BP164" s="520" t="s">
        <v>528</v>
      </c>
      <c r="BQ164" s="520"/>
      <c r="BR164" s="520"/>
      <c r="BS164" s="520" t="s">
        <v>529</v>
      </c>
      <c r="BT164" s="520"/>
      <c r="BU164" s="520"/>
      <c r="BV164" s="521" t="s">
        <v>351</v>
      </c>
      <c r="BW164" s="521"/>
      <c r="BX164" s="521"/>
      <c r="BY164" s="520" t="s">
        <v>530</v>
      </c>
      <c r="BZ164" s="520"/>
      <c r="CA164" s="520"/>
      <c r="CB164" s="520" t="s">
        <v>531</v>
      </c>
      <c r="CC164" s="520"/>
      <c r="CD164" s="520"/>
      <c r="CE164" s="520" t="s">
        <v>532</v>
      </c>
      <c r="CF164" s="520"/>
      <c r="CG164" s="520"/>
      <c r="CH164" s="520" t="s">
        <v>533</v>
      </c>
      <c r="CI164" s="520"/>
      <c r="CJ164" s="520"/>
      <c r="CK164" s="520" t="s">
        <v>534</v>
      </c>
      <c r="CL164" s="520"/>
      <c r="CM164" s="520"/>
      <c r="CN164" s="520" t="s">
        <v>535</v>
      </c>
      <c r="CO164" s="520"/>
      <c r="CP164" s="520"/>
      <c r="CQ164" s="520" t="s">
        <v>536</v>
      </c>
      <c r="CR164" s="520"/>
      <c r="CS164" s="520"/>
      <c r="CT164" s="520" t="s">
        <v>537</v>
      </c>
      <c r="CU164" s="520"/>
      <c r="CV164" s="520"/>
      <c r="CW164" s="520" t="s">
        <v>538</v>
      </c>
      <c r="CX164" s="520"/>
      <c r="CY164" s="520"/>
      <c r="CZ164" s="520" t="s">
        <v>539</v>
      </c>
      <c r="DA164" s="520"/>
      <c r="DB164" s="520"/>
      <c r="DC164" s="520" t="s">
        <v>540</v>
      </c>
      <c r="DD164" s="520"/>
      <c r="DE164" s="520"/>
      <c r="DF164" s="520" t="s">
        <v>111</v>
      </c>
      <c r="DG164" s="520"/>
      <c r="DH164" s="520"/>
    </row>
    <row r="165" spans="1:112" ht="30" customHeight="1" x14ac:dyDescent="0.25">
      <c r="A165" s="526"/>
      <c r="B165" s="385"/>
      <c r="C165" s="386"/>
      <c r="D165" s="529"/>
      <c r="E165" s="530"/>
      <c r="F165" s="536"/>
      <c r="G165" s="534"/>
      <c r="H165" s="535"/>
      <c r="I165" s="531"/>
      <c r="J165" s="538"/>
      <c r="K165" s="10" t="s">
        <v>109</v>
      </c>
      <c r="L165" s="11" t="s">
        <v>108</v>
      </c>
      <c r="M165" s="11" t="s">
        <v>348</v>
      </c>
      <c r="N165" s="10" t="s">
        <v>109</v>
      </c>
      <c r="O165" s="11" t="s">
        <v>108</v>
      </c>
      <c r="P165" s="11" t="s">
        <v>348</v>
      </c>
      <c r="Q165" s="10" t="s">
        <v>109</v>
      </c>
      <c r="R165" s="11" t="s">
        <v>108</v>
      </c>
      <c r="S165" s="11" t="s">
        <v>348</v>
      </c>
      <c r="T165" s="10" t="s">
        <v>109</v>
      </c>
      <c r="U165" s="11" t="s">
        <v>108</v>
      </c>
      <c r="V165" s="11" t="s">
        <v>348</v>
      </c>
      <c r="W165" s="10" t="s">
        <v>109</v>
      </c>
      <c r="X165" s="11" t="s">
        <v>108</v>
      </c>
      <c r="Y165" s="11" t="s">
        <v>348</v>
      </c>
      <c r="Z165" s="10" t="s">
        <v>109</v>
      </c>
      <c r="AA165" s="11" t="s">
        <v>108</v>
      </c>
      <c r="AB165" s="11" t="s">
        <v>348</v>
      </c>
      <c r="AC165" s="10" t="s">
        <v>109</v>
      </c>
      <c r="AD165" s="11" t="s">
        <v>108</v>
      </c>
      <c r="AE165" s="11" t="s">
        <v>348</v>
      </c>
      <c r="AF165" s="10" t="s">
        <v>109</v>
      </c>
      <c r="AG165" s="11" t="s">
        <v>108</v>
      </c>
      <c r="AH165" s="11" t="s">
        <v>348</v>
      </c>
      <c r="AI165" s="10" t="s">
        <v>109</v>
      </c>
      <c r="AJ165" s="11" t="s">
        <v>108</v>
      </c>
      <c r="AK165" s="11" t="s">
        <v>348</v>
      </c>
      <c r="AL165" s="10" t="s">
        <v>109</v>
      </c>
      <c r="AM165" s="11" t="s">
        <v>108</v>
      </c>
      <c r="AN165" s="11" t="s">
        <v>348</v>
      </c>
      <c r="AO165" s="10" t="s">
        <v>109</v>
      </c>
      <c r="AP165" s="11" t="s">
        <v>108</v>
      </c>
      <c r="AQ165" s="11" t="s">
        <v>348</v>
      </c>
      <c r="AR165" s="10" t="s">
        <v>109</v>
      </c>
      <c r="AS165" s="11" t="s">
        <v>108</v>
      </c>
      <c r="AT165" s="11" t="s">
        <v>348</v>
      </c>
      <c r="AU165" s="10" t="s">
        <v>109</v>
      </c>
      <c r="AV165" s="11" t="s">
        <v>108</v>
      </c>
      <c r="AW165" s="11" t="s">
        <v>348</v>
      </c>
      <c r="AX165" s="10" t="s">
        <v>109</v>
      </c>
      <c r="AY165" s="11" t="s">
        <v>108</v>
      </c>
      <c r="AZ165" s="11" t="s">
        <v>348</v>
      </c>
      <c r="BA165" s="10" t="s">
        <v>109</v>
      </c>
      <c r="BB165" s="11" t="s">
        <v>108</v>
      </c>
      <c r="BC165" s="11" t="s">
        <v>348</v>
      </c>
      <c r="BD165" s="10" t="s">
        <v>109</v>
      </c>
      <c r="BE165" s="11" t="s">
        <v>108</v>
      </c>
      <c r="BF165" s="11" t="s">
        <v>348</v>
      </c>
      <c r="BG165" s="10" t="s">
        <v>109</v>
      </c>
      <c r="BH165" s="11" t="s">
        <v>108</v>
      </c>
      <c r="BI165" s="11" t="s">
        <v>348</v>
      </c>
      <c r="BJ165" s="10" t="s">
        <v>109</v>
      </c>
      <c r="BK165" s="11" t="s">
        <v>108</v>
      </c>
      <c r="BL165" s="11" t="s">
        <v>348</v>
      </c>
      <c r="BM165" s="10" t="s">
        <v>109</v>
      </c>
      <c r="BN165" s="11" t="s">
        <v>108</v>
      </c>
      <c r="BO165" s="11" t="s">
        <v>348</v>
      </c>
      <c r="BP165" s="10" t="s">
        <v>109</v>
      </c>
      <c r="BQ165" s="11" t="s">
        <v>108</v>
      </c>
      <c r="BR165" s="11" t="s">
        <v>348</v>
      </c>
      <c r="BS165" s="10" t="s">
        <v>109</v>
      </c>
      <c r="BT165" s="11" t="s">
        <v>108</v>
      </c>
      <c r="BU165" s="11" t="s">
        <v>348</v>
      </c>
      <c r="BV165" s="10" t="s">
        <v>109</v>
      </c>
      <c r="BW165" s="11" t="s">
        <v>108</v>
      </c>
      <c r="BX165" s="11" t="s">
        <v>348</v>
      </c>
      <c r="BY165" s="10" t="s">
        <v>109</v>
      </c>
      <c r="BZ165" s="11" t="s">
        <v>108</v>
      </c>
      <c r="CA165" s="11" t="s">
        <v>348</v>
      </c>
      <c r="CB165" s="10" t="s">
        <v>109</v>
      </c>
      <c r="CC165" s="11" t="s">
        <v>108</v>
      </c>
      <c r="CD165" s="11" t="s">
        <v>348</v>
      </c>
      <c r="CE165" s="10" t="s">
        <v>109</v>
      </c>
      <c r="CF165" s="11" t="s">
        <v>108</v>
      </c>
      <c r="CG165" s="11" t="s">
        <v>348</v>
      </c>
      <c r="CH165" s="10" t="s">
        <v>109</v>
      </c>
      <c r="CI165" s="11" t="s">
        <v>108</v>
      </c>
      <c r="CJ165" s="11" t="s">
        <v>348</v>
      </c>
      <c r="CK165" s="10" t="s">
        <v>109</v>
      </c>
      <c r="CL165" s="11" t="s">
        <v>108</v>
      </c>
      <c r="CM165" s="11" t="s">
        <v>348</v>
      </c>
      <c r="CN165" s="10" t="s">
        <v>109</v>
      </c>
      <c r="CO165" s="11" t="s">
        <v>108</v>
      </c>
      <c r="CP165" s="11" t="s">
        <v>348</v>
      </c>
      <c r="CQ165" s="10" t="s">
        <v>109</v>
      </c>
      <c r="CR165" s="11" t="s">
        <v>108</v>
      </c>
      <c r="CS165" s="11" t="s">
        <v>348</v>
      </c>
      <c r="CT165" s="10" t="s">
        <v>109</v>
      </c>
      <c r="CU165" s="11" t="s">
        <v>108</v>
      </c>
      <c r="CV165" s="11" t="s">
        <v>348</v>
      </c>
      <c r="CW165" s="10" t="s">
        <v>109</v>
      </c>
      <c r="CX165" s="11" t="s">
        <v>108</v>
      </c>
      <c r="CY165" s="11" t="s">
        <v>348</v>
      </c>
      <c r="CZ165" s="10" t="s">
        <v>109</v>
      </c>
      <c r="DA165" s="11" t="s">
        <v>108</v>
      </c>
      <c r="DB165" s="11" t="s">
        <v>348</v>
      </c>
      <c r="DC165" s="10" t="s">
        <v>109</v>
      </c>
      <c r="DD165" s="11" t="s">
        <v>108</v>
      </c>
      <c r="DE165" s="11" t="s">
        <v>348</v>
      </c>
      <c r="DF165" s="10" t="s">
        <v>109</v>
      </c>
      <c r="DG165" s="11" t="s">
        <v>108</v>
      </c>
      <c r="DH165" s="11" t="s">
        <v>348</v>
      </c>
    </row>
    <row r="166" spans="1:112" ht="30" customHeight="1" x14ac:dyDescent="0.25">
      <c r="A166" s="25">
        <v>1</v>
      </c>
      <c r="B166" s="194" t="s">
        <v>62</v>
      </c>
      <c r="C166" s="7" t="s">
        <v>453</v>
      </c>
      <c r="D166" s="7" t="s">
        <v>272</v>
      </c>
      <c r="E166" s="180" t="s">
        <v>357</v>
      </c>
      <c r="F166" s="169" t="s">
        <v>271</v>
      </c>
      <c r="G166" s="25"/>
      <c r="H166" s="7"/>
      <c r="I166" s="7"/>
      <c r="J166" s="3"/>
      <c r="K166" s="6"/>
      <c r="L166" s="6"/>
      <c r="M166" s="6"/>
      <c r="N166" s="6"/>
      <c r="O166" s="6"/>
      <c r="P166" s="6"/>
      <c r="Q166" s="6">
        <v>210</v>
      </c>
      <c r="R166" s="6">
        <v>2820</v>
      </c>
      <c r="S166" s="6">
        <v>2064</v>
      </c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173">
        <f t="shared" ref="AO166:AO189" si="142">+K166+N166+Q166+T166+W166+Z166+AC166+AF166+AI166+AL166</f>
        <v>210</v>
      </c>
      <c r="AP166" s="173">
        <f t="shared" ref="AP166:AP189" si="143">+L166+O166+R166+U166+X166+AA166+AD166+AG166+AJ166+AM166</f>
        <v>2820</v>
      </c>
      <c r="AQ166" s="173">
        <f t="shared" ref="AQ166:AQ189" si="144">+M166+P166+S166+V166+Y166+AB166+AE166+AH166+AK166+AN166</f>
        <v>2064</v>
      </c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173">
        <f>+AO166+AR166+AU166+AX166+BA166+BD166+BG166+BJ166+BM166+BP166+BS166</f>
        <v>210</v>
      </c>
      <c r="BW166" s="173">
        <f t="shared" ref="BW166:BW189" si="145">+AP166+AS166+AV166+AY166+BB166+BE166+BH166+BK166+BN166+BQ166+BT166</f>
        <v>2820</v>
      </c>
      <c r="BX166" s="173">
        <f t="shared" ref="BX166:BX189" si="146">+AQ166+AT166+AW166+AZ166+BC166+BF166+BI166+BL166+BO166+BR166+BU166</f>
        <v>2064</v>
      </c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6"/>
      <c r="CK166" s="6"/>
      <c r="CL166" s="6"/>
      <c r="CM166" s="6"/>
      <c r="CN166" s="6"/>
      <c r="CO166" s="6"/>
      <c r="CP166" s="6"/>
      <c r="CQ166" s="6"/>
      <c r="CR166" s="6"/>
      <c r="CS166" s="6"/>
      <c r="CT166" s="6"/>
      <c r="CU166" s="6"/>
      <c r="CV166" s="6"/>
      <c r="CW166" s="6"/>
      <c r="CX166" s="6"/>
      <c r="CY166" s="6"/>
      <c r="CZ166" s="6"/>
      <c r="DA166" s="6"/>
      <c r="DB166" s="6"/>
      <c r="DC166" s="6"/>
      <c r="DD166" s="6"/>
      <c r="DE166" s="6"/>
      <c r="DF166" s="173">
        <f>BV166+CB166+CE166+CH166+CK166+CN166+CQ166+CT166+CW166+CZ166+DC166+BY166</f>
        <v>210</v>
      </c>
      <c r="DG166" s="173">
        <f t="shared" ref="DG166:DG189" si="147">BW166+CC166+CF166+CI166+CL166+CO166+CR166+CU166+CX166+DA166+DD166+BZ166</f>
        <v>2820</v>
      </c>
      <c r="DH166" s="173">
        <f t="shared" ref="DH166:DH189" si="148">BX166+CD166+CG166+CJ166+CM166+CP166+CS166+CV166+CY166+DB166+DE166+CA166</f>
        <v>2064</v>
      </c>
    </row>
    <row r="167" spans="1:112" ht="30" customHeight="1" x14ac:dyDescent="0.25">
      <c r="A167" s="25">
        <v>2</v>
      </c>
      <c r="B167" s="194" t="s">
        <v>20</v>
      </c>
      <c r="C167" s="7" t="s">
        <v>19</v>
      </c>
      <c r="D167" s="7" t="s">
        <v>28</v>
      </c>
      <c r="E167" s="180" t="s">
        <v>401</v>
      </c>
      <c r="F167" s="169" t="s">
        <v>271</v>
      </c>
      <c r="G167" s="25"/>
      <c r="H167" s="7"/>
      <c r="I167" s="7"/>
      <c r="J167" s="3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>
        <v>230</v>
      </c>
      <c r="AA167" s="6">
        <v>3160</v>
      </c>
      <c r="AB167" s="6">
        <v>2152</v>
      </c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173">
        <f t="shared" si="142"/>
        <v>230</v>
      </c>
      <c r="AP167" s="173">
        <f t="shared" si="143"/>
        <v>3160</v>
      </c>
      <c r="AQ167" s="173">
        <f t="shared" si="144"/>
        <v>2152</v>
      </c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173">
        <f t="shared" ref="BV167:BV187" si="149">+AO167+AR167+AU167+AX167+BA167+BD167+BG167+BJ167+BM167+BP167+BS167</f>
        <v>230</v>
      </c>
      <c r="BW167" s="173">
        <f t="shared" si="145"/>
        <v>3160</v>
      </c>
      <c r="BX167" s="173">
        <f t="shared" si="146"/>
        <v>2152</v>
      </c>
      <c r="BY167" s="6"/>
      <c r="BZ167" s="6"/>
      <c r="CA167" s="6"/>
      <c r="CB167" s="6"/>
      <c r="CC167" s="6"/>
      <c r="CD167" s="6"/>
      <c r="CE167" s="6"/>
      <c r="CF167" s="6"/>
      <c r="CG167" s="6"/>
      <c r="CH167" s="6"/>
      <c r="CI167" s="6"/>
      <c r="CJ167" s="6"/>
      <c r="CK167" s="6"/>
      <c r="CL167" s="6"/>
      <c r="CM167" s="6"/>
      <c r="CN167" s="6"/>
      <c r="CO167" s="6"/>
      <c r="CP167" s="6"/>
      <c r="CQ167" s="6"/>
      <c r="CR167" s="6"/>
      <c r="CS167" s="6"/>
      <c r="CT167" s="6"/>
      <c r="CU167" s="6"/>
      <c r="CV167" s="6"/>
      <c r="CW167" s="6"/>
      <c r="CX167" s="6"/>
      <c r="CY167" s="6"/>
      <c r="CZ167" s="6"/>
      <c r="DA167" s="6"/>
      <c r="DB167" s="6"/>
      <c r="DC167" s="6"/>
      <c r="DD167" s="6"/>
      <c r="DE167" s="6"/>
      <c r="DF167" s="173">
        <f t="shared" ref="DF167:DF189" si="150">BV167+CB167+CE167+CH167+CK167+CN167+CQ167+CT167+CW167+CZ167+DC167+BY167</f>
        <v>230</v>
      </c>
      <c r="DG167" s="173">
        <f t="shared" si="147"/>
        <v>3160</v>
      </c>
      <c r="DH167" s="173">
        <f t="shared" si="148"/>
        <v>2152</v>
      </c>
    </row>
    <row r="168" spans="1:112" ht="30" customHeight="1" x14ac:dyDescent="0.25">
      <c r="A168" s="25">
        <v>3</v>
      </c>
      <c r="B168" s="194" t="s">
        <v>274</v>
      </c>
      <c r="C168" s="7" t="s">
        <v>273</v>
      </c>
      <c r="D168" s="7" t="s">
        <v>28</v>
      </c>
      <c r="E168" s="180" t="s">
        <v>353</v>
      </c>
      <c r="F168" s="169" t="s">
        <v>271</v>
      </c>
      <c r="G168" s="25"/>
      <c r="H168" s="25"/>
      <c r="I168" s="7"/>
      <c r="J168" s="3"/>
      <c r="K168" s="6"/>
      <c r="L168" s="6"/>
      <c r="M168" s="6"/>
      <c r="N168" s="6"/>
      <c r="O168" s="6"/>
      <c r="P168" s="6"/>
      <c r="Q168" s="6">
        <v>145</v>
      </c>
      <c r="R168" s="6">
        <v>1940</v>
      </c>
      <c r="S168" s="6">
        <v>1436</v>
      </c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>
        <v>100</v>
      </c>
      <c r="AJ168" s="6">
        <v>1300</v>
      </c>
      <c r="AK168" s="6">
        <v>1048</v>
      </c>
      <c r="AL168" s="6"/>
      <c r="AM168" s="6"/>
      <c r="AN168" s="6"/>
      <c r="AO168" s="173">
        <f t="shared" si="142"/>
        <v>245</v>
      </c>
      <c r="AP168" s="173">
        <f t="shared" si="143"/>
        <v>3240</v>
      </c>
      <c r="AQ168" s="173">
        <f t="shared" si="144"/>
        <v>2484</v>
      </c>
      <c r="AR168" s="6">
        <v>200</v>
      </c>
      <c r="AS168" s="6">
        <v>2700</v>
      </c>
      <c r="AT168" s="6">
        <v>1944</v>
      </c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173">
        <f t="shared" si="149"/>
        <v>445</v>
      </c>
      <c r="BW168" s="173">
        <f t="shared" si="145"/>
        <v>5940</v>
      </c>
      <c r="BX168" s="173">
        <f t="shared" si="146"/>
        <v>4428</v>
      </c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6"/>
      <c r="CK168" s="6"/>
      <c r="CL168" s="6"/>
      <c r="CM168" s="6"/>
      <c r="CN168" s="6"/>
      <c r="CO168" s="6"/>
      <c r="CP168" s="6"/>
      <c r="CQ168" s="6"/>
      <c r="CR168" s="6"/>
      <c r="CS168" s="6"/>
      <c r="CT168" s="6"/>
      <c r="CU168" s="6"/>
      <c r="CV168" s="6"/>
      <c r="CW168" s="6"/>
      <c r="CX168" s="6"/>
      <c r="CY168" s="6"/>
      <c r="CZ168" s="6"/>
      <c r="DA168" s="6"/>
      <c r="DB168" s="6"/>
      <c r="DC168" s="6"/>
      <c r="DD168" s="6"/>
      <c r="DE168" s="6"/>
      <c r="DF168" s="173">
        <f t="shared" si="150"/>
        <v>445</v>
      </c>
      <c r="DG168" s="173">
        <f t="shared" si="147"/>
        <v>5940</v>
      </c>
      <c r="DH168" s="173">
        <f t="shared" si="148"/>
        <v>4428</v>
      </c>
    </row>
    <row r="169" spans="1:112" ht="30" customHeight="1" x14ac:dyDescent="0.25">
      <c r="A169" s="25">
        <v>4</v>
      </c>
      <c r="B169" s="194" t="s">
        <v>48</v>
      </c>
      <c r="C169" s="7" t="s">
        <v>47</v>
      </c>
      <c r="D169" s="7" t="s">
        <v>28</v>
      </c>
      <c r="E169" s="180" t="s">
        <v>360</v>
      </c>
      <c r="F169" s="169" t="s">
        <v>271</v>
      </c>
      <c r="G169" s="25"/>
      <c r="H169" s="25"/>
      <c r="I169" s="7"/>
      <c r="J169" s="3"/>
      <c r="K169" s="9"/>
      <c r="L169" s="9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>
        <v>50</v>
      </c>
      <c r="AA169" s="6">
        <v>700</v>
      </c>
      <c r="AB169" s="6">
        <v>448</v>
      </c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173">
        <f t="shared" si="142"/>
        <v>50</v>
      </c>
      <c r="AP169" s="173">
        <f t="shared" si="143"/>
        <v>700</v>
      </c>
      <c r="AQ169" s="173">
        <f t="shared" si="144"/>
        <v>448</v>
      </c>
      <c r="AR169" s="6"/>
      <c r="AS169" s="6"/>
      <c r="AT169" s="6"/>
      <c r="AU169" s="6">
        <v>50</v>
      </c>
      <c r="AV169" s="6">
        <v>700</v>
      </c>
      <c r="AW169" s="6">
        <v>448</v>
      </c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>
        <v>50</v>
      </c>
      <c r="BK169" s="6">
        <v>700</v>
      </c>
      <c r="BL169" s="6">
        <v>448</v>
      </c>
      <c r="BM169" s="6"/>
      <c r="BN169" s="6"/>
      <c r="BO169" s="6"/>
      <c r="BP169" s="6"/>
      <c r="BQ169" s="6"/>
      <c r="BR169" s="6"/>
      <c r="BS169" s="6"/>
      <c r="BT169" s="6"/>
      <c r="BU169" s="6"/>
      <c r="BV169" s="173">
        <f t="shared" si="149"/>
        <v>150</v>
      </c>
      <c r="BW169" s="173">
        <f t="shared" si="145"/>
        <v>2100</v>
      </c>
      <c r="BX169" s="173">
        <f t="shared" si="146"/>
        <v>1344</v>
      </c>
      <c r="BY169" s="6"/>
      <c r="BZ169" s="6"/>
      <c r="CA169" s="6"/>
      <c r="CB169" s="6"/>
      <c r="CC169" s="6"/>
      <c r="CD169" s="6"/>
      <c r="CE169" s="6"/>
      <c r="CF169" s="6"/>
      <c r="CG169" s="6"/>
      <c r="CH169" s="6"/>
      <c r="CI169" s="6"/>
      <c r="CJ169" s="6"/>
      <c r="CK169" s="6"/>
      <c r="CL169" s="6"/>
      <c r="CM169" s="6"/>
      <c r="CN169" s="6"/>
      <c r="CO169" s="6"/>
      <c r="CP169" s="6"/>
      <c r="CQ169" s="6"/>
      <c r="CR169" s="6"/>
      <c r="CS169" s="6"/>
      <c r="CT169" s="6"/>
      <c r="CU169" s="6"/>
      <c r="CV169" s="6"/>
      <c r="CW169" s="6"/>
      <c r="CX169" s="6"/>
      <c r="CY169" s="6"/>
      <c r="CZ169" s="6"/>
      <c r="DA169" s="6"/>
      <c r="DB169" s="6"/>
      <c r="DC169" s="6"/>
      <c r="DD169" s="6"/>
      <c r="DE169" s="6"/>
      <c r="DF169" s="173">
        <f t="shared" si="150"/>
        <v>150</v>
      </c>
      <c r="DG169" s="173">
        <f t="shared" si="147"/>
        <v>2100</v>
      </c>
      <c r="DH169" s="173">
        <f t="shared" si="148"/>
        <v>1344</v>
      </c>
    </row>
    <row r="170" spans="1:112" ht="30" customHeight="1" x14ac:dyDescent="0.25">
      <c r="A170" s="25">
        <v>5</v>
      </c>
      <c r="B170" s="194" t="s">
        <v>75</v>
      </c>
      <c r="C170" s="7" t="s">
        <v>454</v>
      </c>
      <c r="D170" s="7" t="s">
        <v>28</v>
      </c>
      <c r="E170" s="180" t="s">
        <v>353</v>
      </c>
      <c r="F170" s="169" t="s">
        <v>271</v>
      </c>
      <c r="G170" s="25"/>
      <c r="H170" s="7"/>
      <c r="I170" s="7"/>
      <c r="J170" s="3"/>
      <c r="K170" s="9"/>
      <c r="L170" s="9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173">
        <f t="shared" si="142"/>
        <v>0</v>
      </c>
      <c r="AP170" s="173">
        <f t="shared" si="143"/>
        <v>0</v>
      </c>
      <c r="AQ170" s="173">
        <f t="shared" si="144"/>
        <v>0</v>
      </c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173">
        <f t="shared" si="149"/>
        <v>0</v>
      </c>
      <c r="BW170" s="173">
        <f t="shared" si="145"/>
        <v>0</v>
      </c>
      <c r="BX170" s="173">
        <f t="shared" si="146"/>
        <v>0</v>
      </c>
      <c r="BY170" s="6"/>
      <c r="BZ170" s="6"/>
      <c r="CA170" s="6"/>
      <c r="CB170" s="6"/>
      <c r="CC170" s="6"/>
      <c r="CD170" s="6"/>
      <c r="CE170" s="6"/>
      <c r="CF170" s="6"/>
      <c r="CG170" s="6"/>
      <c r="CH170" s="6"/>
      <c r="CI170" s="6"/>
      <c r="CJ170" s="6"/>
      <c r="CK170" s="6"/>
      <c r="CL170" s="6"/>
      <c r="CM170" s="6"/>
      <c r="CN170" s="6"/>
      <c r="CO170" s="6"/>
      <c r="CP170" s="6"/>
      <c r="CQ170" s="6"/>
      <c r="CR170" s="6"/>
      <c r="CS170" s="6"/>
      <c r="CT170" s="6"/>
      <c r="CU170" s="6"/>
      <c r="CV170" s="6"/>
      <c r="CW170" s="6"/>
      <c r="CX170" s="6"/>
      <c r="CY170" s="6"/>
      <c r="CZ170" s="6"/>
      <c r="DA170" s="6"/>
      <c r="DB170" s="6"/>
      <c r="DC170" s="6"/>
      <c r="DD170" s="6"/>
      <c r="DE170" s="6"/>
      <c r="DF170" s="173">
        <f t="shared" si="150"/>
        <v>0</v>
      </c>
      <c r="DG170" s="173">
        <f t="shared" si="147"/>
        <v>0</v>
      </c>
      <c r="DH170" s="173">
        <f t="shared" si="148"/>
        <v>0</v>
      </c>
    </row>
    <row r="171" spans="1:112" ht="30" customHeight="1" x14ac:dyDescent="0.25">
      <c r="A171" s="25">
        <v>6</v>
      </c>
      <c r="B171" s="194" t="s">
        <v>79</v>
      </c>
      <c r="C171" s="7" t="s">
        <v>78</v>
      </c>
      <c r="D171" s="7" t="s">
        <v>21</v>
      </c>
      <c r="E171" s="180" t="s">
        <v>357</v>
      </c>
      <c r="F171" s="169" t="s">
        <v>271</v>
      </c>
      <c r="G171" s="25"/>
      <c r="H171" s="25"/>
      <c r="I171" s="7"/>
      <c r="J171" s="3"/>
      <c r="K171" s="9"/>
      <c r="L171" s="9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173">
        <f t="shared" si="142"/>
        <v>0</v>
      </c>
      <c r="AP171" s="173">
        <f t="shared" si="143"/>
        <v>0</v>
      </c>
      <c r="AQ171" s="173">
        <f t="shared" si="144"/>
        <v>0</v>
      </c>
      <c r="AR171" s="6"/>
      <c r="AS171" s="6"/>
      <c r="AT171" s="6"/>
      <c r="AU171" s="6"/>
      <c r="AV171" s="6"/>
      <c r="AW171" s="6"/>
      <c r="AX171" s="6">
        <v>200</v>
      </c>
      <c r="AY171" s="6">
        <v>2700</v>
      </c>
      <c r="AZ171" s="6">
        <v>1944</v>
      </c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>
        <v>54</v>
      </c>
      <c r="BN171" s="6">
        <v>648</v>
      </c>
      <c r="BO171" s="6">
        <v>648</v>
      </c>
      <c r="BP171" s="6"/>
      <c r="BQ171" s="6"/>
      <c r="BR171" s="6"/>
      <c r="BS171" s="6"/>
      <c r="BT171" s="6"/>
      <c r="BU171" s="6"/>
      <c r="BV171" s="173">
        <f t="shared" si="149"/>
        <v>254</v>
      </c>
      <c r="BW171" s="173">
        <f t="shared" si="145"/>
        <v>3348</v>
      </c>
      <c r="BX171" s="173">
        <f t="shared" si="146"/>
        <v>2592</v>
      </c>
      <c r="BY171" s="6"/>
      <c r="BZ171" s="6"/>
      <c r="CA171" s="6"/>
      <c r="CB171" s="6"/>
      <c r="CC171" s="6"/>
      <c r="CD171" s="6"/>
      <c r="CE171" s="6"/>
      <c r="CF171" s="6"/>
      <c r="CG171" s="6"/>
      <c r="CH171" s="6"/>
      <c r="CI171" s="6"/>
      <c r="CJ171" s="6"/>
      <c r="CK171" s="6"/>
      <c r="CL171" s="6"/>
      <c r="CM171" s="6"/>
      <c r="CN171" s="6"/>
      <c r="CO171" s="6"/>
      <c r="CP171" s="6"/>
      <c r="CQ171" s="6"/>
      <c r="CR171" s="6"/>
      <c r="CS171" s="6"/>
      <c r="CT171" s="6"/>
      <c r="CU171" s="6"/>
      <c r="CV171" s="6"/>
      <c r="CW171" s="6"/>
      <c r="CX171" s="6"/>
      <c r="CY171" s="6"/>
      <c r="CZ171" s="6"/>
      <c r="DA171" s="6"/>
      <c r="DB171" s="6"/>
      <c r="DC171" s="6"/>
      <c r="DD171" s="6"/>
      <c r="DE171" s="6"/>
      <c r="DF171" s="173">
        <f t="shared" si="150"/>
        <v>254</v>
      </c>
      <c r="DG171" s="173">
        <f t="shared" si="147"/>
        <v>3348</v>
      </c>
      <c r="DH171" s="173">
        <f t="shared" si="148"/>
        <v>2592</v>
      </c>
    </row>
    <row r="172" spans="1:112" ht="30" customHeight="1" x14ac:dyDescent="0.25">
      <c r="A172" s="25">
        <v>7</v>
      </c>
      <c r="B172" s="194" t="s">
        <v>89</v>
      </c>
      <c r="C172" s="7" t="s">
        <v>88</v>
      </c>
      <c r="D172" s="7" t="s">
        <v>41</v>
      </c>
      <c r="E172" s="180" t="s">
        <v>354</v>
      </c>
      <c r="F172" s="169" t="s">
        <v>271</v>
      </c>
      <c r="G172" s="25"/>
      <c r="H172" s="7"/>
      <c r="I172" s="7"/>
      <c r="J172" s="3"/>
      <c r="K172" s="9"/>
      <c r="L172" s="9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173">
        <f t="shared" si="142"/>
        <v>0</v>
      </c>
      <c r="AP172" s="173">
        <f t="shared" si="143"/>
        <v>0</v>
      </c>
      <c r="AQ172" s="173">
        <f t="shared" si="144"/>
        <v>0</v>
      </c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>
        <v>300</v>
      </c>
      <c r="BK172" s="6">
        <v>4200</v>
      </c>
      <c r="BL172" s="6">
        <v>2688</v>
      </c>
      <c r="BM172" s="6"/>
      <c r="BN172" s="6"/>
      <c r="BO172" s="6"/>
      <c r="BP172" s="6"/>
      <c r="BQ172" s="6"/>
      <c r="BR172" s="6"/>
      <c r="BS172" s="6"/>
      <c r="BT172" s="6"/>
      <c r="BU172" s="6"/>
      <c r="BV172" s="173">
        <f t="shared" si="149"/>
        <v>300</v>
      </c>
      <c r="BW172" s="173">
        <f t="shared" si="145"/>
        <v>4200</v>
      </c>
      <c r="BX172" s="173">
        <f t="shared" si="146"/>
        <v>2688</v>
      </c>
      <c r="BY172" s="6"/>
      <c r="BZ172" s="6"/>
      <c r="CA172" s="6"/>
      <c r="CB172" s="6"/>
      <c r="CC172" s="6"/>
      <c r="CD172" s="6"/>
      <c r="CE172" s="6"/>
      <c r="CF172" s="6"/>
      <c r="CG172" s="6"/>
      <c r="CH172" s="6"/>
      <c r="CI172" s="6"/>
      <c r="CJ172" s="6"/>
      <c r="CK172" s="6"/>
      <c r="CL172" s="6"/>
      <c r="CM172" s="6"/>
      <c r="CN172" s="6"/>
      <c r="CO172" s="6"/>
      <c r="CP172" s="6"/>
      <c r="CQ172" s="6"/>
      <c r="CR172" s="6"/>
      <c r="CS172" s="6"/>
      <c r="CT172" s="6"/>
      <c r="CU172" s="6"/>
      <c r="CV172" s="6"/>
      <c r="CW172" s="6"/>
      <c r="CX172" s="6"/>
      <c r="CY172" s="6"/>
      <c r="CZ172" s="6"/>
      <c r="DA172" s="6"/>
      <c r="DB172" s="6"/>
      <c r="DC172" s="6"/>
      <c r="DD172" s="6"/>
      <c r="DE172" s="6"/>
      <c r="DF172" s="173">
        <f t="shared" si="150"/>
        <v>300</v>
      </c>
      <c r="DG172" s="173">
        <f t="shared" si="147"/>
        <v>4200</v>
      </c>
      <c r="DH172" s="173">
        <f t="shared" si="148"/>
        <v>2688</v>
      </c>
    </row>
    <row r="173" spans="1:112" ht="30" customHeight="1" x14ac:dyDescent="0.25">
      <c r="A173" s="25">
        <v>8</v>
      </c>
      <c r="B173" s="194" t="s">
        <v>144</v>
      </c>
      <c r="C173" s="7" t="s">
        <v>143</v>
      </c>
      <c r="D173" s="7" t="s">
        <v>46</v>
      </c>
      <c r="E173" s="180" t="s">
        <v>357</v>
      </c>
      <c r="F173" s="169" t="s">
        <v>271</v>
      </c>
      <c r="G173" s="25"/>
      <c r="H173" s="25"/>
      <c r="I173" s="7"/>
      <c r="J173" s="3"/>
      <c r="K173" s="9"/>
      <c r="L173" s="9"/>
      <c r="M173" s="6"/>
      <c r="N173" s="6"/>
      <c r="O173" s="6"/>
      <c r="P173" s="6"/>
      <c r="Q173" s="6"/>
      <c r="R173" s="6"/>
      <c r="S173" s="6"/>
      <c r="T173" s="6">
        <v>200</v>
      </c>
      <c r="U173" s="6">
        <v>2800</v>
      </c>
      <c r="V173" s="6">
        <v>1792</v>
      </c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173">
        <f t="shared" si="142"/>
        <v>200</v>
      </c>
      <c r="AP173" s="173">
        <f t="shared" si="143"/>
        <v>2800</v>
      </c>
      <c r="AQ173" s="173">
        <f t="shared" si="144"/>
        <v>1792</v>
      </c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173">
        <f t="shared" si="149"/>
        <v>200</v>
      </c>
      <c r="BW173" s="173">
        <f t="shared" si="145"/>
        <v>2800</v>
      </c>
      <c r="BX173" s="173">
        <f t="shared" si="146"/>
        <v>1792</v>
      </c>
      <c r="BY173" s="6"/>
      <c r="BZ173" s="6"/>
      <c r="CA173" s="6"/>
      <c r="CB173" s="6"/>
      <c r="CC173" s="6"/>
      <c r="CD173" s="6"/>
      <c r="CE173" s="6"/>
      <c r="CF173" s="6"/>
      <c r="CG173" s="6"/>
      <c r="CH173" s="6"/>
      <c r="CI173" s="6"/>
      <c r="CJ173" s="6"/>
      <c r="CK173" s="6"/>
      <c r="CL173" s="6"/>
      <c r="CM173" s="6"/>
      <c r="CN173" s="6"/>
      <c r="CO173" s="6"/>
      <c r="CP173" s="6"/>
      <c r="CQ173" s="6"/>
      <c r="CR173" s="6"/>
      <c r="CS173" s="6"/>
      <c r="CT173" s="6"/>
      <c r="CU173" s="6"/>
      <c r="CV173" s="6"/>
      <c r="CW173" s="6"/>
      <c r="CX173" s="6"/>
      <c r="CY173" s="6"/>
      <c r="CZ173" s="6"/>
      <c r="DA173" s="6"/>
      <c r="DB173" s="6"/>
      <c r="DC173" s="6"/>
      <c r="DD173" s="6"/>
      <c r="DE173" s="6"/>
      <c r="DF173" s="173">
        <f t="shared" si="150"/>
        <v>200</v>
      </c>
      <c r="DG173" s="173">
        <f t="shared" si="147"/>
        <v>2800</v>
      </c>
      <c r="DH173" s="173">
        <f t="shared" si="148"/>
        <v>1792</v>
      </c>
    </row>
    <row r="174" spans="1:112" ht="30" customHeight="1" x14ac:dyDescent="0.25">
      <c r="A174" s="25">
        <v>9</v>
      </c>
      <c r="B174" s="194" t="s">
        <v>30</v>
      </c>
      <c r="C174" s="7" t="s">
        <v>29</v>
      </c>
      <c r="D174" s="7" t="s">
        <v>46</v>
      </c>
      <c r="E174" s="180" t="s">
        <v>353</v>
      </c>
      <c r="F174" s="169" t="s">
        <v>271</v>
      </c>
      <c r="G174" s="25" t="s">
        <v>27</v>
      </c>
      <c r="H174" s="7" t="s">
        <v>26</v>
      </c>
      <c r="I174" s="7" t="s">
        <v>25</v>
      </c>
      <c r="J174" s="3" t="s">
        <v>1</v>
      </c>
      <c r="K174" s="9"/>
      <c r="L174" s="9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173">
        <f t="shared" si="142"/>
        <v>0</v>
      </c>
      <c r="AP174" s="173">
        <f t="shared" si="143"/>
        <v>0</v>
      </c>
      <c r="AQ174" s="173">
        <f t="shared" si="144"/>
        <v>0</v>
      </c>
      <c r="AR174" s="6"/>
      <c r="AS174" s="6"/>
      <c r="AT174" s="6"/>
      <c r="AU174" s="6"/>
      <c r="AV174" s="6"/>
      <c r="AW174" s="6"/>
      <c r="AX174" s="6">
        <v>1030</v>
      </c>
      <c r="AY174" s="6">
        <v>12360</v>
      </c>
      <c r="AZ174" s="6">
        <v>12360</v>
      </c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173">
        <f t="shared" si="149"/>
        <v>1030</v>
      </c>
      <c r="BW174" s="173">
        <f t="shared" si="145"/>
        <v>12360</v>
      </c>
      <c r="BX174" s="173">
        <f t="shared" si="146"/>
        <v>12360</v>
      </c>
      <c r="BY174" s="6"/>
      <c r="BZ174" s="6"/>
      <c r="CA174" s="6"/>
      <c r="CB174" s="6"/>
      <c r="CC174" s="6"/>
      <c r="CD174" s="6"/>
      <c r="CE174" s="6"/>
      <c r="CF174" s="6"/>
      <c r="CG174" s="6"/>
      <c r="CH174" s="6"/>
      <c r="CI174" s="6"/>
      <c r="CJ174" s="6"/>
      <c r="CK174" s="6"/>
      <c r="CL174" s="6"/>
      <c r="CM174" s="6"/>
      <c r="CN174" s="6"/>
      <c r="CO174" s="6"/>
      <c r="CP174" s="6"/>
      <c r="CQ174" s="6"/>
      <c r="CR174" s="6"/>
      <c r="CS174" s="6"/>
      <c r="CT174" s="6"/>
      <c r="CU174" s="6"/>
      <c r="CV174" s="6"/>
      <c r="CW174" s="6"/>
      <c r="CX174" s="6"/>
      <c r="CY174" s="6"/>
      <c r="CZ174" s="6"/>
      <c r="DA174" s="6"/>
      <c r="DB174" s="6"/>
      <c r="DC174" s="6"/>
      <c r="DD174" s="6"/>
      <c r="DE174" s="6"/>
      <c r="DF174" s="173">
        <f t="shared" si="150"/>
        <v>1030</v>
      </c>
      <c r="DG174" s="173">
        <f t="shared" si="147"/>
        <v>12360</v>
      </c>
      <c r="DH174" s="173">
        <f t="shared" si="148"/>
        <v>12360</v>
      </c>
    </row>
    <row r="175" spans="1:112" ht="30" customHeight="1" x14ac:dyDescent="0.25">
      <c r="A175" s="25">
        <v>10</v>
      </c>
      <c r="B175" s="194" t="s">
        <v>10</v>
      </c>
      <c r="C175" s="7" t="s">
        <v>9</v>
      </c>
      <c r="D175" s="7" t="s">
        <v>21</v>
      </c>
      <c r="E175" s="180" t="s">
        <v>401</v>
      </c>
      <c r="F175" s="169" t="s">
        <v>271</v>
      </c>
      <c r="G175" s="25" t="s">
        <v>40</v>
      </c>
      <c r="H175" s="25" t="s">
        <v>39</v>
      </c>
      <c r="I175" s="7" t="s">
        <v>38</v>
      </c>
      <c r="J175" s="3" t="s">
        <v>1</v>
      </c>
      <c r="K175" s="9"/>
      <c r="L175" s="9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>
        <v>100</v>
      </c>
      <c r="AM175" s="6">
        <v>1300</v>
      </c>
      <c r="AN175" s="6">
        <v>1048</v>
      </c>
      <c r="AO175" s="173">
        <f t="shared" si="142"/>
        <v>100</v>
      </c>
      <c r="AP175" s="173">
        <f t="shared" si="143"/>
        <v>1300</v>
      </c>
      <c r="AQ175" s="173">
        <f t="shared" si="144"/>
        <v>1048</v>
      </c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173">
        <f t="shared" si="149"/>
        <v>100</v>
      </c>
      <c r="BW175" s="173">
        <f t="shared" si="145"/>
        <v>1300</v>
      </c>
      <c r="BX175" s="173">
        <f t="shared" si="146"/>
        <v>1048</v>
      </c>
      <c r="BY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  <c r="CJ175" s="6"/>
      <c r="CK175" s="6"/>
      <c r="CL175" s="6"/>
      <c r="CM175" s="6"/>
      <c r="CN175" s="6"/>
      <c r="CO175" s="6"/>
      <c r="CP175" s="6"/>
      <c r="CQ175" s="6"/>
      <c r="CR175" s="6"/>
      <c r="CS175" s="6"/>
      <c r="CT175" s="6"/>
      <c r="CU175" s="6"/>
      <c r="CV175" s="6"/>
      <c r="CW175" s="6"/>
      <c r="CX175" s="6"/>
      <c r="CY175" s="6"/>
      <c r="CZ175" s="6"/>
      <c r="DA175" s="6"/>
      <c r="DB175" s="6"/>
      <c r="DC175" s="6"/>
      <c r="DD175" s="6"/>
      <c r="DE175" s="6"/>
      <c r="DF175" s="173">
        <f t="shared" si="150"/>
        <v>100</v>
      </c>
      <c r="DG175" s="173">
        <f t="shared" si="147"/>
        <v>1300</v>
      </c>
      <c r="DH175" s="173">
        <f t="shared" si="148"/>
        <v>1048</v>
      </c>
    </row>
    <row r="176" spans="1:112" ht="30" customHeight="1" x14ac:dyDescent="0.25">
      <c r="A176" s="25">
        <v>11</v>
      </c>
      <c r="B176" s="194" t="s">
        <v>306</v>
      </c>
      <c r="C176" s="7" t="s">
        <v>305</v>
      </c>
      <c r="D176" s="7" t="s">
        <v>41</v>
      </c>
      <c r="E176" s="180" t="s">
        <v>353</v>
      </c>
      <c r="F176" s="169" t="s">
        <v>271</v>
      </c>
      <c r="G176" s="25" t="s">
        <v>4</v>
      </c>
      <c r="H176" s="7" t="s">
        <v>3</v>
      </c>
      <c r="I176" s="7" t="s">
        <v>2</v>
      </c>
      <c r="J176" s="3" t="s">
        <v>1</v>
      </c>
      <c r="K176" s="9"/>
      <c r="L176" s="9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173">
        <f t="shared" si="142"/>
        <v>0</v>
      </c>
      <c r="AP176" s="173">
        <f t="shared" si="143"/>
        <v>0</v>
      </c>
      <c r="AQ176" s="173">
        <f t="shared" si="144"/>
        <v>0</v>
      </c>
      <c r="AR176" s="6"/>
      <c r="AS176" s="6"/>
      <c r="AT176" s="6"/>
      <c r="AU176" s="6"/>
      <c r="AV176" s="6"/>
      <c r="AW176" s="6"/>
      <c r="AX176" s="6"/>
      <c r="AY176" s="6"/>
      <c r="AZ176" s="6"/>
      <c r="BA176" s="6">
        <v>250</v>
      </c>
      <c r="BB176" s="6">
        <v>3100</v>
      </c>
      <c r="BC176" s="6">
        <v>2848</v>
      </c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173">
        <f t="shared" si="149"/>
        <v>250</v>
      </c>
      <c r="BW176" s="173">
        <f t="shared" si="145"/>
        <v>3100</v>
      </c>
      <c r="BX176" s="173">
        <f t="shared" si="146"/>
        <v>2848</v>
      </c>
      <c r="BY176" s="6"/>
      <c r="BZ176" s="6"/>
      <c r="CA176" s="6"/>
      <c r="CB176" s="6"/>
      <c r="CC176" s="6"/>
      <c r="CD176" s="6"/>
      <c r="CE176" s="6"/>
      <c r="CF176" s="6"/>
      <c r="CG176" s="6"/>
      <c r="CH176" s="6"/>
      <c r="CI176" s="6"/>
      <c r="CJ176" s="6"/>
      <c r="CK176" s="6"/>
      <c r="CL176" s="6"/>
      <c r="CM176" s="6"/>
      <c r="CN176" s="6"/>
      <c r="CO176" s="6"/>
      <c r="CP176" s="6"/>
      <c r="CQ176" s="6"/>
      <c r="CR176" s="6"/>
      <c r="CS176" s="6"/>
      <c r="CT176" s="6"/>
      <c r="CU176" s="6"/>
      <c r="CV176" s="6"/>
      <c r="CW176" s="6"/>
      <c r="CX176" s="6"/>
      <c r="CY176" s="6"/>
      <c r="CZ176" s="6"/>
      <c r="DA176" s="6"/>
      <c r="DB176" s="6"/>
      <c r="DC176" s="6"/>
      <c r="DD176" s="6"/>
      <c r="DE176" s="6"/>
      <c r="DF176" s="173">
        <f t="shared" si="150"/>
        <v>250</v>
      </c>
      <c r="DG176" s="173">
        <f t="shared" si="147"/>
        <v>3100</v>
      </c>
      <c r="DH176" s="173">
        <f t="shared" si="148"/>
        <v>2848</v>
      </c>
    </row>
    <row r="177" spans="1:112" ht="30" customHeight="1" x14ac:dyDescent="0.25">
      <c r="A177" s="25">
        <v>12</v>
      </c>
      <c r="B177" s="194" t="s">
        <v>23</v>
      </c>
      <c r="C177" s="7" t="s">
        <v>22</v>
      </c>
      <c r="D177" s="7" t="s">
        <v>41</v>
      </c>
      <c r="E177" s="180" t="s">
        <v>357</v>
      </c>
      <c r="F177" s="169" t="s">
        <v>271</v>
      </c>
      <c r="G177" s="25" t="s">
        <v>27</v>
      </c>
      <c r="H177" s="7" t="s">
        <v>26</v>
      </c>
      <c r="I177" s="7" t="s">
        <v>25</v>
      </c>
      <c r="J177" s="3" t="s">
        <v>1</v>
      </c>
      <c r="K177" s="9"/>
      <c r="L177" s="9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173">
        <f t="shared" si="142"/>
        <v>0</v>
      </c>
      <c r="AP177" s="173">
        <f t="shared" si="143"/>
        <v>0</v>
      </c>
      <c r="AQ177" s="173">
        <f t="shared" si="144"/>
        <v>0</v>
      </c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173">
        <f t="shared" si="149"/>
        <v>0</v>
      </c>
      <c r="BW177" s="173">
        <f t="shared" si="145"/>
        <v>0</v>
      </c>
      <c r="BX177" s="173">
        <f t="shared" si="146"/>
        <v>0</v>
      </c>
      <c r="BY177" s="6"/>
      <c r="BZ177" s="6"/>
      <c r="CA177" s="6"/>
      <c r="CB177" s="6"/>
      <c r="CC177" s="6"/>
      <c r="CD177" s="6"/>
      <c r="CE177" s="6"/>
      <c r="CF177" s="6"/>
      <c r="CG177" s="6"/>
      <c r="CH177" s="6"/>
      <c r="CI177" s="6"/>
      <c r="CJ177" s="6"/>
      <c r="CK177" s="6"/>
      <c r="CL177" s="6"/>
      <c r="CM177" s="6"/>
      <c r="CN177" s="6"/>
      <c r="CO177" s="6"/>
      <c r="CP177" s="6"/>
      <c r="CQ177" s="6"/>
      <c r="CR177" s="6"/>
      <c r="CS177" s="6"/>
      <c r="CT177" s="6"/>
      <c r="CU177" s="6"/>
      <c r="CV177" s="6"/>
      <c r="CW177" s="6"/>
      <c r="CX177" s="6"/>
      <c r="CY177" s="6"/>
      <c r="CZ177" s="6"/>
      <c r="DA177" s="6"/>
      <c r="DB177" s="6"/>
      <c r="DC177" s="6"/>
      <c r="DD177" s="6"/>
      <c r="DE177" s="6"/>
      <c r="DF177" s="173">
        <f t="shared" si="150"/>
        <v>0</v>
      </c>
      <c r="DG177" s="173">
        <f t="shared" si="147"/>
        <v>0</v>
      </c>
      <c r="DH177" s="173">
        <f t="shared" si="148"/>
        <v>0</v>
      </c>
    </row>
    <row r="178" spans="1:112" ht="30" customHeight="1" x14ac:dyDescent="0.25">
      <c r="A178" s="25">
        <v>13</v>
      </c>
      <c r="B178" s="194" t="s">
        <v>309</v>
      </c>
      <c r="C178" s="7" t="s">
        <v>455</v>
      </c>
      <c r="D178" s="7" t="s">
        <v>41</v>
      </c>
      <c r="E178" s="180" t="s">
        <v>353</v>
      </c>
      <c r="F178" s="169" t="s">
        <v>271</v>
      </c>
      <c r="G178" s="25" t="s">
        <v>40</v>
      </c>
      <c r="H178" s="25" t="s">
        <v>39</v>
      </c>
      <c r="I178" s="7" t="s">
        <v>38</v>
      </c>
      <c r="J178" s="3"/>
      <c r="K178" s="9"/>
      <c r="L178" s="9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>
        <v>31</v>
      </c>
      <c r="AA178" s="6">
        <v>372</v>
      </c>
      <c r="AB178" s="6">
        <v>372</v>
      </c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173">
        <f t="shared" si="142"/>
        <v>31</v>
      </c>
      <c r="AP178" s="173">
        <f t="shared" si="143"/>
        <v>372</v>
      </c>
      <c r="AQ178" s="173">
        <f t="shared" si="144"/>
        <v>372</v>
      </c>
      <c r="AR178" s="6"/>
      <c r="AS178" s="6"/>
      <c r="AT178" s="6"/>
      <c r="AU178" s="6">
        <v>100</v>
      </c>
      <c r="AV178" s="6">
        <v>1200</v>
      </c>
      <c r="AW178" s="6">
        <v>1200</v>
      </c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173">
        <f t="shared" si="149"/>
        <v>131</v>
      </c>
      <c r="BW178" s="173">
        <f t="shared" si="145"/>
        <v>1572</v>
      </c>
      <c r="BX178" s="173">
        <f t="shared" si="146"/>
        <v>1572</v>
      </c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6"/>
      <c r="CK178" s="6"/>
      <c r="CL178" s="6"/>
      <c r="CM178" s="6"/>
      <c r="CN178" s="6"/>
      <c r="CO178" s="6"/>
      <c r="CP178" s="6"/>
      <c r="CQ178" s="6"/>
      <c r="CR178" s="6"/>
      <c r="CS178" s="6"/>
      <c r="CT178" s="6"/>
      <c r="CU178" s="6"/>
      <c r="CV178" s="6"/>
      <c r="CW178" s="6"/>
      <c r="CX178" s="6"/>
      <c r="CY178" s="6"/>
      <c r="CZ178" s="6"/>
      <c r="DA178" s="6"/>
      <c r="DB178" s="6"/>
      <c r="DC178" s="6"/>
      <c r="DD178" s="6"/>
      <c r="DE178" s="6"/>
      <c r="DF178" s="173">
        <f t="shared" si="150"/>
        <v>131</v>
      </c>
      <c r="DG178" s="173">
        <f t="shared" si="147"/>
        <v>1572</v>
      </c>
      <c r="DH178" s="173">
        <f t="shared" si="148"/>
        <v>1572</v>
      </c>
    </row>
    <row r="179" spans="1:112" ht="30" customHeight="1" x14ac:dyDescent="0.25">
      <c r="A179" s="25">
        <v>14</v>
      </c>
      <c r="B179" s="194" t="s">
        <v>304</v>
      </c>
      <c r="C179" s="7" t="s">
        <v>303</v>
      </c>
      <c r="D179" s="7" t="s">
        <v>46</v>
      </c>
      <c r="E179" s="180" t="s">
        <v>353</v>
      </c>
      <c r="F179" s="169" t="s">
        <v>271</v>
      </c>
      <c r="G179" s="25"/>
      <c r="H179" s="7"/>
      <c r="I179" s="7"/>
      <c r="J179" s="3"/>
      <c r="K179" s="9"/>
      <c r="L179" s="9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173">
        <f t="shared" si="142"/>
        <v>0</v>
      </c>
      <c r="AP179" s="173">
        <f t="shared" si="143"/>
        <v>0</v>
      </c>
      <c r="AQ179" s="173">
        <f t="shared" si="144"/>
        <v>0</v>
      </c>
      <c r="AR179" s="6"/>
      <c r="AS179" s="6"/>
      <c r="AT179" s="6"/>
      <c r="AU179" s="6"/>
      <c r="AV179" s="6"/>
      <c r="AW179" s="6"/>
      <c r="AX179" s="6"/>
      <c r="AY179" s="6"/>
      <c r="AZ179" s="6"/>
      <c r="BA179" s="6">
        <v>350</v>
      </c>
      <c r="BB179" s="6">
        <v>4400</v>
      </c>
      <c r="BC179" s="6">
        <v>3896</v>
      </c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173">
        <f t="shared" si="149"/>
        <v>350</v>
      </c>
      <c r="BW179" s="173">
        <f t="shared" si="145"/>
        <v>4400</v>
      </c>
      <c r="BX179" s="173">
        <f t="shared" si="146"/>
        <v>3896</v>
      </c>
      <c r="BY179" s="6"/>
      <c r="BZ179" s="6"/>
      <c r="CA179" s="6"/>
      <c r="CB179" s="6"/>
      <c r="CC179" s="6"/>
      <c r="CD179" s="6"/>
      <c r="CE179" s="6"/>
      <c r="CF179" s="6"/>
      <c r="CG179" s="6"/>
      <c r="CH179" s="6"/>
      <c r="CI179" s="6"/>
      <c r="CJ179" s="6"/>
      <c r="CK179" s="6"/>
      <c r="CL179" s="6"/>
      <c r="CM179" s="6"/>
      <c r="CN179" s="6"/>
      <c r="CO179" s="6"/>
      <c r="CP179" s="6"/>
      <c r="CQ179" s="6"/>
      <c r="CR179" s="6"/>
      <c r="CS179" s="6"/>
      <c r="CT179" s="6"/>
      <c r="CU179" s="6"/>
      <c r="CV179" s="6"/>
      <c r="CW179" s="6"/>
      <c r="CX179" s="6"/>
      <c r="CY179" s="6"/>
      <c r="CZ179" s="6"/>
      <c r="DA179" s="6"/>
      <c r="DB179" s="6"/>
      <c r="DC179" s="6"/>
      <c r="DD179" s="6"/>
      <c r="DE179" s="6"/>
      <c r="DF179" s="173">
        <f t="shared" si="150"/>
        <v>350</v>
      </c>
      <c r="DG179" s="173">
        <f t="shared" si="147"/>
        <v>4400</v>
      </c>
      <c r="DH179" s="173">
        <f t="shared" si="148"/>
        <v>3896</v>
      </c>
    </row>
    <row r="180" spans="1:112" ht="30" customHeight="1" x14ac:dyDescent="0.25">
      <c r="A180" s="25">
        <v>15</v>
      </c>
      <c r="B180" s="194" t="s">
        <v>45</v>
      </c>
      <c r="C180" s="7" t="s">
        <v>44</v>
      </c>
      <c r="D180" s="7" t="s">
        <v>24</v>
      </c>
      <c r="E180" s="180" t="s">
        <v>357</v>
      </c>
      <c r="F180" s="169" t="s">
        <v>271</v>
      </c>
      <c r="G180" s="25"/>
      <c r="H180" s="7"/>
      <c r="I180" s="7"/>
      <c r="J180" s="3"/>
      <c r="K180" s="9"/>
      <c r="L180" s="9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173">
        <f t="shared" si="142"/>
        <v>0</v>
      </c>
      <c r="AP180" s="173">
        <f t="shared" si="143"/>
        <v>0</v>
      </c>
      <c r="AQ180" s="173">
        <f t="shared" si="144"/>
        <v>0</v>
      </c>
      <c r="AR180" s="6">
        <v>200</v>
      </c>
      <c r="AS180" s="6">
        <v>2700</v>
      </c>
      <c r="AT180" s="6">
        <v>1944</v>
      </c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173">
        <f t="shared" si="149"/>
        <v>200</v>
      </c>
      <c r="BW180" s="173">
        <f t="shared" si="145"/>
        <v>2700</v>
      </c>
      <c r="BX180" s="173">
        <f t="shared" si="146"/>
        <v>1944</v>
      </c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6"/>
      <c r="CK180" s="6"/>
      <c r="CL180" s="6"/>
      <c r="CM180" s="6"/>
      <c r="CN180" s="6"/>
      <c r="CO180" s="6"/>
      <c r="CP180" s="6"/>
      <c r="CQ180" s="6"/>
      <c r="CR180" s="6"/>
      <c r="CS180" s="6"/>
      <c r="CT180" s="6"/>
      <c r="CU180" s="6"/>
      <c r="CV180" s="6"/>
      <c r="CW180" s="6"/>
      <c r="CX180" s="6"/>
      <c r="CY180" s="6"/>
      <c r="CZ180" s="6"/>
      <c r="DA180" s="6"/>
      <c r="DB180" s="6"/>
      <c r="DC180" s="6"/>
      <c r="DD180" s="6"/>
      <c r="DE180" s="6"/>
      <c r="DF180" s="173">
        <f t="shared" si="150"/>
        <v>200</v>
      </c>
      <c r="DG180" s="173">
        <f t="shared" si="147"/>
        <v>2700</v>
      </c>
      <c r="DH180" s="173">
        <f t="shared" si="148"/>
        <v>1944</v>
      </c>
    </row>
    <row r="181" spans="1:112" ht="30" customHeight="1" x14ac:dyDescent="0.25">
      <c r="A181" s="25">
        <v>16</v>
      </c>
      <c r="B181" s="194" t="s">
        <v>50</v>
      </c>
      <c r="C181" s="7" t="s">
        <v>49</v>
      </c>
      <c r="D181" s="7" t="s">
        <v>46</v>
      </c>
      <c r="E181" s="180" t="s">
        <v>360</v>
      </c>
      <c r="F181" s="169" t="s">
        <v>271</v>
      </c>
      <c r="G181" s="25"/>
      <c r="H181" s="7"/>
      <c r="I181" s="7"/>
      <c r="J181" s="3"/>
      <c r="K181" s="9"/>
      <c r="L181" s="9"/>
      <c r="M181" s="6"/>
      <c r="N181" s="6"/>
      <c r="O181" s="6"/>
      <c r="P181" s="6"/>
      <c r="Q181" s="6">
        <v>100</v>
      </c>
      <c r="R181" s="6">
        <v>1400</v>
      </c>
      <c r="S181" s="6">
        <v>896</v>
      </c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173">
        <f t="shared" si="142"/>
        <v>100</v>
      </c>
      <c r="AP181" s="173">
        <f t="shared" si="143"/>
        <v>1400</v>
      </c>
      <c r="AQ181" s="173">
        <f t="shared" si="144"/>
        <v>896</v>
      </c>
      <c r="AR181" s="6"/>
      <c r="AS181" s="6"/>
      <c r="AT181" s="6"/>
      <c r="AU181" s="6">
        <v>100</v>
      </c>
      <c r="AV181" s="6">
        <v>1400</v>
      </c>
      <c r="AW181" s="6">
        <v>896</v>
      </c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173">
        <f t="shared" si="149"/>
        <v>200</v>
      </c>
      <c r="BW181" s="173">
        <f t="shared" si="145"/>
        <v>2800</v>
      </c>
      <c r="BX181" s="173">
        <f t="shared" si="146"/>
        <v>1792</v>
      </c>
      <c r="BY181" s="6"/>
      <c r="BZ181" s="6"/>
      <c r="CA181" s="6"/>
      <c r="CB181" s="6"/>
      <c r="CC181" s="6"/>
      <c r="CD181" s="6"/>
      <c r="CE181" s="6"/>
      <c r="CF181" s="6"/>
      <c r="CG181" s="6"/>
      <c r="CH181" s="6"/>
      <c r="CI181" s="6"/>
      <c r="CJ181" s="6"/>
      <c r="CK181" s="6"/>
      <c r="CL181" s="6"/>
      <c r="CM181" s="6"/>
      <c r="CN181" s="6"/>
      <c r="CO181" s="6"/>
      <c r="CP181" s="6"/>
      <c r="CQ181" s="6"/>
      <c r="CR181" s="6"/>
      <c r="CS181" s="6"/>
      <c r="CT181" s="6"/>
      <c r="CU181" s="6"/>
      <c r="CV181" s="6"/>
      <c r="CW181" s="6"/>
      <c r="CX181" s="6"/>
      <c r="CY181" s="6"/>
      <c r="CZ181" s="6"/>
      <c r="DA181" s="6"/>
      <c r="DB181" s="6"/>
      <c r="DC181" s="6"/>
      <c r="DD181" s="6"/>
      <c r="DE181" s="6"/>
      <c r="DF181" s="173">
        <f t="shared" si="150"/>
        <v>200</v>
      </c>
      <c r="DG181" s="173">
        <f t="shared" si="147"/>
        <v>2800</v>
      </c>
      <c r="DH181" s="173">
        <f t="shared" si="148"/>
        <v>1792</v>
      </c>
    </row>
    <row r="182" spans="1:112" ht="30" customHeight="1" x14ac:dyDescent="0.25">
      <c r="A182" s="25">
        <v>17</v>
      </c>
      <c r="B182" s="194" t="s">
        <v>67</v>
      </c>
      <c r="C182" s="7" t="s">
        <v>66</v>
      </c>
      <c r="D182" s="7" t="s">
        <v>46</v>
      </c>
      <c r="E182" s="180" t="s">
        <v>352</v>
      </c>
      <c r="F182" s="169" t="s">
        <v>271</v>
      </c>
      <c r="G182" s="25"/>
      <c r="H182" s="7"/>
      <c r="I182" s="7"/>
      <c r="J182" s="3"/>
      <c r="K182" s="9"/>
      <c r="L182" s="9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>
        <v>50</v>
      </c>
      <c r="AD182" s="6">
        <v>700</v>
      </c>
      <c r="AE182" s="6">
        <v>448</v>
      </c>
      <c r="AF182" s="6"/>
      <c r="AG182" s="6"/>
      <c r="AH182" s="6"/>
      <c r="AI182" s="6"/>
      <c r="AJ182" s="6"/>
      <c r="AK182" s="6"/>
      <c r="AL182" s="6"/>
      <c r="AM182" s="6"/>
      <c r="AN182" s="6"/>
      <c r="AO182" s="173">
        <f t="shared" si="142"/>
        <v>50</v>
      </c>
      <c r="AP182" s="173">
        <f t="shared" si="143"/>
        <v>700</v>
      </c>
      <c r="AQ182" s="173">
        <f t="shared" si="144"/>
        <v>448</v>
      </c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173">
        <f t="shared" si="149"/>
        <v>50</v>
      </c>
      <c r="BW182" s="173">
        <f t="shared" si="145"/>
        <v>700</v>
      </c>
      <c r="BX182" s="173">
        <f t="shared" si="146"/>
        <v>448</v>
      </c>
      <c r="BY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  <c r="CJ182" s="6"/>
      <c r="CK182" s="6"/>
      <c r="CL182" s="6"/>
      <c r="CM182" s="6"/>
      <c r="CN182" s="6"/>
      <c r="CO182" s="6"/>
      <c r="CP182" s="6"/>
      <c r="CQ182" s="6"/>
      <c r="CR182" s="6"/>
      <c r="CS182" s="6"/>
      <c r="CT182" s="6"/>
      <c r="CU182" s="6"/>
      <c r="CV182" s="6"/>
      <c r="CW182" s="6"/>
      <c r="CX182" s="6"/>
      <c r="CY182" s="6"/>
      <c r="CZ182" s="6"/>
      <c r="DA182" s="6"/>
      <c r="DB182" s="6"/>
      <c r="DC182" s="6"/>
      <c r="DD182" s="6"/>
      <c r="DE182" s="6"/>
      <c r="DF182" s="173">
        <f t="shared" si="150"/>
        <v>50</v>
      </c>
      <c r="DG182" s="173">
        <f t="shared" si="147"/>
        <v>700</v>
      </c>
      <c r="DH182" s="173">
        <f t="shared" si="148"/>
        <v>448</v>
      </c>
    </row>
    <row r="183" spans="1:112" ht="30" customHeight="1" x14ac:dyDescent="0.25">
      <c r="A183" s="25">
        <v>18</v>
      </c>
      <c r="B183" s="194" t="s">
        <v>300</v>
      </c>
      <c r="C183" s="7" t="s">
        <v>299</v>
      </c>
      <c r="D183" s="7" t="s">
        <v>8</v>
      </c>
      <c r="E183" s="180" t="s">
        <v>360</v>
      </c>
      <c r="F183" s="169" t="s">
        <v>271</v>
      </c>
      <c r="G183" s="25"/>
      <c r="H183" s="7"/>
      <c r="I183" s="7"/>
      <c r="J183" s="3"/>
      <c r="K183" s="9"/>
      <c r="L183" s="9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>
        <v>50</v>
      </c>
      <c r="AA183" s="6">
        <v>700</v>
      </c>
      <c r="AB183" s="6">
        <v>448</v>
      </c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173">
        <f t="shared" si="142"/>
        <v>50</v>
      </c>
      <c r="AP183" s="173">
        <f t="shared" si="143"/>
        <v>700</v>
      </c>
      <c r="AQ183" s="173">
        <f t="shared" si="144"/>
        <v>448</v>
      </c>
      <c r="AR183" s="6">
        <v>50</v>
      </c>
      <c r="AS183" s="6">
        <v>700</v>
      </c>
      <c r="AT183" s="6">
        <v>448</v>
      </c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173">
        <f t="shared" si="149"/>
        <v>100</v>
      </c>
      <c r="BW183" s="173">
        <f t="shared" si="145"/>
        <v>1400</v>
      </c>
      <c r="BX183" s="173">
        <f t="shared" si="146"/>
        <v>896</v>
      </c>
      <c r="BY183" s="6"/>
      <c r="BZ183" s="6"/>
      <c r="CA183" s="6"/>
      <c r="CB183" s="6"/>
      <c r="CC183" s="6"/>
      <c r="CD183" s="6"/>
      <c r="CE183" s="6"/>
      <c r="CF183" s="6"/>
      <c r="CG183" s="6"/>
      <c r="CH183" s="6"/>
      <c r="CI183" s="6"/>
      <c r="CJ183" s="6"/>
      <c r="CK183" s="6"/>
      <c r="CL183" s="6"/>
      <c r="CM183" s="6"/>
      <c r="CN183" s="6"/>
      <c r="CO183" s="6"/>
      <c r="CP183" s="6"/>
      <c r="CQ183" s="6"/>
      <c r="CR183" s="6"/>
      <c r="CS183" s="6"/>
      <c r="CT183" s="6"/>
      <c r="CU183" s="6"/>
      <c r="CV183" s="6"/>
      <c r="CW183" s="6"/>
      <c r="CX183" s="6"/>
      <c r="CY183" s="6"/>
      <c r="CZ183" s="6"/>
      <c r="DA183" s="6"/>
      <c r="DB183" s="6"/>
      <c r="DC183" s="6"/>
      <c r="DD183" s="6"/>
      <c r="DE183" s="6"/>
      <c r="DF183" s="173">
        <f t="shared" si="150"/>
        <v>100</v>
      </c>
      <c r="DG183" s="173">
        <f t="shared" si="147"/>
        <v>1400</v>
      </c>
      <c r="DH183" s="173">
        <f t="shared" si="148"/>
        <v>896</v>
      </c>
    </row>
    <row r="184" spans="1:112" ht="30" customHeight="1" x14ac:dyDescent="0.25">
      <c r="A184" s="25">
        <v>19</v>
      </c>
      <c r="B184" s="194" t="s">
        <v>302</v>
      </c>
      <c r="C184" s="7" t="s">
        <v>302</v>
      </c>
      <c r="D184" s="7" t="s">
        <v>41</v>
      </c>
      <c r="E184" s="180" t="s">
        <v>358</v>
      </c>
      <c r="F184" s="169" t="s">
        <v>271</v>
      </c>
      <c r="G184" s="25"/>
      <c r="H184" s="7"/>
      <c r="I184" s="7"/>
      <c r="J184" s="3"/>
      <c r="K184" s="9"/>
      <c r="L184" s="9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>
        <v>24</v>
      </c>
      <c r="AA184" s="6">
        <v>334</v>
      </c>
      <c r="AB184" s="6">
        <v>218.08</v>
      </c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173">
        <f t="shared" si="142"/>
        <v>24</v>
      </c>
      <c r="AP184" s="173">
        <f t="shared" si="143"/>
        <v>334</v>
      </c>
      <c r="AQ184" s="173">
        <f t="shared" si="144"/>
        <v>218.08</v>
      </c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>
        <v>37</v>
      </c>
      <c r="BH184" s="6">
        <v>494</v>
      </c>
      <c r="BI184" s="6">
        <v>368</v>
      </c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173">
        <f t="shared" si="149"/>
        <v>61</v>
      </c>
      <c r="BW184" s="173">
        <f t="shared" si="145"/>
        <v>828</v>
      </c>
      <c r="BX184" s="173">
        <f t="shared" si="146"/>
        <v>586.08000000000004</v>
      </c>
      <c r="BY184" s="6"/>
      <c r="BZ184" s="6"/>
      <c r="CA184" s="6"/>
      <c r="CB184" s="6"/>
      <c r="CC184" s="6"/>
      <c r="CD184" s="6"/>
      <c r="CE184" s="6"/>
      <c r="CF184" s="6"/>
      <c r="CG184" s="6"/>
      <c r="CH184" s="6"/>
      <c r="CI184" s="6"/>
      <c r="CJ184" s="6"/>
      <c r="CK184" s="6"/>
      <c r="CL184" s="6"/>
      <c r="CM184" s="6"/>
      <c r="CN184" s="6"/>
      <c r="CO184" s="6"/>
      <c r="CP184" s="6"/>
      <c r="CQ184" s="6"/>
      <c r="CR184" s="6"/>
      <c r="CS184" s="6"/>
      <c r="CT184" s="6"/>
      <c r="CU184" s="6"/>
      <c r="CV184" s="6"/>
      <c r="CW184" s="6"/>
      <c r="CX184" s="6"/>
      <c r="CY184" s="6"/>
      <c r="CZ184" s="6"/>
      <c r="DA184" s="6"/>
      <c r="DB184" s="6"/>
      <c r="DC184" s="6"/>
      <c r="DD184" s="6"/>
      <c r="DE184" s="6"/>
      <c r="DF184" s="173">
        <f t="shared" si="150"/>
        <v>61</v>
      </c>
      <c r="DG184" s="173">
        <f t="shared" si="147"/>
        <v>828</v>
      </c>
      <c r="DH184" s="173">
        <f t="shared" si="148"/>
        <v>586.08000000000004</v>
      </c>
    </row>
    <row r="185" spans="1:112" ht="30" customHeight="1" x14ac:dyDescent="0.25">
      <c r="A185" s="25">
        <v>20</v>
      </c>
      <c r="B185" s="194" t="s">
        <v>294</v>
      </c>
      <c r="C185" s="7" t="s">
        <v>294</v>
      </c>
      <c r="D185" s="7" t="s">
        <v>41</v>
      </c>
      <c r="E185" s="181" t="s">
        <v>358</v>
      </c>
      <c r="F185" s="169" t="s">
        <v>271</v>
      </c>
      <c r="G185" s="25"/>
      <c r="H185" s="7"/>
      <c r="I185" s="7"/>
      <c r="J185" s="3"/>
      <c r="K185" s="9"/>
      <c r="L185" s="9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173">
        <f t="shared" si="142"/>
        <v>0</v>
      </c>
      <c r="AP185" s="173">
        <f t="shared" si="143"/>
        <v>0</v>
      </c>
      <c r="AQ185" s="173">
        <f t="shared" si="144"/>
        <v>0</v>
      </c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>
        <v>125</v>
      </c>
      <c r="BN185" s="6">
        <v>1530</v>
      </c>
      <c r="BO185" s="6">
        <v>1454.4</v>
      </c>
      <c r="BP185" s="6"/>
      <c r="BQ185" s="6"/>
      <c r="BR185" s="6"/>
      <c r="BS185" s="6"/>
      <c r="BT185" s="6"/>
      <c r="BU185" s="6"/>
      <c r="BV185" s="173">
        <f t="shared" si="149"/>
        <v>125</v>
      </c>
      <c r="BW185" s="173">
        <f t="shared" si="145"/>
        <v>1530</v>
      </c>
      <c r="BX185" s="173">
        <f t="shared" si="146"/>
        <v>1454.4</v>
      </c>
      <c r="BY185" s="6"/>
      <c r="BZ185" s="6"/>
      <c r="CA185" s="6"/>
      <c r="CB185" s="6"/>
      <c r="CC185" s="6"/>
      <c r="CD185" s="6"/>
      <c r="CE185" s="6"/>
      <c r="CF185" s="6"/>
      <c r="CG185" s="6"/>
      <c r="CH185" s="6"/>
      <c r="CI185" s="6"/>
      <c r="CJ185" s="6"/>
      <c r="CK185" s="6"/>
      <c r="CL185" s="6"/>
      <c r="CM185" s="6"/>
      <c r="CN185" s="6"/>
      <c r="CO185" s="6"/>
      <c r="CP185" s="6"/>
      <c r="CQ185" s="6"/>
      <c r="CR185" s="6"/>
      <c r="CS185" s="6"/>
      <c r="CT185" s="6"/>
      <c r="CU185" s="6"/>
      <c r="CV185" s="6"/>
      <c r="CW185" s="6"/>
      <c r="CX185" s="6"/>
      <c r="CY185" s="6"/>
      <c r="CZ185" s="6"/>
      <c r="DA185" s="6"/>
      <c r="DB185" s="6"/>
      <c r="DC185" s="6"/>
      <c r="DD185" s="6"/>
      <c r="DE185" s="6"/>
      <c r="DF185" s="173">
        <f t="shared" si="150"/>
        <v>125</v>
      </c>
      <c r="DG185" s="173">
        <f t="shared" si="147"/>
        <v>1530</v>
      </c>
      <c r="DH185" s="173">
        <f t="shared" si="148"/>
        <v>1454.4</v>
      </c>
    </row>
    <row r="186" spans="1:112" ht="30" customHeight="1" x14ac:dyDescent="0.25">
      <c r="A186" s="25">
        <v>21</v>
      </c>
      <c r="B186" s="194" t="s">
        <v>307</v>
      </c>
      <c r="C186" s="7" t="s">
        <v>307</v>
      </c>
      <c r="D186" s="7" t="s">
        <v>46</v>
      </c>
      <c r="E186" s="181" t="s">
        <v>353</v>
      </c>
      <c r="F186" s="169" t="s">
        <v>271</v>
      </c>
      <c r="G186" s="25"/>
      <c r="H186" s="7"/>
      <c r="I186" s="7"/>
      <c r="J186" s="3"/>
      <c r="K186" s="9"/>
      <c r="L186" s="9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>
        <v>100</v>
      </c>
      <c r="AJ186" s="6">
        <v>1200</v>
      </c>
      <c r="AK186" s="6">
        <v>1200</v>
      </c>
      <c r="AL186" s="6"/>
      <c r="AM186" s="6"/>
      <c r="AN186" s="6"/>
      <c r="AO186" s="173">
        <f t="shared" si="142"/>
        <v>100</v>
      </c>
      <c r="AP186" s="173">
        <f t="shared" si="143"/>
        <v>1200</v>
      </c>
      <c r="AQ186" s="173">
        <f t="shared" si="144"/>
        <v>1200</v>
      </c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173">
        <f t="shared" si="149"/>
        <v>100</v>
      </c>
      <c r="BW186" s="173">
        <f t="shared" si="145"/>
        <v>1200</v>
      </c>
      <c r="BX186" s="173">
        <f t="shared" si="146"/>
        <v>1200</v>
      </c>
      <c r="BY186" s="6"/>
      <c r="BZ186" s="6"/>
      <c r="CA186" s="6"/>
      <c r="CB186" s="6"/>
      <c r="CC186" s="6"/>
      <c r="CD186" s="6"/>
      <c r="CE186" s="6"/>
      <c r="CF186" s="6"/>
      <c r="CG186" s="6"/>
      <c r="CH186" s="6"/>
      <c r="CI186" s="6"/>
      <c r="CJ186" s="6"/>
      <c r="CK186" s="6"/>
      <c r="CL186" s="6"/>
      <c r="CM186" s="6"/>
      <c r="CN186" s="6"/>
      <c r="CO186" s="6"/>
      <c r="CP186" s="6"/>
      <c r="CQ186" s="6"/>
      <c r="CR186" s="6"/>
      <c r="CS186" s="6"/>
      <c r="CT186" s="6"/>
      <c r="CU186" s="6"/>
      <c r="CV186" s="6"/>
      <c r="CW186" s="6"/>
      <c r="CX186" s="6"/>
      <c r="CY186" s="6"/>
      <c r="CZ186" s="6"/>
      <c r="DA186" s="6"/>
      <c r="DB186" s="6"/>
      <c r="DC186" s="6"/>
      <c r="DD186" s="6"/>
      <c r="DE186" s="6"/>
      <c r="DF186" s="173">
        <f t="shared" si="150"/>
        <v>100</v>
      </c>
      <c r="DG186" s="173">
        <f t="shared" si="147"/>
        <v>1200</v>
      </c>
      <c r="DH186" s="173">
        <f t="shared" si="148"/>
        <v>1200</v>
      </c>
    </row>
    <row r="187" spans="1:112" ht="30" customHeight="1" x14ac:dyDescent="0.25">
      <c r="A187" s="25">
        <v>22</v>
      </c>
      <c r="B187" s="194" t="s">
        <v>142</v>
      </c>
      <c r="C187" s="7" t="s">
        <v>142</v>
      </c>
      <c r="D187" s="7" t="s">
        <v>28</v>
      </c>
      <c r="E187" s="180" t="s">
        <v>360</v>
      </c>
      <c r="F187" s="169" t="s">
        <v>271</v>
      </c>
      <c r="G187" s="25"/>
      <c r="H187" s="7"/>
      <c r="I187" s="7"/>
      <c r="J187" s="3"/>
      <c r="K187" s="9"/>
      <c r="L187" s="9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173">
        <f t="shared" si="142"/>
        <v>0</v>
      </c>
      <c r="AP187" s="173">
        <f t="shared" si="143"/>
        <v>0</v>
      </c>
      <c r="AQ187" s="173">
        <f t="shared" si="144"/>
        <v>0</v>
      </c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>
        <v>50</v>
      </c>
      <c r="BK187" s="6">
        <v>700</v>
      </c>
      <c r="BL187" s="6">
        <v>448</v>
      </c>
      <c r="BM187" s="6"/>
      <c r="BN187" s="6"/>
      <c r="BO187" s="6"/>
      <c r="BP187" s="6"/>
      <c r="BQ187" s="6"/>
      <c r="BR187" s="6"/>
      <c r="BS187" s="6"/>
      <c r="BT187" s="6"/>
      <c r="BU187" s="6"/>
      <c r="BV187" s="173">
        <f t="shared" si="149"/>
        <v>50</v>
      </c>
      <c r="BW187" s="173">
        <f t="shared" si="145"/>
        <v>700</v>
      </c>
      <c r="BX187" s="173">
        <f t="shared" si="146"/>
        <v>448</v>
      </c>
      <c r="BY187" s="6"/>
      <c r="BZ187" s="6"/>
      <c r="CA187" s="6"/>
      <c r="CB187" s="6"/>
      <c r="CC187" s="6"/>
      <c r="CD187" s="6"/>
      <c r="CE187" s="6"/>
      <c r="CF187" s="6"/>
      <c r="CG187" s="6"/>
      <c r="CH187" s="6"/>
      <c r="CI187" s="6"/>
      <c r="CJ187" s="6"/>
      <c r="CK187" s="6"/>
      <c r="CL187" s="6"/>
      <c r="CM187" s="6"/>
      <c r="CN187" s="6"/>
      <c r="CO187" s="6"/>
      <c r="CP187" s="6"/>
      <c r="CQ187" s="6"/>
      <c r="CR187" s="6"/>
      <c r="CS187" s="6"/>
      <c r="CT187" s="6"/>
      <c r="CU187" s="6"/>
      <c r="CV187" s="6"/>
      <c r="CW187" s="6"/>
      <c r="CX187" s="6"/>
      <c r="CY187" s="6"/>
      <c r="CZ187" s="6"/>
      <c r="DA187" s="6"/>
      <c r="DB187" s="6"/>
      <c r="DC187" s="6"/>
      <c r="DD187" s="6"/>
      <c r="DE187" s="6"/>
      <c r="DF187" s="173">
        <f t="shared" si="150"/>
        <v>50</v>
      </c>
      <c r="DG187" s="173">
        <f t="shared" si="147"/>
        <v>700</v>
      </c>
      <c r="DH187" s="173">
        <f t="shared" si="148"/>
        <v>448</v>
      </c>
    </row>
    <row r="188" spans="1:112" ht="30" customHeight="1" x14ac:dyDescent="0.25">
      <c r="A188" s="25">
        <v>23</v>
      </c>
      <c r="B188" s="194" t="s">
        <v>18</v>
      </c>
      <c r="C188" s="7" t="s">
        <v>17</v>
      </c>
      <c r="D188" s="7" t="s">
        <v>21</v>
      </c>
      <c r="E188" s="180" t="s">
        <v>354</v>
      </c>
      <c r="F188" s="169" t="s">
        <v>271</v>
      </c>
      <c r="G188" s="25"/>
      <c r="H188" s="7"/>
      <c r="I188" s="7"/>
      <c r="J188" s="3"/>
      <c r="K188" s="9"/>
      <c r="L188" s="9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173">
        <f t="shared" si="142"/>
        <v>0</v>
      </c>
      <c r="AP188" s="173">
        <f t="shared" si="143"/>
        <v>0</v>
      </c>
      <c r="AQ188" s="173">
        <f t="shared" si="144"/>
        <v>0</v>
      </c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173">
        <f>+AO188+AR188+AU188+AX188+BA188+BD188+BG188+BJ188+BM188+BP188+BS188</f>
        <v>0</v>
      </c>
      <c r="BW188" s="173">
        <f t="shared" si="145"/>
        <v>0</v>
      </c>
      <c r="BX188" s="173">
        <f t="shared" si="146"/>
        <v>0</v>
      </c>
      <c r="BY188" s="6"/>
      <c r="BZ188" s="6"/>
      <c r="CA188" s="6"/>
      <c r="CB188" s="6"/>
      <c r="CC188" s="6"/>
      <c r="CD188" s="6"/>
      <c r="CE188" s="6"/>
      <c r="CF188" s="6"/>
      <c r="CG188" s="6"/>
      <c r="CH188" s="6"/>
      <c r="CI188" s="6"/>
      <c r="CJ188" s="6"/>
      <c r="CK188" s="6"/>
      <c r="CL188" s="6"/>
      <c r="CM188" s="6"/>
      <c r="CN188" s="6"/>
      <c r="CO188" s="6"/>
      <c r="CP188" s="6"/>
      <c r="CQ188" s="6"/>
      <c r="CR188" s="6"/>
      <c r="CS188" s="6"/>
      <c r="CT188" s="6"/>
      <c r="CU188" s="6"/>
      <c r="CV188" s="6"/>
      <c r="CW188" s="6"/>
      <c r="CX188" s="6"/>
      <c r="CY188" s="6"/>
      <c r="CZ188" s="6"/>
      <c r="DA188" s="6"/>
      <c r="DB188" s="6"/>
      <c r="DC188" s="6"/>
      <c r="DD188" s="6"/>
      <c r="DE188" s="6"/>
      <c r="DF188" s="173">
        <f t="shared" si="150"/>
        <v>0</v>
      </c>
      <c r="DG188" s="173">
        <f t="shared" si="147"/>
        <v>0</v>
      </c>
      <c r="DH188" s="173">
        <f t="shared" si="148"/>
        <v>0</v>
      </c>
    </row>
    <row r="189" spans="1:112" ht="30" customHeight="1" x14ac:dyDescent="0.25">
      <c r="A189" s="376">
        <v>24</v>
      </c>
      <c r="B189" s="380" t="s">
        <v>449</v>
      </c>
      <c r="C189" s="7" t="s">
        <v>286</v>
      </c>
      <c r="D189" s="7" t="s">
        <v>450</v>
      </c>
      <c r="E189" s="7" t="s">
        <v>360</v>
      </c>
      <c r="F189" s="169" t="s">
        <v>271</v>
      </c>
      <c r="G189" s="25"/>
      <c r="H189" s="7"/>
      <c r="I189" s="7"/>
      <c r="J189" s="3"/>
      <c r="K189" s="9"/>
      <c r="L189" s="9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173">
        <f t="shared" si="142"/>
        <v>0</v>
      </c>
      <c r="AP189" s="173">
        <f t="shared" si="143"/>
        <v>0</v>
      </c>
      <c r="AQ189" s="173">
        <f t="shared" si="144"/>
        <v>0</v>
      </c>
      <c r="AR189" s="6">
        <v>50</v>
      </c>
      <c r="AS189" s="6">
        <v>700</v>
      </c>
      <c r="AT189" s="6">
        <v>448</v>
      </c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>
        <v>50</v>
      </c>
      <c r="BQ189" s="6">
        <v>700</v>
      </c>
      <c r="BR189" s="6">
        <v>448</v>
      </c>
      <c r="BS189" s="6"/>
      <c r="BT189" s="6"/>
      <c r="BU189" s="6"/>
      <c r="BV189" s="173">
        <f>+AO189+AR189+AU189+AX189+BA189+BD189+BG189+BJ189+BM189+BP189+BS189</f>
        <v>100</v>
      </c>
      <c r="BW189" s="173">
        <f t="shared" si="145"/>
        <v>1400</v>
      </c>
      <c r="BX189" s="173">
        <f t="shared" si="146"/>
        <v>896</v>
      </c>
      <c r="BY189" s="6"/>
      <c r="BZ189" s="6"/>
      <c r="CA189" s="6"/>
      <c r="CB189" s="6"/>
      <c r="CC189" s="6"/>
      <c r="CD189" s="6"/>
      <c r="CE189" s="6"/>
      <c r="CF189" s="6"/>
      <c r="CG189" s="6"/>
      <c r="CH189" s="6"/>
      <c r="CI189" s="6"/>
      <c r="CJ189" s="6"/>
      <c r="CK189" s="6"/>
      <c r="CL189" s="6"/>
      <c r="CM189" s="6"/>
      <c r="CN189" s="6"/>
      <c r="CO189" s="6"/>
      <c r="CP189" s="6"/>
      <c r="CQ189" s="6"/>
      <c r="CR189" s="6"/>
      <c r="CS189" s="6"/>
      <c r="CT189" s="6"/>
      <c r="CU189" s="6"/>
      <c r="CV189" s="6"/>
      <c r="CW189" s="6"/>
      <c r="CX189" s="6"/>
      <c r="CY189" s="6"/>
      <c r="CZ189" s="6"/>
      <c r="DA189" s="6"/>
      <c r="DB189" s="6"/>
      <c r="DC189" s="6"/>
      <c r="DD189" s="6"/>
      <c r="DE189" s="6"/>
      <c r="DF189" s="173">
        <f t="shared" si="150"/>
        <v>100</v>
      </c>
      <c r="DG189" s="173">
        <f t="shared" si="147"/>
        <v>1400</v>
      </c>
      <c r="DH189" s="173">
        <f t="shared" si="148"/>
        <v>896</v>
      </c>
    </row>
    <row r="190" spans="1:112" ht="30" customHeight="1" x14ac:dyDescent="0.25">
      <c r="A190" s="522" t="s">
        <v>0</v>
      </c>
      <c r="B190" s="523"/>
      <c r="C190" s="523"/>
      <c r="D190" s="523"/>
      <c r="E190" s="523"/>
      <c r="F190" s="523"/>
      <c r="G190" s="523"/>
      <c r="H190" s="523"/>
      <c r="I190" s="523"/>
      <c r="J190" s="524"/>
      <c r="K190" s="7">
        <f>SUM(K166:K189)</f>
        <v>0</v>
      </c>
      <c r="L190" s="7">
        <f t="shared" ref="L190:AN190" si="151">SUM(L166:L189)</f>
        <v>0</v>
      </c>
      <c r="M190" s="7">
        <f t="shared" si="151"/>
        <v>0</v>
      </c>
      <c r="N190" s="7">
        <f t="shared" si="151"/>
        <v>0</v>
      </c>
      <c r="O190" s="7">
        <f t="shared" si="151"/>
        <v>0</v>
      </c>
      <c r="P190" s="7">
        <f t="shared" si="151"/>
        <v>0</v>
      </c>
      <c r="Q190" s="7">
        <f t="shared" si="151"/>
        <v>455</v>
      </c>
      <c r="R190" s="7">
        <f t="shared" si="151"/>
        <v>6160</v>
      </c>
      <c r="S190" s="7">
        <f t="shared" si="151"/>
        <v>4396</v>
      </c>
      <c r="T190" s="7">
        <f t="shared" si="151"/>
        <v>200</v>
      </c>
      <c r="U190" s="7">
        <f t="shared" si="151"/>
        <v>2800</v>
      </c>
      <c r="V190" s="7">
        <f t="shared" si="151"/>
        <v>1792</v>
      </c>
      <c r="W190" s="7">
        <f t="shared" si="151"/>
        <v>0</v>
      </c>
      <c r="X190" s="7">
        <f t="shared" si="151"/>
        <v>0</v>
      </c>
      <c r="Y190" s="7">
        <f t="shared" si="151"/>
        <v>0</v>
      </c>
      <c r="Z190" s="7">
        <f t="shared" si="151"/>
        <v>385</v>
      </c>
      <c r="AA190" s="7">
        <f t="shared" si="151"/>
        <v>5266</v>
      </c>
      <c r="AB190" s="7">
        <f t="shared" si="151"/>
        <v>3638.08</v>
      </c>
      <c r="AC190" s="7">
        <f t="shared" si="151"/>
        <v>50</v>
      </c>
      <c r="AD190" s="7">
        <f t="shared" si="151"/>
        <v>700</v>
      </c>
      <c r="AE190" s="7">
        <f t="shared" si="151"/>
        <v>448</v>
      </c>
      <c r="AF190" s="7">
        <f t="shared" si="151"/>
        <v>0</v>
      </c>
      <c r="AG190" s="7">
        <f t="shared" si="151"/>
        <v>0</v>
      </c>
      <c r="AH190" s="7">
        <f t="shared" si="151"/>
        <v>0</v>
      </c>
      <c r="AI190" s="7">
        <f t="shared" si="151"/>
        <v>200</v>
      </c>
      <c r="AJ190" s="7">
        <f t="shared" si="151"/>
        <v>2500</v>
      </c>
      <c r="AK190" s="7">
        <f t="shared" si="151"/>
        <v>2248</v>
      </c>
      <c r="AL190" s="7">
        <f t="shared" si="151"/>
        <v>100</v>
      </c>
      <c r="AM190" s="7">
        <f t="shared" si="151"/>
        <v>1300</v>
      </c>
      <c r="AN190" s="7">
        <f t="shared" si="151"/>
        <v>1048</v>
      </c>
      <c r="AO190" s="210">
        <f>SUM(AO166:AO189)</f>
        <v>1390</v>
      </c>
      <c r="AP190" s="210">
        <f t="shared" ref="AP190:AQ190" si="152">SUM(AP166:AP189)</f>
        <v>18726</v>
      </c>
      <c r="AQ190" s="210">
        <f t="shared" si="152"/>
        <v>13570.08</v>
      </c>
      <c r="AR190" s="7">
        <f>SUM(AR166:AR189)</f>
        <v>500</v>
      </c>
      <c r="AS190" s="7">
        <f t="shared" ref="AS190:BU190" si="153">SUM(AS166:AS189)</f>
        <v>6800</v>
      </c>
      <c r="AT190" s="7">
        <f t="shared" si="153"/>
        <v>4784</v>
      </c>
      <c r="AU190" s="7">
        <f t="shared" si="153"/>
        <v>250</v>
      </c>
      <c r="AV190" s="7">
        <f t="shared" si="153"/>
        <v>3300</v>
      </c>
      <c r="AW190" s="7">
        <f t="shared" si="153"/>
        <v>2544</v>
      </c>
      <c r="AX190" s="7">
        <f t="shared" si="153"/>
        <v>1230</v>
      </c>
      <c r="AY190" s="7">
        <f t="shared" si="153"/>
        <v>15060</v>
      </c>
      <c r="AZ190" s="7">
        <f t="shared" si="153"/>
        <v>14304</v>
      </c>
      <c r="BA190" s="7">
        <f t="shared" si="153"/>
        <v>600</v>
      </c>
      <c r="BB190" s="7">
        <f t="shared" si="153"/>
        <v>7500</v>
      </c>
      <c r="BC190" s="7">
        <f t="shared" si="153"/>
        <v>6744</v>
      </c>
      <c r="BD190" s="7">
        <f t="shared" si="153"/>
        <v>0</v>
      </c>
      <c r="BE190" s="7">
        <f t="shared" si="153"/>
        <v>0</v>
      </c>
      <c r="BF190" s="7">
        <f t="shared" si="153"/>
        <v>0</v>
      </c>
      <c r="BG190" s="7">
        <f t="shared" si="153"/>
        <v>37</v>
      </c>
      <c r="BH190" s="7">
        <f t="shared" si="153"/>
        <v>494</v>
      </c>
      <c r="BI190" s="7">
        <f t="shared" si="153"/>
        <v>368</v>
      </c>
      <c r="BJ190" s="7">
        <f t="shared" si="153"/>
        <v>400</v>
      </c>
      <c r="BK190" s="7">
        <f t="shared" si="153"/>
        <v>5600</v>
      </c>
      <c r="BL190" s="7">
        <f t="shared" si="153"/>
        <v>3584</v>
      </c>
      <c r="BM190" s="7">
        <f t="shared" si="153"/>
        <v>179</v>
      </c>
      <c r="BN190" s="7">
        <f t="shared" si="153"/>
        <v>2178</v>
      </c>
      <c r="BO190" s="7">
        <f t="shared" si="153"/>
        <v>2102.4</v>
      </c>
      <c r="BP190" s="7">
        <f t="shared" si="153"/>
        <v>50</v>
      </c>
      <c r="BQ190" s="7">
        <f t="shared" si="153"/>
        <v>700</v>
      </c>
      <c r="BR190" s="7">
        <f t="shared" si="153"/>
        <v>448</v>
      </c>
      <c r="BS190" s="7">
        <f t="shared" si="153"/>
        <v>0</v>
      </c>
      <c r="BT190" s="7">
        <f t="shared" si="153"/>
        <v>0</v>
      </c>
      <c r="BU190" s="7">
        <f t="shared" si="153"/>
        <v>0</v>
      </c>
      <c r="BV190" s="210">
        <f>SUM(BV166:BV189)</f>
        <v>4636</v>
      </c>
      <c r="BW190" s="210">
        <f t="shared" ref="BW190:BX190" si="154">SUM(BW166:BW189)</f>
        <v>60358</v>
      </c>
      <c r="BX190" s="210">
        <f t="shared" si="154"/>
        <v>48448.480000000003</v>
      </c>
      <c r="BY190" s="7">
        <f>SUM(BY166:BY189)</f>
        <v>0</v>
      </c>
      <c r="BZ190" s="7">
        <f t="shared" ref="BZ190:DE190" si="155">SUM(BZ166:BZ189)</f>
        <v>0</v>
      </c>
      <c r="CA190" s="7">
        <f t="shared" si="155"/>
        <v>0</v>
      </c>
      <c r="CB190" s="7">
        <f t="shared" si="155"/>
        <v>0</v>
      </c>
      <c r="CC190" s="7">
        <f t="shared" si="155"/>
        <v>0</v>
      </c>
      <c r="CD190" s="7">
        <f t="shared" si="155"/>
        <v>0</v>
      </c>
      <c r="CE190" s="7">
        <f t="shared" si="155"/>
        <v>0</v>
      </c>
      <c r="CF190" s="7">
        <f t="shared" si="155"/>
        <v>0</v>
      </c>
      <c r="CG190" s="7">
        <f t="shared" si="155"/>
        <v>0</v>
      </c>
      <c r="CH190" s="7">
        <f t="shared" si="155"/>
        <v>0</v>
      </c>
      <c r="CI190" s="7">
        <f t="shared" si="155"/>
        <v>0</v>
      </c>
      <c r="CJ190" s="7">
        <f t="shared" si="155"/>
        <v>0</v>
      </c>
      <c r="CK190" s="7">
        <f t="shared" si="155"/>
        <v>0</v>
      </c>
      <c r="CL190" s="7">
        <f t="shared" si="155"/>
        <v>0</v>
      </c>
      <c r="CM190" s="7">
        <f t="shared" si="155"/>
        <v>0</v>
      </c>
      <c r="CN190" s="7">
        <f t="shared" si="155"/>
        <v>0</v>
      </c>
      <c r="CO190" s="7">
        <f t="shared" si="155"/>
        <v>0</v>
      </c>
      <c r="CP190" s="7">
        <f t="shared" si="155"/>
        <v>0</v>
      </c>
      <c r="CQ190" s="7">
        <f t="shared" si="155"/>
        <v>0</v>
      </c>
      <c r="CR190" s="7">
        <f t="shared" si="155"/>
        <v>0</v>
      </c>
      <c r="CS190" s="7">
        <f t="shared" si="155"/>
        <v>0</v>
      </c>
      <c r="CT190" s="7">
        <f t="shared" si="155"/>
        <v>0</v>
      </c>
      <c r="CU190" s="7">
        <f t="shared" si="155"/>
        <v>0</v>
      </c>
      <c r="CV190" s="7">
        <f t="shared" si="155"/>
        <v>0</v>
      </c>
      <c r="CW190" s="7">
        <f t="shared" si="155"/>
        <v>0</v>
      </c>
      <c r="CX190" s="7">
        <f t="shared" si="155"/>
        <v>0</v>
      </c>
      <c r="CY190" s="7">
        <f t="shared" si="155"/>
        <v>0</v>
      </c>
      <c r="CZ190" s="7">
        <f t="shared" si="155"/>
        <v>0</v>
      </c>
      <c r="DA190" s="7">
        <f t="shared" si="155"/>
        <v>0</v>
      </c>
      <c r="DB190" s="7">
        <f t="shared" si="155"/>
        <v>0</v>
      </c>
      <c r="DC190" s="7">
        <f t="shared" si="155"/>
        <v>0</v>
      </c>
      <c r="DD190" s="7">
        <f t="shared" si="155"/>
        <v>0</v>
      </c>
      <c r="DE190" s="7">
        <f t="shared" si="155"/>
        <v>0</v>
      </c>
      <c r="DF190" s="210">
        <f>SUM(DF166:DF189)</f>
        <v>4636</v>
      </c>
      <c r="DG190" s="210">
        <f>SUM(DG166:DG189)</f>
        <v>60358</v>
      </c>
      <c r="DH190" s="210">
        <f>SUM(DH166:DH189)</f>
        <v>48448.480000000003</v>
      </c>
    </row>
    <row r="192" spans="1:112" ht="30" customHeight="1" x14ac:dyDescent="0.25">
      <c r="A192" s="539" t="s">
        <v>118</v>
      </c>
      <c r="B192" s="192" t="s">
        <v>117</v>
      </c>
      <c r="C192" s="23"/>
      <c r="D192" s="540" t="s">
        <v>116</v>
      </c>
      <c r="E192" s="541"/>
      <c r="F192" s="542" t="s">
        <v>115</v>
      </c>
      <c r="G192" s="543" t="s">
        <v>114</v>
      </c>
      <c r="H192" s="544"/>
      <c r="I192" s="531" t="s">
        <v>113</v>
      </c>
      <c r="J192" s="545" t="s">
        <v>112</v>
      </c>
      <c r="K192" s="520" t="s">
        <v>510</v>
      </c>
      <c r="L192" s="520"/>
      <c r="M192" s="520"/>
      <c r="N192" s="520" t="s">
        <v>511</v>
      </c>
      <c r="O192" s="520"/>
      <c r="P192" s="520"/>
      <c r="Q192" s="520" t="s">
        <v>512</v>
      </c>
      <c r="R192" s="520"/>
      <c r="S192" s="520"/>
      <c r="T192" s="520" t="s">
        <v>513</v>
      </c>
      <c r="U192" s="520"/>
      <c r="V192" s="520"/>
      <c r="W192" s="520" t="s">
        <v>514</v>
      </c>
      <c r="X192" s="520"/>
      <c r="Y192" s="520"/>
      <c r="Z192" s="520" t="s">
        <v>515</v>
      </c>
      <c r="AA192" s="520"/>
      <c r="AB192" s="520"/>
      <c r="AC192" s="520" t="s">
        <v>516</v>
      </c>
      <c r="AD192" s="520"/>
      <c r="AE192" s="520"/>
      <c r="AF192" s="520" t="s">
        <v>517</v>
      </c>
      <c r="AG192" s="520"/>
      <c r="AH192" s="520"/>
      <c r="AI192" s="520" t="s">
        <v>518</v>
      </c>
      <c r="AJ192" s="520"/>
      <c r="AK192" s="520"/>
      <c r="AL192" s="520" t="s">
        <v>519</v>
      </c>
      <c r="AM192" s="520"/>
      <c r="AN192" s="520"/>
      <c r="AO192" s="521" t="s">
        <v>350</v>
      </c>
      <c r="AP192" s="521"/>
      <c r="AQ192" s="521"/>
      <c r="AR192" s="520" t="s">
        <v>520</v>
      </c>
      <c r="AS192" s="520"/>
      <c r="AT192" s="520"/>
      <c r="AU192" s="520" t="s">
        <v>521</v>
      </c>
      <c r="AV192" s="520"/>
      <c r="AW192" s="520"/>
      <c r="AX192" s="520" t="s">
        <v>522</v>
      </c>
      <c r="AY192" s="520"/>
      <c r="AZ192" s="520"/>
      <c r="BA192" s="520" t="s">
        <v>523</v>
      </c>
      <c r="BB192" s="520"/>
      <c r="BC192" s="520"/>
      <c r="BD192" s="520" t="s">
        <v>524</v>
      </c>
      <c r="BE192" s="520"/>
      <c r="BF192" s="520"/>
      <c r="BG192" s="520" t="s">
        <v>525</v>
      </c>
      <c r="BH192" s="520"/>
      <c r="BI192" s="520"/>
      <c r="BJ192" s="520" t="s">
        <v>526</v>
      </c>
      <c r="BK192" s="520"/>
      <c r="BL192" s="520"/>
      <c r="BM192" s="520" t="s">
        <v>527</v>
      </c>
      <c r="BN192" s="520"/>
      <c r="BO192" s="520"/>
      <c r="BP192" s="520" t="s">
        <v>528</v>
      </c>
      <c r="BQ192" s="520"/>
      <c r="BR192" s="520"/>
      <c r="BS192" s="520" t="s">
        <v>529</v>
      </c>
      <c r="BT192" s="520"/>
      <c r="BU192" s="520"/>
      <c r="BV192" s="521" t="s">
        <v>351</v>
      </c>
      <c r="BW192" s="521"/>
      <c r="BX192" s="521"/>
      <c r="BY192" s="520" t="s">
        <v>530</v>
      </c>
      <c r="BZ192" s="520"/>
      <c r="CA192" s="520"/>
      <c r="CB192" s="520" t="s">
        <v>531</v>
      </c>
      <c r="CC192" s="520"/>
      <c r="CD192" s="520"/>
      <c r="CE192" s="520" t="s">
        <v>532</v>
      </c>
      <c r="CF192" s="520"/>
      <c r="CG192" s="520"/>
      <c r="CH192" s="520" t="s">
        <v>533</v>
      </c>
      <c r="CI192" s="520"/>
      <c r="CJ192" s="520"/>
      <c r="CK192" s="520" t="s">
        <v>534</v>
      </c>
      <c r="CL192" s="520"/>
      <c r="CM192" s="520"/>
      <c r="CN192" s="520" t="s">
        <v>535</v>
      </c>
      <c r="CO192" s="520"/>
      <c r="CP192" s="520"/>
      <c r="CQ192" s="520" t="s">
        <v>536</v>
      </c>
      <c r="CR192" s="520"/>
      <c r="CS192" s="520"/>
      <c r="CT192" s="520" t="s">
        <v>537</v>
      </c>
      <c r="CU192" s="520"/>
      <c r="CV192" s="520"/>
      <c r="CW192" s="520" t="s">
        <v>538</v>
      </c>
      <c r="CX192" s="520"/>
      <c r="CY192" s="520"/>
      <c r="CZ192" s="520" t="s">
        <v>539</v>
      </c>
      <c r="DA192" s="520"/>
      <c r="DB192" s="520"/>
      <c r="DC192" s="520" t="s">
        <v>540</v>
      </c>
      <c r="DD192" s="520"/>
      <c r="DE192" s="520"/>
      <c r="DF192" s="520" t="s">
        <v>111</v>
      </c>
      <c r="DG192" s="520"/>
      <c r="DH192" s="520"/>
    </row>
    <row r="193" spans="1:112" ht="30" customHeight="1" x14ac:dyDescent="0.25">
      <c r="A193" s="526"/>
      <c r="B193" s="193"/>
      <c r="C193" s="24"/>
      <c r="D193" s="529"/>
      <c r="E193" s="530"/>
      <c r="F193" s="536"/>
      <c r="G193" s="534"/>
      <c r="H193" s="535"/>
      <c r="I193" s="531"/>
      <c r="J193" s="538"/>
      <c r="K193" s="10" t="s">
        <v>109</v>
      </c>
      <c r="L193" s="11" t="s">
        <v>108</v>
      </c>
      <c r="M193" s="11" t="s">
        <v>348</v>
      </c>
      <c r="N193" s="10" t="s">
        <v>109</v>
      </c>
      <c r="O193" s="11" t="s">
        <v>108</v>
      </c>
      <c r="P193" s="11" t="s">
        <v>348</v>
      </c>
      <c r="Q193" s="10" t="s">
        <v>109</v>
      </c>
      <c r="R193" s="11" t="s">
        <v>108</v>
      </c>
      <c r="S193" s="11" t="s">
        <v>348</v>
      </c>
      <c r="T193" s="10" t="s">
        <v>109</v>
      </c>
      <c r="U193" s="11" t="s">
        <v>108</v>
      </c>
      <c r="V193" s="11" t="s">
        <v>348</v>
      </c>
      <c r="W193" s="10" t="s">
        <v>109</v>
      </c>
      <c r="X193" s="11" t="s">
        <v>108</v>
      </c>
      <c r="Y193" s="11" t="s">
        <v>348</v>
      </c>
      <c r="Z193" s="10" t="s">
        <v>109</v>
      </c>
      <c r="AA193" s="11" t="s">
        <v>108</v>
      </c>
      <c r="AB193" s="11" t="s">
        <v>348</v>
      </c>
      <c r="AC193" s="10" t="s">
        <v>109</v>
      </c>
      <c r="AD193" s="11" t="s">
        <v>108</v>
      </c>
      <c r="AE193" s="11" t="s">
        <v>348</v>
      </c>
      <c r="AF193" s="10" t="s">
        <v>109</v>
      </c>
      <c r="AG193" s="11" t="s">
        <v>108</v>
      </c>
      <c r="AH193" s="11" t="s">
        <v>348</v>
      </c>
      <c r="AI193" s="10" t="s">
        <v>109</v>
      </c>
      <c r="AJ193" s="11" t="s">
        <v>108</v>
      </c>
      <c r="AK193" s="11" t="s">
        <v>348</v>
      </c>
      <c r="AL193" s="10" t="s">
        <v>109</v>
      </c>
      <c r="AM193" s="11" t="s">
        <v>108</v>
      </c>
      <c r="AN193" s="11" t="s">
        <v>348</v>
      </c>
      <c r="AO193" s="10" t="s">
        <v>109</v>
      </c>
      <c r="AP193" s="11" t="s">
        <v>108</v>
      </c>
      <c r="AQ193" s="11" t="s">
        <v>348</v>
      </c>
      <c r="AR193" s="10" t="s">
        <v>109</v>
      </c>
      <c r="AS193" s="11" t="s">
        <v>108</v>
      </c>
      <c r="AT193" s="11" t="s">
        <v>348</v>
      </c>
      <c r="AU193" s="10" t="s">
        <v>109</v>
      </c>
      <c r="AV193" s="11" t="s">
        <v>108</v>
      </c>
      <c r="AW193" s="11" t="s">
        <v>348</v>
      </c>
      <c r="AX193" s="10" t="s">
        <v>109</v>
      </c>
      <c r="AY193" s="11" t="s">
        <v>108</v>
      </c>
      <c r="AZ193" s="11" t="s">
        <v>348</v>
      </c>
      <c r="BA193" s="10" t="s">
        <v>109</v>
      </c>
      <c r="BB193" s="11" t="s">
        <v>108</v>
      </c>
      <c r="BC193" s="11" t="s">
        <v>348</v>
      </c>
      <c r="BD193" s="10" t="s">
        <v>109</v>
      </c>
      <c r="BE193" s="11" t="s">
        <v>108</v>
      </c>
      <c r="BF193" s="11" t="s">
        <v>348</v>
      </c>
      <c r="BG193" s="10" t="s">
        <v>109</v>
      </c>
      <c r="BH193" s="11" t="s">
        <v>108</v>
      </c>
      <c r="BI193" s="11" t="s">
        <v>348</v>
      </c>
      <c r="BJ193" s="10" t="s">
        <v>109</v>
      </c>
      <c r="BK193" s="11" t="s">
        <v>108</v>
      </c>
      <c r="BL193" s="11" t="s">
        <v>348</v>
      </c>
      <c r="BM193" s="10" t="s">
        <v>109</v>
      </c>
      <c r="BN193" s="11" t="s">
        <v>108</v>
      </c>
      <c r="BO193" s="11" t="s">
        <v>348</v>
      </c>
      <c r="BP193" s="10" t="s">
        <v>109</v>
      </c>
      <c r="BQ193" s="11" t="s">
        <v>108</v>
      </c>
      <c r="BR193" s="11" t="s">
        <v>348</v>
      </c>
      <c r="BS193" s="10" t="s">
        <v>109</v>
      </c>
      <c r="BT193" s="11" t="s">
        <v>108</v>
      </c>
      <c r="BU193" s="11" t="s">
        <v>348</v>
      </c>
      <c r="BV193" s="10" t="s">
        <v>109</v>
      </c>
      <c r="BW193" s="11" t="s">
        <v>108</v>
      </c>
      <c r="BX193" s="11" t="s">
        <v>348</v>
      </c>
      <c r="BY193" s="10" t="s">
        <v>109</v>
      </c>
      <c r="BZ193" s="11" t="s">
        <v>108</v>
      </c>
      <c r="CA193" s="11" t="s">
        <v>348</v>
      </c>
      <c r="CB193" s="10" t="s">
        <v>109</v>
      </c>
      <c r="CC193" s="11" t="s">
        <v>108</v>
      </c>
      <c r="CD193" s="11" t="s">
        <v>348</v>
      </c>
      <c r="CE193" s="10" t="s">
        <v>109</v>
      </c>
      <c r="CF193" s="11" t="s">
        <v>108</v>
      </c>
      <c r="CG193" s="11" t="s">
        <v>348</v>
      </c>
      <c r="CH193" s="10" t="s">
        <v>109</v>
      </c>
      <c r="CI193" s="11" t="s">
        <v>108</v>
      </c>
      <c r="CJ193" s="11" t="s">
        <v>348</v>
      </c>
      <c r="CK193" s="10" t="s">
        <v>109</v>
      </c>
      <c r="CL193" s="11" t="s">
        <v>108</v>
      </c>
      <c r="CM193" s="11" t="s">
        <v>348</v>
      </c>
      <c r="CN193" s="10" t="s">
        <v>109</v>
      </c>
      <c r="CO193" s="11" t="s">
        <v>108</v>
      </c>
      <c r="CP193" s="11" t="s">
        <v>348</v>
      </c>
      <c r="CQ193" s="10" t="s">
        <v>109</v>
      </c>
      <c r="CR193" s="11" t="s">
        <v>108</v>
      </c>
      <c r="CS193" s="11" t="s">
        <v>348</v>
      </c>
      <c r="CT193" s="10" t="s">
        <v>109</v>
      </c>
      <c r="CU193" s="11" t="s">
        <v>108</v>
      </c>
      <c r="CV193" s="11" t="s">
        <v>348</v>
      </c>
      <c r="CW193" s="10" t="s">
        <v>109</v>
      </c>
      <c r="CX193" s="11" t="s">
        <v>108</v>
      </c>
      <c r="CY193" s="11" t="s">
        <v>348</v>
      </c>
      <c r="CZ193" s="10" t="s">
        <v>109</v>
      </c>
      <c r="DA193" s="11" t="s">
        <v>108</v>
      </c>
      <c r="DB193" s="11" t="s">
        <v>348</v>
      </c>
      <c r="DC193" s="10" t="s">
        <v>109</v>
      </c>
      <c r="DD193" s="11" t="s">
        <v>108</v>
      </c>
      <c r="DE193" s="11" t="s">
        <v>348</v>
      </c>
      <c r="DF193" s="10" t="s">
        <v>109</v>
      </c>
      <c r="DG193" s="11" t="s">
        <v>108</v>
      </c>
      <c r="DH193" s="11" t="s">
        <v>348</v>
      </c>
    </row>
    <row r="194" spans="1:112" ht="30" customHeight="1" x14ac:dyDescent="0.25">
      <c r="A194" s="25">
        <v>1</v>
      </c>
      <c r="B194" s="190" t="s">
        <v>277</v>
      </c>
      <c r="C194" s="6" t="s">
        <v>456</v>
      </c>
      <c r="D194" s="6" t="s">
        <v>41</v>
      </c>
      <c r="E194" s="180" t="s">
        <v>353</v>
      </c>
      <c r="F194" s="5" t="s">
        <v>164</v>
      </c>
      <c r="G194" s="25"/>
      <c r="H194" s="7"/>
      <c r="I194" s="7"/>
      <c r="J194" s="3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>
        <v>100</v>
      </c>
      <c r="AA194" s="6">
        <v>1260</v>
      </c>
      <c r="AB194" s="6">
        <v>1108.8</v>
      </c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173">
        <f t="shared" ref="AO194:AO207" si="156">+K194+N194+Q194+T194+W194+Z194+AC194+AF194+AI194+AL194</f>
        <v>100</v>
      </c>
      <c r="AP194" s="173">
        <f t="shared" ref="AP194:AP207" si="157">+L194+O194+R194+U194+X194+AA194+AD194+AG194+AJ194+AM194</f>
        <v>1260</v>
      </c>
      <c r="AQ194" s="173">
        <f t="shared" ref="AQ194:AQ207" si="158">+M194+P194+S194+V194+Y194+AB194+AE194+AH194+AK194+AN194</f>
        <v>1108.8</v>
      </c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173">
        <f>+AO194+AR194+AU194+AX194+BA194+BD194+BG194+BJ194+BM194+BP194+BS194</f>
        <v>100</v>
      </c>
      <c r="BW194" s="173">
        <f t="shared" ref="BW194:BW207" si="159">+AP194+AS194+AV194+AY194+BB194+BE194+BH194+BK194+BN194+BQ194+BT194</f>
        <v>1260</v>
      </c>
      <c r="BX194" s="173">
        <f t="shared" ref="BX194:BX207" si="160">+AQ194+AT194+AW194+AZ194+BC194+BF194+BI194+BL194+BO194+BR194+BU194</f>
        <v>1108.8</v>
      </c>
      <c r="BY194" s="6"/>
      <c r="BZ194" s="6"/>
      <c r="CA194" s="6"/>
      <c r="CB194" s="6"/>
      <c r="CC194" s="6"/>
      <c r="CD194" s="6"/>
      <c r="CE194" s="6"/>
      <c r="CF194" s="6"/>
      <c r="CG194" s="6"/>
      <c r="CH194" s="6"/>
      <c r="CI194" s="6"/>
      <c r="CJ194" s="6"/>
      <c r="CK194" s="6"/>
      <c r="CL194" s="6"/>
      <c r="CM194" s="6"/>
      <c r="CN194" s="6"/>
      <c r="CO194" s="6"/>
      <c r="CP194" s="6"/>
      <c r="CQ194" s="6"/>
      <c r="CR194" s="6"/>
      <c r="CS194" s="6"/>
      <c r="CT194" s="6"/>
      <c r="CU194" s="6"/>
      <c r="CV194" s="6"/>
      <c r="CW194" s="6"/>
      <c r="CX194" s="6"/>
      <c r="CY194" s="6"/>
      <c r="CZ194" s="6"/>
      <c r="DA194" s="6"/>
      <c r="DB194" s="6"/>
      <c r="DC194" s="6"/>
      <c r="DD194" s="6"/>
      <c r="DE194" s="6"/>
      <c r="DF194" s="173">
        <f t="shared" ref="DF194:DF207" si="161">BV194+CB194+CE194+CH194+CK194+CN194+CQ194+CT194+CW194+CZ194+DC194+BY194</f>
        <v>100</v>
      </c>
      <c r="DG194" s="173">
        <f t="shared" ref="DG194:DG207" si="162">BW194+CC194+CF194+CI194+CL194+CO194+CR194+CU194+CX194+DA194+DD194+BZ194</f>
        <v>1260</v>
      </c>
      <c r="DH194" s="173">
        <f t="shared" ref="DH194:DH207" si="163">BX194+CD194+CG194+CJ194+CM194+CP194+CS194+CV194+CY194+DB194+DE194+CA194</f>
        <v>1108.8</v>
      </c>
    </row>
    <row r="195" spans="1:112" ht="30" customHeight="1" x14ac:dyDescent="0.25">
      <c r="A195" s="25">
        <v>2</v>
      </c>
      <c r="B195" s="190" t="s">
        <v>105</v>
      </c>
      <c r="C195" s="6" t="s">
        <v>104</v>
      </c>
      <c r="D195" s="6" t="s">
        <v>41</v>
      </c>
      <c r="E195" s="180" t="s">
        <v>400</v>
      </c>
      <c r="F195" s="5" t="s">
        <v>164</v>
      </c>
      <c r="G195" s="25"/>
      <c r="H195" s="7"/>
      <c r="I195" s="7"/>
      <c r="J195" s="3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173">
        <f t="shared" si="156"/>
        <v>0</v>
      </c>
      <c r="AP195" s="173">
        <f t="shared" si="157"/>
        <v>0</v>
      </c>
      <c r="AQ195" s="173">
        <f t="shared" si="158"/>
        <v>0</v>
      </c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173">
        <f t="shared" ref="BV195:BV207" si="164">+AO195+AR195+AU195+AX195+BA195+BD195+BG195+BJ195+BM195+BP195+BS195</f>
        <v>0</v>
      </c>
      <c r="BW195" s="173">
        <f t="shared" si="159"/>
        <v>0</v>
      </c>
      <c r="BX195" s="173">
        <f t="shared" si="160"/>
        <v>0</v>
      </c>
      <c r="BY195" s="6"/>
      <c r="BZ195" s="6"/>
      <c r="CA195" s="6"/>
      <c r="CB195" s="6"/>
      <c r="CC195" s="6"/>
      <c r="CD195" s="6"/>
      <c r="CE195" s="6"/>
      <c r="CF195" s="6"/>
      <c r="CG195" s="6"/>
      <c r="CH195" s="6"/>
      <c r="CI195" s="6"/>
      <c r="CJ195" s="6"/>
      <c r="CK195" s="6"/>
      <c r="CL195" s="6"/>
      <c r="CM195" s="6"/>
      <c r="CN195" s="6"/>
      <c r="CO195" s="6"/>
      <c r="CP195" s="6"/>
      <c r="CQ195" s="6"/>
      <c r="CR195" s="6"/>
      <c r="CS195" s="6"/>
      <c r="CT195" s="6"/>
      <c r="CU195" s="6"/>
      <c r="CV195" s="6"/>
      <c r="CW195" s="6"/>
      <c r="CX195" s="6"/>
      <c r="CY195" s="6"/>
      <c r="CZ195" s="6"/>
      <c r="DA195" s="6"/>
      <c r="DB195" s="6"/>
      <c r="DC195" s="6"/>
      <c r="DD195" s="6"/>
      <c r="DE195" s="6"/>
      <c r="DF195" s="173">
        <f t="shared" si="161"/>
        <v>0</v>
      </c>
      <c r="DG195" s="173">
        <f t="shared" si="162"/>
        <v>0</v>
      </c>
      <c r="DH195" s="173">
        <f t="shared" si="163"/>
        <v>0</v>
      </c>
    </row>
    <row r="196" spans="1:112" ht="30" customHeight="1" x14ac:dyDescent="0.25">
      <c r="A196" s="25">
        <v>3</v>
      </c>
      <c r="B196" s="190" t="s">
        <v>32</v>
      </c>
      <c r="C196" s="6" t="s">
        <v>31</v>
      </c>
      <c r="D196" s="6" t="s">
        <v>41</v>
      </c>
      <c r="E196" s="180" t="s">
        <v>357</v>
      </c>
      <c r="F196" s="5" t="s">
        <v>164</v>
      </c>
      <c r="G196" s="25"/>
      <c r="H196" s="25"/>
      <c r="I196" s="7"/>
      <c r="J196" s="3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173">
        <f t="shared" si="156"/>
        <v>0</v>
      </c>
      <c r="AP196" s="173">
        <f t="shared" si="157"/>
        <v>0</v>
      </c>
      <c r="AQ196" s="173">
        <f t="shared" si="158"/>
        <v>0</v>
      </c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>
        <v>150</v>
      </c>
      <c r="BN196" s="6">
        <v>1800</v>
      </c>
      <c r="BO196" s="6">
        <v>1800</v>
      </c>
      <c r="BP196" s="6"/>
      <c r="BQ196" s="6"/>
      <c r="BR196" s="6"/>
      <c r="BS196" s="6"/>
      <c r="BT196" s="6"/>
      <c r="BU196" s="6"/>
      <c r="BV196" s="173">
        <f t="shared" si="164"/>
        <v>150</v>
      </c>
      <c r="BW196" s="173">
        <f t="shared" si="159"/>
        <v>1800</v>
      </c>
      <c r="BX196" s="173">
        <f t="shared" si="160"/>
        <v>1800</v>
      </c>
      <c r="BY196" s="6"/>
      <c r="BZ196" s="6"/>
      <c r="CA196" s="6"/>
      <c r="CB196" s="6"/>
      <c r="CC196" s="6"/>
      <c r="CD196" s="6"/>
      <c r="CE196" s="6"/>
      <c r="CF196" s="6"/>
      <c r="CG196" s="6"/>
      <c r="CH196" s="6"/>
      <c r="CI196" s="6"/>
      <c r="CJ196" s="6"/>
      <c r="CK196" s="6"/>
      <c r="CL196" s="6"/>
      <c r="CM196" s="6"/>
      <c r="CN196" s="6"/>
      <c r="CO196" s="6"/>
      <c r="CP196" s="6"/>
      <c r="CQ196" s="6"/>
      <c r="CR196" s="6"/>
      <c r="CS196" s="6"/>
      <c r="CT196" s="6"/>
      <c r="CU196" s="6"/>
      <c r="CV196" s="6"/>
      <c r="CW196" s="6"/>
      <c r="CX196" s="6"/>
      <c r="CY196" s="6"/>
      <c r="CZ196" s="6"/>
      <c r="DA196" s="6"/>
      <c r="DB196" s="6"/>
      <c r="DC196" s="6"/>
      <c r="DD196" s="6"/>
      <c r="DE196" s="6"/>
      <c r="DF196" s="173">
        <f t="shared" si="161"/>
        <v>150</v>
      </c>
      <c r="DG196" s="173">
        <f t="shared" si="162"/>
        <v>1800</v>
      </c>
      <c r="DH196" s="173">
        <f t="shared" si="163"/>
        <v>1800</v>
      </c>
    </row>
    <row r="197" spans="1:112" ht="30" customHeight="1" x14ac:dyDescent="0.25">
      <c r="A197" s="25">
        <v>4</v>
      </c>
      <c r="B197" s="190" t="s">
        <v>281</v>
      </c>
      <c r="C197" s="6" t="s">
        <v>280</v>
      </c>
      <c r="D197" s="6" t="s">
        <v>24</v>
      </c>
      <c r="E197" s="180" t="s">
        <v>358</v>
      </c>
      <c r="F197" s="5" t="s">
        <v>164</v>
      </c>
      <c r="G197" s="25"/>
      <c r="H197" s="25"/>
      <c r="I197" s="7"/>
      <c r="J197" s="3"/>
      <c r="K197" s="9"/>
      <c r="L197" s="9"/>
      <c r="M197" s="6"/>
      <c r="N197" s="9"/>
      <c r="O197" s="9"/>
      <c r="P197" s="6"/>
      <c r="Q197" s="6">
        <v>1</v>
      </c>
      <c r="R197" s="6">
        <v>12</v>
      </c>
      <c r="S197" s="6">
        <v>12</v>
      </c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173">
        <f t="shared" si="156"/>
        <v>1</v>
      </c>
      <c r="AP197" s="173">
        <f t="shared" si="157"/>
        <v>12</v>
      </c>
      <c r="AQ197" s="173">
        <f t="shared" si="158"/>
        <v>12</v>
      </c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173">
        <f t="shared" si="164"/>
        <v>1</v>
      </c>
      <c r="BW197" s="173">
        <f t="shared" si="159"/>
        <v>12</v>
      </c>
      <c r="BX197" s="173">
        <f t="shared" si="160"/>
        <v>12</v>
      </c>
      <c r="BY197" s="6"/>
      <c r="BZ197" s="6"/>
      <c r="CA197" s="6"/>
      <c r="CB197" s="6"/>
      <c r="CC197" s="6"/>
      <c r="CD197" s="6"/>
      <c r="CE197" s="6"/>
      <c r="CF197" s="6"/>
      <c r="CG197" s="6"/>
      <c r="CH197" s="6"/>
      <c r="CI197" s="6"/>
      <c r="CJ197" s="6"/>
      <c r="CK197" s="6"/>
      <c r="CL197" s="6"/>
      <c r="CM197" s="6"/>
      <c r="CN197" s="6"/>
      <c r="CO197" s="6"/>
      <c r="CP197" s="6"/>
      <c r="CQ197" s="6"/>
      <c r="CR197" s="6"/>
      <c r="CS197" s="6"/>
      <c r="CT197" s="6"/>
      <c r="CU197" s="6"/>
      <c r="CV197" s="6"/>
      <c r="CW197" s="6"/>
      <c r="CX197" s="6"/>
      <c r="CY197" s="6"/>
      <c r="CZ197" s="6"/>
      <c r="DA197" s="6"/>
      <c r="DB197" s="6"/>
      <c r="DC197" s="6"/>
      <c r="DD197" s="6"/>
      <c r="DE197" s="6"/>
      <c r="DF197" s="173">
        <f t="shared" si="161"/>
        <v>1</v>
      </c>
      <c r="DG197" s="173">
        <f t="shared" si="162"/>
        <v>12</v>
      </c>
      <c r="DH197" s="173">
        <f t="shared" si="163"/>
        <v>12</v>
      </c>
    </row>
    <row r="198" spans="1:112" ht="30" customHeight="1" x14ac:dyDescent="0.25">
      <c r="A198" s="25">
        <v>5</v>
      </c>
      <c r="B198" s="190" t="s">
        <v>98</v>
      </c>
      <c r="C198" s="6" t="s">
        <v>97</v>
      </c>
      <c r="D198" s="6" t="s">
        <v>41</v>
      </c>
      <c r="E198" s="180" t="s">
        <v>401</v>
      </c>
      <c r="F198" s="5" t="s">
        <v>164</v>
      </c>
      <c r="G198" s="25"/>
      <c r="H198" s="7"/>
      <c r="I198" s="7"/>
      <c r="J198" s="3"/>
      <c r="K198" s="9"/>
      <c r="L198" s="9"/>
      <c r="M198" s="6"/>
      <c r="N198" s="9"/>
      <c r="O198" s="9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>
        <v>200</v>
      </c>
      <c r="AM198" s="6">
        <v>2400</v>
      </c>
      <c r="AN198" s="6">
        <v>2400</v>
      </c>
      <c r="AO198" s="173">
        <f t="shared" si="156"/>
        <v>200</v>
      </c>
      <c r="AP198" s="173">
        <f t="shared" si="157"/>
        <v>2400</v>
      </c>
      <c r="AQ198" s="173">
        <f t="shared" si="158"/>
        <v>2400</v>
      </c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>
        <v>50</v>
      </c>
      <c r="BT198" s="6">
        <v>700</v>
      </c>
      <c r="BU198" s="6">
        <v>448</v>
      </c>
      <c r="BV198" s="173">
        <f t="shared" si="164"/>
        <v>250</v>
      </c>
      <c r="BW198" s="173">
        <f t="shared" si="159"/>
        <v>3100</v>
      </c>
      <c r="BX198" s="173">
        <f t="shared" si="160"/>
        <v>2848</v>
      </c>
      <c r="BY198" s="6"/>
      <c r="BZ198" s="6"/>
      <c r="CA198" s="6"/>
      <c r="CB198" s="6"/>
      <c r="CC198" s="6"/>
      <c r="CD198" s="6"/>
      <c r="CE198" s="6"/>
      <c r="CF198" s="6"/>
      <c r="CG198" s="6"/>
      <c r="CH198" s="6"/>
      <c r="CI198" s="6"/>
      <c r="CJ198" s="6"/>
      <c r="CK198" s="6"/>
      <c r="CL198" s="6"/>
      <c r="CM198" s="6"/>
      <c r="CN198" s="6"/>
      <c r="CO198" s="6"/>
      <c r="CP198" s="6"/>
      <c r="CQ198" s="6"/>
      <c r="CR198" s="6"/>
      <c r="CS198" s="6"/>
      <c r="CT198" s="6"/>
      <c r="CU198" s="6"/>
      <c r="CV198" s="6"/>
      <c r="CW198" s="6"/>
      <c r="CX198" s="6"/>
      <c r="CY198" s="6"/>
      <c r="CZ198" s="6"/>
      <c r="DA198" s="6"/>
      <c r="DB198" s="6"/>
      <c r="DC198" s="6"/>
      <c r="DD198" s="6"/>
      <c r="DE198" s="6"/>
      <c r="DF198" s="173">
        <f t="shared" si="161"/>
        <v>250</v>
      </c>
      <c r="DG198" s="173">
        <f t="shared" si="162"/>
        <v>3100</v>
      </c>
      <c r="DH198" s="173">
        <f t="shared" si="163"/>
        <v>2848</v>
      </c>
    </row>
    <row r="199" spans="1:112" ht="30" customHeight="1" x14ac:dyDescent="0.25">
      <c r="A199" s="25">
        <v>6</v>
      </c>
      <c r="B199" s="190" t="s">
        <v>293</v>
      </c>
      <c r="C199" s="6" t="s">
        <v>292</v>
      </c>
      <c r="D199" s="6" t="s">
        <v>41</v>
      </c>
      <c r="E199" s="180" t="s">
        <v>358</v>
      </c>
      <c r="F199" s="5" t="s">
        <v>164</v>
      </c>
      <c r="G199" s="25"/>
      <c r="H199" s="25"/>
      <c r="I199" s="7"/>
      <c r="J199" s="3"/>
      <c r="K199" s="9"/>
      <c r="L199" s="9"/>
      <c r="M199" s="6"/>
      <c r="N199" s="9"/>
      <c r="O199" s="9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>
        <v>50</v>
      </c>
      <c r="AD199" s="6">
        <v>700</v>
      </c>
      <c r="AE199" s="6">
        <v>448</v>
      </c>
      <c r="AF199" s="6"/>
      <c r="AG199" s="6"/>
      <c r="AH199" s="6"/>
      <c r="AI199" s="6"/>
      <c r="AJ199" s="6"/>
      <c r="AK199" s="6"/>
      <c r="AL199" s="6"/>
      <c r="AM199" s="6"/>
      <c r="AN199" s="6"/>
      <c r="AO199" s="173">
        <f t="shared" si="156"/>
        <v>50</v>
      </c>
      <c r="AP199" s="173">
        <f t="shared" si="157"/>
        <v>700</v>
      </c>
      <c r="AQ199" s="173">
        <f t="shared" si="158"/>
        <v>448</v>
      </c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173">
        <f t="shared" si="164"/>
        <v>50</v>
      </c>
      <c r="BW199" s="173">
        <f t="shared" si="159"/>
        <v>700</v>
      </c>
      <c r="BX199" s="173">
        <f t="shared" si="160"/>
        <v>448</v>
      </c>
      <c r="BY199" s="6"/>
      <c r="BZ199" s="6"/>
      <c r="CA199" s="6"/>
      <c r="CB199" s="6"/>
      <c r="CC199" s="6"/>
      <c r="CD199" s="6"/>
      <c r="CE199" s="6"/>
      <c r="CF199" s="6"/>
      <c r="CG199" s="6"/>
      <c r="CH199" s="6"/>
      <c r="CI199" s="6"/>
      <c r="CJ199" s="6"/>
      <c r="CK199" s="6"/>
      <c r="CL199" s="6"/>
      <c r="CM199" s="6"/>
      <c r="CN199" s="6"/>
      <c r="CO199" s="6"/>
      <c r="CP199" s="6"/>
      <c r="CQ199" s="6"/>
      <c r="CR199" s="6"/>
      <c r="CS199" s="6"/>
      <c r="CT199" s="6"/>
      <c r="CU199" s="6"/>
      <c r="CV199" s="6"/>
      <c r="CW199" s="6"/>
      <c r="CX199" s="6"/>
      <c r="CY199" s="6"/>
      <c r="CZ199" s="6"/>
      <c r="DA199" s="6"/>
      <c r="DB199" s="6"/>
      <c r="DC199" s="6"/>
      <c r="DD199" s="6"/>
      <c r="DE199" s="6"/>
      <c r="DF199" s="173">
        <f t="shared" si="161"/>
        <v>50</v>
      </c>
      <c r="DG199" s="173">
        <f t="shared" si="162"/>
        <v>700</v>
      </c>
      <c r="DH199" s="173">
        <f t="shared" si="163"/>
        <v>448</v>
      </c>
    </row>
    <row r="200" spans="1:112" ht="30" customHeight="1" x14ac:dyDescent="0.25">
      <c r="A200" s="25">
        <v>7</v>
      </c>
      <c r="B200" s="190" t="s">
        <v>16</v>
      </c>
      <c r="C200" s="6" t="s">
        <v>457</v>
      </c>
      <c r="D200" s="6" t="s">
        <v>24</v>
      </c>
      <c r="E200" s="180" t="s">
        <v>318</v>
      </c>
      <c r="F200" s="5" t="s">
        <v>164</v>
      </c>
      <c r="G200" s="25"/>
      <c r="H200" s="7"/>
      <c r="I200" s="7"/>
      <c r="J200" s="3"/>
      <c r="K200" s="9"/>
      <c r="L200" s="9"/>
      <c r="M200" s="6"/>
      <c r="N200" s="9"/>
      <c r="O200" s="9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173">
        <f t="shared" si="156"/>
        <v>0</v>
      </c>
      <c r="AP200" s="173">
        <f t="shared" si="157"/>
        <v>0</v>
      </c>
      <c r="AQ200" s="173">
        <f t="shared" si="158"/>
        <v>0</v>
      </c>
      <c r="AR200" s="6">
        <v>100</v>
      </c>
      <c r="AS200" s="6">
        <v>1200</v>
      </c>
      <c r="AT200" s="6">
        <v>840</v>
      </c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173">
        <f t="shared" si="164"/>
        <v>100</v>
      </c>
      <c r="BW200" s="173">
        <f t="shared" si="159"/>
        <v>1200</v>
      </c>
      <c r="BX200" s="173">
        <f t="shared" si="160"/>
        <v>840</v>
      </c>
      <c r="BY200" s="6"/>
      <c r="BZ200" s="6"/>
      <c r="CA200" s="6"/>
      <c r="CB200" s="6"/>
      <c r="CC200" s="6"/>
      <c r="CD200" s="6"/>
      <c r="CE200" s="6"/>
      <c r="CF200" s="6"/>
      <c r="CG200" s="6"/>
      <c r="CH200" s="6"/>
      <c r="CI200" s="6"/>
      <c r="CJ200" s="6"/>
      <c r="CK200" s="6"/>
      <c r="CL200" s="6"/>
      <c r="CM200" s="6"/>
      <c r="CN200" s="6"/>
      <c r="CO200" s="6"/>
      <c r="CP200" s="6"/>
      <c r="CQ200" s="6"/>
      <c r="CR200" s="6"/>
      <c r="CS200" s="6"/>
      <c r="CT200" s="6"/>
      <c r="CU200" s="6"/>
      <c r="CV200" s="6"/>
      <c r="CW200" s="6"/>
      <c r="CX200" s="6"/>
      <c r="CY200" s="6"/>
      <c r="CZ200" s="6"/>
      <c r="DA200" s="6"/>
      <c r="DB200" s="6"/>
      <c r="DC200" s="6"/>
      <c r="DD200" s="6"/>
      <c r="DE200" s="6"/>
      <c r="DF200" s="173">
        <f t="shared" si="161"/>
        <v>100</v>
      </c>
      <c r="DG200" s="173">
        <f t="shared" si="162"/>
        <v>1200</v>
      </c>
      <c r="DH200" s="173">
        <f t="shared" si="163"/>
        <v>840</v>
      </c>
    </row>
    <row r="201" spans="1:112" ht="30" customHeight="1" x14ac:dyDescent="0.25">
      <c r="A201" s="25">
        <v>8</v>
      </c>
      <c r="B201" s="190" t="s">
        <v>94</v>
      </c>
      <c r="C201" s="6" t="s">
        <v>93</v>
      </c>
      <c r="D201" s="6" t="s">
        <v>46</v>
      </c>
      <c r="E201" s="180" t="s">
        <v>359</v>
      </c>
      <c r="F201" s="5" t="s">
        <v>164</v>
      </c>
      <c r="G201" s="25"/>
      <c r="H201" s="25"/>
      <c r="I201" s="7"/>
      <c r="J201" s="3"/>
      <c r="K201" s="9"/>
      <c r="L201" s="9"/>
      <c r="M201" s="6"/>
      <c r="N201" s="9"/>
      <c r="O201" s="9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173">
        <f t="shared" si="156"/>
        <v>0</v>
      </c>
      <c r="AP201" s="173">
        <f t="shared" si="157"/>
        <v>0</v>
      </c>
      <c r="AQ201" s="173">
        <f t="shared" si="158"/>
        <v>0</v>
      </c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173">
        <f t="shared" si="164"/>
        <v>0</v>
      </c>
      <c r="BW201" s="173">
        <f t="shared" si="159"/>
        <v>0</v>
      </c>
      <c r="BX201" s="173">
        <f t="shared" si="160"/>
        <v>0</v>
      </c>
      <c r="BY201" s="6"/>
      <c r="BZ201" s="6"/>
      <c r="CA201" s="6"/>
      <c r="CB201" s="6"/>
      <c r="CC201" s="6"/>
      <c r="CD201" s="6"/>
      <c r="CE201" s="6"/>
      <c r="CF201" s="6"/>
      <c r="CG201" s="6"/>
      <c r="CH201" s="6"/>
      <c r="CI201" s="6"/>
      <c r="CJ201" s="6"/>
      <c r="CK201" s="6"/>
      <c r="CL201" s="6"/>
      <c r="CM201" s="6"/>
      <c r="CN201" s="6"/>
      <c r="CO201" s="6"/>
      <c r="CP201" s="6"/>
      <c r="CQ201" s="6"/>
      <c r="CR201" s="6"/>
      <c r="CS201" s="6"/>
      <c r="CT201" s="6"/>
      <c r="CU201" s="6"/>
      <c r="CV201" s="6"/>
      <c r="CW201" s="6"/>
      <c r="CX201" s="6"/>
      <c r="CY201" s="6"/>
      <c r="CZ201" s="6"/>
      <c r="DA201" s="6"/>
      <c r="DB201" s="6"/>
      <c r="DC201" s="6"/>
      <c r="DD201" s="6"/>
      <c r="DE201" s="6"/>
      <c r="DF201" s="173">
        <f t="shared" si="161"/>
        <v>0</v>
      </c>
      <c r="DG201" s="173">
        <f t="shared" si="162"/>
        <v>0</v>
      </c>
      <c r="DH201" s="173">
        <f t="shared" si="163"/>
        <v>0</v>
      </c>
    </row>
    <row r="202" spans="1:112" ht="30" customHeight="1" x14ac:dyDescent="0.25">
      <c r="A202" s="25">
        <v>9</v>
      </c>
      <c r="B202" s="190" t="s">
        <v>100</v>
      </c>
      <c r="C202" s="6" t="s">
        <v>99</v>
      </c>
      <c r="D202" s="6" t="s">
        <v>41</v>
      </c>
      <c r="E202" s="180" t="s">
        <v>359</v>
      </c>
      <c r="F202" s="5" t="s">
        <v>164</v>
      </c>
      <c r="G202" s="25" t="s">
        <v>27</v>
      </c>
      <c r="H202" s="7" t="s">
        <v>26</v>
      </c>
      <c r="I202" s="7" t="s">
        <v>25</v>
      </c>
      <c r="J202" s="3" t="s">
        <v>1</v>
      </c>
      <c r="K202" s="9"/>
      <c r="L202" s="9"/>
      <c r="M202" s="6"/>
      <c r="N202" s="9"/>
      <c r="O202" s="9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173">
        <f t="shared" si="156"/>
        <v>0</v>
      </c>
      <c r="AP202" s="173">
        <f t="shared" si="157"/>
        <v>0</v>
      </c>
      <c r="AQ202" s="173">
        <f t="shared" si="158"/>
        <v>0</v>
      </c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173">
        <f t="shared" si="164"/>
        <v>0</v>
      </c>
      <c r="BW202" s="173">
        <f t="shared" si="159"/>
        <v>0</v>
      </c>
      <c r="BX202" s="173">
        <f t="shared" si="160"/>
        <v>0</v>
      </c>
      <c r="BY202" s="6"/>
      <c r="BZ202" s="6"/>
      <c r="CA202" s="6"/>
      <c r="CB202" s="6"/>
      <c r="CC202" s="6"/>
      <c r="CD202" s="6"/>
      <c r="CE202" s="6"/>
      <c r="CF202" s="6"/>
      <c r="CG202" s="6"/>
      <c r="CH202" s="6"/>
      <c r="CI202" s="6"/>
      <c r="CJ202" s="6"/>
      <c r="CK202" s="6"/>
      <c r="CL202" s="6"/>
      <c r="CM202" s="6"/>
      <c r="CN202" s="6"/>
      <c r="CO202" s="6"/>
      <c r="CP202" s="6"/>
      <c r="CQ202" s="6"/>
      <c r="CR202" s="6"/>
      <c r="CS202" s="6"/>
      <c r="CT202" s="6"/>
      <c r="CU202" s="6"/>
      <c r="CV202" s="6"/>
      <c r="CW202" s="6"/>
      <c r="CX202" s="6"/>
      <c r="CY202" s="6"/>
      <c r="CZ202" s="6"/>
      <c r="DA202" s="6"/>
      <c r="DB202" s="6"/>
      <c r="DC202" s="6"/>
      <c r="DD202" s="6"/>
      <c r="DE202" s="6"/>
      <c r="DF202" s="173">
        <f t="shared" si="161"/>
        <v>0</v>
      </c>
      <c r="DG202" s="173">
        <f t="shared" si="162"/>
        <v>0</v>
      </c>
      <c r="DH202" s="173">
        <f t="shared" si="163"/>
        <v>0</v>
      </c>
    </row>
    <row r="203" spans="1:112" ht="30" customHeight="1" x14ac:dyDescent="0.25">
      <c r="A203" s="25">
        <v>10</v>
      </c>
      <c r="B203" s="190" t="s">
        <v>166</v>
      </c>
      <c r="C203" s="6" t="s">
        <v>458</v>
      </c>
      <c r="D203" s="6" t="s">
        <v>21</v>
      </c>
      <c r="E203" s="180" t="s">
        <v>360</v>
      </c>
      <c r="F203" s="5" t="s">
        <v>164</v>
      </c>
      <c r="G203" s="25" t="s">
        <v>40</v>
      </c>
      <c r="H203" s="25" t="s">
        <v>39</v>
      </c>
      <c r="I203" s="7" t="s">
        <v>38</v>
      </c>
      <c r="J203" s="3" t="s">
        <v>1</v>
      </c>
      <c r="K203" s="9"/>
      <c r="L203" s="9"/>
      <c r="M203" s="6"/>
      <c r="N203" s="9"/>
      <c r="O203" s="9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173">
        <f t="shared" si="156"/>
        <v>0</v>
      </c>
      <c r="AP203" s="173">
        <f t="shared" si="157"/>
        <v>0</v>
      </c>
      <c r="AQ203" s="173">
        <f t="shared" si="158"/>
        <v>0</v>
      </c>
      <c r="AR203" s="6"/>
      <c r="AS203" s="6"/>
      <c r="AT203" s="6"/>
      <c r="AU203" s="6">
        <v>25</v>
      </c>
      <c r="AV203" s="6">
        <v>350</v>
      </c>
      <c r="AW203" s="6">
        <v>224</v>
      </c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173">
        <f t="shared" si="164"/>
        <v>25</v>
      </c>
      <c r="BW203" s="173">
        <f t="shared" si="159"/>
        <v>350</v>
      </c>
      <c r="BX203" s="173">
        <f t="shared" si="160"/>
        <v>224</v>
      </c>
      <c r="BY203" s="6"/>
      <c r="BZ203" s="6"/>
      <c r="CA203" s="6"/>
      <c r="CB203" s="6"/>
      <c r="CC203" s="6"/>
      <c r="CD203" s="6"/>
      <c r="CE203" s="6"/>
      <c r="CF203" s="6"/>
      <c r="CG203" s="6"/>
      <c r="CH203" s="6"/>
      <c r="CI203" s="6"/>
      <c r="CJ203" s="6"/>
      <c r="CK203" s="6"/>
      <c r="CL203" s="6"/>
      <c r="CM203" s="6"/>
      <c r="CN203" s="6"/>
      <c r="CO203" s="6"/>
      <c r="CP203" s="6"/>
      <c r="CQ203" s="6"/>
      <c r="CR203" s="6"/>
      <c r="CS203" s="6"/>
      <c r="CT203" s="6"/>
      <c r="CU203" s="6"/>
      <c r="CV203" s="6"/>
      <c r="CW203" s="6"/>
      <c r="CX203" s="6"/>
      <c r="CY203" s="6"/>
      <c r="CZ203" s="6"/>
      <c r="DA203" s="6"/>
      <c r="DB203" s="6"/>
      <c r="DC203" s="6"/>
      <c r="DD203" s="6"/>
      <c r="DE203" s="6"/>
      <c r="DF203" s="173">
        <f t="shared" si="161"/>
        <v>25</v>
      </c>
      <c r="DG203" s="173">
        <f t="shared" si="162"/>
        <v>350</v>
      </c>
      <c r="DH203" s="173">
        <f t="shared" si="163"/>
        <v>224</v>
      </c>
    </row>
    <row r="204" spans="1:112" ht="30" customHeight="1" x14ac:dyDescent="0.25">
      <c r="A204" s="25">
        <v>11</v>
      </c>
      <c r="B204" s="190" t="s">
        <v>283</v>
      </c>
      <c r="C204" s="6" t="s">
        <v>459</v>
      </c>
      <c r="D204" s="6" t="s">
        <v>41</v>
      </c>
      <c r="E204" s="180" t="s">
        <v>358</v>
      </c>
      <c r="F204" s="5" t="s">
        <v>164</v>
      </c>
      <c r="G204" s="25" t="s">
        <v>4</v>
      </c>
      <c r="H204" s="7" t="s">
        <v>3</v>
      </c>
      <c r="I204" s="7" t="s">
        <v>2</v>
      </c>
      <c r="J204" s="3" t="s">
        <v>1</v>
      </c>
      <c r="K204" s="9"/>
      <c r="L204" s="9"/>
      <c r="M204" s="6"/>
      <c r="N204" s="9"/>
      <c r="O204" s="9"/>
      <c r="P204" s="6"/>
      <c r="Q204" s="6">
        <v>1</v>
      </c>
      <c r="R204" s="6">
        <v>12</v>
      </c>
      <c r="S204" s="6">
        <v>12</v>
      </c>
      <c r="T204" s="6"/>
      <c r="U204" s="6"/>
      <c r="V204" s="6"/>
      <c r="W204" s="6"/>
      <c r="X204" s="6"/>
      <c r="Y204" s="6"/>
      <c r="Z204" s="6"/>
      <c r="AA204" s="6"/>
      <c r="AB204" s="6"/>
      <c r="AC204" s="6">
        <v>10</v>
      </c>
      <c r="AD204" s="6">
        <v>140</v>
      </c>
      <c r="AE204" s="6">
        <v>89.600000000000009</v>
      </c>
      <c r="AF204" s="6"/>
      <c r="AG204" s="6"/>
      <c r="AH204" s="6"/>
      <c r="AI204" s="6"/>
      <c r="AJ204" s="6"/>
      <c r="AK204" s="6"/>
      <c r="AL204" s="6"/>
      <c r="AM204" s="6"/>
      <c r="AN204" s="6"/>
      <c r="AO204" s="173">
        <f t="shared" si="156"/>
        <v>11</v>
      </c>
      <c r="AP204" s="173">
        <f t="shared" si="157"/>
        <v>152</v>
      </c>
      <c r="AQ204" s="173">
        <f t="shared" si="158"/>
        <v>101.60000000000001</v>
      </c>
      <c r="AR204" s="6"/>
      <c r="AS204" s="6"/>
      <c r="AT204" s="6"/>
      <c r="AU204" s="6"/>
      <c r="AV204" s="6"/>
      <c r="AW204" s="6"/>
      <c r="AX204" s="6"/>
      <c r="AY204" s="6"/>
      <c r="AZ204" s="6"/>
      <c r="BA204" s="6">
        <v>10</v>
      </c>
      <c r="BB204" s="6">
        <v>140</v>
      </c>
      <c r="BC204" s="6">
        <v>89.600000000000009</v>
      </c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173">
        <f t="shared" si="164"/>
        <v>21</v>
      </c>
      <c r="BW204" s="173">
        <f t="shared" si="159"/>
        <v>292</v>
      </c>
      <c r="BX204" s="173">
        <f t="shared" si="160"/>
        <v>191.20000000000002</v>
      </c>
      <c r="BY204" s="6"/>
      <c r="BZ204" s="6"/>
      <c r="CA204" s="6"/>
      <c r="CB204" s="6"/>
      <c r="CC204" s="6"/>
      <c r="CD204" s="6"/>
      <c r="CE204" s="6"/>
      <c r="CF204" s="6"/>
      <c r="CG204" s="6"/>
      <c r="CH204" s="6"/>
      <c r="CI204" s="6"/>
      <c r="CJ204" s="6"/>
      <c r="CK204" s="6"/>
      <c r="CL204" s="6"/>
      <c r="CM204" s="6"/>
      <c r="CN204" s="6"/>
      <c r="CO204" s="6"/>
      <c r="CP204" s="6"/>
      <c r="CQ204" s="6"/>
      <c r="CR204" s="6"/>
      <c r="CS204" s="6"/>
      <c r="CT204" s="6"/>
      <c r="CU204" s="6"/>
      <c r="CV204" s="6"/>
      <c r="CW204" s="6"/>
      <c r="CX204" s="6"/>
      <c r="CY204" s="6"/>
      <c r="CZ204" s="6"/>
      <c r="DA204" s="6"/>
      <c r="DB204" s="6"/>
      <c r="DC204" s="6"/>
      <c r="DD204" s="6"/>
      <c r="DE204" s="6"/>
      <c r="DF204" s="173">
        <f t="shared" si="161"/>
        <v>21</v>
      </c>
      <c r="DG204" s="173">
        <f t="shared" si="162"/>
        <v>292</v>
      </c>
      <c r="DH204" s="173">
        <f t="shared" si="163"/>
        <v>191.20000000000002</v>
      </c>
    </row>
    <row r="205" spans="1:112" ht="30" customHeight="1" x14ac:dyDescent="0.25">
      <c r="A205" s="25">
        <v>12</v>
      </c>
      <c r="B205" s="190" t="s">
        <v>146</v>
      </c>
      <c r="C205" s="6" t="s">
        <v>145</v>
      </c>
      <c r="D205" s="6" t="s">
        <v>41</v>
      </c>
      <c r="E205" s="180" t="s">
        <v>360</v>
      </c>
      <c r="F205" s="5" t="s">
        <v>164</v>
      </c>
      <c r="G205" s="25" t="s">
        <v>27</v>
      </c>
      <c r="H205" s="7" t="s">
        <v>26</v>
      </c>
      <c r="I205" s="7" t="s">
        <v>25</v>
      </c>
      <c r="J205" s="3" t="s">
        <v>1</v>
      </c>
      <c r="K205" s="9"/>
      <c r="L205" s="9"/>
      <c r="M205" s="6"/>
      <c r="N205" s="9"/>
      <c r="O205" s="9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173">
        <f t="shared" si="156"/>
        <v>0</v>
      </c>
      <c r="AP205" s="173">
        <f t="shared" si="157"/>
        <v>0</v>
      </c>
      <c r="AQ205" s="173">
        <f t="shared" si="158"/>
        <v>0</v>
      </c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>
        <v>55</v>
      </c>
      <c r="BQ205" s="6">
        <v>760</v>
      </c>
      <c r="BR205" s="6">
        <v>508</v>
      </c>
      <c r="BS205" s="6"/>
      <c r="BT205" s="6"/>
      <c r="BU205" s="6"/>
      <c r="BV205" s="173">
        <f t="shared" si="164"/>
        <v>55</v>
      </c>
      <c r="BW205" s="173">
        <f t="shared" si="159"/>
        <v>760</v>
      </c>
      <c r="BX205" s="173">
        <f t="shared" si="160"/>
        <v>508</v>
      </c>
      <c r="BY205" s="6"/>
      <c r="BZ205" s="6"/>
      <c r="CA205" s="6"/>
      <c r="CB205" s="6"/>
      <c r="CC205" s="6"/>
      <c r="CD205" s="6"/>
      <c r="CE205" s="6"/>
      <c r="CF205" s="6"/>
      <c r="CG205" s="6"/>
      <c r="CH205" s="6"/>
      <c r="CI205" s="6"/>
      <c r="CJ205" s="6"/>
      <c r="CK205" s="6"/>
      <c r="CL205" s="6"/>
      <c r="CM205" s="6"/>
      <c r="CN205" s="6"/>
      <c r="CO205" s="6"/>
      <c r="CP205" s="6"/>
      <c r="CQ205" s="6"/>
      <c r="CR205" s="6"/>
      <c r="CS205" s="6"/>
      <c r="CT205" s="6"/>
      <c r="CU205" s="6"/>
      <c r="CV205" s="6"/>
      <c r="CW205" s="6"/>
      <c r="CX205" s="6"/>
      <c r="CY205" s="6"/>
      <c r="CZ205" s="6"/>
      <c r="DA205" s="6"/>
      <c r="DB205" s="6"/>
      <c r="DC205" s="6"/>
      <c r="DD205" s="6"/>
      <c r="DE205" s="6"/>
      <c r="DF205" s="173">
        <f t="shared" si="161"/>
        <v>55</v>
      </c>
      <c r="DG205" s="173">
        <f t="shared" si="162"/>
        <v>760</v>
      </c>
      <c r="DH205" s="173">
        <f t="shared" si="163"/>
        <v>508</v>
      </c>
    </row>
    <row r="206" spans="1:112" ht="30" customHeight="1" x14ac:dyDescent="0.25">
      <c r="A206" s="25">
        <v>13</v>
      </c>
      <c r="B206" s="190" t="s">
        <v>43</v>
      </c>
      <c r="C206" s="6" t="s">
        <v>460</v>
      </c>
      <c r="D206" s="6" t="s">
        <v>46</v>
      </c>
      <c r="E206" s="180" t="s">
        <v>358</v>
      </c>
      <c r="F206" s="5" t="s">
        <v>164</v>
      </c>
      <c r="G206" s="25" t="s">
        <v>40</v>
      </c>
      <c r="H206" s="25" t="s">
        <v>39</v>
      </c>
      <c r="I206" s="7" t="s">
        <v>38</v>
      </c>
      <c r="J206" s="3"/>
      <c r="K206" s="9"/>
      <c r="L206" s="9"/>
      <c r="M206" s="6"/>
      <c r="N206" s="9"/>
      <c r="O206" s="9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>
        <v>100</v>
      </c>
      <c r="AM206" s="6">
        <v>1400</v>
      </c>
      <c r="AN206" s="6">
        <v>896</v>
      </c>
      <c r="AO206" s="173">
        <f t="shared" si="156"/>
        <v>100</v>
      </c>
      <c r="AP206" s="173">
        <f t="shared" si="157"/>
        <v>1400</v>
      </c>
      <c r="AQ206" s="173">
        <f t="shared" si="158"/>
        <v>896</v>
      </c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173">
        <f t="shared" si="164"/>
        <v>100</v>
      </c>
      <c r="BW206" s="173">
        <f t="shared" si="159"/>
        <v>1400</v>
      </c>
      <c r="BX206" s="173">
        <f t="shared" si="160"/>
        <v>896</v>
      </c>
      <c r="BY206" s="6"/>
      <c r="BZ206" s="6"/>
      <c r="CA206" s="6"/>
      <c r="CB206" s="6"/>
      <c r="CC206" s="6"/>
      <c r="CD206" s="6"/>
      <c r="CE206" s="6"/>
      <c r="CF206" s="6"/>
      <c r="CG206" s="6"/>
      <c r="CH206" s="6"/>
      <c r="CI206" s="6"/>
      <c r="CJ206" s="6"/>
      <c r="CK206" s="6"/>
      <c r="CL206" s="6"/>
      <c r="CM206" s="6"/>
      <c r="CN206" s="6"/>
      <c r="CO206" s="6"/>
      <c r="CP206" s="6"/>
      <c r="CQ206" s="6"/>
      <c r="CR206" s="6"/>
      <c r="CS206" s="6"/>
      <c r="CT206" s="6"/>
      <c r="CU206" s="6"/>
      <c r="CV206" s="6"/>
      <c r="CW206" s="6"/>
      <c r="CX206" s="6"/>
      <c r="CY206" s="6"/>
      <c r="CZ206" s="6"/>
      <c r="DA206" s="6"/>
      <c r="DB206" s="6"/>
      <c r="DC206" s="6"/>
      <c r="DD206" s="6"/>
      <c r="DE206" s="6"/>
      <c r="DF206" s="173">
        <f t="shared" si="161"/>
        <v>100</v>
      </c>
      <c r="DG206" s="173">
        <f t="shared" si="162"/>
        <v>1400</v>
      </c>
      <c r="DH206" s="173">
        <f t="shared" si="163"/>
        <v>896</v>
      </c>
    </row>
    <row r="207" spans="1:112" ht="30" customHeight="1" x14ac:dyDescent="0.25">
      <c r="A207" s="25">
        <v>14</v>
      </c>
      <c r="B207" s="190" t="s">
        <v>140</v>
      </c>
      <c r="C207" s="6" t="s">
        <v>461</v>
      </c>
      <c r="D207" s="6" t="s">
        <v>41</v>
      </c>
      <c r="E207" s="180" t="s">
        <v>358</v>
      </c>
      <c r="F207" s="5" t="s">
        <v>164</v>
      </c>
      <c r="G207" s="25"/>
      <c r="H207" s="7"/>
      <c r="I207" s="7"/>
      <c r="J207" s="3"/>
      <c r="K207" s="9"/>
      <c r="L207" s="9"/>
      <c r="M207" s="6"/>
      <c r="N207" s="9"/>
      <c r="O207" s="9"/>
      <c r="P207" s="6"/>
      <c r="Q207" s="6"/>
      <c r="R207" s="6"/>
      <c r="S207" s="6"/>
      <c r="T207" s="6">
        <v>10</v>
      </c>
      <c r="U207" s="6">
        <v>140</v>
      </c>
      <c r="V207" s="6">
        <v>89.600000000000009</v>
      </c>
      <c r="W207" s="6"/>
      <c r="X207" s="6"/>
      <c r="Y207" s="6"/>
      <c r="Z207" s="6"/>
      <c r="AA207" s="6"/>
      <c r="AB207" s="6"/>
      <c r="AC207" s="6">
        <v>1</v>
      </c>
      <c r="AD207" s="6">
        <v>12</v>
      </c>
      <c r="AE207" s="6">
        <v>12</v>
      </c>
      <c r="AF207" s="6"/>
      <c r="AG207" s="6"/>
      <c r="AH207" s="6"/>
      <c r="AI207" s="6"/>
      <c r="AJ207" s="6"/>
      <c r="AK207" s="6"/>
      <c r="AL207" s="6"/>
      <c r="AM207" s="6"/>
      <c r="AN207" s="6"/>
      <c r="AO207" s="173">
        <f t="shared" si="156"/>
        <v>11</v>
      </c>
      <c r="AP207" s="173">
        <f t="shared" si="157"/>
        <v>152</v>
      </c>
      <c r="AQ207" s="173">
        <f t="shared" si="158"/>
        <v>101.60000000000001</v>
      </c>
      <c r="AR207" s="6"/>
      <c r="AS207" s="6"/>
      <c r="AT207" s="6"/>
      <c r="AU207" s="6"/>
      <c r="AV207" s="6"/>
      <c r="AW207" s="6"/>
      <c r="AX207" s="6">
        <v>10</v>
      </c>
      <c r="AY207" s="6">
        <v>140</v>
      </c>
      <c r="AZ207" s="6">
        <v>89.600000000000009</v>
      </c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>
        <v>10</v>
      </c>
      <c r="BQ207" s="6">
        <v>140</v>
      </c>
      <c r="BR207" s="6">
        <v>89.600000000000009</v>
      </c>
      <c r="BS207" s="6"/>
      <c r="BT207" s="6"/>
      <c r="BU207" s="6"/>
      <c r="BV207" s="173">
        <f t="shared" si="164"/>
        <v>31</v>
      </c>
      <c r="BW207" s="173">
        <f t="shared" si="159"/>
        <v>432</v>
      </c>
      <c r="BX207" s="173">
        <f t="shared" si="160"/>
        <v>280.8</v>
      </c>
      <c r="BY207" s="6"/>
      <c r="BZ207" s="6"/>
      <c r="CA207" s="6"/>
      <c r="CB207" s="6"/>
      <c r="CC207" s="6"/>
      <c r="CD207" s="6"/>
      <c r="CE207" s="6"/>
      <c r="CF207" s="6"/>
      <c r="CG207" s="6"/>
      <c r="CH207" s="6"/>
      <c r="CI207" s="6"/>
      <c r="CJ207" s="6"/>
      <c r="CK207" s="6"/>
      <c r="CL207" s="6"/>
      <c r="CM207" s="6"/>
      <c r="CN207" s="6"/>
      <c r="CO207" s="6"/>
      <c r="CP207" s="6"/>
      <c r="CQ207" s="6"/>
      <c r="CR207" s="6"/>
      <c r="CS207" s="6"/>
      <c r="CT207" s="6"/>
      <c r="CU207" s="6"/>
      <c r="CV207" s="6"/>
      <c r="CW207" s="6"/>
      <c r="CX207" s="6"/>
      <c r="CY207" s="6"/>
      <c r="CZ207" s="6"/>
      <c r="DA207" s="6"/>
      <c r="DB207" s="6"/>
      <c r="DC207" s="6"/>
      <c r="DD207" s="6"/>
      <c r="DE207" s="6"/>
      <c r="DF207" s="173">
        <f t="shared" si="161"/>
        <v>31</v>
      </c>
      <c r="DG207" s="173">
        <f t="shared" si="162"/>
        <v>432</v>
      </c>
      <c r="DH207" s="173">
        <f t="shared" si="163"/>
        <v>280.8</v>
      </c>
    </row>
    <row r="208" spans="1:112" ht="30" customHeight="1" x14ac:dyDescent="0.25">
      <c r="A208" s="4"/>
      <c r="B208" s="522" t="s">
        <v>0</v>
      </c>
      <c r="C208" s="523"/>
      <c r="D208" s="523"/>
      <c r="E208" s="523"/>
      <c r="F208" s="523"/>
      <c r="G208" s="523"/>
      <c r="H208" s="523"/>
      <c r="I208" s="524"/>
      <c r="J208" s="4"/>
      <c r="K208" s="2">
        <f t="shared" ref="K208:AP208" si="165">SUM(K194:K207)</f>
        <v>0</v>
      </c>
      <c r="L208" s="2">
        <f t="shared" si="165"/>
        <v>0</v>
      </c>
      <c r="M208" s="2">
        <f t="shared" si="165"/>
        <v>0</v>
      </c>
      <c r="N208" s="2">
        <f t="shared" si="165"/>
        <v>0</v>
      </c>
      <c r="O208" s="2">
        <f t="shared" si="165"/>
        <v>0</v>
      </c>
      <c r="P208" s="2">
        <f t="shared" si="165"/>
        <v>0</v>
      </c>
      <c r="Q208" s="2">
        <f t="shared" si="165"/>
        <v>2</v>
      </c>
      <c r="R208" s="2">
        <f t="shared" si="165"/>
        <v>24</v>
      </c>
      <c r="S208" s="2">
        <f t="shared" si="165"/>
        <v>24</v>
      </c>
      <c r="T208" s="2">
        <f t="shared" si="165"/>
        <v>10</v>
      </c>
      <c r="U208" s="2">
        <f t="shared" si="165"/>
        <v>140</v>
      </c>
      <c r="V208" s="2">
        <f t="shared" si="165"/>
        <v>89.600000000000009</v>
      </c>
      <c r="W208" s="2">
        <f t="shared" si="165"/>
        <v>0</v>
      </c>
      <c r="X208" s="2">
        <f t="shared" si="165"/>
        <v>0</v>
      </c>
      <c r="Y208" s="2">
        <f t="shared" si="165"/>
        <v>0</v>
      </c>
      <c r="Z208" s="2">
        <f t="shared" si="165"/>
        <v>100</v>
      </c>
      <c r="AA208" s="2">
        <f t="shared" si="165"/>
        <v>1260</v>
      </c>
      <c r="AB208" s="2">
        <f t="shared" si="165"/>
        <v>1108.8</v>
      </c>
      <c r="AC208" s="2">
        <f t="shared" si="165"/>
        <v>61</v>
      </c>
      <c r="AD208" s="2">
        <f t="shared" si="165"/>
        <v>852</v>
      </c>
      <c r="AE208" s="2">
        <f t="shared" si="165"/>
        <v>549.6</v>
      </c>
      <c r="AF208" s="2">
        <f t="shared" si="165"/>
        <v>0</v>
      </c>
      <c r="AG208" s="2">
        <f t="shared" si="165"/>
        <v>0</v>
      </c>
      <c r="AH208" s="2">
        <f t="shared" si="165"/>
        <v>0</v>
      </c>
      <c r="AI208" s="2">
        <f t="shared" si="165"/>
        <v>0</v>
      </c>
      <c r="AJ208" s="2">
        <f t="shared" si="165"/>
        <v>0</v>
      </c>
      <c r="AK208" s="2">
        <f t="shared" si="165"/>
        <v>0</v>
      </c>
      <c r="AL208" s="2">
        <f t="shared" si="165"/>
        <v>300</v>
      </c>
      <c r="AM208" s="2">
        <f t="shared" si="165"/>
        <v>3800</v>
      </c>
      <c r="AN208" s="2">
        <f t="shared" si="165"/>
        <v>3296</v>
      </c>
      <c r="AO208" s="198">
        <f t="shared" si="165"/>
        <v>473</v>
      </c>
      <c r="AP208" s="198">
        <f t="shared" si="165"/>
        <v>6076</v>
      </c>
      <c r="AQ208" s="198">
        <f t="shared" ref="AQ208:DB208" si="166">SUM(AQ194:AQ207)</f>
        <v>5068</v>
      </c>
      <c r="AR208" s="2">
        <f t="shared" si="166"/>
        <v>100</v>
      </c>
      <c r="AS208" s="2">
        <f t="shared" si="166"/>
        <v>1200</v>
      </c>
      <c r="AT208" s="2">
        <f t="shared" si="166"/>
        <v>840</v>
      </c>
      <c r="AU208" s="2">
        <f t="shared" si="166"/>
        <v>25</v>
      </c>
      <c r="AV208" s="2">
        <f t="shared" si="166"/>
        <v>350</v>
      </c>
      <c r="AW208" s="2">
        <f t="shared" si="166"/>
        <v>224</v>
      </c>
      <c r="AX208" s="2">
        <f t="shared" si="166"/>
        <v>10</v>
      </c>
      <c r="AY208" s="2">
        <f t="shared" si="166"/>
        <v>140</v>
      </c>
      <c r="AZ208" s="2">
        <f t="shared" si="166"/>
        <v>89.600000000000009</v>
      </c>
      <c r="BA208" s="2">
        <f t="shared" si="166"/>
        <v>10</v>
      </c>
      <c r="BB208" s="2">
        <f t="shared" si="166"/>
        <v>140</v>
      </c>
      <c r="BC208" s="2">
        <f t="shared" si="166"/>
        <v>89.600000000000009</v>
      </c>
      <c r="BD208" s="2">
        <f t="shared" si="166"/>
        <v>0</v>
      </c>
      <c r="BE208" s="2">
        <f t="shared" si="166"/>
        <v>0</v>
      </c>
      <c r="BF208" s="2">
        <f t="shared" si="166"/>
        <v>0</v>
      </c>
      <c r="BG208" s="2">
        <f t="shared" si="166"/>
        <v>0</v>
      </c>
      <c r="BH208" s="2">
        <f t="shared" si="166"/>
        <v>0</v>
      </c>
      <c r="BI208" s="2">
        <f t="shared" si="166"/>
        <v>0</v>
      </c>
      <c r="BJ208" s="2">
        <f t="shared" si="166"/>
        <v>0</v>
      </c>
      <c r="BK208" s="2">
        <f t="shared" si="166"/>
        <v>0</v>
      </c>
      <c r="BL208" s="2">
        <f t="shared" si="166"/>
        <v>0</v>
      </c>
      <c r="BM208" s="2">
        <f t="shared" si="166"/>
        <v>150</v>
      </c>
      <c r="BN208" s="2">
        <f t="shared" si="166"/>
        <v>1800</v>
      </c>
      <c r="BO208" s="2">
        <f t="shared" si="166"/>
        <v>1800</v>
      </c>
      <c r="BP208" s="2">
        <f t="shared" si="166"/>
        <v>65</v>
      </c>
      <c r="BQ208" s="2">
        <f t="shared" si="166"/>
        <v>900</v>
      </c>
      <c r="BR208" s="2">
        <f t="shared" si="166"/>
        <v>597.6</v>
      </c>
      <c r="BS208" s="2">
        <f t="shared" si="166"/>
        <v>50</v>
      </c>
      <c r="BT208" s="2">
        <f t="shared" si="166"/>
        <v>700</v>
      </c>
      <c r="BU208" s="2">
        <f t="shared" si="166"/>
        <v>448</v>
      </c>
      <c r="BV208" s="198">
        <f t="shared" si="166"/>
        <v>883</v>
      </c>
      <c r="BW208" s="198">
        <f t="shared" si="166"/>
        <v>11306</v>
      </c>
      <c r="BX208" s="198">
        <f t="shared" si="166"/>
        <v>9156.7999999999993</v>
      </c>
      <c r="BY208" s="2">
        <f t="shared" si="166"/>
        <v>0</v>
      </c>
      <c r="BZ208" s="2">
        <f t="shared" si="166"/>
        <v>0</v>
      </c>
      <c r="CA208" s="2">
        <f t="shared" si="166"/>
        <v>0</v>
      </c>
      <c r="CB208" s="2">
        <f t="shared" si="166"/>
        <v>0</v>
      </c>
      <c r="CC208" s="2">
        <f t="shared" si="166"/>
        <v>0</v>
      </c>
      <c r="CD208" s="2">
        <f t="shared" si="166"/>
        <v>0</v>
      </c>
      <c r="CE208" s="2">
        <f t="shared" si="166"/>
        <v>0</v>
      </c>
      <c r="CF208" s="2">
        <f t="shared" si="166"/>
        <v>0</v>
      </c>
      <c r="CG208" s="2">
        <f t="shared" si="166"/>
        <v>0</v>
      </c>
      <c r="CH208" s="2">
        <f t="shared" si="166"/>
        <v>0</v>
      </c>
      <c r="CI208" s="2">
        <f t="shared" si="166"/>
        <v>0</v>
      </c>
      <c r="CJ208" s="2">
        <f t="shared" si="166"/>
        <v>0</v>
      </c>
      <c r="CK208" s="2">
        <f t="shared" si="166"/>
        <v>0</v>
      </c>
      <c r="CL208" s="2">
        <f t="shared" si="166"/>
        <v>0</v>
      </c>
      <c r="CM208" s="2">
        <f t="shared" si="166"/>
        <v>0</v>
      </c>
      <c r="CN208" s="2">
        <f t="shared" si="166"/>
        <v>0</v>
      </c>
      <c r="CO208" s="2">
        <f t="shared" si="166"/>
        <v>0</v>
      </c>
      <c r="CP208" s="2">
        <f t="shared" si="166"/>
        <v>0</v>
      </c>
      <c r="CQ208" s="2">
        <f t="shared" si="166"/>
        <v>0</v>
      </c>
      <c r="CR208" s="2">
        <f t="shared" si="166"/>
        <v>0</v>
      </c>
      <c r="CS208" s="2">
        <f t="shared" si="166"/>
        <v>0</v>
      </c>
      <c r="CT208" s="2">
        <f t="shared" si="166"/>
        <v>0</v>
      </c>
      <c r="CU208" s="2">
        <f t="shared" si="166"/>
        <v>0</v>
      </c>
      <c r="CV208" s="2">
        <f t="shared" si="166"/>
        <v>0</v>
      </c>
      <c r="CW208" s="2">
        <f t="shared" si="166"/>
        <v>0</v>
      </c>
      <c r="CX208" s="2">
        <f t="shared" si="166"/>
        <v>0</v>
      </c>
      <c r="CY208" s="2">
        <f t="shared" si="166"/>
        <v>0</v>
      </c>
      <c r="CZ208" s="2">
        <f t="shared" si="166"/>
        <v>0</v>
      </c>
      <c r="DA208" s="2">
        <f t="shared" si="166"/>
        <v>0</v>
      </c>
      <c r="DB208" s="2">
        <f t="shared" si="166"/>
        <v>0</v>
      </c>
      <c r="DC208" s="2">
        <f t="shared" ref="DC208:DH208" si="167">SUM(DC194:DC207)</f>
        <v>0</v>
      </c>
      <c r="DD208" s="2">
        <f t="shared" si="167"/>
        <v>0</v>
      </c>
      <c r="DE208" s="2">
        <f t="shared" si="167"/>
        <v>0</v>
      </c>
      <c r="DF208" s="198">
        <f t="shared" si="167"/>
        <v>883</v>
      </c>
      <c r="DG208" s="198">
        <f t="shared" si="167"/>
        <v>11306</v>
      </c>
      <c r="DH208" s="198">
        <f t="shared" si="167"/>
        <v>9156.7999999999993</v>
      </c>
    </row>
    <row r="209" spans="1:112" ht="30" customHeight="1" x14ac:dyDescent="0.25">
      <c r="A209" s="189"/>
      <c r="B209" s="199"/>
      <c r="I209" s="200"/>
      <c r="J209" s="201"/>
      <c r="K209" s="202"/>
      <c r="L209" s="188"/>
      <c r="M209" s="188"/>
      <c r="N209" s="203"/>
      <c r="O209" s="204"/>
      <c r="P209" s="200"/>
      <c r="Q209" s="188"/>
      <c r="R209" s="188"/>
      <c r="S209" s="188"/>
      <c r="T209" s="188"/>
      <c r="U209" s="188"/>
      <c r="V209" s="188"/>
      <c r="W209" s="188"/>
      <c r="X209" s="188"/>
      <c r="Y209" s="188"/>
      <c r="Z209" s="188"/>
      <c r="AA209" s="188"/>
      <c r="AB209" s="188"/>
      <c r="AC209" s="188"/>
      <c r="AD209" s="188"/>
      <c r="AE209" s="188"/>
      <c r="AF209" s="188"/>
      <c r="AG209" s="188"/>
      <c r="AH209" s="188"/>
      <c r="AI209" s="188"/>
      <c r="AJ209" s="188"/>
      <c r="AK209" s="188"/>
      <c r="AL209" s="188"/>
      <c r="AM209" s="188"/>
      <c r="AN209" s="188"/>
      <c r="AO209" s="188"/>
      <c r="AP209" s="188"/>
      <c r="AQ209" s="188"/>
      <c r="AR209" s="188"/>
      <c r="AS209" s="188"/>
      <c r="AT209" s="188"/>
      <c r="AU209" s="188"/>
      <c r="AV209" s="188"/>
      <c r="AW209" s="188"/>
      <c r="AX209" s="188"/>
      <c r="AY209" s="188"/>
      <c r="AZ209" s="188"/>
      <c r="BA209" s="188"/>
      <c r="BB209" s="188"/>
      <c r="BC209" s="188"/>
      <c r="BD209" s="188"/>
      <c r="BE209" s="188"/>
      <c r="BF209" s="188"/>
      <c r="BG209" s="188"/>
      <c r="BH209" s="188"/>
      <c r="BI209" s="188"/>
      <c r="BJ209" s="188"/>
      <c r="BK209" s="188"/>
      <c r="BL209" s="188"/>
      <c r="BM209" s="188"/>
      <c r="BN209" s="188"/>
      <c r="BO209" s="188"/>
      <c r="BP209" s="188"/>
      <c r="BQ209" s="188"/>
      <c r="BR209" s="188"/>
      <c r="BS209" s="188"/>
      <c r="BT209" s="188"/>
      <c r="BU209" s="188"/>
      <c r="BV209" s="188"/>
      <c r="BW209" s="188"/>
      <c r="BX209" s="188"/>
      <c r="BY209" s="188"/>
      <c r="BZ209" s="188"/>
      <c r="CA209" s="188"/>
      <c r="CB209" s="188"/>
      <c r="CC209" s="188"/>
      <c r="CD209" s="188"/>
      <c r="CE209" s="188"/>
      <c r="CF209" s="188"/>
      <c r="CG209" s="188"/>
      <c r="CH209" s="188"/>
      <c r="CI209" s="188"/>
      <c r="CJ209" s="188"/>
      <c r="CK209" s="188"/>
      <c r="CL209" s="188"/>
      <c r="CM209" s="188"/>
      <c r="CN209" s="188"/>
      <c r="CO209" s="188"/>
      <c r="CP209" s="188"/>
      <c r="CQ209" s="188"/>
      <c r="CR209" s="188"/>
      <c r="CS209" s="188"/>
      <c r="CT209" s="188"/>
      <c r="CU209" s="188"/>
      <c r="CV209" s="188"/>
      <c r="CW209" s="188"/>
      <c r="CX209" s="188"/>
      <c r="CY209" s="188"/>
      <c r="CZ209" s="188"/>
      <c r="DA209" s="188"/>
      <c r="DB209" s="188"/>
      <c r="DC209" s="188"/>
      <c r="DD209" s="188"/>
      <c r="DE209" s="188"/>
      <c r="DF209" s="188"/>
      <c r="DG209" s="188"/>
      <c r="DH209" s="188"/>
    </row>
    <row r="210" spans="1:112" ht="30" customHeight="1" x14ac:dyDescent="0.25">
      <c r="A210" s="525" t="s">
        <v>118</v>
      </c>
      <c r="B210" s="195" t="s">
        <v>117</v>
      </c>
      <c r="C210" s="175"/>
      <c r="D210" s="527" t="s">
        <v>116</v>
      </c>
      <c r="E210" s="528"/>
      <c r="F210" s="531" t="s">
        <v>115</v>
      </c>
      <c r="G210" s="532" t="s">
        <v>114</v>
      </c>
      <c r="H210" s="533"/>
      <c r="I210" s="536" t="s">
        <v>113</v>
      </c>
      <c r="J210" s="537" t="s">
        <v>112</v>
      </c>
      <c r="K210" s="520" t="s">
        <v>510</v>
      </c>
      <c r="L210" s="520"/>
      <c r="M210" s="520"/>
      <c r="N210" s="520" t="s">
        <v>511</v>
      </c>
      <c r="O210" s="520"/>
      <c r="P210" s="520"/>
      <c r="Q210" s="520" t="s">
        <v>512</v>
      </c>
      <c r="R210" s="520"/>
      <c r="S210" s="520"/>
      <c r="T210" s="520" t="s">
        <v>513</v>
      </c>
      <c r="U210" s="520"/>
      <c r="V210" s="520"/>
      <c r="W210" s="520" t="s">
        <v>514</v>
      </c>
      <c r="X210" s="520"/>
      <c r="Y210" s="520"/>
      <c r="Z210" s="520" t="s">
        <v>515</v>
      </c>
      <c r="AA210" s="520"/>
      <c r="AB210" s="520"/>
      <c r="AC210" s="520" t="s">
        <v>516</v>
      </c>
      <c r="AD210" s="520"/>
      <c r="AE210" s="520"/>
      <c r="AF210" s="520" t="s">
        <v>517</v>
      </c>
      <c r="AG210" s="520"/>
      <c r="AH210" s="520"/>
      <c r="AI210" s="520" t="s">
        <v>518</v>
      </c>
      <c r="AJ210" s="520"/>
      <c r="AK210" s="520"/>
      <c r="AL210" s="520" t="s">
        <v>519</v>
      </c>
      <c r="AM210" s="520"/>
      <c r="AN210" s="520"/>
      <c r="AO210" s="521" t="s">
        <v>350</v>
      </c>
      <c r="AP210" s="521"/>
      <c r="AQ210" s="521"/>
      <c r="AR210" s="520" t="s">
        <v>520</v>
      </c>
      <c r="AS210" s="520"/>
      <c r="AT210" s="520"/>
      <c r="AU210" s="520" t="s">
        <v>521</v>
      </c>
      <c r="AV210" s="520"/>
      <c r="AW210" s="520"/>
      <c r="AX210" s="520" t="s">
        <v>522</v>
      </c>
      <c r="AY210" s="520"/>
      <c r="AZ210" s="520"/>
      <c r="BA210" s="520" t="s">
        <v>523</v>
      </c>
      <c r="BB210" s="520"/>
      <c r="BC210" s="520"/>
      <c r="BD210" s="520" t="s">
        <v>524</v>
      </c>
      <c r="BE210" s="520"/>
      <c r="BF210" s="520"/>
      <c r="BG210" s="520" t="s">
        <v>525</v>
      </c>
      <c r="BH210" s="520"/>
      <c r="BI210" s="520"/>
      <c r="BJ210" s="520" t="s">
        <v>526</v>
      </c>
      <c r="BK210" s="520"/>
      <c r="BL210" s="520"/>
      <c r="BM210" s="520" t="s">
        <v>527</v>
      </c>
      <c r="BN210" s="520"/>
      <c r="BO210" s="520"/>
      <c r="BP210" s="520" t="s">
        <v>528</v>
      </c>
      <c r="BQ210" s="520"/>
      <c r="BR210" s="520"/>
      <c r="BS210" s="520" t="s">
        <v>529</v>
      </c>
      <c r="BT210" s="520"/>
      <c r="BU210" s="520"/>
      <c r="BV210" s="521" t="s">
        <v>351</v>
      </c>
      <c r="BW210" s="521"/>
      <c r="BX210" s="521"/>
      <c r="BY210" s="520" t="s">
        <v>530</v>
      </c>
      <c r="BZ210" s="520"/>
      <c r="CA210" s="520"/>
      <c r="CB210" s="520" t="s">
        <v>531</v>
      </c>
      <c r="CC210" s="520"/>
      <c r="CD210" s="520"/>
      <c r="CE210" s="520" t="s">
        <v>532</v>
      </c>
      <c r="CF210" s="520"/>
      <c r="CG210" s="520"/>
      <c r="CH210" s="520" t="s">
        <v>533</v>
      </c>
      <c r="CI210" s="520"/>
      <c r="CJ210" s="520"/>
      <c r="CK210" s="520" t="s">
        <v>534</v>
      </c>
      <c r="CL210" s="520"/>
      <c r="CM210" s="520"/>
      <c r="CN210" s="520" t="s">
        <v>535</v>
      </c>
      <c r="CO210" s="520"/>
      <c r="CP210" s="520"/>
      <c r="CQ210" s="520" t="s">
        <v>536</v>
      </c>
      <c r="CR210" s="520"/>
      <c r="CS210" s="520"/>
      <c r="CT210" s="520" t="s">
        <v>537</v>
      </c>
      <c r="CU210" s="520"/>
      <c r="CV210" s="520"/>
      <c r="CW210" s="520" t="s">
        <v>538</v>
      </c>
      <c r="CX210" s="520"/>
      <c r="CY210" s="520"/>
      <c r="CZ210" s="520" t="s">
        <v>539</v>
      </c>
      <c r="DA210" s="520"/>
      <c r="DB210" s="520"/>
      <c r="DC210" s="520" t="s">
        <v>540</v>
      </c>
      <c r="DD210" s="520"/>
      <c r="DE210" s="520"/>
      <c r="DF210" s="520" t="s">
        <v>111</v>
      </c>
      <c r="DG210" s="520"/>
      <c r="DH210" s="520"/>
    </row>
    <row r="211" spans="1:112" ht="30" customHeight="1" x14ac:dyDescent="0.25">
      <c r="A211" s="526"/>
      <c r="B211" s="193"/>
      <c r="C211" s="24"/>
      <c r="D211" s="529"/>
      <c r="E211" s="530"/>
      <c r="F211" s="531"/>
      <c r="G211" s="534"/>
      <c r="H211" s="535"/>
      <c r="I211" s="531"/>
      <c r="J211" s="538"/>
      <c r="K211" s="10" t="s">
        <v>109</v>
      </c>
      <c r="L211" s="11" t="s">
        <v>108</v>
      </c>
      <c r="M211" s="11" t="s">
        <v>348</v>
      </c>
      <c r="N211" s="10" t="s">
        <v>109</v>
      </c>
      <c r="O211" s="11" t="s">
        <v>108</v>
      </c>
      <c r="P211" s="11" t="s">
        <v>348</v>
      </c>
      <c r="Q211" s="10" t="s">
        <v>109</v>
      </c>
      <c r="R211" s="11" t="s">
        <v>108</v>
      </c>
      <c r="S211" s="11" t="s">
        <v>348</v>
      </c>
      <c r="T211" s="10" t="s">
        <v>109</v>
      </c>
      <c r="U211" s="11" t="s">
        <v>108</v>
      </c>
      <c r="V211" s="11" t="s">
        <v>348</v>
      </c>
      <c r="W211" s="10" t="s">
        <v>109</v>
      </c>
      <c r="X211" s="11" t="s">
        <v>108</v>
      </c>
      <c r="Y211" s="11" t="s">
        <v>348</v>
      </c>
      <c r="Z211" s="10" t="s">
        <v>109</v>
      </c>
      <c r="AA211" s="11" t="s">
        <v>108</v>
      </c>
      <c r="AB211" s="11" t="s">
        <v>348</v>
      </c>
      <c r="AC211" s="10" t="s">
        <v>109</v>
      </c>
      <c r="AD211" s="11" t="s">
        <v>108</v>
      </c>
      <c r="AE211" s="11" t="s">
        <v>348</v>
      </c>
      <c r="AF211" s="10" t="s">
        <v>109</v>
      </c>
      <c r="AG211" s="11" t="s">
        <v>108</v>
      </c>
      <c r="AH211" s="11" t="s">
        <v>348</v>
      </c>
      <c r="AI211" s="10" t="s">
        <v>109</v>
      </c>
      <c r="AJ211" s="11" t="s">
        <v>108</v>
      </c>
      <c r="AK211" s="11" t="s">
        <v>348</v>
      </c>
      <c r="AL211" s="10" t="s">
        <v>109</v>
      </c>
      <c r="AM211" s="11" t="s">
        <v>108</v>
      </c>
      <c r="AN211" s="11" t="s">
        <v>348</v>
      </c>
      <c r="AO211" s="10" t="s">
        <v>109</v>
      </c>
      <c r="AP211" s="11" t="s">
        <v>108</v>
      </c>
      <c r="AQ211" s="11" t="s">
        <v>348</v>
      </c>
      <c r="AR211" s="10" t="s">
        <v>109</v>
      </c>
      <c r="AS211" s="11" t="s">
        <v>108</v>
      </c>
      <c r="AT211" s="11" t="s">
        <v>348</v>
      </c>
      <c r="AU211" s="10" t="s">
        <v>109</v>
      </c>
      <c r="AV211" s="11" t="s">
        <v>108</v>
      </c>
      <c r="AW211" s="11" t="s">
        <v>348</v>
      </c>
      <c r="AX211" s="10" t="s">
        <v>109</v>
      </c>
      <c r="AY211" s="11" t="s">
        <v>108</v>
      </c>
      <c r="AZ211" s="11" t="s">
        <v>348</v>
      </c>
      <c r="BA211" s="10" t="s">
        <v>109</v>
      </c>
      <c r="BB211" s="11" t="s">
        <v>108</v>
      </c>
      <c r="BC211" s="11" t="s">
        <v>348</v>
      </c>
      <c r="BD211" s="10" t="s">
        <v>109</v>
      </c>
      <c r="BE211" s="11" t="s">
        <v>108</v>
      </c>
      <c r="BF211" s="11" t="s">
        <v>348</v>
      </c>
      <c r="BG211" s="10" t="s">
        <v>109</v>
      </c>
      <c r="BH211" s="11" t="s">
        <v>108</v>
      </c>
      <c r="BI211" s="11" t="s">
        <v>348</v>
      </c>
      <c r="BJ211" s="10" t="s">
        <v>109</v>
      </c>
      <c r="BK211" s="11" t="s">
        <v>108</v>
      </c>
      <c r="BL211" s="11" t="s">
        <v>348</v>
      </c>
      <c r="BM211" s="10" t="s">
        <v>109</v>
      </c>
      <c r="BN211" s="11" t="s">
        <v>108</v>
      </c>
      <c r="BO211" s="11" t="s">
        <v>348</v>
      </c>
      <c r="BP211" s="10" t="s">
        <v>109</v>
      </c>
      <c r="BQ211" s="11" t="s">
        <v>108</v>
      </c>
      <c r="BR211" s="11" t="s">
        <v>348</v>
      </c>
      <c r="BS211" s="10" t="s">
        <v>109</v>
      </c>
      <c r="BT211" s="11" t="s">
        <v>108</v>
      </c>
      <c r="BU211" s="11" t="s">
        <v>348</v>
      </c>
      <c r="BV211" s="10" t="s">
        <v>109</v>
      </c>
      <c r="BW211" s="11" t="s">
        <v>108</v>
      </c>
      <c r="BX211" s="11" t="s">
        <v>348</v>
      </c>
      <c r="BY211" s="10" t="s">
        <v>109</v>
      </c>
      <c r="BZ211" s="11" t="s">
        <v>108</v>
      </c>
      <c r="CA211" s="11" t="s">
        <v>348</v>
      </c>
      <c r="CB211" s="10" t="s">
        <v>109</v>
      </c>
      <c r="CC211" s="11" t="s">
        <v>108</v>
      </c>
      <c r="CD211" s="11" t="s">
        <v>348</v>
      </c>
      <c r="CE211" s="10" t="s">
        <v>109</v>
      </c>
      <c r="CF211" s="11" t="s">
        <v>108</v>
      </c>
      <c r="CG211" s="11" t="s">
        <v>348</v>
      </c>
      <c r="CH211" s="10" t="s">
        <v>109</v>
      </c>
      <c r="CI211" s="11" t="s">
        <v>108</v>
      </c>
      <c r="CJ211" s="11" t="s">
        <v>348</v>
      </c>
      <c r="CK211" s="10" t="s">
        <v>109</v>
      </c>
      <c r="CL211" s="11" t="s">
        <v>108</v>
      </c>
      <c r="CM211" s="11" t="s">
        <v>348</v>
      </c>
      <c r="CN211" s="10" t="s">
        <v>109</v>
      </c>
      <c r="CO211" s="11" t="s">
        <v>108</v>
      </c>
      <c r="CP211" s="11" t="s">
        <v>348</v>
      </c>
      <c r="CQ211" s="10" t="s">
        <v>109</v>
      </c>
      <c r="CR211" s="11" t="s">
        <v>108</v>
      </c>
      <c r="CS211" s="11" t="s">
        <v>348</v>
      </c>
      <c r="CT211" s="10" t="s">
        <v>109</v>
      </c>
      <c r="CU211" s="11" t="s">
        <v>108</v>
      </c>
      <c r="CV211" s="11" t="s">
        <v>348</v>
      </c>
      <c r="CW211" s="10" t="s">
        <v>109</v>
      </c>
      <c r="CX211" s="11" t="s">
        <v>108</v>
      </c>
      <c r="CY211" s="11" t="s">
        <v>348</v>
      </c>
      <c r="CZ211" s="10" t="s">
        <v>109</v>
      </c>
      <c r="DA211" s="11" t="s">
        <v>108</v>
      </c>
      <c r="DB211" s="11" t="s">
        <v>348</v>
      </c>
      <c r="DC211" s="10" t="s">
        <v>109</v>
      </c>
      <c r="DD211" s="11" t="s">
        <v>108</v>
      </c>
      <c r="DE211" s="11" t="s">
        <v>348</v>
      </c>
      <c r="DF211" s="10" t="s">
        <v>109</v>
      </c>
      <c r="DG211" s="11" t="s">
        <v>108</v>
      </c>
      <c r="DH211" s="11" t="s">
        <v>348</v>
      </c>
    </row>
    <row r="212" spans="1:112" ht="30" customHeight="1" x14ac:dyDescent="0.25">
      <c r="A212" s="25">
        <v>1</v>
      </c>
      <c r="B212" s="191" t="s">
        <v>151</v>
      </c>
      <c r="C212" s="191"/>
      <c r="D212" s="191" t="s">
        <v>40</v>
      </c>
      <c r="E212" s="180" t="s">
        <v>357</v>
      </c>
      <c r="F212" s="5" t="s">
        <v>355</v>
      </c>
      <c r="G212" s="25"/>
      <c r="H212" s="7"/>
      <c r="I212" s="7"/>
      <c r="J212" s="3"/>
      <c r="K212" s="6"/>
      <c r="L212" s="6"/>
      <c r="M212" s="6"/>
      <c r="N212" s="6"/>
      <c r="O212" s="6"/>
      <c r="P212" s="6"/>
      <c r="Q212" s="6">
        <v>60</v>
      </c>
      <c r="R212" s="6">
        <v>780</v>
      </c>
      <c r="S212" s="6">
        <v>628.79999999999995</v>
      </c>
      <c r="T212" s="6">
        <v>15</v>
      </c>
      <c r="U212" s="6">
        <v>210</v>
      </c>
      <c r="V212" s="6">
        <v>134.4</v>
      </c>
      <c r="W212" s="6">
        <v>108</v>
      </c>
      <c r="X212" s="6">
        <v>1486</v>
      </c>
      <c r="Y212" s="6">
        <v>1115.1999999999998</v>
      </c>
      <c r="Z212" s="6">
        <v>142.29166666666666</v>
      </c>
      <c r="AA212" s="6">
        <v>1795</v>
      </c>
      <c r="AB212" s="6">
        <v>1608.05</v>
      </c>
      <c r="AC212" s="6">
        <v>329</v>
      </c>
      <c r="AD212" s="6">
        <v>4462</v>
      </c>
      <c r="AE212" s="6">
        <v>3382.7200000000003</v>
      </c>
      <c r="AF212" s="6"/>
      <c r="AG212" s="6"/>
      <c r="AH212" s="6"/>
      <c r="AI212" s="6">
        <v>112.5</v>
      </c>
      <c r="AJ212" s="6">
        <v>1540</v>
      </c>
      <c r="AK212" s="6">
        <v>1061.2</v>
      </c>
      <c r="AL212" s="6">
        <v>25</v>
      </c>
      <c r="AM212" s="6">
        <v>310</v>
      </c>
      <c r="AN212" s="6">
        <v>284.8</v>
      </c>
      <c r="AO212" s="173">
        <f t="shared" ref="AO212" si="168">+K212+N212+Q212+T212+W212+Z212+AC212+AF212+AI212+AL212</f>
        <v>791.79166666666663</v>
      </c>
      <c r="AP212" s="173">
        <f t="shared" ref="AP212" si="169">+L212+O212+R212+U212+X212+AA212+AD212+AG212+AJ212+AM212</f>
        <v>10583</v>
      </c>
      <c r="AQ212" s="173">
        <f t="shared" ref="AQ212" si="170">+M212+P212+S212+V212+Y212+AB212+AE212+AH212+AK212+AN212</f>
        <v>8215.17</v>
      </c>
      <c r="AR212" s="6">
        <v>285</v>
      </c>
      <c r="AS212" s="6">
        <v>3482</v>
      </c>
      <c r="AT212" s="6">
        <v>3325.7599999999998</v>
      </c>
      <c r="AU212" s="6"/>
      <c r="AV212" s="6"/>
      <c r="AW212" s="6"/>
      <c r="AX212" s="6">
        <v>208</v>
      </c>
      <c r="AY212" s="6">
        <v>2856</v>
      </c>
      <c r="AZ212" s="6">
        <v>1948.8</v>
      </c>
      <c r="BA212" s="6">
        <v>362</v>
      </c>
      <c r="BB212" s="6">
        <v>4890</v>
      </c>
      <c r="BC212" s="6">
        <v>3611.2799999999997</v>
      </c>
      <c r="BD212" s="6"/>
      <c r="BE212" s="6"/>
      <c r="BF212" s="6"/>
      <c r="BG212" s="6">
        <v>300</v>
      </c>
      <c r="BH212" s="6">
        <v>3600</v>
      </c>
      <c r="BI212" s="6">
        <v>3600</v>
      </c>
      <c r="BJ212" s="6">
        <v>37</v>
      </c>
      <c r="BK212" s="6">
        <v>494</v>
      </c>
      <c r="BL212" s="6">
        <v>368</v>
      </c>
      <c r="BM212" s="6">
        <v>100</v>
      </c>
      <c r="BN212" s="6">
        <v>1200</v>
      </c>
      <c r="BO212" s="6">
        <v>1200</v>
      </c>
      <c r="BP212" s="6">
        <v>39</v>
      </c>
      <c r="BQ212" s="6">
        <v>494</v>
      </c>
      <c r="BR212" s="6">
        <v>428.48</v>
      </c>
      <c r="BS212" s="6">
        <v>300</v>
      </c>
      <c r="BT212" s="6">
        <v>4046</v>
      </c>
      <c r="BU212" s="6">
        <v>2922.08</v>
      </c>
      <c r="BV212" s="173">
        <f t="shared" ref="BV212" si="171">+AO212+AR212+AU212+AX212+BA212+BD212+BG212+BJ212+BM212+BP212+BS212</f>
        <v>2422.7916666666665</v>
      </c>
      <c r="BW212" s="173">
        <f t="shared" ref="BW212" si="172">+AP212+AS212+AV212+AY212+BB212+BE212+BH212+BK212+BN212+BQ212+BT212</f>
        <v>31645</v>
      </c>
      <c r="BX212" s="173">
        <f>+AQ212+AT212+AW212+AZ212+BC212+BF212+BI212+BL212+BO212+BR212+BU212</f>
        <v>25619.57</v>
      </c>
      <c r="BY212" s="6"/>
      <c r="BZ212" s="6"/>
      <c r="CA212" s="6"/>
      <c r="CB212" s="6"/>
      <c r="CC212" s="6"/>
      <c r="CD212" s="6"/>
      <c r="CE212" s="6"/>
      <c r="CF212" s="6"/>
      <c r="CG212" s="6"/>
      <c r="CH212" s="6"/>
      <c r="CI212" s="6"/>
      <c r="CJ212" s="6"/>
      <c r="CK212" s="6"/>
      <c r="CL212" s="6"/>
      <c r="CM212" s="6"/>
      <c r="CN212" s="6"/>
      <c r="CO212" s="6"/>
      <c r="CP212" s="6"/>
      <c r="CQ212" s="6"/>
      <c r="CR212" s="6"/>
      <c r="CS212" s="6"/>
      <c r="CT212" s="6"/>
      <c r="CU212" s="6"/>
      <c r="CV212" s="6"/>
      <c r="CW212" s="6"/>
      <c r="CX212" s="6"/>
      <c r="CY212" s="6"/>
      <c r="CZ212" s="6"/>
      <c r="DA212" s="6"/>
      <c r="DB212" s="6"/>
      <c r="DC212" s="6"/>
      <c r="DD212" s="6"/>
      <c r="DE212" s="6"/>
      <c r="DF212" s="173">
        <f t="shared" ref="DF212" si="173">BV212+CB212+CE212+CH212+CK212+CN212+CQ212+CT212+CW212+CZ212+DC212+BY212</f>
        <v>2422.7916666666665</v>
      </c>
      <c r="DG212" s="173">
        <f>BW212+CC212+CF212+CI212+CL212+CO212+CR212+CU212+CX212+DA212+DD212+BZ212</f>
        <v>31645</v>
      </c>
      <c r="DH212" s="173">
        <f t="shared" ref="DH212" si="174">BX212+CD212+CG212+CJ212+CM212+CP212+CS212+CV212+CY212+DB212+DE212+CA212</f>
        <v>25619.57</v>
      </c>
    </row>
    <row r="213" spans="1:112" ht="30" customHeight="1" x14ac:dyDescent="0.25">
      <c r="A213" s="184" t="s">
        <v>0</v>
      </c>
      <c r="B213" s="196"/>
      <c r="C213" s="185"/>
      <c r="D213" s="185"/>
      <c r="E213" s="186"/>
      <c r="F213" s="4"/>
      <c r="G213" s="4"/>
      <c r="H213" s="4"/>
      <c r="I213" s="4"/>
      <c r="J213" s="3"/>
      <c r="K213" s="2">
        <f t="shared" ref="K213:BV213" si="175">SUM(K212:K212)</f>
        <v>0</v>
      </c>
      <c r="L213" s="2">
        <f t="shared" si="175"/>
        <v>0</v>
      </c>
      <c r="M213" s="2">
        <f t="shared" si="175"/>
        <v>0</v>
      </c>
      <c r="N213" s="2">
        <f t="shared" si="175"/>
        <v>0</v>
      </c>
      <c r="O213" s="2">
        <f t="shared" si="175"/>
        <v>0</v>
      </c>
      <c r="P213" s="2">
        <f t="shared" si="175"/>
        <v>0</v>
      </c>
      <c r="Q213" s="2">
        <f t="shared" si="175"/>
        <v>60</v>
      </c>
      <c r="R213" s="2">
        <f t="shared" si="175"/>
        <v>780</v>
      </c>
      <c r="S213" s="2">
        <f t="shared" si="175"/>
        <v>628.79999999999995</v>
      </c>
      <c r="T213" s="2">
        <f t="shared" si="175"/>
        <v>15</v>
      </c>
      <c r="U213" s="2">
        <f t="shared" si="175"/>
        <v>210</v>
      </c>
      <c r="V213" s="2">
        <f t="shared" si="175"/>
        <v>134.4</v>
      </c>
      <c r="W213" s="2">
        <f t="shared" si="175"/>
        <v>108</v>
      </c>
      <c r="X213" s="2">
        <f t="shared" si="175"/>
        <v>1486</v>
      </c>
      <c r="Y213" s="2">
        <f t="shared" si="175"/>
        <v>1115.1999999999998</v>
      </c>
      <c r="Z213" s="2">
        <f t="shared" si="175"/>
        <v>142.29166666666666</v>
      </c>
      <c r="AA213" s="2">
        <f t="shared" si="175"/>
        <v>1795</v>
      </c>
      <c r="AB213" s="2">
        <f t="shared" si="175"/>
        <v>1608.05</v>
      </c>
      <c r="AC213" s="2">
        <f t="shared" si="175"/>
        <v>329</v>
      </c>
      <c r="AD213" s="2">
        <f t="shared" si="175"/>
        <v>4462</v>
      </c>
      <c r="AE213" s="2">
        <f t="shared" si="175"/>
        <v>3382.7200000000003</v>
      </c>
      <c r="AF213" s="2">
        <f t="shared" si="175"/>
        <v>0</v>
      </c>
      <c r="AG213" s="2">
        <f t="shared" si="175"/>
        <v>0</v>
      </c>
      <c r="AH213" s="2">
        <f t="shared" si="175"/>
        <v>0</v>
      </c>
      <c r="AI213" s="2">
        <f t="shared" si="175"/>
        <v>112.5</v>
      </c>
      <c r="AJ213" s="2">
        <f t="shared" si="175"/>
        <v>1540</v>
      </c>
      <c r="AK213" s="2">
        <f t="shared" si="175"/>
        <v>1061.2</v>
      </c>
      <c r="AL213" s="2">
        <f t="shared" si="175"/>
        <v>25</v>
      </c>
      <c r="AM213" s="2">
        <f t="shared" si="175"/>
        <v>310</v>
      </c>
      <c r="AN213" s="2">
        <f t="shared" si="175"/>
        <v>284.8</v>
      </c>
      <c r="AO213" s="198">
        <f t="shared" si="175"/>
        <v>791.79166666666663</v>
      </c>
      <c r="AP213" s="198">
        <f t="shared" si="175"/>
        <v>10583</v>
      </c>
      <c r="AQ213" s="198">
        <f t="shared" si="175"/>
        <v>8215.17</v>
      </c>
      <c r="AR213" s="2">
        <f t="shared" si="175"/>
        <v>285</v>
      </c>
      <c r="AS213" s="2">
        <f t="shared" si="175"/>
        <v>3482</v>
      </c>
      <c r="AT213" s="2">
        <f t="shared" si="175"/>
        <v>3325.7599999999998</v>
      </c>
      <c r="AU213" s="2">
        <f t="shared" si="175"/>
        <v>0</v>
      </c>
      <c r="AV213" s="2">
        <f t="shared" si="175"/>
        <v>0</v>
      </c>
      <c r="AW213" s="2">
        <f t="shared" si="175"/>
        <v>0</v>
      </c>
      <c r="AX213" s="2">
        <f t="shared" si="175"/>
        <v>208</v>
      </c>
      <c r="AY213" s="2">
        <f t="shared" si="175"/>
        <v>2856</v>
      </c>
      <c r="AZ213" s="2">
        <f t="shared" si="175"/>
        <v>1948.8</v>
      </c>
      <c r="BA213" s="2">
        <f t="shared" si="175"/>
        <v>362</v>
      </c>
      <c r="BB213" s="2">
        <f t="shared" si="175"/>
        <v>4890</v>
      </c>
      <c r="BC213" s="2">
        <f t="shared" si="175"/>
        <v>3611.2799999999997</v>
      </c>
      <c r="BD213" s="2">
        <f t="shared" si="175"/>
        <v>0</v>
      </c>
      <c r="BE213" s="2">
        <f t="shared" si="175"/>
        <v>0</v>
      </c>
      <c r="BF213" s="2">
        <f t="shared" si="175"/>
        <v>0</v>
      </c>
      <c r="BG213" s="2">
        <f t="shared" si="175"/>
        <v>300</v>
      </c>
      <c r="BH213" s="2">
        <f t="shared" si="175"/>
        <v>3600</v>
      </c>
      <c r="BI213" s="2">
        <f t="shared" si="175"/>
        <v>3600</v>
      </c>
      <c r="BJ213" s="2">
        <f t="shared" si="175"/>
        <v>37</v>
      </c>
      <c r="BK213" s="2">
        <f t="shared" si="175"/>
        <v>494</v>
      </c>
      <c r="BL213" s="2">
        <f t="shared" si="175"/>
        <v>368</v>
      </c>
      <c r="BM213" s="2">
        <f t="shared" si="175"/>
        <v>100</v>
      </c>
      <c r="BN213" s="2">
        <f t="shared" si="175"/>
        <v>1200</v>
      </c>
      <c r="BO213" s="2">
        <f t="shared" si="175"/>
        <v>1200</v>
      </c>
      <c r="BP213" s="2">
        <f t="shared" si="175"/>
        <v>39</v>
      </c>
      <c r="BQ213" s="2">
        <f t="shared" si="175"/>
        <v>494</v>
      </c>
      <c r="BR213" s="2">
        <f t="shared" si="175"/>
        <v>428.48</v>
      </c>
      <c r="BS213" s="2">
        <f t="shared" si="175"/>
        <v>300</v>
      </c>
      <c r="BT213" s="2">
        <f t="shared" si="175"/>
        <v>4046</v>
      </c>
      <c r="BU213" s="2">
        <f t="shared" si="175"/>
        <v>2922.08</v>
      </c>
      <c r="BV213" s="198">
        <f t="shared" si="175"/>
        <v>2422.7916666666665</v>
      </c>
      <c r="BW213" s="198">
        <f t="shared" ref="BW213:DH213" si="176">SUM(BW212:BW212)</f>
        <v>31645</v>
      </c>
      <c r="BX213" s="198">
        <f t="shared" si="176"/>
        <v>25619.57</v>
      </c>
      <c r="BY213" s="2">
        <f t="shared" si="176"/>
        <v>0</v>
      </c>
      <c r="BZ213" s="2">
        <f t="shared" si="176"/>
        <v>0</v>
      </c>
      <c r="CA213" s="2">
        <f t="shared" si="176"/>
        <v>0</v>
      </c>
      <c r="CB213" s="2">
        <f t="shared" si="176"/>
        <v>0</v>
      </c>
      <c r="CC213" s="2">
        <f t="shared" si="176"/>
        <v>0</v>
      </c>
      <c r="CD213" s="2">
        <f t="shared" si="176"/>
        <v>0</v>
      </c>
      <c r="CE213" s="2">
        <f t="shared" si="176"/>
        <v>0</v>
      </c>
      <c r="CF213" s="2">
        <f t="shared" si="176"/>
        <v>0</v>
      </c>
      <c r="CG213" s="2">
        <f t="shared" si="176"/>
        <v>0</v>
      </c>
      <c r="CH213" s="2">
        <f t="shared" si="176"/>
        <v>0</v>
      </c>
      <c r="CI213" s="2">
        <f t="shared" si="176"/>
        <v>0</v>
      </c>
      <c r="CJ213" s="2">
        <f t="shared" si="176"/>
        <v>0</v>
      </c>
      <c r="CK213" s="2">
        <f t="shared" si="176"/>
        <v>0</v>
      </c>
      <c r="CL213" s="2">
        <f t="shared" si="176"/>
        <v>0</v>
      </c>
      <c r="CM213" s="2">
        <f t="shared" si="176"/>
        <v>0</v>
      </c>
      <c r="CN213" s="2">
        <f t="shared" si="176"/>
        <v>0</v>
      </c>
      <c r="CO213" s="2">
        <f t="shared" si="176"/>
        <v>0</v>
      </c>
      <c r="CP213" s="2">
        <f t="shared" si="176"/>
        <v>0</v>
      </c>
      <c r="CQ213" s="2">
        <f t="shared" si="176"/>
        <v>0</v>
      </c>
      <c r="CR213" s="2">
        <f t="shared" si="176"/>
        <v>0</v>
      </c>
      <c r="CS213" s="2">
        <f t="shared" si="176"/>
        <v>0</v>
      </c>
      <c r="CT213" s="2">
        <f t="shared" si="176"/>
        <v>0</v>
      </c>
      <c r="CU213" s="2">
        <f t="shared" si="176"/>
        <v>0</v>
      </c>
      <c r="CV213" s="2">
        <f t="shared" si="176"/>
        <v>0</v>
      </c>
      <c r="CW213" s="2">
        <f t="shared" si="176"/>
        <v>0</v>
      </c>
      <c r="CX213" s="2">
        <f t="shared" si="176"/>
        <v>0</v>
      </c>
      <c r="CY213" s="2">
        <f t="shared" si="176"/>
        <v>0</v>
      </c>
      <c r="CZ213" s="2">
        <f t="shared" si="176"/>
        <v>0</v>
      </c>
      <c r="DA213" s="2">
        <f t="shared" si="176"/>
        <v>0</v>
      </c>
      <c r="DB213" s="2">
        <f t="shared" si="176"/>
        <v>0</v>
      </c>
      <c r="DC213" s="2">
        <f t="shared" si="176"/>
        <v>0</v>
      </c>
      <c r="DD213" s="2">
        <f t="shared" si="176"/>
        <v>0</v>
      </c>
      <c r="DE213" s="2">
        <f t="shared" si="176"/>
        <v>0</v>
      </c>
      <c r="DF213" s="198">
        <f t="shared" si="176"/>
        <v>2422.7916666666665</v>
      </c>
      <c r="DG213" s="198">
        <f t="shared" si="176"/>
        <v>31645</v>
      </c>
      <c r="DH213" s="198">
        <f t="shared" si="176"/>
        <v>25619.57</v>
      </c>
    </row>
    <row r="215" spans="1:112" ht="30" customHeight="1" x14ac:dyDescent="0.25">
      <c r="K215" s="174">
        <f t="shared" ref="K215:BV215" si="177">SUM(K162+K190+K208+K212)</f>
        <v>0</v>
      </c>
      <c r="L215" s="174">
        <f t="shared" si="177"/>
        <v>0</v>
      </c>
      <c r="M215" s="174">
        <f t="shared" si="177"/>
        <v>0</v>
      </c>
      <c r="N215" s="174">
        <f t="shared" si="177"/>
        <v>0</v>
      </c>
      <c r="O215" s="174">
        <f t="shared" si="177"/>
        <v>0</v>
      </c>
      <c r="P215" s="174">
        <f t="shared" si="177"/>
        <v>0</v>
      </c>
      <c r="Q215" s="174">
        <f t="shared" si="177"/>
        <v>1132</v>
      </c>
      <c r="R215" s="174">
        <f t="shared" si="177"/>
        <v>14604</v>
      </c>
      <c r="S215" s="174">
        <f t="shared" si="177"/>
        <v>12033.599999999999</v>
      </c>
      <c r="T215" s="174">
        <f t="shared" si="177"/>
        <v>555</v>
      </c>
      <c r="U215" s="174">
        <f t="shared" si="177"/>
        <v>7710</v>
      </c>
      <c r="V215" s="174">
        <f t="shared" si="177"/>
        <v>6144</v>
      </c>
      <c r="W215" s="174">
        <f t="shared" si="177"/>
        <v>1422</v>
      </c>
      <c r="X215" s="174">
        <f t="shared" si="177"/>
        <v>18682</v>
      </c>
      <c r="Y215" s="174">
        <f t="shared" si="177"/>
        <v>16008.64</v>
      </c>
      <c r="Z215" s="174">
        <f t="shared" si="177"/>
        <v>1617.2916666666667</v>
      </c>
      <c r="AA215" s="174">
        <f t="shared" si="177"/>
        <v>21071</v>
      </c>
      <c r="AB215" s="174">
        <f t="shared" si="177"/>
        <v>16912.53</v>
      </c>
      <c r="AC215" s="174">
        <f t="shared" si="177"/>
        <v>1580</v>
      </c>
      <c r="AD215" s="174">
        <f t="shared" si="177"/>
        <v>22074</v>
      </c>
      <c r="AE215" s="174">
        <f t="shared" si="177"/>
        <v>15738.720000000001</v>
      </c>
      <c r="AF215" s="174">
        <f t="shared" si="177"/>
        <v>0</v>
      </c>
      <c r="AG215" s="174">
        <f t="shared" si="177"/>
        <v>0</v>
      </c>
      <c r="AH215" s="174">
        <f t="shared" si="177"/>
        <v>0</v>
      </c>
      <c r="AI215" s="174">
        <f t="shared" si="177"/>
        <v>1932.5</v>
      </c>
      <c r="AJ215" s="174">
        <f t="shared" si="177"/>
        <v>25520</v>
      </c>
      <c r="AK215" s="174">
        <f t="shared" si="177"/>
        <v>19648.400000000001</v>
      </c>
      <c r="AL215" s="174">
        <f t="shared" si="177"/>
        <v>625</v>
      </c>
      <c r="AM215" s="174">
        <f t="shared" si="177"/>
        <v>7910</v>
      </c>
      <c r="AN215" s="174">
        <f t="shared" si="177"/>
        <v>6876.8</v>
      </c>
      <c r="AO215" s="174">
        <f t="shared" si="177"/>
        <v>8863.7916666666661</v>
      </c>
      <c r="AP215" s="174">
        <f t="shared" si="177"/>
        <v>117571</v>
      </c>
      <c r="AQ215" s="174">
        <f t="shared" si="177"/>
        <v>93362.69</v>
      </c>
      <c r="AR215" s="174">
        <f t="shared" si="177"/>
        <v>1535</v>
      </c>
      <c r="AS215" s="174">
        <f t="shared" si="177"/>
        <v>20282</v>
      </c>
      <c r="AT215" s="174">
        <f t="shared" si="177"/>
        <v>15877.76</v>
      </c>
      <c r="AU215" s="174">
        <f t="shared" si="177"/>
        <v>1164</v>
      </c>
      <c r="AV215" s="174">
        <f t="shared" si="177"/>
        <v>16586</v>
      </c>
      <c r="AW215" s="174">
        <f t="shared" si="177"/>
        <v>11911.04</v>
      </c>
      <c r="AX215" s="174">
        <f t="shared" si="177"/>
        <v>1558</v>
      </c>
      <c r="AY215" s="174">
        <f t="shared" si="177"/>
        <v>19436</v>
      </c>
      <c r="AZ215" s="174">
        <f t="shared" si="177"/>
        <v>17571.2</v>
      </c>
      <c r="BA215" s="174">
        <f t="shared" si="177"/>
        <v>1782</v>
      </c>
      <c r="BB215" s="174">
        <f t="shared" si="177"/>
        <v>23970</v>
      </c>
      <c r="BC215" s="174">
        <f t="shared" si="177"/>
        <v>18846.48</v>
      </c>
      <c r="BD215" s="174">
        <f t="shared" si="177"/>
        <v>0</v>
      </c>
      <c r="BE215" s="174">
        <f t="shared" si="177"/>
        <v>0</v>
      </c>
      <c r="BF215" s="174">
        <f t="shared" si="177"/>
        <v>0</v>
      </c>
      <c r="BG215" s="174">
        <f t="shared" si="177"/>
        <v>1062</v>
      </c>
      <c r="BH215" s="174">
        <f t="shared" si="177"/>
        <v>14174</v>
      </c>
      <c r="BI215" s="174">
        <f t="shared" si="177"/>
        <v>11650.4</v>
      </c>
      <c r="BJ215" s="174">
        <f t="shared" si="177"/>
        <v>1087</v>
      </c>
      <c r="BK215" s="174">
        <f t="shared" si="177"/>
        <v>14494</v>
      </c>
      <c r="BL215" s="174">
        <f t="shared" si="177"/>
        <v>10840</v>
      </c>
      <c r="BM215" s="174">
        <f t="shared" si="177"/>
        <v>1249</v>
      </c>
      <c r="BN215" s="174">
        <f t="shared" si="177"/>
        <v>15558</v>
      </c>
      <c r="BO215" s="174">
        <f t="shared" si="177"/>
        <v>14121.6</v>
      </c>
      <c r="BP215" s="174">
        <f t="shared" si="177"/>
        <v>1199</v>
      </c>
      <c r="BQ215" s="174">
        <f t="shared" si="177"/>
        <v>16284</v>
      </c>
      <c r="BR215" s="174">
        <f t="shared" si="177"/>
        <v>11506.08</v>
      </c>
      <c r="BS215" s="174">
        <f t="shared" si="177"/>
        <v>810</v>
      </c>
      <c r="BT215" s="174">
        <f t="shared" si="177"/>
        <v>11146</v>
      </c>
      <c r="BU215" s="174">
        <f t="shared" si="177"/>
        <v>8416.48</v>
      </c>
      <c r="BV215" s="174">
        <f t="shared" si="177"/>
        <v>20309.791666666668</v>
      </c>
      <c r="BW215" s="174">
        <f t="shared" ref="BW215:DH215" si="178">SUM(BW162+BW190+BW208+BW212)</f>
        <v>269501</v>
      </c>
      <c r="BX215" s="174">
        <f t="shared" si="178"/>
        <v>214103.73</v>
      </c>
      <c r="BY215" s="174">
        <f t="shared" si="178"/>
        <v>0</v>
      </c>
      <c r="BZ215" s="174">
        <f t="shared" si="178"/>
        <v>0</v>
      </c>
      <c r="CA215" s="174">
        <f t="shared" si="178"/>
        <v>0</v>
      </c>
      <c r="CB215" s="174">
        <f t="shared" si="178"/>
        <v>0</v>
      </c>
      <c r="CC215" s="174">
        <f t="shared" si="178"/>
        <v>0</v>
      </c>
      <c r="CD215" s="174">
        <f t="shared" si="178"/>
        <v>0</v>
      </c>
      <c r="CE215" s="174">
        <f t="shared" si="178"/>
        <v>0</v>
      </c>
      <c r="CF215" s="174">
        <f t="shared" si="178"/>
        <v>0</v>
      </c>
      <c r="CG215" s="174">
        <f t="shared" si="178"/>
        <v>0</v>
      </c>
      <c r="CH215" s="174">
        <f t="shared" si="178"/>
        <v>0</v>
      </c>
      <c r="CI215" s="174">
        <f t="shared" si="178"/>
        <v>0</v>
      </c>
      <c r="CJ215" s="174">
        <f t="shared" si="178"/>
        <v>0</v>
      </c>
      <c r="CK215" s="174">
        <f t="shared" si="178"/>
        <v>0</v>
      </c>
      <c r="CL215" s="174">
        <f t="shared" si="178"/>
        <v>0</v>
      </c>
      <c r="CM215" s="174">
        <f t="shared" si="178"/>
        <v>0</v>
      </c>
      <c r="CN215" s="174">
        <f t="shared" si="178"/>
        <v>0</v>
      </c>
      <c r="CO215" s="174">
        <f t="shared" si="178"/>
        <v>0</v>
      </c>
      <c r="CP215" s="174">
        <f t="shared" si="178"/>
        <v>0</v>
      </c>
      <c r="CQ215" s="174">
        <f t="shared" si="178"/>
        <v>0</v>
      </c>
      <c r="CR215" s="174">
        <f t="shared" si="178"/>
        <v>0</v>
      </c>
      <c r="CS215" s="174">
        <f t="shared" si="178"/>
        <v>0</v>
      </c>
      <c r="CT215" s="174">
        <f t="shared" si="178"/>
        <v>0</v>
      </c>
      <c r="CU215" s="174">
        <f t="shared" si="178"/>
        <v>0</v>
      </c>
      <c r="CV215" s="174">
        <f t="shared" si="178"/>
        <v>0</v>
      </c>
      <c r="CW215" s="174">
        <f t="shared" si="178"/>
        <v>0</v>
      </c>
      <c r="CX215" s="174">
        <f t="shared" si="178"/>
        <v>0</v>
      </c>
      <c r="CY215" s="174">
        <f t="shared" si="178"/>
        <v>0</v>
      </c>
      <c r="CZ215" s="174">
        <f t="shared" si="178"/>
        <v>0</v>
      </c>
      <c r="DA215" s="174">
        <f t="shared" si="178"/>
        <v>0</v>
      </c>
      <c r="DB215" s="174">
        <f t="shared" si="178"/>
        <v>0</v>
      </c>
      <c r="DC215" s="174">
        <f t="shared" si="178"/>
        <v>0</v>
      </c>
      <c r="DD215" s="174">
        <f t="shared" si="178"/>
        <v>0</v>
      </c>
      <c r="DE215" s="174">
        <f t="shared" si="178"/>
        <v>0</v>
      </c>
      <c r="DF215" s="174">
        <f t="shared" si="178"/>
        <v>20309.791666666668</v>
      </c>
      <c r="DG215" s="174">
        <f t="shared" si="178"/>
        <v>269501</v>
      </c>
      <c r="DH215" s="174">
        <f t="shared" si="178"/>
        <v>214103.73</v>
      </c>
    </row>
  </sheetData>
  <mergeCells count="489">
    <mergeCell ref="DF139:DH139"/>
    <mergeCell ref="CE139:CG139"/>
    <mergeCell ref="CH139:CJ139"/>
    <mergeCell ref="CK139:CM139"/>
    <mergeCell ref="CN139:CP139"/>
    <mergeCell ref="CQ139:CS139"/>
    <mergeCell ref="CT139:CV139"/>
    <mergeCell ref="CW139:CY139"/>
    <mergeCell ref="CZ139:DB139"/>
    <mergeCell ref="DC139:DE139"/>
    <mergeCell ref="BD139:BF139"/>
    <mergeCell ref="BG139:BI139"/>
    <mergeCell ref="BJ139:BL139"/>
    <mergeCell ref="BM139:BO139"/>
    <mergeCell ref="BP139:BR139"/>
    <mergeCell ref="BS139:BU139"/>
    <mergeCell ref="BV139:BX139"/>
    <mergeCell ref="BY139:CA139"/>
    <mergeCell ref="CB139:CD139"/>
    <mergeCell ref="DC121:DE121"/>
    <mergeCell ref="DF121:DH121"/>
    <mergeCell ref="B137:I137"/>
    <mergeCell ref="A139:A140"/>
    <mergeCell ref="D139:E140"/>
    <mergeCell ref="F139:F140"/>
    <mergeCell ref="G139:H140"/>
    <mergeCell ref="I139:I140"/>
    <mergeCell ref="J139:J140"/>
    <mergeCell ref="K139:M139"/>
    <mergeCell ref="N139:P139"/>
    <mergeCell ref="Q139:S139"/>
    <mergeCell ref="T139:V139"/>
    <mergeCell ref="W139:Y139"/>
    <mergeCell ref="Z139:AB139"/>
    <mergeCell ref="AC139:AE139"/>
    <mergeCell ref="AF139:AH139"/>
    <mergeCell ref="AI139:AK139"/>
    <mergeCell ref="AL139:AN139"/>
    <mergeCell ref="AO139:AQ139"/>
    <mergeCell ref="AR139:AT139"/>
    <mergeCell ref="AU139:AW139"/>
    <mergeCell ref="AX139:AZ139"/>
    <mergeCell ref="BA139:BC139"/>
    <mergeCell ref="CB121:CD121"/>
    <mergeCell ref="CE121:CG121"/>
    <mergeCell ref="CH121:CJ121"/>
    <mergeCell ref="CK121:CM121"/>
    <mergeCell ref="CN121:CP121"/>
    <mergeCell ref="CQ121:CS121"/>
    <mergeCell ref="CT121:CV121"/>
    <mergeCell ref="CW121:CY121"/>
    <mergeCell ref="CZ121:DB121"/>
    <mergeCell ref="BA121:BC121"/>
    <mergeCell ref="BD121:BF121"/>
    <mergeCell ref="BG121:BI121"/>
    <mergeCell ref="BJ121:BL121"/>
    <mergeCell ref="BM121:BO121"/>
    <mergeCell ref="BP121:BR121"/>
    <mergeCell ref="BS121:BU121"/>
    <mergeCell ref="BV121:BX121"/>
    <mergeCell ref="BY121:CA121"/>
    <mergeCell ref="CZ93:DB93"/>
    <mergeCell ref="DC93:DE93"/>
    <mergeCell ref="DF93:DH93"/>
    <mergeCell ref="A119:J119"/>
    <mergeCell ref="A121:A122"/>
    <mergeCell ref="D121:E122"/>
    <mergeCell ref="F121:F122"/>
    <mergeCell ref="G121:H122"/>
    <mergeCell ref="I121:I122"/>
    <mergeCell ref="J121:J122"/>
    <mergeCell ref="K121:M121"/>
    <mergeCell ref="N121:P121"/>
    <mergeCell ref="Q121:S121"/>
    <mergeCell ref="T121:V121"/>
    <mergeCell ref="W121:Y121"/>
    <mergeCell ref="Z121:AB121"/>
    <mergeCell ref="AC121:AE121"/>
    <mergeCell ref="AF121:AH121"/>
    <mergeCell ref="AI121:AK121"/>
    <mergeCell ref="AL121:AN121"/>
    <mergeCell ref="AO121:AQ121"/>
    <mergeCell ref="AR121:AT121"/>
    <mergeCell ref="AU121:AW121"/>
    <mergeCell ref="AX121:AZ121"/>
    <mergeCell ref="BY93:CA93"/>
    <mergeCell ref="CB93:CD93"/>
    <mergeCell ref="CE93:CG93"/>
    <mergeCell ref="CH93:CJ93"/>
    <mergeCell ref="CK93:CM93"/>
    <mergeCell ref="CN93:CP93"/>
    <mergeCell ref="CQ93:CS93"/>
    <mergeCell ref="CT93:CV93"/>
    <mergeCell ref="CW93:CY93"/>
    <mergeCell ref="AX93:AZ93"/>
    <mergeCell ref="BA93:BC93"/>
    <mergeCell ref="BD93:BF93"/>
    <mergeCell ref="BG93:BI93"/>
    <mergeCell ref="BJ93:BL93"/>
    <mergeCell ref="BM93:BO93"/>
    <mergeCell ref="BP93:BR93"/>
    <mergeCell ref="BS93:BU93"/>
    <mergeCell ref="BV93:BX93"/>
    <mergeCell ref="CW75:CY75"/>
    <mergeCell ref="CZ75:DB75"/>
    <mergeCell ref="DC75:DE75"/>
    <mergeCell ref="DF75:DH75"/>
    <mergeCell ref="A91:E91"/>
    <mergeCell ref="A93:A94"/>
    <mergeCell ref="D93:E94"/>
    <mergeCell ref="F93:F94"/>
    <mergeCell ref="G93:H94"/>
    <mergeCell ref="I93:I94"/>
    <mergeCell ref="J93:J94"/>
    <mergeCell ref="K93:M93"/>
    <mergeCell ref="N93:P93"/>
    <mergeCell ref="Q93:S93"/>
    <mergeCell ref="T93:V93"/>
    <mergeCell ref="W93:Y93"/>
    <mergeCell ref="Z93:AB93"/>
    <mergeCell ref="AC93:AE93"/>
    <mergeCell ref="AF93:AH93"/>
    <mergeCell ref="AI93:AK93"/>
    <mergeCell ref="AL93:AN93"/>
    <mergeCell ref="AO93:AQ93"/>
    <mergeCell ref="AR93:AT93"/>
    <mergeCell ref="AU93:AW93"/>
    <mergeCell ref="BV75:BX75"/>
    <mergeCell ref="BY75:CA75"/>
    <mergeCell ref="CB75:CD75"/>
    <mergeCell ref="CE75:CG75"/>
    <mergeCell ref="CH75:CJ75"/>
    <mergeCell ref="CK75:CM75"/>
    <mergeCell ref="CN75:CP75"/>
    <mergeCell ref="CQ75:CS75"/>
    <mergeCell ref="CT75:CV75"/>
    <mergeCell ref="AU75:AW75"/>
    <mergeCell ref="AX75:AZ75"/>
    <mergeCell ref="BA75:BC75"/>
    <mergeCell ref="BD75:BF75"/>
    <mergeCell ref="BG75:BI75"/>
    <mergeCell ref="BJ75:BL75"/>
    <mergeCell ref="BM75:BO75"/>
    <mergeCell ref="BP75:BR75"/>
    <mergeCell ref="BS75:BU75"/>
    <mergeCell ref="T75:V75"/>
    <mergeCell ref="W75:Y75"/>
    <mergeCell ref="Z75:AB75"/>
    <mergeCell ref="AC75:AE75"/>
    <mergeCell ref="AF75:AH75"/>
    <mergeCell ref="AI75:AK75"/>
    <mergeCell ref="AL75:AN75"/>
    <mergeCell ref="AO75:AQ75"/>
    <mergeCell ref="AR75:AT75"/>
    <mergeCell ref="A74:E74"/>
    <mergeCell ref="D75:E76"/>
    <mergeCell ref="F75:F76"/>
    <mergeCell ref="G75:H76"/>
    <mergeCell ref="I75:I76"/>
    <mergeCell ref="J75:J76"/>
    <mergeCell ref="K75:M75"/>
    <mergeCell ref="N75:P75"/>
    <mergeCell ref="Q75:S75"/>
    <mergeCell ref="T3:V3"/>
    <mergeCell ref="W3:Y3"/>
    <mergeCell ref="Z3:AB3"/>
    <mergeCell ref="AC3:AE3"/>
    <mergeCell ref="AF3:AH3"/>
    <mergeCell ref="AI3:AK3"/>
    <mergeCell ref="AL3:AN3"/>
    <mergeCell ref="AO3:AQ3"/>
    <mergeCell ref="A2:E2"/>
    <mergeCell ref="D3:E4"/>
    <mergeCell ref="F3:F4"/>
    <mergeCell ref="G3:H4"/>
    <mergeCell ref="I3:I4"/>
    <mergeCell ref="J3:J4"/>
    <mergeCell ref="K3:M3"/>
    <mergeCell ref="N3:P3"/>
    <mergeCell ref="Q3:S3"/>
    <mergeCell ref="BP3:BR3"/>
    <mergeCell ref="BS3:BU3"/>
    <mergeCell ref="BV3:BX3"/>
    <mergeCell ref="BY3:CA3"/>
    <mergeCell ref="CB3:CD3"/>
    <mergeCell ref="CE3:CG3"/>
    <mergeCell ref="CH3:CJ3"/>
    <mergeCell ref="CK3:CM3"/>
    <mergeCell ref="CN3:CP3"/>
    <mergeCell ref="AR21:AT21"/>
    <mergeCell ref="AU21:AW21"/>
    <mergeCell ref="AX21:AZ21"/>
    <mergeCell ref="BA21:BC21"/>
    <mergeCell ref="BD21:BF21"/>
    <mergeCell ref="BG21:BI21"/>
    <mergeCell ref="BJ21:BL21"/>
    <mergeCell ref="BM21:BO21"/>
    <mergeCell ref="AR3:AT3"/>
    <mergeCell ref="AU3:AW3"/>
    <mergeCell ref="AX3:AZ3"/>
    <mergeCell ref="BA3:BC3"/>
    <mergeCell ref="BD3:BF3"/>
    <mergeCell ref="BG3:BI3"/>
    <mergeCell ref="BJ3:BL3"/>
    <mergeCell ref="BM3:BO3"/>
    <mergeCell ref="CQ3:CS3"/>
    <mergeCell ref="CT3:CV3"/>
    <mergeCell ref="CW3:CY3"/>
    <mergeCell ref="CZ3:DB3"/>
    <mergeCell ref="DC3:DE3"/>
    <mergeCell ref="DF3:DH3"/>
    <mergeCell ref="A19:E19"/>
    <mergeCell ref="A21:A22"/>
    <mergeCell ref="D21:E22"/>
    <mergeCell ref="F21:F22"/>
    <mergeCell ref="G21:H22"/>
    <mergeCell ref="I21:I22"/>
    <mergeCell ref="J21:J22"/>
    <mergeCell ref="K21:M21"/>
    <mergeCell ref="N21:P21"/>
    <mergeCell ref="Q21:S21"/>
    <mergeCell ref="T21:V21"/>
    <mergeCell ref="W21:Y21"/>
    <mergeCell ref="Z21:AB21"/>
    <mergeCell ref="AC21:AE21"/>
    <mergeCell ref="AF21:AH21"/>
    <mergeCell ref="AI21:AK21"/>
    <mergeCell ref="AL21:AN21"/>
    <mergeCell ref="AO21:AQ21"/>
    <mergeCell ref="CN21:CP21"/>
    <mergeCell ref="CQ21:CS21"/>
    <mergeCell ref="CT21:CV21"/>
    <mergeCell ref="CW21:CY21"/>
    <mergeCell ref="CZ21:DB21"/>
    <mergeCell ref="DC21:DE21"/>
    <mergeCell ref="DF21:DH21"/>
    <mergeCell ref="A47:J47"/>
    <mergeCell ref="A49:A50"/>
    <mergeCell ref="D49:E50"/>
    <mergeCell ref="F49:F50"/>
    <mergeCell ref="G49:H50"/>
    <mergeCell ref="I49:I50"/>
    <mergeCell ref="J49:J50"/>
    <mergeCell ref="K49:M49"/>
    <mergeCell ref="N49:P49"/>
    <mergeCell ref="Q49:S49"/>
    <mergeCell ref="T49:V49"/>
    <mergeCell ref="W49:Y49"/>
    <mergeCell ref="Z49:AB49"/>
    <mergeCell ref="AC49:AE49"/>
    <mergeCell ref="AF49:AH49"/>
    <mergeCell ref="AI49:AK49"/>
    <mergeCell ref="AL49:AN49"/>
    <mergeCell ref="BM67:BO67"/>
    <mergeCell ref="BP21:BR21"/>
    <mergeCell ref="BS21:BU21"/>
    <mergeCell ref="BV21:BX21"/>
    <mergeCell ref="BY21:CA21"/>
    <mergeCell ref="CB21:CD21"/>
    <mergeCell ref="CE21:CG21"/>
    <mergeCell ref="CH21:CJ21"/>
    <mergeCell ref="CK21:CM21"/>
    <mergeCell ref="BP49:BR49"/>
    <mergeCell ref="BS49:BU49"/>
    <mergeCell ref="BV49:BX49"/>
    <mergeCell ref="BY49:CA49"/>
    <mergeCell ref="CB49:CD49"/>
    <mergeCell ref="CE49:CG49"/>
    <mergeCell ref="CH49:CJ49"/>
    <mergeCell ref="CK49:CM49"/>
    <mergeCell ref="AU67:AW67"/>
    <mergeCell ref="AX67:AZ67"/>
    <mergeCell ref="BA67:BC67"/>
    <mergeCell ref="BD67:BF67"/>
    <mergeCell ref="BG67:BI67"/>
    <mergeCell ref="BJ67:BL67"/>
    <mergeCell ref="AO49:AQ49"/>
    <mergeCell ref="AR49:AT49"/>
    <mergeCell ref="AU49:AW49"/>
    <mergeCell ref="AX49:AZ49"/>
    <mergeCell ref="BA49:BC49"/>
    <mergeCell ref="BD49:BF49"/>
    <mergeCell ref="BG49:BI49"/>
    <mergeCell ref="BJ49:BL49"/>
    <mergeCell ref="T67:V67"/>
    <mergeCell ref="W67:Y67"/>
    <mergeCell ref="Z67:AB67"/>
    <mergeCell ref="AC67:AE67"/>
    <mergeCell ref="AF67:AH67"/>
    <mergeCell ref="AI67:AK67"/>
    <mergeCell ref="AL67:AN67"/>
    <mergeCell ref="AO67:AQ67"/>
    <mergeCell ref="AR67:AT67"/>
    <mergeCell ref="A67:A68"/>
    <mergeCell ref="D67:E68"/>
    <mergeCell ref="F67:F68"/>
    <mergeCell ref="G67:H68"/>
    <mergeCell ref="I67:I68"/>
    <mergeCell ref="J67:J68"/>
    <mergeCell ref="K67:M67"/>
    <mergeCell ref="N67:P67"/>
    <mergeCell ref="Q67:S67"/>
    <mergeCell ref="B65:I65"/>
    <mergeCell ref="BM49:BO49"/>
    <mergeCell ref="CQ67:CS67"/>
    <mergeCell ref="CT67:CV67"/>
    <mergeCell ref="CW67:CY67"/>
    <mergeCell ref="CZ67:DB67"/>
    <mergeCell ref="DC67:DE67"/>
    <mergeCell ref="DF67:DH67"/>
    <mergeCell ref="CN49:CP49"/>
    <mergeCell ref="CQ49:CS49"/>
    <mergeCell ref="CT49:CV49"/>
    <mergeCell ref="CW49:CY49"/>
    <mergeCell ref="CZ49:DB49"/>
    <mergeCell ref="DC49:DE49"/>
    <mergeCell ref="DF49:DH49"/>
    <mergeCell ref="BP67:BR67"/>
    <mergeCell ref="BS67:BU67"/>
    <mergeCell ref="BV67:BX67"/>
    <mergeCell ref="BY67:CA67"/>
    <mergeCell ref="CB67:CD67"/>
    <mergeCell ref="CE67:CG67"/>
    <mergeCell ref="CH67:CJ67"/>
    <mergeCell ref="CK67:CM67"/>
    <mergeCell ref="CN67:CP67"/>
    <mergeCell ref="A145:E145"/>
    <mergeCell ref="D146:E147"/>
    <mergeCell ref="F146:F147"/>
    <mergeCell ref="G146:H147"/>
    <mergeCell ref="I146:I147"/>
    <mergeCell ref="J146:J147"/>
    <mergeCell ref="K146:M146"/>
    <mergeCell ref="N146:P146"/>
    <mergeCell ref="Q146:S146"/>
    <mergeCell ref="T146:V146"/>
    <mergeCell ref="W146:Y146"/>
    <mergeCell ref="Z146:AB146"/>
    <mergeCell ref="AC146:AE146"/>
    <mergeCell ref="AF146:AH146"/>
    <mergeCell ref="AI146:AK146"/>
    <mergeCell ref="AL146:AN146"/>
    <mergeCell ref="AO146:AQ146"/>
    <mergeCell ref="AR146:AT146"/>
    <mergeCell ref="AU146:AW146"/>
    <mergeCell ref="AX146:AZ146"/>
    <mergeCell ref="BA146:BC146"/>
    <mergeCell ref="BD146:BF146"/>
    <mergeCell ref="BG146:BI146"/>
    <mergeCell ref="BJ146:BL146"/>
    <mergeCell ref="BM146:BO146"/>
    <mergeCell ref="BP146:BR146"/>
    <mergeCell ref="BS146:BU146"/>
    <mergeCell ref="BV146:BX146"/>
    <mergeCell ref="BY146:CA146"/>
    <mergeCell ref="CB146:CD146"/>
    <mergeCell ref="CE146:CG146"/>
    <mergeCell ref="CH146:CJ146"/>
    <mergeCell ref="CK146:CM146"/>
    <mergeCell ref="CN146:CP146"/>
    <mergeCell ref="CQ146:CS146"/>
    <mergeCell ref="CT146:CV146"/>
    <mergeCell ref="CW146:CY146"/>
    <mergeCell ref="CZ146:DB146"/>
    <mergeCell ref="DC146:DE146"/>
    <mergeCell ref="DF146:DH146"/>
    <mergeCell ref="A162:E162"/>
    <mergeCell ref="A164:A165"/>
    <mergeCell ref="D164:E165"/>
    <mergeCell ref="F164:F165"/>
    <mergeCell ref="G164:H165"/>
    <mergeCell ref="I164:I165"/>
    <mergeCell ref="J164:J165"/>
    <mergeCell ref="K164:M164"/>
    <mergeCell ref="N164:P164"/>
    <mergeCell ref="Q164:S164"/>
    <mergeCell ref="T164:V164"/>
    <mergeCell ref="W164:Y164"/>
    <mergeCell ref="Z164:AB164"/>
    <mergeCell ref="AC164:AE164"/>
    <mergeCell ref="AF164:AH164"/>
    <mergeCell ref="AI164:AK164"/>
    <mergeCell ref="AL164:AN164"/>
    <mergeCell ref="AO164:AQ164"/>
    <mergeCell ref="AR164:AT164"/>
    <mergeCell ref="AU164:AW164"/>
    <mergeCell ref="AX164:AZ164"/>
    <mergeCell ref="BA164:BC164"/>
    <mergeCell ref="BD164:BF164"/>
    <mergeCell ref="BG164:BI164"/>
    <mergeCell ref="BJ164:BL164"/>
    <mergeCell ref="BM164:BO164"/>
    <mergeCell ref="BP164:BR164"/>
    <mergeCell ref="BS164:BU164"/>
    <mergeCell ref="BV164:BX164"/>
    <mergeCell ref="BY164:CA164"/>
    <mergeCell ref="CB164:CD164"/>
    <mergeCell ref="CE164:CG164"/>
    <mergeCell ref="CH164:CJ164"/>
    <mergeCell ref="CK164:CM164"/>
    <mergeCell ref="CN164:CP164"/>
    <mergeCell ref="CQ164:CS164"/>
    <mergeCell ref="CT164:CV164"/>
    <mergeCell ref="CW164:CY164"/>
    <mergeCell ref="CZ164:DB164"/>
    <mergeCell ref="DC164:DE164"/>
    <mergeCell ref="DF164:DH164"/>
    <mergeCell ref="A190:J190"/>
    <mergeCell ref="A192:A193"/>
    <mergeCell ref="D192:E193"/>
    <mergeCell ref="F192:F193"/>
    <mergeCell ref="G192:H193"/>
    <mergeCell ref="I192:I193"/>
    <mergeCell ref="J192:J193"/>
    <mergeCell ref="K192:M192"/>
    <mergeCell ref="N192:P192"/>
    <mergeCell ref="Q192:S192"/>
    <mergeCell ref="T192:V192"/>
    <mergeCell ref="W192:Y192"/>
    <mergeCell ref="Z192:AB192"/>
    <mergeCell ref="AC192:AE192"/>
    <mergeCell ref="AF192:AH192"/>
    <mergeCell ref="AI192:AK192"/>
    <mergeCell ref="AL192:AN192"/>
    <mergeCell ref="AO192:AQ192"/>
    <mergeCell ref="AR192:AT192"/>
    <mergeCell ref="AU192:AW192"/>
    <mergeCell ref="AX192:AZ192"/>
    <mergeCell ref="BA192:BC192"/>
    <mergeCell ref="BD192:BF192"/>
    <mergeCell ref="BG192:BI192"/>
    <mergeCell ref="BJ192:BL192"/>
    <mergeCell ref="BM192:BO192"/>
    <mergeCell ref="BP192:BR192"/>
    <mergeCell ref="BS192:BU192"/>
    <mergeCell ref="BV192:BX192"/>
    <mergeCell ref="BY192:CA192"/>
    <mergeCell ref="CB192:CD192"/>
    <mergeCell ref="CE192:CG192"/>
    <mergeCell ref="CH192:CJ192"/>
    <mergeCell ref="CK192:CM192"/>
    <mergeCell ref="CN192:CP192"/>
    <mergeCell ref="CQ192:CS192"/>
    <mergeCell ref="CT192:CV192"/>
    <mergeCell ref="CW192:CY192"/>
    <mergeCell ref="CZ192:DB192"/>
    <mergeCell ref="DC192:DE192"/>
    <mergeCell ref="DF192:DH192"/>
    <mergeCell ref="B208:I208"/>
    <mergeCell ref="A210:A211"/>
    <mergeCell ref="D210:E211"/>
    <mergeCell ref="F210:F211"/>
    <mergeCell ref="G210:H211"/>
    <mergeCell ref="I210:I211"/>
    <mergeCell ref="J210:J211"/>
    <mergeCell ref="K210:M210"/>
    <mergeCell ref="N210:P210"/>
    <mergeCell ref="Q210:S210"/>
    <mergeCell ref="T210:V210"/>
    <mergeCell ref="W210:Y210"/>
    <mergeCell ref="Z210:AB210"/>
    <mergeCell ref="AC210:AE210"/>
    <mergeCell ref="AF210:AH210"/>
    <mergeCell ref="AI210:AK210"/>
    <mergeCell ref="AL210:AN210"/>
    <mergeCell ref="AO210:AQ210"/>
    <mergeCell ref="AR210:AT210"/>
    <mergeCell ref="AU210:AW210"/>
    <mergeCell ref="AX210:AZ210"/>
    <mergeCell ref="BA210:BC210"/>
    <mergeCell ref="BD210:BF210"/>
    <mergeCell ref="BG210:BI210"/>
    <mergeCell ref="BJ210:BL210"/>
    <mergeCell ref="BM210:BO210"/>
    <mergeCell ref="BP210:BR210"/>
    <mergeCell ref="BS210:BU210"/>
    <mergeCell ref="BV210:BX210"/>
    <mergeCell ref="BY210:CA210"/>
    <mergeCell ref="CB210:CD210"/>
    <mergeCell ref="DF210:DH210"/>
    <mergeCell ref="CE210:CG210"/>
    <mergeCell ref="CH210:CJ210"/>
    <mergeCell ref="CK210:CM210"/>
    <mergeCell ref="CN210:CP210"/>
    <mergeCell ref="CQ210:CS210"/>
    <mergeCell ref="CT210:CV210"/>
    <mergeCell ref="CW210:CY210"/>
    <mergeCell ref="CZ210:DB210"/>
    <mergeCell ref="DC210:DE210"/>
  </mergeCells>
  <phoneticPr fontId="19" type="noConversion"/>
  <conditionalFormatting sqref="B45:C45 C46:D46">
    <cfRule type="duplicateValues" dxfId="20" priority="90"/>
    <cfRule type="duplicateValues" dxfId="19" priority="91"/>
  </conditionalFormatting>
  <conditionalFormatting sqref="B69:C69">
    <cfRule type="duplicateValues" dxfId="18" priority="12"/>
  </conditionalFormatting>
  <conditionalFormatting sqref="B117:C117 C118:D118">
    <cfRule type="duplicateValues" dxfId="17" priority="9"/>
    <cfRule type="duplicateValues" dxfId="16" priority="10"/>
  </conditionalFormatting>
  <conditionalFormatting sqref="B141:C141">
    <cfRule type="duplicateValues" dxfId="15" priority="7"/>
  </conditionalFormatting>
  <conditionalFormatting sqref="B188:C188 C189:D189">
    <cfRule type="duplicateValues" dxfId="14" priority="4"/>
    <cfRule type="duplicateValues" dxfId="13" priority="5"/>
  </conditionalFormatting>
  <conditionalFormatting sqref="B212:C212">
    <cfRule type="duplicateValues" dxfId="12" priority="2"/>
  </conditionalFormatting>
  <conditionalFormatting sqref="B69:D69">
    <cfRule type="duplicateValues" dxfId="11" priority="13"/>
  </conditionalFormatting>
  <conditionalFormatting sqref="B141:D141">
    <cfRule type="duplicateValues" dxfId="10" priority="8"/>
  </conditionalFormatting>
  <conditionalFormatting sqref="B212:D212">
    <cfRule type="duplicateValues" dxfId="9" priority="3"/>
  </conditionalFormatting>
  <conditionalFormatting sqref="D69">
    <cfRule type="duplicateValues" dxfId="8" priority="11"/>
  </conditionalFormatting>
  <conditionalFormatting sqref="D141">
    <cfRule type="duplicateValues" dxfId="7" priority="6"/>
  </conditionalFormatting>
  <conditionalFormatting sqref="D212">
    <cfRule type="duplicateValues" dxfId="6" priority="1"/>
  </conditionalFormatting>
  <pageMargins left="0.25" right="0.25" top="0.25" bottom="0.25" header="0.3" footer="0.3"/>
  <pageSetup paperSize="5" scale="8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1CD35-1B69-439E-B274-23C01AE1DCFE}">
  <sheetPr>
    <tabColor rgb="FF92D050"/>
  </sheetPr>
  <dimension ref="A1:ED96"/>
  <sheetViews>
    <sheetView tabSelected="1" zoomScale="106" zoomScaleNormal="106" workbookViewId="0">
      <pane xSplit="2" ySplit="4" topLeftCell="C7" activePane="bottomRight" state="frozen"/>
      <selection activeCell="M343" sqref="M343"/>
      <selection pane="topRight" activeCell="M343" sqref="M343"/>
      <selection pane="bottomLeft" activeCell="M343" sqref="M343"/>
      <selection pane="bottomRight" activeCell="AA17" activeCellId="3" sqref="AA90:AB90 AA70:AB70 AA39:AB39 AA17:AB17"/>
    </sheetView>
  </sheetViews>
  <sheetFormatPr defaultColWidth="12.7109375" defaultRowHeight="18" x14ac:dyDescent="0.25"/>
  <cols>
    <col min="1" max="1" width="6.85546875" style="212" bestFit="1" customWidth="1"/>
    <col min="2" max="2" width="30.42578125" style="212" bestFit="1" customWidth="1"/>
    <col min="3" max="3" width="17.85546875" style="212" customWidth="1"/>
    <col min="4" max="4" width="11.140625" style="212" customWidth="1"/>
    <col min="5" max="5" width="14" style="212" customWidth="1"/>
    <col min="6" max="6" width="11.140625" style="212" customWidth="1"/>
    <col min="7" max="7" width="8.140625" style="212" customWidth="1"/>
    <col min="8" max="8" width="8.140625" style="213" customWidth="1"/>
    <col min="9" max="9" width="15.5703125" style="213" customWidth="1"/>
    <col min="10" max="10" width="8.42578125" style="213" customWidth="1"/>
    <col min="11" max="11" width="9.140625" style="213" customWidth="1"/>
    <col min="12" max="14" width="8.140625" style="213" customWidth="1"/>
    <col min="15" max="16" width="8.140625" style="212" customWidth="1"/>
    <col min="17" max="17" width="8.140625" style="213" customWidth="1"/>
    <col min="18" max="18" width="11.140625" style="213" customWidth="1"/>
    <col min="19" max="19" width="8.140625" style="213" customWidth="1"/>
    <col min="20" max="20" width="11.28515625" style="213" customWidth="1"/>
    <col min="21" max="21" width="10.42578125" style="212" customWidth="1"/>
    <col min="22" max="22" width="9.42578125" style="212" customWidth="1"/>
    <col min="23" max="25" width="8.42578125" style="213" customWidth="1"/>
    <col min="26" max="26" width="7.85546875" style="213" customWidth="1"/>
    <col min="27" max="27" width="8.7109375" style="212" customWidth="1"/>
    <col min="28" max="28" width="8.42578125" style="212" bestFit="1" customWidth="1"/>
    <col min="29" max="29" width="8.42578125" style="212" customWidth="1"/>
    <col min="30" max="32" width="8.42578125" style="212" hidden="1" customWidth="1"/>
    <col min="33" max="34" width="8.42578125" style="212" customWidth="1"/>
    <col min="35" max="35" width="6.42578125" style="212" customWidth="1"/>
    <col min="36" max="37" width="8.42578125" style="212" customWidth="1"/>
    <col min="38" max="38" width="6.85546875" style="212" customWidth="1"/>
    <col min="39" max="39" width="12.7109375" style="212" customWidth="1"/>
    <col min="40" max="40" width="7.42578125" style="212" hidden="1" customWidth="1"/>
    <col min="41" max="41" width="8.7109375" style="212" hidden="1" customWidth="1"/>
    <col min="42" max="43" width="6" style="212" hidden="1" customWidth="1"/>
    <col min="44" max="44" width="4.5703125" style="212" hidden="1" customWidth="1"/>
    <col min="45" max="45" width="6" style="212" hidden="1" customWidth="1"/>
    <col min="46" max="46" width="4.5703125" style="212" hidden="1" customWidth="1"/>
    <col min="47" max="47" width="6" style="212" hidden="1" customWidth="1"/>
    <col min="48" max="48" width="4.5703125" style="212" hidden="1" customWidth="1"/>
    <col min="49" max="49" width="6" style="212" hidden="1" customWidth="1"/>
    <col min="50" max="50" width="8.7109375" style="212" hidden="1" customWidth="1"/>
    <col min="51" max="52" width="6" style="212" hidden="1" customWidth="1"/>
    <col min="53" max="53" width="4.5703125" style="212" hidden="1" customWidth="1"/>
    <col min="54" max="54" width="6" style="212" hidden="1" customWidth="1"/>
    <col min="55" max="55" width="4.5703125" style="212" hidden="1" customWidth="1"/>
    <col min="56" max="56" width="6" style="212" hidden="1" customWidth="1"/>
    <col min="57" max="57" width="4.5703125" style="212" hidden="1" customWidth="1"/>
    <col min="58" max="58" width="6" style="212" hidden="1" customWidth="1"/>
    <col min="59" max="59" width="8.7109375" style="212" hidden="1" customWidth="1"/>
    <col min="60" max="61" width="6" style="212" hidden="1" customWidth="1"/>
    <col min="62" max="62" width="4.5703125" style="212" hidden="1" customWidth="1"/>
    <col min="63" max="63" width="6" style="212" hidden="1" customWidth="1"/>
    <col min="64" max="64" width="4.5703125" style="212" hidden="1" customWidth="1"/>
    <col min="65" max="65" width="6" style="212" hidden="1" customWidth="1"/>
    <col min="66" max="66" width="4.5703125" style="212" hidden="1" customWidth="1"/>
    <col min="67" max="67" width="6" style="212" hidden="1" customWidth="1"/>
    <col min="68" max="68" width="6.28515625" style="212" hidden="1" customWidth="1"/>
    <col min="69" max="70" width="6" style="212" hidden="1" customWidth="1"/>
    <col min="71" max="71" width="0" style="212" hidden="1" customWidth="1"/>
    <col min="72" max="72" width="7.42578125" style="212" hidden="1" customWidth="1"/>
    <col min="73" max="73" width="8.7109375" style="212" hidden="1" customWidth="1"/>
    <col min="74" max="75" width="6" style="212" hidden="1" customWidth="1"/>
    <col min="76" max="76" width="4.5703125" style="212" hidden="1" customWidth="1"/>
    <col min="77" max="77" width="6" style="212" hidden="1" customWidth="1"/>
    <col min="78" max="78" width="4.5703125" style="212" hidden="1" customWidth="1"/>
    <col min="79" max="79" width="6" style="212" hidden="1" customWidth="1"/>
    <col min="80" max="80" width="4.5703125" style="212" hidden="1" customWidth="1"/>
    <col min="81" max="81" width="6" style="212" hidden="1" customWidth="1"/>
    <col min="82" max="82" width="8.7109375" style="212" hidden="1" customWidth="1"/>
    <col min="83" max="84" width="6" style="212" hidden="1" customWidth="1"/>
    <col min="85" max="85" width="4.5703125" style="212" hidden="1" customWidth="1"/>
    <col min="86" max="86" width="6" style="212" hidden="1" customWidth="1"/>
    <col min="87" max="87" width="4.5703125" style="212" hidden="1" customWidth="1"/>
    <col min="88" max="88" width="6" style="212" hidden="1" customWidth="1"/>
    <col min="89" max="89" width="4.5703125" style="212" hidden="1" customWidth="1"/>
    <col min="90" max="90" width="6" style="212" hidden="1" customWidth="1"/>
    <col min="91" max="91" width="8.7109375" style="212" hidden="1" customWidth="1"/>
    <col min="92" max="93" width="6" style="212" hidden="1" customWidth="1"/>
    <col min="94" max="94" width="4.5703125" style="212" hidden="1" customWidth="1"/>
    <col min="95" max="95" width="6" style="212" hidden="1" customWidth="1"/>
    <col min="96" max="96" width="4.5703125" style="212" hidden="1" customWidth="1"/>
    <col min="97" max="97" width="6" style="212" hidden="1" customWidth="1"/>
    <col min="98" max="98" width="4.5703125" style="212" hidden="1" customWidth="1"/>
    <col min="99" max="99" width="6" style="212" hidden="1" customWidth="1"/>
    <col min="100" max="100" width="6.28515625" style="212" hidden="1" customWidth="1"/>
    <col min="101" max="102" width="6" style="212" hidden="1" customWidth="1"/>
    <col min="103" max="103" width="0" style="212" hidden="1" customWidth="1"/>
    <col min="104" max="104" width="7.28515625" style="212" hidden="1" customWidth="1"/>
    <col min="105" max="105" width="8.7109375" style="212" hidden="1" customWidth="1"/>
    <col min="106" max="107" width="6" style="212" hidden="1" customWidth="1"/>
    <col min="108" max="108" width="4.5703125" style="212" hidden="1" customWidth="1"/>
    <col min="109" max="109" width="6" style="212" hidden="1" customWidth="1"/>
    <col min="110" max="110" width="4.5703125" style="212" hidden="1" customWidth="1"/>
    <col min="111" max="111" width="6" style="212" hidden="1" customWidth="1"/>
    <col min="112" max="112" width="4.5703125" style="212" hidden="1" customWidth="1"/>
    <col min="113" max="113" width="6" style="212" hidden="1" customWidth="1"/>
    <col min="114" max="114" width="8.7109375" style="212" hidden="1" customWidth="1"/>
    <col min="115" max="116" width="6" style="212" hidden="1" customWidth="1"/>
    <col min="117" max="117" width="4.5703125" style="212" hidden="1" customWidth="1"/>
    <col min="118" max="118" width="6" style="212" hidden="1" customWidth="1"/>
    <col min="119" max="119" width="4.5703125" style="212" hidden="1" customWidth="1"/>
    <col min="120" max="120" width="6" style="212" hidden="1" customWidth="1"/>
    <col min="121" max="121" width="4.5703125" style="212" hidden="1" customWidth="1"/>
    <col min="122" max="122" width="6" style="212" hidden="1" customWidth="1"/>
    <col min="123" max="123" width="8.7109375" style="212" hidden="1" customWidth="1"/>
    <col min="124" max="125" width="6" style="212" hidden="1" customWidth="1"/>
    <col min="126" max="126" width="4.5703125" style="212" hidden="1" customWidth="1"/>
    <col min="127" max="127" width="6" style="212" hidden="1" customWidth="1"/>
    <col min="128" max="128" width="4.5703125" style="212" hidden="1" customWidth="1"/>
    <col min="129" max="129" width="6" style="212" hidden="1" customWidth="1"/>
    <col min="130" max="130" width="4.5703125" style="212" hidden="1" customWidth="1"/>
    <col min="131" max="131" width="6" style="212" hidden="1" customWidth="1"/>
    <col min="132" max="132" width="6.28515625" style="212" hidden="1" customWidth="1"/>
    <col min="133" max="134" width="6" style="212" hidden="1" customWidth="1"/>
    <col min="135" max="16384" width="12.7109375" style="212"/>
  </cols>
  <sheetData>
    <row r="1" spans="1:134" ht="28.9" customHeight="1" x14ac:dyDescent="0.25">
      <c r="I1" s="431" t="s">
        <v>347</v>
      </c>
      <c r="J1" s="461" t="s">
        <v>346</v>
      </c>
      <c r="K1" s="462"/>
      <c r="L1" s="463"/>
      <c r="M1" s="464" t="s">
        <v>345</v>
      </c>
      <c r="N1" s="465"/>
      <c r="O1" s="466"/>
      <c r="P1" s="467" t="s">
        <v>344</v>
      </c>
      <c r="Q1" s="468"/>
      <c r="R1" s="469"/>
      <c r="S1" s="470" t="s">
        <v>343</v>
      </c>
      <c r="T1" s="471"/>
      <c r="U1" s="472"/>
      <c r="V1" s="473" t="s">
        <v>462</v>
      </c>
      <c r="W1" s="212"/>
      <c r="X1" s="212"/>
      <c r="Y1" s="212"/>
      <c r="Z1" s="212"/>
    </row>
    <row r="2" spans="1:134" s="213" customFormat="1" ht="23.1" customHeight="1" x14ac:dyDescent="0.25">
      <c r="E2" s="457"/>
      <c r="F2" s="457"/>
      <c r="G2" s="212"/>
      <c r="H2" s="212"/>
      <c r="I2" s="431"/>
      <c r="J2" s="216" t="s">
        <v>341</v>
      </c>
      <c r="K2" s="217" t="s">
        <v>340</v>
      </c>
      <c r="L2" s="218" t="s">
        <v>120</v>
      </c>
      <c r="M2" s="283" t="s">
        <v>339</v>
      </c>
      <c r="N2" s="284" t="s">
        <v>338</v>
      </c>
      <c r="O2" s="285" t="s">
        <v>337</v>
      </c>
      <c r="P2" s="219" t="s">
        <v>336</v>
      </c>
      <c r="Q2" s="220" t="s">
        <v>335</v>
      </c>
      <c r="R2" s="286" t="s">
        <v>334</v>
      </c>
      <c r="S2" s="287" t="s">
        <v>391</v>
      </c>
      <c r="T2" s="288" t="s">
        <v>333</v>
      </c>
      <c r="U2" s="289" t="s">
        <v>332</v>
      </c>
      <c r="V2" s="473"/>
    </row>
    <row r="3" spans="1:134" s="213" customFormat="1" ht="23.1" customHeight="1" x14ac:dyDescent="0.25">
      <c r="E3" s="215"/>
      <c r="F3" s="215"/>
      <c r="G3" s="212"/>
      <c r="H3" s="212"/>
      <c r="I3" s="221" t="s">
        <v>361</v>
      </c>
      <c r="J3" s="290">
        <v>350249.09762003837</v>
      </c>
      <c r="K3" s="290">
        <v>350249.09762003837</v>
      </c>
      <c r="L3" s="371">
        <v>350249.09762003837</v>
      </c>
      <c r="M3" s="291">
        <v>323306.85934157379</v>
      </c>
      <c r="N3" s="292">
        <v>323306.85934157379</v>
      </c>
      <c r="O3" s="293">
        <v>323306.85934157379</v>
      </c>
      <c r="P3" s="294">
        <v>336777.97848080611</v>
      </c>
      <c r="Q3" s="295">
        <v>336777.97848080611</v>
      </c>
      <c r="R3" s="296">
        <v>336777.97848080611</v>
      </c>
      <c r="S3" s="297">
        <v>336777.97848080611</v>
      </c>
      <c r="T3" s="298">
        <v>336777.97848080611</v>
      </c>
      <c r="U3" s="299">
        <v>336777.97848080611</v>
      </c>
      <c r="V3" s="300">
        <f>SUM(J3:U3)</f>
        <v>4041335.7417696733</v>
      </c>
    </row>
    <row r="4" spans="1:134" s="213" customFormat="1" ht="23.1" customHeight="1" x14ac:dyDescent="0.25">
      <c r="E4" s="215"/>
      <c r="F4" s="215"/>
      <c r="G4" s="212"/>
      <c r="H4" s="212"/>
      <c r="I4" s="222" t="s">
        <v>362</v>
      </c>
      <c r="J4" s="301">
        <v>261295.08069599999</v>
      </c>
      <c r="K4" s="301">
        <v>261295.08069599999</v>
      </c>
      <c r="L4" s="372">
        <v>261295.08069599999</v>
      </c>
      <c r="M4" s="302">
        <v>241195.45910399992</v>
      </c>
      <c r="N4" s="303">
        <v>241195.45910399992</v>
      </c>
      <c r="O4" s="304">
        <v>241195.45910399992</v>
      </c>
      <c r="P4" s="305">
        <v>251245.26989999996</v>
      </c>
      <c r="Q4" s="306">
        <v>251245.26989999996</v>
      </c>
      <c r="R4" s="307">
        <v>251245.26989999996</v>
      </c>
      <c r="S4" s="308">
        <v>251245.26989999996</v>
      </c>
      <c r="T4" s="309">
        <v>251245.26989999996</v>
      </c>
      <c r="U4" s="310">
        <v>251245.26989999996</v>
      </c>
      <c r="V4" s="311">
        <f>SUM(J4:U4)</f>
        <v>3014943.2387999985</v>
      </c>
    </row>
    <row r="5" spans="1:134" ht="23.1" customHeight="1" x14ac:dyDescent="0.25">
      <c r="D5" s="223"/>
      <c r="E5" s="224"/>
      <c r="F5" s="225"/>
      <c r="H5" s="312">
        <v>0.75027824459773496</v>
      </c>
      <c r="I5" s="226" t="s">
        <v>328</v>
      </c>
      <c r="J5" s="313">
        <f>+O35</f>
        <v>209394</v>
      </c>
      <c r="K5" s="313">
        <f>+X35</f>
        <v>209092</v>
      </c>
      <c r="L5" s="314">
        <f>+AG35</f>
        <v>166192</v>
      </c>
      <c r="M5" s="315">
        <f>+AU35</f>
        <v>0</v>
      </c>
      <c r="N5" s="316">
        <f>+BD35</f>
        <v>0</v>
      </c>
      <c r="O5" s="317">
        <f>BM35</f>
        <v>0</v>
      </c>
      <c r="P5" s="318">
        <f>+CA35</f>
        <v>0</v>
      </c>
      <c r="Q5" s="319">
        <f>+CJ35</f>
        <v>0</v>
      </c>
      <c r="R5" s="319">
        <f>+CS35</f>
        <v>0</v>
      </c>
      <c r="S5" s="320">
        <f>+DG35</f>
        <v>0</v>
      </c>
      <c r="T5" s="321">
        <f>+DP35</f>
        <v>0</v>
      </c>
      <c r="U5" s="321">
        <f>+DY35</f>
        <v>0</v>
      </c>
      <c r="V5" s="322">
        <f>SUM(J5:U5)</f>
        <v>584678</v>
      </c>
      <c r="W5" s="212"/>
      <c r="X5" s="212"/>
      <c r="Y5" s="212"/>
      <c r="Z5" s="212"/>
    </row>
    <row r="6" spans="1:134" ht="23.1" customHeight="1" x14ac:dyDescent="0.25">
      <c r="D6" s="223"/>
      <c r="E6" s="224"/>
      <c r="F6" s="225"/>
      <c r="H6" s="312">
        <v>0.16624610581166799</v>
      </c>
      <c r="I6" s="226" t="s">
        <v>327</v>
      </c>
      <c r="J6" s="313">
        <f>+O65</f>
        <v>45078</v>
      </c>
      <c r="K6" s="313">
        <f>+X65</f>
        <v>43254</v>
      </c>
      <c r="L6" s="314">
        <f>+AG65</f>
        <v>60358</v>
      </c>
      <c r="M6" s="315">
        <f>+AU65</f>
        <v>0</v>
      </c>
      <c r="N6" s="316">
        <f>+BD65</f>
        <v>0</v>
      </c>
      <c r="O6" s="317">
        <f>BM65</f>
        <v>0</v>
      </c>
      <c r="P6" s="318">
        <f>+CA65</f>
        <v>0</v>
      </c>
      <c r="Q6" s="319">
        <f>+CJ65</f>
        <v>0</v>
      </c>
      <c r="R6" s="319">
        <f>+CS65</f>
        <v>0</v>
      </c>
      <c r="S6" s="320">
        <f>+DG65</f>
        <v>0</v>
      </c>
      <c r="T6" s="321">
        <f>+DP65</f>
        <v>0</v>
      </c>
      <c r="U6" s="321">
        <f>+DY65</f>
        <v>0</v>
      </c>
      <c r="V6" s="322">
        <f t="shared" ref="V6:V8" si="0">SUM(J6:U6)</f>
        <v>148690</v>
      </c>
      <c r="W6" s="212"/>
      <c r="X6" s="212"/>
      <c r="Y6" s="212"/>
      <c r="Z6" s="212"/>
    </row>
    <row r="7" spans="1:134" ht="23.1" customHeight="1" x14ac:dyDescent="0.25">
      <c r="D7" s="223"/>
      <c r="E7" s="224"/>
      <c r="F7" s="225"/>
      <c r="H7" s="312">
        <v>3.7669226302699803E-2</v>
      </c>
      <c r="I7" s="226" t="s">
        <v>326</v>
      </c>
      <c r="J7" s="313">
        <f>+O86</f>
        <v>11242</v>
      </c>
      <c r="K7" s="313">
        <f>+X86</f>
        <v>8236</v>
      </c>
      <c r="L7" s="314">
        <f>+AG86</f>
        <v>11306</v>
      </c>
      <c r="M7" s="315">
        <f>+AU86</f>
        <v>0</v>
      </c>
      <c r="N7" s="316">
        <f>+BD86</f>
        <v>0</v>
      </c>
      <c r="O7" s="317">
        <f>BM86</f>
        <v>0</v>
      </c>
      <c r="P7" s="318">
        <f>+CA86</f>
        <v>0</v>
      </c>
      <c r="Q7" s="319">
        <f>+CJ86</f>
        <v>0</v>
      </c>
      <c r="R7" s="319">
        <f>+CS86</f>
        <v>0</v>
      </c>
      <c r="S7" s="320">
        <f>+DG86</f>
        <v>0</v>
      </c>
      <c r="T7" s="321">
        <f>+DP86</f>
        <v>0</v>
      </c>
      <c r="U7" s="321">
        <f>+DY86</f>
        <v>0</v>
      </c>
      <c r="V7" s="322">
        <f t="shared" si="0"/>
        <v>30784</v>
      </c>
      <c r="W7" s="212"/>
      <c r="X7" s="212"/>
      <c r="Y7" s="212"/>
      <c r="Z7" s="212"/>
    </row>
    <row r="8" spans="1:134" ht="23.1" customHeight="1" x14ac:dyDescent="0.25">
      <c r="D8" s="223"/>
      <c r="E8" s="224"/>
      <c r="F8" s="225"/>
      <c r="H8" s="312">
        <v>4.5806423287897503E-2</v>
      </c>
      <c r="I8" s="226" t="s">
        <v>121</v>
      </c>
      <c r="J8" s="313">
        <f>+O93</f>
        <v>33461</v>
      </c>
      <c r="K8" s="313">
        <f>+X93</f>
        <v>25317</v>
      </c>
      <c r="L8" s="314">
        <f>+AG93</f>
        <v>31645</v>
      </c>
      <c r="M8" s="315">
        <f>+AU93</f>
        <v>0</v>
      </c>
      <c r="N8" s="316">
        <f>+BD93</f>
        <v>0</v>
      </c>
      <c r="O8" s="317">
        <f>BM93</f>
        <v>0</v>
      </c>
      <c r="P8" s="318">
        <f>+CA93</f>
        <v>0</v>
      </c>
      <c r="Q8" s="319">
        <f>+CJ93</f>
        <v>0</v>
      </c>
      <c r="R8" s="319">
        <f>+CS93</f>
        <v>0</v>
      </c>
      <c r="S8" s="320">
        <f>+DG93</f>
        <v>0</v>
      </c>
      <c r="T8" s="321">
        <f>+DP93</f>
        <v>0</v>
      </c>
      <c r="U8" s="321">
        <f>+DY93</f>
        <v>0</v>
      </c>
      <c r="V8" s="322">
        <f t="shared" si="0"/>
        <v>90423</v>
      </c>
      <c r="W8" s="212"/>
      <c r="X8" s="212"/>
      <c r="Y8" s="212"/>
      <c r="Z8" s="212"/>
    </row>
    <row r="9" spans="1:134" ht="23.1" customHeight="1" x14ac:dyDescent="0.25">
      <c r="D9" s="223"/>
      <c r="E9" s="224"/>
      <c r="F9" s="225"/>
      <c r="H9" s="212"/>
      <c r="I9" s="221" t="s">
        <v>363</v>
      </c>
      <c r="J9" s="290">
        <f>SUM(J5:J8)</f>
        <v>299175</v>
      </c>
      <c r="K9" s="323">
        <f>SUM(K5:K8)</f>
        <v>285899</v>
      </c>
      <c r="L9" s="324">
        <f>SUM(L5:L8)</f>
        <v>269501</v>
      </c>
      <c r="M9" s="368">
        <f t="shared" ref="M9:V9" si="1">SUM(M5:M8)</f>
        <v>0</v>
      </c>
      <c r="N9" s="325">
        <f t="shared" si="1"/>
        <v>0</v>
      </c>
      <c r="O9" s="326">
        <f t="shared" si="1"/>
        <v>0</v>
      </c>
      <c r="P9" s="294">
        <f t="shared" si="1"/>
        <v>0</v>
      </c>
      <c r="Q9" s="295">
        <f t="shared" si="1"/>
        <v>0</v>
      </c>
      <c r="R9" s="295">
        <f t="shared" si="1"/>
        <v>0</v>
      </c>
      <c r="S9" s="297">
        <f t="shared" si="1"/>
        <v>0</v>
      </c>
      <c r="T9" s="298">
        <f t="shared" si="1"/>
        <v>0</v>
      </c>
      <c r="U9" s="299">
        <f t="shared" si="1"/>
        <v>0</v>
      </c>
      <c r="V9" s="327">
        <f t="shared" si="1"/>
        <v>854575</v>
      </c>
      <c r="W9" s="212"/>
      <c r="X9" s="212"/>
      <c r="Y9" s="212"/>
      <c r="Z9" s="212"/>
    </row>
    <row r="10" spans="1:134" ht="23.1" customHeight="1" x14ac:dyDescent="0.25">
      <c r="D10" s="223"/>
      <c r="E10" s="224"/>
      <c r="F10" s="225"/>
      <c r="H10" s="212"/>
      <c r="I10" s="222" t="s">
        <v>364</v>
      </c>
      <c r="J10" s="301">
        <f>+P35+P65+P86+P93</f>
        <v>233525.94999999998</v>
      </c>
      <c r="K10" s="328">
        <f>+Y35+Y65+Y86+Y93</f>
        <v>221678.61</v>
      </c>
      <c r="L10" s="329">
        <f>+AH93+AH86+AH65+AH35</f>
        <v>214103.73</v>
      </c>
      <c r="M10" s="330">
        <f>+AV35+AV65+AV86+AV93</f>
        <v>0</v>
      </c>
      <c r="N10" s="331">
        <f>+BE35+BE65+BE86+BE93</f>
        <v>0</v>
      </c>
      <c r="O10" s="332">
        <f>BN35+BN65+BN86+BN93</f>
        <v>0</v>
      </c>
      <c r="P10" s="305">
        <f>+CB35+CB65+CB86+CB93</f>
        <v>0</v>
      </c>
      <c r="Q10" s="306">
        <f>+CK35+CK65+CK86+CK93</f>
        <v>0</v>
      </c>
      <c r="R10" s="306">
        <f>+CT35+CT65+CT86+CT93</f>
        <v>0</v>
      </c>
      <c r="S10" s="308">
        <f>+DH35+DH65+DH86+DH93</f>
        <v>0</v>
      </c>
      <c r="T10" s="309">
        <f>+DQ35+DQ65+DQ86+DQ93</f>
        <v>0</v>
      </c>
      <c r="U10" s="309">
        <f>+DZ35+DZ65+DZ86+DZ93</f>
        <v>0</v>
      </c>
      <c r="V10" s="311">
        <f>SUM(J10:U10)</f>
        <v>669308.28999999992</v>
      </c>
      <c r="W10" s="212"/>
      <c r="X10" s="212"/>
      <c r="Y10" s="212"/>
      <c r="Z10" s="212"/>
    </row>
    <row r="11" spans="1:134" ht="23.1" customHeight="1" x14ac:dyDescent="0.25">
      <c r="D11" s="227"/>
      <c r="E11" s="227"/>
      <c r="F11" s="227"/>
      <c r="H11" s="212"/>
      <c r="I11" s="221" t="s">
        <v>365</v>
      </c>
      <c r="J11" s="228">
        <f t="shared" ref="J11:U12" si="2">+J9/J3</f>
        <v>0.85417778955866086</v>
      </c>
      <c r="K11" s="229">
        <f t="shared" si="2"/>
        <v>0.81627333786924572</v>
      </c>
      <c r="L11" s="230">
        <f t="shared" si="2"/>
        <v>0.76945523009559169</v>
      </c>
      <c r="M11" s="369">
        <f t="shared" si="2"/>
        <v>0</v>
      </c>
      <c r="N11" s="333">
        <f t="shared" si="2"/>
        <v>0</v>
      </c>
      <c r="O11" s="334">
        <f t="shared" si="2"/>
        <v>0</v>
      </c>
      <c r="P11" s="335">
        <f t="shared" si="2"/>
        <v>0</v>
      </c>
      <c r="Q11" s="336">
        <f t="shared" si="2"/>
        <v>0</v>
      </c>
      <c r="R11" s="337">
        <f t="shared" si="2"/>
        <v>0</v>
      </c>
      <c r="S11" s="338">
        <f t="shared" si="2"/>
        <v>0</v>
      </c>
      <c r="T11" s="339">
        <f t="shared" si="2"/>
        <v>0</v>
      </c>
      <c r="U11" s="340">
        <f t="shared" si="2"/>
        <v>0</v>
      </c>
      <c r="V11" s="341">
        <f t="shared" ref="V11:V12" si="3">IFERROR((V9/V3),0)</f>
        <v>0.21145855098536986</v>
      </c>
      <c r="W11" s="212"/>
      <c r="X11" s="212"/>
      <c r="Y11" s="212"/>
      <c r="Z11" s="212"/>
    </row>
    <row r="12" spans="1:134" ht="23.1" customHeight="1" thickBot="1" x14ac:dyDescent="0.3">
      <c r="D12" s="227"/>
      <c r="E12" s="227"/>
      <c r="F12" s="227"/>
      <c r="I12" s="222" t="s">
        <v>366</v>
      </c>
      <c r="J12" s="231">
        <f t="shared" si="2"/>
        <v>0.89372501532737392</v>
      </c>
      <c r="K12" s="232">
        <f t="shared" si="2"/>
        <v>0.84838416938246453</v>
      </c>
      <c r="L12" s="233">
        <f t="shared" si="2"/>
        <v>0.81939441580645722</v>
      </c>
      <c r="M12" s="370">
        <f t="shared" si="2"/>
        <v>0</v>
      </c>
      <c r="N12" s="342">
        <f t="shared" si="2"/>
        <v>0</v>
      </c>
      <c r="O12" s="343">
        <f t="shared" si="2"/>
        <v>0</v>
      </c>
      <c r="P12" s="344">
        <f t="shared" si="2"/>
        <v>0</v>
      </c>
      <c r="Q12" s="345">
        <f t="shared" si="2"/>
        <v>0</v>
      </c>
      <c r="R12" s="346">
        <f t="shared" si="2"/>
        <v>0</v>
      </c>
      <c r="S12" s="347">
        <f t="shared" si="2"/>
        <v>0</v>
      </c>
      <c r="T12" s="348">
        <f t="shared" si="2"/>
        <v>0</v>
      </c>
      <c r="U12" s="349">
        <f t="shared" si="2"/>
        <v>0</v>
      </c>
      <c r="V12" s="350">
        <f t="shared" si="3"/>
        <v>0.22199697871141236</v>
      </c>
      <c r="W12" s="212"/>
      <c r="X12" s="212"/>
      <c r="Y12" s="212"/>
      <c r="Z12" s="212"/>
    </row>
    <row r="13" spans="1:134" ht="23.1" customHeight="1" x14ac:dyDescent="0.25">
      <c r="D13" s="227"/>
      <c r="E13" s="227"/>
      <c r="F13" s="227"/>
    </row>
    <row r="14" spans="1:134" ht="23.1" customHeight="1" thickBot="1" x14ac:dyDescent="0.3">
      <c r="D14" s="227"/>
      <c r="E14" s="227"/>
      <c r="F14" s="227"/>
      <c r="I14" s="213">
        <f>+I17+I39+I70+I90-J4</f>
        <v>0</v>
      </c>
      <c r="R14" s="213">
        <f>+R17+R39+R70+R90-J4</f>
        <v>0</v>
      </c>
      <c r="AA14" s="213">
        <f>+AA17+AA39+AA70+AA90-J4</f>
        <v>0</v>
      </c>
      <c r="AO14" s="213">
        <f>+AO17+AO39+AO70+AO90-M3</f>
        <v>-323306.85934157379</v>
      </c>
      <c r="AX14" s="213">
        <f>+AX17+AX39+AX70+AX90-N3</f>
        <v>-323306.85934157379</v>
      </c>
      <c r="BG14" s="213">
        <f>+BG17+BG39+BG70+BG90-O3</f>
        <v>-323306.85934157379</v>
      </c>
      <c r="BU14" s="213">
        <f>+BU17+BU39+BU70+BU90-P3</f>
        <v>-336777.97848080611</v>
      </c>
      <c r="CD14" s="213">
        <f>+CD17+CD39+CD70+CD90-Q3</f>
        <v>-336777.97848080611</v>
      </c>
      <c r="CM14" s="213">
        <f>+CM17+CM39+CM70+CM90-R3</f>
        <v>-336777.97848080611</v>
      </c>
      <c r="DA14" s="213">
        <f>+DA17+DA39+DA70+DA90-S3</f>
        <v>-336777.97848080611</v>
      </c>
      <c r="DJ14" s="213">
        <f>+DJ17+DJ39+DJ70+DJ90-T3</f>
        <v>-336777.97848080611</v>
      </c>
      <c r="DS14" s="213">
        <f>+DS17+DS39+DS70+DS90-U3</f>
        <v>-336777.97848080611</v>
      </c>
    </row>
    <row r="15" spans="1:134" ht="23.1" customHeight="1" thickBot="1" x14ac:dyDescent="0.3">
      <c r="D15" s="227"/>
      <c r="E15" s="227"/>
      <c r="F15" s="227"/>
      <c r="I15" s="458" t="s">
        <v>314</v>
      </c>
      <c r="J15" s="459"/>
      <c r="K15" s="459"/>
      <c r="L15" s="459"/>
      <c r="M15" s="459"/>
      <c r="N15" s="459"/>
      <c r="O15" s="459"/>
      <c r="P15" s="459"/>
      <c r="Q15" s="459"/>
      <c r="R15" s="459"/>
      <c r="S15" s="459"/>
      <c r="T15" s="459"/>
      <c r="U15" s="459"/>
      <c r="V15" s="459"/>
      <c r="W15" s="459"/>
      <c r="X15" s="459"/>
      <c r="Y15" s="459"/>
      <c r="Z15" s="459"/>
      <c r="AA15" s="459"/>
      <c r="AB15" s="459"/>
      <c r="AC15" s="459"/>
      <c r="AD15" s="459"/>
      <c r="AE15" s="459"/>
      <c r="AF15" s="459"/>
      <c r="AG15" s="459"/>
      <c r="AH15" s="459"/>
      <c r="AI15" s="459"/>
      <c r="AJ15" s="459"/>
      <c r="AK15" s="459"/>
      <c r="AL15" s="460"/>
      <c r="AN15" s="213"/>
      <c r="AO15" s="433" t="s">
        <v>371</v>
      </c>
      <c r="AP15" s="434"/>
      <c r="AQ15" s="434"/>
      <c r="AR15" s="434"/>
      <c r="AS15" s="434"/>
      <c r="AT15" s="434"/>
      <c r="AU15" s="434"/>
      <c r="AV15" s="434"/>
      <c r="AW15" s="434"/>
      <c r="AX15" s="434"/>
      <c r="AY15" s="434"/>
      <c r="AZ15" s="434"/>
      <c r="BA15" s="434"/>
      <c r="BB15" s="434"/>
      <c r="BC15" s="434"/>
      <c r="BD15" s="434"/>
      <c r="BE15" s="434"/>
      <c r="BF15" s="434"/>
      <c r="BG15" s="434"/>
      <c r="BH15" s="434"/>
      <c r="BI15" s="434"/>
      <c r="BJ15" s="434"/>
      <c r="BK15" s="434"/>
      <c r="BL15" s="434"/>
      <c r="BM15" s="434"/>
      <c r="BN15" s="434"/>
      <c r="BO15" s="434"/>
      <c r="BP15" s="434"/>
      <c r="BQ15" s="434"/>
      <c r="BR15" s="435"/>
      <c r="BT15" s="213"/>
      <c r="BU15" s="433" t="s">
        <v>372</v>
      </c>
      <c r="BV15" s="434"/>
      <c r="BW15" s="434"/>
      <c r="BX15" s="434"/>
      <c r="BY15" s="434"/>
      <c r="BZ15" s="434"/>
      <c r="CA15" s="434"/>
      <c r="CB15" s="434"/>
      <c r="CC15" s="434"/>
      <c r="CD15" s="434"/>
      <c r="CE15" s="434"/>
      <c r="CF15" s="434"/>
      <c r="CG15" s="434"/>
      <c r="CH15" s="434"/>
      <c r="CI15" s="434"/>
      <c r="CJ15" s="434"/>
      <c r="CK15" s="434"/>
      <c r="CL15" s="434"/>
      <c r="CM15" s="434"/>
      <c r="CN15" s="434"/>
      <c r="CO15" s="434"/>
      <c r="CP15" s="434"/>
      <c r="CQ15" s="434"/>
      <c r="CR15" s="434"/>
      <c r="CS15" s="434"/>
      <c r="CT15" s="434"/>
      <c r="CU15" s="434"/>
      <c r="CV15" s="434"/>
      <c r="CW15" s="434"/>
      <c r="CX15" s="435"/>
      <c r="CY15" s="351"/>
      <c r="CZ15" s="351"/>
      <c r="DA15" s="433" t="s">
        <v>373</v>
      </c>
      <c r="DB15" s="434"/>
      <c r="DC15" s="434"/>
      <c r="DD15" s="434"/>
      <c r="DE15" s="434"/>
      <c r="DF15" s="434"/>
      <c r="DG15" s="434"/>
      <c r="DH15" s="434"/>
      <c r="DI15" s="434"/>
      <c r="DJ15" s="434"/>
      <c r="DK15" s="434"/>
      <c r="DL15" s="434"/>
      <c r="DM15" s="434"/>
      <c r="DN15" s="434"/>
      <c r="DO15" s="434"/>
      <c r="DP15" s="434"/>
      <c r="DQ15" s="434"/>
      <c r="DR15" s="434"/>
      <c r="DS15" s="434"/>
      <c r="DT15" s="434"/>
      <c r="DU15" s="434"/>
      <c r="DV15" s="434"/>
      <c r="DW15" s="434"/>
      <c r="DX15" s="434"/>
      <c r="DY15" s="434"/>
      <c r="DZ15" s="434"/>
      <c r="EA15" s="434"/>
      <c r="EB15" s="434"/>
      <c r="EC15" s="434"/>
      <c r="ED15" s="435"/>
    </row>
    <row r="16" spans="1:134" ht="25.15" customHeight="1" x14ac:dyDescent="0.25">
      <c r="A16" s="213"/>
      <c r="B16" s="234" t="s">
        <v>325</v>
      </c>
      <c r="C16" s="213"/>
      <c r="D16" s="213"/>
      <c r="E16" s="213"/>
      <c r="F16" s="213"/>
      <c r="I16" s="425">
        <v>46023</v>
      </c>
      <c r="J16" s="426"/>
      <c r="K16" s="426"/>
      <c r="L16" s="426"/>
      <c r="M16" s="426"/>
      <c r="N16" s="426"/>
      <c r="O16" s="426"/>
      <c r="P16" s="426"/>
      <c r="Q16" s="427"/>
      <c r="R16" s="425">
        <v>46054</v>
      </c>
      <c r="S16" s="426"/>
      <c r="T16" s="426"/>
      <c r="U16" s="426"/>
      <c r="V16" s="426"/>
      <c r="W16" s="426"/>
      <c r="X16" s="426"/>
      <c r="Y16" s="426"/>
      <c r="Z16" s="427"/>
      <c r="AA16" s="425">
        <v>46082</v>
      </c>
      <c r="AB16" s="426"/>
      <c r="AC16" s="426"/>
      <c r="AD16" s="426"/>
      <c r="AE16" s="426"/>
      <c r="AF16" s="426"/>
      <c r="AG16" s="426"/>
      <c r="AH16" s="426"/>
      <c r="AI16" s="427"/>
      <c r="AJ16" s="428" t="s">
        <v>160</v>
      </c>
      <c r="AK16" s="429"/>
      <c r="AL16" s="430"/>
      <c r="AN16" s="213"/>
      <c r="AO16" s="411">
        <v>46113</v>
      </c>
      <c r="AP16" s="412"/>
      <c r="AQ16" s="412"/>
      <c r="AR16" s="412"/>
      <c r="AS16" s="412"/>
      <c r="AT16" s="412"/>
      <c r="AU16" s="412"/>
      <c r="AV16" s="412"/>
      <c r="AW16" s="413"/>
      <c r="AX16" s="411">
        <v>46143</v>
      </c>
      <c r="AY16" s="412"/>
      <c r="AZ16" s="412"/>
      <c r="BA16" s="412"/>
      <c r="BB16" s="412"/>
      <c r="BC16" s="412"/>
      <c r="BD16" s="412"/>
      <c r="BE16" s="412"/>
      <c r="BF16" s="413"/>
      <c r="BG16" s="411">
        <v>46174</v>
      </c>
      <c r="BH16" s="412"/>
      <c r="BI16" s="412"/>
      <c r="BJ16" s="412"/>
      <c r="BK16" s="412"/>
      <c r="BL16" s="412"/>
      <c r="BM16" s="412"/>
      <c r="BN16" s="412"/>
      <c r="BO16" s="413"/>
      <c r="BP16" s="417" t="s">
        <v>374</v>
      </c>
      <c r="BQ16" s="418"/>
      <c r="BR16" s="419"/>
      <c r="BT16" s="213"/>
      <c r="BU16" s="411">
        <v>46204</v>
      </c>
      <c r="BV16" s="412"/>
      <c r="BW16" s="412"/>
      <c r="BX16" s="412"/>
      <c r="BY16" s="412"/>
      <c r="BZ16" s="412"/>
      <c r="CA16" s="412"/>
      <c r="CB16" s="412"/>
      <c r="CC16" s="413"/>
      <c r="CD16" s="411">
        <v>46235</v>
      </c>
      <c r="CE16" s="412"/>
      <c r="CF16" s="412"/>
      <c r="CG16" s="412"/>
      <c r="CH16" s="412"/>
      <c r="CI16" s="412"/>
      <c r="CJ16" s="412"/>
      <c r="CK16" s="412"/>
      <c r="CL16" s="413"/>
      <c r="CM16" s="411">
        <v>46266</v>
      </c>
      <c r="CN16" s="412"/>
      <c r="CO16" s="412"/>
      <c r="CP16" s="412"/>
      <c r="CQ16" s="412"/>
      <c r="CR16" s="412"/>
      <c r="CS16" s="412"/>
      <c r="CT16" s="412"/>
      <c r="CU16" s="413"/>
      <c r="CV16" s="417" t="s">
        <v>375</v>
      </c>
      <c r="CW16" s="418"/>
      <c r="CX16" s="419"/>
      <c r="CY16" s="355"/>
      <c r="CZ16" s="355"/>
      <c r="DA16" s="411">
        <v>46296</v>
      </c>
      <c r="DB16" s="412"/>
      <c r="DC16" s="412"/>
      <c r="DD16" s="412"/>
      <c r="DE16" s="412"/>
      <c r="DF16" s="412"/>
      <c r="DG16" s="412"/>
      <c r="DH16" s="412"/>
      <c r="DI16" s="413"/>
      <c r="DJ16" s="411">
        <v>46327</v>
      </c>
      <c r="DK16" s="412"/>
      <c r="DL16" s="412"/>
      <c r="DM16" s="412"/>
      <c r="DN16" s="412"/>
      <c r="DO16" s="412"/>
      <c r="DP16" s="412"/>
      <c r="DQ16" s="412"/>
      <c r="DR16" s="413"/>
      <c r="DS16" s="411">
        <v>46357</v>
      </c>
      <c r="DT16" s="412"/>
      <c r="DU16" s="412"/>
      <c r="DV16" s="412"/>
      <c r="DW16" s="412"/>
      <c r="DX16" s="412"/>
      <c r="DY16" s="412"/>
      <c r="DZ16" s="412"/>
      <c r="EA16" s="413"/>
      <c r="EB16" s="417" t="s">
        <v>446</v>
      </c>
      <c r="EC16" s="418"/>
      <c r="ED16" s="419"/>
    </row>
    <row r="17" spans="1:134" ht="25.15" customHeight="1" thickBot="1" x14ac:dyDescent="0.3">
      <c r="A17" s="213"/>
      <c r="B17" s="213"/>
      <c r="C17" s="213"/>
      <c r="D17" s="213"/>
      <c r="E17" s="213"/>
      <c r="F17" s="213"/>
      <c r="I17" s="447">
        <f>J4*H5</f>
        <v>196044.01446661836</v>
      </c>
      <c r="J17" s="448"/>
      <c r="K17" s="449">
        <v>10</v>
      </c>
      <c r="L17" s="450"/>
      <c r="M17" s="451">
        <v>20</v>
      </c>
      <c r="N17" s="451"/>
      <c r="O17" s="451">
        <v>30</v>
      </c>
      <c r="P17" s="451"/>
      <c r="Q17" s="237" t="s">
        <v>349</v>
      </c>
      <c r="R17" s="438">
        <f>J4*H5</f>
        <v>196044.01446661836</v>
      </c>
      <c r="S17" s="439"/>
      <c r="T17" s="455">
        <v>10</v>
      </c>
      <c r="U17" s="456"/>
      <c r="V17" s="441">
        <v>20</v>
      </c>
      <c r="W17" s="441"/>
      <c r="X17" s="441">
        <v>30</v>
      </c>
      <c r="Y17" s="441"/>
      <c r="Z17" s="238" t="s">
        <v>349</v>
      </c>
      <c r="AA17" s="438">
        <f>J4*H5</f>
        <v>196044.01446661836</v>
      </c>
      <c r="AB17" s="439"/>
      <c r="AC17" s="455">
        <v>10</v>
      </c>
      <c r="AD17" s="456"/>
      <c r="AE17" s="441">
        <v>20</v>
      </c>
      <c r="AF17" s="441"/>
      <c r="AG17" s="441">
        <v>30</v>
      </c>
      <c r="AH17" s="441"/>
      <c r="AI17" s="238" t="s">
        <v>349</v>
      </c>
      <c r="AJ17" s="239" t="s">
        <v>119</v>
      </c>
      <c r="AK17" s="240" t="s">
        <v>159</v>
      </c>
      <c r="AL17" s="241" t="s">
        <v>110</v>
      </c>
      <c r="AN17" s="213"/>
      <c r="AO17" s="415"/>
      <c r="AP17" s="416"/>
      <c r="AQ17" s="414">
        <v>10</v>
      </c>
      <c r="AR17" s="414"/>
      <c r="AS17" s="414">
        <v>20</v>
      </c>
      <c r="AT17" s="414"/>
      <c r="AU17" s="414">
        <v>30</v>
      </c>
      <c r="AV17" s="414"/>
      <c r="AW17" s="356" t="s">
        <v>110</v>
      </c>
      <c r="AX17" s="415"/>
      <c r="AY17" s="416"/>
      <c r="AZ17" s="414">
        <v>10</v>
      </c>
      <c r="BA17" s="414"/>
      <c r="BB17" s="414">
        <v>20</v>
      </c>
      <c r="BC17" s="414"/>
      <c r="BD17" s="414">
        <v>31</v>
      </c>
      <c r="BE17" s="414"/>
      <c r="BF17" s="356" t="s">
        <v>110</v>
      </c>
      <c r="BG17" s="415"/>
      <c r="BH17" s="416"/>
      <c r="BI17" s="414">
        <v>10</v>
      </c>
      <c r="BJ17" s="414"/>
      <c r="BK17" s="414">
        <v>20</v>
      </c>
      <c r="BL17" s="414"/>
      <c r="BM17" s="414">
        <v>30</v>
      </c>
      <c r="BN17" s="414"/>
      <c r="BO17" s="356" t="s">
        <v>110</v>
      </c>
      <c r="BP17" s="357" t="s">
        <v>119</v>
      </c>
      <c r="BQ17" s="358" t="s">
        <v>159</v>
      </c>
      <c r="BR17" s="359" t="s">
        <v>110</v>
      </c>
      <c r="BT17" s="213"/>
      <c r="BU17" s="408"/>
      <c r="BV17" s="409"/>
      <c r="BW17" s="407">
        <v>10</v>
      </c>
      <c r="BX17" s="407"/>
      <c r="BY17" s="407">
        <v>20</v>
      </c>
      <c r="BZ17" s="407"/>
      <c r="CA17" s="407">
        <v>30</v>
      </c>
      <c r="CB17" s="407"/>
      <c r="CC17" s="242" t="s">
        <v>110</v>
      </c>
      <c r="CD17" s="408"/>
      <c r="CE17" s="409"/>
      <c r="CF17" s="407">
        <v>10</v>
      </c>
      <c r="CG17" s="407"/>
      <c r="CH17" s="407">
        <v>20</v>
      </c>
      <c r="CI17" s="407"/>
      <c r="CJ17" s="407">
        <v>30</v>
      </c>
      <c r="CK17" s="407"/>
      <c r="CL17" s="242" t="s">
        <v>110</v>
      </c>
      <c r="CM17" s="408"/>
      <c r="CN17" s="409"/>
      <c r="CO17" s="407">
        <v>10</v>
      </c>
      <c r="CP17" s="407"/>
      <c r="CQ17" s="407">
        <v>20</v>
      </c>
      <c r="CR17" s="407"/>
      <c r="CS17" s="407">
        <v>30</v>
      </c>
      <c r="CT17" s="407"/>
      <c r="CU17" s="242" t="s">
        <v>110</v>
      </c>
      <c r="CV17" s="357" t="s">
        <v>119</v>
      </c>
      <c r="CW17" s="358" t="s">
        <v>159</v>
      </c>
      <c r="CX17" s="359" t="s">
        <v>110</v>
      </c>
      <c r="CY17" s="355"/>
      <c r="CZ17" s="355"/>
      <c r="DA17" s="408"/>
      <c r="DB17" s="409"/>
      <c r="DC17" s="407">
        <v>10</v>
      </c>
      <c r="DD17" s="407"/>
      <c r="DE17" s="407">
        <v>20</v>
      </c>
      <c r="DF17" s="407"/>
      <c r="DG17" s="407">
        <v>30</v>
      </c>
      <c r="DH17" s="407"/>
      <c r="DI17" s="242" t="s">
        <v>110</v>
      </c>
      <c r="DJ17" s="408"/>
      <c r="DK17" s="409"/>
      <c r="DL17" s="407">
        <v>10</v>
      </c>
      <c r="DM17" s="407"/>
      <c r="DN17" s="407">
        <v>20</v>
      </c>
      <c r="DO17" s="407"/>
      <c r="DP17" s="407">
        <v>30</v>
      </c>
      <c r="DQ17" s="407"/>
      <c r="DR17" s="242" t="s">
        <v>110</v>
      </c>
      <c r="DS17" s="408"/>
      <c r="DT17" s="409"/>
      <c r="DU17" s="407">
        <v>10</v>
      </c>
      <c r="DV17" s="407"/>
      <c r="DW17" s="407">
        <v>20</v>
      </c>
      <c r="DX17" s="407"/>
      <c r="DY17" s="407">
        <v>30</v>
      </c>
      <c r="DZ17" s="407"/>
      <c r="EA17" s="242" t="s">
        <v>110</v>
      </c>
      <c r="EB17" s="357" t="s">
        <v>119</v>
      </c>
      <c r="EC17" s="358" t="s">
        <v>159</v>
      </c>
      <c r="ED17" s="359" t="s">
        <v>110</v>
      </c>
    </row>
    <row r="18" spans="1:134" s="213" customFormat="1" ht="30" customHeight="1" x14ac:dyDescent="0.25">
      <c r="A18" s="243" t="s">
        <v>158</v>
      </c>
      <c r="B18" s="431" t="s">
        <v>312</v>
      </c>
      <c r="C18" s="432"/>
      <c r="D18" s="431" t="s">
        <v>311</v>
      </c>
      <c r="E18" s="432"/>
      <c r="F18" s="243" t="s">
        <v>310</v>
      </c>
      <c r="G18" s="243" t="s">
        <v>267</v>
      </c>
      <c r="H18" s="214" t="s">
        <v>266</v>
      </c>
      <c r="I18" s="235" t="s">
        <v>152</v>
      </c>
      <c r="J18" s="236" t="s">
        <v>348</v>
      </c>
      <c r="K18" s="236" t="s">
        <v>152</v>
      </c>
      <c r="L18" s="236" t="s">
        <v>348</v>
      </c>
      <c r="M18" s="236" t="s">
        <v>152</v>
      </c>
      <c r="N18" s="236" t="s">
        <v>348</v>
      </c>
      <c r="O18" s="236" t="s">
        <v>152</v>
      </c>
      <c r="P18" s="236" t="s">
        <v>348</v>
      </c>
      <c r="Q18" s="236" t="s">
        <v>348</v>
      </c>
      <c r="R18" s="235" t="s">
        <v>152</v>
      </c>
      <c r="S18" s="236" t="s">
        <v>348</v>
      </c>
      <c r="T18" s="245" t="s">
        <v>152</v>
      </c>
      <c r="U18" s="245" t="s">
        <v>348</v>
      </c>
      <c r="V18" s="245" t="s">
        <v>152</v>
      </c>
      <c r="W18" s="245" t="s">
        <v>348</v>
      </c>
      <c r="X18" s="245" t="s">
        <v>152</v>
      </c>
      <c r="Y18" s="245" t="s">
        <v>348</v>
      </c>
      <c r="Z18" s="236" t="s">
        <v>348</v>
      </c>
      <c r="AA18" s="235" t="s">
        <v>152</v>
      </c>
      <c r="AB18" s="236" t="s">
        <v>348</v>
      </c>
      <c r="AC18" s="245" t="s">
        <v>152</v>
      </c>
      <c r="AD18" s="245" t="s">
        <v>348</v>
      </c>
      <c r="AE18" s="245" t="s">
        <v>152</v>
      </c>
      <c r="AF18" s="245" t="s">
        <v>348</v>
      </c>
      <c r="AG18" s="245" t="s">
        <v>152</v>
      </c>
      <c r="AH18" s="245" t="s">
        <v>348</v>
      </c>
      <c r="AI18" s="236" t="s">
        <v>348</v>
      </c>
      <c r="AJ18" s="244" t="s">
        <v>348</v>
      </c>
      <c r="AK18" s="245" t="s">
        <v>348</v>
      </c>
      <c r="AL18" s="246"/>
      <c r="AM18" s="212"/>
      <c r="AN18" s="243" t="s">
        <v>267</v>
      </c>
      <c r="AO18" s="352" t="s">
        <v>265</v>
      </c>
      <c r="AP18" s="353" t="s">
        <v>152</v>
      </c>
      <c r="AQ18" s="353" t="s">
        <v>152</v>
      </c>
      <c r="AR18" s="353" t="s">
        <v>376</v>
      </c>
      <c r="AS18" s="353" t="s">
        <v>152</v>
      </c>
      <c r="AT18" s="353" t="s">
        <v>376</v>
      </c>
      <c r="AU18" s="353" t="s">
        <v>152</v>
      </c>
      <c r="AV18" s="353" t="s">
        <v>376</v>
      </c>
      <c r="AW18" s="354" t="s">
        <v>152</v>
      </c>
      <c r="AX18" s="352" t="s">
        <v>265</v>
      </c>
      <c r="AY18" s="353" t="s">
        <v>152</v>
      </c>
      <c r="AZ18" s="353" t="s">
        <v>152</v>
      </c>
      <c r="BA18" s="353" t="s">
        <v>376</v>
      </c>
      <c r="BB18" s="353" t="s">
        <v>152</v>
      </c>
      <c r="BC18" s="353" t="s">
        <v>376</v>
      </c>
      <c r="BD18" s="353" t="s">
        <v>152</v>
      </c>
      <c r="BE18" s="353" t="s">
        <v>376</v>
      </c>
      <c r="BF18" s="354" t="s">
        <v>152</v>
      </c>
      <c r="BG18" s="352" t="s">
        <v>265</v>
      </c>
      <c r="BH18" s="353" t="s">
        <v>152</v>
      </c>
      <c r="BI18" s="353" t="s">
        <v>152</v>
      </c>
      <c r="BJ18" s="353" t="s">
        <v>376</v>
      </c>
      <c r="BK18" s="353" t="s">
        <v>152</v>
      </c>
      <c r="BL18" s="353" t="s">
        <v>376</v>
      </c>
      <c r="BM18" s="353" t="s">
        <v>152</v>
      </c>
      <c r="BN18" s="353" t="s">
        <v>376</v>
      </c>
      <c r="BO18" s="354" t="s">
        <v>152</v>
      </c>
      <c r="BP18" s="352" t="s">
        <v>152</v>
      </c>
      <c r="BQ18" s="353" t="s">
        <v>152</v>
      </c>
      <c r="BR18" s="354" t="s">
        <v>152</v>
      </c>
      <c r="BT18" s="243" t="s">
        <v>267</v>
      </c>
      <c r="BU18" s="352" t="s">
        <v>265</v>
      </c>
      <c r="BV18" s="353" t="s">
        <v>152</v>
      </c>
      <c r="BW18" s="353" t="s">
        <v>152</v>
      </c>
      <c r="BX18" s="353" t="s">
        <v>376</v>
      </c>
      <c r="BY18" s="353" t="s">
        <v>152</v>
      </c>
      <c r="BZ18" s="353" t="s">
        <v>376</v>
      </c>
      <c r="CA18" s="353" t="s">
        <v>152</v>
      </c>
      <c r="CB18" s="353" t="s">
        <v>376</v>
      </c>
      <c r="CC18" s="354" t="s">
        <v>152</v>
      </c>
      <c r="CD18" s="352" t="s">
        <v>265</v>
      </c>
      <c r="CE18" s="353" t="s">
        <v>152</v>
      </c>
      <c r="CF18" s="353" t="s">
        <v>152</v>
      </c>
      <c r="CG18" s="353" t="s">
        <v>376</v>
      </c>
      <c r="CH18" s="353" t="s">
        <v>152</v>
      </c>
      <c r="CI18" s="353" t="s">
        <v>376</v>
      </c>
      <c r="CJ18" s="353" t="s">
        <v>152</v>
      </c>
      <c r="CK18" s="353" t="s">
        <v>376</v>
      </c>
      <c r="CL18" s="354" t="s">
        <v>152</v>
      </c>
      <c r="CM18" s="352" t="s">
        <v>265</v>
      </c>
      <c r="CN18" s="353" t="s">
        <v>152</v>
      </c>
      <c r="CO18" s="353" t="s">
        <v>152</v>
      </c>
      <c r="CP18" s="353" t="s">
        <v>376</v>
      </c>
      <c r="CQ18" s="353" t="s">
        <v>152</v>
      </c>
      <c r="CR18" s="353" t="s">
        <v>376</v>
      </c>
      <c r="CS18" s="353" t="s">
        <v>152</v>
      </c>
      <c r="CT18" s="353" t="s">
        <v>376</v>
      </c>
      <c r="CU18" s="354" t="s">
        <v>152</v>
      </c>
      <c r="CV18" s="352" t="s">
        <v>152</v>
      </c>
      <c r="CW18" s="353" t="s">
        <v>152</v>
      </c>
      <c r="CX18" s="354" t="s">
        <v>152</v>
      </c>
      <c r="CY18" s="360"/>
      <c r="CZ18" s="361" t="s">
        <v>267</v>
      </c>
      <c r="DA18" s="352" t="s">
        <v>265</v>
      </c>
      <c r="DB18" s="353" t="s">
        <v>152</v>
      </c>
      <c r="DC18" s="353" t="s">
        <v>152</v>
      </c>
      <c r="DD18" s="353" t="s">
        <v>376</v>
      </c>
      <c r="DE18" s="353" t="s">
        <v>152</v>
      </c>
      <c r="DF18" s="353" t="s">
        <v>376</v>
      </c>
      <c r="DG18" s="353" t="s">
        <v>152</v>
      </c>
      <c r="DH18" s="353" t="s">
        <v>376</v>
      </c>
      <c r="DI18" s="354" t="s">
        <v>152</v>
      </c>
      <c r="DJ18" s="352" t="s">
        <v>265</v>
      </c>
      <c r="DK18" s="353" t="s">
        <v>152</v>
      </c>
      <c r="DL18" s="353" t="s">
        <v>152</v>
      </c>
      <c r="DM18" s="353" t="s">
        <v>376</v>
      </c>
      <c r="DN18" s="353" t="s">
        <v>152</v>
      </c>
      <c r="DO18" s="353" t="s">
        <v>376</v>
      </c>
      <c r="DP18" s="353" t="s">
        <v>152</v>
      </c>
      <c r="DQ18" s="353" t="s">
        <v>376</v>
      </c>
      <c r="DR18" s="354" t="s">
        <v>152</v>
      </c>
      <c r="DS18" s="352" t="s">
        <v>265</v>
      </c>
      <c r="DT18" s="353" t="s">
        <v>152</v>
      </c>
      <c r="DU18" s="353" t="s">
        <v>152</v>
      </c>
      <c r="DV18" s="353" t="s">
        <v>376</v>
      </c>
      <c r="DW18" s="353" t="s">
        <v>152</v>
      </c>
      <c r="DX18" s="353" t="s">
        <v>376</v>
      </c>
      <c r="DY18" s="353" t="s">
        <v>152</v>
      </c>
      <c r="DZ18" s="353" t="s">
        <v>376</v>
      </c>
      <c r="EA18" s="354" t="s">
        <v>152</v>
      </c>
      <c r="EB18" s="362" t="s">
        <v>152</v>
      </c>
      <c r="EC18" s="363" t="s">
        <v>152</v>
      </c>
      <c r="ED18" s="354" t="s">
        <v>152</v>
      </c>
    </row>
    <row r="19" spans="1:134" s="213" customFormat="1" ht="30" customHeight="1" x14ac:dyDescent="0.25">
      <c r="A19" s="247">
        <v>1</v>
      </c>
      <c r="B19" s="378" t="s">
        <v>81</v>
      </c>
      <c r="C19" s="248" t="s">
        <v>80</v>
      </c>
      <c r="D19" s="248" t="s">
        <v>28</v>
      </c>
      <c r="E19" s="249" t="s">
        <v>317</v>
      </c>
      <c r="F19" s="250" t="s">
        <v>5</v>
      </c>
      <c r="G19" s="364">
        <v>0.37131124974929502</v>
      </c>
      <c r="H19" s="214"/>
      <c r="I19" s="252">
        <v>97574.758728514396</v>
      </c>
      <c r="J19" s="243">
        <f>I17*G19</f>
        <v>72793.348017468932</v>
      </c>
      <c r="K19" s="250">
        <v>21030</v>
      </c>
      <c r="L19" s="250">
        <v>16267.2</v>
      </c>
      <c r="M19" s="253">
        <f>'FUS-Working'!BW5</f>
        <v>52990</v>
      </c>
      <c r="N19" s="253">
        <f>'FUS-Working'!BX5</f>
        <v>41171.199999999997</v>
      </c>
      <c r="O19" s="250">
        <f>'FUS-Working'!DG5</f>
        <v>85150</v>
      </c>
      <c r="P19" s="250">
        <f>'FUS-Working'!DH5</f>
        <v>67132</v>
      </c>
      <c r="Q19" s="255">
        <f>IFERROR((P19/J19),0)</f>
        <v>0.92222712415823593</v>
      </c>
      <c r="R19" s="252">
        <v>97574.758728514396</v>
      </c>
      <c r="S19" s="243">
        <f>R17*G19</f>
        <v>72793.348017468932</v>
      </c>
      <c r="T19" s="250">
        <f>'FUS-Working'!DG77</f>
        <v>78590</v>
      </c>
      <c r="U19" s="250">
        <f>'FUS-Working'!DH77</f>
        <v>61983.200000000004</v>
      </c>
      <c r="V19" s="253">
        <f>'FUS-Working'!DG77</f>
        <v>78590</v>
      </c>
      <c r="W19" s="253">
        <f>'FUS-Working'!DH77</f>
        <v>61983.200000000004</v>
      </c>
      <c r="X19" s="247">
        <f>'FUS-Working'!DG77</f>
        <v>78590</v>
      </c>
      <c r="Y19" s="247">
        <f>'FUS-Working'!DH77</f>
        <v>61983.200000000004</v>
      </c>
      <c r="Z19" s="255">
        <f>IFERROR((Y19/S19),0)</f>
        <v>0.85149538643455835</v>
      </c>
      <c r="AA19" s="252">
        <v>97574.758728514396</v>
      </c>
      <c r="AB19" s="243">
        <v>72793.348017468932</v>
      </c>
      <c r="AC19" s="250">
        <f>+'FUS-Working'!AP148</f>
        <v>35070</v>
      </c>
      <c r="AD19" s="250">
        <f>+'FUS-Working'!AQ148</f>
        <v>28190.400000000001</v>
      </c>
      <c r="AE19" s="253">
        <f>'FUS-Working'!BW148</f>
        <v>66130</v>
      </c>
      <c r="AF19" s="253">
        <f>'FUS-Working'!BX148</f>
        <v>52496.800000000003</v>
      </c>
      <c r="AG19" s="250">
        <f>'FUS-Working'!DG148</f>
        <v>66130</v>
      </c>
      <c r="AH19" s="250">
        <f>'FUS-Working'!DH148</f>
        <v>52496.800000000003</v>
      </c>
      <c r="AI19" s="255">
        <f>IFERROR((AH19/AB19),0)</f>
        <v>0.72117578638369306</v>
      </c>
      <c r="AJ19" s="256">
        <f>+AB19+S19+J19</f>
        <v>218380.0440524068</v>
      </c>
      <c r="AK19" s="256">
        <f>P19+Y19+AH19</f>
        <v>181612</v>
      </c>
      <c r="AL19" s="255">
        <f>IFERROR((AK19/AJ19),0)</f>
        <v>0.83163276565882915</v>
      </c>
      <c r="AM19" s="212"/>
      <c r="AN19" s="251"/>
      <c r="AO19" s="252"/>
      <c r="AP19" s="243"/>
      <c r="AQ19" s="250"/>
      <c r="AR19" s="250"/>
      <c r="AS19" s="253"/>
      <c r="AT19" s="253"/>
      <c r="AU19" s="250"/>
      <c r="AV19" s="250"/>
      <c r="AW19" s="255">
        <f>IFERROR((AU19/AP19),0)</f>
        <v>0</v>
      </c>
      <c r="AX19" s="252"/>
      <c r="AY19" s="243"/>
      <c r="AZ19" s="250"/>
      <c r="BA19" s="250"/>
      <c r="BB19" s="253"/>
      <c r="BC19" s="253"/>
      <c r="BD19" s="250"/>
      <c r="BE19" s="250"/>
      <c r="BF19" s="255">
        <f>IFERROR((BD19/AY19),0)</f>
        <v>0</v>
      </c>
      <c r="BG19" s="252"/>
      <c r="BH19" s="243"/>
      <c r="BI19" s="250"/>
      <c r="BJ19" s="250"/>
      <c r="BK19" s="253"/>
      <c r="BL19" s="253"/>
      <c r="BM19" s="250"/>
      <c r="BN19" s="250"/>
      <c r="BO19" s="255">
        <f>IFERROR((BM19/BH19),0)</f>
        <v>0</v>
      </c>
      <c r="BP19" s="256">
        <f>+BH19+AY19+AP19</f>
        <v>0</v>
      </c>
      <c r="BQ19" s="253">
        <f>+BM19+BD19+AU19</f>
        <v>0</v>
      </c>
      <c r="BR19" s="255">
        <f>IFERROR((BQ19/BP19),0)</f>
        <v>0</v>
      </c>
      <c r="BT19" s="251"/>
      <c r="BU19" s="254"/>
      <c r="BV19" s="250"/>
      <c r="BW19" s="250"/>
      <c r="BX19" s="250"/>
      <c r="BY19" s="253"/>
      <c r="BZ19" s="253"/>
      <c r="CA19" s="250"/>
      <c r="CB19" s="250"/>
      <c r="CC19" s="255">
        <f>IFERROR((CA19/BV19),0)</f>
        <v>0</v>
      </c>
      <c r="CD19" s="254"/>
      <c r="CE19" s="250"/>
      <c r="CF19" s="250"/>
      <c r="CG19" s="250"/>
      <c r="CH19" s="253"/>
      <c r="CI19" s="253"/>
      <c r="CJ19" s="250"/>
      <c r="CK19" s="250"/>
      <c r="CL19" s="255">
        <f>IFERROR((CJ19/CE19),0)</f>
        <v>0</v>
      </c>
      <c r="CM19" s="254"/>
      <c r="CN19" s="250"/>
      <c r="CO19" s="250"/>
      <c r="CP19" s="250"/>
      <c r="CQ19" s="253"/>
      <c r="CR19" s="253"/>
      <c r="CS19" s="250"/>
      <c r="CT19" s="250"/>
      <c r="CU19" s="255">
        <f>IFERROR((CS19/CN19),0)</f>
        <v>0</v>
      </c>
      <c r="CV19" s="256">
        <f>+CN19+CE19+BV19</f>
        <v>0</v>
      </c>
      <c r="CW19" s="253">
        <f>+CS19+CJ19+CA19</f>
        <v>0</v>
      </c>
      <c r="CX19" s="255">
        <f>IFERROR((CW19/CV19),0)</f>
        <v>0</v>
      </c>
      <c r="CZ19" s="251"/>
      <c r="DA19" s="252"/>
      <c r="DB19" s="243"/>
      <c r="DC19" s="250"/>
      <c r="DD19" s="250"/>
      <c r="DE19" s="253"/>
      <c r="DF19" s="253"/>
      <c r="DG19" s="250"/>
      <c r="DH19" s="250"/>
      <c r="DI19" s="255">
        <f>IFERROR((DG19/DB19),0)</f>
        <v>0</v>
      </c>
      <c r="DJ19" s="252"/>
      <c r="DK19" s="243"/>
      <c r="DL19" s="250"/>
      <c r="DM19" s="250"/>
      <c r="DN19" s="253"/>
      <c r="DO19" s="253"/>
      <c r="DP19" s="250"/>
      <c r="DQ19" s="250"/>
      <c r="DR19" s="255">
        <f>IFERROR((DP19/DK19),0)</f>
        <v>0</v>
      </c>
      <c r="DS19" s="252"/>
      <c r="DT19" s="243"/>
      <c r="DU19" s="250"/>
      <c r="DV19" s="250"/>
      <c r="DW19" s="253"/>
      <c r="DX19" s="253"/>
      <c r="DY19" s="250"/>
      <c r="DZ19" s="250"/>
      <c r="EA19" s="255">
        <f>IFERROR((DY19/DT19),0)</f>
        <v>0</v>
      </c>
      <c r="EB19" s="256">
        <f>+DT19+DK19+DB19</f>
        <v>0</v>
      </c>
      <c r="EC19" s="253">
        <f>+DY19+DP19+DG19</f>
        <v>0</v>
      </c>
      <c r="ED19" s="255">
        <f>IFERROR((EC19/EB19),0)</f>
        <v>0</v>
      </c>
    </row>
    <row r="20" spans="1:134" s="213" customFormat="1" ht="30" customHeight="1" x14ac:dyDescent="0.25">
      <c r="A20" s="247">
        <v>2</v>
      </c>
      <c r="B20" s="378" t="s">
        <v>84</v>
      </c>
      <c r="C20" s="248" t="s">
        <v>324</v>
      </c>
      <c r="D20" s="248" t="s">
        <v>28</v>
      </c>
      <c r="E20" s="249" t="s">
        <v>321</v>
      </c>
      <c r="F20" s="250" t="s">
        <v>5</v>
      </c>
      <c r="G20" s="364">
        <v>0.17049091248984599</v>
      </c>
      <c r="H20" s="214"/>
      <c r="I20" s="252">
        <v>44802.331367102895</v>
      </c>
      <c r="J20" s="243">
        <v>33423.722914586389</v>
      </c>
      <c r="K20" s="250">
        <v>6400</v>
      </c>
      <c r="L20" s="250">
        <v>5392</v>
      </c>
      <c r="M20" s="253">
        <f>'FUS-Working'!BW6</f>
        <v>21200</v>
      </c>
      <c r="N20" s="253">
        <f>'FUS-Working'!BX6</f>
        <v>16160</v>
      </c>
      <c r="O20" s="250">
        <f>'FUS-Working'!DG6</f>
        <v>41200</v>
      </c>
      <c r="P20" s="250">
        <f>'FUS-Working'!DH6</f>
        <v>31120</v>
      </c>
      <c r="Q20" s="255">
        <f t="shared" ref="Q20:Q32" si="4">IFERROR((P20/J20),0)</f>
        <v>0.93107521503593405</v>
      </c>
      <c r="R20" s="252">
        <v>44802.331367102895</v>
      </c>
      <c r="S20" s="243">
        <v>33423.722914586389</v>
      </c>
      <c r="T20" s="250">
        <f>'FUS-Working'!DG78</f>
        <v>33000</v>
      </c>
      <c r="U20" s="250">
        <f>'FUS-Working'!DH78</f>
        <v>25440</v>
      </c>
      <c r="V20" s="253">
        <f>'FUS-Working'!DG78</f>
        <v>33000</v>
      </c>
      <c r="W20" s="253">
        <f>'FUS-Working'!DH78</f>
        <v>25440</v>
      </c>
      <c r="X20" s="247">
        <f>'FUS-Working'!DG78</f>
        <v>33000</v>
      </c>
      <c r="Y20" s="247">
        <f>'FUS-Working'!DH78</f>
        <v>25440</v>
      </c>
      <c r="Z20" s="255">
        <f>IFERROR((Y20/S20),0)</f>
        <v>0.76113603697024945</v>
      </c>
      <c r="AA20" s="252">
        <v>44802.331367102895</v>
      </c>
      <c r="AB20" s="243">
        <v>33423.722914586389</v>
      </c>
      <c r="AC20" s="250">
        <f>+'FUS-Working'!AP149</f>
        <v>10600</v>
      </c>
      <c r="AD20" s="250">
        <f>+'FUS-Working'!AQ149</f>
        <v>8080</v>
      </c>
      <c r="AE20" s="253">
        <f>'FUS-Working'!BW149</f>
        <v>30600</v>
      </c>
      <c r="AF20" s="253">
        <f>'FUS-Working'!BX149</f>
        <v>23040</v>
      </c>
      <c r="AG20" s="250">
        <f>'FUS-Working'!DG149</f>
        <v>30600</v>
      </c>
      <c r="AH20" s="250">
        <f>'FUS-Working'!DH149</f>
        <v>23040</v>
      </c>
      <c r="AI20" s="255">
        <f t="shared" ref="AI20:AI32" si="5">IFERROR((AH20/AB20),0)</f>
        <v>0.68933075046362213</v>
      </c>
      <c r="AJ20" s="256">
        <f t="shared" ref="AJ20:AJ34" si="6">+AB20+S20+J20</f>
        <v>100271.16874375916</v>
      </c>
      <c r="AK20" s="256">
        <f t="shared" ref="AK20:AK34" si="7">P20+Y20+AH20</f>
        <v>79600</v>
      </c>
      <c r="AL20" s="255">
        <f t="shared" ref="AL20:AL35" si="8">IFERROR((AK20/AJ20),0)</f>
        <v>0.79384733415660191</v>
      </c>
      <c r="AM20" s="212"/>
      <c r="AN20" s="251"/>
      <c r="AO20" s="252"/>
      <c r="AP20" s="243"/>
      <c r="AQ20" s="250"/>
      <c r="AR20" s="250"/>
      <c r="AS20" s="253"/>
      <c r="AT20" s="253"/>
      <c r="AU20" s="250"/>
      <c r="AV20" s="250"/>
      <c r="AW20" s="255">
        <f t="shared" ref="AW20:AW33" si="9">IFERROR((AU20/AP20),0)</f>
        <v>0</v>
      </c>
      <c r="AX20" s="252"/>
      <c r="AY20" s="243"/>
      <c r="AZ20" s="250"/>
      <c r="BA20" s="250"/>
      <c r="BB20" s="253"/>
      <c r="BC20" s="253"/>
      <c r="BD20" s="250"/>
      <c r="BE20" s="250"/>
      <c r="BF20" s="255">
        <f t="shared" ref="BF20:BF33" si="10">IFERROR((BD20/AY20),0)</f>
        <v>0</v>
      </c>
      <c r="BG20" s="252"/>
      <c r="BH20" s="243"/>
      <c r="BI20" s="250"/>
      <c r="BJ20" s="250"/>
      <c r="BK20" s="253"/>
      <c r="BL20" s="253"/>
      <c r="BM20" s="250"/>
      <c r="BN20" s="250"/>
      <c r="BO20" s="255">
        <f t="shared" ref="BO20:BO33" si="11">IFERROR((BM20/BH20),0)</f>
        <v>0</v>
      </c>
      <c r="BP20" s="256">
        <f t="shared" ref="BP20:BP34" si="12">+BH20+AY20+AP20</f>
        <v>0</v>
      </c>
      <c r="BQ20" s="253">
        <f t="shared" ref="BQ20:BQ34" si="13">+BM20+BD20+AU20</f>
        <v>0</v>
      </c>
      <c r="BR20" s="255">
        <f t="shared" ref="BR20:BR35" si="14">IFERROR((BQ20/BP20),0)</f>
        <v>0</v>
      </c>
      <c r="BT20" s="251"/>
      <c r="BU20" s="254"/>
      <c r="BV20" s="250"/>
      <c r="BW20" s="250"/>
      <c r="BX20" s="250"/>
      <c r="BY20" s="253"/>
      <c r="BZ20" s="253"/>
      <c r="CA20" s="250"/>
      <c r="CB20" s="250"/>
      <c r="CC20" s="255">
        <f t="shared" ref="CC20:CC33" si="15">IFERROR((CA20/BV20),0)</f>
        <v>0</v>
      </c>
      <c r="CD20" s="254"/>
      <c r="CE20" s="250"/>
      <c r="CF20" s="365"/>
      <c r="CG20" s="365"/>
      <c r="CH20" s="253"/>
      <c r="CI20" s="253"/>
      <c r="CJ20" s="250"/>
      <c r="CK20" s="250"/>
      <c r="CL20" s="255">
        <f t="shared" ref="CL20:CL33" si="16">IFERROR((CJ20/CE20),0)</f>
        <v>0</v>
      </c>
      <c r="CM20" s="254"/>
      <c r="CN20" s="250"/>
      <c r="CO20" s="250"/>
      <c r="CP20" s="250"/>
      <c r="CQ20" s="253"/>
      <c r="CR20" s="253"/>
      <c r="CS20" s="250"/>
      <c r="CT20" s="250"/>
      <c r="CU20" s="255">
        <f t="shared" ref="CU20:CU33" si="17">IFERROR((CS20/CN20),0)</f>
        <v>0</v>
      </c>
      <c r="CV20" s="256">
        <f t="shared" ref="CV20:CV34" si="18">+CN20+CE20+BV20</f>
        <v>0</v>
      </c>
      <c r="CW20" s="253">
        <f t="shared" ref="CW20:CW34" si="19">+CS20+CJ20+CA20</f>
        <v>0</v>
      </c>
      <c r="CX20" s="255">
        <f t="shared" ref="CX20:CX35" si="20">IFERROR((CW20/CV20),0)</f>
        <v>0</v>
      </c>
      <c r="CZ20" s="251"/>
      <c r="DA20" s="252"/>
      <c r="DB20" s="243"/>
      <c r="DC20" s="250"/>
      <c r="DD20" s="250"/>
      <c r="DE20" s="253"/>
      <c r="DF20" s="253"/>
      <c r="DG20" s="250"/>
      <c r="DH20" s="250"/>
      <c r="DI20" s="255">
        <f t="shared" ref="DI20:DI33" si="21">IFERROR((DG20/DB20),0)</f>
        <v>0</v>
      </c>
      <c r="DJ20" s="252"/>
      <c r="DK20" s="243"/>
      <c r="DL20" s="250"/>
      <c r="DM20" s="250"/>
      <c r="DN20" s="253"/>
      <c r="DO20" s="253"/>
      <c r="DP20" s="250"/>
      <c r="DQ20" s="250"/>
      <c r="DR20" s="255">
        <f t="shared" ref="DR20:DR33" si="22">IFERROR((DP20/DK20),0)</f>
        <v>0</v>
      </c>
      <c r="DS20" s="252"/>
      <c r="DT20" s="243"/>
      <c r="DU20" s="250"/>
      <c r="DV20" s="250"/>
      <c r="DW20" s="253"/>
      <c r="DX20" s="253"/>
      <c r="DY20" s="250"/>
      <c r="DZ20" s="250"/>
      <c r="EA20" s="255">
        <f t="shared" ref="EA20:EA33" si="23">IFERROR((DY20/DT20),0)</f>
        <v>0</v>
      </c>
      <c r="EB20" s="256">
        <f t="shared" ref="EB20:EB34" si="24">+DT20+DK20+DB20</f>
        <v>0</v>
      </c>
      <c r="EC20" s="253">
        <f t="shared" ref="EC20:EC34" si="25">+DY20+DP20+DG20</f>
        <v>0</v>
      </c>
      <c r="ED20" s="255">
        <f t="shared" ref="ED20:ED35" si="26">IFERROR((EC20/EB20),0)</f>
        <v>0</v>
      </c>
    </row>
    <row r="21" spans="1:134" s="213" customFormat="1" ht="30" customHeight="1" x14ac:dyDescent="0.25">
      <c r="A21" s="247">
        <v>3</v>
      </c>
      <c r="B21" s="378" t="s">
        <v>54</v>
      </c>
      <c r="C21" s="248" t="s">
        <v>53</v>
      </c>
      <c r="D21" s="248" t="s">
        <v>41</v>
      </c>
      <c r="E21" s="249" t="s">
        <v>319</v>
      </c>
      <c r="F21" s="250" t="s">
        <v>5</v>
      </c>
      <c r="G21" s="364">
        <v>0.107777564984417</v>
      </c>
      <c r="H21" s="214"/>
      <c r="I21" s="252">
        <v>28322.249613502998</v>
      </c>
      <c r="J21" s="243">
        <v>21129.146508981972</v>
      </c>
      <c r="K21" s="250">
        <v>3800</v>
      </c>
      <c r="L21" s="250">
        <v>3296</v>
      </c>
      <c r="M21" s="253">
        <f>'FUS-Working'!BW7</f>
        <v>6400</v>
      </c>
      <c r="N21" s="253">
        <f>'FUS-Working'!BX7</f>
        <v>5392</v>
      </c>
      <c r="O21" s="250">
        <f>'FUS-Working'!DG7</f>
        <v>13000</v>
      </c>
      <c r="P21" s="250">
        <f>'FUS-Working'!DH7</f>
        <v>10480</v>
      </c>
      <c r="Q21" s="255">
        <f t="shared" si="4"/>
        <v>0.49599731799601871</v>
      </c>
      <c r="R21" s="252">
        <v>28322.249613502998</v>
      </c>
      <c r="S21" s="243">
        <v>21129.146508981972</v>
      </c>
      <c r="T21" s="250">
        <f>'FUS-Working'!DG79</f>
        <v>18040</v>
      </c>
      <c r="U21" s="250">
        <f>'FUS-Working'!DH79</f>
        <v>14915.2</v>
      </c>
      <c r="V21" s="253">
        <f>'FUS-Working'!DG79</f>
        <v>18040</v>
      </c>
      <c r="W21" s="253">
        <f>'FUS-Working'!DH79</f>
        <v>14915.2</v>
      </c>
      <c r="X21" s="247">
        <f>'FUS-Working'!DG79</f>
        <v>18040</v>
      </c>
      <c r="Y21" s="247">
        <f>'FUS-Working'!DH79</f>
        <v>14915.2</v>
      </c>
      <c r="Z21" s="255">
        <f t="shared" ref="Z21:Z32" si="27">IFERROR((Y21/S21),0)</f>
        <v>0.70590641196318882</v>
      </c>
      <c r="AA21" s="252">
        <v>28322.249613502998</v>
      </c>
      <c r="AB21" s="243">
        <v>21129.146508981972</v>
      </c>
      <c r="AC21" s="250">
        <f>+'FUS-Working'!AP150</f>
        <v>2400</v>
      </c>
      <c r="AD21" s="250">
        <f>+'FUS-Working'!AQ150</f>
        <v>2400</v>
      </c>
      <c r="AE21" s="253">
        <f>'FUS-Working'!BW150</f>
        <v>12700</v>
      </c>
      <c r="AF21" s="253">
        <f>'FUS-Working'!BX150</f>
        <v>10936</v>
      </c>
      <c r="AG21" s="250">
        <f>'FUS-Working'!DG150</f>
        <v>12700</v>
      </c>
      <c r="AH21" s="250">
        <f>'FUS-Working'!DH150</f>
        <v>10936</v>
      </c>
      <c r="AI21" s="255">
        <f t="shared" si="5"/>
        <v>0.51757888068744851</v>
      </c>
      <c r="AJ21" s="256">
        <f t="shared" si="6"/>
        <v>63387.43952694592</v>
      </c>
      <c r="AK21" s="256">
        <f t="shared" si="7"/>
        <v>36331.199999999997</v>
      </c>
      <c r="AL21" s="255">
        <f t="shared" si="8"/>
        <v>0.57316087021555195</v>
      </c>
      <c r="AM21" s="212"/>
      <c r="AN21" s="251"/>
      <c r="AO21" s="252"/>
      <c r="AP21" s="243"/>
      <c r="AQ21" s="250"/>
      <c r="AR21" s="250"/>
      <c r="AS21" s="253"/>
      <c r="AT21" s="253"/>
      <c r="AU21" s="250"/>
      <c r="AV21" s="250"/>
      <c r="AW21" s="255">
        <f t="shared" si="9"/>
        <v>0</v>
      </c>
      <c r="AX21" s="252"/>
      <c r="AY21" s="243"/>
      <c r="AZ21" s="250"/>
      <c r="BA21" s="250"/>
      <c r="BB21" s="253"/>
      <c r="BC21" s="253"/>
      <c r="BD21" s="250"/>
      <c r="BE21" s="250"/>
      <c r="BF21" s="255">
        <f t="shared" si="10"/>
        <v>0</v>
      </c>
      <c r="BG21" s="252"/>
      <c r="BH21" s="243"/>
      <c r="BI21" s="250"/>
      <c r="BJ21" s="250"/>
      <c r="BK21" s="253"/>
      <c r="BL21" s="253"/>
      <c r="BM21" s="250"/>
      <c r="BN21" s="250"/>
      <c r="BO21" s="255">
        <f t="shared" si="11"/>
        <v>0</v>
      </c>
      <c r="BP21" s="256">
        <f t="shared" si="12"/>
        <v>0</v>
      </c>
      <c r="BQ21" s="253">
        <f t="shared" si="13"/>
        <v>0</v>
      </c>
      <c r="BR21" s="255">
        <f t="shared" si="14"/>
        <v>0</v>
      </c>
      <c r="BT21" s="251"/>
      <c r="BU21" s="254"/>
      <c r="BV21" s="250"/>
      <c r="BW21" s="250"/>
      <c r="BX21" s="250"/>
      <c r="BY21" s="253"/>
      <c r="BZ21" s="253"/>
      <c r="CA21" s="250"/>
      <c r="CB21" s="250"/>
      <c r="CC21" s="255">
        <f t="shared" si="15"/>
        <v>0</v>
      </c>
      <c r="CD21" s="254"/>
      <c r="CE21" s="250"/>
      <c r="CF21" s="250"/>
      <c r="CG21" s="250"/>
      <c r="CH21" s="253"/>
      <c r="CI21" s="253"/>
      <c r="CJ21" s="250"/>
      <c r="CK21" s="250"/>
      <c r="CL21" s="255">
        <f t="shared" si="16"/>
        <v>0</v>
      </c>
      <c r="CM21" s="254"/>
      <c r="CN21" s="250"/>
      <c r="CO21" s="250"/>
      <c r="CP21" s="250"/>
      <c r="CQ21" s="253"/>
      <c r="CR21" s="253"/>
      <c r="CS21" s="250"/>
      <c r="CT21" s="250"/>
      <c r="CU21" s="255">
        <f t="shared" si="17"/>
        <v>0</v>
      </c>
      <c r="CV21" s="256">
        <f t="shared" si="18"/>
        <v>0</v>
      </c>
      <c r="CW21" s="253">
        <f t="shared" si="19"/>
        <v>0</v>
      </c>
      <c r="CX21" s="255">
        <f t="shared" si="20"/>
        <v>0</v>
      </c>
      <c r="CZ21" s="251"/>
      <c r="DA21" s="252"/>
      <c r="DB21" s="243"/>
      <c r="DC21" s="250"/>
      <c r="DD21" s="250"/>
      <c r="DE21" s="253"/>
      <c r="DF21" s="253"/>
      <c r="DG21" s="250"/>
      <c r="DH21" s="250"/>
      <c r="DI21" s="255">
        <f t="shared" si="21"/>
        <v>0</v>
      </c>
      <c r="DJ21" s="252"/>
      <c r="DK21" s="243"/>
      <c r="DL21" s="250"/>
      <c r="DM21" s="250"/>
      <c r="DN21" s="253"/>
      <c r="DO21" s="253"/>
      <c r="DP21" s="250"/>
      <c r="DQ21" s="250"/>
      <c r="DR21" s="255">
        <f t="shared" si="22"/>
        <v>0</v>
      </c>
      <c r="DS21" s="252"/>
      <c r="DT21" s="243"/>
      <c r="DU21" s="250"/>
      <c r="DV21" s="250"/>
      <c r="DW21" s="253"/>
      <c r="DX21" s="253"/>
      <c r="DY21" s="250"/>
      <c r="DZ21" s="250"/>
      <c r="EA21" s="255">
        <f t="shared" si="23"/>
        <v>0</v>
      </c>
      <c r="EB21" s="256">
        <f t="shared" si="24"/>
        <v>0</v>
      </c>
      <c r="EC21" s="253">
        <f t="shared" si="25"/>
        <v>0</v>
      </c>
      <c r="ED21" s="255">
        <f t="shared" si="26"/>
        <v>0</v>
      </c>
    </row>
    <row r="22" spans="1:134" s="213" customFormat="1" ht="30" customHeight="1" x14ac:dyDescent="0.25">
      <c r="A22" s="247">
        <v>4</v>
      </c>
      <c r="B22" s="378" t="s">
        <v>60</v>
      </c>
      <c r="C22" s="248" t="s">
        <v>59</v>
      </c>
      <c r="D22" s="248" t="s">
        <v>41</v>
      </c>
      <c r="E22" s="249" t="s">
        <v>319</v>
      </c>
      <c r="F22" s="250" t="s">
        <v>5</v>
      </c>
      <c r="G22" s="364">
        <v>4.4480870617423798E-2</v>
      </c>
      <c r="H22" s="214"/>
      <c r="I22" s="252">
        <v>11688.873475985036</v>
      </c>
      <c r="J22" s="243">
        <v>8720.2084428100025</v>
      </c>
      <c r="K22" s="250">
        <v>1640</v>
      </c>
      <c r="L22" s="250">
        <v>1136.0000000000002</v>
      </c>
      <c r="M22" s="253">
        <f>'FUS-Working'!BW8</f>
        <v>3410</v>
      </c>
      <c r="N22" s="253">
        <f>'FUS-Working'!BX8</f>
        <v>2528</v>
      </c>
      <c r="O22" s="250">
        <f>'FUS-Working'!DG8</f>
        <v>5310</v>
      </c>
      <c r="P22" s="250">
        <f>'FUS-Working'!DH8</f>
        <v>4176</v>
      </c>
      <c r="Q22" s="255">
        <f t="shared" si="4"/>
        <v>0.47888763524261863</v>
      </c>
      <c r="R22" s="252">
        <v>11688.873475985036</v>
      </c>
      <c r="S22" s="243">
        <v>8720.2084428100025</v>
      </c>
      <c r="T22" s="250">
        <f>'FUS-Working'!DG80</f>
        <v>5130</v>
      </c>
      <c r="U22" s="250">
        <f>'FUS-Working'!DH80</f>
        <v>3844.8</v>
      </c>
      <c r="V22" s="253">
        <f>'FUS-Working'!DG80</f>
        <v>5130</v>
      </c>
      <c r="W22" s="253">
        <f>'FUS-Working'!DH80</f>
        <v>3844.8</v>
      </c>
      <c r="X22" s="247">
        <f>'FUS-Working'!DG80</f>
        <v>5130</v>
      </c>
      <c r="Y22" s="247">
        <f>'FUS-Working'!DH80</f>
        <v>3844.8</v>
      </c>
      <c r="Z22" s="255">
        <f t="shared" si="27"/>
        <v>0.44090689175785924</v>
      </c>
      <c r="AA22" s="252">
        <v>11688.873475985036</v>
      </c>
      <c r="AB22" s="243">
        <v>8720.2084428100025</v>
      </c>
      <c r="AC22" s="250">
        <f>+'FUS-Working'!AP151</f>
        <v>2616</v>
      </c>
      <c r="AD22" s="250">
        <f>+'FUS-Working'!AQ151</f>
        <v>1890.24</v>
      </c>
      <c r="AE22" s="253">
        <f>'FUS-Working'!BW151</f>
        <v>3956</v>
      </c>
      <c r="AF22" s="253">
        <f>'FUS-Working'!BX151</f>
        <v>2877.44</v>
      </c>
      <c r="AG22" s="250">
        <f>'FUS-Working'!DG151</f>
        <v>3956</v>
      </c>
      <c r="AH22" s="250">
        <f>'FUS-Working'!DH151</f>
        <v>2877.44</v>
      </c>
      <c r="AI22" s="255">
        <f t="shared" si="5"/>
        <v>0.32997376368594844</v>
      </c>
      <c r="AJ22" s="256">
        <f t="shared" si="6"/>
        <v>26160.625328430007</v>
      </c>
      <c r="AK22" s="256">
        <f t="shared" si="7"/>
        <v>10898.24</v>
      </c>
      <c r="AL22" s="255">
        <f t="shared" si="8"/>
        <v>0.41658943022880873</v>
      </c>
      <c r="AM22" s="212"/>
      <c r="AN22" s="251"/>
      <c r="AO22" s="252"/>
      <c r="AP22" s="243"/>
      <c r="AQ22" s="250"/>
      <c r="AR22" s="250"/>
      <c r="AS22" s="253"/>
      <c r="AT22" s="253"/>
      <c r="AU22" s="250"/>
      <c r="AV22" s="250"/>
      <c r="AW22" s="255">
        <f t="shared" si="9"/>
        <v>0</v>
      </c>
      <c r="AX22" s="252"/>
      <c r="AY22" s="243"/>
      <c r="AZ22" s="250"/>
      <c r="BA22" s="250"/>
      <c r="BB22" s="253"/>
      <c r="BC22" s="253"/>
      <c r="BD22" s="250"/>
      <c r="BE22" s="250"/>
      <c r="BF22" s="255">
        <f t="shared" si="10"/>
        <v>0</v>
      </c>
      <c r="BG22" s="252"/>
      <c r="BH22" s="243"/>
      <c r="BI22" s="250"/>
      <c r="BJ22" s="250"/>
      <c r="BK22" s="253"/>
      <c r="BL22" s="253"/>
      <c r="BM22" s="250"/>
      <c r="BN22" s="250"/>
      <c r="BO22" s="255">
        <f t="shared" si="11"/>
        <v>0</v>
      </c>
      <c r="BP22" s="256">
        <f t="shared" si="12"/>
        <v>0</v>
      </c>
      <c r="BQ22" s="253">
        <f t="shared" si="13"/>
        <v>0</v>
      </c>
      <c r="BR22" s="255">
        <f t="shared" si="14"/>
        <v>0</v>
      </c>
      <c r="BT22" s="251"/>
      <c r="BU22" s="254"/>
      <c r="BV22" s="250"/>
      <c r="BW22" s="250"/>
      <c r="BX22" s="250"/>
      <c r="BY22" s="253"/>
      <c r="BZ22" s="253"/>
      <c r="CA22" s="250"/>
      <c r="CB22" s="250"/>
      <c r="CC22" s="255">
        <f t="shared" si="15"/>
        <v>0</v>
      </c>
      <c r="CD22" s="254"/>
      <c r="CE22" s="250"/>
      <c r="CF22" s="250"/>
      <c r="CG22" s="250"/>
      <c r="CH22" s="253"/>
      <c r="CI22" s="253"/>
      <c r="CJ22" s="250"/>
      <c r="CK22" s="250"/>
      <c r="CL22" s="255">
        <f t="shared" si="16"/>
        <v>0</v>
      </c>
      <c r="CM22" s="254"/>
      <c r="CN22" s="250"/>
      <c r="CO22" s="250"/>
      <c r="CP22" s="250"/>
      <c r="CQ22" s="253"/>
      <c r="CR22" s="253"/>
      <c r="CS22" s="250"/>
      <c r="CT22" s="250"/>
      <c r="CU22" s="255">
        <f t="shared" si="17"/>
        <v>0</v>
      </c>
      <c r="CV22" s="256">
        <f t="shared" si="18"/>
        <v>0</v>
      </c>
      <c r="CW22" s="253">
        <f t="shared" si="19"/>
        <v>0</v>
      </c>
      <c r="CX22" s="255">
        <f t="shared" si="20"/>
        <v>0</v>
      </c>
      <c r="CZ22" s="251"/>
      <c r="DA22" s="252"/>
      <c r="DB22" s="243"/>
      <c r="DC22" s="250"/>
      <c r="DD22" s="250"/>
      <c r="DE22" s="253"/>
      <c r="DF22" s="253"/>
      <c r="DG22" s="250"/>
      <c r="DH22" s="250"/>
      <c r="DI22" s="255">
        <f t="shared" si="21"/>
        <v>0</v>
      </c>
      <c r="DJ22" s="252"/>
      <c r="DK22" s="243"/>
      <c r="DL22" s="250"/>
      <c r="DM22" s="250"/>
      <c r="DN22" s="253"/>
      <c r="DO22" s="253"/>
      <c r="DP22" s="250"/>
      <c r="DQ22" s="250"/>
      <c r="DR22" s="255">
        <f t="shared" si="22"/>
        <v>0</v>
      </c>
      <c r="DS22" s="252"/>
      <c r="DT22" s="243"/>
      <c r="DU22" s="250"/>
      <c r="DV22" s="250"/>
      <c r="DW22" s="253"/>
      <c r="DX22" s="253"/>
      <c r="DY22" s="250"/>
      <c r="DZ22" s="250"/>
      <c r="EA22" s="255">
        <f t="shared" si="23"/>
        <v>0</v>
      </c>
      <c r="EB22" s="256">
        <f t="shared" si="24"/>
        <v>0</v>
      </c>
      <c r="EC22" s="253">
        <f t="shared" si="25"/>
        <v>0</v>
      </c>
      <c r="ED22" s="255">
        <f t="shared" si="26"/>
        <v>0</v>
      </c>
    </row>
    <row r="23" spans="1:134" s="213" customFormat="1" ht="30" customHeight="1" x14ac:dyDescent="0.25">
      <c r="A23" s="247">
        <v>5</v>
      </c>
      <c r="B23" s="378" t="s">
        <v>77</v>
      </c>
      <c r="C23" s="248" t="s">
        <v>76</v>
      </c>
      <c r="D23" s="248" t="s">
        <v>28</v>
      </c>
      <c r="E23" s="249" t="s">
        <v>317</v>
      </c>
      <c r="F23" s="250" t="s">
        <v>5</v>
      </c>
      <c r="G23" s="364">
        <v>3.5543496731869198E-2</v>
      </c>
      <c r="H23" s="214"/>
      <c r="I23" s="252">
        <v>9340.2721310532143</v>
      </c>
      <c r="J23" s="243">
        <v>6968.0897874967714</v>
      </c>
      <c r="K23" s="250">
        <v>0</v>
      </c>
      <c r="L23" s="250">
        <v>0</v>
      </c>
      <c r="M23" s="253">
        <f>'FUS-Working'!BW9</f>
        <v>0</v>
      </c>
      <c r="N23" s="253">
        <f>'FUS-Working'!BX9</f>
        <v>0</v>
      </c>
      <c r="O23" s="250">
        <f>'FUS-Working'!DG9</f>
        <v>7400</v>
      </c>
      <c r="P23" s="250">
        <f>'FUS-Working'!DH9</f>
        <v>6896</v>
      </c>
      <c r="Q23" s="255">
        <f t="shared" si="4"/>
        <v>0.98965429698880658</v>
      </c>
      <c r="R23" s="252">
        <v>9340.2721310532143</v>
      </c>
      <c r="S23" s="243">
        <v>6968.0897874967714</v>
      </c>
      <c r="T23" s="250">
        <f>'FUS-Working'!DG81</f>
        <v>6400</v>
      </c>
      <c r="U23" s="250">
        <f>'FUS-Working'!DH81</f>
        <v>5392</v>
      </c>
      <c r="V23" s="253">
        <f>'FUS-Working'!DG81</f>
        <v>6400</v>
      </c>
      <c r="W23" s="253">
        <f>'FUS-Working'!DH81</f>
        <v>5392</v>
      </c>
      <c r="X23" s="247">
        <f>'FUS-Working'!DG81</f>
        <v>6400</v>
      </c>
      <c r="Y23" s="247">
        <f>'FUS-Working'!DH81</f>
        <v>5392</v>
      </c>
      <c r="Z23" s="255">
        <f t="shared" si="27"/>
        <v>0.77381322061537783</v>
      </c>
      <c r="AA23" s="252">
        <v>9340.2721310532143</v>
      </c>
      <c r="AB23" s="243">
        <v>6968.0897874967714</v>
      </c>
      <c r="AC23" s="250">
        <f>+'FUS-Working'!AP152</f>
        <v>0</v>
      </c>
      <c r="AD23" s="250">
        <f>+'FUS-Working'!AQ152</f>
        <v>0</v>
      </c>
      <c r="AE23" s="253">
        <f>'FUS-Working'!BW152</f>
        <v>0</v>
      </c>
      <c r="AF23" s="253">
        <f>'FUS-Working'!BX152</f>
        <v>0</v>
      </c>
      <c r="AG23" s="250">
        <f>'FUS-Working'!DG152</f>
        <v>0</v>
      </c>
      <c r="AH23" s="250">
        <f>'FUS-Working'!DH152</f>
        <v>0</v>
      </c>
      <c r="AI23" s="255">
        <f t="shared" si="5"/>
        <v>0</v>
      </c>
      <c r="AJ23" s="256">
        <f t="shared" si="6"/>
        <v>20904.269362490315</v>
      </c>
      <c r="AK23" s="256">
        <f t="shared" si="7"/>
        <v>12288</v>
      </c>
      <c r="AL23" s="255">
        <f t="shared" si="8"/>
        <v>0.5878225058680614</v>
      </c>
      <c r="AM23" s="212"/>
      <c r="AN23" s="251"/>
      <c r="AO23" s="252"/>
      <c r="AP23" s="243"/>
      <c r="AQ23" s="250"/>
      <c r="AR23" s="250"/>
      <c r="AS23" s="253"/>
      <c r="AT23" s="253"/>
      <c r="AU23" s="250"/>
      <c r="AV23" s="250"/>
      <c r="AW23" s="255">
        <f t="shared" si="9"/>
        <v>0</v>
      </c>
      <c r="AX23" s="252"/>
      <c r="AY23" s="243"/>
      <c r="AZ23" s="250"/>
      <c r="BA23" s="250"/>
      <c r="BB23" s="253"/>
      <c r="BC23" s="253"/>
      <c r="BD23" s="250"/>
      <c r="BE23" s="250"/>
      <c r="BF23" s="255">
        <f t="shared" si="10"/>
        <v>0</v>
      </c>
      <c r="BG23" s="252"/>
      <c r="BH23" s="243"/>
      <c r="BI23" s="250"/>
      <c r="BJ23" s="250"/>
      <c r="BK23" s="253"/>
      <c r="BL23" s="253"/>
      <c r="BM23" s="250"/>
      <c r="BN23" s="250"/>
      <c r="BO23" s="255">
        <f t="shared" si="11"/>
        <v>0</v>
      </c>
      <c r="BP23" s="256">
        <f t="shared" si="12"/>
        <v>0</v>
      </c>
      <c r="BQ23" s="253">
        <f t="shared" si="13"/>
        <v>0</v>
      </c>
      <c r="BR23" s="255">
        <f t="shared" si="14"/>
        <v>0</v>
      </c>
      <c r="BT23" s="251"/>
      <c r="BU23" s="254"/>
      <c r="BV23" s="250"/>
      <c r="BW23" s="250"/>
      <c r="BX23" s="250"/>
      <c r="BY23" s="253"/>
      <c r="BZ23" s="253"/>
      <c r="CA23" s="250"/>
      <c r="CB23" s="250"/>
      <c r="CC23" s="255">
        <f t="shared" si="15"/>
        <v>0</v>
      </c>
      <c r="CD23" s="254"/>
      <c r="CE23" s="250"/>
      <c r="CF23" s="250"/>
      <c r="CG23" s="250"/>
      <c r="CH23" s="253"/>
      <c r="CI23" s="253"/>
      <c r="CJ23" s="250"/>
      <c r="CK23" s="250"/>
      <c r="CL23" s="255">
        <f t="shared" si="16"/>
        <v>0</v>
      </c>
      <c r="CM23" s="254"/>
      <c r="CN23" s="250"/>
      <c r="CO23" s="250"/>
      <c r="CP23" s="250"/>
      <c r="CQ23" s="253"/>
      <c r="CR23" s="253"/>
      <c r="CS23" s="250"/>
      <c r="CT23" s="250"/>
      <c r="CU23" s="255">
        <f t="shared" si="17"/>
        <v>0</v>
      </c>
      <c r="CV23" s="256">
        <f t="shared" si="18"/>
        <v>0</v>
      </c>
      <c r="CW23" s="253">
        <f t="shared" si="19"/>
        <v>0</v>
      </c>
      <c r="CX23" s="255">
        <f t="shared" si="20"/>
        <v>0</v>
      </c>
      <c r="CZ23" s="251"/>
      <c r="DA23" s="252"/>
      <c r="DB23" s="243"/>
      <c r="DC23" s="250"/>
      <c r="DD23" s="250"/>
      <c r="DE23" s="253"/>
      <c r="DF23" s="253"/>
      <c r="DG23" s="250"/>
      <c r="DH23" s="250"/>
      <c r="DI23" s="255">
        <f t="shared" si="21"/>
        <v>0</v>
      </c>
      <c r="DJ23" s="252"/>
      <c r="DK23" s="243"/>
      <c r="DL23" s="250"/>
      <c r="DM23" s="250"/>
      <c r="DN23" s="253"/>
      <c r="DO23" s="253"/>
      <c r="DP23" s="250"/>
      <c r="DQ23" s="250"/>
      <c r="DR23" s="255">
        <f t="shared" si="22"/>
        <v>0</v>
      </c>
      <c r="DS23" s="252"/>
      <c r="DT23" s="243"/>
      <c r="DU23" s="250"/>
      <c r="DV23" s="250"/>
      <c r="DW23" s="253"/>
      <c r="DX23" s="253"/>
      <c r="DY23" s="250"/>
      <c r="DZ23" s="250"/>
      <c r="EA23" s="255">
        <f t="shared" si="23"/>
        <v>0</v>
      </c>
      <c r="EB23" s="256">
        <f t="shared" si="24"/>
        <v>0</v>
      </c>
      <c r="EC23" s="253">
        <f t="shared" si="25"/>
        <v>0</v>
      </c>
      <c r="ED23" s="255">
        <f t="shared" si="26"/>
        <v>0</v>
      </c>
    </row>
    <row r="24" spans="1:134" s="213" customFormat="1" ht="30" customHeight="1" x14ac:dyDescent="0.25">
      <c r="A24" s="247">
        <v>6</v>
      </c>
      <c r="B24" s="378" t="s">
        <v>323</v>
      </c>
      <c r="C24" s="248" t="s">
        <v>55</v>
      </c>
      <c r="D24" s="248" t="s">
        <v>41</v>
      </c>
      <c r="E24" s="249" t="s">
        <v>319</v>
      </c>
      <c r="F24" s="250" t="s">
        <v>5</v>
      </c>
      <c r="G24" s="364">
        <v>4.4975457622916E-2</v>
      </c>
      <c r="H24" s="214"/>
      <c r="I24" s="252">
        <v>11818.843165197912</v>
      </c>
      <c r="J24" s="243">
        <v>8817.169264869719</v>
      </c>
      <c r="K24" s="250">
        <v>2944</v>
      </c>
      <c r="L24" s="250">
        <v>1892.8</v>
      </c>
      <c r="M24" s="253">
        <f>'FUS-Working'!BW10</f>
        <v>6660</v>
      </c>
      <c r="N24" s="253">
        <f>'FUS-Working'!BX10</f>
        <v>4271.04</v>
      </c>
      <c r="O24" s="250">
        <f>'FUS-Working'!DG10</f>
        <v>9820</v>
      </c>
      <c r="P24" s="250">
        <f>'FUS-Working'!DH10</f>
        <v>6302.08</v>
      </c>
      <c r="Q24" s="255">
        <f t="shared" si="4"/>
        <v>0.71475093770847764</v>
      </c>
      <c r="R24" s="252">
        <v>11818.843165197912</v>
      </c>
      <c r="S24" s="243">
        <v>8817.169264869719</v>
      </c>
      <c r="T24" s="250">
        <f>'FUS-Working'!DG82</f>
        <v>11232</v>
      </c>
      <c r="U24" s="250">
        <f>'FUS-Working'!DH82</f>
        <v>7210.08</v>
      </c>
      <c r="V24" s="253">
        <f>'FUS-Working'!DG82</f>
        <v>11232</v>
      </c>
      <c r="W24" s="253">
        <f>'FUS-Working'!DH82</f>
        <v>7210.08</v>
      </c>
      <c r="X24" s="247">
        <f>'FUS-Working'!DG82</f>
        <v>11232</v>
      </c>
      <c r="Y24" s="247">
        <f>'FUS-Working'!DH82</f>
        <v>7210.08</v>
      </c>
      <c r="Z24" s="255">
        <f t="shared" si="27"/>
        <v>0.81773183472014643</v>
      </c>
      <c r="AA24" s="252">
        <v>11818.843165197912</v>
      </c>
      <c r="AB24" s="243">
        <v>8817.169264869719</v>
      </c>
      <c r="AC24" s="250">
        <f>+'FUS-Working'!AP153</f>
        <v>2920</v>
      </c>
      <c r="AD24" s="250">
        <f>+'FUS-Working'!AQ153</f>
        <v>1868.8</v>
      </c>
      <c r="AE24" s="253">
        <f>'FUS-Working'!BW153</f>
        <v>6500</v>
      </c>
      <c r="AF24" s="253">
        <f>'FUS-Working'!BX153</f>
        <v>4160</v>
      </c>
      <c r="AG24" s="250">
        <f>'FUS-Working'!DG153</f>
        <v>6500</v>
      </c>
      <c r="AH24" s="250">
        <f>'FUS-Working'!DH153</f>
        <v>4160</v>
      </c>
      <c r="AI24" s="255">
        <f t="shared" si="5"/>
        <v>0.47180675282879098</v>
      </c>
      <c r="AJ24" s="256">
        <f t="shared" si="6"/>
        <v>26451.507794609155</v>
      </c>
      <c r="AK24" s="256">
        <f t="shared" si="7"/>
        <v>17672.16</v>
      </c>
      <c r="AL24" s="255">
        <f t="shared" si="8"/>
        <v>0.66809650841913837</v>
      </c>
      <c r="AM24" s="212"/>
      <c r="AN24" s="251"/>
      <c r="AO24" s="252"/>
      <c r="AP24" s="243"/>
      <c r="AQ24" s="250"/>
      <c r="AR24" s="250"/>
      <c r="AS24" s="253"/>
      <c r="AT24" s="253"/>
      <c r="AU24" s="250"/>
      <c r="AV24" s="250"/>
      <c r="AW24" s="255">
        <f t="shared" si="9"/>
        <v>0</v>
      </c>
      <c r="AX24" s="252"/>
      <c r="AY24" s="243"/>
      <c r="AZ24" s="250"/>
      <c r="BA24" s="250"/>
      <c r="BB24" s="253"/>
      <c r="BC24" s="253"/>
      <c r="BD24" s="250"/>
      <c r="BE24" s="250"/>
      <c r="BF24" s="255">
        <f t="shared" si="10"/>
        <v>0</v>
      </c>
      <c r="BG24" s="252"/>
      <c r="BH24" s="243"/>
      <c r="BI24" s="250"/>
      <c r="BJ24" s="250"/>
      <c r="BK24" s="253"/>
      <c r="BL24" s="253"/>
      <c r="BM24" s="250"/>
      <c r="BN24" s="250"/>
      <c r="BO24" s="255">
        <f t="shared" si="11"/>
        <v>0</v>
      </c>
      <c r="BP24" s="256">
        <f t="shared" si="12"/>
        <v>0</v>
      </c>
      <c r="BQ24" s="253">
        <f t="shared" si="13"/>
        <v>0</v>
      </c>
      <c r="BR24" s="255">
        <f t="shared" si="14"/>
        <v>0</v>
      </c>
      <c r="BT24" s="251"/>
      <c r="BU24" s="254"/>
      <c r="BV24" s="250"/>
      <c r="BW24" s="250"/>
      <c r="BX24" s="250"/>
      <c r="BY24" s="253"/>
      <c r="BZ24" s="253"/>
      <c r="CA24" s="250"/>
      <c r="CB24" s="250"/>
      <c r="CC24" s="255">
        <f t="shared" si="15"/>
        <v>0</v>
      </c>
      <c r="CD24" s="254"/>
      <c r="CE24" s="250"/>
      <c r="CF24" s="250"/>
      <c r="CG24" s="250"/>
      <c r="CH24" s="253"/>
      <c r="CI24" s="253"/>
      <c r="CJ24" s="250"/>
      <c r="CK24" s="250"/>
      <c r="CL24" s="255">
        <f t="shared" si="16"/>
        <v>0</v>
      </c>
      <c r="CM24" s="254"/>
      <c r="CN24" s="250"/>
      <c r="CO24" s="250"/>
      <c r="CP24" s="250"/>
      <c r="CQ24" s="253"/>
      <c r="CR24" s="253"/>
      <c r="CS24" s="250"/>
      <c r="CT24" s="250"/>
      <c r="CU24" s="255">
        <f t="shared" si="17"/>
        <v>0</v>
      </c>
      <c r="CV24" s="256">
        <f t="shared" si="18"/>
        <v>0</v>
      </c>
      <c r="CW24" s="253">
        <f t="shared" si="19"/>
        <v>0</v>
      </c>
      <c r="CX24" s="255">
        <f t="shared" si="20"/>
        <v>0</v>
      </c>
      <c r="CZ24" s="251"/>
      <c r="DA24" s="252"/>
      <c r="DB24" s="243"/>
      <c r="DC24" s="250"/>
      <c r="DD24" s="250"/>
      <c r="DE24" s="253"/>
      <c r="DF24" s="253"/>
      <c r="DG24" s="250"/>
      <c r="DH24" s="250"/>
      <c r="DI24" s="255">
        <f t="shared" si="21"/>
        <v>0</v>
      </c>
      <c r="DJ24" s="252"/>
      <c r="DK24" s="243"/>
      <c r="DL24" s="250"/>
      <c r="DM24" s="250"/>
      <c r="DN24" s="253"/>
      <c r="DO24" s="253"/>
      <c r="DP24" s="250"/>
      <c r="DQ24" s="250"/>
      <c r="DR24" s="255">
        <f t="shared" si="22"/>
        <v>0</v>
      </c>
      <c r="DS24" s="252"/>
      <c r="DT24" s="243"/>
      <c r="DU24" s="250"/>
      <c r="DV24" s="250"/>
      <c r="DW24" s="253"/>
      <c r="DX24" s="253"/>
      <c r="DY24" s="250"/>
      <c r="DZ24" s="250"/>
      <c r="EA24" s="255">
        <f t="shared" si="23"/>
        <v>0</v>
      </c>
      <c r="EB24" s="256">
        <f t="shared" si="24"/>
        <v>0</v>
      </c>
      <c r="EC24" s="253">
        <f t="shared" si="25"/>
        <v>0</v>
      </c>
      <c r="ED24" s="255">
        <f t="shared" si="26"/>
        <v>0</v>
      </c>
    </row>
    <row r="25" spans="1:134" s="213" customFormat="1" ht="30" customHeight="1" x14ac:dyDescent="0.25">
      <c r="A25" s="247">
        <v>7</v>
      </c>
      <c r="B25" s="378" t="s">
        <v>83</v>
      </c>
      <c r="C25" s="248" t="s">
        <v>82</v>
      </c>
      <c r="D25" s="248" t="s">
        <v>28</v>
      </c>
      <c r="E25" s="249" t="s">
        <v>317</v>
      </c>
      <c r="F25" s="250" t="s">
        <v>5</v>
      </c>
      <c r="G25" s="364">
        <v>3.0838907925627799E-2</v>
      </c>
      <c r="H25" s="214"/>
      <c r="I25" s="252">
        <v>8103.9801576863429</v>
      </c>
      <c r="J25" s="243">
        <v>6045.7833115064896</v>
      </c>
      <c r="K25" s="250">
        <v>0</v>
      </c>
      <c r="L25" s="250">
        <v>0</v>
      </c>
      <c r="M25" s="253">
        <f>'FUS-Working'!BW11</f>
        <v>2800</v>
      </c>
      <c r="N25" s="253">
        <f>'FUS-Working'!BX11</f>
        <v>1792</v>
      </c>
      <c r="O25" s="250">
        <f>'FUS-Working'!DG11</f>
        <v>6100</v>
      </c>
      <c r="P25" s="250">
        <f>'FUS-Working'!DH11</f>
        <v>4336</v>
      </c>
      <c r="Q25" s="255">
        <f t="shared" si="4"/>
        <v>0.71719408000409368</v>
      </c>
      <c r="R25" s="252">
        <v>8103.9801576863429</v>
      </c>
      <c r="S25" s="243">
        <v>6045.7833115064896</v>
      </c>
      <c r="T25" s="250">
        <f>'FUS-Working'!DG83</f>
        <v>7860</v>
      </c>
      <c r="U25" s="250">
        <f>'FUS-Working'!DH83</f>
        <v>5592</v>
      </c>
      <c r="V25" s="253">
        <f>'FUS-Working'!DG83</f>
        <v>7860</v>
      </c>
      <c r="W25" s="253">
        <f>'FUS-Working'!DH83</f>
        <v>5592</v>
      </c>
      <c r="X25" s="247">
        <f>'FUS-Working'!DG83</f>
        <v>7860</v>
      </c>
      <c r="Y25" s="247">
        <f>'FUS-Working'!DH83</f>
        <v>5592</v>
      </c>
      <c r="Z25" s="255">
        <f t="shared" si="27"/>
        <v>0.92494218066948619</v>
      </c>
      <c r="AA25" s="252">
        <v>8103.9801576863429</v>
      </c>
      <c r="AB25" s="243">
        <v>6045.7833115064896</v>
      </c>
      <c r="AC25" s="250">
        <f>+'FUS-Working'!AP154</f>
        <v>6600</v>
      </c>
      <c r="AD25" s="250">
        <f>+'FUS-Working'!AQ154</f>
        <v>5088</v>
      </c>
      <c r="AE25" s="253">
        <f>'FUS-Working'!BW154</f>
        <v>6600</v>
      </c>
      <c r="AF25" s="253">
        <f>'FUS-Working'!BX154</f>
        <v>5088</v>
      </c>
      <c r="AG25" s="250">
        <f>'FUS-Working'!DG154</f>
        <v>6600</v>
      </c>
      <c r="AH25" s="250">
        <f>'FUS-Working'!DH154</f>
        <v>5088</v>
      </c>
      <c r="AI25" s="255">
        <f t="shared" si="5"/>
        <v>0.84157829314133503</v>
      </c>
      <c r="AJ25" s="256">
        <f t="shared" si="6"/>
        <v>18137.349934519469</v>
      </c>
      <c r="AK25" s="256">
        <f t="shared" si="7"/>
        <v>15016</v>
      </c>
      <c r="AL25" s="255">
        <f t="shared" si="8"/>
        <v>0.82790485127163838</v>
      </c>
      <c r="AM25" s="212"/>
      <c r="AN25" s="251"/>
      <c r="AO25" s="252"/>
      <c r="AP25" s="243"/>
      <c r="AQ25" s="250"/>
      <c r="AR25" s="250"/>
      <c r="AS25" s="253"/>
      <c r="AT25" s="253"/>
      <c r="AU25" s="250"/>
      <c r="AV25" s="250"/>
      <c r="AW25" s="255">
        <f t="shared" si="9"/>
        <v>0</v>
      </c>
      <c r="AX25" s="252"/>
      <c r="AY25" s="243"/>
      <c r="AZ25" s="250"/>
      <c r="BA25" s="250"/>
      <c r="BB25" s="253"/>
      <c r="BC25" s="253"/>
      <c r="BD25" s="250"/>
      <c r="BE25" s="250"/>
      <c r="BF25" s="255">
        <f t="shared" si="10"/>
        <v>0</v>
      </c>
      <c r="BG25" s="252"/>
      <c r="BH25" s="243"/>
      <c r="BI25" s="250"/>
      <c r="BJ25" s="250"/>
      <c r="BK25" s="253"/>
      <c r="BL25" s="253"/>
      <c r="BM25" s="250"/>
      <c r="BN25" s="250"/>
      <c r="BO25" s="255">
        <f t="shared" si="11"/>
        <v>0</v>
      </c>
      <c r="BP25" s="256">
        <f t="shared" si="12"/>
        <v>0</v>
      </c>
      <c r="BQ25" s="253">
        <f t="shared" si="13"/>
        <v>0</v>
      </c>
      <c r="BR25" s="255">
        <f t="shared" si="14"/>
        <v>0</v>
      </c>
      <c r="BT25" s="251"/>
      <c r="BU25" s="254"/>
      <c r="BV25" s="250"/>
      <c r="BW25" s="250"/>
      <c r="BX25" s="250"/>
      <c r="BY25" s="253"/>
      <c r="BZ25" s="253"/>
      <c r="CA25" s="250"/>
      <c r="CB25" s="250"/>
      <c r="CC25" s="255">
        <f t="shared" si="15"/>
        <v>0</v>
      </c>
      <c r="CD25" s="254"/>
      <c r="CE25" s="250"/>
      <c r="CF25" s="250"/>
      <c r="CG25" s="250"/>
      <c r="CH25" s="253"/>
      <c r="CI25" s="253"/>
      <c r="CJ25" s="250"/>
      <c r="CK25" s="250"/>
      <c r="CL25" s="255">
        <f t="shared" si="16"/>
        <v>0</v>
      </c>
      <c r="CM25" s="254"/>
      <c r="CN25" s="250"/>
      <c r="CO25" s="250"/>
      <c r="CP25" s="250"/>
      <c r="CQ25" s="253"/>
      <c r="CR25" s="253"/>
      <c r="CS25" s="250"/>
      <c r="CT25" s="250"/>
      <c r="CU25" s="255">
        <f t="shared" si="17"/>
        <v>0</v>
      </c>
      <c r="CV25" s="256">
        <f t="shared" si="18"/>
        <v>0</v>
      </c>
      <c r="CW25" s="253">
        <f t="shared" si="19"/>
        <v>0</v>
      </c>
      <c r="CX25" s="255">
        <f t="shared" si="20"/>
        <v>0</v>
      </c>
      <c r="CZ25" s="251"/>
      <c r="DA25" s="252"/>
      <c r="DB25" s="243"/>
      <c r="DC25" s="250"/>
      <c r="DD25" s="250"/>
      <c r="DE25" s="253"/>
      <c r="DF25" s="253"/>
      <c r="DG25" s="250"/>
      <c r="DH25" s="250"/>
      <c r="DI25" s="255">
        <f t="shared" si="21"/>
        <v>0</v>
      </c>
      <c r="DJ25" s="252"/>
      <c r="DK25" s="243"/>
      <c r="DL25" s="250"/>
      <c r="DM25" s="250"/>
      <c r="DN25" s="253"/>
      <c r="DO25" s="253"/>
      <c r="DP25" s="250"/>
      <c r="DQ25" s="250"/>
      <c r="DR25" s="255">
        <f t="shared" si="22"/>
        <v>0</v>
      </c>
      <c r="DS25" s="252"/>
      <c r="DT25" s="243"/>
      <c r="DU25" s="250"/>
      <c r="DV25" s="250"/>
      <c r="DW25" s="253"/>
      <c r="DX25" s="253"/>
      <c r="DY25" s="250"/>
      <c r="DZ25" s="250"/>
      <c r="EA25" s="255">
        <f t="shared" si="23"/>
        <v>0</v>
      </c>
      <c r="EB25" s="256">
        <f t="shared" si="24"/>
        <v>0</v>
      </c>
      <c r="EC25" s="253">
        <f t="shared" si="25"/>
        <v>0</v>
      </c>
      <c r="ED25" s="255">
        <f t="shared" si="26"/>
        <v>0</v>
      </c>
    </row>
    <row r="26" spans="1:134" s="213" customFormat="1" ht="30" customHeight="1" x14ac:dyDescent="0.25">
      <c r="A26" s="247">
        <v>8</v>
      </c>
      <c r="B26" s="378" t="s">
        <v>107</v>
      </c>
      <c r="C26" s="248" t="s">
        <v>106</v>
      </c>
      <c r="D26" s="248" t="s">
        <v>41</v>
      </c>
      <c r="E26" s="249" t="s">
        <v>319</v>
      </c>
      <c r="F26" s="250" t="s">
        <v>5</v>
      </c>
      <c r="G26" s="364">
        <v>3.8541594241089702E-2</v>
      </c>
      <c r="H26" s="214"/>
      <c r="I26" s="252">
        <v>10128.125020789961</v>
      </c>
      <c r="J26" s="243">
        <v>7555.8488589667168</v>
      </c>
      <c r="K26" s="250">
        <v>3580</v>
      </c>
      <c r="L26" s="250">
        <v>2291.1999999999998</v>
      </c>
      <c r="M26" s="253">
        <f>'FUS-Working'!BW12</f>
        <v>8560</v>
      </c>
      <c r="N26" s="253">
        <f>'FUS-Working'!BX12</f>
        <v>5478.4</v>
      </c>
      <c r="O26" s="250">
        <f>'FUS-Working'!DG12</f>
        <v>11400</v>
      </c>
      <c r="P26" s="250">
        <f>'FUS-Working'!DH12</f>
        <v>7296</v>
      </c>
      <c r="Q26" s="255">
        <f t="shared" si="4"/>
        <v>0.96560957427591376</v>
      </c>
      <c r="R26" s="252">
        <v>10128.125020789961</v>
      </c>
      <c r="S26" s="243">
        <v>7555.8488589667168</v>
      </c>
      <c r="T26" s="250">
        <f>'FUS-Working'!DG84</f>
        <v>9160</v>
      </c>
      <c r="U26" s="250">
        <f>'FUS-Working'!DH84</f>
        <v>6078.4</v>
      </c>
      <c r="V26" s="253">
        <f>'FUS-Working'!DG84</f>
        <v>9160</v>
      </c>
      <c r="W26" s="253">
        <f>'FUS-Working'!DH84</f>
        <v>6078.4</v>
      </c>
      <c r="X26" s="247">
        <f>'FUS-Working'!DG84</f>
        <v>9160</v>
      </c>
      <c r="Y26" s="247">
        <f>'FUS-Working'!DH84</f>
        <v>6078.4</v>
      </c>
      <c r="Z26" s="255">
        <f t="shared" si="27"/>
        <v>0.80446288874434124</v>
      </c>
      <c r="AA26" s="252">
        <v>10128.125020789961</v>
      </c>
      <c r="AB26" s="243">
        <v>7555.8488589667168</v>
      </c>
      <c r="AC26" s="250">
        <f>+'FUS-Working'!AP155</f>
        <v>2180</v>
      </c>
      <c r="AD26" s="250">
        <f>+'FUS-Working'!AQ155</f>
        <v>1611.2</v>
      </c>
      <c r="AE26" s="253">
        <f>'FUS-Working'!BW155</f>
        <v>6360</v>
      </c>
      <c r="AF26" s="253">
        <f>'FUS-Working'!BX155</f>
        <v>4502.3999999999996</v>
      </c>
      <c r="AG26" s="250">
        <f>'FUS-Working'!DG155</f>
        <v>6360</v>
      </c>
      <c r="AH26" s="250">
        <f>'FUS-Working'!DH155</f>
        <v>4502.3999999999996</v>
      </c>
      <c r="AI26" s="255">
        <f t="shared" si="5"/>
        <v>0.59588275044132044</v>
      </c>
      <c r="AJ26" s="256">
        <f t="shared" si="6"/>
        <v>22667.546576900149</v>
      </c>
      <c r="AK26" s="256">
        <f t="shared" si="7"/>
        <v>17876.8</v>
      </c>
      <c r="AL26" s="255">
        <f t="shared" ref="AL26:AL28" si="28">IFERROR((AK26/AJ26),0)</f>
        <v>0.78865173782052511</v>
      </c>
      <c r="AM26" s="212"/>
      <c r="AN26" s="251"/>
      <c r="AO26" s="252"/>
      <c r="AP26" s="243"/>
      <c r="AQ26" s="250"/>
      <c r="AR26" s="250"/>
      <c r="AS26" s="253"/>
      <c r="AT26" s="253"/>
      <c r="AU26" s="250"/>
      <c r="AV26" s="250"/>
      <c r="AW26" s="255"/>
      <c r="AX26" s="252"/>
      <c r="AY26" s="243"/>
      <c r="AZ26" s="250"/>
      <c r="BA26" s="250"/>
      <c r="BB26" s="253"/>
      <c r="BC26" s="253"/>
      <c r="BD26" s="250"/>
      <c r="BE26" s="250"/>
      <c r="BF26" s="255"/>
      <c r="BG26" s="252"/>
      <c r="BH26" s="243"/>
      <c r="BI26" s="250"/>
      <c r="BJ26" s="250"/>
      <c r="BK26" s="253"/>
      <c r="BL26" s="253"/>
      <c r="BM26" s="250"/>
      <c r="BN26" s="250"/>
      <c r="BO26" s="255"/>
      <c r="BP26" s="256"/>
      <c r="BQ26" s="253"/>
      <c r="BR26" s="255"/>
      <c r="BT26" s="251"/>
      <c r="BU26" s="254"/>
      <c r="BV26" s="250"/>
      <c r="BW26" s="250"/>
      <c r="BX26" s="250"/>
      <c r="BY26" s="253"/>
      <c r="BZ26" s="253"/>
      <c r="CA26" s="250"/>
      <c r="CB26" s="250"/>
      <c r="CC26" s="255"/>
      <c r="CD26" s="254"/>
      <c r="CE26" s="250"/>
      <c r="CF26" s="250"/>
      <c r="CG26" s="250"/>
      <c r="CH26" s="253"/>
      <c r="CI26" s="253"/>
      <c r="CJ26" s="250"/>
      <c r="CK26" s="250"/>
      <c r="CL26" s="255"/>
      <c r="CM26" s="254"/>
      <c r="CN26" s="250"/>
      <c r="CO26" s="250"/>
      <c r="CP26" s="250"/>
      <c r="CQ26" s="253"/>
      <c r="CR26" s="253"/>
      <c r="CS26" s="250"/>
      <c r="CT26" s="250"/>
      <c r="CU26" s="255"/>
      <c r="CV26" s="256"/>
      <c r="CW26" s="253"/>
      <c r="CX26" s="255"/>
      <c r="CZ26" s="251"/>
      <c r="DA26" s="252"/>
      <c r="DB26" s="243"/>
      <c r="DC26" s="250"/>
      <c r="DD26" s="250"/>
      <c r="DE26" s="253"/>
      <c r="DF26" s="253"/>
      <c r="DG26" s="250"/>
      <c r="DH26" s="250"/>
      <c r="DI26" s="255"/>
      <c r="DJ26" s="252"/>
      <c r="DK26" s="243"/>
      <c r="DL26" s="250"/>
      <c r="DM26" s="250"/>
      <c r="DN26" s="253"/>
      <c r="DO26" s="253"/>
      <c r="DP26" s="250"/>
      <c r="DQ26" s="250"/>
      <c r="DR26" s="255"/>
      <c r="DS26" s="252"/>
      <c r="DT26" s="243"/>
      <c r="DU26" s="250"/>
      <c r="DV26" s="250"/>
      <c r="DW26" s="253"/>
      <c r="DX26" s="253"/>
      <c r="DY26" s="250"/>
      <c r="DZ26" s="250"/>
      <c r="EA26" s="255"/>
      <c r="EB26" s="256"/>
      <c r="EC26" s="253"/>
      <c r="ED26" s="255"/>
    </row>
    <row r="27" spans="1:134" s="213" customFormat="1" ht="30" customHeight="1" x14ac:dyDescent="0.25">
      <c r="A27" s="247">
        <v>9</v>
      </c>
      <c r="B27" s="378" t="s">
        <v>322</v>
      </c>
      <c r="C27" s="248" t="s">
        <v>85</v>
      </c>
      <c r="D27" s="248" t="s">
        <v>28</v>
      </c>
      <c r="E27" s="249" t="s">
        <v>321</v>
      </c>
      <c r="F27" s="250" t="s">
        <v>5</v>
      </c>
      <c r="G27" s="364">
        <v>3.1508957819504801E-2</v>
      </c>
      <c r="H27" s="214"/>
      <c r="I27" s="252">
        <v>8280.0587353627761</v>
      </c>
      <c r="J27" s="243">
        <v>6177.1425825950682</v>
      </c>
      <c r="K27" s="250">
        <v>0</v>
      </c>
      <c r="L27" s="250">
        <v>0</v>
      </c>
      <c r="M27" s="253">
        <f>'FUS-Working'!BW13</f>
        <v>1400</v>
      </c>
      <c r="N27" s="253">
        <f>'FUS-Working'!BX13</f>
        <v>896</v>
      </c>
      <c r="O27" s="250">
        <f>'FUS-Working'!DG13</f>
        <v>2600</v>
      </c>
      <c r="P27" s="250">
        <f>'FUS-Working'!DH13</f>
        <v>2096</v>
      </c>
      <c r="Q27" s="255">
        <f t="shared" si="4"/>
        <v>0.33931546373978194</v>
      </c>
      <c r="R27" s="252">
        <v>8280.0587353627761</v>
      </c>
      <c r="S27" s="243">
        <v>6177.1425825950682</v>
      </c>
      <c r="T27" s="250">
        <f>'FUS-Working'!DG85</f>
        <v>6800</v>
      </c>
      <c r="U27" s="250">
        <f>'FUS-Working'!DH85</f>
        <v>4784</v>
      </c>
      <c r="V27" s="253">
        <f>'FUS-Working'!DG85</f>
        <v>6800</v>
      </c>
      <c r="W27" s="253">
        <f>'FUS-Working'!DH85</f>
        <v>4784</v>
      </c>
      <c r="X27" s="247">
        <f>'FUS-Working'!DG85</f>
        <v>6800</v>
      </c>
      <c r="Y27" s="247">
        <f>'FUS-Working'!DH85</f>
        <v>4784</v>
      </c>
      <c r="Z27" s="255">
        <f t="shared" si="27"/>
        <v>0.7744681195282046</v>
      </c>
      <c r="AA27" s="252">
        <v>8280.0587353627761</v>
      </c>
      <c r="AB27" s="243">
        <v>6177.1425825950682</v>
      </c>
      <c r="AC27" s="250">
        <f>+'FUS-Working'!AP156</f>
        <v>4000</v>
      </c>
      <c r="AD27" s="250">
        <f>+'FUS-Working'!AQ156</f>
        <v>2992</v>
      </c>
      <c r="AE27" s="253">
        <f>'FUS-Working'!BW156</f>
        <v>6400</v>
      </c>
      <c r="AF27" s="253">
        <f>'FUS-Working'!BX156</f>
        <v>5392</v>
      </c>
      <c r="AG27" s="250">
        <f>'FUS-Working'!DG156</f>
        <v>6400</v>
      </c>
      <c r="AH27" s="250">
        <f>'FUS-Working'!DH156</f>
        <v>5392</v>
      </c>
      <c r="AI27" s="255">
        <f t="shared" si="5"/>
        <v>0.87289550595653831</v>
      </c>
      <c r="AJ27" s="256">
        <f t="shared" si="6"/>
        <v>18531.427747785205</v>
      </c>
      <c r="AK27" s="256">
        <f t="shared" si="7"/>
        <v>12272</v>
      </c>
      <c r="AL27" s="255">
        <f t="shared" si="28"/>
        <v>0.66222636307484162</v>
      </c>
      <c r="AM27" s="212"/>
      <c r="AN27" s="251"/>
      <c r="AO27" s="252"/>
      <c r="AP27" s="243"/>
      <c r="AQ27" s="250"/>
      <c r="AR27" s="250"/>
      <c r="AS27" s="253"/>
      <c r="AT27" s="253"/>
      <c r="AU27" s="250"/>
      <c r="AV27" s="250"/>
      <c r="AW27" s="255"/>
      <c r="AX27" s="252"/>
      <c r="AY27" s="243"/>
      <c r="AZ27" s="250"/>
      <c r="BA27" s="250"/>
      <c r="BB27" s="253"/>
      <c r="BC27" s="253"/>
      <c r="BD27" s="250"/>
      <c r="BE27" s="250"/>
      <c r="BF27" s="255"/>
      <c r="BG27" s="252"/>
      <c r="BH27" s="243"/>
      <c r="BI27" s="250"/>
      <c r="BJ27" s="250"/>
      <c r="BK27" s="253"/>
      <c r="BL27" s="253"/>
      <c r="BM27" s="250"/>
      <c r="BN27" s="250"/>
      <c r="BO27" s="255"/>
      <c r="BP27" s="256"/>
      <c r="BQ27" s="253"/>
      <c r="BR27" s="255"/>
      <c r="BT27" s="251"/>
      <c r="BU27" s="254"/>
      <c r="BV27" s="250"/>
      <c r="BW27" s="250"/>
      <c r="BX27" s="250"/>
      <c r="BY27" s="253"/>
      <c r="BZ27" s="253"/>
      <c r="CA27" s="250"/>
      <c r="CB27" s="250"/>
      <c r="CC27" s="255"/>
      <c r="CD27" s="254"/>
      <c r="CE27" s="250"/>
      <c r="CF27" s="250"/>
      <c r="CG27" s="250"/>
      <c r="CH27" s="253"/>
      <c r="CI27" s="253"/>
      <c r="CJ27" s="250"/>
      <c r="CK27" s="250"/>
      <c r="CL27" s="255"/>
      <c r="CM27" s="254"/>
      <c r="CN27" s="250"/>
      <c r="CO27" s="250"/>
      <c r="CP27" s="250"/>
      <c r="CQ27" s="253"/>
      <c r="CR27" s="253"/>
      <c r="CS27" s="250"/>
      <c r="CT27" s="250"/>
      <c r="CU27" s="255"/>
      <c r="CV27" s="256"/>
      <c r="CW27" s="253"/>
      <c r="CX27" s="255"/>
      <c r="CZ27" s="251"/>
      <c r="DA27" s="252"/>
      <c r="DB27" s="243"/>
      <c r="DC27" s="250"/>
      <c r="DD27" s="250"/>
      <c r="DE27" s="253"/>
      <c r="DF27" s="253"/>
      <c r="DG27" s="250"/>
      <c r="DH27" s="250"/>
      <c r="DI27" s="255"/>
      <c r="DJ27" s="252"/>
      <c r="DK27" s="243"/>
      <c r="DL27" s="250"/>
      <c r="DM27" s="250"/>
      <c r="DN27" s="253"/>
      <c r="DO27" s="253"/>
      <c r="DP27" s="250"/>
      <c r="DQ27" s="250"/>
      <c r="DR27" s="255"/>
      <c r="DS27" s="252"/>
      <c r="DT27" s="243"/>
      <c r="DU27" s="250"/>
      <c r="DV27" s="250"/>
      <c r="DW27" s="253"/>
      <c r="DX27" s="253"/>
      <c r="DY27" s="250"/>
      <c r="DZ27" s="250"/>
      <c r="EA27" s="255"/>
      <c r="EB27" s="256"/>
      <c r="EC27" s="253"/>
      <c r="ED27" s="255"/>
    </row>
    <row r="28" spans="1:134" s="213" customFormat="1" ht="30" customHeight="1" x14ac:dyDescent="0.25">
      <c r="A28" s="247">
        <v>10</v>
      </c>
      <c r="B28" s="378" t="s">
        <v>56</v>
      </c>
      <c r="C28" s="248" t="s">
        <v>452</v>
      </c>
      <c r="D28" s="248" t="s">
        <v>41</v>
      </c>
      <c r="E28" s="249" t="s">
        <v>319</v>
      </c>
      <c r="F28" s="250" t="s">
        <v>5</v>
      </c>
      <c r="G28" s="364">
        <v>2.8442510474592501E-2</v>
      </c>
      <c r="H28" s="214"/>
      <c r="I28" s="252">
        <v>7474.2445833931542</v>
      </c>
      <c r="J28" s="243">
        <v>5575.9839349479635</v>
      </c>
      <c r="K28" s="250">
        <v>3400</v>
      </c>
      <c r="L28" s="250">
        <v>2392</v>
      </c>
      <c r="M28" s="253">
        <f>'FUS-Working'!BW14</f>
        <v>5300</v>
      </c>
      <c r="N28" s="253">
        <f>'FUS-Working'!BX14</f>
        <v>4040</v>
      </c>
      <c r="O28" s="250">
        <f>'FUS-Working'!DG14</f>
        <v>5300</v>
      </c>
      <c r="P28" s="250">
        <f>'FUS-Working'!DH14</f>
        <v>4040</v>
      </c>
      <c r="Q28" s="255">
        <f t="shared" si="4"/>
        <v>0.72453580339049206</v>
      </c>
      <c r="R28" s="252">
        <v>7474.2445833931542</v>
      </c>
      <c r="S28" s="243">
        <v>5575.9839349479635</v>
      </c>
      <c r="T28" s="250">
        <f>'FUS-Working'!DG86</f>
        <v>7680</v>
      </c>
      <c r="U28" s="250">
        <f>'FUS-Working'!DH86</f>
        <v>5865.6</v>
      </c>
      <c r="V28" s="253">
        <f>'FUS-Working'!DG86</f>
        <v>7680</v>
      </c>
      <c r="W28" s="253">
        <f>'FUS-Working'!DH86</f>
        <v>5865.6</v>
      </c>
      <c r="X28" s="247">
        <f>'FUS-Working'!DG86</f>
        <v>7680</v>
      </c>
      <c r="Y28" s="247">
        <f>'FUS-Working'!DH86</f>
        <v>5865.6</v>
      </c>
      <c r="Z28" s="255">
        <f t="shared" si="27"/>
        <v>1.0519399030612056</v>
      </c>
      <c r="AA28" s="252">
        <v>7474.2445833931542</v>
      </c>
      <c r="AB28" s="243">
        <v>5575.9839349479635</v>
      </c>
      <c r="AC28" s="250">
        <f>+'FUS-Working'!AP157</f>
        <v>3600</v>
      </c>
      <c r="AD28" s="250">
        <f>+'FUS-Working'!AQ157</f>
        <v>2844</v>
      </c>
      <c r="AE28" s="253">
        <f>'FUS-Working'!BW157</f>
        <v>6650</v>
      </c>
      <c r="AF28" s="253">
        <f>'FUS-Working'!BX157</f>
        <v>5012</v>
      </c>
      <c r="AG28" s="250">
        <f>'FUS-Working'!DG157</f>
        <v>6650</v>
      </c>
      <c r="AH28" s="250">
        <f>'FUS-Working'!DH157</f>
        <v>5012</v>
      </c>
      <c r="AI28" s="255">
        <f t="shared" si="5"/>
        <v>0.89885481351315499</v>
      </c>
      <c r="AJ28" s="256">
        <f t="shared" si="6"/>
        <v>16727.951804843891</v>
      </c>
      <c r="AK28" s="256">
        <f t="shared" si="7"/>
        <v>14917.6</v>
      </c>
      <c r="AL28" s="255">
        <f t="shared" si="28"/>
        <v>0.89177683998828416</v>
      </c>
      <c r="AM28" s="212"/>
      <c r="AN28" s="251"/>
      <c r="AO28" s="252"/>
      <c r="AP28" s="243"/>
      <c r="AQ28" s="250"/>
      <c r="AR28" s="250"/>
      <c r="AS28" s="253"/>
      <c r="AT28" s="253"/>
      <c r="AU28" s="250"/>
      <c r="AV28" s="250"/>
      <c r="AW28" s="255"/>
      <c r="AX28" s="252"/>
      <c r="AY28" s="243"/>
      <c r="AZ28" s="250"/>
      <c r="BA28" s="250"/>
      <c r="BB28" s="253"/>
      <c r="BC28" s="253"/>
      <c r="BD28" s="250"/>
      <c r="BE28" s="250"/>
      <c r="BF28" s="255"/>
      <c r="BG28" s="252"/>
      <c r="BH28" s="243"/>
      <c r="BI28" s="250"/>
      <c r="BJ28" s="250"/>
      <c r="BK28" s="253"/>
      <c r="BL28" s="253"/>
      <c r="BM28" s="250"/>
      <c r="BN28" s="250"/>
      <c r="BO28" s="255"/>
      <c r="BP28" s="256"/>
      <c r="BQ28" s="253"/>
      <c r="BR28" s="255"/>
      <c r="BT28" s="251"/>
      <c r="BU28" s="254"/>
      <c r="BV28" s="250"/>
      <c r="BW28" s="250"/>
      <c r="BX28" s="250"/>
      <c r="BY28" s="253"/>
      <c r="BZ28" s="253"/>
      <c r="CA28" s="250"/>
      <c r="CB28" s="250"/>
      <c r="CC28" s="255"/>
      <c r="CD28" s="254"/>
      <c r="CE28" s="250"/>
      <c r="CF28" s="250"/>
      <c r="CG28" s="250"/>
      <c r="CH28" s="253"/>
      <c r="CI28" s="253"/>
      <c r="CJ28" s="250"/>
      <c r="CK28" s="250"/>
      <c r="CL28" s="255"/>
      <c r="CM28" s="254"/>
      <c r="CN28" s="250"/>
      <c r="CO28" s="250"/>
      <c r="CP28" s="250"/>
      <c r="CQ28" s="253"/>
      <c r="CR28" s="253"/>
      <c r="CS28" s="250"/>
      <c r="CT28" s="250"/>
      <c r="CU28" s="255"/>
      <c r="CV28" s="256"/>
      <c r="CW28" s="253"/>
      <c r="CX28" s="255"/>
      <c r="CZ28" s="251"/>
      <c r="DA28" s="252"/>
      <c r="DB28" s="243"/>
      <c r="DC28" s="250"/>
      <c r="DD28" s="250"/>
      <c r="DE28" s="253"/>
      <c r="DF28" s="253"/>
      <c r="DG28" s="250"/>
      <c r="DH28" s="250"/>
      <c r="DI28" s="255"/>
      <c r="DJ28" s="252"/>
      <c r="DK28" s="243"/>
      <c r="DL28" s="250"/>
      <c r="DM28" s="250"/>
      <c r="DN28" s="253"/>
      <c r="DO28" s="253"/>
      <c r="DP28" s="250"/>
      <c r="DQ28" s="250"/>
      <c r="DR28" s="255"/>
      <c r="DS28" s="252"/>
      <c r="DT28" s="243"/>
      <c r="DU28" s="250"/>
      <c r="DV28" s="250"/>
      <c r="DW28" s="253"/>
      <c r="DX28" s="253"/>
      <c r="DY28" s="250"/>
      <c r="DZ28" s="250"/>
      <c r="EA28" s="255"/>
      <c r="EB28" s="256"/>
      <c r="EC28" s="253"/>
      <c r="ED28" s="255"/>
    </row>
    <row r="29" spans="1:134" s="213" customFormat="1" ht="30" customHeight="1" x14ac:dyDescent="0.25">
      <c r="A29" s="247">
        <v>11</v>
      </c>
      <c r="B29" s="378" t="s">
        <v>52</v>
      </c>
      <c r="C29" s="257" t="s">
        <v>51</v>
      </c>
      <c r="D29" s="257" t="s">
        <v>28</v>
      </c>
      <c r="E29" s="258" t="s">
        <v>317</v>
      </c>
      <c r="F29" s="250" t="s">
        <v>5</v>
      </c>
      <c r="G29" s="364">
        <v>2.6898508254551898E-2</v>
      </c>
      <c r="H29" s="214"/>
      <c r="I29" s="252">
        <v>7068.5050745620165</v>
      </c>
      <c r="J29" s="243">
        <v>5273.2915413858282</v>
      </c>
      <c r="K29" s="250">
        <v>2560</v>
      </c>
      <c r="L29" s="250">
        <v>2156.8000000000002</v>
      </c>
      <c r="M29" s="253">
        <f>'FUS-Working'!BW15</f>
        <v>3210</v>
      </c>
      <c r="N29" s="253">
        <f>'FUS-Working'!BX15</f>
        <v>2680.8</v>
      </c>
      <c r="O29" s="250">
        <f>'FUS-Working'!DG15</f>
        <v>6460</v>
      </c>
      <c r="P29" s="250">
        <f>'FUS-Working'!DH15</f>
        <v>5300.8</v>
      </c>
      <c r="Q29" s="255">
        <f t="shared" si="4"/>
        <v>1.0052165632031305</v>
      </c>
      <c r="R29" s="252">
        <v>7068.5050745620165</v>
      </c>
      <c r="S29" s="243">
        <v>5273.2915413858282</v>
      </c>
      <c r="T29" s="250">
        <f>'FUS-Working'!DG87</f>
        <v>3880</v>
      </c>
      <c r="U29" s="250">
        <f>'FUS-Working'!DH87</f>
        <v>3174.4</v>
      </c>
      <c r="V29" s="247">
        <f>'FUS-Working'!DG87</f>
        <v>3880</v>
      </c>
      <c r="W29" s="247">
        <f>'FUS-Working'!DH87</f>
        <v>3174.4</v>
      </c>
      <c r="X29" s="247">
        <f>'FUS-Working'!DG87</f>
        <v>3880</v>
      </c>
      <c r="Y29" s="247">
        <f>'FUS-Working'!DH87</f>
        <v>3174.4</v>
      </c>
      <c r="Z29" s="255">
        <f t="shared" si="27"/>
        <v>0.60197695786145811</v>
      </c>
      <c r="AA29" s="252">
        <v>7068.5050745620165</v>
      </c>
      <c r="AB29" s="243">
        <v>5273.2915413858282</v>
      </c>
      <c r="AC29" s="250">
        <f>+'FUS-Working'!AP158</f>
        <v>4040</v>
      </c>
      <c r="AD29" s="250">
        <f>+'FUS-Working'!AQ158</f>
        <v>3384.8</v>
      </c>
      <c r="AE29" s="253">
        <f>'FUS-Working'!BW158</f>
        <v>5340</v>
      </c>
      <c r="AF29" s="253">
        <f>'FUS-Working'!BX158</f>
        <v>4432.8</v>
      </c>
      <c r="AG29" s="250">
        <f>'FUS-Working'!DG158</f>
        <v>5340</v>
      </c>
      <c r="AH29" s="250">
        <f>'FUS-Working'!DH158</f>
        <v>4432.8</v>
      </c>
      <c r="AI29" s="255">
        <f t="shared" si="5"/>
        <v>0.84061348878788789</v>
      </c>
      <c r="AJ29" s="256">
        <f t="shared" si="6"/>
        <v>15819.874624157485</v>
      </c>
      <c r="AK29" s="256">
        <f t="shared" si="7"/>
        <v>12908</v>
      </c>
      <c r="AL29" s="255">
        <f t="shared" si="8"/>
        <v>0.81593566995082545</v>
      </c>
      <c r="AM29" s="212"/>
      <c r="AN29" s="251"/>
      <c r="AO29" s="252"/>
      <c r="AP29" s="243"/>
      <c r="AQ29" s="250"/>
      <c r="AR29" s="250"/>
      <c r="AS29" s="253"/>
      <c r="AT29" s="253"/>
      <c r="AU29" s="250"/>
      <c r="AV29" s="250"/>
      <c r="AW29" s="255">
        <f t="shared" si="9"/>
        <v>0</v>
      </c>
      <c r="AX29" s="252"/>
      <c r="AY29" s="243"/>
      <c r="AZ29" s="250"/>
      <c r="BA29" s="250"/>
      <c r="BB29" s="253"/>
      <c r="BC29" s="253"/>
      <c r="BD29" s="250"/>
      <c r="BE29" s="250"/>
      <c r="BF29" s="255">
        <f t="shared" si="10"/>
        <v>0</v>
      </c>
      <c r="BG29" s="252"/>
      <c r="BH29" s="243"/>
      <c r="BI29" s="250"/>
      <c r="BJ29" s="250"/>
      <c r="BK29" s="253"/>
      <c r="BL29" s="253"/>
      <c r="BM29" s="250"/>
      <c r="BN29" s="250"/>
      <c r="BO29" s="255">
        <f t="shared" si="11"/>
        <v>0</v>
      </c>
      <c r="BP29" s="256">
        <f t="shared" si="12"/>
        <v>0</v>
      </c>
      <c r="BQ29" s="253">
        <f t="shared" si="13"/>
        <v>0</v>
      </c>
      <c r="BR29" s="255">
        <f t="shared" si="14"/>
        <v>0</v>
      </c>
      <c r="BT29" s="251"/>
      <c r="BU29" s="254"/>
      <c r="BV29" s="250"/>
      <c r="BW29" s="250"/>
      <c r="BX29" s="250"/>
      <c r="BY29" s="253"/>
      <c r="BZ29" s="253"/>
      <c r="CA29" s="250"/>
      <c r="CB29" s="250"/>
      <c r="CC29" s="255">
        <f t="shared" si="15"/>
        <v>0</v>
      </c>
      <c r="CD29" s="254"/>
      <c r="CE29" s="250"/>
      <c r="CF29" s="250"/>
      <c r="CG29" s="250"/>
      <c r="CH29" s="253"/>
      <c r="CI29" s="253"/>
      <c r="CJ29" s="250"/>
      <c r="CK29" s="250"/>
      <c r="CL29" s="255">
        <f t="shared" si="16"/>
        <v>0</v>
      </c>
      <c r="CM29" s="254"/>
      <c r="CN29" s="250"/>
      <c r="CO29" s="250"/>
      <c r="CP29" s="250"/>
      <c r="CQ29" s="253"/>
      <c r="CR29" s="253"/>
      <c r="CS29" s="250"/>
      <c r="CT29" s="250"/>
      <c r="CU29" s="255">
        <f t="shared" si="17"/>
        <v>0</v>
      </c>
      <c r="CV29" s="256">
        <f t="shared" si="18"/>
        <v>0</v>
      </c>
      <c r="CW29" s="253">
        <f t="shared" si="19"/>
        <v>0</v>
      </c>
      <c r="CX29" s="255">
        <f t="shared" si="20"/>
        <v>0</v>
      </c>
      <c r="CZ29" s="251"/>
      <c r="DA29" s="252"/>
      <c r="DB29" s="243"/>
      <c r="DC29" s="250"/>
      <c r="DD29" s="250"/>
      <c r="DE29" s="253"/>
      <c r="DF29" s="253"/>
      <c r="DG29" s="250"/>
      <c r="DH29" s="250"/>
      <c r="DI29" s="255">
        <f t="shared" si="21"/>
        <v>0</v>
      </c>
      <c r="DJ29" s="252"/>
      <c r="DK29" s="243"/>
      <c r="DL29" s="250"/>
      <c r="DM29" s="250"/>
      <c r="DN29" s="253"/>
      <c r="DO29" s="253"/>
      <c r="DP29" s="250"/>
      <c r="DQ29" s="250"/>
      <c r="DR29" s="255">
        <f t="shared" si="22"/>
        <v>0</v>
      </c>
      <c r="DS29" s="252"/>
      <c r="DT29" s="243"/>
      <c r="DU29" s="250"/>
      <c r="DV29" s="250"/>
      <c r="DW29" s="253"/>
      <c r="DX29" s="253"/>
      <c r="DY29" s="250"/>
      <c r="DZ29" s="250"/>
      <c r="EA29" s="255">
        <f t="shared" si="23"/>
        <v>0</v>
      </c>
      <c r="EB29" s="256">
        <f t="shared" si="24"/>
        <v>0</v>
      </c>
      <c r="EC29" s="253">
        <f t="shared" si="25"/>
        <v>0</v>
      </c>
      <c r="ED29" s="255">
        <f t="shared" si="26"/>
        <v>0</v>
      </c>
    </row>
    <row r="30" spans="1:134" s="213" customFormat="1" ht="30" customHeight="1" x14ac:dyDescent="0.25">
      <c r="A30" s="247">
        <v>12</v>
      </c>
      <c r="B30" s="378" t="s">
        <v>69</v>
      </c>
      <c r="C30" s="257" t="s">
        <v>68</v>
      </c>
      <c r="D30" s="257" t="s">
        <v>28</v>
      </c>
      <c r="E30" s="258" t="s">
        <v>317</v>
      </c>
      <c r="F30" s="250" t="s">
        <v>5</v>
      </c>
      <c r="G30" s="364">
        <v>3.1029559666388599E-2</v>
      </c>
      <c r="H30" s="214"/>
      <c r="I30" s="252">
        <v>8154.080437757204</v>
      </c>
      <c r="J30" s="243">
        <v>6083.1594441302759</v>
      </c>
      <c r="K30" s="250">
        <v>2400</v>
      </c>
      <c r="L30" s="250">
        <v>2400</v>
      </c>
      <c r="M30" s="253">
        <f>'FUS-Working'!BW16</f>
        <v>6420</v>
      </c>
      <c r="N30" s="253">
        <f>'FUS-Working'!BX16</f>
        <v>6268.8</v>
      </c>
      <c r="O30" s="250">
        <f>'FUS-Working'!DG16</f>
        <v>9660</v>
      </c>
      <c r="P30" s="250">
        <f>'FUS-Working'!DH16</f>
        <v>9508.7999999999993</v>
      </c>
      <c r="Q30" s="255">
        <f t="shared" si="4"/>
        <v>1.5631350924354237</v>
      </c>
      <c r="R30" s="252">
        <v>8154.080437757204</v>
      </c>
      <c r="S30" s="243">
        <v>6083.1594441302759</v>
      </c>
      <c r="T30" s="250">
        <f>'FUS-Working'!DG88</f>
        <v>10200</v>
      </c>
      <c r="U30" s="250">
        <f>'FUS-Working'!DH88</f>
        <v>10200</v>
      </c>
      <c r="V30" s="253">
        <f>'FUS-Working'!DG88</f>
        <v>10200</v>
      </c>
      <c r="W30" s="253">
        <f>'FUS-Working'!DH88</f>
        <v>10200</v>
      </c>
      <c r="X30" s="247">
        <f>'FUS-Working'!DG88</f>
        <v>10200</v>
      </c>
      <c r="Y30" s="247">
        <f>'FUS-Working'!DH88</f>
        <v>10200</v>
      </c>
      <c r="Z30" s="255">
        <f t="shared" si="27"/>
        <v>1.6767602581652072</v>
      </c>
      <c r="AA30" s="252">
        <v>8154.080437757204</v>
      </c>
      <c r="AB30" s="243">
        <v>6083.1594441302759</v>
      </c>
      <c r="AC30" s="250">
        <f>+'FUS-Working'!AP159</f>
        <v>8160</v>
      </c>
      <c r="AD30" s="250">
        <f>+'FUS-Working'!AQ159</f>
        <v>8160</v>
      </c>
      <c r="AE30" s="253">
        <f>'FUS-Working'!BW159</f>
        <v>8160</v>
      </c>
      <c r="AF30" s="253">
        <f>'FUS-Working'!BX159</f>
        <v>8160</v>
      </c>
      <c r="AG30" s="250">
        <f>'FUS-Working'!DG159</f>
        <v>8160</v>
      </c>
      <c r="AH30" s="250">
        <f>'FUS-Working'!DH159</f>
        <v>8160</v>
      </c>
      <c r="AI30" s="255">
        <f t="shared" si="5"/>
        <v>1.3414082065321657</v>
      </c>
      <c r="AJ30" s="256">
        <f t="shared" si="6"/>
        <v>18249.478332390827</v>
      </c>
      <c r="AK30" s="256">
        <f t="shared" si="7"/>
        <v>27868.799999999999</v>
      </c>
      <c r="AL30" s="255">
        <f t="shared" si="8"/>
        <v>1.5271011857109322</v>
      </c>
      <c r="AM30" s="212"/>
      <c r="AN30" s="251"/>
      <c r="AO30" s="252"/>
      <c r="AP30" s="243"/>
      <c r="AQ30" s="250"/>
      <c r="AR30" s="250"/>
      <c r="AS30" s="253"/>
      <c r="AT30" s="253"/>
      <c r="AU30" s="250"/>
      <c r="AV30" s="250"/>
      <c r="AW30" s="255">
        <f t="shared" si="9"/>
        <v>0</v>
      </c>
      <c r="AX30" s="252"/>
      <c r="AY30" s="243"/>
      <c r="AZ30" s="250"/>
      <c r="BA30" s="250"/>
      <c r="BB30" s="253"/>
      <c r="BC30" s="253"/>
      <c r="BD30" s="250"/>
      <c r="BE30" s="250"/>
      <c r="BF30" s="255">
        <f t="shared" si="10"/>
        <v>0</v>
      </c>
      <c r="BG30" s="252"/>
      <c r="BH30" s="243"/>
      <c r="BI30" s="250"/>
      <c r="BJ30" s="250"/>
      <c r="BK30" s="253"/>
      <c r="BL30" s="253"/>
      <c r="BM30" s="250"/>
      <c r="BN30" s="250"/>
      <c r="BO30" s="255">
        <f t="shared" si="11"/>
        <v>0</v>
      </c>
      <c r="BP30" s="256">
        <f t="shared" si="12"/>
        <v>0</v>
      </c>
      <c r="BQ30" s="253">
        <f t="shared" si="13"/>
        <v>0</v>
      </c>
      <c r="BR30" s="255">
        <f t="shared" si="14"/>
        <v>0</v>
      </c>
      <c r="BT30" s="251"/>
      <c r="BU30" s="254"/>
      <c r="BV30" s="250"/>
      <c r="BW30" s="250"/>
      <c r="BX30" s="250"/>
      <c r="BY30" s="253"/>
      <c r="BZ30" s="253"/>
      <c r="CA30" s="250"/>
      <c r="CB30" s="250"/>
      <c r="CC30" s="255">
        <f t="shared" si="15"/>
        <v>0</v>
      </c>
      <c r="CD30" s="254"/>
      <c r="CE30" s="250"/>
      <c r="CF30" s="250"/>
      <c r="CG30" s="250"/>
      <c r="CH30" s="253"/>
      <c r="CI30" s="253"/>
      <c r="CJ30" s="250"/>
      <c r="CK30" s="250"/>
      <c r="CL30" s="255">
        <f t="shared" si="16"/>
        <v>0</v>
      </c>
      <c r="CM30" s="254"/>
      <c r="CN30" s="250"/>
      <c r="CO30" s="250"/>
      <c r="CP30" s="250"/>
      <c r="CQ30" s="253"/>
      <c r="CR30" s="253"/>
      <c r="CS30" s="250"/>
      <c r="CT30" s="250"/>
      <c r="CU30" s="255">
        <f t="shared" si="17"/>
        <v>0</v>
      </c>
      <c r="CV30" s="256">
        <f t="shared" si="18"/>
        <v>0</v>
      </c>
      <c r="CW30" s="253">
        <f t="shared" si="19"/>
        <v>0</v>
      </c>
      <c r="CX30" s="255">
        <f t="shared" si="20"/>
        <v>0</v>
      </c>
      <c r="CZ30" s="251"/>
      <c r="DA30" s="252"/>
      <c r="DB30" s="243"/>
      <c r="DC30" s="250"/>
      <c r="DD30" s="250"/>
      <c r="DE30" s="253"/>
      <c r="DF30" s="253"/>
      <c r="DG30" s="250"/>
      <c r="DH30" s="250"/>
      <c r="DI30" s="255">
        <f t="shared" si="21"/>
        <v>0</v>
      </c>
      <c r="DJ30" s="252"/>
      <c r="DK30" s="243"/>
      <c r="DL30" s="250"/>
      <c r="DM30" s="250"/>
      <c r="DN30" s="253"/>
      <c r="DO30" s="253"/>
      <c r="DP30" s="250"/>
      <c r="DQ30" s="250"/>
      <c r="DR30" s="255">
        <f t="shared" si="22"/>
        <v>0</v>
      </c>
      <c r="DS30" s="252"/>
      <c r="DT30" s="243"/>
      <c r="DU30" s="250"/>
      <c r="DV30" s="250"/>
      <c r="DW30" s="253"/>
      <c r="DX30" s="253"/>
      <c r="DY30" s="250"/>
      <c r="DZ30" s="250"/>
      <c r="EA30" s="255">
        <f t="shared" si="23"/>
        <v>0</v>
      </c>
      <c r="EB30" s="256">
        <f t="shared" si="24"/>
        <v>0</v>
      </c>
      <c r="EC30" s="253">
        <f t="shared" si="25"/>
        <v>0</v>
      </c>
      <c r="ED30" s="255">
        <f t="shared" si="26"/>
        <v>0</v>
      </c>
    </row>
    <row r="31" spans="1:134" s="213" customFormat="1" ht="30" customHeight="1" x14ac:dyDescent="0.25">
      <c r="A31" s="247">
        <v>13</v>
      </c>
      <c r="B31" s="379" t="s">
        <v>7</v>
      </c>
      <c r="C31" s="257" t="s">
        <v>6</v>
      </c>
      <c r="D31" s="257" t="s">
        <v>8</v>
      </c>
      <c r="E31" s="258" t="s">
        <v>318</v>
      </c>
      <c r="F31" s="250" t="s">
        <v>5</v>
      </c>
      <c r="G31" s="364">
        <v>1.98507225348942E-2</v>
      </c>
      <c r="H31" s="214"/>
      <c r="I31" s="252">
        <v>5216.4577917765037</v>
      </c>
      <c r="J31" s="243">
        <v>3891.6153358036167</v>
      </c>
      <c r="K31" s="250"/>
      <c r="L31" s="250"/>
      <c r="M31" s="253">
        <f>'FUS-Working'!BW17</f>
        <v>3180</v>
      </c>
      <c r="N31" s="253">
        <f>'FUS-Working'!BX17</f>
        <v>2251.1999999999998</v>
      </c>
      <c r="O31" s="250">
        <f>'FUS-Working'!DG17</f>
        <v>4594</v>
      </c>
      <c r="P31" s="250">
        <f>'FUS-Working'!DH17</f>
        <v>3156.16</v>
      </c>
      <c r="Q31" s="255">
        <f t="shared" si="4"/>
        <v>0.81101540816809792</v>
      </c>
      <c r="R31" s="252">
        <v>5216.4577917765037</v>
      </c>
      <c r="S31" s="243">
        <v>3891.6153358036167</v>
      </c>
      <c r="T31" s="250">
        <f>'FUS-Working'!DG89</f>
        <v>5720</v>
      </c>
      <c r="U31" s="250">
        <f>'FUS-Working'!DH89</f>
        <v>4179.2</v>
      </c>
      <c r="V31" s="253">
        <f>'FUS-Working'!DG89</f>
        <v>5720</v>
      </c>
      <c r="W31" s="253">
        <f>'FUS-Working'!DH89</f>
        <v>4179.2</v>
      </c>
      <c r="X31" s="247">
        <f>'FUS-Working'!DG89</f>
        <v>5720</v>
      </c>
      <c r="Y31" s="247">
        <f>'FUS-Working'!DH89</f>
        <v>4179.2</v>
      </c>
      <c r="Z31" s="255">
        <f t="shared" si="27"/>
        <v>1.0738985329692141</v>
      </c>
      <c r="AA31" s="252">
        <v>5216.4577917765037</v>
      </c>
      <c r="AB31" s="243">
        <v>3891.6153358036167</v>
      </c>
      <c r="AC31" s="250">
        <f>+'FUS-Working'!AP160</f>
        <v>0</v>
      </c>
      <c r="AD31" s="250">
        <f>+'FUS-Working'!AQ160</f>
        <v>0</v>
      </c>
      <c r="AE31" s="253">
        <f>'FUS-Working'!BW160</f>
        <v>3396</v>
      </c>
      <c r="AF31" s="253">
        <f>'FUS-Working'!BX160</f>
        <v>2389.44</v>
      </c>
      <c r="AG31" s="250">
        <f>'FUS-Working'!DG160</f>
        <v>3396</v>
      </c>
      <c r="AH31" s="250">
        <f>'FUS-Working'!DH160</f>
        <v>2389.44</v>
      </c>
      <c r="AI31" s="255">
        <f t="shared" si="5"/>
        <v>0.6139969636815561</v>
      </c>
      <c r="AJ31" s="256">
        <f t="shared" si="6"/>
        <v>11674.84600741085</v>
      </c>
      <c r="AK31" s="256">
        <f t="shared" si="7"/>
        <v>9724.7999999999993</v>
      </c>
      <c r="AL31" s="255">
        <f t="shared" si="8"/>
        <v>0.83297030160628938</v>
      </c>
      <c r="AM31" s="212"/>
      <c r="AN31" s="251"/>
      <c r="AO31" s="252"/>
      <c r="AP31" s="243"/>
      <c r="AQ31" s="250"/>
      <c r="AR31" s="250"/>
      <c r="AS31" s="253"/>
      <c r="AT31" s="253"/>
      <c r="AU31" s="250"/>
      <c r="AV31" s="250"/>
      <c r="AW31" s="255">
        <f t="shared" si="9"/>
        <v>0</v>
      </c>
      <c r="AX31" s="252"/>
      <c r="AY31" s="243"/>
      <c r="AZ31" s="250"/>
      <c r="BA31" s="250"/>
      <c r="BB31" s="253"/>
      <c r="BC31" s="253"/>
      <c r="BD31" s="250"/>
      <c r="BE31" s="250"/>
      <c r="BF31" s="255">
        <f t="shared" si="10"/>
        <v>0</v>
      </c>
      <c r="BG31" s="252"/>
      <c r="BH31" s="243"/>
      <c r="BI31" s="250"/>
      <c r="BJ31" s="250"/>
      <c r="BK31" s="253"/>
      <c r="BL31" s="253"/>
      <c r="BM31" s="250"/>
      <c r="BN31" s="250"/>
      <c r="BO31" s="255">
        <f t="shared" si="11"/>
        <v>0</v>
      </c>
      <c r="BP31" s="256">
        <f t="shared" si="12"/>
        <v>0</v>
      </c>
      <c r="BQ31" s="253">
        <f t="shared" si="13"/>
        <v>0</v>
      </c>
      <c r="BR31" s="255">
        <f t="shared" si="14"/>
        <v>0</v>
      </c>
      <c r="BT31" s="251"/>
      <c r="BU31" s="254"/>
      <c r="BV31" s="250"/>
      <c r="BW31" s="250"/>
      <c r="BX31" s="250"/>
      <c r="BY31" s="253"/>
      <c r="BZ31" s="253"/>
      <c r="CA31" s="250"/>
      <c r="CB31" s="250"/>
      <c r="CC31" s="255">
        <f t="shared" si="15"/>
        <v>0</v>
      </c>
      <c r="CD31" s="254"/>
      <c r="CE31" s="250"/>
      <c r="CF31" s="250"/>
      <c r="CG31" s="250"/>
      <c r="CH31" s="253"/>
      <c r="CI31" s="253"/>
      <c r="CJ31" s="250"/>
      <c r="CK31" s="250"/>
      <c r="CL31" s="255">
        <f t="shared" si="16"/>
        <v>0</v>
      </c>
      <c r="CM31" s="254"/>
      <c r="CN31" s="250"/>
      <c r="CO31" s="250"/>
      <c r="CP31" s="250"/>
      <c r="CQ31" s="253"/>
      <c r="CR31" s="253"/>
      <c r="CS31" s="250"/>
      <c r="CT31" s="250"/>
      <c r="CU31" s="255">
        <f t="shared" si="17"/>
        <v>0</v>
      </c>
      <c r="CV31" s="256">
        <f t="shared" si="18"/>
        <v>0</v>
      </c>
      <c r="CW31" s="253">
        <f t="shared" si="19"/>
        <v>0</v>
      </c>
      <c r="CX31" s="255">
        <f t="shared" si="20"/>
        <v>0</v>
      </c>
      <c r="CZ31" s="251"/>
      <c r="DA31" s="252"/>
      <c r="DB31" s="243"/>
      <c r="DC31" s="250"/>
      <c r="DD31" s="250"/>
      <c r="DE31" s="253"/>
      <c r="DF31" s="253"/>
      <c r="DG31" s="250"/>
      <c r="DH31" s="250"/>
      <c r="DI31" s="255">
        <f t="shared" si="21"/>
        <v>0</v>
      </c>
      <c r="DJ31" s="252"/>
      <c r="DK31" s="243"/>
      <c r="DL31" s="250"/>
      <c r="DM31" s="250"/>
      <c r="DN31" s="253"/>
      <c r="DO31" s="253"/>
      <c r="DP31" s="250"/>
      <c r="DQ31" s="250"/>
      <c r="DR31" s="255">
        <f t="shared" si="22"/>
        <v>0</v>
      </c>
      <c r="DS31" s="252"/>
      <c r="DT31" s="243"/>
      <c r="DU31" s="250"/>
      <c r="DV31" s="250"/>
      <c r="DW31" s="253"/>
      <c r="DX31" s="253"/>
      <c r="DY31" s="250"/>
      <c r="DZ31" s="250"/>
      <c r="EA31" s="255">
        <f t="shared" si="23"/>
        <v>0</v>
      </c>
      <c r="EB31" s="256">
        <f t="shared" si="24"/>
        <v>0</v>
      </c>
      <c r="EC31" s="253">
        <f t="shared" si="25"/>
        <v>0</v>
      </c>
      <c r="ED31" s="255">
        <f t="shared" si="26"/>
        <v>0</v>
      </c>
    </row>
    <row r="32" spans="1:134" s="213" customFormat="1" ht="30" customHeight="1" x14ac:dyDescent="0.25">
      <c r="A32" s="247">
        <v>14</v>
      </c>
      <c r="B32" s="379" t="s">
        <v>87</v>
      </c>
      <c r="C32" s="257" t="s">
        <v>86</v>
      </c>
      <c r="D32" s="257" t="s">
        <v>28</v>
      </c>
      <c r="E32" s="258" t="s">
        <v>317</v>
      </c>
      <c r="F32" s="250" t="s">
        <v>5</v>
      </c>
      <c r="G32" s="364">
        <v>1.83096868875832E-2</v>
      </c>
      <c r="H32" s="214"/>
      <c r="I32" s="252">
        <v>4811.4978516186657</v>
      </c>
      <c r="J32" s="243">
        <v>3589.5045210686126</v>
      </c>
      <c r="K32" s="250">
        <v>1400</v>
      </c>
      <c r="L32" s="250">
        <v>896</v>
      </c>
      <c r="M32" s="253">
        <f>'FUS-Working'!BW18</f>
        <v>1400</v>
      </c>
      <c r="N32" s="253">
        <f>'FUS-Working'!BX18</f>
        <v>896</v>
      </c>
      <c r="O32" s="250">
        <f>'FUS-Working'!DG18</f>
        <v>1400</v>
      </c>
      <c r="P32" s="250">
        <f>'FUS-Working'!DH18</f>
        <v>896</v>
      </c>
      <c r="Q32" s="255">
        <f t="shared" si="4"/>
        <v>0.24961662389361097</v>
      </c>
      <c r="R32" s="252">
        <v>4811.4978516186657</v>
      </c>
      <c r="S32" s="243">
        <v>3589.5045210686126</v>
      </c>
      <c r="T32" s="250">
        <f>'FUS-Working'!DG90</f>
        <v>5400</v>
      </c>
      <c r="U32" s="250">
        <f>'FUS-Working'!DH90</f>
        <v>3888</v>
      </c>
      <c r="V32" s="253">
        <f>'FUS-Working'!DG90</f>
        <v>5400</v>
      </c>
      <c r="W32" s="253">
        <f>'FUS-Working'!DH90</f>
        <v>3888</v>
      </c>
      <c r="X32" s="247">
        <f>'FUS-Working'!DG90</f>
        <v>5400</v>
      </c>
      <c r="Y32" s="247">
        <f>'FUS-Working'!DH90</f>
        <v>3888</v>
      </c>
      <c r="Z32" s="255">
        <f t="shared" si="27"/>
        <v>1.0831578501097761</v>
      </c>
      <c r="AA32" s="252">
        <v>4811.4978516186657</v>
      </c>
      <c r="AB32" s="243">
        <v>3589.5045210686126</v>
      </c>
      <c r="AC32" s="250">
        <f>+'FUS-Working'!AP161</f>
        <v>0</v>
      </c>
      <c r="AD32" s="250">
        <f>+'FUS-Working'!AQ161</f>
        <v>0</v>
      </c>
      <c r="AE32" s="253">
        <f>'FUS-Working'!BW161</f>
        <v>3400</v>
      </c>
      <c r="AF32" s="253">
        <f>'FUS-Working'!BX161</f>
        <v>2392</v>
      </c>
      <c r="AG32" s="250">
        <f>'FUS-Working'!DG161</f>
        <v>3400</v>
      </c>
      <c r="AH32" s="250">
        <f>'FUS-Working'!DH161</f>
        <v>2392</v>
      </c>
      <c r="AI32" s="255">
        <f t="shared" si="5"/>
        <v>0.66638723700169356</v>
      </c>
      <c r="AJ32" s="256">
        <f t="shared" si="6"/>
        <v>10768.513563205837</v>
      </c>
      <c r="AK32" s="256">
        <f t="shared" si="7"/>
        <v>7176</v>
      </c>
      <c r="AL32" s="255">
        <f t="shared" si="8"/>
        <v>0.66638723700169356</v>
      </c>
      <c r="AM32" s="212"/>
      <c r="AN32" s="251"/>
      <c r="AO32" s="252"/>
      <c r="AP32" s="243"/>
      <c r="AQ32" s="250"/>
      <c r="AR32" s="250"/>
      <c r="AS32" s="253"/>
      <c r="AT32" s="253"/>
      <c r="AU32" s="250"/>
      <c r="AV32" s="250"/>
      <c r="AW32" s="255">
        <f t="shared" si="9"/>
        <v>0</v>
      </c>
      <c r="AX32" s="252"/>
      <c r="AY32" s="243"/>
      <c r="AZ32" s="250"/>
      <c r="BA32" s="250"/>
      <c r="BB32" s="253"/>
      <c r="BC32" s="253"/>
      <c r="BD32" s="250"/>
      <c r="BE32" s="250"/>
      <c r="BF32" s="255">
        <f t="shared" si="10"/>
        <v>0</v>
      </c>
      <c r="BG32" s="252"/>
      <c r="BH32" s="243"/>
      <c r="BI32" s="250"/>
      <c r="BJ32" s="250"/>
      <c r="BK32" s="253"/>
      <c r="BL32" s="253"/>
      <c r="BM32" s="250"/>
      <c r="BN32" s="250"/>
      <c r="BO32" s="255">
        <f t="shared" si="11"/>
        <v>0</v>
      </c>
      <c r="BP32" s="256">
        <f t="shared" si="12"/>
        <v>0</v>
      </c>
      <c r="BQ32" s="253">
        <f t="shared" si="13"/>
        <v>0</v>
      </c>
      <c r="BR32" s="255">
        <f t="shared" si="14"/>
        <v>0</v>
      </c>
      <c r="BT32" s="251"/>
      <c r="BU32" s="254"/>
      <c r="BV32" s="250"/>
      <c r="BW32" s="250"/>
      <c r="BX32" s="250"/>
      <c r="BY32" s="253"/>
      <c r="BZ32" s="253"/>
      <c r="CA32" s="250"/>
      <c r="CB32" s="250"/>
      <c r="CC32" s="255">
        <f t="shared" si="15"/>
        <v>0</v>
      </c>
      <c r="CD32" s="254"/>
      <c r="CE32" s="250"/>
      <c r="CF32" s="250"/>
      <c r="CG32" s="250"/>
      <c r="CH32" s="253"/>
      <c r="CI32" s="253"/>
      <c r="CJ32" s="250"/>
      <c r="CK32" s="250"/>
      <c r="CL32" s="255">
        <f t="shared" si="16"/>
        <v>0</v>
      </c>
      <c r="CM32" s="254"/>
      <c r="CN32" s="250"/>
      <c r="CO32" s="250"/>
      <c r="CP32" s="250"/>
      <c r="CQ32" s="253"/>
      <c r="CR32" s="253"/>
      <c r="CS32" s="250"/>
      <c r="CT32" s="250"/>
      <c r="CU32" s="255">
        <f t="shared" si="17"/>
        <v>0</v>
      </c>
      <c r="CV32" s="256">
        <f t="shared" si="18"/>
        <v>0</v>
      </c>
      <c r="CW32" s="253">
        <f t="shared" si="19"/>
        <v>0</v>
      </c>
      <c r="CX32" s="255">
        <f t="shared" si="20"/>
        <v>0</v>
      </c>
      <c r="CZ32" s="251"/>
      <c r="DA32" s="252"/>
      <c r="DB32" s="243"/>
      <c r="DC32" s="250"/>
      <c r="DD32" s="250"/>
      <c r="DE32" s="253"/>
      <c r="DF32" s="253"/>
      <c r="DG32" s="250"/>
      <c r="DH32" s="250"/>
      <c r="DI32" s="255">
        <f t="shared" si="21"/>
        <v>0</v>
      </c>
      <c r="DJ32" s="252"/>
      <c r="DK32" s="243"/>
      <c r="DL32" s="250"/>
      <c r="DM32" s="250"/>
      <c r="DN32" s="253"/>
      <c r="DO32" s="253"/>
      <c r="DP32" s="250"/>
      <c r="DQ32" s="250"/>
      <c r="DR32" s="255">
        <f t="shared" si="22"/>
        <v>0</v>
      </c>
      <c r="DS32" s="252"/>
      <c r="DT32" s="243"/>
      <c r="DU32" s="250"/>
      <c r="DV32" s="250"/>
      <c r="DW32" s="253"/>
      <c r="DX32" s="253"/>
      <c r="DY32" s="250"/>
      <c r="DZ32" s="250"/>
      <c r="EA32" s="255">
        <f t="shared" si="23"/>
        <v>0</v>
      </c>
      <c r="EB32" s="256">
        <f t="shared" si="24"/>
        <v>0</v>
      </c>
      <c r="EC32" s="253">
        <f t="shared" si="25"/>
        <v>0</v>
      </c>
      <c r="ED32" s="255">
        <f t="shared" si="26"/>
        <v>0</v>
      </c>
    </row>
    <row r="33" spans="1:134" s="213" customFormat="1" ht="30" customHeight="1" x14ac:dyDescent="0.25">
      <c r="A33" s="247"/>
      <c r="B33" s="366"/>
      <c r="C33" s="257"/>
      <c r="D33" s="257"/>
      <c r="E33" s="258"/>
      <c r="F33" s="250"/>
      <c r="G33" s="251"/>
      <c r="H33" s="214"/>
      <c r="I33" s="252"/>
      <c r="J33" s="243"/>
      <c r="K33" s="250"/>
      <c r="L33" s="250"/>
      <c r="M33" s="253"/>
      <c r="N33" s="253"/>
      <c r="O33" s="250"/>
      <c r="P33" s="250"/>
      <c r="Q33" s="255"/>
      <c r="R33" s="254"/>
      <c r="S33" s="250"/>
      <c r="T33" s="250"/>
      <c r="U33" s="250"/>
      <c r="V33" s="253"/>
      <c r="W33" s="253"/>
      <c r="X33" s="250"/>
      <c r="Y33" s="250"/>
      <c r="Z33" s="255"/>
      <c r="AA33" s="254"/>
      <c r="AB33" s="250"/>
      <c r="AC33" s="250"/>
      <c r="AD33" s="250"/>
      <c r="AE33" s="253"/>
      <c r="AF33" s="253"/>
      <c r="AG33" s="250"/>
      <c r="AH33" s="250"/>
      <c r="AI33" s="255">
        <f t="shared" ref="AI33" si="29">IFERROR((AG33/AB33),0)</f>
        <v>0</v>
      </c>
      <c r="AJ33" s="256">
        <f t="shared" si="6"/>
        <v>0</v>
      </c>
      <c r="AK33" s="256">
        <f t="shared" si="7"/>
        <v>0</v>
      </c>
      <c r="AL33" s="255">
        <f t="shared" ref="AL33:AL34" si="30">IFERROR((AK33/AJ33),0)</f>
        <v>0</v>
      </c>
      <c r="AM33" s="212"/>
      <c r="AN33" s="251"/>
      <c r="AO33" s="252"/>
      <c r="AP33" s="243"/>
      <c r="AQ33" s="250"/>
      <c r="AR33" s="250"/>
      <c r="AS33" s="253"/>
      <c r="AT33" s="253"/>
      <c r="AU33" s="250"/>
      <c r="AV33" s="250"/>
      <c r="AW33" s="255">
        <f t="shared" si="9"/>
        <v>0</v>
      </c>
      <c r="AX33" s="252"/>
      <c r="AY33" s="243"/>
      <c r="AZ33" s="250"/>
      <c r="BA33" s="250"/>
      <c r="BB33" s="253"/>
      <c r="BC33" s="253"/>
      <c r="BD33" s="250"/>
      <c r="BE33" s="250"/>
      <c r="BF33" s="255">
        <f t="shared" si="10"/>
        <v>0</v>
      </c>
      <c r="BG33" s="252"/>
      <c r="BH33" s="243"/>
      <c r="BI33" s="250"/>
      <c r="BJ33" s="250"/>
      <c r="BK33" s="253"/>
      <c r="BL33" s="253"/>
      <c r="BM33" s="250"/>
      <c r="BN33" s="250"/>
      <c r="BO33" s="255">
        <f t="shared" si="11"/>
        <v>0</v>
      </c>
      <c r="BP33" s="256">
        <f t="shared" si="12"/>
        <v>0</v>
      </c>
      <c r="BQ33" s="253">
        <f t="shared" si="13"/>
        <v>0</v>
      </c>
      <c r="BR33" s="255">
        <f t="shared" si="14"/>
        <v>0</v>
      </c>
      <c r="BT33" s="251"/>
      <c r="BU33" s="254"/>
      <c r="BV33" s="250"/>
      <c r="BW33" s="250"/>
      <c r="BX33" s="250"/>
      <c r="BY33" s="253"/>
      <c r="BZ33" s="253"/>
      <c r="CA33" s="250"/>
      <c r="CB33" s="250"/>
      <c r="CC33" s="255">
        <f t="shared" si="15"/>
        <v>0</v>
      </c>
      <c r="CD33" s="254"/>
      <c r="CE33" s="250"/>
      <c r="CF33" s="250"/>
      <c r="CG33" s="250"/>
      <c r="CH33" s="253"/>
      <c r="CI33" s="253"/>
      <c r="CJ33" s="250"/>
      <c r="CK33" s="250"/>
      <c r="CL33" s="255">
        <f t="shared" si="16"/>
        <v>0</v>
      </c>
      <c r="CM33" s="254"/>
      <c r="CN33" s="250"/>
      <c r="CO33" s="250"/>
      <c r="CP33" s="250"/>
      <c r="CQ33" s="253"/>
      <c r="CR33" s="253"/>
      <c r="CS33" s="250"/>
      <c r="CT33" s="250"/>
      <c r="CU33" s="255">
        <f t="shared" si="17"/>
        <v>0</v>
      </c>
      <c r="CV33" s="256">
        <f t="shared" si="18"/>
        <v>0</v>
      </c>
      <c r="CW33" s="253">
        <f t="shared" si="19"/>
        <v>0</v>
      </c>
      <c r="CX33" s="255">
        <f t="shared" si="20"/>
        <v>0</v>
      </c>
      <c r="CZ33" s="251"/>
      <c r="DA33" s="252"/>
      <c r="DB33" s="243"/>
      <c r="DC33" s="250"/>
      <c r="DD33" s="250"/>
      <c r="DE33" s="253"/>
      <c r="DF33" s="253"/>
      <c r="DG33" s="250"/>
      <c r="DH33" s="250"/>
      <c r="DI33" s="255">
        <f t="shared" si="21"/>
        <v>0</v>
      </c>
      <c r="DJ33" s="252"/>
      <c r="DK33" s="243"/>
      <c r="DL33" s="250"/>
      <c r="DM33" s="250"/>
      <c r="DN33" s="253"/>
      <c r="DO33" s="253"/>
      <c r="DP33" s="250"/>
      <c r="DQ33" s="250"/>
      <c r="DR33" s="255">
        <f t="shared" si="22"/>
        <v>0</v>
      </c>
      <c r="DS33" s="252"/>
      <c r="DT33" s="243"/>
      <c r="DU33" s="250"/>
      <c r="DV33" s="250"/>
      <c r="DW33" s="253"/>
      <c r="DX33" s="253"/>
      <c r="DY33" s="250"/>
      <c r="DZ33" s="250"/>
      <c r="EA33" s="255">
        <f t="shared" si="23"/>
        <v>0</v>
      </c>
      <c r="EB33" s="256">
        <f t="shared" si="24"/>
        <v>0</v>
      </c>
      <c r="EC33" s="253">
        <f t="shared" si="25"/>
        <v>0</v>
      </c>
      <c r="ED33" s="255">
        <f t="shared" si="26"/>
        <v>0</v>
      </c>
    </row>
    <row r="34" spans="1:134" ht="30" customHeight="1" x14ac:dyDescent="0.25">
      <c r="A34" s="250"/>
      <c r="B34" s="250"/>
      <c r="C34" s="250"/>
      <c r="D34" s="250"/>
      <c r="E34" s="250"/>
      <c r="F34" s="250"/>
      <c r="G34" s="259"/>
      <c r="H34" s="214"/>
      <c r="I34" s="252"/>
      <c r="J34" s="243"/>
      <c r="K34" s="250"/>
      <c r="L34" s="250"/>
      <c r="M34" s="250"/>
      <c r="N34" s="250"/>
      <c r="O34" s="250"/>
      <c r="P34" s="250"/>
      <c r="Q34" s="260"/>
      <c r="R34" s="254">
        <v>0</v>
      </c>
      <c r="S34" s="250"/>
      <c r="T34" s="250"/>
      <c r="U34" s="250"/>
      <c r="V34" s="253">
        <f>'FUS-Working'!DG92</f>
        <v>0</v>
      </c>
      <c r="W34" s="253"/>
      <c r="X34" s="250"/>
      <c r="Y34" s="250"/>
      <c r="Z34" s="260"/>
      <c r="AA34" s="252"/>
      <c r="AB34" s="243"/>
      <c r="AC34" s="250">
        <f>+'FUS-Working'!AP163</f>
        <v>0</v>
      </c>
      <c r="AD34" s="250">
        <f>+'FUS-Working'!AQ163</f>
        <v>0</v>
      </c>
      <c r="AE34" s="253">
        <f>'FUS-Working'!BW163</f>
        <v>0</v>
      </c>
      <c r="AF34" s="253">
        <f>'FUS-Working'!BX163</f>
        <v>0</v>
      </c>
      <c r="AG34" s="250">
        <f>'FUS-Working'!DG163</f>
        <v>0</v>
      </c>
      <c r="AH34" s="250">
        <f>'FUS-Working'!DH163</f>
        <v>0</v>
      </c>
      <c r="AI34" s="260"/>
      <c r="AJ34" s="256">
        <f t="shared" si="6"/>
        <v>0</v>
      </c>
      <c r="AK34" s="256">
        <f t="shared" si="7"/>
        <v>0</v>
      </c>
      <c r="AL34" s="255">
        <f t="shared" si="30"/>
        <v>0</v>
      </c>
      <c r="AN34" s="259"/>
      <c r="AO34" s="254">
        <v>0</v>
      </c>
      <c r="AP34" s="250"/>
      <c r="AQ34" s="250"/>
      <c r="AR34" s="250"/>
      <c r="AS34" s="250"/>
      <c r="AT34" s="250"/>
      <c r="AU34" s="250"/>
      <c r="AV34" s="250"/>
      <c r="AW34" s="260"/>
      <c r="AX34" s="254">
        <v>0</v>
      </c>
      <c r="AY34" s="250"/>
      <c r="AZ34" s="250"/>
      <c r="BA34" s="250"/>
      <c r="BB34" s="250"/>
      <c r="BC34" s="250"/>
      <c r="BD34" s="250"/>
      <c r="BE34" s="250"/>
      <c r="BF34" s="260"/>
      <c r="BG34" s="254">
        <v>0</v>
      </c>
      <c r="BH34" s="250"/>
      <c r="BI34" s="250"/>
      <c r="BJ34" s="250"/>
      <c r="BK34" s="250"/>
      <c r="BL34" s="250"/>
      <c r="BM34" s="250"/>
      <c r="BN34" s="250"/>
      <c r="BO34" s="260"/>
      <c r="BP34" s="256">
        <f t="shared" si="12"/>
        <v>0</v>
      </c>
      <c r="BQ34" s="253">
        <f t="shared" si="13"/>
        <v>0</v>
      </c>
      <c r="BR34" s="255">
        <f t="shared" si="14"/>
        <v>0</v>
      </c>
      <c r="BT34" s="259"/>
      <c r="BU34" s="254">
        <v>0</v>
      </c>
      <c r="BV34" s="250"/>
      <c r="BW34" s="250"/>
      <c r="BX34" s="250"/>
      <c r="BY34" s="250"/>
      <c r="BZ34" s="250"/>
      <c r="CA34" s="250"/>
      <c r="CB34" s="250"/>
      <c r="CC34" s="260"/>
      <c r="CD34" s="254">
        <v>0</v>
      </c>
      <c r="CE34" s="250"/>
      <c r="CF34" s="250"/>
      <c r="CG34" s="250"/>
      <c r="CH34" s="250"/>
      <c r="CI34" s="250"/>
      <c r="CJ34" s="250"/>
      <c r="CK34" s="250"/>
      <c r="CL34" s="260"/>
      <c r="CM34" s="254">
        <v>0</v>
      </c>
      <c r="CN34" s="250"/>
      <c r="CO34" s="250"/>
      <c r="CP34" s="250"/>
      <c r="CQ34" s="250"/>
      <c r="CR34" s="250"/>
      <c r="CS34" s="250"/>
      <c r="CT34" s="250"/>
      <c r="CU34" s="260"/>
      <c r="CV34" s="256">
        <f t="shared" si="18"/>
        <v>0</v>
      </c>
      <c r="CW34" s="253">
        <f t="shared" si="19"/>
        <v>0</v>
      </c>
      <c r="CX34" s="255">
        <f t="shared" si="20"/>
        <v>0</v>
      </c>
      <c r="CZ34" s="259"/>
      <c r="DA34" s="254">
        <v>0</v>
      </c>
      <c r="DB34" s="250"/>
      <c r="DC34" s="250"/>
      <c r="DD34" s="250"/>
      <c r="DE34" s="250"/>
      <c r="DF34" s="250"/>
      <c r="DG34" s="250"/>
      <c r="DH34" s="250"/>
      <c r="DI34" s="260"/>
      <c r="DJ34" s="254">
        <v>0</v>
      </c>
      <c r="DK34" s="250"/>
      <c r="DL34" s="250"/>
      <c r="DM34" s="250"/>
      <c r="DN34" s="250"/>
      <c r="DO34" s="250"/>
      <c r="DP34" s="250"/>
      <c r="DQ34" s="250"/>
      <c r="DR34" s="260"/>
      <c r="DS34" s="254">
        <v>0</v>
      </c>
      <c r="DT34" s="250"/>
      <c r="DU34" s="250"/>
      <c r="DV34" s="250"/>
      <c r="DW34" s="250"/>
      <c r="DX34" s="250"/>
      <c r="DY34" s="250"/>
      <c r="DZ34" s="250"/>
      <c r="EA34" s="260"/>
      <c r="EB34" s="256">
        <f t="shared" si="24"/>
        <v>0</v>
      </c>
      <c r="EC34" s="253">
        <f t="shared" si="25"/>
        <v>0</v>
      </c>
      <c r="ED34" s="255">
        <f t="shared" si="26"/>
        <v>0</v>
      </c>
    </row>
    <row r="35" spans="1:134" s="213" customFormat="1" ht="30" customHeight="1" thickBot="1" x14ac:dyDescent="0.3">
      <c r="A35" s="217"/>
      <c r="B35" s="404" t="s">
        <v>443</v>
      </c>
      <c r="C35" s="405"/>
      <c r="D35" s="405"/>
      <c r="E35" s="405"/>
      <c r="F35" s="406"/>
      <c r="G35" s="367">
        <f>SUM(G19:G32)</f>
        <v>0.99999999999999967</v>
      </c>
      <c r="H35" s="261"/>
      <c r="I35" s="262">
        <f>SUM(I19:I34)</f>
        <v>262784.27813430305</v>
      </c>
      <c r="J35" s="263">
        <f>SUM(J19:J34)</f>
        <v>196044.01446661839</v>
      </c>
      <c r="K35" s="263">
        <f>SUM(K19:K34)</f>
        <v>49154</v>
      </c>
      <c r="L35" s="263">
        <f t="shared" ref="L35:P35" si="31">SUM(L19:L34)</f>
        <v>38120</v>
      </c>
      <c r="M35" s="263">
        <f>SUM(M19:M34)</f>
        <v>122930</v>
      </c>
      <c r="N35" s="263">
        <f t="shared" si="31"/>
        <v>93825.439999999988</v>
      </c>
      <c r="O35" s="263">
        <f t="shared" si="31"/>
        <v>209394</v>
      </c>
      <c r="P35" s="263">
        <f t="shared" si="31"/>
        <v>162735.84</v>
      </c>
      <c r="Q35" s="264">
        <f>IFERROR((P35/J35),0)</f>
        <v>0.8300984880500395</v>
      </c>
      <c r="R35" s="262">
        <f t="shared" ref="R35:W35" si="32">SUM(R19:R34)</f>
        <v>262784.27813430305</v>
      </c>
      <c r="S35" s="263">
        <f t="shared" si="32"/>
        <v>196044.01446661839</v>
      </c>
      <c r="T35" s="263">
        <f t="shared" si="32"/>
        <v>209092</v>
      </c>
      <c r="U35" s="263">
        <f t="shared" si="32"/>
        <v>162546.88</v>
      </c>
      <c r="V35" s="263">
        <f t="shared" si="32"/>
        <v>209092</v>
      </c>
      <c r="W35" s="263">
        <f t="shared" si="32"/>
        <v>162546.88</v>
      </c>
      <c r="X35" s="263">
        <f t="shared" ref="X35:Y35" si="33">SUM(X19:X34)</f>
        <v>209092</v>
      </c>
      <c r="Y35" s="263">
        <f t="shared" si="33"/>
        <v>162546.88</v>
      </c>
      <c r="Z35" s="264">
        <f>IFERROR((X35/S35),0)</f>
        <v>1.0665564086150836</v>
      </c>
      <c r="AA35" s="262">
        <f>SUM(AA19:AA34)</f>
        <v>262784.27813430305</v>
      </c>
      <c r="AB35" s="263">
        <f>SUM(AB19:AB34)</f>
        <v>196044.01446661839</v>
      </c>
      <c r="AC35" s="263">
        <f>SUM(AC19:AC34)</f>
        <v>82186</v>
      </c>
      <c r="AD35" s="263">
        <f t="shared" ref="AD35:AH35" si="34">SUM(AD19:AD34)</f>
        <v>66509.440000000002</v>
      </c>
      <c r="AE35" s="263">
        <f>SUM(AE19:AE34)</f>
        <v>166192</v>
      </c>
      <c r="AF35" s="263">
        <f t="shared" si="34"/>
        <v>130878.88</v>
      </c>
      <c r="AG35" s="263">
        <f t="shared" si="34"/>
        <v>166192</v>
      </c>
      <c r="AH35" s="263">
        <f t="shared" si="34"/>
        <v>130878.88</v>
      </c>
      <c r="AI35" s="264">
        <f>IFERROR((AG35/AB35),0)</f>
        <v>0.84772799849137204</v>
      </c>
      <c r="AJ35" s="265">
        <f>SUM(AJ19:AJ34)</f>
        <v>588132.04339985515</v>
      </c>
      <c r="AK35" s="263">
        <f t="shared" ref="AK35" si="35">SUM(AK19:AK34)</f>
        <v>456161.59999999992</v>
      </c>
      <c r="AL35" s="266">
        <f t="shared" si="8"/>
        <v>0.77561086004264512</v>
      </c>
      <c r="AM35" s="212"/>
      <c r="AN35" s="217"/>
      <c r="AO35" s="262">
        <f>SUM(AO19:AO34)</f>
        <v>0</v>
      </c>
      <c r="AP35" s="263">
        <f>SUM(AP19:AP34)</f>
        <v>0</v>
      </c>
      <c r="AQ35" s="263">
        <f>SUM(AQ19:AQ34)</f>
        <v>0</v>
      </c>
      <c r="AR35" s="263">
        <f t="shared" ref="AR35" si="36">SUM(AR19:AR34)</f>
        <v>0</v>
      </c>
      <c r="AS35" s="263">
        <f>SUM(AS19:AS34)</f>
        <v>0</v>
      </c>
      <c r="AT35" s="263">
        <f t="shared" ref="AT35:AV35" si="37">SUM(AT19:AT34)</f>
        <v>0</v>
      </c>
      <c r="AU35" s="263">
        <f t="shared" si="37"/>
        <v>0</v>
      </c>
      <c r="AV35" s="263">
        <f t="shared" si="37"/>
        <v>0</v>
      </c>
      <c r="AW35" s="264">
        <f>IFERROR((AU35/AP35),0)</f>
        <v>0</v>
      </c>
      <c r="AX35" s="262">
        <f>SUM(AX19:AX34)</f>
        <v>0</v>
      </c>
      <c r="AY35" s="263">
        <f>SUM(AY19:AY34)</f>
        <v>0</v>
      </c>
      <c r="AZ35" s="263">
        <f>SUM(AZ19:AZ34)</f>
        <v>0</v>
      </c>
      <c r="BA35" s="263">
        <f t="shared" ref="BA35" si="38">SUM(BA19:BA34)</f>
        <v>0</v>
      </c>
      <c r="BB35" s="263">
        <f>SUM(BB19:BB34)</f>
        <v>0</v>
      </c>
      <c r="BC35" s="263">
        <f t="shared" ref="BC35:BE35" si="39">SUM(BC19:BC34)</f>
        <v>0</v>
      </c>
      <c r="BD35" s="263">
        <f t="shared" si="39"/>
        <v>0</v>
      </c>
      <c r="BE35" s="263">
        <f t="shared" si="39"/>
        <v>0</v>
      </c>
      <c r="BF35" s="264">
        <f>IFERROR((BD35/AY35),0)</f>
        <v>0</v>
      </c>
      <c r="BG35" s="262">
        <f>SUM(BG19:BG34)</f>
        <v>0</v>
      </c>
      <c r="BH35" s="263">
        <f>SUM(BH19:BH34)</f>
        <v>0</v>
      </c>
      <c r="BI35" s="263">
        <f>SUM(BI19:BI34)</f>
        <v>0</v>
      </c>
      <c r="BJ35" s="263">
        <f t="shared" ref="BJ35" si="40">SUM(BJ19:BJ34)</f>
        <v>0</v>
      </c>
      <c r="BK35" s="263">
        <f>SUM(BK19:BK34)</f>
        <v>0</v>
      </c>
      <c r="BL35" s="263">
        <f t="shared" ref="BL35:BN35" si="41">SUM(BL19:BL34)</f>
        <v>0</v>
      </c>
      <c r="BM35" s="263">
        <f t="shared" si="41"/>
        <v>0</v>
      </c>
      <c r="BN35" s="263">
        <f t="shared" si="41"/>
        <v>0</v>
      </c>
      <c r="BO35" s="264">
        <f>IFERROR((BM35/BH35),0)</f>
        <v>0</v>
      </c>
      <c r="BP35" s="265">
        <f>SUM(BP19:BP34)</f>
        <v>0</v>
      </c>
      <c r="BQ35" s="263">
        <f t="shared" ref="BQ35" si="42">SUM(BQ19:BQ34)</f>
        <v>0</v>
      </c>
      <c r="BR35" s="266">
        <f t="shared" si="14"/>
        <v>0</v>
      </c>
      <c r="BT35" s="217"/>
      <c r="BU35" s="262">
        <f>SUM(BU19:BU34)</f>
        <v>0</v>
      </c>
      <c r="BV35" s="263">
        <f>SUM(BV19:BV34)</f>
        <v>0</v>
      </c>
      <c r="BW35" s="263">
        <f>SUM(BW19:BW34)</f>
        <v>0</v>
      </c>
      <c r="BX35" s="263">
        <f t="shared" ref="BX35" si="43">SUM(BX19:BX34)</f>
        <v>0</v>
      </c>
      <c r="BY35" s="263">
        <f>SUM(BY19:BY34)</f>
        <v>0</v>
      </c>
      <c r="BZ35" s="263">
        <f t="shared" ref="BZ35:CB35" si="44">SUM(BZ19:BZ34)</f>
        <v>0</v>
      </c>
      <c r="CA35" s="263">
        <f t="shared" si="44"/>
        <v>0</v>
      </c>
      <c r="CB35" s="263">
        <f t="shared" si="44"/>
        <v>0</v>
      </c>
      <c r="CC35" s="264">
        <f>IFERROR((CA35/BV35),0)</f>
        <v>0</v>
      </c>
      <c r="CD35" s="262">
        <f>SUM(CD19:CD34)</f>
        <v>0</v>
      </c>
      <c r="CE35" s="263">
        <f>SUM(CE19:CE34)</f>
        <v>0</v>
      </c>
      <c r="CF35" s="263">
        <f>SUM(CF19:CF34)</f>
        <v>0</v>
      </c>
      <c r="CG35" s="263">
        <f t="shared" ref="CG35" si="45">SUM(CG19:CG34)</f>
        <v>0</v>
      </c>
      <c r="CH35" s="263">
        <f>SUM(CH19:CH34)</f>
        <v>0</v>
      </c>
      <c r="CI35" s="263">
        <f t="shared" ref="CI35:CK35" si="46">SUM(CI19:CI34)</f>
        <v>0</v>
      </c>
      <c r="CJ35" s="263">
        <f t="shared" si="46"/>
        <v>0</v>
      </c>
      <c r="CK35" s="263">
        <f t="shared" si="46"/>
        <v>0</v>
      </c>
      <c r="CL35" s="264">
        <f>IFERROR((CJ35/CE35),0)</f>
        <v>0</v>
      </c>
      <c r="CM35" s="262">
        <f>SUM(CM19:CM34)</f>
        <v>0</v>
      </c>
      <c r="CN35" s="263">
        <f>SUM(CN19:CN34)</f>
        <v>0</v>
      </c>
      <c r="CO35" s="263">
        <f>SUM(CO19:CO34)</f>
        <v>0</v>
      </c>
      <c r="CP35" s="263">
        <f t="shared" ref="CP35" si="47">SUM(CP19:CP34)</f>
        <v>0</v>
      </c>
      <c r="CQ35" s="263">
        <f>SUM(CQ19:CQ34)</f>
        <v>0</v>
      </c>
      <c r="CR35" s="263">
        <f t="shared" ref="CR35:CT35" si="48">SUM(CR19:CR34)</f>
        <v>0</v>
      </c>
      <c r="CS35" s="263">
        <f t="shared" si="48"/>
        <v>0</v>
      </c>
      <c r="CT35" s="263">
        <f t="shared" si="48"/>
        <v>0</v>
      </c>
      <c r="CU35" s="264">
        <f>IFERROR((CS35/CN35),0)</f>
        <v>0</v>
      </c>
      <c r="CV35" s="265">
        <f>SUM(CV19:CV34)</f>
        <v>0</v>
      </c>
      <c r="CW35" s="263">
        <f t="shared" ref="CW35" si="49">SUM(CW19:CW34)</f>
        <v>0</v>
      </c>
      <c r="CX35" s="266">
        <f t="shared" si="20"/>
        <v>0</v>
      </c>
      <c r="CZ35" s="217"/>
      <c r="DA35" s="262">
        <f>SUM(DA19:DA34)</f>
        <v>0</v>
      </c>
      <c r="DB35" s="263">
        <f>SUM(DB19:DB34)</f>
        <v>0</v>
      </c>
      <c r="DC35" s="263">
        <f>SUM(DC19:DC34)</f>
        <v>0</v>
      </c>
      <c r="DD35" s="263">
        <f t="shared" ref="DD35" si="50">SUM(DD19:DD34)</f>
        <v>0</v>
      </c>
      <c r="DE35" s="263">
        <f>SUM(DE19:DE34)</f>
        <v>0</v>
      </c>
      <c r="DF35" s="263">
        <f t="shared" ref="DF35:DH35" si="51">SUM(DF19:DF34)</f>
        <v>0</v>
      </c>
      <c r="DG35" s="263">
        <f t="shared" si="51"/>
        <v>0</v>
      </c>
      <c r="DH35" s="263">
        <f t="shared" si="51"/>
        <v>0</v>
      </c>
      <c r="DI35" s="264">
        <f>IFERROR((DG35/DB35),0)</f>
        <v>0</v>
      </c>
      <c r="DJ35" s="262">
        <f>SUM(DJ19:DJ34)</f>
        <v>0</v>
      </c>
      <c r="DK35" s="263">
        <f>SUM(DK19:DK34)</f>
        <v>0</v>
      </c>
      <c r="DL35" s="263">
        <f>SUM(DL19:DL34)</f>
        <v>0</v>
      </c>
      <c r="DM35" s="263">
        <f t="shared" ref="DM35" si="52">SUM(DM19:DM34)</f>
        <v>0</v>
      </c>
      <c r="DN35" s="263">
        <f>SUM(DN19:DN34)</f>
        <v>0</v>
      </c>
      <c r="DO35" s="263">
        <f t="shared" ref="DO35:DQ35" si="53">SUM(DO19:DO34)</f>
        <v>0</v>
      </c>
      <c r="DP35" s="263">
        <f t="shared" si="53"/>
        <v>0</v>
      </c>
      <c r="DQ35" s="263">
        <f t="shared" si="53"/>
        <v>0</v>
      </c>
      <c r="DR35" s="264">
        <f>IFERROR((DP35/DK35),0)</f>
        <v>0</v>
      </c>
      <c r="DS35" s="262">
        <f>SUM(DS19:DS34)</f>
        <v>0</v>
      </c>
      <c r="DT35" s="263">
        <f>SUM(DT19:DT34)</f>
        <v>0</v>
      </c>
      <c r="DU35" s="263">
        <f>SUM(DU19:DU34)</f>
        <v>0</v>
      </c>
      <c r="DV35" s="263">
        <f t="shared" ref="DV35" si="54">SUM(DV19:DV34)</f>
        <v>0</v>
      </c>
      <c r="DW35" s="263">
        <f>SUM(DW19:DW34)</f>
        <v>0</v>
      </c>
      <c r="DX35" s="263">
        <f t="shared" ref="DX35:DZ35" si="55">SUM(DX19:DX34)</f>
        <v>0</v>
      </c>
      <c r="DY35" s="263">
        <f t="shared" si="55"/>
        <v>0</v>
      </c>
      <c r="DZ35" s="263">
        <f t="shared" si="55"/>
        <v>0</v>
      </c>
      <c r="EA35" s="264">
        <f>IFERROR((DY35/DT35),0)</f>
        <v>0</v>
      </c>
      <c r="EB35" s="265">
        <f>SUM(EB19:EB34)</f>
        <v>0</v>
      </c>
      <c r="EC35" s="263">
        <f t="shared" ref="EC35" si="56">SUM(EC19:EC34)</f>
        <v>0</v>
      </c>
      <c r="ED35" s="266">
        <f t="shared" si="26"/>
        <v>0</v>
      </c>
    </row>
    <row r="36" spans="1:134" s="213" customFormat="1" ht="30" customHeight="1" thickBot="1" x14ac:dyDescent="0.3">
      <c r="H36" s="215"/>
      <c r="I36" s="215"/>
      <c r="J36" s="215"/>
      <c r="K36" s="215"/>
      <c r="L36" s="215"/>
      <c r="M36" s="215"/>
      <c r="N36" s="215"/>
      <c r="O36" s="215"/>
      <c r="P36" s="215"/>
      <c r="Q36" s="215"/>
      <c r="R36" s="215"/>
      <c r="S36" s="215"/>
      <c r="T36" s="215"/>
      <c r="U36" s="215"/>
      <c r="V36" s="215"/>
      <c r="W36" s="215"/>
      <c r="X36" s="215"/>
      <c r="Y36" s="215"/>
      <c r="Z36" s="215"/>
      <c r="AJ36" s="212"/>
      <c r="AK36" s="212"/>
      <c r="AL36" s="212"/>
      <c r="AO36" s="215"/>
      <c r="AP36" s="215"/>
      <c r="AQ36" s="215"/>
      <c r="AR36" s="215"/>
      <c r="AS36" s="215"/>
      <c r="AT36" s="215"/>
      <c r="AU36" s="215"/>
      <c r="AV36" s="215"/>
      <c r="AW36" s="215"/>
      <c r="AX36" s="215"/>
      <c r="AY36" s="215"/>
      <c r="AZ36" s="215"/>
      <c r="BA36" s="215"/>
      <c r="BB36" s="215"/>
      <c r="BC36" s="215"/>
      <c r="BD36" s="215"/>
      <c r="BE36" s="215"/>
      <c r="BF36" s="215"/>
      <c r="BP36" s="212"/>
      <c r="BQ36" s="212"/>
      <c r="BR36" s="212"/>
      <c r="BU36" s="215"/>
      <c r="BV36" s="215"/>
      <c r="BW36" s="215"/>
      <c r="BX36" s="215"/>
      <c r="BY36" s="215"/>
      <c r="BZ36" s="215"/>
      <c r="CA36" s="215"/>
      <c r="CB36" s="215"/>
      <c r="CC36" s="215"/>
      <c r="CD36" s="215"/>
      <c r="CE36" s="215"/>
      <c r="CF36" s="215"/>
      <c r="CG36" s="215"/>
      <c r="CH36" s="215"/>
      <c r="CI36" s="215"/>
      <c r="CJ36" s="215"/>
      <c r="CK36" s="215"/>
      <c r="CL36" s="215"/>
      <c r="CV36" s="212"/>
      <c r="CW36" s="212"/>
      <c r="CX36" s="212"/>
      <c r="DA36" s="215"/>
      <c r="DB36" s="215"/>
      <c r="DC36" s="215"/>
      <c r="DD36" s="215"/>
      <c r="DE36" s="215"/>
      <c r="DF36" s="215"/>
      <c r="DG36" s="215"/>
      <c r="DH36" s="215"/>
      <c r="DI36" s="215"/>
      <c r="DJ36" s="215"/>
      <c r="DK36" s="215"/>
      <c r="DL36" s="215"/>
      <c r="DM36" s="215"/>
      <c r="DN36" s="215"/>
      <c r="DO36" s="215"/>
      <c r="DP36" s="215"/>
      <c r="DQ36" s="215"/>
      <c r="DR36" s="215"/>
      <c r="EB36" s="212"/>
      <c r="EC36" s="212"/>
      <c r="ED36" s="212"/>
    </row>
    <row r="37" spans="1:134" s="213" customFormat="1" ht="30" customHeight="1" thickBot="1" x14ac:dyDescent="0.3">
      <c r="H37" s="215"/>
      <c r="I37" s="452" t="s">
        <v>314</v>
      </c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Y37" s="453"/>
      <c r="Z37" s="453"/>
      <c r="AA37" s="453"/>
      <c r="AB37" s="453"/>
      <c r="AC37" s="453"/>
      <c r="AD37" s="453"/>
      <c r="AE37" s="453"/>
      <c r="AF37" s="453"/>
      <c r="AG37" s="453"/>
      <c r="AH37" s="453"/>
      <c r="AI37" s="453"/>
      <c r="AJ37" s="453"/>
      <c r="AK37" s="453"/>
      <c r="AL37" s="454"/>
      <c r="AO37" s="433" t="s">
        <v>371</v>
      </c>
      <c r="AP37" s="434"/>
      <c r="AQ37" s="434"/>
      <c r="AR37" s="434"/>
      <c r="AS37" s="434"/>
      <c r="AT37" s="434"/>
      <c r="AU37" s="434"/>
      <c r="AV37" s="434"/>
      <c r="AW37" s="434"/>
      <c r="AX37" s="434"/>
      <c r="AY37" s="434"/>
      <c r="AZ37" s="434"/>
      <c r="BA37" s="434"/>
      <c r="BB37" s="434"/>
      <c r="BC37" s="434"/>
      <c r="BD37" s="434"/>
      <c r="BE37" s="434"/>
      <c r="BF37" s="434"/>
      <c r="BG37" s="434"/>
      <c r="BH37" s="434"/>
      <c r="BI37" s="434"/>
      <c r="BJ37" s="434"/>
      <c r="BK37" s="434"/>
      <c r="BL37" s="434"/>
      <c r="BM37" s="434"/>
      <c r="BN37" s="434"/>
      <c r="BO37" s="434"/>
      <c r="BP37" s="434"/>
      <c r="BQ37" s="434"/>
      <c r="BR37" s="435"/>
      <c r="BU37" s="433" t="s">
        <v>372</v>
      </c>
      <c r="BV37" s="434"/>
      <c r="BW37" s="434"/>
      <c r="BX37" s="434"/>
      <c r="BY37" s="434"/>
      <c r="BZ37" s="434"/>
      <c r="CA37" s="434"/>
      <c r="CB37" s="434"/>
      <c r="CC37" s="434"/>
      <c r="CD37" s="434"/>
      <c r="CE37" s="434"/>
      <c r="CF37" s="434"/>
      <c r="CG37" s="434"/>
      <c r="CH37" s="434"/>
      <c r="CI37" s="434"/>
      <c r="CJ37" s="434"/>
      <c r="CK37" s="434"/>
      <c r="CL37" s="434"/>
      <c r="CM37" s="434"/>
      <c r="CN37" s="434"/>
      <c r="CO37" s="434"/>
      <c r="CP37" s="434"/>
      <c r="CQ37" s="434"/>
      <c r="CR37" s="434"/>
      <c r="CS37" s="434"/>
      <c r="CT37" s="434"/>
      <c r="CU37" s="434"/>
      <c r="CV37" s="434"/>
      <c r="CW37" s="434"/>
      <c r="CX37" s="435"/>
      <c r="CY37" s="351"/>
      <c r="CZ37" s="351"/>
      <c r="DA37" s="433" t="s">
        <v>373</v>
      </c>
      <c r="DB37" s="434"/>
      <c r="DC37" s="434"/>
      <c r="DD37" s="434"/>
      <c r="DE37" s="434"/>
      <c r="DF37" s="434"/>
      <c r="DG37" s="434"/>
      <c r="DH37" s="434"/>
      <c r="DI37" s="434"/>
      <c r="DJ37" s="434"/>
      <c r="DK37" s="434"/>
      <c r="DL37" s="434"/>
      <c r="DM37" s="434"/>
      <c r="DN37" s="434"/>
      <c r="DO37" s="434"/>
      <c r="DP37" s="434"/>
      <c r="DQ37" s="434"/>
      <c r="DR37" s="434"/>
      <c r="DS37" s="434"/>
      <c r="DT37" s="434"/>
      <c r="DU37" s="434"/>
      <c r="DV37" s="434"/>
      <c r="DW37" s="434"/>
      <c r="DX37" s="434"/>
      <c r="DY37" s="434"/>
      <c r="DZ37" s="434"/>
      <c r="EA37" s="434"/>
      <c r="EB37" s="434"/>
      <c r="EC37" s="434"/>
      <c r="ED37" s="435"/>
    </row>
    <row r="38" spans="1:134" ht="25.15" customHeight="1" x14ac:dyDescent="0.25">
      <c r="A38" s="213"/>
      <c r="B38" s="234" t="s">
        <v>313</v>
      </c>
      <c r="C38" s="213"/>
      <c r="D38" s="213"/>
      <c r="E38" s="213"/>
      <c r="F38" s="213"/>
      <c r="I38" s="425">
        <v>46023</v>
      </c>
      <c r="J38" s="426"/>
      <c r="K38" s="426"/>
      <c r="L38" s="426"/>
      <c r="M38" s="426"/>
      <c r="N38" s="426"/>
      <c r="O38" s="426"/>
      <c r="P38" s="426"/>
      <c r="Q38" s="427"/>
      <c r="R38" s="425">
        <v>46054</v>
      </c>
      <c r="S38" s="426"/>
      <c r="T38" s="426"/>
      <c r="U38" s="426"/>
      <c r="V38" s="426"/>
      <c r="W38" s="426"/>
      <c r="X38" s="426"/>
      <c r="Y38" s="426"/>
      <c r="Z38" s="427"/>
      <c r="AA38" s="425">
        <v>46082</v>
      </c>
      <c r="AB38" s="426"/>
      <c r="AC38" s="426"/>
      <c r="AD38" s="426"/>
      <c r="AE38" s="426"/>
      <c r="AF38" s="426"/>
      <c r="AG38" s="426"/>
      <c r="AH38" s="426"/>
      <c r="AI38" s="427"/>
      <c r="AJ38" s="428" t="s">
        <v>160</v>
      </c>
      <c r="AK38" s="429"/>
      <c r="AL38" s="430"/>
      <c r="AN38" s="213"/>
      <c r="AO38" s="411">
        <v>46113</v>
      </c>
      <c r="AP38" s="412"/>
      <c r="AQ38" s="412"/>
      <c r="AR38" s="412"/>
      <c r="AS38" s="412"/>
      <c r="AT38" s="412"/>
      <c r="AU38" s="412"/>
      <c r="AV38" s="412"/>
      <c r="AW38" s="413"/>
      <c r="AX38" s="411">
        <v>46143</v>
      </c>
      <c r="AY38" s="412"/>
      <c r="AZ38" s="412"/>
      <c r="BA38" s="412"/>
      <c r="BB38" s="412"/>
      <c r="BC38" s="412"/>
      <c r="BD38" s="412"/>
      <c r="BE38" s="412"/>
      <c r="BF38" s="413"/>
      <c r="BG38" s="411">
        <v>46174</v>
      </c>
      <c r="BH38" s="412"/>
      <c r="BI38" s="412"/>
      <c r="BJ38" s="412"/>
      <c r="BK38" s="412"/>
      <c r="BL38" s="412"/>
      <c r="BM38" s="412"/>
      <c r="BN38" s="412"/>
      <c r="BO38" s="413"/>
      <c r="BP38" s="417" t="s">
        <v>374</v>
      </c>
      <c r="BQ38" s="418"/>
      <c r="BR38" s="419"/>
      <c r="BT38" s="213"/>
      <c r="BU38" s="411">
        <v>46204</v>
      </c>
      <c r="BV38" s="412"/>
      <c r="BW38" s="412"/>
      <c r="BX38" s="412"/>
      <c r="BY38" s="412"/>
      <c r="BZ38" s="412"/>
      <c r="CA38" s="412"/>
      <c r="CB38" s="412"/>
      <c r="CC38" s="413"/>
      <c r="CD38" s="411">
        <v>46235</v>
      </c>
      <c r="CE38" s="412"/>
      <c r="CF38" s="412"/>
      <c r="CG38" s="412"/>
      <c r="CH38" s="412"/>
      <c r="CI38" s="412"/>
      <c r="CJ38" s="412"/>
      <c r="CK38" s="412"/>
      <c r="CL38" s="413"/>
      <c r="CM38" s="411">
        <v>46266</v>
      </c>
      <c r="CN38" s="412"/>
      <c r="CO38" s="412"/>
      <c r="CP38" s="412"/>
      <c r="CQ38" s="412"/>
      <c r="CR38" s="412"/>
      <c r="CS38" s="412"/>
      <c r="CT38" s="412"/>
      <c r="CU38" s="413"/>
      <c r="CV38" s="417" t="s">
        <v>375</v>
      </c>
      <c r="CW38" s="418"/>
      <c r="CX38" s="419"/>
      <c r="CY38" s="355"/>
      <c r="CZ38" s="355"/>
      <c r="DA38" s="411">
        <v>46296</v>
      </c>
      <c r="DB38" s="412"/>
      <c r="DC38" s="412"/>
      <c r="DD38" s="412"/>
      <c r="DE38" s="412"/>
      <c r="DF38" s="412"/>
      <c r="DG38" s="412"/>
      <c r="DH38" s="412"/>
      <c r="DI38" s="413"/>
      <c r="DJ38" s="411">
        <v>46327</v>
      </c>
      <c r="DK38" s="412"/>
      <c r="DL38" s="412"/>
      <c r="DM38" s="412"/>
      <c r="DN38" s="412"/>
      <c r="DO38" s="412"/>
      <c r="DP38" s="412"/>
      <c r="DQ38" s="412"/>
      <c r="DR38" s="413"/>
      <c r="DS38" s="411">
        <v>46357</v>
      </c>
      <c r="DT38" s="412"/>
      <c r="DU38" s="412"/>
      <c r="DV38" s="412"/>
      <c r="DW38" s="412"/>
      <c r="DX38" s="412"/>
      <c r="DY38" s="412"/>
      <c r="DZ38" s="412"/>
      <c r="EA38" s="413"/>
      <c r="EB38" s="417" t="s">
        <v>446</v>
      </c>
      <c r="EC38" s="418"/>
      <c r="ED38" s="419"/>
    </row>
    <row r="39" spans="1:134" ht="25.15" customHeight="1" thickBot="1" x14ac:dyDescent="0.3">
      <c r="A39" s="213"/>
      <c r="B39" s="213"/>
      <c r="C39" s="213"/>
      <c r="D39" s="213"/>
      <c r="E39" s="213"/>
      <c r="F39" s="213"/>
      <c r="I39" s="447">
        <f>J4*H6</f>
        <v>43439.289633455541</v>
      </c>
      <c r="J39" s="448"/>
      <c r="K39" s="449">
        <v>10</v>
      </c>
      <c r="L39" s="450"/>
      <c r="M39" s="451">
        <v>20</v>
      </c>
      <c r="N39" s="451"/>
      <c r="O39" s="451">
        <v>30</v>
      </c>
      <c r="P39" s="451"/>
      <c r="Q39" s="237" t="s">
        <v>349</v>
      </c>
      <c r="R39" s="420">
        <f>J4*H6</f>
        <v>43439.289633455541</v>
      </c>
      <c r="S39" s="421"/>
      <c r="T39" s="436">
        <v>10</v>
      </c>
      <c r="U39" s="437"/>
      <c r="V39" s="410">
        <v>20</v>
      </c>
      <c r="W39" s="410"/>
      <c r="X39" s="410">
        <v>30</v>
      </c>
      <c r="Y39" s="410"/>
      <c r="Z39" s="267" t="s">
        <v>349</v>
      </c>
      <c r="AA39" s="420">
        <f>J4*H6</f>
        <v>43439.289633455541</v>
      </c>
      <c r="AB39" s="421"/>
      <c r="AC39" s="436">
        <v>10</v>
      </c>
      <c r="AD39" s="437"/>
      <c r="AE39" s="410">
        <v>20</v>
      </c>
      <c r="AF39" s="410"/>
      <c r="AG39" s="410">
        <v>30</v>
      </c>
      <c r="AH39" s="410"/>
      <c r="AI39" s="267" t="s">
        <v>349</v>
      </c>
      <c r="AJ39" s="252" t="s">
        <v>119</v>
      </c>
      <c r="AK39" s="243" t="s">
        <v>159</v>
      </c>
      <c r="AL39" s="260" t="s">
        <v>110</v>
      </c>
      <c r="AO39" s="415"/>
      <c r="AP39" s="416"/>
      <c r="AQ39" s="414">
        <v>10</v>
      </c>
      <c r="AR39" s="414"/>
      <c r="AS39" s="414">
        <v>20</v>
      </c>
      <c r="AT39" s="414"/>
      <c r="AU39" s="414">
        <v>30</v>
      </c>
      <c r="AV39" s="414"/>
      <c r="AW39" s="356" t="s">
        <v>110</v>
      </c>
      <c r="AX39" s="415"/>
      <c r="AY39" s="416"/>
      <c r="AZ39" s="414">
        <v>10</v>
      </c>
      <c r="BA39" s="414"/>
      <c r="BB39" s="414">
        <v>20</v>
      </c>
      <c r="BC39" s="414"/>
      <c r="BD39" s="414">
        <v>31</v>
      </c>
      <c r="BE39" s="414"/>
      <c r="BF39" s="356" t="s">
        <v>110</v>
      </c>
      <c r="BG39" s="415"/>
      <c r="BH39" s="416"/>
      <c r="BI39" s="414">
        <v>10</v>
      </c>
      <c r="BJ39" s="414"/>
      <c r="BK39" s="414">
        <v>20</v>
      </c>
      <c r="BL39" s="414"/>
      <c r="BM39" s="414">
        <v>30</v>
      </c>
      <c r="BN39" s="414"/>
      <c r="BO39" s="356" t="s">
        <v>110</v>
      </c>
      <c r="BP39" s="357" t="s">
        <v>119</v>
      </c>
      <c r="BQ39" s="358" t="s">
        <v>159</v>
      </c>
      <c r="BR39" s="359" t="s">
        <v>110</v>
      </c>
      <c r="BU39" s="408"/>
      <c r="BV39" s="409"/>
      <c r="BW39" s="407">
        <v>10</v>
      </c>
      <c r="BX39" s="407"/>
      <c r="BY39" s="407">
        <v>20</v>
      </c>
      <c r="BZ39" s="407"/>
      <c r="CA39" s="407">
        <v>30</v>
      </c>
      <c r="CB39" s="407"/>
      <c r="CC39" s="242" t="s">
        <v>110</v>
      </c>
      <c r="CD39" s="408"/>
      <c r="CE39" s="409"/>
      <c r="CF39" s="407">
        <v>10</v>
      </c>
      <c r="CG39" s="407"/>
      <c r="CH39" s="407">
        <v>20</v>
      </c>
      <c r="CI39" s="407"/>
      <c r="CJ39" s="407">
        <v>30</v>
      </c>
      <c r="CK39" s="407"/>
      <c r="CL39" s="242" t="s">
        <v>110</v>
      </c>
      <c r="CM39" s="408"/>
      <c r="CN39" s="409"/>
      <c r="CO39" s="407">
        <v>10</v>
      </c>
      <c r="CP39" s="407"/>
      <c r="CQ39" s="407">
        <v>20</v>
      </c>
      <c r="CR39" s="407"/>
      <c r="CS39" s="407">
        <v>30</v>
      </c>
      <c r="CT39" s="407"/>
      <c r="CU39" s="242" t="s">
        <v>110</v>
      </c>
      <c r="CV39" s="357" t="s">
        <v>119</v>
      </c>
      <c r="CW39" s="358" t="s">
        <v>159</v>
      </c>
      <c r="CX39" s="359" t="s">
        <v>110</v>
      </c>
      <c r="CY39" s="355"/>
      <c r="CZ39" s="355"/>
      <c r="DA39" s="408"/>
      <c r="DB39" s="409"/>
      <c r="DC39" s="407">
        <v>10</v>
      </c>
      <c r="DD39" s="407"/>
      <c r="DE39" s="407">
        <v>20</v>
      </c>
      <c r="DF39" s="407"/>
      <c r="DG39" s="407">
        <v>30</v>
      </c>
      <c r="DH39" s="407"/>
      <c r="DI39" s="242" t="s">
        <v>110</v>
      </c>
      <c r="DJ39" s="408"/>
      <c r="DK39" s="409"/>
      <c r="DL39" s="407">
        <v>10</v>
      </c>
      <c r="DM39" s="407"/>
      <c r="DN39" s="407">
        <v>20</v>
      </c>
      <c r="DO39" s="407"/>
      <c r="DP39" s="407">
        <v>30</v>
      </c>
      <c r="DQ39" s="407"/>
      <c r="DR39" s="242" t="s">
        <v>110</v>
      </c>
      <c r="DS39" s="408"/>
      <c r="DT39" s="409"/>
      <c r="DU39" s="407">
        <v>10</v>
      </c>
      <c r="DV39" s="407"/>
      <c r="DW39" s="407">
        <v>20</v>
      </c>
      <c r="DX39" s="407"/>
      <c r="DY39" s="407">
        <v>30</v>
      </c>
      <c r="DZ39" s="407"/>
      <c r="EA39" s="242" t="s">
        <v>110</v>
      </c>
      <c r="EB39" s="357" t="s">
        <v>119</v>
      </c>
      <c r="EC39" s="358" t="s">
        <v>159</v>
      </c>
      <c r="ED39" s="359" t="s">
        <v>110</v>
      </c>
    </row>
    <row r="40" spans="1:134" s="213" customFormat="1" ht="30" customHeight="1" x14ac:dyDescent="0.25">
      <c r="A40" s="243" t="s">
        <v>158</v>
      </c>
      <c r="B40" s="381" t="s">
        <v>312</v>
      </c>
      <c r="C40" s="382"/>
      <c r="D40" s="431" t="s">
        <v>311</v>
      </c>
      <c r="E40" s="432"/>
      <c r="F40" s="243" t="s">
        <v>310</v>
      </c>
      <c r="G40" s="243" t="s">
        <v>267</v>
      </c>
      <c r="H40" s="214" t="s">
        <v>266</v>
      </c>
      <c r="I40" s="235" t="s">
        <v>152</v>
      </c>
      <c r="J40" s="236" t="s">
        <v>348</v>
      </c>
      <c r="K40" s="236" t="s">
        <v>152</v>
      </c>
      <c r="L40" s="236" t="s">
        <v>348</v>
      </c>
      <c r="M40" s="236" t="s">
        <v>152</v>
      </c>
      <c r="N40" s="236" t="s">
        <v>348</v>
      </c>
      <c r="O40" s="236" t="s">
        <v>152</v>
      </c>
      <c r="P40" s="236" t="s">
        <v>348</v>
      </c>
      <c r="Q40" s="236" t="s">
        <v>348</v>
      </c>
      <c r="R40" s="235" t="s">
        <v>152</v>
      </c>
      <c r="S40" s="236" t="s">
        <v>348</v>
      </c>
      <c r="T40" s="243" t="s">
        <v>152</v>
      </c>
      <c r="U40" s="243" t="s">
        <v>348</v>
      </c>
      <c r="V40" s="243" t="s">
        <v>152</v>
      </c>
      <c r="W40" s="243" t="s">
        <v>348</v>
      </c>
      <c r="X40" s="243" t="s">
        <v>152</v>
      </c>
      <c r="Y40" s="243" t="s">
        <v>348</v>
      </c>
      <c r="Z40" s="236" t="s">
        <v>348</v>
      </c>
      <c r="AA40" s="235" t="s">
        <v>152</v>
      </c>
      <c r="AB40" s="236" t="s">
        <v>348</v>
      </c>
      <c r="AC40" s="243" t="s">
        <v>152</v>
      </c>
      <c r="AD40" s="243" t="s">
        <v>348</v>
      </c>
      <c r="AE40" s="243" t="s">
        <v>152</v>
      </c>
      <c r="AF40" s="243" t="s">
        <v>348</v>
      </c>
      <c r="AG40" s="243" t="s">
        <v>152</v>
      </c>
      <c r="AH40" s="243" t="s">
        <v>348</v>
      </c>
      <c r="AI40" s="236" t="s">
        <v>348</v>
      </c>
      <c r="AJ40" s="236" t="s">
        <v>348</v>
      </c>
      <c r="AK40" s="236" t="s">
        <v>348</v>
      </c>
      <c r="AL40" s="260"/>
      <c r="AN40" s="243" t="s">
        <v>267</v>
      </c>
      <c r="AO40" s="352" t="s">
        <v>265</v>
      </c>
      <c r="AP40" s="353" t="s">
        <v>152</v>
      </c>
      <c r="AQ40" s="353" t="s">
        <v>152</v>
      </c>
      <c r="AR40" s="353" t="s">
        <v>376</v>
      </c>
      <c r="AS40" s="353" t="s">
        <v>152</v>
      </c>
      <c r="AT40" s="353" t="s">
        <v>376</v>
      </c>
      <c r="AU40" s="353" t="s">
        <v>152</v>
      </c>
      <c r="AV40" s="353" t="s">
        <v>376</v>
      </c>
      <c r="AW40" s="354" t="s">
        <v>152</v>
      </c>
      <c r="AX40" s="352" t="s">
        <v>265</v>
      </c>
      <c r="AY40" s="353" t="s">
        <v>152</v>
      </c>
      <c r="AZ40" s="353" t="s">
        <v>152</v>
      </c>
      <c r="BA40" s="353" t="s">
        <v>376</v>
      </c>
      <c r="BB40" s="353" t="s">
        <v>152</v>
      </c>
      <c r="BC40" s="353" t="s">
        <v>376</v>
      </c>
      <c r="BD40" s="353" t="s">
        <v>152</v>
      </c>
      <c r="BE40" s="353" t="s">
        <v>376</v>
      </c>
      <c r="BF40" s="354" t="s">
        <v>152</v>
      </c>
      <c r="BG40" s="352" t="s">
        <v>265</v>
      </c>
      <c r="BH40" s="353" t="s">
        <v>152</v>
      </c>
      <c r="BI40" s="353" t="s">
        <v>152</v>
      </c>
      <c r="BJ40" s="353" t="s">
        <v>376</v>
      </c>
      <c r="BK40" s="353" t="s">
        <v>152</v>
      </c>
      <c r="BL40" s="353" t="s">
        <v>376</v>
      </c>
      <c r="BM40" s="353" t="s">
        <v>152</v>
      </c>
      <c r="BN40" s="353" t="s">
        <v>376</v>
      </c>
      <c r="BO40" s="354" t="s">
        <v>152</v>
      </c>
      <c r="BP40" s="352" t="s">
        <v>152</v>
      </c>
      <c r="BQ40" s="353" t="s">
        <v>152</v>
      </c>
      <c r="BR40" s="354" t="s">
        <v>152</v>
      </c>
      <c r="BT40" s="243" t="s">
        <v>267</v>
      </c>
      <c r="BU40" s="352" t="s">
        <v>265</v>
      </c>
      <c r="BV40" s="353" t="s">
        <v>152</v>
      </c>
      <c r="BW40" s="353" t="s">
        <v>152</v>
      </c>
      <c r="BX40" s="353" t="s">
        <v>376</v>
      </c>
      <c r="BY40" s="353" t="s">
        <v>152</v>
      </c>
      <c r="BZ40" s="353" t="s">
        <v>376</v>
      </c>
      <c r="CA40" s="353" t="s">
        <v>152</v>
      </c>
      <c r="CB40" s="353" t="s">
        <v>376</v>
      </c>
      <c r="CC40" s="354" t="s">
        <v>152</v>
      </c>
      <c r="CD40" s="352" t="s">
        <v>265</v>
      </c>
      <c r="CE40" s="353" t="s">
        <v>152</v>
      </c>
      <c r="CF40" s="353" t="s">
        <v>152</v>
      </c>
      <c r="CG40" s="353" t="s">
        <v>376</v>
      </c>
      <c r="CH40" s="353" t="s">
        <v>152</v>
      </c>
      <c r="CI40" s="353" t="s">
        <v>376</v>
      </c>
      <c r="CJ40" s="353" t="s">
        <v>152</v>
      </c>
      <c r="CK40" s="353" t="s">
        <v>376</v>
      </c>
      <c r="CL40" s="354" t="s">
        <v>152</v>
      </c>
      <c r="CM40" s="352" t="s">
        <v>265</v>
      </c>
      <c r="CN40" s="353" t="s">
        <v>152</v>
      </c>
      <c r="CO40" s="353" t="s">
        <v>152</v>
      </c>
      <c r="CP40" s="353" t="s">
        <v>376</v>
      </c>
      <c r="CQ40" s="353" t="s">
        <v>152</v>
      </c>
      <c r="CR40" s="353" t="s">
        <v>376</v>
      </c>
      <c r="CS40" s="353" t="s">
        <v>152</v>
      </c>
      <c r="CT40" s="353" t="s">
        <v>376</v>
      </c>
      <c r="CU40" s="354" t="s">
        <v>152</v>
      </c>
      <c r="CV40" s="352" t="s">
        <v>152</v>
      </c>
      <c r="CW40" s="353" t="s">
        <v>152</v>
      </c>
      <c r="CX40" s="354" t="s">
        <v>152</v>
      </c>
      <c r="CY40" s="360"/>
      <c r="CZ40" s="361" t="s">
        <v>267</v>
      </c>
      <c r="DA40" s="352" t="s">
        <v>265</v>
      </c>
      <c r="DB40" s="353" t="s">
        <v>152</v>
      </c>
      <c r="DC40" s="353" t="s">
        <v>152</v>
      </c>
      <c r="DD40" s="353" t="s">
        <v>376</v>
      </c>
      <c r="DE40" s="353" t="s">
        <v>152</v>
      </c>
      <c r="DF40" s="353" t="s">
        <v>376</v>
      </c>
      <c r="DG40" s="353" t="s">
        <v>152</v>
      </c>
      <c r="DH40" s="353" t="s">
        <v>376</v>
      </c>
      <c r="DI40" s="354" t="s">
        <v>152</v>
      </c>
      <c r="DJ40" s="352" t="s">
        <v>265</v>
      </c>
      <c r="DK40" s="353" t="s">
        <v>152</v>
      </c>
      <c r="DL40" s="353" t="s">
        <v>152</v>
      </c>
      <c r="DM40" s="353" t="s">
        <v>376</v>
      </c>
      <c r="DN40" s="353" t="s">
        <v>152</v>
      </c>
      <c r="DO40" s="353" t="s">
        <v>376</v>
      </c>
      <c r="DP40" s="353" t="s">
        <v>152</v>
      </c>
      <c r="DQ40" s="353" t="s">
        <v>376</v>
      </c>
      <c r="DR40" s="354" t="s">
        <v>152</v>
      </c>
      <c r="DS40" s="352" t="s">
        <v>265</v>
      </c>
      <c r="DT40" s="353" t="s">
        <v>152</v>
      </c>
      <c r="DU40" s="353" t="s">
        <v>152</v>
      </c>
      <c r="DV40" s="353" t="s">
        <v>376</v>
      </c>
      <c r="DW40" s="353" t="s">
        <v>152</v>
      </c>
      <c r="DX40" s="353" t="s">
        <v>376</v>
      </c>
      <c r="DY40" s="353" t="s">
        <v>152</v>
      </c>
      <c r="DZ40" s="353" t="s">
        <v>376</v>
      </c>
      <c r="EA40" s="354" t="s">
        <v>152</v>
      </c>
      <c r="EB40" s="362" t="s">
        <v>152</v>
      </c>
      <c r="EC40" s="363" t="s">
        <v>152</v>
      </c>
      <c r="ED40" s="354" t="s">
        <v>152</v>
      </c>
    </row>
    <row r="41" spans="1:134" s="213" customFormat="1" ht="30" customHeight="1" x14ac:dyDescent="0.25">
      <c r="A41" s="247">
        <v>1</v>
      </c>
      <c r="B41" s="248" t="s">
        <v>62</v>
      </c>
      <c r="C41" s="248" t="s">
        <v>453</v>
      </c>
      <c r="D41" s="248" t="s">
        <v>21</v>
      </c>
      <c r="E41" s="268" t="s">
        <v>357</v>
      </c>
      <c r="F41" s="250" t="s">
        <v>271</v>
      </c>
      <c r="G41" s="364">
        <v>6.1843350348900997E-2</v>
      </c>
      <c r="H41" s="214"/>
      <c r="I41" s="252">
        <v>3600.9866845260121</v>
      </c>
      <c r="J41" s="243">
        <v>2686.4312077091677</v>
      </c>
      <c r="K41" s="250">
        <v>600</v>
      </c>
      <c r="L41" s="250">
        <v>600</v>
      </c>
      <c r="M41" s="250">
        <f>'FUS-Working'!BW23</f>
        <v>600</v>
      </c>
      <c r="N41" s="250">
        <f>'FUS-Working'!BX23</f>
        <v>600</v>
      </c>
      <c r="O41" s="250">
        <f>'FUS-Working'!DG23</f>
        <v>4120</v>
      </c>
      <c r="P41" s="250">
        <f>'FUS-Working'!DH23</f>
        <v>3112</v>
      </c>
      <c r="Q41" s="255">
        <f>IFERROR((P41/J41),0)</f>
        <v>1.158414178285895</v>
      </c>
      <c r="R41" s="252">
        <v>3600.9866845260121</v>
      </c>
      <c r="S41" s="243">
        <v>2686.4312077091677</v>
      </c>
      <c r="T41" s="250">
        <f>'FUS-Working'!DG95</f>
        <v>2700</v>
      </c>
      <c r="U41" s="250">
        <f>'FUS-Working'!DH95</f>
        <v>1944</v>
      </c>
      <c r="V41" s="250">
        <f>'FUS-Working'!DG95</f>
        <v>2700</v>
      </c>
      <c r="W41" s="250">
        <f>'FUS-Working'!DH95</f>
        <v>1944</v>
      </c>
      <c r="X41" s="250">
        <f>'FUS-Working'!DG95</f>
        <v>2700</v>
      </c>
      <c r="Y41" s="250">
        <f>'FUS-Working'!DH95</f>
        <v>1944</v>
      </c>
      <c r="Z41" s="255">
        <f t="shared" ref="Z41:Z64" si="57">IFERROR((X41/S41),0)</f>
        <v>1.0050508616233664</v>
      </c>
      <c r="AA41" s="252">
        <v>3600.9866845260121</v>
      </c>
      <c r="AB41" s="243">
        <v>2686.4312077091677</v>
      </c>
      <c r="AC41" s="250">
        <f>'FUS-Working'!AP166</f>
        <v>2820</v>
      </c>
      <c r="AD41" s="250">
        <f>'FUS-Working'!AQ166</f>
        <v>2064</v>
      </c>
      <c r="AE41" s="250">
        <f>'FUS-Working'!BW166</f>
        <v>2820</v>
      </c>
      <c r="AF41" s="250">
        <f>'FUS-Working'!BX166</f>
        <v>2064</v>
      </c>
      <c r="AG41" s="250">
        <f>'FUS-Working'!DG166</f>
        <v>2820</v>
      </c>
      <c r="AH41" s="250">
        <f>'FUS-Working'!DH166</f>
        <v>2064</v>
      </c>
      <c r="AI41" s="255">
        <f>IFERROR((AH41/AB41),0)</f>
        <v>0.76830554755208458</v>
      </c>
      <c r="AJ41" s="256">
        <f>+AB41+S41+J41</f>
        <v>8059.2936231275035</v>
      </c>
      <c r="AK41" s="253">
        <f>P41+Y41+AH41</f>
        <v>7120</v>
      </c>
      <c r="AL41" s="255">
        <f t="shared" ref="AL41:AL65" si="58">IFERROR((AK41/AJ41),0)</f>
        <v>0.88345211540226776</v>
      </c>
      <c r="AN41" s="251"/>
      <c r="AO41" s="252"/>
      <c r="AP41" s="243"/>
      <c r="AQ41" s="250"/>
      <c r="AR41" s="250"/>
      <c r="AS41" s="250"/>
      <c r="AT41" s="250"/>
      <c r="AU41" s="250"/>
      <c r="AV41" s="250"/>
      <c r="AW41" s="255">
        <f t="shared" ref="AW41:AW64" si="59">IFERROR((AU41/AP41),0)</f>
        <v>0</v>
      </c>
      <c r="AX41" s="252"/>
      <c r="AY41" s="243"/>
      <c r="AZ41" s="250"/>
      <c r="BA41" s="250"/>
      <c r="BB41" s="250"/>
      <c r="BC41" s="250"/>
      <c r="BD41" s="250"/>
      <c r="BE41" s="250"/>
      <c r="BF41" s="255">
        <f t="shared" ref="BF41:BF64" si="60">IFERROR((BD41/AY41),0)</f>
        <v>0</v>
      </c>
      <c r="BG41" s="252"/>
      <c r="BH41" s="243"/>
      <c r="BI41" s="250"/>
      <c r="BJ41" s="250"/>
      <c r="BK41" s="250"/>
      <c r="BL41" s="250"/>
      <c r="BM41" s="250"/>
      <c r="BN41" s="250"/>
      <c r="BO41" s="255">
        <f t="shared" ref="BO41:BO64" si="61">IFERROR((BM41/BH41),0)</f>
        <v>0</v>
      </c>
      <c r="BP41" s="256">
        <f>+BH41+AY41+AP41</f>
        <v>0</v>
      </c>
      <c r="BQ41" s="253">
        <f t="shared" ref="BQ41:BQ64" si="62">+BM41+BD41+AU41</f>
        <v>0</v>
      </c>
      <c r="BR41" s="255">
        <f t="shared" ref="BR41:BR65" si="63">IFERROR((BQ41/BP41),0)</f>
        <v>0</v>
      </c>
      <c r="BT41" s="251"/>
      <c r="BU41" s="254"/>
      <c r="BV41" s="250"/>
      <c r="BW41" s="250"/>
      <c r="BX41" s="250"/>
      <c r="BY41" s="250"/>
      <c r="BZ41" s="250"/>
      <c r="CA41" s="250"/>
      <c r="CB41" s="250"/>
      <c r="CC41" s="255">
        <f t="shared" ref="CC41:CC64" si="64">IFERROR((CA41/BV41),0)</f>
        <v>0</v>
      </c>
      <c r="CD41" s="254"/>
      <c r="CE41" s="250"/>
      <c r="CF41" s="250"/>
      <c r="CG41" s="250"/>
      <c r="CH41" s="250"/>
      <c r="CI41" s="250"/>
      <c r="CJ41" s="250"/>
      <c r="CK41" s="250"/>
      <c r="CL41" s="255">
        <f t="shared" ref="CL41:CL64" si="65">IFERROR((CJ41/CE41),0)</f>
        <v>0</v>
      </c>
      <c r="CM41" s="254"/>
      <c r="CN41" s="250"/>
      <c r="CO41" s="250"/>
      <c r="CP41" s="250"/>
      <c r="CQ41" s="250"/>
      <c r="CR41" s="250"/>
      <c r="CS41" s="250"/>
      <c r="CT41" s="250"/>
      <c r="CU41" s="255">
        <f t="shared" ref="CU41:CU64" si="66">IFERROR((CS41/CN41),0)</f>
        <v>0</v>
      </c>
      <c r="CV41" s="256">
        <f>+CN41+CE41+BV41</f>
        <v>0</v>
      </c>
      <c r="CW41" s="253">
        <f t="shared" ref="CW41:CW64" si="67">+CS41+CJ41+CA41</f>
        <v>0</v>
      </c>
      <c r="CX41" s="255">
        <f t="shared" ref="CX41:CX65" si="68">IFERROR((CW41/CV41),0)</f>
        <v>0</v>
      </c>
      <c r="CZ41" s="251">
        <v>6.5071100775831872E-3</v>
      </c>
      <c r="DA41" s="252"/>
      <c r="DB41" s="243"/>
      <c r="DC41" s="250"/>
      <c r="DD41" s="250"/>
      <c r="DE41" s="250"/>
      <c r="DF41" s="250"/>
      <c r="DG41" s="250"/>
      <c r="DH41" s="250"/>
      <c r="DI41" s="255">
        <f t="shared" ref="DI41:DI64" si="69">IFERROR((DG41/DB41),0)</f>
        <v>0</v>
      </c>
      <c r="DJ41" s="252"/>
      <c r="DK41" s="243"/>
      <c r="DL41" s="250"/>
      <c r="DM41" s="250"/>
      <c r="DN41" s="250"/>
      <c r="DO41" s="250"/>
      <c r="DP41" s="250"/>
      <c r="DQ41" s="250"/>
      <c r="DR41" s="255">
        <f t="shared" ref="DR41:DR64" si="70">IFERROR((DP41/DK41),0)</f>
        <v>0</v>
      </c>
      <c r="DS41" s="252"/>
      <c r="DT41" s="243"/>
      <c r="DU41" s="250"/>
      <c r="DV41" s="250"/>
      <c r="DW41" s="250"/>
      <c r="DX41" s="250"/>
      <c r="DY41" s="250"/>
      <c r="DZ41" s="250"/>
      <c r="EA41" s="255">
        <f t="shared" ref="EA41:EA64" si="71">IFERROR((DY41/DT41),0)</f>
        <v>0</v>
      </c>
      <c r="EB41" s="256">
        <f>+DT41+DK41+DB41</f>
        <v>0</v>
      </c>
      <c r="EC41" s="253">
        <f t="shared" ref="EC41:EC64" si="72">+DY41+DP41+DG41</f>
        <v>0</v>
      </c>
      <c r="ED41" s="255">
        <f t="shared" ref="ED41:ED65" si="73">IFERROR((EC41/EB41),0)</f>
        <v>0</v>
      </c>
    </row>
    <row r="42" spans="1:134" s="213" customFormat="1" ht="30" customHeight="1" x14ac:dyDescent="0.25">
      <c r="A42" s="247">
        <v>2</v>
      </c>
      <c r="B42" s="248" t="s">
        <v>20</v>
      </c>
      <c r="C42" s="248" t="s">
        <v>19</v>
      </c>
      <c r="D42" s="248" t="s">
        <v>8</v>
      </c>
      <c r="E42" s="268" t="s">
        <v>401</v>
      </c>
      <c r="F42" s="250" t="s">
        <v>271</v>
      </c>
      <c r="G42" s="364">
        <v>5.526439667073E-2</v>
      </c>
      <c r="H42" s="214"/>
      <c r="I42" s="252">
        <v>3217.9103398656498</v>
      </c>
      <c r="J42" s="243">
        <v>2400.646133398011</v>
      </c>
      <c r="K42" s="250">
        <v>0</v>
      </c>
      <c r="L42" s="250">
        <v>0</v>
      </c>
      <c r="M42" s="250">
        <f>'FUS-Working'!BW24</f>
        <v>0</v>
      </c>
      <c r="N42" s="250">
        <f>'FUS-Working'!BX24</f>
        <v>0</v>
      </c>
      <c r="O42" s="250">
        <f>'FUS-Working'!DG24</f>
        <v>0</v>
      </c>
      <c r="P42" s="250">
        <f>'FUS-Working'!DH24</f>
        <v>0</v>
      </c>
      <c r="Q42" s="255">
        <f t="shared" ref="Q42:Q64" si="74">IFERROR((P42/J42),0)</f>
        <v>0</v>
      </c>
      <c r="R42" s="252">
        <v>3217.9103398656498</v>
      </c>
      <c r="S42" s="243">
        <v>2400.646133398011</v>
      </c>
      <c r="T42" s="250">
        <f>'FUS-Working'!DG96</f>
        <v>2940</v>
      </c>
      <c r="U42" s="250">
        <f>'FUS-Working'!DH96</f>
        <v>2184</v>
      </c>
      <c r="V42" s="250">
        <f>'FUS-Working'!DG96</f>
        <v>2940</v>
      </c>
      <c r="W42" s="250">
        <f>'FUS-Working'!DH96</f>
        <v>2184</v>
      </c>
      <c r="X42" s="250">
        <f>'FUS-Working'!DG96</f>
        <v>2940</v>
      </c>
      <c r="Y42" s="250">
        <f>'FUS-Working'!DH96</f>
        <v>2184</v>
      </c>
      <c r="Z42" s="255">
        <f t="shared" si="57"/>
        <v>1.2246702915096266</v>
      </c>
      <c r="AA42" s="252">
        <v>3217.9103398656498</v>
      </c>
      <c r="AB42" s="243">
        <v>2400.646133398011</v>
      </c>
      <c r="AC42" s="250">
        <f>'FUS-Working'!AP167</f>
        <v>3160</v>
      </c>
      <c r="AD42" s="250">
        <f>'FUS-Working'!AQ167</f>
        <v>2152</v>
      </c>
      <c r="AE42" s="250">
        <f>'FUS-Working'!BW167</f>
        <v>3160</v>
      </c>
      <c r="AF42" s="250">
        <f>'FUS-Working'!BX167</f>
        <v>2152</v>
      </c>
      <c r="AG42" s="250">
        <f>'FUS-Working'!DG167</f>
        <v>3160</v>
      </c>
      <c r="AH42" s="250">
        <f>'FUS-Working'!DH167</f>
        <v>2152</v>
      </c>
      <c r="AI42" s="255">
        <f t="shared" ref="AI42:AI64" si="75">IFERROR((AH42/AB42),0)</f>
        <v>0.89642532902337291</v>
      </c>
      <c r="AJ42" s="256">
        <f t="shared" ref="AJ42:AJ64" si="76">+AB42+S42+J42</f>
        <v>7201.9384001940325</v>
      </c>
      <c r="AK42" s="253">
        <f t="shared" ref="AK42:AK64" si="77">P42+Y42+AH42</f>
        <v>4336</v>
      </c>
      <c r="AL42" s="255">
        <f t="shared" si="58"/>
        <v>0.60206013423874616</v>
      </c>
      <c r="AN42" s="251"/>
      <c r="AO42" s="252"/>
      <c r="AP42" s="243"/>
      <c r="AQ42" s="250"/>
      <c r="AR42" s="250"/>
      <c r="AS42" s="250"/>
      <c r="AT42" s="250"/>
      <c r="AU42" s="250"/>
      <c r="AV42" s="250"/>
      <c r="AW42" s="255">
        <f t="shared" si="59"/>
        <v>0</v>
      </c>
      <c r="AX42" s="252"/>
      <c r="AY42" s="243"/>
      <c r="AZ42" s="250"/>
      <c r="BA42" s="250"/>
      <c r="BB42" s="250"/>
      <c r="BC42" s="250"/>
      <c r="BD42" s="250"/>
      <c r="BE42" s="250"/>
      <c r="BF42" s="255">
        <f t="shared" si="60"/>
        <v>0</v>
      </c>
      <c r="BG42" s="252"/>
      <c r="BH42" s="243"/>
      <c r="BI42" s="250"/>
      <c r="BJ42" s="250"/>
      <c r="BK42" s="250"/>
      <c r="BL42" s="250"/>
      <c r="BM42" s="250"/>
      <c r="BN42" s="250"/>
      <c r="BO42" s="255">
        <f t="shared" si="61"/>
        <v>0</v>
      </c>
      <c r="BP42" s="256">
        <f t="shared" ref="BP42:BP64" si="78">+BH42+AY42+AP42</f>
        <v>0</v>
      </c>
      <c r="BQ42" s="253">
        <f t="shared" si="62"/>
        <v>0</v>
      </c>
      <c r="BR42" s="255">
        <f t="shared" si="63"/>
        <v>0</v>
      </c>
      <c r="BT42" s="251"/>
      <c r="BU42" s="254"/>
      <c r="BV42" s="250"/>
      <c r="BW42" s="250"/>
      <c r="BX42" s="250"/>
      <c r="BY42" s="250"/>
      <c r="BZ42" s="250"/>
      <c r="CA42" s="250"/>
      <c r="CB42" s="250"/>
      <c r="CC42" s="255">
        <f t="shared" si="64"/>
        <v>0</v>
      </c>
      <c r="CD42" s="254"/>
      <c r="CE42" s="250"/>
      <c r="CF42" s="250"/>
      <c r="CG42" s="250"/>
      <c r="CH42" s="250"/>
      <c r="CI42" s="250"/>
      <c r="CJ42" s="250"/>
      <c r="CK42" s="250"/>
      <c r="CL42" s="255">
        <f t="shared" si="65"/>
        <v>0</v>
      </c>
      <c r="CM42" s="254"/>
      <c r="CN42" s="250"/>
      <c r="CO42" s="250"/>
      <c r="CP42" s="250"/>
      <c r="CQ42" s="250"/>
      <c r="CR42" s="250"/>
      <c r="CS42" s="250"/>
      <c r="CT42" s="250"/>
      <c r="CU42" s="255">
        <f t="shared" si="66"/>
        <v>0</v>
      </c>
      <c r="CV42" s="256">
        <f t="shared" ref="CV42:CV64" si="79">+CN42+CE42+BV42</f>
        <v>0</v>
      </c>
      <c r="CW42" s="253">
        <f t="shared" si="67"/>
        <v>0</v>
      </c>
      <c r="CX42" s="255">
        <f t="shared" si="68"/>
        <v>0</v>
      </c>
      <c r="CZ42" s="251">
        <v>7.9492931080608273E-2</v>
      </c>
      <c r="DA42" s="252"/>
      <c r="DB42" s="243"/>
      <c r="DC42" s="250"/>
      <c r="DD42" s="250"/>
      <c r="DE42" s="250"/>
      <c r="DF42" s="250"/>
      <c r="DG42" s="250"/>
      <c r="DH42" s="250"/>
      <c r="DI42" s="255">
        <f t="shared" si="69"/>
        <v>0</v>
      </c>
      <c r="DJ42" s="252"/>
      <c r="DK42" s="243"/>
      <c r="DL42" s="250"/>
      <c r="DM42" s="250"/>
      <c r="DN42" s="250"/>
      <c r="DO42" s="250"/>
      <c r="DP42" s="250"/>
      <c r="DQ42" s="250"/>
      <c r="DR42" s="255">
        <f t="shared" si="70"/>
        <v>0</v>
      </c>
      <c r="DS42" s="252"/>
      <c r="DT42" s="243"/>
      <c r="DU42" s="250"/>
      <c r="DV42" s="250"/>
      <c r="DW42" s="250"/>
      <c r="DX42" s="250"/>
      <c r="DY42" s="250"/>
      <c r="DZ42" s="250"/>
      <c r="EA42" s="255">
        <f t="shared" si="71"/>
        <v>0</v>
      </c>
      <c r="EB42" s="256">
        <f t="shared" ref="EB42:EB64" si="80">+DT42+DK42+DB42</f>
        <v>0</v>
      </c>
      <c r="EC42" s="253">
        <f t="shared" si="72"/>
        <v>0</v>
      </c>
      <c r="ED42" s="255">
        <f t="shared" si="73"/>
        <v>0</v>
      </c>
    </row>
    <row r="43" spans="1:134" s="213" customFormat="1" ht="30" customHeight="1" x14ac:dyDescent="0.25">
      <c r="A43" s="247">
        <v>3</v>
      </c>
      <c r="B43" s="248" t="s">
        <v>274</v>
      </c>
      <c r="C43" s="248" t="s">
        <v>273</v>
      </c>
      <c r="D43" s="248" t="s">
        <v>28</v>
      </c>
      <c r="E43" s="268" t="s">
        <v>353</v>
      </c>
      <c r="F43" s="250" t="s">
        <v>271</v>
      </c>
      <c r="G43" s="364">
        <v>6.2532145594574595E-2</v>
      </c>
      <c r="H43" s="214"/>
      <c r="I43" s="252">
        <v>3641.0935431299249</v>
      </c>
      <c r="J43" s="243">
        <v>2716.3519838841321</v>
      </c>
      <c r="K43" s="250">
        <v>1400</v>
      </c>
      <c r="L43" s="250">
        <v>896</v>
      </c>
      <c r="M43" s="250">
        <f>'FUS-Working'!BW25</f>
        <v>1400</v>
      </c>
      <c r="N43" s="250">
        <f>'FUS-Working'!BX25</f>
        <v>896</v>
      </c>
      <c r="O43" s="250">
        <f>'FUS-Working'!DG25</f>
        <v>3400</v>
      </c>
      <c r="P43" s="250">
        <f>'FUS-Working'!DH25</f>
        <v>2392</v>
      </c>
      <c r="Q43" s="255">
        <f t="shared" si="74"/>
        <v>0.88059280026723974</v>
      </c>
      <c r="R43" s="252">
        <v>3641.0935431299249</v>
      </c>
      <c r="S43" s="243">
        <v>2716.3519838841321</v>
      </c>
      <c r="T43" s="250">
        <f>'FUS-Working'!DG97</f>
        <v>3300</v>
      </c>
      <c r="U43" s="250">
        <f>'FUS-Working'!DH97</f>
        <v>2544</v>
      </c>
      <c r="V43" s="250">
        <f>'FUS-Working'!DG97</f>
        <v>3300</v>
      </c>
      <c r="W43" s="250">
        <f>'FUS-Working'!DH97</f>
        <v>2544</v>
      </c>
      <c r="X43" s="250">
        <f>'FUS-Working'!DG97</f>
        <v>3300</v>
      </c>
      <c r="Y43" s="250">
        <f>'FUS-Working'!DH97</f>
        <v>2544</v>
      </c>
      <c r="Z43" s="255">
        <f t="shared" si="57"/>
        <v>1.214864649198115</v>
      </c>
      <c r="AA43" s="252">
        <v>3641.0935431299249</v>
      </c>
      <c r="AB43" s="243">
        <v>2716.3519838841321</v>
      </c>
      <c r="AC43" s="250">
        <f>'FUS-Working'!AP168</f>
        <v>3240</v>
      </c>
      <c r="AD43" s="250">
        <f>'FUS-Working'!AQ168</f>
        <v>2484</v>
      </c>
      <c r="AE43" s="250">
        <f>'FUS-Working'!BW168</f>
        <v>5940</v>
      </c>
      <c r="AF43" s="250">
        <f>'FUS-Working'!BX168</f>
        <v>4428</v>
      </c>
      <c r="AG43" s="250">
        <f>'FUS-Working'!DG168</f>
        <v>5940</v>
      </c>
      <c r="AH43" s="250">
        <f>'FUS-Working'!DH168</f>
        <v>4428</v>
      </c>
      <c r="AI43" s="255">
        <f t="shared" si="75"/>
        <v>1.6301274747421981</v>
      </c>
      <c r="AJ43" s="256">
        <f t="shared" si="76"/>
        <v>8149.0559516523963</v>
      </c>
      <c r="AK43" s="253">
        <f t="shared" si="77"/>
        <v>9364</v>
      </c>
      <c r="AL43" s="255">
        <f t="shared" si="58"/>
        <v>1.1490901591001161</v>
      </c>
      <c r="AN43" s="251"/>
      <c r="AO43" s="252"/>
      <c r="AP43" s="243"/>
      <c r="AQ43" s="250"/>
      <c r="AR43" s="250"/>
      <c r="AS43" s="250"/>
      <c r="AT43" s="250"/>
      <c r="AU43" s="250"/>
      <c r="AV43" s="250"/>
      <c r="AW43" s="255">
        <f t="shared" si="59"/>
        <v>0</v>
      </c>
      <c r="AX43" s="252"/>
      <c r="AY43" s="243"/>
      <c r="AZ43" s="250"/>
      <c r="BA43" s="250"/>
      <c r="BB43" s="250"/>
      <c r="BC43" s="250"/>
      <c r="BD43" s="250"/>
      <c r="BE43" s="250"/>
      <c r="BF43" s="255">
        <f t="shared" si="60"/>
        <v>0</v>
      </c>
      <c r="BG43" s="252"/>
      <c r="BH43" s="243"/>
      <c r="BI43" s="250"/>
      <c r="BJ43" s="250"/>
      <c r="BK43" s="250"/>
      <c r="BL43" s="250"/>
      <c r="BM43" s="250"/>
      <c r="BN43" s="250"/>
      <c r="BO43" s="255">
        <f t="shared" si="61"/>
        <v>0</v>
      </c>
      <c r="BP43" s="256">
        <f t="shared" si="78"/>
        <v>0</v>
      </c>
      <c r="BQ43" s="253">
        <f t="shared" si="62"/>
        <v>0</v>
      </c>
      <c r="BR43" s="255">
        <f t="shared" si="63"/>
        <v>0</v>
      </c>
      <c r="BT43" s="251"/>
      <c r="BU43" s="254"/>
      <c r="BV43" s="250"/>
      <c r="BW43" s="250"/>
      <c r="BX43" s="250"/>
      <c r="BY43" s="250"/>
      <c r="BZ43" s="250"/>
      <c r="CA43" s="250"/>
      <c r="CB43" s="250"/>
      <c r="CC43" s="255">
        <f t="shared" si="64"/>
        <v>0</v>
      </c>
      <c r="CD43" s="254"/>
      <c r="CE43" s="250"/>
      <c r="CF43" s="250"/>
      <c r="CG43" s="250"/>
      <c r="CH43" s="250"/>
      <c r="CI43" s="250"/>
      <c r="CJ43" s="250"/>
      <c r="CK43" s="250"/>
      <c r="CL43" s="255">
        <f t="shared" si="65"/>
        <v>0</v>
      </c>
      <c r="CM43" s="254"/>
      <c r="CN43" s="250"/>
      <c r="CO43" s="250"/>
      <c r="CP43" s="250"/>
      <c r="CQ43" s="250"/>
      <c r="CR43" s="250"/>
      <c r="CS43" s="250"/>
      <c r="CT43" s="250"/>
      <c r="CU43" s="255">
        <f t="shared" si="66"/>
        <v>0</v>
      </c>
      <c r="CV43" s="256">
        <f t="shared" si="79"/>
        <v>0</v>
      </c>
      <c r="CW43" s="253">
        <f t="shared" si="67"/>
        <v>0</v>
      </c>
      <c r="CX43" s="255">
        <f t="shared" si="68"/>
        <v>0</v>
      </c>
      <c r="CZ43" s="251">
        <v>5.0603996460395505E-2</v>
      </c>
      <c r="DA43" s="252"/>
      <c r="DB43" s="243"/>
      <c r="DC43" s="250"/>
      <c r="DD43" s="250"/>
      <c r="DE43" s="250"/>
      <c r="DF43" s="250"/>
      <c r="DG43" s="250"/>
      <c r="DH43" s="250"/>
      <c r="DI43" s="255">
        <f t="shared" si="69"/>
        <v>0</v>
      </c>
      <c r="DJ43" s="252"/>
      <c r="DK43" s="243"/>
      <c r="DL43" s="250"/>
      <c r="DM43" s="250"/>
      <c r="DN43" s="250"/>
      <c r="DO43" s="250"/>
      <c r="DP43" s="250"/>
      <c r="DQ43" s="250"/>
      <c r="DR43" s="255">
        <f t="shared" si="70"/>
        <v>0</v>
      </c>
      <c r="DS43" s="252"/>
      <c r="DT43" s="243"/>
      <c r="DU43" s="250"/>
      <c r="DV43" s="250"/>
      <c r="DW43" s="250"/>
      <c r="DX43" s="250"/>
      <c r="DY43" s="250"/>
      <c r="DZ43" s="250"/>
      <c r="EA43" s="255">
        <f t="shared" si="71"/>
        <v>0</v>
      </c>
      <c r="EB43" s="256">
        <f t="shared" si="80"/>
        <v>0</v>
      </c>
      <c r="EC43" s="253">
        <f t="shared" si="72"/>
        <v>0</v>
      </c>
      <c r="ED43" s="255">
        <f t="shared" si="73"/>
        <v>0</v>
      </c>
    </row>
    <row r="44" spans="1:134" s="213" customFormat="1" ht="30" customHeight="1" x14ac:dyDescent="0.25">
      <c r="A44" s="247">
        <v>4</v>
      </c>
      <c r="B44" s="248" t="s">
        <v>48</v>
      </c>
      <c r="C44" s="248" t="s">
        <v>47</v>
      </c>
      <c r="D44" s="248" t="s">
        <v>46</v>
      </c>
      <c r="E44" s="268" t="s">
        <v>360</v>
      </c>
      <c r="F44" s="250" t="s">
        <v>271</v>
      </c>
      <c r="G44" s="364">
        <v>5.3413455623843198E-2</v>
      </c>
      <c r="H44" s="214"/>
      <c r="I44" s="252">
        <v>3110.1345802071091</v>
      </c>
      <c r="J44" s="243">
        <v>2320.2425691678436</v>
      </c>
      <c r="K44" s="250">
        <v>700</v>
      </c>
      <c r="L44" s="250">
        <v>448</v>
      </c>
      <c r="M44" s="250">
        <f>'FUS-Working'!BW26</f>
        <v>2920</v>
      </c>
      <c r="N44" s="250">
        <f>'FUS-Working'!BX26</f>
        <v>1912</v>
      </c>
      <c r="O44" s="250">
        <f>'FUS-Working'!DG26</f>
        <v>4860</v>
      </c>
      <c r="P44" s="250">
        <f>'FUS-Working'!DH26</f>
        <v>3196.8</v>
      </c>
      <c r="Q44" s="255">
        <f t="shared" si="74"/>
        <v>1.3777869790340647</v>
      </c>
      <c r="R44" s="252">
        <v>3110.1345802071091</v>
      </c>
      <c r="S44" s="243">
        <v>2320.2425691678436</v>
      </c>
      <c r="T44" s="250">
        <f>'FUS-Working'!DG98</f>
        <v>3500</v>
      </c>
      <c r="U44" s="250">
        <f>'FUS-Working'!DH98</f>
        <v>2240</v>
      </c>
      <c r="V44" s="250">
        <f>'FUS-Working'!DG98</f>
        <v>3500</v>
      </c>
      <c r="W44" s="250">
        <f>'FUS-Working'!DH98</f>
        <v>2240</v>
      </c>
      <c r="X44" s="250">
        <f>'FUS-Working'!DG98</f>
        <v>3500</v>
      </c>
      <c r="Y44" s="250">
        <f>'FUS-Working'!DH98</f>
        <v>2240</v>
      </c>
      <c r="Z44" s="255">
        <f t="shared" si="57"/>
        <v>1.5084629712897979</v>
      </c>
      <c r="AA44" s="252">
        <v>3110.1345802071091</v>
      </c>
      <c r="AB44" s="243">
        <v>2320.2425691678436</v>
      </c>
      <c r="AC44" s="250">
        <f>'FUS-Working'!AP169</f>
        <v>700</v>
      </c>
      <c r="AD44" s="250">
        <f>'FUS-Working'!AQ169</f>
        <v>448</v>
      </c>
      <c r="AE44" s="250">
        <f>'FUS-Working'!BW169</f>
        <v>2100</v>
      </c>
      <c r="AF44" s="250">
        <f>'FUS-Working'!BX169</f>
        <v>1344</v>
      </c>
      <c r="AG44" s="250">
        <f>'FUS-Working'!DG169</f>
        <v>2100</v>
      </c>
      <c r="AH44" s="250">
        <f>'FUS-Working'!DH169</f>
        <v>1344</v>
      </c>
      <c r="AI44" s="255">
        <f t="shared" si="75"/>
        <v>0.57924978097528246</v>
      </c>
      <c r="AJ44" s="256">
        <f t="shared" si="76"/>
        <v>6960.7277075035308</v>
      </c>
      <c r="AK44" s="253">
        <f t="shared" si="77"/>
        <v>6780.8</v>
      </c>
      <c r="AL44" s="255">
        <f t="shared" si="58"/>
        <v>0.97415102054493929</v>
      </c>
      <c r="AN44" s="251"/>
      <c r="AO44" s="252"/>
      <c r="AP44" s="243"/>
      <c r="AQ44" s="250"/>
      <c r="AR44" s="250"/>
      <c r="AS44" s="250"/>
      <c r="AT44" s="250"/>
      <c r="AU44" s="250"/>
      <c r="AV44" s="250"/>
      <c r="AW44" s="255">
        <f t="shared" si="59"/>
        <v>0</v>
      </c>
      <c r="AX44" s="252"/>
      <c r="AY44" s="243"/>
      <c r="AZ44" s="250"/>
      <c r="BA44" s="250"/>
      <c r="BB44" s="250"/>
      <c r="BC44" s="250"/>
      <c r="BD44" s="250"/>
      <c r="BE44" s="250"/>
      <c r="BF44" s="255">
        <f t="shared" si="60"/>
        <v>0</v>
      </c>
      <c r="BG44" s="252"/>
      <c r="BH44" s="243"/>
      <c r="BI44" s="250"/>
      <c r="BJ44" s="250"/>
      <c r="BK44" s="250"/>
      <c r="BL44" s="250"/>
      <c r="BM44" s="250"/>
      <c r="BN44" s="250"/>
      <c r="BO44" s="255">
        <f t="shared" si="61"/>
        <v>0</v>
      </c>
      <c r="BP44" s="256">
        <f t="shared" si="78"/>
        <v>0</v>
      </c>
      <c r="BQ44" s="253">
        <f t="shared" si="62"/>
        <v>0</v>
      </c>
      <c r="BR44" s="255">
        <f t="shared" si="63"/>
        <v>0</v>
      </c>
      <c r="BT44" s="251"/>
      <c r="BU44" s="254"/>
      <c r="BV44" s="250"/>
      <c r="BW44" s="250"/>
      <c r="BX44" s="250"/>
      <c r="BY44" s="250"/>
      <c r="BZ44" s="250"/>
      <c r="CA44" s="250"/>
      <c r="CB44" s="250"/>
      <c r="CC44" s="255">
        <f t="shared" si="64"/>
        <v>0</v>
      </c>
      <c r="CD44" s="254"/>
      <c r="CE44" s="250"/>
      <c r="CF44" s="250"/>
      <c r="CG44" s="250"/>
      <c r="CH44" s="250"/>
      <c r="CI44" s="250"/>
      <c r="CJ44" s="250"/>
      <c r="CK44" s="250"/>
      <c r="CL44" s="255">
        <f t="shared" si="65"/>
        <v>0</v>
      </c>
      <c r="CM44" s="254"/>
      <c r="CN44" s="250"/>
      <c r="CO44" s="250"/>
      <c r="CP44" s="250"/>
      <c r="CQ44" s="250"/>
      <c r="CR44" s="250"/>
      <c r="CS44" s="250"/>
      <c r="CT44" s="250"/>
      <c r="CU44" s="255">
        <f t="shared" si="66"/>
        <v>0</v>
      </c>
      <c r="CV44" s="256">
        <f t="shared" si="79"/>
        <v>0</v>
      </c>
      <c r="CW44" s="253">
        <f t="shared" si="67"/>
        <v>0</v>
      </c>
      <c r="CX44" s="255">
        <f t="shared" si="68"/>
        <v>0</v>
      </c>
      <c r="CZ44" s="251">
        <v>3.7453954273249213E-2</v>
      </c>
      <c r="DA44" s="252"/>
      <c r="DB44" s="243"/>
      <c r="DC44" s="250"/>
      <c r="DD44" s="250"/>
      <c r="DE44" s="250"/>
      <c r="DF44" s="250"/>
      <c r="DG44" s="250"/>
      <c r="DH44" s="250"/>
      <c r="DI44" s="255">
        <f t="shared" si="69"/>
        <v>0</v>
      </c>
      <c r="DJ44" s="252"/>
      <c r="DK44" s="243"/>
      <c r="DL44" s="250"/>
      <c r="DM44" s="250"/>
      <c r="DN44" s="250"/>
      <c r="DO44" s="250"/>
      <c r="DP44" s="250"/>
      <c r="DQ44" s="250"/>
      <c r="DR44" s="255">
        <f t="shared" si="70"/>
        <v>0</v>
      </c>
      <c r="DS44" s="252"/>
      <c r="DT44" s="243"/>
      <c r="DU44" s="250"/>
      <c r="DV44" s="250"/>
      <c r="DW44" s="250"/>
      <c r="DX44" s="250"/>
      <c r="DY44" s="250"/>
      <c r="DZ44" s="250"/>
      <c r="EA44" s="255">
        <f t="shared" si="71"/>
        <v>0</v>
      </c>
      <c r="EB44" s="256">
        <f t="shared" si="80"/>
        <v>0</v>
      </c>
      <c r="EC44" s="253">
        <f t="shared" si="72"/>
        <v>0</v>
      </c>
      <c r="ED44" s="255">
        <f t="shared" si="73"/>
        <v>0</v>
      </c>
    </row>
    <row r="45" spans="1:134" s="213" customFormat="1" ht="30" customHeight="1" x14ac:dyDescent="0.25">
      <c r="A45" s="247">
        <v>5</v>
      </c>
      <c r="B45" s="248" t="s">
        <v>75</v>
      </c>
      <c r="C45" s="248" t="s">
        <v>454</v>
      </c>
      <c r="D45" s="248" t="s">
        <v>28</v>
      </c>
      <c r="E45" s="268" t="s">
        <v>353</v>
      </c>
      <c r="F45" s="250" t="s">
        <v>271</v>
      </c>
      <c r="G45" s="364">
        <v>6.3090156932841895E-2</v>
      </c>
      <c r="H45" s="214"/>
      <c r="I45" s="252">
        <v>3673.5851754166392</v>
      </c>
      <c r="J45" s="243">
        <v>2740.5916000258753</v>
      </c>
      <c r="K45" s="250">
        <v>0</v>
      </c>
      <c r="L45" s="250">
        <v>0</v>
      </c>
      <c r="M45" s="250">
        <f>'FUS-Working'!BW27</f>
        <v>0</v>
      </c>
      <c r="N45" s="250">
        <f>'FUS-Working'!BX27</f>
        <v>0</v>
      </c>
      <c r="O45" s="250">
        <f>'FUS-Working'!DG27</f>
        <v>3600</v>
      </c>
      <c r="P45" s="250">
        <f>'FUS-Working'!DH27</f>
        <v>3600</v>
      </c>
      <c r="Q45" s="255">
        <f t="shared" si="74"/>
        <v>1.3135849938261543</v>
      </c>
      <c r="R45" s="252">
        <v>3673.5851754166392</v>
      </c>
      <c r="S45" s="243">
        <v>2740.5916000258753</v>
      </c>
      <c r="T45" s="250">
        <f>'FUS-Working'!DG99</f>
        <v>0</v>
      </c>
      <c r="U45" s="250">
        <f>'FUS-Working'!DH99</f>
        <v>0</v>
      </c>
      <c r="V45" s="250">
        <f>'FUS-Working'!DG99</f>
        <v>0</v>
      </c>
      <c r="W45" s="250">
        <f>'FUS-Working'!DH99</f>
        <v>0</v>
      </c>
      <c r="X45" s="250">
        <f>'FUS-Working'!DG99</f>
        <v>0</v>
      </c>
      <c r="Y45" s="250">
        <f>'FUS-Working'!DH99</f>
        <v>0</v>
      </c>
      <c r="Z45" s="255">
        <f t="shared" si="57"/>
        <v>0</v>
      </c>
      <c r="AA45" s="252">
        <v>3673.5851754166392</v>
      </c>
      <c r="AB45" s="243">
        <v>2740.5916000258753</v>
      </c>
      <c r="AC45" s="250">
        <f>'FUS-Working'!AP170</f>
        <v>0</v>
      </c>
      <c r="AD45" s="250">
        <f>'FUS-Working'!AQ170</f>
        <v>0</v>
      </c>
      <c r="AE45" s="250">
        <f>'FUS-Working'!BW170</f>
        <v>0</v>
      </c>
      <c r="AF45" s="250">
        <f>'FUS-Working'!BX170</f>
        <v>0</v>
      </c>
      <c r="AG45" s="250">
        <f>'FUS-Working'!DG170</f>
        <v>0</v>
      </c>
      <c r="AH45" s="250">
        <f>'FUS-Working'!DH170</f>
        <v>0</v>
      </c>
      <c r="AI45" s="255">
        <f t="shared" si="75"/>
        <v>0</v>
      </c>
      <c r="AJ45" s="256">
        <f t="shared" si="76"/>
        <v>8221.7748000776264</v>
      </c>
      <c r="AK45" s="253">
        <f t="shared" si="77"/>
        <v>3600</v>
      </c>
      <c r="AL45" s="255">
        <f t="shared" si="58"/>
        <v>0.43786166460871812</v>
      </c>
      <c r="AN45" s="251"/>
      <c r="AO45" s="252"/>
      <c r="AP45" s="243"/>
      <c r="AQ45" s="250"/>
      <c r="AR45" s="250"/>
      <c r="AS45" s="250"/>
      <c r="AT45" s="250"/>
      <c r="AU45" s="250"/>
      <c r="AV45" s="250"/>
      <c r="AW45" s="255">
        <f t="shared" si="59"/>
        <v>0</v>
      </c>
      <c r="AX45" s="252"/>
      <c r="AY45" s="243"/>
      <c r="AZ45" s="250"/>
      <c r="BA45" s="250"/>
      <c r="BB45" s="250"/>
      <c r="BC45" s="250"/>
      <c r="BD45" s="250"/>
      <c r="BE45" s="250"/>
      <c r="BF45" s="255">
        <f t="shared" si="60"/>
        <v>0</v>
      </c>
      <c r="BG45" s="252"/>
      <c r="BH45" s="243"/>
      <c r="BI45" s="250"/>
      <c r="BJ45" s="250"/>
      <c r="BK45" s="250"/>
      <c r="BL45" s="250"/>
      <c r="BM45" s="250"/>
      <c r="BN45" s="250"/>
      <c r="BO45" s="255">
        <f t="shared" si="61"/>
        <v>0</v>
      </c>
      <c r="BP45" s="256">
        <f t="shared" si="78"/>
        <v>0</v>
      </c>
      <c r="BQ45" s="253">
        <f t="shared" si="62"/>
        <v>0</v>
      </c>
      <c r="BR45" s="255">
        <f t="shared" si="63"/>
        <v>0</v>
      </c>
      <c r="BT45" s="251"/>
      <c r="BU45" s="254"/>
      <c r="BV45" s="250"/>
      <c r="BW45" s="250"/>
      <c r="BX45" s="250"/>
      <c r="BY45" s="250"/>
      <c r="BZ45" s="250"/>
      <c r="CA45" s="250"/>
      <c r="CB45" s="250"/>
      <c r="CC45" s="255">
        <f t="shared" si="64"/>
        <v>0</v>
      </c>
      <c r="CD45" s="254"/>
      <c r="CE45" s="250"/>
      <c r="CF45" s="250"/>
      <c r="CG45" s="250"/>
      <c r="CH45" s="250"/>
      <c r="CI45" s="250"/>
      <c r="CJ45" s="250"/>
      <c r="CK45" s="250"/>
      <c r="CL45" s="255">
        <f t="shared" si="65"/>
        <v>0</v>
      </c>
      <c r="CM45" s="254"/>
      <c r="CN45" s="250"/>
      <c r="CO45" s="250"/>
      <c r="CP45" s="250"/>
      <c r="CQ45" s="250"/>
      <c r="CR45" s="250"/>
      <c r="CS45" s="250"/>
      <c r="CT45" s="250"/>
      <c r="CU45" s="255">
        <f t="shared" si="66"/>
        <v>0</v>
      </c>
      <c r="CV45" s="256">
        <f t="shared" si="79"/>
        <v>0</v>
      </c>
      <c r="CW45" s="253">
        <f t="shared" si="67"/>
        <v>0</v>
      </c>
      <c r="CX45" s="255">
        <f t="shared" si="68"/>
        <v>0</v>
      </c>
      <c r="CZ45" s="251">
        <v>2.9901426131335777E-2</v>
      </c>
      <c r="DA45" s="252"/>
      <c r="DB45" s="243"/>
      <c r="DC45" s="250"/>
      <c r="DD45" s="250"/>
      <c r="DE45" s="250"/>
      <c r="DF45" s="250"/>
      <c r="DG45" s="250"/>
      <c r="DH45" s="250"/>
      <c r="DI45" s="255">
        <f t="shared" si="69"/>
        <v>0</v>
      </c>
      <c r="DJ45" s="252"/>
      <c r="DK45" s="243"/>
      <c r="DL45" s="250"/>
      <c r="DM45" s="250"/>
      <c r="DN45" s="250"/>
      <c r="DO45" s="250"/>
      <c r="DP45" s="250"/>
      <c r="DQ45" s="250"/>
      <c r="DR45" s="255">
        <f t="shared" si="70"/>
        <v>0</v>
      </c>
      <c r="DS45" s="252"/>
      <c r="DT45" s="243"/>
      <c r="DU45" s="250"/>
      <c r="DV45" s="250"/>
      <c r="DW45" s="250"/>
      <c r="DX45" s="250"/>
      <c r="DY45" s="250"/>
      <c r="DZ45" s="250"/>
      <c r="EA45" s="255">
        <f t="shared" si="71"/>
        <v>0</v>
      </c>
      <c r="EB45" s="256">
        <f t="shared" si="80"/>
        <v>0</v>
      </c>
      <c r="EC45" s="253">
        <f t="shared" si="72"/>
        <v>0</v>
      </c>
      <c r="ED45" s="255">
        <f t="shared" si="73"/>
        <v>0</v>
      </c>
    </row>
    <row r="46" spans="1:134" s="213" customFormat="1" ht="30" customHeight="1" x14ac:dyDescent="0.25">
      <c r="A46" s="247">
        <v>6</v>
      </c>
      <c r="B46" s="248" t="s">
        <v>79</v>
      </c>
      <c r="C46" s="248" t="s">
        <v>78</v>
      </c>
      <c r="D46" s="248" t="s">
        <v>21</v>
      </c>
      <c r="E46" s="268" t="s">
        <v>357</v>
      </c>
      <c r="F46" s="250" t="s">
        <v>271</v>
      </c>
      <c r="G46" s="364">
        <v>5.3743467016865297E-2</v>
      </c>
      <c r="H46" s="214"/>
      <c r="I46" s="252">
        <v>3129.3503346141742</v>
      </c>
      <c r="J46" s="243">
        <v>2334.5780296516718</v>
      </c>
      <c r="K46" s="250">
        <v>0</v>
      </c>
      <c r="L46" s="250">
        <v>0</v>
      </c>
      <c r="M46" s="250">
        <f>'FUS-Working'!BW28</f>
        <v>2660</v>
      </c>
      <c r="N46" s="250">
        <f>'FUS-Working'!BX28</f>
        <v>2004.8</v>
      </c>
      <c r="O46" s="250">
        <f>'FUS-Working'!DG28</f>
        <v>2660</v>
      </c>
      <c r="P46" s="250">
        <f>'FUS-Working'!DH28</f>
        <v>2004.8</v>
      </c>
      <c r="Q46" s="255">
        <f t="shared" si="74"/>
        <v>0.85874191161608937</v>
      </c>
      <c r="R46" s="252">
        <v>3129.3503346141742</v>
      </c>
      <c r="S46" s="243">
        <v>2334.5780296516718</v>
      </c>
      <c r="T46" s="250">
        <f>'FUS-Working'!DG100</f>
        <v>1986</v>
      </c>
      <c r="U46" s="250">
        <f>'FUS-Working'!DH100</f>
        <v>1608</v>
      </c>
      <c r="V46" s="250">
        <f>'FUS-Working'!DG100</f>
        <v>1986</v>
      </c>
      <c r="W46" s="250">
        <f>'FUS-Working'!DH100</f>
        <v>1608</v>
      </c>
      <c r="X46" s="250">
        <f>'FUS-Working'!DG100</f>
        <v>1986</v>
      </c>
      <c r="Y46" s="250">
        <f>'FUS-Working'!DH100</f>
        <v>1608</v>
      </c>
      <c r="Z46" s="255">
        <f t="shared" si="57"/>
        <v>0.85068906448002468</v>
      </c>
      <c r="AA46" s="252">
        <v>3129.3503346141742</v>
      </c>
      <c r="AB46" s="243">
        <v>2334.5780296516718</v>
      </c>
      <c r="AC46" s="250">
        <f>'FUS-Working'!AP171</f>
        <v>0</v>
      </c>
      <c r="AD46" s="250">
        <f>'FUS-Working'!AQ171</f>
        <v>0</v>
      </c>
      <c r="AE46" s="250">
        <f>'FUS-Working'!BW171</f>
        <v>3348</v>
      </c>
      <c r="AF46" s="250">
        <f>'FUS-Working'!BX171</f>
        <v>2592</v>
      </c>
      <c r="AG46" s="250">
        <f>'FUS-Working'!DG171</f>
        <v>3348</v>
      </c>
      <c r="AH46" s="250">
        <f>'FUS-Working'!DH171</f>
        <v>2592</v>
      </c>
      <c r="AI46" s="255">
        <f t="shared" si="75"/>
        <v>1.1102648817382799</v>
      </c>
      <c r="AJ46" s="256">
        <f t="shared" si="76"/>
        <v>7003.734088955016</v>
      </c>
      <c r="AK46" s="253">
        <f t="shared" si="77"/>
        <v>6204.8</v>
      </c>
      <c r="AL46" s="255">
        <f t="shared" si="58"/>
        <v>0.88592740974918716</v>
      </c>
      <c r="AN46" s="251"/>
      <c r="AO46" s="252"/>
      <c r="AP46" s="243"/>
      <c r="AQ46" s="250"/>
      <c r="AR46" s="250"/>
      <c r="AS46" s="250"/>
      <c r="AT46" s="250"/>
      <c r="AU46" s="250"/>
      <c r="AV46" s="250"/>
      <c r="AW46" s="255">
        <f t="shared" si="59"/>
        <v>0</v>
      </c>
      <c r="AX46" s="252"/>
      <c r="AY46" s="243"/>
      <c r="AZ46" s="250"/>
      <c r="BA46" s="250"/>
      <c r="BB46" s="250"/>
      <c r="BC46" s="250"/>
      <c r="BD46" s="250"/>
      <c r="BE46" s="250"/>
      <c r="BF46" s="255">
        <f t="shared" si="60"/>
        <v>0</v>
      </c>
      <c r="BG46" s="252"/>
      <c r="BH46" s="243"/>
      <c r="BI46" s="250"/>
      <c r="BJ46" s="250"/>
      <c r="BK46" s="250"/>
      <c r="BL46" s="250"/>
      <c r="BM46" s="250"/>
      <c r="BN46" s="250"/>
      <c r="BO46" s="255">
        <f t="shared" si="61"/>
        <v>0</v>
      </c>
      <c r="BP46" s="256">
        <f t="shared" si="78"/>
        <v>0</v>
      </c>
      <c r="BQ46" s="253">
        <f t="shared" si="62"/>
        <v>0</v>
      </c>
      <c r="BR46" s="255">
        <f t="shared" si="63"/>
        <v>0</v>
      </c>
      <c r="BT46" s="251"/>
      <c r="BU46" s="254"/>
      <c r="BV46" s="250"/>
      <c r="BW46" s="250"/>
      <c r="BX46" s="250"/>
      <c r="BY46" s="250"/>
      <c r="BZ46" s="250"/>
      <c r="CA46" s="250"/>
      <c r="CB46" s="250"/>
      <c r="CC46" s="255">
        <f t="shared" si="64"/>
        <v>0</v>
      </c>
      <c r="CD46" s="254"/>
      <c r="CE46" s="250"/>
      <c r="CF46" s="250"/>
      <c r="CG46" s="250"/>
      <c r="CH46" s="250"/>
      <c r="CI46" s="250"/>
      <c r="CJ46" s="250"/>
      <c r="CK46" s="250"/>
      <c r="CL46" s="255">
        <f t="shared" si="65"/>
        <v>0</v>
      </c>
      <c r="CM46" s="254"/>
      <c r="CN46" s="250"/>
      <c r="CO46" s="250"/>
      <c r="CP46" s="250"/>
      <c r="CQ46" s="250"/>
      <c r="CR46" s="250"/>
      <c r="CS46" s="250"/>
      <c r="CT46" s="250"/>
      <c r="CU46" s="255">
        <f t="shared" si="66"/>
        <v>0</v>
      </c>
      <c r="CV46" s="256">
        <f t="shared" si="79"/>
        <v>0</v>
      </c>
      <c r="CW46" s="253">
        <f t="shared" si="67"/>
        <v>0</v>
      </c>
      <c r="CX46" s="255">
        <f t="shared" si="68"/>
        <v>0</v>
      </c>
      <c r="CZ46" s="251">
        <v>2.3785318873088705E-2</v>
      </c>
      <c r="DA46" s="252"/>
      <c r="DB46" s="243"/>
      <c r="DC46" s="250"/>
      <c r="DD46" s="250"/>
      <c r="DE46" s="250"/>
      <c r="DF46" s="250"/>
      <c r="DG46" s="250"/>
      <c r="DH46" s="250"/>
      <c r="DI46" s="255">
        <f t="shared" si="69"/>
        <v>0</v>
      </c>
      <c r="DJ46" s="252"/>
      <c r="DK46" s="243"/>
      <c r="DL46" s="250"/>
      <c r="DM46" s="250"/>
      <c r="DN46" s="250"/>
      <c r="DO46" s="250"/>
      <c r="DP46" s="250"/>
      <c r="DQ46" s="250"/>
      <c r="DR46" s="255">
        <f t="shared" si="70"/>
        <v>0</v>
      </c>
      <c r="DS46" s="252"/>
      <c r="DT46" s="243"/>
      <c r="DU46" s="250"/>
      <c r="DV46" s="250"/>
      <c r="DW46" s="250"/>
      <c r="DX46" s="250"/>
      <c r="DY46" s="250"/>
      <c r="DZ46" s="250"/>
      <c r="EA46" s="255">
        <f t="shared" si="71"/>
        <v>0</v>
      </c>
      <c r="EB46" s="256">
        <f t="shared" si="80"/>
        <v>0</v>
      </c>
      <c r="EC46" s="253">
        <f t="shared" si="72"/>
        <v>0</v>
      </c>
      <c r="ED46" s="255">
        <f t="shared" si="73"/>
        <v>0</v>
      </c>
    </row>
    <row r="47" spans="1:134" s="213" customFormat="1" ht="30" customHeight="1" x14ac:dyDescent="0.25">
      <c r="A47" s="247">
        <v>7</v>
      </c>
      <c r="B47" s="248" t="s">
        <v>89</v>
      </c>
      <c r="C47" s="248" t="s">
        <v>88</v>
      </c>
      <c r="D47" s="248" t="s">
        <v>11</v>
      </c>
      <c r="E47" s="268" t="s">
        <v>354</v>
      </c>
      <c r="F47" s="250" t="s">
        <v>271</v>
      </c>
      <c r="G47" s="364">
        <v>4.7300179845310597E-2</v>
      </c>
      <c r="H47" s="214"/>
      <c r="I47" s="252">
        <v>2754.1735180535197</v>
      </c>
      <c r="J47" s="243">
        <v>2054.6862120149772</v>
      </c>
      <c r="K47" s="250">
        <v>0</v>
      </c>
      <c r="L47" s="250">
        <v>0</v>
      </c>
      <c r="M47" s="250">
        <f>'FUS-Working'!BW29</f>
        <v>0</v>
      </c>
      <c r="N47" s="250">
        <f>'FUS-Working'!BX29</f>
        <v>0</v>
      </c>
      <c r="O47" s="250">
        <f>'FUS-Working'!DG29</f>
        <v>2920</v>
      </c>
      <c r="P47" s="250">
        <f>'FUS-Working'!DH29</f>
        <v>1876</v>
      </c>
      <c r="Q47" s="255">
        <f t="shared" si="74"/>
        <v>0.91303479287002942</v>
      </c>
      <c r="R47" s="252">
        <v>2754.1735180535197</v>
      </c>
      <c r="S47" s="243">
        <v>2054.6862120149772</v>
      </c>
      <c r="T47" s="250">
        <f>'FUS-Working'!DG101</f>
        <v>1200</v>
      </c>
      <c r="U47" s="250">
        <f>'FUS-Working'!DH101</f>
        <v>840</v>
      </c>
      <c r="V47" s="250">
        <f>'FUS-Working'!DG101</f>
        <v>1200</v>
      </c>
      <c r="W47" s="250">
        <f>'FUS-Working'!DH101</f>
        <v>840</v>
      </c>
      <c r="X47" s="250">
        <f>'FUS-Working'!DG101</f>
        <v>1200</v>
      </c>
      <c r="Y47" s="250">
        <f>'FUS-Working'!DH101</f>
        <v>840</v>
      </c>
      <c r="Z47" s="255">
        <f t="shared" si="57"/>
        <v>0.5840307843518312</v>
      </c>
      <c r="AA47" s="252">
        <v>2754.1735180535197</v>
      </c>
      <c r="AB47" s="243">
        <v>2054.6862120149772</v>
      </c>
      <c r="AC47" s="250">
        <f>'FUS-Working'!AP172</f>
        <v>0</v>
      </c>
      <c r="AD47" s="250">
        <f>'FUS-Working'!AQ172</f>
        <v>0</v>
      </c>
      <c r="AE47" s="250">
        <f>'FUS-Working'!BW172</f>
        <v>4200</v>
      </c>
      <c r="AF47" s="250">
        <f>'FUS-Working'!BX172</f>
        <v>2688</v>
      </c>
      <c r="AG47" s="250">
        <f>'FUS-Working'!DG172</f>
        <v>4200</v>
      </c>
      <c r="AH47" s="250">
        <f>'FUS-Working'!DH172</f>
        <v>2688</v>
      </c>
      <c r="AI47" s="255">
        <f t="shared" si="75"/>
        <v>1.3082289569481018</v>
      </c>
      <c r="AJ47" s="256">
        <f t="shared" si="76"/>
        <v>6164.0586360449315</v>
      </c>
      <c r="AK47" s="253">
        <f t="shared" si="77"/>
        <v>5404</v>
      </c>
      <c r="AL47" s="255">
        <f t="shared" si="58"/>
        <v>0.87669509962147096</v>
      </c>
      <c r="AN47" s="251"/>
      <c r="AO47" s="252"/>
      <c r="AP47" s="243"/>
      <c r="AQ47" s="250"/>
      <c r="AR47" s="250"/>
      <c r="AS47" s="250"/>
      <c r="AT47" s="250"/>
      <c r="AU47" s="250"/>
      <c r="AV47" s="250"/>
      <c r="AW47" s="255">
        <f t="shared" si="59"/>
        <v>0</v>
      </c>
      <c r="AX47" s="252"/>
      <c r="AY47" s="243"/>
      <c r="AZ47" s="250"/>
      <c r="BA47" s="250"/>
      <c r="BB47" s="250"/>
      <c r="BC47" s="250"/>
      <c r="BD47" s="250"/>
      <c r="BE47" s="250"/>
      <c r="BF47" s="255">
        <f t="shared" si="60"/>
        <v>0</v>
      </c>
      <c r="BG47" s="252"/>
      <c r="BH47" s="243"/>
      <c r="BI47" s="250"/>
      <c r="BJ47" s="250"/>
      <c r="BK47" s="250"/>
      <c r="BL47" s="250"/>
      <c r="BM47" s="250"/>
      <c r="BN47" s="250"/>
      <c r="BO47" s="255">
        <f t="shared" si="61"/>
        <v>0</v>
      </c>
      <c r="BP47" s="256">
        <f t="shared" si="78"/>
        <v>0</v>
      </c>
      <c r="BQ47" s="253">
        <f t="shared" si="62"/>
        <v>0</v>
      </c>
      <c r="BR47" s="255">
        <f t="shared" si="63"/>
        <v>0</v>
      </c>
      <c r="BT47" s="251"/>
      <c r="BU47" s="254"/>
      <c r="BV47" s="250"/>
      <c r="BW47" s="250"/>
      <c r="BX47" s="250"/>
      <c r="BY47" s="250"/>
      <c r="BZ47" s="250"/>
      <c r="CA47" s="250"/>
      <c r="CB47" s="250"/>
      <c r="CC47" s="255">
        <f t="shared" si="64"/>
        <v>0</v>
      </c>
      <c r="CD47" s="254"/>
      <c r="CE47" s="250"/>
      <c r="CF47" s="250"/>
      <c r="CG47" s="250"/>
      <c r="CH47" s="250"/>
      <c r="CI47" s="250"/>
      <c r="CJ47" s="250"/>
      <c r="CK47" s="250"/>
      <c r="CL47" s="255">
        <f t="shared" si="65"/>
        <v>0</v>
      </c>
      <c r="CM47" s="254"/>
      <c r="CN47" s="250"/>
      <c r="CO47" s="250"/>
      <c r="CP47" s="250"/>
      <c r="CQ47" s="250"/>
      <c r="CR47" s="250"/>
      <c r="CS47" s="250"/>
      <c r="CT47" s="250"/>
      <c r="CU47" s="255">
        <f t="shared" si="66"/>
        <v>0</v>
      </c>
      <c r="CV47" s="256">
        <f t="shared" si="79"/>
        <v>0</v>
      </c>
      <c r="CW47" s="253">
        <f t="shared" si="67"/>
        <v>0</v>
      </c>
      <c r="CX47" s="255">
        <f t="shared" si="68"/>
        <v>0</v>
      </c>
      <c r="CZ47" s="251">
        <v>2.1945547712633497E-2</v>
      </c>
      <c r="DA47" s="252"/>
      <c r="DB47" s="243"/>
      <c r="DC47" s="250"/>
      <c r="DD47" s="250"/>
      <c r="DE47" s="250"/>
      <c r="DF47" s="250"/>
      <c r="DG47" s="250"/>
      <c r="DH47" s="250"/>
      <c r="DI47" s="255">
        <f t="shared" si="69"/>
        <v>0</v>
      </c>
      <c r="DJ47" s="252"/>
      <c r="DK47" s="243"/>
      <c r="DL47" s="250"/>
      <c r="DM47" s="250"/>
      <c r="DN47" s="250"/>
      <c r="DO47" s="250"/>
      <c r="DP47" s="250"/>
      <c r="DQ47" s="250"/>
      <c r="DR47" s="255">
        <f t="shared" si="70"/>
        <v>0</v>
      </c>
      <c r="DS47" s="252"/>
      <c r="DT47" s="243"/>
      <c r="DU47" s="250"/>
      <c r="DV47" s="250"/>
      <c r="DW47" s="250"/>
      <c r="DX47" s="250"/>
      <c r="DY47" s="250"/>
      <c r="DZ47" s="250"/>
      <c r="EA47" s="255">
        <f t="shared" si="71"/>
        <v>0</v>
      </c>
      <c r="EB47" s="256">
        <f t="shared" si="80"/>
        <v>0</v>
      </c>
      <c r="EC47" s="253">
        <f t="shared" si="72"/>
        <v>0</v>
      </c>
      <c r="ED47" s="255">
        <f t="shared" si="73"/>
        <v>0</v>
      </c>
    </row>
    <row r="48" spans="1:134" s="213" customFormat="1" ht="30" customHeight="1" x14ac:dyDescent="0.25">
      <c r="A48" s="247">
        <v>8</v>
      </c>
      <c r="B48" s="248" t="s">
        <v>144</v>
      </c>
      <c r="C48" s="248" t="s">
        <v>143</v>
      </c>
      <c r="D48" s="248" t="s">
        <v>21</v>
      </c>
      <c r="E48" s="268" t="s">
        <v>357</v>
      </c>
      <c r="F48" s="250" t="s">
        <v>271</v>
      </c>
      <c r="G48" s="364">
        <v>5.9030624446947601E-2</v>
      </c>
      <c r="H48" s="214"/>
      <c r="I48" s="252">
        <v>3437.2085505307919</v>
      </c>
      <c r="J48" s="243">
        <v>2564.2483925946913</v>
      </c>
      <c r="K48" s="250">
        <v>840</v>
      </c>
      <c r="L48" s="250">
        <v>840</v>
      </c>
      <c r="M48" s="250">
        <f>'FUS-Working'!BW30</f>
        <v>840</v>
      </c>
      <c r="N48" s="250">
        <f>'FUS-Working'!BX30</f>
        <v>840</v>
      </c>
      <c r="O48" s="250">
        <f>'FUS-Working'!DG30</f>
        <v>840</v>
      </c>
      <c r="P48" s="250">
        <f>'FUS-Working'!DH30</f>
        <v>840</v>
      </c>
      <c r="Q48" s="255">
        <f t="shared" si="74"/>
        <v>0.32758136942811045</v>
      </c>
      <c r="R48" s="252">
        <v>3437.2085505307919</v>
      </c>
      <c r="S48" s="243">
        <v>2564.2483925946913</v>
      </c>
      <c r="T48" s="250">
        <f>'FUS-Working'!DG102</f>
        <v>1680</v>
      </c>
      <c r="U48" s="250">
        <f>'FUS-Working'!DH102</f>
        <v>1449.2</v>
      </c>
      <c r="V48" s="250">
        <f>'FUS-Working'!DG102</f>
        <v>1680</v>
      </c>
      <c r="W48" s="250">
        <f>'FUS-Working'!DH102</f>
        <v>1449.2</v>
      </c>
      <c r="X48" s="250">
        <f>'FUS-Working'!DG102</f>
        <v>1680</v>
      </c>
      <c r="Y48" s="250">
        <f>'FUS-Working'!DH102</f>
        <v>1449.2</v>
      </c>
      <c r="Z48" s="255">
        <f t="shared" si="57"/>
        <v>0.65516273885622089</v>
      </c>
      <c r="AA48" s="252">
        <v>3437.2085505307919</v>
      </c>
      <c r="AB48" s="243">
        <v>2564.2483925946913</v>
      </c>
      <c r="AC48" s="250">
        <f>'FUS-Working'!AP173</f>
        <v>2800</v>
      </c>
      <c r="AD48" s="250">
        <f>'FUS-Working'!AQ173</f>
        <v>1792</v>
      </c>
      <c r="AE48" s="250">
        <f>'FUS-Working'!BW173</f>
        <v>2800</v>
      </c>
      <c r="AF48" s="250">
        <f>'FUS-Working'!BX173</f>
        <v>1792</v>
      </c>
      <c r="AG48" s="250">
        <f>'FUS-Working'!DG173</f>
        <v>2800</v>
      </c>
      <c r="AH48" s="250">
        <f>'FUS-Working'!DH173</f>
        <v>1792</v>
      </c>
      <c r="AI48" s="255">
        <f t="shared" si="75"/>
        <v>0.69884025477996903</v>
      </c>
      <c r="AJ48" s="256">
        <f t="shared" si="76"/>
        <v>7692.7451777840743</v>
      </c>
      <c r="AK48" s="253">
        <f t="shared" si="77"/>
        <v>4081.2</v>
      </c>
      <c r="AL48" s="255">
        <f t="shared" si="58"/>
        <v>0.53052582734523979</v>
      </c>
      <c r="AN48" s="251"/>
      <c r="AO48" s="252"/>
      <c r="AP48" s="243"/>
      <c r="AQ48" s="250"/>
      <c r="AR48" s="250"/>
      <c r="AS48" s="250"/>
      <c r="AT48" s="250"/>
      <c r="AU48" s="250"/>
      <c r="AV48" s="250"/>
      <c r="AW48" s="255">
        <f t="shared" si="59"/>
        <v>0</v>
      </c>
      <c r="AX48" s="252"/>
      <c r="AY48" s="243"/>
      <c r="AZ48" s="250"/>
      <c r="BA48" s="250"/>
      <c r="BB48" s="250"/>
      <c r="BC48" s="250"/>
      <c r="BD48" s="250"/>
      <c r="BE48" s="250"/>
      <c r="BF48" s="255">
        <f t="shared" si="60"/>
        <v>0</v>
      </c>
      <c r="BG48" s="252"/>
      <c r="BH48" s="243"/>
      <c r="BI48" s="250"/>
      <c r="BJ48" s="250"/>
      <c r="BK48" s="250"/>
      <c r="BL48" s="250"/>
      <c r="BM48" s="250"/>
      <c r="BN48" s="250"/>
      <c r="BO48" s="255">
        <f t="shared" si="61"/>
        <v>0</v>
      </c>
      <c r="BP48" s="256">
        <f t="shared" si="78"/>
        <v>0</v>
      </c>
      <c r="BQ48" s="253">
        <f t="shared" si="62"/>
        <v>0</v>
      </c>
      <c r="BR48" s="255">
        <f t="shared" si="63"/>
        <v>0</v>
      </c>
      <c r="BT48" s="251"/>
      <c r="BU48" s="254"/>
      <c r="BV48" s="250"/>
      <c r="BW48" s="250"/>
      <c r="BX48" s="250"/>
      <c r="BY48" s="250"/>
      <c r="BZ48" s="250"/>
      <c r="CA48" s="250"/>
      <c r="CB48" s="250"/>
      <c r="CC48" s="255">
        <f t="shared" si="64"/>
        <v>0</v>
      </c>
      <c r="CD48" s="254"/>
      <c r="CE48" s="250"/>
      <c r="CF48" s="250"/>
      <c r="CG48" s="250"/>
      <c r="CH48" s="250"/>
      <c r="CI48" s="250"/>
      <c r="CJ48" s="250"/>
      <c r="CK48" s="250"/>
      <c r="CL48" s="255">
        <f t="shared" si="65"/>
        <v>0</v>
      </c>
      <c r="CM48" s="254"/>
      <c r="CN48" s="250"/>
      <c r="CO48" s="250"/>
      <c r="CP48" s="250"/>
      <c r="CQ48" s="250"/>
      <c r="CR48" s="250"/>
      <c r="CS48" s="250"/>
      <c r="CT48" s="250"/>
      <c r="CU48" s="255">
        <f t="shared" si="66"/>
        <v>0</v>
      </c>
      <c r="CV48" s="256">
        <f t="shared" si="79"/>
        <v>0</v>
      </c>
      <c r="CW48" s="253">
        <f t="shared" si="67"/>
        <v>0</v>
      </c>
      <c r="CX48" s="255">
        <f t="shared" si="68"/>
        <v>0</v>
      </c>
      <c r="CZ48" s="251">
        <v>2.0167513839441886E-2</v>
      </c>
      <c r="DA48" s="252"/>
      <c r="DB48" s="243"/>
      <c r="DC48" s="250"/>
      <c r="DD48" s="250"/>
      <c r="DE48" s="250"/>
      <c r="DF48" s="250"/>
      <c r="DG48" s="250"/>
      <c r="DH48" s="250"/>
      <c r="DI48" s="255">
        <f t="shared" si="69"/>
        <v>0</v>
      </c>
      <c r="DJ48" s="252"/>
      <c r="DK48" s="243"/>
      <c r="DL48" s="250"/>
      <c r="DM48" s="250"/>
      <c r="DN48" s="250"/>
      <c r="DO48" s="250"/>
      <c r="DP48" s="250"/>
      <c r="DQ48" s="250"/>
      <c r="DR48" s="255">
        <f t="shared" si="70"/>
        <v>0</v>
      </c>
      <c r="DS48" s="252"/>
      <c r="DT48" s="243"/>
      <c r="DU48" s="250"/>
      <c r="DV48" s="250"/>
      <c r="DW48" s="250"/>
      <c r="DX48" s="250"/>
      <c r="DY48" s="250"/>
      <c r="DZ48" s="250"/>
      <c r="EA48" s="255">
        <f t="shared" si="71"/>
        <v>0</v>
      </c>
      <c r="EB48" s="256">
        <f t="shared" si="80"/>
        <v>0</v>
      </c>
      <c r="EC48" s="253">
        <f t="shared" si="72"/>
        <v>0</v>
      </c>
      <c r="ED48" s="255">
        <f t="shared" si="73"/>
        <v>0</v>
      </c>
    </row>
    <row r="49" spans="1:134" s="213" customFormat="1" ht="30" customHeight="1" x14ac:dyDescent="0.25">
      <c r="A49" s="247">
        <v>9</v>
      </c>
      <c r="B49" s="248" t="s">
        <v>30</v>
      </c>
      <c r="C49" s="248" t="s">
        <v>29</v>
      </c>
      <c r="D49" s="248" t="s">
        <v>28</v>
      </c>
      <c r="E49" s="268" t="s">
        <v>353</v>
      </c>
      <c r="F49" s="250" t="s">
        <v>271</v>
      </c>
      <c r="G49" s="364">
        <v>5.4894365402041498E-2</v>
      </c>
      <c r="H49" s="214"/>
      <c r="I49" s="252">
        <v>1827.6543161276809</v>
      </c>
      <c r="J49" s="243">
        <v>2384.5722379440176</v>
      </c>
      <c r="K49" s="250">
        <v>0</v>
      </c>
      <c r="L49" s="250">
        <v>0</v>
      </c>
      <c r="M49" s="250">
        <f>'FUS-Working'!BW31</f>
        <v>0</v>
      </c>
      <c r="N49" s="250">
        <f>'FUS-Working'!BX31</f>
        <v>0</v>
      </c>
      <c r="O49" s="250">
        <f>'FUS-Working'!DG31</f>
        <v>2400</v>
      </c>
      <c r="P49" s="250">
        <f>'FUS-Working'!DH31</f>
        <v>2400</v>
      </c>
      <c r="Q49" s="255">
        <f t="shared" si="74"/>
        <v>1.0064698237321106</v>
      </c>
      <c r="R49" s="252">
        <v>1827.6543161276809</v>
      </c>
      <c r="S49" s="243">
        <v>2384.5722379440176</v>
      </c>
      <c r="T49" s="250">
        <f>'FUS-Working'!DG103</f>
        <v>0</v>
      </c>
      <c r="U49" s="250">
        <f>'FUS-Working'!DH103</f>
        <v>0</v>
      </c>
      <c r="V49" s="250">
        <f>'FUS-Working'!DG103</f>
        <v>0</v>
      </c>
      <c r="W49" s="250">
        <f>'FUS-Working'!DH103</f>
        <v>0</v>
      </c>
      <c r="X49" s="250">
        <f>'FUS-Working'!DG103</f>
        <v>0</v>
      </c>
      <c r="Y49" s="250">
        <f>'FUS-Working'!DH103</f>
        <v>0</v>
      </c>
      <c r="Z49" s="255">
        <f t="shared" si="57"/>
        <v>0</v>
      </c>
      <c r="AA49" s="252">
        <v>1827.6543161276809</v>
      </c>
      <c r="AB49" s="243">
        <v>2384.5722379440176</v>
      </c>
      <c r="AC49" s="250">
        <f>'FUS-Working'!AP174</f>
        <v>0</v>
      </c>
      <c r="AD49" s="250">
        <f>'FUS-Working'!AQ174</f>
        <v>0</v>
      </c>
      <c r="AE49" s="250">
        <f>'FUS-Working'!BW174</f>
        <v>12360</v>
      </c>
      <c r="AF49" s="250">
        <f>'FUS-Working'!BX174</f>
        <v>12360</v>
      </c>
      <c r="AG49" s="250">
        <f>'FUS-Working'!DG174</f>
        <v>12360</v>
      </c>
      <c r="AH49" s="250">
        <f>'FUS-Working'!DH174</f>
        <v>12360</v>
      </c>
      <c r="AI49" s="255">
        <f t="shared" si="75"/>
        <v>5.1833195922203696</v>
      </c>
      <c r="AJ49" s="256">
        <f t="shared" si="76"/>
        <v>7153.7167138320528</v>
      </c>
      <c r="AK49" s="253">
        <f t="shared" si="77"/>
        <v>14760</v>
      </c>
      <c r="AL49" s="255">
        <f t="shared" si="58"/>
        <v>2.0632631386508269</v>
      </c>
      <c r="AN49" s="251"/>
      <c r="AO49" s="252"/>
      <c r="AP49" s="243"/>
      <c r="AQ49" s="250"/>
      <c r="AR49" s="250"/>
      <c r="AS49" s="250"/>
      <c r="AT49" s="250"/>
      <c r="AU49" s="250"/>
      <c r="AV49" s="250"/>
      <c r="AW49" s="255">
        <f t="shared" si="59"/>
        <v>0</v>
      </c>
      <c r="AX49" s="252"/>
      <c r="AY49" s="243"/>
      <c r="AZ49" s="250"/>
      <c r="BA49" s="250"/>
      <c r="BB49" s="250"/>
      <c r="BC49" s="250"/>
      <c r="BD49" s="250"/>
      <c r="BE49" s="250"/>
      <c r="BF49" s="255">
        <f t="shared" si="60"/>
        <v>0</v>
      </c>
      <c r="BG49" s="252"/>
      <c r="BH49" s="243"/>
      <c r="BI49" s="250"/>
      <c r="BJ49" s="250"/>
      <c r="BK49" s="250"/>
      <c r="BL49" s="250"/>
      <c r="BM49" s="250"/>
      <c r="BN49" s="250"/>
      <c r="BO49" s="255">
        <f t="shared" si="61"/>
        <v>0</v>
      </c>
      <c r="BP49" s="256">
        <f t="shared" si="78"/>
        <v>0</v>
      </c>
      <c r="BQ49" s="253">
        <f t="shared" si="62"/>
        <v>0</v>
      </c>
      <c r="BR49" s="255">
        <f t="shared" si="63"/>
        <v>0</v>
      </c>
      <c r="BT49" s="251"/>
      <c r="BU49" s="254"/>
      <c r="BV49" s="250"/>
      <c r="BW49" s="250"/>
      <c r="BX49" s="250"/>
      <c r="BY49" s="250"/>
      <c r="BZ49" s="250"/>
      <c r="CA49" s="250"/>
      <c r="CB49" s="250"/>
      <c r="CC49" s="255">
        <f t="shared" si="64"/>
        <v>0</v>
      </c>
      <c r="CD49" s="254"/>
      <c r="CE49" s="250"/>
      <c r="CF49" s="250"/>
      <c r="CG49" s="250"/>
      <c r="CH49" s="250"/>
      <c r="CI49" s="250"/>
      <c r="CJ49" s="250"/>
      <c r="CK49" s="250"/>
      <c r="CL49" s="255">
        <f t="shared" si="65"/>
        <v>0</v>
      </c>
      <c r="CM49" s="254"/>
      <c r="CN49" s="250"/>
      <c r="CO49" s="250"/>
      <c r="CP49" s="250"/>
      <c r="CQ49" s="250"/>
      <c r="CR49" s="250"/>
      <c r="CS49" s="250"/>
      <c r="CT49" s="250"/>
      <c r="CU49" s="255">
        <f t="shared" si="66"/>
        <v>0</v>
      </c>
      <c r="CV49" s="256">
        <f t="shared" si="79"/>
        <v>0</v>
      </c>
      <c r="CW49" s="253">
        <f t="shared" si="67"/>
        <v>0</v>
      </c>
      <c r="CX49" s="255">
        <f t="shared" si="68"/>
        <v>0</v>
      </c>
      <c r="CZ49" s="251">
        <v>1.5125635379581413E-2</v>
      </c>
      <c r="DA49" s="252"/>
      <c r="DB49" s="243"/>
      <c r="DC49" s="250"/>
      <c r="DD49" s="250"/>
      <c r="DE49" s="250"/>
      <c r="DF49" s="250"/>
      <c r="DG49" s="250"/>
      <c r="DH49" s="250"/>
      <c r="DI49" s="255">
        <f t="shared" si="69"/>
        <v>0</v>
      </c>
      <c r="DJ49" s="252"/>
      <c r="DK49" s="243"/>
      <c r="DL49" s="250"/>
      <c r="DM49" s="250"/>
      <c r="DN49" s="250"/>
      <c r="DO49" s="250"/>
      <c r="DP49" s="250"/>
      <c r="DQ49" s="250"/>
      <c r="DR49" s="255">
        <f t="shared" si="70"/>
        <v>0</v>
      </c>
      <c r="DS49" s="252"/>
      <c r="DT49" s="243"/>
      <c r="DU49" s="250"/>
      <c r="DV49" s="250"/>
      <c r="DW49" s="250"/>
      <c r="DX49" s="250"/>
      <c r="DY49" s="250"/>
      <c r="DZ49" s="250"/>
      <c r="EA49" s="255">
        <f t="shared" si="71"/>
        <v>0</v>
      </c>
      <c r="EB49" s="256">
        <f t="shared" si="80"/>
        <v>0</v>
      </c>
      <c r="EC49" s="253">
        <f t="shared" si="72"/>
        <v>0</v>
      </c>
      <c r="ED49" s="255">
        <f t="shared" si="73"/>
        <v>0</v>
      </c>
    </row>
    <row r="50" spans="1:134" s="213" customFormat="1" ht="30" customHeight="1" x14ac:dyDescent="0.25">
      <c r="A50" s="247">
        <v>10</v>
      </c>
      <c r="B50" s="248" t="s">
        <v>10</v>
      </c>
      <c r="C50" s="248" t="s">
        <v>9</v>
      </c>
      <c r="D50" s="248" t="s">
        <v>8</v>
      </c>
      <c r="E50" s="268" t="s">
        <v>401</v>
      </c>
      <c r="F50" s="250" t="s">
        <v>271</v>
      </c>
      <c r="G50" s="364">
        <v>3.9248424991200397E-2</v>
      </c>
      <c r="H50" s="214"/>
      <c r="I50" s="252">
        <v>3196.364326205522</v>
      </c>
      <c r="J50" s="243">
        <v>1704.9237008497066</v>
      </c>
      <c r="K50" s="250">
        <v>0</v>
      </c>
      <c r="L50" s="250">
        <v>0</v>
      </c>
      <c r="M50" s="250">
        <f>'FUS-Working'!BW32</f>
        <v>0</v>
      </c>
      <c r="N50" s="250">
        <f>'FUS-Working'!BX32</f>
        <v>0</v>
      </c>
      <c r="O50" s="250">
        <f>'FUS-Working'!DG32</f>
        <v>1300</v>
      </c>
      <c r="P50" s="250">
        <f>'FUS-Working'!DH32</f>
        <v>1048</v>
      </c>
      <c r="Q50" s="255">
        <f t="shared" si="74"/>
        <v>0.614690264131875</v>
      </c>
      <c r="R50" s="252">
        <v>3196.364326205522</v>
      </c>
      <c r="S50" s="243">
        <v>1704.9237008497066</v>
      </c>
      <c r="T50" s="250">
        <f>'FUS-Working'!DG104</f>
        <v>1260</v>
      </c>
      <c r="U50" s="250">
        <f>'FUS-Working'!DH104</f>
        <v>1108.8</v>
      </c>
      <c r="V50" s="250">
        <f>'FUS-Working'!DG104</f>
        <v>1260</v>
      </c>
      <c r="W50" s="250">
        <f>'FUS-Working'!DH104</f>
        <v>1108.8</v>
      </c>
      <c r="X50" s="250">
        <f>'FUS-Working'!DG104</f>
        <v>1260</v>
      </c>
      <c r="Y50" s="250">
        <f>'FUS-Working'!DH104</f>
        <v>1108.8</v>
      </c>
      <c r="Z50" s="255">
        <f t="shared" si="57"/>
        <v>0.73903600458603291</v>
      </c>
      <c r="AA50" s="252">
        <v>3196.364326205522</v>
      </c>
      <c r="AB50" s="243">
        <v>1704.9237008497066</v>
      </c>
      <c r="AC50" s="250">
        <f>'FUS-Working'!AP175</f>
        <v>1300</v>
      </c>
      <c r="AD50" s="250">
        <f>'FUS-Working'!AQ175</f>
        <v>1048</v>
      </c>
      <c r="AE50" s="250">
        <f>'FUS-Working'!BW175</f>
        <v>1300</v>
      </c>
      <c r="AF50" s="250">
        <f>'FUS-Working'!BX175</f>
        <v>1048</v>
      </c>
      <c r="AG50" s="250">
        <f>'FUS-Working'!DG175</f>
        <v>1300</v>
      </c>
      <c r="AH50" s="250">
        <f>'FUS-Working'!DH175</f>
        <v>1048</v>
      </c>
      <c r="AI50" s="255">
        <f t="shared" si="75"/>
        <v>0.614690264131875</v>
      </c>
      <c r="AJ50" s="256">
        <f t="shared" si="76"/>
        <v>5114.7711025491199</v>
      </c>
      <c r="AK50" s="253">
        <f t="shared" si="77"/>
        <v>3204.8</v>
      </c>
      <c r="AL50" s="255">
        <f t="shared" si="58"/>
        <v>0.62657740409981966</v>
      </c>
      <c r="AN50" s="251"/>
      <c r="AO50" s="252"/>
      <c r="AP50" s="243"/>
      <c r="AQ50" s="250"/>
      <c r="AR50" s="250"/>
      <c r="AS50" s="250"/>
      <c r="AT50" s="250"/>
      <c r="AU50" s="250"/>
      <c r="AV50" s="250"/>
      <c r="AW50" s="255">
        <f t="shared" si="59"/>
        <v>0</v>
      </c>
      <c r="AX50" s="252"/>
      <c r="AY50" s="243"/>
      <c r="AZ50" s="250"/>
      <c r="BA50" s="250"/>
      <c r="BB50" s="250"/>
      <c r="BC50" s="250"/>
      <c r="BD50" s="250"/>
      <c r="BE50" s="250"/>
      <c r="BF50" s="255">
        <f t="shared" si="60"/>
        <v>0</v>
      </c>
      <c r="BG50" s="252"/>
      <c r="BH50" s="243"/>
      <c r="BI50" s="250"/>
      <c r="BJ50" s="250"/>
      <c r="BK50" s="250"/>
      <c r="BL50" s="250"/>
      <c r="BM50" s="250"/>
      <c r="BN50" s="250"/>
      <c r="BO50" s="255">
        <f t="shared" si="61"/>
        <v>0</v>
      </c>
      <c r="BP50" s="256">
        <f t="shared" si="78"/>
        <v>0</v>
      </c>
      <c r="BQ50" s="253">
        <f t="shared" si="62"/>
        <v>0</v>
      </c>
      <c r="BR50" s="255">
        <f t="shared" si="63"/>
        <v>0</v>
      </c>
      <c r="BT50" s="251"/>
      <c r="BU50" s="254"/>
      <c r="BV50" s="250"/>
      <c r="BW50" s="250"/>
      <c r="BX50" s="250"/>
      <c r="BY50" s="250"/>
      <c r="BZ50" s="250"/>
      <c r="CA50" s="250"/>
      <c r="CB50" s="250"/>
      <c r="CC50" s="255">
        <f t="shared" si="64"/>
        <v>0</v>
      </c>
      <c r="CD50" s="254"/>
      <c r="CE50" s="250"/>
      <c r="CF50" s="250"/>
      <c r="CG50" s="250"/>
      <c r="CH50" s="250"/>
      <c r="CI50" s="250"/>
      <c r="CJ50" s="250"/>
      <c r="CK50" s="250"/>
      <c r="CL50" s="255">
        <f t="shared" si="65"/>
        <v>0</v>
      </c>
      <c r="CM50" s="254"/>
      <c r="CN50" s="250"/>
      <c r="CO50" s="250"/>
      <c r="CP50" s="250"/>
      <c r="CQ50" s="250"/>
      <c r="CR50" s="250"/>
      <c r="CS50" s="250"/>
      <c r="CT50" s="250"/>
      <c r="CU50" s="255">
        <f t="shared" si="66"/>
        <v>0</v>
      </c>
      <c r="CV50" s="256">
        <f t="shared" si="79"/>
        <v>0</v>
      </c>
      <c r="CW50" s="253">
        <f t="shared" si="67"/>
        <v>0</v>
      </c>
      <c r="CX50" s="255">
        <f t="shared" si="68"/>
        <v>0</v>
      </c>
      <c r="CZ50" s="251">
        <v>1.4961002613545153E-2</v>
      </c>
      <c r="DA50" s="252"/>
      <c r="DB50" s="243"/>
      <c r="DC50" s="250"/>
      <c r="DD50" s="250"/>
      <c r="DE50" s="250"/>
      <c r="DF50" s="250"/>
      <c r="DG50" s="250"/>
      <c r="DH50" s="250"/>
      <c r="DI50" s="255">
        <f t="shared" si="69"/>
        <v>0</v>
      </c>
      <c r="DJ50" s="252"/>
      <c r="DK50" s="243"/>
      <c r="DL50" s="250"/>
      <c r="DM50" s="250"/>
      <c r="DN50" s="250"/>
      <c r="DO50" s="250"/>
      <c r="DP50" s="250"/>
      <c r="DQ50" s="250"/>
      <c r="DR50" s="255">
        <f t="shared" si="70"/>
        <v>0</v>
      </c>
      <c r="DS50" s="252"/>
      <c r="DT50" s="243"/>
      <c r="DU50" s="250"/>
      <c r="DV50" s="250"/>
      <c r="DW50" s="250"/>
      <c r="DX50" s="250"/>
      <c r="DY50" s="250"/>
      <c r="DZ50" s="250"/>
      <c r="EA50" s="255">
        <f t="shared" si="71"/>
        <v>0</v>
      </c>
      <c r="EB50" s="256">
        <f t="shared" si="80"/>
        <v>0</v>
      </c>
      <c r="EC50" s="253">
        <f t="shared" si="72"/>
        <v>0</v>
      </c>
      <c r="ED50" s="255">
        <f t="shared" si="73"/>
        <v>0</v>
      </c>
    </row>
    <row r="51" spans="1:134" s="213" customFormat="1" ht="30" customHeight="1" x14ac:dyDescent="0.25">
      <c r="A51" s="247">
        <v>11</v>
      </c>
      <c r="B51" s="248" t="s">
        <v>306</v>
      </c>
      <c r="C51" s="248" t="s">
        <v>305</v>
      </c>
      <c r="D51" s="248" t="s">
        <v>28</v>
      </c>
      <c r="E51" s="268" t="s">
        <v>353</v>
      </c>
      <c r="F51" s="250" t="s">
        <v>271</v>
      </c>
      <c r="G51" s="364">
        <v>3.88906002205366E-2</v>
      </c>
      <c r="H51" s="214"/>
      <c r="I51" s="252">
        <v>2285.3395714264107</v>
      </c>
      <c r="J51" s="243">
        <v>1689.3800469988139</v>
      </c>
      <c r="K51" s="250">
        <v>0</v>
      </c>
      <c r="L51" s="250">
        <v>0</v>
      </c>
      <c r="M51" s="250">
        <f>'FUS-Working'!BW33</f>
        <v>0</v>
      </c>
      <c r="N51" s="250">
        <f>'FUS-Working'!BX33</f>
        <v>0</v>
      </c>
      <c r="O51" s="250">
        <f>'FUS-Working'!DG33</f>
        <v>600</v>
      </c>
      <c r="P51" s="250">
        <f>'FUS-Working'!DH33</f>
        <v>600</v>
      </c>
      <c r="Q51" s="255">
        <f t="shared" si="74"/>
        <v>0.35515987125922366</v>
      </c>
      <c r="R51" s="252">
        <v>2285.3395714264107</v>
      </c>
      <c r="S51" s="243">
        <v>1689.3800469988139</v>
      </c>
      <c r="T51" s="250">
        <f>'FUS-Working'!DG105</f>
        <v>1900</v>
      </c>
      <c r="U51" s="250">
        <f>'FUS-Working'!DH105</f>
        <v>1648</v>
      </c>
      <c r="V51" s="250">
        <f>'FUS-Working'!DG105</f>
        <v>1900</v>
      </c>
      <c r="W51" s="250">
        <f>'FUS-Working'!DH105</f>
        <v>1648</v>
      </c>
      <c r="X51" s="250">
        <f>'FUS-Working'!DG105</f>
        <v>1900</v>
      </c>
      <c r="Y51" s="250">
        <f>'FUS-Working'!DH105</f>
        <v>1648</v>
      </c>
      <c r="Z51" s="255">
        <f t="shared" si="57"/>
        <v>1.1246729256542083</v>
      </c>
      <c r="AA51" s="252">
        <v>2285.3395714264107</v>
      </c>
      <c r="AB51" s="243">
        <v>1689.3800469988139</v>
      </c>
      <c r="AC51" s="250">
        <f>'FUS-Working'!AP176</f>
        <v>0</v>
      </c>
      <c r="AD51" s="250">
        <f>'FUS-Working'!AQ176</f>
        <v>0</v>
      </c>
      <c r="AE51" s="250">
        <f>'FUS-Working'!BW176</f>
        <v>3100</v>
      </c>
      <c r="AF51" s="250">
        <f>'FUS-Working'!BX176</f>
        <v>2848</v>
      </c>
      <c r="AG51" s="250">
        <f>'FUS-Working'!DG176</f>
        <v>3100</v>
      </c>
      <c r="AH51" s="250">
        <f>'FUS-Working'!DH176</f>
        <v>2848</v>
      </c>
      <c r="AI51" s="255">
        <f t="shared" si="75"/>
        <v>1.6858255222437817</v>
      </c>
      <c r="AJ51" s="256">
        <f t="shared" si="76"/>
        <v>5068.1401409964419</v>
      </c>
      <c r="AK51" s="253">
        <f t="shared" si="77"/>
        <v>5096</v>
      </c>
      <c r="AL51" s="255">
        <f t="shared" si="58"/>
        <v>1.00549705774278</v>
      </c>
      <c r="AN51" s="251"/>
      <c r="AO51" s="252"/>
      <c r="AP51" s="243"/>
      <c r="AQ51" s="250"/>
      <c r="AR51" s="250"/>
      <c r="AS51" s="250"/>
      <c r="AT51" s="250"/>
      <c r="AU51" s="250"/>
      <c r="AV51" s="250"/>
      <c r="AW51" s="255">
        <f t="shared" si="59"/>
        <v>0</v>
      </c>
      <c r="AX51" s="252"/>
      <c r="AY51" s="243"/>
      <c r="AZ51" s="250"/>
      <c r="BA51" s="250"/>
      <c r="BB51" s="250"/>
      <c r="BC51" s="250"/>
      <c r="BD51" s="250"/>
      <c r="BE51" s="250"/>
      <c r="BF51" s="255">
        <f t="shared" si="60"/>
        <v>0</v>
      </c>
      <c r="BG51" s="252"/>
      <c r="BH51" s="243"/>
      <c r="BI51" s="250"/>
      <c r="BJ51" s="250"/>
      <c r="BK51" s="250"/>
      <c r="BL51" s="250"/>
      <c r="BM51" s="250"/>
      <c r="BN51" s="250"/>
      <c r="BO51" s="255">
        <f t="shared" si="61"/>
        <v>0</v>
      </c>
      <c r="BP51" s="256">
        <f t="shared" si="78"/>
        <v>0</v>
      </c>
      <c r="BQ51" s="253">
        <f t="shared" si="62"/>
        <v>0</v>
      </c>
      <c r="BR51" s="255">
        <f t="shared" si="63"/>
        <v>0</v>
      </c>
      <c r="BT51" s="251"/>
      <c r="BU51" s="254"/>
      <c r="BV51" s="250"/>
      <c r="BW51" s="250"/>
      <c r="BX51" s="250"/>
      <c r="BY51" s="250"/>
      <c r="BZ51" s="250"/>
      <c r="CA51" s="250"/>
      <c r="CB51" s="250"/>
      <c r="CC51" s="255">
        <f t="shared" si="64"/>
        <v>0</v>
      </c>
      <c r="CD51" s="254"/>
      <c r="CE51" s="250"/>
      <c r="CF51" s="250"/>
      <c r="CG51" s="250"/>
      <c r="CH51" s="250"/>
      <c r="CI51" s="250"/>
      <c r="CJ51" s="250"/>
      <c r="CK51" s="250"/>
      <c r="CL51" s="255">
        <f t="shared" si="65"/>
        <v>0</v>
      </c>
      <c r="CM51" s="254"/>
      <c r="CN51" s="250"/>
      <c r="CO51" s="250"/>
      <c r="CP51" s="250"/>
      <c r="CQ51" s="250"/>
      <c r="CR51" s="250"/>
      <c r="CS51" s="250"/>
      <c r="CT51" s="250"/>
      <c r="CU51" s="255">
        <f t="shared" si="66"/>
        <v>0</v>
      </c>
      <c r="CV51" s="256">
        <f t="shared" si="79"/>
        <v>0</v>
      </c>
      <c r="CW51" s="253">
        <f t="shared" si="67"/>
        <v>0</v>
      </c>
      <c r="CX51" s="255">
        <f t="shared" si="68"/>
        <v>0</v>
      </c>
      <c r="CZ51" s="251">
        <v>1.2765213096536531E-2</v>
      </c>
      <c r="DA51" s="252"/>
      <c r="DB51" s="243"/>
      <c r="DC51" s="250"/>
      <c r="DD51" s="250"/>
      <c r="DE51" s="250"/>
      <c r="DF51" s="250"/>
      <c r="DG51" s="250"/>
      <c r="DH51" s="250"/>
      <c r="DI51" s="255">
        <f t="shared" si="69"/>
        <v>0</v>
      </c>
      <c r="DJ51" s="252"/>
      <c r="DK51" s="243"/>
      <c r="DL51" s="250"/>
      <c r="DM51" s="250"/>
      <c r="DN51" s="250"/>
      <c r="DO51" s="250"/>
      <c r="DP51" s="250"/>
      <c r="DQ51" s="250"/>
      <c r="DR51" s="255">
        <f t="shared" si="70"/>
        <v>0</v>
      </c>
      <c r="DS51" s="252"/>
      <c r="DT51" s="243"/>
      <c r="DU51" s="250"/>
      <c r="DV51" s="250"/>
      <c r="DW51" s="250"/>
      <c r="DX51" s="250"/>
      <c r="DY51" s="250"/>
      <c r="DZ51" s="250"/>
      <c r="EA51" s="255">
        <f t="shared" si="71"/>
        <v>0</v>
      </c>
      <c r="EB51" s="256">
        <f t="shared" si="80"/>
        <v>0</v>
      </c>
      <c r="EC51" s="253">
        <f t="shared" si="72"/>
        <v>0</v>
      </c>
      <c r="ED51" s="255">
        <f t="shared" si="73"/>
        <v>0</v>
      </c>
    </row>
    <row r="52" spans="1:134" s="213" customFormat="1" ht="30" customHeight="1" x14ac:dyDescent="0.25">
      <c r="A52" s="247">
        <v>12</v>
      </c>
      <c r="B52" s="248" t="s">
        <v>23</v>
      </c>
      <c r="C52" s="248" t="s">
        <v>22</v>
      </c>
      <c r="D52" s="248" t="s">
        <v>21</v>
      </c>
      <c r="E52" s="268" t="s">
        <v>357</v>
      </c>
      <c r="F52" s="250" t="s">
        <v>271</v>
      </c>
      <c r="G52" s="364">
        <v>3.1248634942966501E-2</v>
      </c>
      <c r="H52" s="214"/>
      <c r="I52" s="252">
        <v>2264.5043122225552</v>
      </c>
      <c r="J52" s="243">
        <v>1357.4185039376364</v>
      </c>
      <c r="K52" s="250">
        <v>0</v>
      </c>
      <c r="L52" s="250">
        <v>0</v>
      </c>
      <c r="M52" s="250">
        <f>'FUS-Working'!BW34</f>
        <v>2856</v>
      </c>
      <c r="N52" s="250">
        <f>'FUS-Working'!BX34</f>
        <v>1827.84</v>
      </c>
      <c r="O52" s="250">
        <f>'FUS-Working'!DG34</f>
        <v>2856</v>
      </c>
      <c r="P52" s="250">
        <f>'FUS-Working'!DH34</f>
        <v>1827.84</v>
      </c>
      <c r="Q52" s="255">
        <f t="shared" si="74"/>
        <v>1.3465559771711908</v>
      </c>
      <c r="R52" s="252">
        <v>2264.5043122225552</v>
      </c>
      <c r="S52" s="243">
        <v>1357.4185039376364</v>
      </c>
      <c r="T52" s="250">
        <f>'FUS-Working'!DG106</f>
        <v>2800</v>
      </c>
      <c r="U52" s="250">
        <f>'FUS-Working'!DH106</f>
        <v>1792</v>
      </c>
      <c r="V52" s="250">
        <f>'FUS-Working'!DG106</f>
        <v>2800</v>
      </c>
      <c r="W52" s="250">
        <f>'FUS-Working'!DH106</f>
        <v>1792</v>
      </c>
      <c r="X52" s="250">
        <f>'FUS-Working'!DG106</f>
        <v>2800</v>
      </c>
      <c r="Y52" s="250">
        <f>'FUS-Working'!DH106</f>
        <v>1792</v>
      </c>
      <c r="Z52" s="255">
        <f t="shared" si="57"/>
        <v>2.0627389356176331</v>
      </c>
      <c r="AA52" s="252">
        <v>2264.5043122225552</v>
      </c>
      <c r="AB52" s="243">
        <v>1357.4185039376364</v>
      </c>
      <c r="AC52" s="250">
        <f>'FUS-Working'!AP177</f>
        <v>0</v>
      </c>
      <c r="AD52" s="250">
        <f>'FUS-Working'!AQ177</f>
        <v>0</v>
      </c>
      <c r="AE52" s="250">
        <f>'FUS-Working'!BW177</f>
        <v>0</v>
      </c>
      <c r="AF52" s="250">
        <f>'FUS-Working'!BX177</f>
        <v>0</v>
      </c>
      <c r="AG52" s="250">
        <f>'FUS-Working'!DG177</f>
        <v>0</v>
      </c>
      <c r="AH52" s="250">
        <f>'FUS-Working'!DH177</f>
        <v>0</v>
      </c>
      <c r="AI52" s="255">
        <f t="shared" si="75"/>
        <v>0</v>
      </c>
      <c r="AJ52" s="256">
        <f t="shared" si="76"/>
        <v>4072.2555118129094</v>
      </c>
      <c r="AK52" s="253">
        <f t="shared" si="77"/>
        <v>3619.84</v>
      </c>
      <c r="AL52" s="255">
        <f t="shared" si="58"/>
        <v>0.88890296532215873</v>
      </c>
      <c r="AN52" s="251"/>
      <c r="AO52" s="252"/>
      <c r="AP52" s="243"/>
      <c r="AQ52" s="250"/>
      <c r="AR52" s="250"/>
      <c r="AS52" s="250"/>
      <c r="AT52" s="250"/>
      <c r="AU52" s="250"/>
      <c r="AV52" s="250"/>
      <c r="AW52" s="255">
        <f t="shared" si="59"/>
        <v>0</v>
      </c>
      <c r="AX52" s="252"/>
      <c r="AY52" s="243"/>
      <c r="AZ52" s="250"/>
      <c r="BA52" s="250"/>
      <c r="BB52" s="250"/>
      <c r="BC52" s="250"/>
      <c r="BD52" s="250"/>
      <c r="BE52" s="250"/>
      <c r="BF52" s="255">
        <f t="shared" si="60"/>
        <v>0</v>
      </c>
      <c r="BG52" s="252"/>
      <c r="BH52" s="243"/>
      <c r="BI52" s="250"/>
      <c r="BJ52" s="250"/>
      <c r="BK52" s="250"/>
      <c r="BL52" s="250"/>
      <c r="BM52" s="250"/>
      <c r="BN52" s="250"/>
      <c r="BO52" s="255">
        <f t="shared" si="61"/>
        <v>0</v>
      </c>
      <c r="BP52" s="256">
        <f t="shared" si="78"/>
        <v>0</v>
      </c>
      <c r="BQ52" s="253">
        <f t="shared" si="62"/>
        <v>0</v>
      </c>
      <c r="BR52" s="255">
        <f t="shared" si="63"/>
        <v>0</v>
      </c>
      <c r="BT52" s="251"/>
      <c r="BU52" s="254"/>
      <c r="BV52" s="250"/>
      <c r="BW52" s="250"/>
      <c r="BX52" s="250"/>
      <c r="BY52" s="250"/>
      <c r="BZ52" s="250"/>
      <c r="CA52" s="250"/>
      <c r="CB52" s="250"/>
      <c r="CC52" s="255">
        <f t="shared" si="64"/>
        <v>0</v>
      </c>
      <c r="CD52" s="254"/>
      <c r="CE52" s="250"/>
      <c r="CF52" s="250"/>
      <c r="CG52" s="250"/>
      <c r="CH52" s="250"/>
      <c r="CI52" s="250"/>
      <c r="CJ52" s="250"/>
      <c r="CK52" s="250"/>
      <c r="CL52" s="255">
        <f t="shared" si="65"/>
        <v>0</v>
      </c>
      <c r="CM52" s="254"/>
      <c r="CN52" s="250"/>
      <c r="CO52" s="250"/>
      <c r="CP52" s="250"/>
      <c r="CQ52" s="250"/>
      <c r="CR52" s="250"/>
      <c r="CS52" s="250"/>
      <c r="CT52" s="250"/>
      <c r="CU52" s="255">
        <f t="shared" si="66"/>
        <v>0</v>
      </c>
      <c r="CV52" s="256">
        <f t="shared" si="79"/>
        <v>0</v>
      </c>
      <c r="CW52" s="253">
        <f t="shared" si="67"/>
        <v>0</v>
      </c>
      <c r="CX52" s="255">
        <f t="shared" si="68"/>
        <v>0</v>
      </c>
      <c r="CZ52" s="251">
        <v>1.2388615644228586E-2</v>
      </c>
      <c r="DA52" s="252"/>
      <c r="DB52" s="243"/>
      <c r="DC52" s="250"/>
      <c r="DD52" s="250"/>
      <c r="DE52" s="250"/>
      <c r="DF52" s="250"/>
      <c r="DG52" s="250"/>
      <c r="DH52" s="250"/>
      <c r="DI52" s="255">
        <f t="shared" si="69"/>
        <v>0</v>
      </c>
      <c r="DJ52" s="252"/>
      <c r="DK52" s="243"/>
      <c r="DL52" s="250"/>
      <c r="DM52" s="250"/>
      <c r="DN52" s="250"/>
      <c r="DO52" s="250"/>
      <c r="DP52" s="250"/>
      <c r="DQ52" s="250"/>
      <c r="DR52" s="255">
        <f t="shared" si="70"/>
        <v>0</v>
      </c>
      <c r="DS52" s="252"/>
      <c r="DT52" s="243"/>
      <c r="DU52" s="250"/>
      <c r="DV52" s="250"/>
      <c r="DW52" s="250"/>
      <c r="DX52" s="250"/>
      <c r="DY52" s="250"/>
      <c r="DZ52" s="250"/>
      <c r="EA52" s="255">
        <f t="shared" si="71"/>
        <v>0</v>
      </c>
      <c r="EB52" s="256">
        <f t="shared" si="80"/>
        <v>0</v>
      </c>
      <c r="EC52" s="253">
        <f t="shared" si="72"/>
        <v>0</v>
      </c>
      <c r="ED52" s="255">
        <f t="shared" si="73"/>
        <v>0</v>
      </c>
    </row>
    <row r="53" spans="1:134" s="213" customFormat="1" ht="30" customHeight="1" x14ac:dyDescent="0.25">
      <c r="A53" s="247">
        <v>13</v>
      </c>
      <c r="B53" s="248" t="s">
        <v>309</v>
      </c>
      <c r="C53" s="248" t="s">
        <v>455</v>
      </c>
      <c r="D53" s="248" t="s">
        <v>28</v>
      </c>
      <c r="E53" s="268" t="s">
        <v>353</v>
      </c>
      <c r="F53" s="250" t="s">
        <v>271</v>
      </c>
      <c r="G53" s="364">
        <v>4.0330269473266102E-2</v>
      </c>
      <c r="H53" s="214"/>
      <c r="I53" s="252">
        <v>1819.5314080560026</v>
      </c>
      <c r="J53" s="243">
        <v>1751.9182566445122</v>
      </c>
      <c r="K53" s="250">
        <v>0</v>
      </c>
      <c r="L53" s="250">
        <v>0</v>
      </c>
      <c r="M53" s="250">
        <f>'FUS-Working'!BW35</f>
        <v>1660</v>
      </c>
      <c r="N53" s="250">
        <f>'FUS-Working'!BX35</f>
        <v>1408</v>
      </c>
      <c r="O53" s="250">
        <f>'FUS-Working'!DG35</f>
        <v>1660</v>
      </c>
      <c r="P53" s="250">
        <f>'FUS-Working'!DH35</f>
        <v>1408</v>
      </c>
      <c r="Q53" s="255">
        <f t="shared" si="74"/>
        <v>0.80369046595631322</v>
      </c>
      <c r="R53" s="252">
        <v>1819.5314080560026</v>
      </c>
      <c r="S53" s="243">
        <v>1751.9182566445122</v>
      </c>
      <c r="T53" s="250">
        <f>'FUS-Working'!DG107</f>
        <v>1420</v>
      </c>
      <c r="U53" s="250">
        <f>'FUS-Working'!DH107</f>
        <v>1168</v>
      </c>
      <c r="V53" s="250">
        <f>'FUS-Working'!DG107</f>
        <v>1420</v>
      </c>
      <c r="W53" s="250">
        <f>'FUS-Working'!DH107</f>
        <v>1168</v>
      </c>
      <c r="X53" s="250">
        <f>'FUS-Working'!DG107</f>
        <v>1420</v>
      </c>
      <c r="Y53" s="250">
        <f>'FUS-Working'!DH107</f>
        <v>1168</v>
      </c>
      <c r="Z53" s="255">
        <f t="shared" si="57"/>
        <v>0.81054010060935</v>
      </c>
      <c r="AA53" s="252">
        <v>1819.5314080560026</v>
      </c>
      <c r="AB53" s="243">
        <v>1751.9182566445122</v>
      </c>
      <c r="AC53" s="250">
        <f>'FUS-Working'!AP178</f>
        <v>372</v>
      </c>
      <c r="AD53" s="250">
        <f>'FUS-Working'!AQ178</f>
        <v>372</v>
      </c>
      <c r="AE53" s="250">
        <f>'FUS-Working'!BW178</f>
        <v>1572</v>
      </c>
      <c r="AF53" s="250">
        <f>'FUS-Working'!BX178</f>
        <v>1572</v>
      </c>
      <c r="AG53" s="250">
        <f>'FUS-Working'!DG178</f>
        <v>1572</v>
      </c>
      <c r="AH53" s="250">
        <f>'FUS-Working'!DH178</f>
        <v>1572</v>
      </c>
      <c r="AI53" s="255">
        <f t="shared" si="75"/>
        <v>0.89730213954781568</v>
      </c>
      <c r="AJ53" s="256">
        <f t="shared" si="76"/>
        <v>5255.7547699335364</v>
      </c>
      <c r="AK53" s="253">
        <f t="shared" si="77"/>
        <v>4148</v>
      </c>
      <c r="AL53" s="255">
        <f t="shared" si="58"/>
        <v>0.78923012613323573</v>
      </c>
      <c r="AN53" s="251"/>
      <c r="AO53" s="252"/>
      <c r="AP53" s="243"/>
      <c r="AQ53" s="250"/>
      <c r="AR53" s="250"/>
      <c r="AS53" s="250"/>
      <c r="AT53" s="250"/>
      <c r="AU53" s="250"/>
      <c r="AV53" s="250"/>
      <c r="AW53" s="255">
        <f t="shared" si="59"/>
        <v>0</v>
      </c>
      <c r="AX53" s="252"/>
      <c r="AY53" s="243"/>
      <c r="AZ53" s="250"/>
      <c r="BA53" s="250"/>
      <c r="BB53" s="250"/>
      <c r="BC53" s="250"/>
      <c r="BD53" s="250"/>
      <c r="BE53" s="250"/>
      <c r="BF53" s="255">
        <f t="shared" si="60"/>
        <v>0</v>
      </c>
      <c r="BG53" s="252"/>
      <c r="BH53" s="243"/>
      <c r="BI53" s="250"/>
      <c r="BJ53" s="250"/>
      <c r="BK53" s="250"/>
      <c r="BL53" s="250"/>
      <c r="BM53" s="250"/>
      <c r="BN53" s="250"/>
      <c r="BO53" s="255">
        <f t="shared" si="61"/>
        <v>0</v>
      </c>
      <c r="BP53" s="256">
        <f t="shared" si="78"/>
        <v>0</v>
      </c>
      <c r="BQ53" s="253">
        <f t="shared" si="62"/>
        <v>0</v>
      </c>
      <c r="BR53" s="255">
        <f t="shared" si="63"/>
        <v>0</v>
      </c>
      <c r="BT53" s="251"/>
      <c r="BU53" s="254"/>
      <c r="BV53" s="250"/>
      <c r="BW53" s="250"/>
      <c r="BX53" s="250"/>
      <c r="BY53" s="250"/>
      <c r="BZ53" s="250"/>
      <c r="CA53" s="250"/>
      <c r="CB53" s="250"/>
      <c r="CC53" s="255">
        <f t="shared" si="64"/>
        <v>0</v>
      </c>
      <c r="CD53" s="254"/>
      <c r="CE53" s="250"/>
      <c r="CF53" s="250"/>
      <c r="CG53" s="250"/>
      <c r="CH53" s="250"/>
      <c r="CI53" s="250"/>
      <c r="CJ53" s="250"/>
      <c r="CK53" s="250"/>
      <c r="CL53" s="255">
        <f t="shared" si="65"/>
        <v>0</v>
      </c>
      <c r="CM53" s="254"/>
      <c r="CN53" s="250"/>
      <c r="CO53" s="250"/>
      <c r="CP53" s="250"/>
      <c r="CQ53" s="250"/>
      <c r="CR53" s="250"/>
      <c r="CS53" s="250"/>
      <c r="CT53" s="250"/>
      <c r="CU53" s="255">
        <f t="shared" si="66"/>
        <v>0</v>
      </c>
      <c r="CV53" s="256">
        <f t="shared" si="79"/>
        <v>0</v>
      </c>
      <c r="CW53" s="253">
        <f t="shared" si="67"/>
        <v>0</v>
      </c>
      <c r="CX53" s="255">
        <f t="shared" si="68"/>
        <v>0</v>
      </c>
      <c r="CZ53" s="251">
        <v>1.2244561973946858E-2</v>
      </c>
      <c r="DA53" s="252"/>
      <c r="DB53" s="243"/>
      <c r="DC53" s="250"/>
      <c r="DD53" s="250"/>
      <c r="DE53" s="250"/>
      <c r="DF53" s="250"/>
      <c r="DG53" s="250"/>
      <c r="DH53" s="250"/>
      <c r="DI53" s="255">
        <f t="shared" si="69"/>
        <v>0</v>
      </c>
      <c r="DJ53" s="252"/>
      <c r="DK53" s="243"/>
      <c r="DL53" s="250"/>
      <c r="DM53" s="250"/>
      <c r="DN53" s="250"/>
      <c r="DO53" s="250"/>
      <c r="DP53" s="250"/>
      <c r="DQ53" s="250"/>
      <c r="DR53" s="255">
        <f t="shared" si="70"/>
        <v>0</v>
      </c>
      <c r="DS53" s="252"/>
      <c r="DT53" s="243"/>
      <c r="DU53" s="250"/>
      <c r="DV53" s="250"/>
      <c r="DW53" s="250"/>
      <c r="DX53" s="250"/>
      <c r="DY53" s="250"/>
      <c r="DZ53" s="250"/>
      <c r="EA53" s="255">
        <f t="shared" si="71"/>
        <v>0</v>
      </c>
      <c r="EB53" s="256">
        <f t="shared" si="80"/>
        <v>0</v>
      </c>
      <c r="EC53" s="253">
        <f t="shared" si="72"/>
        <v>0</v>
      </c>
      <c r="ED53" s="255">
        <f t="shared" si="73"/>
        <v>0</v>
      </c>
    </row>
    <row r="54" spans="1:134" s="213" customFormat="1" ht="30" customHeight="1" x14ac:dyDescent="0.25">
      <c r="A54" s="247">
        <v>14</v>
      </c>
      <c r="B54" s="248" t="s">
        <v>304</v>
      </c>
      <c r="C54" s="248" t="s">
        <v>303</v>
      </c>
      <c r="D54" s="248" t="s">
        <v>28</v>
      </c>
      <c r="E54" s="268" t="s">
        <v>353</v>
      </c>
      <c r="F54" s="250" t="s">
        <v>271</v>
      </c>
      <c r="G54" s="364">
        <v>3.9182858658954003E-2</v>
      </c>
      <c r="H54" s="214"/>
      <c r="I54" s="252">
        <v>2348.3327235222787</v>
      </c>
      <c r="J54" s="243">
        <v>1702.0755459530521</v>
      </c>
      <c r="K54" s="250">
        <v>0</v>
      </c>
      <c r="L54" s="250">
        <v>0</v>
      </c>
      <c r="M54" s="250">
        <f>'FUS-Working'!BW36</f>
        <v>0</v>
      </c>
      <c r="N54" s="250">
        <f>'FUS-Working'!BX36</f>
        <v>0</v>
      </c>
      <c r="O54" s="250">
        <f>'FUS-Working'!DG36</f>
        <v>1400</v>
      </c>
      <c r="P54" s="250">
        <f>'FUS-Working'!DH36</f>
        <v>896</v>
      </c>
      <c r="Q54" s="255">
        <f t="shared" si="74"/>
        <v>0.52641611715201397</v>
      </c>
      <c r="R54" s="252">
        <v>2348.3327235222787</v>
      </c>
      <c r="S54" s="243">
        <v>1702.0755459530521</v>
      </c>
      <c r="T54" s="250">
        <f>'FUS-Working'!DG108</f>
        <v>0</v>
      </c>
      <c r="U54" s="250">
        <f>'FUS-Working'!DH108</f>
        <v>0</v>
      </c>
      <c r="V54" s="250">
        <f>'FUS-Working'!DG108</f>
        <v>0</v>
      </c>
      <c r="W54" s="250">
        <f>'FUS-Working'!DH108</f>
        <v>0</v>
      </c>
      <c r="X54" s="250">
        <f>'FUS-Working'!DG108</f>
        <v>0</v>
      </c>
      <c r="Y54" s="250">
        <f>'FUS-Working'!DH108</f>
        <v>0</v>
      </c>
      <c r="Z54" s="255">
        <f t="shared" si="57"/>
        <v>0</v>
      </c>
      <c r="AA54" s="252">
        <v>2348.3327235222787</v>
      </c>
      <c r="AB54" s="243">
        <v>1702.0755459530521</v>
      </c>
      <c r="AC54" s="250">
        <f>'FUS-Working'!AP179</f>
        <v>0</v>
      </c>
      <c r="AD54" s="250">
        <f>'FUS-Working'!AQ179</f>
        <v>0</v>
      </c>
      <c r="AE54" s="250">
        <f>'FUS-Working'!BW179</f>
        <v>4400</v>
      </c>
      <c r="AF54" s="250">
        <f>'FUS-Working'!BX179</f>
        <v>3896</v>
      </c>
      <c r="AG54" s="250">
        <f>'FUS-Working'!DG179</f>
        <v>4400</v>
      </c>
      <c r="AH54" s="250">
        <f>'FUS-Working'!DH179</f>
        <v>3896</v>
      </c>
      <c r="AI54" s="255">
        <f t="shared" si="75"/>
        <v>2.2889700808306319</v>
      </c>
      <c r="AJ54" s="256">
        <f t="shared" si="76"/>
        <v>5106.2266378591567</v>
      </c>
      <c r="AK54" s="253">
        <f t="shared" si="77"/>
        <v>4792</v>
      </c>
      <c r="AL54" s="255">
        <f t="shared" si="58"/>
        <v>0.93846206599421533</v>
      </c>
      <c r="AN54" s="251"/>
      <c r="AO54" s="252"/>
      <c r="AP54" s="243"/>
      <c r="AQ54" s="250"/>
      <c r="AR54" s="250"/>
      <c r="AS54" s="250"/>
      <c r="AT54" s="250"/>
      <c r="AU54" s="250"/>
      <c r="AV54" s="250"/>
      <c r="AW54" s="255">
        <f t="shared" si="59"/>
        <v>0</v>
      </c>
      <c r="AX54" s="252"/>
      <c r="AY54" s="243"/>
      <c r="AZ54" s="250"/>
      <c r="BA54" s="250"/>
      <c r="BB54" s="250"/>
      <c r="BC54" s="250"/>
      <c r="BD54" s="250"/>
      <c r="BE54" s="250"/>
      <c r="BF54" s="255">
        <f t="shared" si="60"/>
        <v>0</v>
      </c>
      <c r="BG54" s="252"/>
      <c r="BH54" s="243"/>
      <c r="BI54" s="250"/>
      <c r="BJ54" s="250"/>
      <c r="BK54" s="250"/>
      <c r="BL54" s="250"/>
      <c r="BM54" s="250"/>
      <c r="BN54" s="250"/>
      <c r="BO54" s="255">
        <f t="shared" si="61"/>
        <v>0</v>
      </c>
      <c r="BP54" s="256">
        <f t="shared" si="78"/>
        <v>0</v>
      </c>
      <c r="BQ54" s="253">
        <f t="shared" si="62"/>
        <v>0</v>
      </c>
      <c r="BR54" s="255">
        <f t="shared" si="63"/>
        <v>0</v>
      </c>
      <c r="BT54" s="251"/>
      <c r="BU54" s="254"/>
      <c r="BV54" s="250"/>
      <c r="BW54" s="250"/>
      <c r="BX54" s="250"/>
      <c r="BY54" s="250"/>
      <c r="BZ54" s="250"/>
      <c r="CA54" s="250"/>
      <c r="CB54" s="250"/>
      <c r="CC54" s="255">
        <f t="shared" si="64"/>
        <v>0</v>
      </c>
      <c r="CD54" s="254"/>
      <c r="CE54" s="250"/>
      <c r="CF54" s="250"/>
      <c r="CG54" s="250"/>
      <c r="CH54" s="250"/>
      <c r="CI54" s="250"/>
      <c r="CJ54" s="250"/>
      <c r="CK54" s="250"/>
      <c r="CL54" s="255">
        <f t="shared" si="65"/>
        <v>0</v>
      </c>
      <c r="CM54" s="254"/>
      <c r="CN54" s="250"/>
      <c r="CO54" s="250"/>
      <c r="CP54" s="250"/>
      <c r="CQ54" s="250"/>
      <c r="CR54" s="250"/>
      <c r="CS54" s="250"/>
      <c r="CT54" s="250"/>
      <c r="CU54" s="255">
        <f t="shared" si="66"/>
        <v>0</v>
      </c>
      <c r="CV54" s="256">
        <f t="shared" si="79"/>
        <v>0</v>
      </c>
      <c r="CW54" s="253">
        <f t="shared" si="67"/>
        <v>0</v>
      </c>
      <c r="CX54" s="255">
        <f t="shared" si="68"/>
        <v>0</v>
      </c>
      <c r="CZ54" s="251">
        <v>1.1740374127960812E-2</v>
      </c>
      <c r="DA54" s="252"/>
      <c r="DB54" s="243"/>
      <c r="DC54" s="250"/>
      <c r="DD54" s="250"/>
      <c r="DE54" s="250"/>
      <c r="DF54" s="250"/>
      <c r="DG54" s="250"/>
      <c r="DH54" s="250"/>
      <c r="DI54" s="255">
        <f t="shared" si="69"/>
        <v>0</v>
      </c>
      <c r="DJ54" s="252"/>
      <c r="DK54" s="243"/>
      <c r="DL54" s="250"/>
      <c r="DM54" s="250"/>
      <c r="DN54" s="250"/>
      <c r="DO54" s="250"/>
      <c r="DP54" s="250"/>
      <c r="DQ54" s="250"/>
      <c r="DR54" s="255">
        <f t="shared" si="70"/>
        <v>0</v>
      </c>
      <c r="DS54" s="252"/>
      <c r="DT54" s="243"/>
      <c r="DU54" s="250"/>
      <c r="DV54" s="250"/>
      <c r="DW54" s="250"/>
      <c r="DX54" s="250"/>
      <c r="DY54" s="250"/>
      <c r="DZ54" s="250"/>
      <c r="EA54" s="255">
        <f t="shared" si="71"/>
        <v>0</v>
      </c>
      <c r="EB54" s="256">
        <f t="shared" si="80"/>
        <v>0</v>
      </c>
      <c r="EC54" s="253">
        <f t="shared" si="72"/>
        <v>0</v>
      </c>
      <c r="ED54" s="255">
        <f t="shared" si="73"/>
        <v>0</v>
      </c>
    </row>
    <row r="55" spans="1:134" s="213" customFormat="1" ht="30" customHeight="1" x14ac:dyDescent="0.25">
      <c r="A55" s="247">
        <v>15</v>
      </c>
      <c r="B55" s="248" t="s">
        <v>45</v>
      </c>
      <c r="C55" s="248" t="s">
        <v>44</v>
      </c>
      <c r="D55" s="248" t="s">
        <v>21</v>
      </c>
      <c r="E55" s="268" t="s">
        <v>357</v>
      </c>
      <c r="F55" s="250" t="s">
        <v>271</v>
      </c>
      <c r="G55" s="364">
        <v>3.3777123819490003E-2</v>
      </c>
      <c r="H55" s="214"/>
      <c r="I55" s="252">
        <v>2281.5218046327223</v>
      </c>
      <c r="J55" s="243">
        <v>1467.2542645799115</v>
      </c>
      <c r="K55" s="250">
        <v>0</v>
      </c>
      <c r="L55" s="250">
        <v>0</v>
      </c>
      <c r="M55" s="250">
        <f>'FUS-Working'!BW37</f>
        <v>2600</v>
      </c>
      <c r="N55" s="250">
        <f>'FUS-Working'!BX37</f>
        <v>2096</v>
      </c>
      <c r="O55" s="250">
        <f>'FUS-Working'!DG37</f>
        <v>2600</v>
      </c>
      <c r="P55" s="250">
        <f>'FUS-Working'!DH37</f>
        <v>2096</v>
      </c>
      <c r="Q55" s="255">
        <f t="shared" si="74"/>
        <v>1.4285185946282488</v>
      </c>
      <c r="R55" s="252">
        <v>2281.5218046327223</v>
      </c>
      <c r="S55" s="243">
        <v>1467.2542645799115</v>
      </c>
      <c r="T55" s="250">
        <f>'FUS-Working'!DG109</f>
        <v>2600</v>
      </c>
      <c r="U55" s="250">
        <f>'FUS-Working'!DH109</f>
        <v>2096</v>
      </c>
      <c r="V55" s="250">
        <f>'FUS-Working'!DG109</f>
        <v>2600</v>
      </c>
      <c r="W55" s="250">
        <f>'FUS-Working'!DH109</f>
        <v>2096</v>
      </c>
      <c r="X55" s="250">
        <f>'FUS-Working'!DG109</f>
        <v>2600</v>
      </c>
      <c r="Y55" s="250">
        <f>'FUS-Working'!DH109</f>
        <v>2096</v>
      </c>
      <c r="Z55" s="255">
        <f t="shared" si="57"/>
        <v>1.7720173406648125</v>
      </c>
      <c r="AA55" s="252">
        <v>2281.5218046327223</v>
      </c>
      <c r="AB55" s="243">
        <v>1467.2542645799115</v>
      </c>
      <c r="AC55" s="250">
        <f>'FUS-Working'!AP180</f>
        <v>0</v>
      </c>
      <c r="AD55" s="250">
        <f>'FUS-Working'!AQ180</f>
        <v>0</v>
      </c>
      <c r="AE55" s="250">
        <f>'FUS-Working'!BW180</f>
        <v>2700</v>
      </c>
      <c r="AF55" s="250">
        <f>'FUS-Working'!BX180</f>
        <v>1944</v>
      </c>
      <c r="AG55" s="250">
        <f>'FUS-Working'!DG180</f>
        <v>2700</v>
      </c>
      <c r="AH55" s="250">
        <f>'FUS-Working'!DH180</f>
        <v>1944</v>
      </c>
      <c r="AI55" s="255">
        <f t="shared" si="75"/>
        <v>1.3249237347124598</v>
      </c>
      <c r="AJ55" s="256">
        <f t="shared" si="76"/>
        <v>4401.7627937397347</v>
      </c>
      <c r="AK55" s="253">
        <f t="shared" si="77"/>
        <v>6136</v>
      </c>
      <c r="AL55" s="255">
        <f t="shared" si="58"/>
        <v>1.3939869746563192</v>
      </c>
      <c r="AN55" s="251"/>
      <c r="AO55" s="252"/>
      <c r="AP55" s="243"/>
      <c r="AQ55" s="250"/>
      <c r="AR55" s="250"/>
      <c r="AS55" s="250"/>
      <c r="AT55" s="250"/>
      <c r="AU55" s="250"/>
      <c r="AV55" s="250"/>
      <c r="AW55" s="255">
        <f t="shared" si="59"/>
        <v>0</v>
      </c>
      <c r="AX55" s="252"/>
      <c r="AY55" s="243"/>
      <c r="AZ55" s="250"/>
      <c r="BA55" s="250"/>
      <c r="BB55" s="250"/>
      <c r="BC55" s="250"/>
      <c r="BD55" s="250"/>
      <c r="BE55" s="250"/>
      <c r="BF55" s="255">
        <f t="shared" si="60"/>
        <v>0</v>
      </c>
      <c r="BG55" s="252"/>
      <c r="BH55" s="243"/>
      <c r="BI55" s="250"/>
      <c r="BJ55" s="250"/>
      <c r="BK55" s="250"/>
      <c r="BL55" s="250"/>
      <c r="BM55" s="250"/>
      <c r="BN55" s="250"/>
      <c r="BO55" s="255">
        <f t="shared" si="61"/>
        <v>0</v>
      </c>
      <c r="BP55" s="256">
        <f t="shared" si="78"/>
        <v>0</v>
      </c>
      <c r="BQ55" s="253">
        <f t="shared" si="62"/>
        <v>0</v>
      </c>
      <c r="BR55" s="255">
        <f t="shared" si="63"/>
        <v>0</v>
      </c>
      <c r="BT55" s="251"/>
      <c r="BU55" s="254"/>
      <c r="BV55" s="250"/>
      <c r="BW55" s="250"/>
      <c r="BX55" s="250"/>
      <c r="BY55" s="250"/>
      <c r="BZ55" s="250"/>
      <c r="CA55" s="250"/>
      <c r="CB55" s="250"/>
      <c r="CC55" s="255">
        <f t="shared" si="64"/>
        <v>0</v>
      </c>
      <c r="CD55" s="254"/>
      <c r="CE55" s="250"/>
      <c r="CF55" s="250"/>
      <c r="CG55" s="250"/>
      <c r="CH55" s="250"/>
      <c r="CI55" s="250"/>
      <c r="CJ55" s="250"/>
      <c r="CK55" s="250"/>
      <c r="CL55" s="255">
        <f t="shared" si="65"/>
        <v>0</v>
      </c>
      <c r="CM55" s="254"/>
      <c r="CN55" s="250"/>
      <c r="CO55" s="250"/>
      <c r="CP55" s="250"/>
      <c r="CQ55" s="250"/>
      <c r="CR55" s="250"/>
      <c r="CS55" s="250"/>
      <c r="CT55" s="250"/>
      <c r="CU55" s="255">
        <f t="shared" si="66"/>
        <v>0</v>
      </c>
      <c r="CV55" s="256">
        <f t="shared" si="79"/>
        <v>0</v>
      </c>
      <c r="CW55" s="253">
        <f t="shared" si="67"/>
        <v>0</v>
      </c>
      <c r="CX55" s="255">
        <f t="shared" si="68"/>
        <v>0</v>
      </c>
      <c r="CZ55" s="251">
        <v>1.0991295042495828E-2</v>
      </c>
      <c r="DA55" s="252"/>
      <c r="DB55" s="243"/>
      <c r="DC55" s="250"/>
      <c r="DD55" s="250"/>
      <c r="DE55" s="250"/>
      <c r="DF55" s="250"/>
      <c r="DG55" s="250"/>
      <c r="DH55" s="250"/>
      <c r="DI55" s="255">
        <f t="shared" si="69"/>
        <v>0</v>
      </c>
      <c r="DJ55" s="252"/>
      <c r="DK55" s="243"/>
      <c r="DL55" s="250"/>
      <c r="DM55" s="250"/>
      <c r="DN55" s="250"/>
      <c r="DO55" s="250"/>
      <c r="DP55" s="250"/>
      <c r="DQ55" s="250"/>
      <c r="DR55" s="255">
        <f t="shared" si="70"/>
        <v>0</v>
      </c>
      <c r="DS55" s="252"/>
      <c r="DT55" s="243"/>
      <c r="DU55" s="250"/>
      <c r="DV55" s="250"/>
      <c r="DW55" s="250"/>
      <c r="DX55" s="250"/>
      <c r="DY55" s="250"/>
      <c r="DZ55" s="250"/>
      <c r="EA55" s="255">
        <f t="shared" si="71"/>
        <v>0</v>
      </c>
      <c r="EB55" s="256">
        <f t="shared" si="80"/>
        <v>0</v>
      </c>
      <c r="EC55" s="253">
        <f t="shared" si="72"/>
        <v>0</v>
      </c>
      <c r="ED55" s="255">
        <f t="shared" si="73"/>
        <v>0</v>
      </c>
    </row>
    <row r="56" spans="1:134" s="213" customFormat="1" ht="30" customHeight="1" x14ac:dyDescent="0.25">
      <c r="A56" s="247">
        <v>16</v>
      </c>
      <c r="B56" s="248" t="s">
        <v>50</v>
      </c>
      <c r="C56" s="248" t="s">
        <v>49</v>
      </c>
      <c r="D56" s="248" t="s">
        <v>46</v>
      </c>
      <c r="E56" s="268" t="s">
        <v>360</v>
      </c>
      <c r="F56" s="250" t="s">
        <v>271</v>
      </c>
      <c r="G56" s="364">
        <v>3.3006370658508297E-2</v>
      </c>
      <c r="H56" s="214"/>
      <c r="I56" s="252">
        <v>1966.7591168551767</v>
      </c>
      <c r="J56" s="243">
        <v>1433.7732947841282</v>
      </c>
      <c r="K56" s="250">
        <v>0</v>
      </c>
      <c r="L56" s="250">
        <v>0</v>
      </c>
      <c r="M56" s="250">
        <f>'FUS-Working'!BW38</f>
        <v>0</v>
      </c>
      <c r="N56" s="250">
        <f>'FUS-Working'!BX38</f>
        <v>0</v>
      </c>
      <c r="O56" s="250">
        <f>'FUS-Working'!DG38</f>
        <v>1400</v>
      </c>
      <c r="P56" s="250">
        <f>'FUS-Working'!DH38</f>
        <v>896</v>
      </c>
      <c r="Q56" s="255">
        <f t="shared" si="74"/>
        <v>0.62492445860131851</v>
      </c>
      <c r="R56" s="252">
        <v>1966.7591168551767</v>
      </c>
      <c r="S56" s="243">
        <v>1433.7732947841282</v>
      </c>
      <c r="T56" s="250">
        <f>'FUS-Working'!DG110</f>
        <v>1400</v>
      </c>
      <c r="U56" s="250">
        <f>'FUS-Working'!DH110</f>
        <v>896</v>
      </c>
      <c r="V56" s="250">
        <f>'FUS-Working'!DG110</f>
        <v>1400</v>
      </c>
      <c r="W56" s="250">
        <f>'FUS-Working'!DH110</f>
        <v>896</v>
      </c>
      <c r="X56" s="250">
        <f>'FUS-Working'!DG110</f>
        <v>1400</v>
      </c>
      <c r="Y56" s="250">
        <f>'FUS-Working'!DH110</f>
        <v>896</v>
      </c>
      <c r="Z56" s="255">
        <f t="shared" si="57"/>
        <v>0.97644446656456019</v>
      </c>
      <c r="AA56" s="252">
        <v>1966.7591168551767</v>
      </c>
      <c r="AB56" s="243">
        <v>1433.7732947841282</v>
      </c>
      <c r="AC56" s="250">
        <f>'FUS-Working'!AP181</f>
        <v>1400</v>
      </c>
      <c r="AD56" s="250">
        <f>'FUS-Working'!AQ181</f>
        <v>896</v>
      </c>
      <c r="AE56" s="250">
        <f>'FUS-Working'!BW181</f>
        <v>2800</v>
      </c>
      <c r="AF56" s="250">
        <f>'FUS-Working'!BX181</f>
        <v>1792</v>
      </c>
      <c r="AG56" s="250">
        <f>'FUS-Working'!DG181</f>
        <v>2800</v>
      </c>
      <c r="AH56" s="250">
        <f>'FUS-Working'!DH181</f>
        <v>1792</v>
      </c>
      <c r="AI56" s="255">
        <f t="shared" si="75"/>
        <v>1.249848917202637</v>
      </c>
      <c r="AJ56" s="256">
        <f t="shared" si="76"/>
        <v>4301.3198843523842</v>
      </c>
      <c r="AK56" s="253">
        <f t="shared" si="77"/>
        <v>3584</v>
      </c>
      <c r="AL56" s="255">
        <f t="shared" si="58"/>
        <v>0.83323261146842476</v>
      </c>
      <c r="AN56" s="251"/>
      <c r="AO56" s="252"/>
      <c r="AP56" s="243"/>
      <c r="AQ56" s="250"/>
      <c r="AR56" s="250"/>
      <c r="AS56" s="250"/>
      <c r="AT56" s="250"/>
      <c r="AU56" s="250"/>
      <c r="AV56" s="250"/>
      <c r="AW56" s="255">
        <f t="shared" si="59"/>
        <v>0</v>
      </c>
      <c r="AX56" s="252"/>
      <c r="AY56" s="243"/>
      <c r="AZ56" s="250"/>
      <c r="BA56" s="250"/>
      <c r="BB56" s="250"/>
      <c r="BC56" s="250"/>
      <c r="BD56" s="250"/>
      <c r="BE56" s="250"/>
      <c r="BF56" s="255">
        <f t="shared" si="60"/>
        <v>0</v>
      </c>
      <c r="BG56" s="252"/>
      <c r="BH56" s="243"/>
      <c r="BI56" s="250"/>
      <c r="BJ56" s="250"/>
      <c r="BK56" s="250"/>
      <c r="BL56" s="250"/>
      <c r="BM56" s="250"/>
      <c r="BN56" s="250"/>
      <c r="BO56" s="255">
        <f t="shared" si="61"/>
        <v>0</v>
      </c>
      <c r="BP56" s="256">
        <f t="shared" si="78"/>
        <v>0</v>
      </c>
      <c r="BQ56" s="253">
        <f t="shared" si="62"/>
        <v>0</v>
      </c>
      <c r="BR56" s="255">
        <f t="shared" si="63"/>
        <v>0</v>
      </c>
      <c r="BT56" s="251"/>
      <c r="BU56" s="254"/>
      <c r="BV56" s="250"/>
      <c r="BW56" s="250"/>
      <c r="BX56" s="250"/>
      <c r="BY56" s="250"/>
      <c r="BZ56" s="250"/>
      <c r="CA56" s="250"/>
      <c r="CB56" s="250"/>
      <c r="CC56" s="255">
        <f t="shared" si="64"/>
        <v>0</v>
      </c>
      <c r="CD56" s="254"/>
      <c r="CE56" s="250"/>
      <c r="CF56" s="250"/>
      <c r="CG56" s="250"/>
      <c r="CH56" s="250"/>
      <c r="CI56" s="250"/>
      <c r="CJ56" s="250"/>
      <c r="CK56" s="250"/>
      <c r="CL56" s="255">
        <f t="shared" si="65"/>
        <v>0</v>
      </c>
      <c r="CM56" s="254"/>
      <c r="CN56" s="250"/>
      <c r="CO56" s="250"/>
      <c r="CP56" s="250"/>
      <c r="CQ56" s="250"/>
      <c r="CR56" s="250"/>
      <c r="CS56" s="250"/>
      <c r="CT56" s="250"/>
      <c r="CU56" s="255">
        <f t="shared" si="66"/>
        <v>0</v>
      </c>
      <c r="CV56" s="256">
        <f t="shared" si="79"/>
        <v>0</v>
      </c>
      <c r="CW56" s="253">
        <f t="shared" si="67"/>
        <v>0</v>
      </c>
      <c r="CX56" s="255">
        <f t="shared" si="68"/>
        <v>0</v>
      </c>
      <c r="CZ56" s="251">
        <v>1.0804025271129581E-2</v>
      </c>
      <c r="DA56" s="252"/>
      <c r="DB56" s="243"/>
      <c r="DC56" s="250"/>
      <c r="DD56" s="250"/>
      <c r="DE56" s="250"/>
      <c r="DF56" s="250"/>
      <c r="DG56" s="250"/>
      <c r="DH56" s="250"/>
      <c r="DI56" s="255">
        <f t="shared" si="69"/>
        <v>0</v>
      </c>
      <c r="DJ56" s="252"/>
      <c r="DK56" s="243"/>
      <c r="DL56" s="250"/>
      <c r="DM56" s="250"/>
      <c r="DN56" s="250"/>
      <c r="DO56" s="250"/>
      <c r="DP56" s="250"/>
      <c r="DQ56" s="250"/>
      <c r="DR56" s="255">
        <f t="shared" si="70"/>
        <v>0</v>
      </c>
      <c r="DS56" s="252"/>
      <c r="DT56" s="243"/>
      <c r="DU56" s="250"/>
      <c r="DV56" s="250"/>
      <c r="DW56" s="250"/>
      <c r="DX56" s="250"/>
      <c r="DY56" s="250"/>
      <c r="DZ56" s="250"/>
      <c r="EA56" s="255">
        <f t="shared" si="71"/>
        <v>0</v>
      </c>
      <c r="EB56" s="256">
        <f t="shared" si="80"/>
        <v>0</v>
      </c>
      <c r="EC56" s="253">
        <f t="shared" si="72"/>
        <v>0</v>
      </c>
      <c r="ED56" s="255">
        <f t="shared" si="73"/>
        <v>0</v>
      </c>
    </row>
    <row r="57" spans="1:134" s="213" customFormat="1" ht="30" customHeight="1" x14ac:dyDescent="0.25">
      <c r="A57" s="247">
        <v>17</v>
      </c>
      <c r="B57" s="248" t="s">
        <v>67</v>
      </c>
      <c r="C57" s="248" t="s">
        <v>66</v>
      </c>
      <c r="D57" s="248" t="s">
        <v>33</v>
      </c>
      <c r="E57" s="268" t="s">
        <v>352</v>
      </c>
      <c r="F57" s="250" t="s">
        <v>271</v>
      </c>
      <c r="G57" s="364">
        <v>3.2277468347896701E-2</v>
      </c>
      <c r="H57" s="214"/>
      <c r="I57" s="252">
        <v>1921.8800497591524</v>
      </c>
      <c r="J57" s="243">
        <v>1402.1102961989759</v>
      </c>
      <c r="K57" s="250">
        <v>0</v>
      </c>
      <c r="L57" s="250">
        <v>0</v>
      </c>
      <c r="M57" s="250">
        <f>'FUS-Working'!BW39</f>
        <v>1400</v>
      </c>
      <c r="N57" s="250">
        <f>'FUS-Working'!BX39</f>
        <v>896</v>
      </c>
      <c r="O57" s="250">
        <f>'FUS-Working'!DG39</f>
        <v>1400</v>
      </c>
      <c r="P57" s="250">
        <f>'FUS-Working'!DH39</f>
        <v>896</v>
      </c>
      <c r="Q57" s="255">
        <f t="shared" si="74"/>
        <v>0.63903674513267184</v>
      </c>
      <c r="R57" s="252">
        <v>1921.8800497591524</v>
      </c>
      <c r="S57" s="243">
        <v>1402.1102961989759</v>
      </c>
      <c r="T57" s="250">
        <f>'FUS-Working'!DG111</f>
        <v>1180</v>
      </c>
      <c r="U57" s="250">
        <f>'FUS-Working'!DH111</f>
        <v>755.2</v>
      </c>
      <c r="V57" s="250">
        <f>'FUS-Working'!DG111</f>
        <v>1180</v>
      </c>
      <c r="W57" s="250">
        <f>'FUS-Working'!DH111</f>
        <v>755.2</v>
      </c>
      <c r="X57" s="250">
        <f>'FUS-Working'!DG111</f>
        <v>1180</v>
      </c>
      <c r="Y57" s="250">
        <f>'FUS-Working'!DH111</f>
        <v>755.2</v>
      </c>
      <c r="Z57" s="255">
        <f t="shared" si="57"/>
        <v>0.84158857059883119</v>
      </c>
      <c r="AA57" s="252">
        <v>1921.8800497591524</v>
      </c>
      <c r="AB57" s="243">
        <v>1402.1102961989759</v>
      </c>
      <c r="AC57" s="250">
        <f>'FUS-Working'!AP182</f>
        <v>700</v>
      </c>
      <c r="AD57" s="250">
        <f>'FUS-Working'!AQ182</f>
        <v>448</v>
      </c>
      <c r="AE57" s="250">
        <f>'FUS-Working'!BW182</f>
        <v>700</v>
      </c>
      <c r="AF57" s="250">
        <f>'FUS-Working'!BX182</f>
        <v>448</v>
      </c>
      <c r="AG57" s="250">
        <f>'FUS-Working'!DG182</f>
        <v>700</v>
      </c>
      <c r="AH57" s="250">
        <f>'FUS-Working'!DH182</f>
        <v>448</v>
      </c>
      <c r="AI57" s="255">
        <f t="shared" si="75"/>
        <v>0.31951837256633592</v>
      </c>
      <c r="AJ57" s="256">
        <f t="shared" si="76"/>
        <v>4206.3308885969273</v>
      </c>
      <c r="AK57" s="253">
        <f t="shared" si="77"/>
        <v>2099.1999999999998</v>
      </c>
      <c r="AL57" s="255">
        <f t="shared" si="58"/>
        <v>0.49905726762741992</v>
      </c>
      <c r="AN57" s="251"/>
      <c r="AO57" s="252"/>
      <c r="AP57" s="243"/>
      <c r="AQ57" s="250"/>
      <c r="AR57" s="250"/>
      <c r="AS57" s="250"/>
      <c r="AT57" s="250"/>
      <c r="AU57" s="250"/>
      <c r="AV57" s="250"/>
      <c r="AW57" s="255">
        <f t="shared" si="59"/>
        <v>0</v>
      </c>
      <c r="AX57" s="252"/>
      <c r="AY57" s="243"/>
      <c r="AZ57" s="250"/>
      <c r="BA57" s="250"/>
      <c r="BB57" s="250"/>
      <c r="BC57" s="250"/>
      <c r="BD57" s="250"/>
      <c r="BE57" s="250"/>
      <c r="BF57" s="255">
        <f t="shared" si="60"/>
        <v>0</v>
      </c>
      <c r="BG57" s="252"/>
      <c r="BH57" s="243"/>
      <c r="BI57" s="250"/>
      <c r="BJ57" s="250"/>
      <c r="BK57" s="250"/>
      <c r="BL57" s="250"/>
      <c r="BM57" s="250"/>
      <c r="BN57" s="250"/>
      <c r="BO57" s="255">
        <f t="shared" si="61"/>
        <v>0</v>
      </c>
      <c r="BP57" s="256">
        <f t="shared" si="78"/>
        <v>0</v>
      </c>
      <c r="BQ57" s="253">
        <f t="shared" si="62"/>
        <v>0</v>
      </c>
      <c r="BR57" s="255">
        <f t="shared" si="63"/>
        <v>0</v>
      </c>
      <c r="BT57" s="251"/>
      <c r="BU57" s="254"/>
      <c r="BV57" s="250"/>
      <c r="BW57" s="250"/>
      <c r="BX57" s="250"/>
      <c r="BY57" s="250"/>
      <c r="BZ57" s="250"/>
      <c r="CA57" s="250"/>
      <c r="CB57" s="250"/>
      <c r="CC57" s="255">
        <f t="shared" si="64"/>
        <v>0</v>
      </c>
      <c r="CD57" s="254"/>
      <c r="CE57" s="250"/>
      <c r="CF57" s="250"/>
      <c r="CG57" s="250"/>
      <c r="CH57" s="250"/>
      <c r="CI57" s="250"/>
      <c r="CJ57" s="250"/>
      <c r="CK57" s="250"/>
      <c r="CL57" s="255">
        <f t="shared" si="65"/>
        <v>0</v>
      </c>
      <c r="CM57" s="254"/>
      <c r="CN57" s="250"/>
      <c r="CO57" s="250"/>
      <c r="CP57" s="250"/>
      <c r="CQ57" s="250"/>
      <c r="CR57" s="250"/>
      <c r="CS57" s="250"/>
      <c r="CT57" s="250"/>
      <c r="CU57" s="255">
        <f t="shared" si="66"/>
        <v>0</v>
      </c>
      <c r="CV57" s="256">
        <f t="shared" si="79"/>
        <v>0</v>
      </c>
      <c r="CW57" s="253">
        <f t="shared" si="67"/>
        <v>0</v>
      </c>
      <c r="CX57" s="255">
        <f t="shared" si="68"/>
        <v>0</v>
      </c>
      <c r="CZ57" s="251">
        <v>1.0443891095425262E-2</v>
      </c>
      <c r="DA57" s="252"/>
      <c r="DB57" s="243"/>
      <c r="DC57" s="250"/>
      <c r="DD57" s="250"/>
      <c r="DE57" s="250"/>
      <c r="DF57" s="250"/>
      <c r="DG57" s="250"/>
      <c r="DH57" s="250"/>
      <c r="DI57" s="255">
        <f t="shared" si="69"/>
        <v>0</v>
      </c>
      <c r="DJ57" s="252"/>
      <c r="DK57" s="243"/>
      <c r="DL57" s="250"/>
      <c r="DM57" s="250"/>
      <c r="DN57" s="250"/>
      <c r="DO57" s="250"/>
      <c r="DP57" s="250"/>
      <c r="DQ57" s="250"/>
      <c r="DR57" s="255">
        <f t="shared" si="70"/>
        <v>0</v>
      </c>
      <c r="DS57" s="252"/>
      <c r="DT57" s="243"/>
      <c r="DU57" s="250"/>
      <c r="DV57" s="250"/>
      <c r="DW57" s="250"/>
      <c r="DX57" s="250"/>
      <c r="DY57" s="250"/>
      <c r="DZ57" s="250"/>
      <c r="EA57" s="255">
        <f t="shared" si="71"/>
        <v>0</v>
      </c>
      <c r="EB57" s="256">
        <f t="shared" si="80"/>
        <v>0</v>
      </c>
      <c r="EC57" s="253">
        <f t="shared" si="72"/>
        <v>0</v>
      </c>
      <c r="ED57" s="255">
        <f t="shared" si="73"/>
        <v>0</v>
      </c>
    </row>
    <row r="58" spans="1:134" s="213" customFormat="1" ht="30" customHeight="1" x14ac:dyDescent="0.25">
      <c r="A58" s="247">
        <v>18</v>
      </c>
      <c r="B58" s="248" t="s">
        <v>300</v>
      </c>
      <c r="C58" s="248" t="s">
        <v>299</v>
      </c>
      <c r="D58" s="248" t="s">
        <v>46</v>
      </c>
      <c r="E58" s="268" t="s">
        <v>360</v>
      </c>
      <c r="F58" s="250" t="s">
        <v>271</v>
      </c>
      <c r="G58" s="364">
        <v>3.0760375021982599E-2</v>
      </c>
      <c r="H58" s="214"/>
      <c r="I58" s="252">
        <v>1879.437855084632</v>
      </c>
      <c r="J58" s="243">
        <v>1336.2088398136109</v>
      </c>
      <c r="K58" s="250">
        <v>686</v>
      </c>
      <c r="L58" s="250">
        <v>439.04</v>
      </c>
      <c r="M58" s="250">
        <f>'FUS-Working'!BW40</f>
        <v>1036</v>
      </c>
      <c r="N58" s="250">
        <f>'FUS-Working'!BX40</f>
        <v>663.04</v>
      </c>
      <c r="O58" s="250">
        <f>'FUS-Working'!DG40</f>
        <v>2086</v>
      </c>
      <c r="P58" s="250">
        <f>'FUS-Working'!DH40</f>
        <v>1335.04</v>
      </c>
      <c r="Q58" s="255">
        <f t="shared" si="74"/>
        <v>0.99912525663744756</v>
      </c>
      <c r="R58" s="252">
        <v>1879.437855084632</v>
      </c>
      <c r="S58" s="243">
        <v>1336.2088398136109</v>
      </c>
      <c r="T58" s="250">
        <f>'FUS-Working'!DG112</f>
        <v>1750</v>
      </c>
      <c r="U58" s="250">
        <f>'FUS-Working'!DH112</f>
        <v>1120</v>
      </c>
      <c r="V58" s="250">
        <f>'FUS-Working'!DG112</f>
        <v>1750</v>
      </c>
      <c r="W58" s="250">
        <f>'FUS-Working'!DH112</f>
        <v>1120</v>
      </c>
      <c r="X58" s="250">
        <f>'FUS-Working'!DG112</f>
        <v>1750</v>
      </c>
      <c r="Y58" s="250">
        <f>'FUS-Working'!DH112</f>
        <v>1120</v>
      </c>
      <c r="Z58" s="255">
        <f t="shared" si="57"/>
        <v>1.3096755146778623</v>
      </c>
      <c r="AA58" s="252">
        <v>1879.437855084632</v>
      </c>
      <c r="AB58" s="243">
        <v>1336.2088398136109</v>
      </c>
      <c r="AC58" s="250">
        <f>'FUS-Working'!AP183</f>
        <v>700</v>
      </c>
      <c r="AD58" s="250">
        <f>'FUS-Working'!AQ183</f>
        <v>448</v>
      </c>
      <c r="AE58" s="250">
        <f>'FUS-Working'!BW183</f>
        <v>1400</v>
      </c>
      <c r="AF58" s="250">
        <f>'FUS-Working'!BX183</f>
        <v>896</v>
      </c>
      <c r="AG58" s="250">
        <f>'FUS-Working'!DG183</f>
        <v>1400</v>
      </c>
      <c r="AH58" s="250">
        <f>'FUS-Working'!DH183</f>
        <v>896</v>
      </c>
      <c r="AI58" s="255">
        <f t="shared" si="75"/>
        <v>0.67055386351506541</v>
      </c>
      <c r="AJ58" s="256">
        <f t="shared" si="76"/>
        <v>4008.6265194408325</v>
      </c>
      <c r="AK58" s="253">
        <f t="shared" si="77"/>
        <v>3351.04</v>
      </c>
      <c r="AL58" s="255">
        <f t="shared" si="58"/>
        <v>0.83595714984878167</v>
      </c>
      <c r="AN58" s="251"/>
      <c r="AO58" s="252"/>
      <c r="AP58" s="243"/>
      <c r="AQ58" s="250"/>
      <c r="AR58" s="250"/>
      <c r="AS58" s="250"/>
      <c r="AT58" s="250"/>
      <c r="AU58" s="250"/>
      <c r="AV58" s="250"/>
      <c r="AW58" s="255">
        <f t="shared" si="59"/>
        <v>0</v>
      </c>
      <c r="AX58" s="252"/>
      <c r="AY58" s="243"/>
      <c r="AZ58" s="250"/>
      <c r="BA58" s="250"/>
      <c r="BB58" s="250"/>
      <c r="BC58" s="250"/>
      <c r="BD58" s="250"/>
      <c r="BE58" s="250"/>
      <c r="BF58" s="255">
        <f t="shared" si="60"/>
        <v>0</v>
      </c>
      <c r="BG58" s="252"/>
      <c r="BH58" s="243"/>
      <c r="BI58" s="250"/>
      <c r="BJ58" s="250"/>
      <c r="BK58" s="250"/>
      <c r="BL58" s="250"/>
      <c r="BM58" s="250"/>
      <c r="BN58" s="250"/>
      <c r="BO58" s="255">
        <f t="shared" si="61"/>
        <v>0</v>
      </c>
      <c r="BP58" s="256">
        <f t="shared" si="78"/>
        <v>0</v>
      </c>
      <c r="BQ58" s="253">
        <f t="shared" si="62"/>
        <v>0</v>
      </c>
      <c r="BR58" s="255">
        <f t="shared" si="63"/>
        <v>0</v>
      </c>
      <c r="BT58" s="251"/>
      <c r="BU58" s="254"/>
      <c r="BV58" s="250"/>
      <c r="BW58" s="250"/>
      <c r="BX58" s="250"/>
      <c r="BY58" s="250"/>
      <c r="BZ58" s="250"/>
      <c r="CA58" s="250"/>
      <c r="CB58" s="250"/>
      <c r="CC58" s="255">
        <f t="shared" si="64"/>
        <v>0</v>
      </c>
      <c r="CD58" s="254"/>
      <c r="CE58" s="250"/>
      <c r="CF58" s="250"/>
      <c r="CG58" s="250"/>
      <c r="CH58" s="250"/>
      <c r="CI58" s="250"/>
      <c r="CJ58" s="250"/>
      <c r="CK58" s="250"/>
      <c r="CL58" s="255">
        <f t="shared" si="65"/>
        <v>0</v>
      </c>
      <c r="CM58" s="254"/>
      <c r="CN58" s="250"/>
      <c r="CO58" s="250"/>
      <c r="CP58" s="250"/>
      <c r="CQ58" s="250"/>
      <c r="CR58" s="250"/>
      <c r="CS58" s="250"/>
      <c r="CT58" s="250"/>
      <c r="CU58" s="255">
        <f t="shared" si="66"/>
        <v>0</v>
      </c>
      <c r="CV58" s="256">
        <f t="shared" si="79"/>
        <v>0</v>
      </c>
      <c r="CW58" s="253">
        <f t="shared" si="67"/>
        <v>0</v>
      </c>
      <c r="CX58" s="255">
        <f t="shared" si="68"/>
        <v>0</v>
      </c>
      <c r="CZ58" s="251">
        <v>8.9004589138353216E-3</v>
      </c>
      <c r="DA58" s="252"/>
      <c r="DB58" s="243"/>
      <c r="DC58" s="250"/>
      <c r="DD58" s="250"/>
      <c r="DE58" s="250"/>
      <c r="DF58" s="250"/>
      <c r="DG58" s="250"/>
      <c r="DH58" s="250"/>
      <c r="DI58" s="255">
        <f t="shared" si="69"/>
        <v>0</v>
      </c>
      <c r="DJ58" s="252"/>
      <c r="DK58" s="243"/>
      <c r="DL58" s="250"/>
      <c r="DM58" s="250"/>
      <c r="DN58" s="250"/>
      <c r="DO58" s="250"/>
      <c r="DP58" s="250"/>
      <c r="DQ58" s="250"/>
      <c r="DR58" s="255">
        <f t="shared" si="70"/>
        <v>0</v>
      </c>
      <c r="DS58" s="252"/>
      <c r="DT58" s="243"/>
      <c r="DU58" s="250"/>
      <c r="DV58" s="250"/>
      <c r="DW58" s="250"/>
      <c r="DX58" s="250"/>
      <c r="DY58" s="250"/>
      <c r="DZ58" s="250"/>
      <c r="EA58" s="255">
        <f t="shared" si="71"/>
        <v>0</v>
      </c>
      <c r="EB58" s="256">
        <f t="shared" si="80"/>
        <v>0</v>
      </c>
      <c r="EC58" s="253">
        <f t="shared" si="72"/>
        <v>0</v>
      </c>
      <c r="ED58" s="255">
        <f t="shared" si="73"/>
        <v>0</v>
      </c>
    </row>
    <row r="59" spans="1:134" ht="30" customHeight="1" x14ac:dyDescent="0.25">
      <c r="A59" s="247">
        <v>19</v>
      </c>
      <c r="B59" s="248" t="s">
        <v>302</v>
      </c>
      <c r="C59" s="248" t="s">
        <v>302</v>
      </c>
      <c r="D59" s="248" t="s">
        <v>41</v>
      </c>
      <c r="E59" s="269" t="s">
        <v>358</v>
      </c>
      <c r="F59" s="250" t="s">
        <v>271</v>
      </c>
      <c r="G59" s="364">
        <v>3.1056121031264199E-2</v>
      </c>
      <c r="H59" s="214"/>
      <c r="I59" s="252">
        <v>1791.1012298051276</v>
      </c>
      <c r="J59" s="243">
        <v>1349.0558363687348</v>
      </c>
      <c r="K59" s="250">
        <v>470</v>
      </c>
      <c r="L59" s="250">
        <v>344</v>
      </c>
      <c r="M59" s="250">
        <f>'FUS-Working'!BW41</f>
        <v>1000</v>
      </c>
      <c r="N59" s="250">
        <f>'FUS-Working'!BX41</f>
        <v>748</v>
      </c>
      <c r="O59" s="250">
        <f>'FUS-Working'!DG41</f>
        <v>1470</v>
      </c>
      <c r="P59" s="250">
        <f>'FUS-Working'!DH41</f>
        <v>1092</v>
      </c>
      <c r="Q59" s="255">
        <f t="shared" si="74"/>
        <v>0.8094550059094261</v>
      </c>
      <c r="R59" s="252">
        <v>1791.1012298051276</v>
      </c>
      <c r="S59" s="243">
        <v>1349.0558363687348</v>
      </c>
      <c r="T59" s="250">
        <f>'FUS-Working'!DG113</f>
        <v>1190</v>
      </c>
      <c r="U59" s="250">
        <f>'FUS-Working'!DH113</f>
        <v>912.8</v>
      </c>
      <c r="V59" s="250">
        <f>'FUS-Working'!DG113</f>
        <v>1190</v>
      </c>
      <c r="W59" s="250">
        <f>'FUS-Working'!DH113</f>
        <v>912.8</v>
      </c>
      <c r="X59" s="250">
        <f>'FUS-Working'!DG113</f>
        <v>1190</v>
      </c>
      <c r="Y59" s="250">
        <f>'FUS-Working'!DH113</f>
        <v>912.8</v>
      </c>
      <c r="Z59" s="255">
        <f t="shared" si="57"/>
        <v>0.88209840387565663</v>
      </c>
      <c r="AA59" s="252">
        <v>1791.1012298051276</v>
      </c>
      <c r="AB59" s="243">
        <v>1349.0558363687348</v>
      </c>
      <c r="AC59" s="250">
        <f>'FUS-Working'!AP184</f>
        <v>334</v>
      </c>
      <c r="AD59" s="250">
        <f>'FUS-Working'!AQ184</f>
        <v>218.08</v>
      </c>
      <c r="AE59" s="250">
        <f>'FUS-Working'!BW184</f>
        <v>828</v>
      </c>
      <c r="AF59" s="250">
        <f>'FUS-Working'!BX184</f>
        <v>586.08000000000004</v>
      </c>
      <c r="AG59" s="250">
        <f>'FUS-Working'!DG184</f>
        <v>828</v>
      </c>
      <c r="AH59" s="250">
        <f>'FUS-Working'!DH184</f>
        <v>586.08000000000004</v>
      </c>
      <c r="AI59" s="255">
        <f t="shared" si="75"/>
        <v>0.43443717020457551</v>
      </c>
      <c r="AJ59" s="256">
        <f t="shared" si="76"/>
        <v>4047.1675091062043</v>
      </c>
      <c r="AK59" s="253">
        <f t="shared" si="77"/>
        <v>2590.88</v>
      </c>
      <c r="AL59" s="255">
        <f t="shared" si="58"/>
        <v>0.64017118000934492</v>
      </c>
      <c r="AN59" s="251"/>
      <c r="AO59" s="252"/>
      <c r="AP59" s="243"/>
      <c r="AQ59" s="250"/>
      <c r="AR59" s="250"/>
      <c r="AS59" s="250"/>
      <c r="AT59" s="250"/>
      <c r="AU59" s="250"/>
      <c r="AV59" s="250"/>
      <c r="AW59" s="255">
        <f t="shared" si="59"/>
        <v>0</v>
      </c>
      <c r="AX59" s="252"/>
      <c r="AY59" s="243"/>
      <c r="AZ59" s="250"/>
      <c r="BA59" s="250"/>
      <c r="BB59" s="250"/>
      <c r="BC59" s="250"/>
      <c r="BD59" s="250"/>
      <c r="BE59" s="250"/>
      <c r="BF59" s="255">
        <f t="shared" si="60"/>
        <v>0</v>
      </c>
      <c r="BG59" s="252"/>
      <c r="BH59" s="243"/>
      <c r="BI59" s="250"/>
      <c r="BJ59" s="250"/>
      <c r="BK59" s="250"/>
      <c r="BL59" s="250"/>
      <c r="BM59" s="250"/>
      <c r="BN59" s="250"/>
      <c r="BO59" s="255">
        <f t="shared" si="61"/>
        <v>0</v>
      </c>
      <c r="BP59" s="256">
        <f t="shared" si="78"/>
        <v>0</v>
      </c>
      <c r="BQ59" s="253">
        <f t="shared" si="62"/>
        <v>0</v>
      </c>
      <c r="BR59" s="255">
        <f t="shared" si="63"/>
        <v>0</v>
      </c>
      <c r="BT59" s="251"/>
      <c r="BU59" s="254"/>
      <c r="BV59" s="250"/>
      <c r="BW59" s="250"/>
      <c r="BX59" s="250"/>
      <c r="BY59" s="250"/>
      <c r="BZ59" s="250"/>
      <c r="CA59" s="250"/>
      <c r="CB59" s="250"/>
      <c r="CC59" s="255">
        <f t="shared" si="64"/>
        <v>0</v>
      </c>
      <c r="CD59" s="254"/>
      <c r="CE59" s="250"/>
      <c r="CF59" s="250"/>
      <c r="CG59" s="250"/>
      <c r="CH59" s="250"/>
      <c r="CI59" s="250"/>
      <c r="CJ59" s="250"/>
      <c r="CK59" s="250"/>
      <c r="CL59" s="255">
        <f t="shared" si="65"/>
        <v>0</v>
      </c>
      <c r="CM59" s="254"/>
      <c r="CN59" s="250"/>
      <c r="CO59" s="250"/>
      <c r="CP59" s="250"/>
      <c r="CQ59" s="250"/>
      <c r="CR59" s="250"/>
      <c r="CS59" s="250"/>
      <c r="CT59" s="250"/>
      <c r="CU59" s="255">
        <f t="shared" si="66"/>
        <v>0</v>
      </c>
      <c r="CV59" s="256">
        <f t="shared" si="79"/>
        <v>0</v>
      </c>
      <c r="CW59" s="253">
        <f t="shared" si="67"/>
        <v>0</v>
      </c>
      <c r="CX59" s="255">
        <f t="shared" si="68"/>
        <v>0</v>
      </c>
      <c r="CZ59" s="251">
        <v>7.4269956578107916E-3</v>
      </c>
      <c r="DA59" s="252"/>
      <c r="DB59" s="243"/>
      <c r="DC59" s="250"/>
      <c r="DD59" s="250"/>
      <c r="DE59" s="250"/>
      <c r="DF59" s="250"/>
      <c r="DG59" s="250"/>
      <c r="DH59" s="250"/>
      <c r="DI59" s="255">
        <f t="shared" si="69"/>
        <v>0</v>
      </c>
      <c r="DJ59" s="252"/>
      <c r="DK59" s="243"/>
      <c r="DL59" s="250"/>
      <c r="DM59" s="250"/>
      <c r="DN59" s="250"/>
      <c r="DO59" s="250"/>
      <c r="DP59" s="250"/>
      <c r="DQ59" s="250"/>
      <c r="DR59" s="255">
        <f t="shared" si="70"/>
        <v>0</v>
      </c>
      <c r="DS59" s="252"/>
      <c r="DT59" s="243"/>
      <c r="DU59" s="250"/>
      <c r="DV59" s="250"/>
      <c r="DW59" s="250"/>
      <c r="DX59" s="250"/>
      <c r="DY59" s="250"/>
      <c r="DZ59" s="250"/>
      <c r="EA59" s="255">
        <f t="shared" si="71"/>
        <v>0</v>
      </c>
      <c r="EB59" s="256">
        <f t="shared" si="80"/>
        <v>0</v>
      </c>
      <c r="EC59" s="253">
        <f t="shared" si="72"/>
        <v>0</v>
      </c>
      <c r="ED59" s="255">
        <f t="shared" si="73"/>
        <v>0</v>
      </c>
    </row>
    <row r="60" spans="1:134" ht="30" customHeight="1" x14ac:dyDescent="0.25">
      <c r="A60" s="247">
        <v>20</v>
      </c>
      <c r="B60" s="248" t="s">
        <v>294</v>
      </c>
      <c r="C60" s="248" t="s">
        <v>294</v>
      </c>
      <c r="D60" s="248" t="s">
        <v>41</v>
      </c>
      <c r="E60" s="270" t="s">
        <v>358</v>
      </c>
      <c r="F60" s="250" t="s">
        <v>271</v>
      </c>
      <c r="G60" s="364">
        <v>2.9823090352236799E-2</v>
      </c>
      <c r="H60" s="214"/>
      <c r="I60" s="252">
        <v>1808.321794917086</v>
      </c>
      <c r="J60" s="243">
        <v>1295.4938595755261</v>
      </c>
      <c r="K60" s="250">
        <v>0</v>
      </c>
      <c r="L60" s="250">
        <v>0</v>
      </c>
      <c r="M60" s="250">
        <f>'FUS-Working'!BW42</f>
        <v>66</v>
      </c>
      <c r="N60" s="250">
        <f>'FUS-Working'!BX42</f>
        <v>66</v>
      </c>
      <c r="O60" s="250">
        <f>'FUS-Working'!DG42</f>
        <v>66</v>
      </c>
      <c r="P60" s="250">
        <f>'FUS-Working'!DH42</f>
        <v>66</v>
      </c>
      <c r="Q60" s="255">
        <f t="shared" si="74"/>
        <v>5.0945822330354516E-2</v>
      </c>
      <c r="R60" s="252">
        <v>1808.321794917086</v>
      </c>
      <c r="S60" s="243">
        <v>1295.4938595755261</v>
      </c>
      <c r="T60" s="250">
        <f>'FUS-Working'!DG114</f>
        <v>4888</v>
      </c>
      <c r="U60" s="250">
        <f>'FUS-Working'!DH114</f>
        <v>3844</v>
      </c>
      <c r="V60" s="250">
        <f>'FUS-Working'!DG114</f>
        <v>4888</v>
      </c>
      <c r="W60" s="250">
        <f>'FUS-Working'!DH114</f>
        <v>3844</v>
      </c>
      <c r="X60" s="250">
        <f>'FUS-Working'!DG114</f>
        <v>4888</v>
      </c>
      <c r="Y60" s="250">
        <f>'FUS-Working'!DH114</f>
        <v>3844</v>
      </c>
      <c r="Z60" s="255">
        <f t="shared" si="57"/>
        <v>3.7730784780420135</v>
      </c>
      <c r="AA60" s="252">
        <v>1808.321794917086</v>
      </c>
      <c r="AB60" s="243">
        <v>1295.4938595755261</v>
      </c>
      <c r="AC60" s="250">
        <f>'FUS-Working'!AP185</f>
        <v>0</v>
      </c>
      <c r="AD60" s="250">
        <f>'FUS-Working'!AQ185</f>
        <v>0</v>
      </c>
      <c r="AE60" s="250">
        <f>'FUS-Working'!BW185</f>
        <v>1530</v>
      </c>
      <c r="AF60" s="250">
        <f>'FUS-Working'!BX185</f>
        <v>1454.4</v>
      </c>
      <c r="AG60" s="250">
        <f>'FUS-Working'!DG185</f>
        <v>1530</v>
      </c>
      <c r="AH60" s="250">
        <f>'FUS-Working'!DH185</f>
        <v>1454.4</v>
      </c>
      <c r="AI60" s="255">
        <f t="shared" si="75"/>
        <v>1.122660666625267</v>
      </c>
      <c r="AJ60" s="256">
        <f t="shared" si="76"/>
        <v>3886.4815787265784</v>
      </c>
      <c r="AK60" s="253">
        <f t="shared" si="77"/>
        <v>5364.4</v>
      </c>
      <c r="AL60" s="255">
        <f t="shared" si="58"/>
        <v>1.3802715621664332</v>
      </c>
      <c r="AN60" s="251"/>
      <c r="AO60" s="252"/>
      <c r="AP60" s="243"/>
      <c r="AQ60" s="250"/>
      <c r="AR60" s="250"/>
      <c r="AS60" s="250"/>
      <c r="AT60" s="250"/>
      <c r="AU60" s="250"/>
      <c r="AV60" s="250"/>
      <c r="AW60" s="255">
        <f t="shared" si="59"/>
        <v>0</v>
      </c>
      <c r="AX60" s="252"/>
      <c r="AY60" s="243"/>
      <c r="AZ60" s="250"/>
      <c r="BA60" s="250"/>
      <c r="BB60" s="250"/>
      <c r="BC60" s="250"/>
      <c r="BD60" s="250"/>
      <c r="BE60" s="250"/>
      <c r="BF60" s="255">
        <f t="shared" si="60"/>
        <v>0</v>
      </c>
      <c r="BG60" s="252"/>
      <c r="BH60" s="243"/>
      <c r="BI60" s="250"/>
      <c r="BJ60" s="250"/>
      <c r="BK60" s="250"/>
      <c r="BL60" s="250"/>
      <c r="BM60" s="250"/>
      <c r="BN60" s="250"/>
      <c r="BO60" s="255">
        <f t="shared" si="61"/>
        <v>0</v>
      </c>
      <c r="BP60" s="256">
        <f t="shared" si="78"/>
        <v>0</v>
      </c>
      <c r="BQ60" s="253">
        <f t="shared" si="62"/>
        <v>0</v>
      </c>
      <c r="BR60" s="255">
        <f t="shared" si="63"/>
        <v>0</v>
      </c>
      <c r="BT60" s="251"/>
      <c r="BU60" s="254"/>
      <c r="BV60" s="250"/>
      <c r="BW60" s="250"/>
      <c r="BX60" s="250"/>
      <c r="BY60" s="250"/>
      <c r="BZ60" s="250"/>
      <c r="CA60" s="250"/>
      <c r="CB60" s="250"/>
      <c r="CC60" s="255">
        <f t="shared" si="64"/>
        <v>0</v>
      </c>
      <c r="CD60" s="254"/>
      <c r="CE60" s="250"/>
      <c r="CF60" s="250"/>
      <c r="CG60" s="250"/>
      <c r="CH60" s="250"/>
      <c r="CI60" s="250"/>
      <c r="CJ60" s="250"/>
      <c r="CK60" s="250"/>
      <c r="CL60" s="255">
        <f t="shared" si="65"/>
        <v>0</v>
      </c>
      <c r="CM60" s="254"/>
      <c r="CN60" s="250"/>
      <c r="CO60" s="250"/>
      <c r="CP60" s="250"/>
      <c r="CQ60" s="250"/>
      <c r="CR60" s="250"/>
      <c r="CS60" s="250"/>
      <c r="CT60" s="250"/>
      <c r="CU60" s="255">
        <f t="shared" si="66"/>
        <v>0</v>
      </c>
      <c r="CV60" s="256">
        <f t="shared" si="79"/>
        <v>0</v>
      </c>
      <c r="CW60" s="253">
        <f t="shared" si="67"/>
        <v>0</v>
      </c>
      <c r="CX60" s="255">
        <f t="shared" si="68"/>
        <v>0</v>
      </c>
      <c r="CZ60" s="251">
        <v>7.1821044183318543E-3</v>
      </c>
      <c r="DA60" s="252"/>
      <c r="DB60" s="243"/>
      <c r="DC60" s="250"/>
      <c r="DD60" s="250"/>
      <c r="DE60" s="250"/>
      <c r="DF60" s="250"/>
      <c r="DG60" s="250"/>
      <c r="DH60" s="250"/>
      <c r="DI60" s="255">
        <f t="shared" si="69"/>
        <v>0</v>
      </c>
      <c r="DJ60" s="252"/>
      <c r="DK60" s="243"/>
      <c r="DL60" s="250"/>
      <c r="DM60" s="250"/>
      <c r="DN60" s="250"/>
      <c r="DO60" s="250"/>
      <c r="DP60" s="250"/>
      <c r="DQ60" s="250"/>
      <c r="DR60" s="255">
        <f t="shared" si="70"/>
        <v>0</v>
      </c>
      <c r="DS60" s="252"/>
      <c r="DT60" s="243"/>
      <c r="DU60" s="250"/>
      <c r="DV60" s="250"/>
      <c r="DW60" s="250"/>
      <c r="DX60" s="250"/>
      <c r="DY60" s="250"/>
      <c r="DZ60" s="250"/>
      <c r="EA60" s="255">
        <f t="shared" si="71"/>
        <v>0</v>
      </c>
      <c r="EB60" s="256">
        <f t="shared" si="80"/>
        <v>0</v>
      </c>
      <c r="EC60" s="253">
        <f t="shared" si="72"/>
        <v>0</v>
      </c>
      <c r="ED60" s="255">
        <f t="shared" si="73"/>
        <v>0</v>
      </c>
    </row>
    <row r="61" spans="1:134" ht="30" customHeight="1" x14ac:dyDescent="0.25">
      <c r="A61" s="247">
        <v>21</v>
      </c>
      <c r="B61" s="248" t="s">
        <v>307</v>
      </c>
      <c r="C61" s="248" t="s">
        <v>307</v>
      </c>
      <c r="D61" s="248" t="s">
        <v>28</v>
      </c>
      <c r="E61" s="270" t="s">
        <v>353</v>
      </c>
      <c r="F61" s="250" t="s">
        <v>271</v>
      </c>
      <c r="G61" s="364">
        <v>2.7607610960772602E-2</v>
      </c>
      <c r="H61" s="214"/>
      <c r="I61" s="252">
        <v>1736.5254411985372</v>
      </c>
      <c r="J61" s="243">
        <v>1199.2550086127601</v>
      </c>
      <c r="K61" s="250">
        <v>0</v>
      </c>
      <c r="L61" s="250">
        <v>0</v>
      </c>
      <c r="M61" s="250">
        <f>'FUS-Working'!BW43</f>
        <v>0</v>
      </c>
      <c r="N61" s="250">
        <f>'FUS-Working'!BX43</f>
        <v>0</v>
      </c>
      <c r="O61" s="250">
        <f>'FUS-Working'!DG43</f>
        <v>640</v>
      </c>
      <c r="P61" s="250">
        <f>'FUS-Working'!DH43</f>
        <v>539.20000000000005</v>
      </c>
      <c r="Q61" s="255">
        <f t="shared" si="74"/>
        <v>0.44961246451138059</v>
      </c>
      <c r="R61" s="252">
        <v>1736.5254411985372</v>
      </c>
      <c r="S61" s="243">
        <v>1199.2550086127601</v>
      </c>
      <c r="T61" s="250">
        <f>'FUS-Working'!DG115</f>
        <v>940</v>
      </c>
      <c r="U61" s="250">
        <f>'FUS-Working'!DH115</f>
        <v>688</v>
      </c>
      <c r="V61" s="250">
        <f>'FUS-Working'!DG115</f>
        <v>940</v>
      </c>
      <c r="W61" s="250">
        <f>'FUS-Working'!DH115</f>
        <v>688</v>
      </c>
      <c r="X61" s="250">
        <f>'FUS-Working'!DG115</f>
        <v>940</v>
      </c>
      <c r="Y61" s="250">
        <f>'FUS-Working'!DH115</f>
        <v>688</v>
      </c>
      <c r="Z61" s="255">
        <f t="shared" si="57"/>
        <v>0.78381994925945431</v>
      </c>
      <c r="AA61" s="252">
        <v>1736.5254411985372</v>
      </c>
      <c r="AB61" s="243">
        <v>1199.2550086127601</v>
      </c>
      <c r="AC61" s="250">
        <f>'FUS-Working'!AP186</f>
        <v>1200</v>
      </c>
      <c r="AD61" s="250">
        <f>'FUS-Working'!AQ186</f>
        <v>1200</v>
      </c>
      <c r="AE61" s="250">
        <f>'FUS-Working'!BW186</f>
        <v>1200</v>
      </c>
      <c r="AF61" s="250">
        <f>'FUS-Working'!BX186</f>
        <v>1200</v>
      </c>
      <c r="AG61" s="250">
        <f>'FUS-Working'!DG186</f>
        <v>1200</v>
      </c>
      <c r="AH61" s="250">
        <f>'FUS-Working'!DH186</f>
        <v>1200</v>
      </c>
      <c r="AI61" s="255">
        <f t="shared" si="75"/>
        <v>1.0006212118205799</v>
      </c>
      <c r="AJ61" s="256">
        <f t="shared" si="76"/>
        <v>3597.7650258382801</v>
      </c>
      <c r="AK61" s="253">
        <f t="shared" si="77"/>
        <v>2427.1999999999998</v>
      </c>
      <c r="AL61" s="255">
        <f t="shared" si="58"/>
        <v>0.67464105703636434</v>
      </c>
      <c r="AN61" s="251"/>
      <c r="AO61" s="252"/>
      <c r="AP61" s="243"/>
      <c r="AQ61" s="250"/>
      <c r="AR61" s="250"/>
      <c r="AS61" s="250"/>
      <c r="AT61" s="250"/>
      <c r="AU61" s="250"/>
      <c r="AV61" s="250"/>
      <c r="AW61" s="255">
        <f t="shared" si="59"/>
        <v>0</v>
      </c>
      <c r="AX61" s="252"/>
      <c r="AY61" s="243"/>
      <c r="AZ61" s="250"/>
      <c r="BA61" s="250"/>
      <c r="BB61" s="250"/>
      <c r="BC61" s="250"/>
      <c r="BD61" s="250"/>
      <c r="BE61" s="250"/>
      <c r="BF61" s="255">
        <f t="shared" si="60"/>
        <v>0</v>
      </c>
      <c r="BG61" s="252"/>
      <c r="BH61" s="243"/>
      <c r="BI61" s="250"/>
      <c r="BJ61" s="250"/>
      <c r="BK61" s="250"/>
      <c r="BL61" s="250"/>
      <c r="BM61" s="250"/>
      <c r="BN61" s="250"/>
      <c r="BO61" s="255">
        <f t="shared" si="61"/>
        <v>0</v>
      </c>
      <c r="BP61" s="256">
        <f t="shared" si="78"/>
        <v>0</v>
      </c>
      <c r="BQ61" s="253">
        <f t="shared" si="62"/>
        <v>0</v>
      </c>
      <c r="BR61" s="255">
        <f t="shared" si="63"/>
        <v>0</v>
      </c>
      <c r="BT61" s="251"/>
      <c r="BU61" s="254"/>
      <c r="BV61" s="250"/>
      <c r="BW61" s="250"/>
      <c r="BX61" s="250"/>
      <c r="BY61" s="250"/>
      <c r="BZ61" s="250"/>
      <c r="CA61" s="250"/>
      <c r="CB61" s="250"/>
      <c r="CC61" s="255">
        <f t="shared" si="64"/>
        <v>0</v>
      </c>
      <c r="CD61" s="254"/>
      <c r="CE61" s="250"/>
      <c r="CF61" s="250"/>
      <c r="CG61" s="250"/>
      <c r="CH61" s="250"/>
      <c r="CI61" s="250"/>
      <c r="CJ61" s="250"/>
      <c r="CK61" s="250"/>
      <c r="CL61" s="255">
        <f t="shared" si="65"/>
        <v>0</v>
      </c>
      <c r="CM61" s="254"/>
      <c r="CN61" s="250"/>
      <c r="CO61" s="250"/>
      <c r="CP61" s="250"/>
      <c r="CQ61" s="250"/>
      <c r="CR61" s="250"/>
      <c r="CS61" s="250"/>
      <c r="CT61" s="250"/>
      <c r="CU61" s="255">
        <f t="shared" si="66"/>
        <v>0</v>
      </c>
      <c r="CV61" s="256">
        <f t="shared" si="79"/>
        <v>0</v>
      </c>
      <c r="CW61" s="253">
        <f t="shared" si="67"/>
        <v>0</v>
      </c>
      <c r="CX61" s="255">
        <f t="shared" si="68"/>
        <v>0</v>
      </c>
      <c r="CZ61" s="251">
        <v>6.8569547054102417E-3</v>
      </c>
      <c r="DA61" s="252"/>
      <c r="DB61" s="243"/>
      <c r="DC61" s="250"/>
      <c r="DD61" s="250"/>
      <c r="DE61" s="250"/>
      <c r="DF61" s="250"/>
      <c r="DG61" s="250"/>
      <c r="DH61" s="250"/>
      <c r="DI61" s="255">
        <f t="shared" si="69"/>
        <v>0</v>
      </c>
      <c r="DJ61" s="252"/>
      <c r="DK61" s="243"/>
      <c r="DL61" s="250"/>
      <c r="DM61" s="250"/>
      <c r="DN61" s="250"/>
      <c r="DO61" s="250"/>
      <c r="DP61" s="250"/>
      <c r="DQ61" s="250"/>
      <c r="DR61" s="255">
        <f t="shared" si="70"/>
        <v>0</v>
      </c>
      <c r="DS61" s="252"/>
      <c r="DT61" s="243"/>
      <c r="DU61" s="250"/>
      <c r="DV61" s="250"/>
      <c r="DW61" s="250"/>
      <c r="DX61" s="250"/>
      <c r="DY61" s="250"/>
      <c r="DZ61" s="250"/>
      <c r="EA61" s="255">
        <f t="shared" si="71"/>
        <v>0</v>
      </c>
      <c r="EB61" s="256">
        <f t="shared" si="80"/>
        <v>0</v>
      </c>
      <c r="EC61" s="253">
        <f t="shared" si="72"/>
        <v>0</v>
      </c>
      <c r="ED61" s="255">
        <f t="shared" si="73"/>
        <v>0</v>
      </c>
    </row>
    <row r="62" spans="1:134" ht="30" customHeight="1" x14ac:dyDescent="0.25">
      <c r="A62" s="247">
        <v>22</v>
      </c>
      <c r="B62" s="248" t="s">
        <v>142</v>
      </c>
      <c r="C62" s="248" t="s">
        <v>142</v>
      </c>
      <c r="D62" s="248" t="s">
        <v>46</v>
      </c>
      <c r="E62" s="269" t="s">
        <v>360</v>
      </c>
      <c r="F62" s="250" t="s">
        <v>271</v>
      </c>
      <c r="G62" s="364">
        <v>2.4901255970176402E-2</v>
      </c>
      <c r="H62" s="214"/>
      <c r="I62" s="252">
        <v>1607.5235073851916</v>
      </c>
      <c r="J62" s="243">
        <v>1081.6928703253041</v>
      </c>
      <c r="K62" s="250">
        <v>0</v>
      </c>
      <c r="L62" s="250">
        <v>0</v>
      </c>
      <c r="M62" s="250">
        <f>'FUS-Working'!BW44</f>
        <v>700</v>
      </c>
      <c r="N62" s="250">
        <f>'FUS-Working'!BX44</f>
        <v>448</v>
      </c>
      <c r="O62" s="250">
        <f>'FUS-Working'!DG44</f>
        <v>1400</v>
      </c>
      <c r="P62" s="250">
        <f>'FUS-Working'!DH44</f>
        <v>896</v>
      </c>
      <c r="Q62" s="255">
        <f t="shared" si="74"/>
        <v>0.82833124316566908</v>
      </c>
      <c r="R62" s="252">
        <v>1607.5235073851916</v>
      </c>
      <c r="S62" s="243">
        <v>1081.6928703253041</v>
      </c>
      <c r="T62" s="250">
        <f>'FUS-Working'!DG116</f>
        <v>1120</v>
      </c>
      <c r="U62" s="250">
        <f>'FUS-Working'!DH116</f>
        <v>716.8</v>
      </c>
      <c r="V62" s="250">
        <f>'FUS-Working'!DG116</f>
        <v>1120</v>
      </c>
      <c r="W62" s="250">
        <f>'FUS-Working'!DH116</f>
        <v>716.8</v>
      </c>
      <c r="X62" s="250">
        <f>'FUS-Working'!DG116</f>
        <v>1120</v>
      </c>
      <c r="Y62" s="250">
        <f>'FUS-Working'!DH116</f>
        <v>716.8</v>
      </c>
      <c r="Z62" s="255">
        <f t="shared" si="57"/>
        <v>1.0354140539570864</v>
      </c>
      <c r="AA62" s="252">
        <v>1607.5235073851916</v>
      </c>
      <c r="AB62" s="243">
        <v>1081.6928703253041</v>
      </c>
      <c r="AC62" s="250">
        <f>'FUS-Working'!AP187</f>
        <v>0</v>
      </c>
      <c r="AD62" s="250">
        <f>'FUS-Working'!AQ187</f>
        <v>0</v>
      </c>
      <c r="AE62" s="250">
        <f>'FUS-Working'!BW187</f>
        <v>700</v>
      </c>
      <c r="AF62" s="250">
        <f>'FUS-Working'!BX187</f>
        <v>448</v>
      </c>
      <c r="AG62" s="250">
        <f>'FUS-Working'!DG187</f>
        <v>700</v>
      </c>
      <c r="AH62" s="250">
        <f>'FUS-Working'!DH187</f>
        <v>448</v>
      </c>
      <c r="AI62" s="255">
        <f t="shared" si="75"/>
        <v>0.41416562158283454</v>
      </c>
      <c r="AJ62" s="256">
        <f t="shared" si="76"/>
        <v>3245.0786109759119</v>
      </c>
      <c r="AK62" s="253">
        <f t="shared" si="77"/>
        <v>2060.8000000000002</v>
      </c>
      <c r="AL62" s="255">
        <f t="shared" si="58"/>
        <v>0.63505395309367973</v>
      </c>
      <c r="AN62" s="251"/>
      <c r="AO62" s="252"/>
      <c r="AP62" s="243"/>
      <c r="AQ62" s="250"/>
      <c r="AR62" s="250"/>
      <c r="AS62" s="250"/>
      <c r="AT62" s="250"/>
      <c r="AU62" s="250"/>
      <c r="AV62" s="250"/>
      <c r="AW62" s="255">
        <f t="shared" si="59"/>
        <v>0</v>
      </c>
      <c r="AX62" s="252"/>
      <c r="AY62" s="243"/>
      <c r="AZ62" s="250"/>
      <c r="BA62" s="250"/>
      <c r="BB62" s="250"/>
      <c r="BC62" s="250"/>
      <c r="BD62" s="250"/>
      <c r="BE62" s="250"/>
      <c r="BF62" s="255">
        <f t="shared" si="60"/>
        <v>0</v>
      </c>
      <c r="BG62" s="252"/>
      <c r="BH62" s="243"/>
      <c r="BI62" s="250"/>
      <c r="BJ62" s="250"/>
      <c r="BK62" s="250"/>
      <c r="BL62" s="250"/>
      <c r="BM62" s="250"/>
      <c r="BN62" s="250"/>
      <c r="BO62" s="255">
        <f t="shared" si="61"/>
        <v>0</v>
      </c>
      <c r="BP62" s="256">
        <f t="shared" si="78"/>
        <v>0</v>
      </c>
      <c r="BQ62" s="253">
        <f t="shared" si="62"/>
        <v>0</v>
      </c>
      <c r="BR62" s="255">
        <f t="shared" si="63"/>
        <v>0</v>
      </c>
      <c r="BT62" s="251"/>
      <c r="BU62" s="254"/>
      <c r="BV62" s="250"/>
      <c r="BW62" s="250"/>
      <c r="BX62" s="250"/>
      <c r="BY62" s="250"/>
      <c r="BZ62" s="250"/>
      <c r="CA62" s="250"/>
      <c r="CB62" s="250"/>
      <c r="CC62" s="255">
        <f t="shared" si="64"/>
        <v>0</v>
      </c>
      <c r="CD62" s="254"/>
      <c r="CE62" s="250"/>
      <c r="CF62" s="250"/>
      <c r="CG62" s="250"/>
      <c r="CH62" s="250"/>
      <c r="CI62" s="250"/>
      <c r="CJ62" s="250"/>
      <c r="CK62" s="250"/>
      <c r="CL62" s="255">
        <f t="shared" si="65"/>
        <v>0</v>
      </c>
      <c r="CM62" s="254"/>
      <c r="CN62" s="250"/>
      <c r="CO62" s="250"/>
      <c r="CP62" s="250"/>
      <c r="CQ62" s="250"/>
      <c r="CR62" s="250"/>
      <c r="CS62" s="250"/>
      <c r="CT62" s="250"/>
      <c r="CU62" s="255">
        <f t="shared" si="66"/>
        <v>0</v>
      </c>
      <c r="CV62" s="256">
        <f t="shared" si="79"/>
        <v>0</v>
      </c>
      <c r="CW62" s="253">
        <f t="shared" si="67"/>
        <v>0</v>
      </c>
      <c r="CX62" s="255">
        <f t="shared" si="68"/>
        <v>0</v>
      </c>
      <c r="CZ62" s="251">
        <v>4.1981355339246375E-3</v>
      </c>
      <c r="DA62" s="252"/>
      <c r="DB62" s="243"/>
      <c r="DC62" s="250"/>
      <c r="DD62" s="250"/>
      <c r="DE62" s="250"/>
      <c r="DF62" s="250"/>
      <c r="DG62" s="250"/>
      <c r="DH62" s="250"/>
      <c r="DI62" s="255">
        <f t="shared" si="69"/>
        <v>0</v>
      </c>
      <c r="DJ62" s="252"/>
      <c r="DK62" s="243"/>
      <c r="DL62" s="250"/>
      <c r="DM62" s="250"/>
      <c r="DN62" s="250"/>
      <c r="DO62" s="250"/>
      <c r="DP62" s="250"/>
      <c r="DQ62" s="250"/>
      <c r="DR62" s="255">
        <f t="shared" si="70"/>
        <v>0</v>
      </c>
      <c r="DS62" s="252"/>
      <c r="DT62" s="243"/>
      <c r="DU62" s="250"/>
      <c r="DV62" s="250"/>
      <c r="DW62" s="250"/>
      <c r="DX62" s="250"/>
      <c r="DY62" s="250"/>
      <c r="DZ62" s="250"/>
      <c r="EA62" s="255">
        <f t="shared" si="71"/>
        <v>0</v>
      </c>
      <c r="EB62" s="256">
        <f t="shared" si="80"/>
        <v>0</v>
      </c>
      <c r="EC62" s="253">
        <f t="shared" si="72"/>
        <v>0</v>
      </c>
      <c r="ED62" s="255">
        <f t="shared" si="73"/>
        <v>0</v>
      </c>
    </row>
    <row r="63" spans="1:134" ht="30" customHeight="1" x14ac:dyDescent="0.25">
      <c r="A63" s="247">
        <v>23</v>
      </c>
      <c r="B63" s="248" t="s">
        <v>18</v>
      </c>
      <c r="C63" s="248" t="s">
        <v>17</v>
      </c>
      <c r="D63" s="248" t="s">
        <v>11</v>
      </c>
      <c r="E63" s="269" t="s">
        <v>354</v>
      </c>
      <c r="F63" s="250" t="s">
        <v>271</v>
      </c>
      <c r="G63" s="364">
        <v>2.5389515891160199E-2</v>
      </c>
      <c r="H63" s="214"/>
      <c r="I63" s="252">
        <v>1449.939090794627</v>
      </c>
      <c r="J63" s="243">
        <v>1102.9025344493298</v>
      </c>
      <c r="K63" s="250">
        <v>0</v>
      </c>
      <c r="L63" s="250">
        <v>0</v>
      </c>
      <c r="M63" s="250">
        <f>'FUS-Working'!BW45</f>
        <v>0</v>
      </c>
      <c r="N63" s="250">
        <f>'FUS-Working'!BX45</f>
        <v>0</v>
      </c>
      <c r="O63" s="250">
        <f>'FUS-Working'!DG45</f>
        <v>0</v>
      </c>
      <c r="P63" s="250">
        <f>'FUS-Working'!DH45</f>
        <v>0</v>
      </c>
      <c r="Q63" s="255">
        <f t="shared" si="74"/>
        <v>0</v>
      </c>
      <c r="R63" s="252">
        <v>1449.939090794627</v>
      </c>
      <c r="S63" s="243">
        <v>1102.9025344493298</v>
      </c>
      <c r="T63" s="250">
        <f>'FUS-Working'!DG117</f>
        <v>2100</v>
      </c>
      <c r="U63" s="250">
        <f>'FUS-Working'!DH117</f>
        <v>1344</v>
      </c>
      <c r="V63" s="250">
        <f>'FUS-Working'!DG117</f>
        <v>2100</v>
      </c>
      <c r="W63" s="250">
        <f>'FUS-Working'!DH117</f>
        <v>1344</v>
      </c>
      <c r="X63" s="250">
        <f>'FUS-Working'!DG117</f>
        <v>2100</v>
      </c>
      <c r="Y63" s="250">
        <f>'FUS-Working'!DH117</f>
        <v>1344</v>
      </c>
      <c r="Z63" s="255">
        <f t="shared" si="57"/>
        <v>1.9040667098008917</v>
      </c>
      <c r="AA63" s="252">
        <v>1449.939090794627</v>
      </c>
      <c r="AB63" s="243">
        <v>1102.9025344493298</v>
      </c>
      <c r="AC63" s="250">
        <f>'FUS-Working'!AP188</f>
        <v>0</v>
      </c>
      <c r="AD63" s="250">
        <f>'FUS-Working'!AQ188</f>
        <v>0</v>
      </c>
      <c r="AE63" s="250">
        <f>'FUS-Working'!BW188</f>
        <v>0</v>
      </c>
      <c r="AF63" s="250">
        <f>'FUS-Working'!BX188</f>
        <v>0</v>
      </c>
      <c r="AG63" s="250">
        <f>'FUS-Working'!DG188</f>
        <v>0</v>
      </c>
      <c r="AH63" s="250">
        <f>'FUS-Working'!DH188</f>
        <v>0</v>
      </c>
      <c r="AI63" s="255">
        <f t="shared" si="75"/>
        <v>0</v>
      </c>
      <c r="AJ63" s="256">
        <f t="shared" si="76"/>
        <v>3308.7076033479893</v>
      </c>
      <c r="AK63" s="253">
        <f t="shared" si="77"/>
        <v>1344</v>
      </c>
      <c r="AL63" s="255">
        <f t="shared" si="58"/>
        <v>0.40620089809085691</v>
      </c>
      <c r="AN63" s="251"/>
      <c r="AO63" s="252"/>
      <c r="AP63" s="243"/>
      <c r="AQ63" s="250"/>
      <c r="AR63" s="250"/>
      <c r="AS63" s="250"/>
      <c r="AT63" s="250"/>
      <c r="AU63" s="250"/>
      <c r="AV63" s="250"/>
      <c r="AW63" s="255">
        <f t="shared" si="59"/>
        <v>0</v>
      </c>
      <c r="AX63" s="252"/>
      <c r="AY63" s="243"/>
      <c r="AZ63" s="250"/>
      <c r="BA63" s="250"/>
      <c r="BB63" s="250"/>
      <c r="BC63" s="250"/>
      <c r="BD63" s="250"/>
      <c r="BE63" s="250"/>
      <c r="BF63" s="255">
        <f t="shared" si="60"/>
        <v>0</v>
      </c>
      <c r="BG63" s="252"/>
      <c r="BH63" s="243"/>
      <c r="BI63" s="250"/>
      <c r="BJ63" s="250"/>
      <c r="BK63" s="250"/>
      <c r="BL63" s="250"/>
      <c r="BM63" s="250"/>
      <c r="BN63" s="250"/>
      <c r="BO63" s="255">
        <f t="shared" si="61"/>
        <v>0</v>
      </c>
      <c r="BP63" s="256">
        <f t="shared" si="78"/>
        <v>0</v>
      </c>
      <c r="BQ63" s="253">
        <f t="shared" si="62"/>
        <v>0</v>
      </c>
      <c r="BR63" s="255">
        <f t="shared" si="63"/>
        <v>0</v>
      </c>
      <c r="BT63" s="251"/>
      <c r="BU63" s="254"/>
      <c r="BV63" s="250"/>
      <c r="BW63" s="250"/>
      <c r="BX63" s="250"/>
      <c r="BY63" s="250"/>
      <c r="BZ63" s="250"/>
      <c r="CA63" s="250"/>
      <c r="CB63" s="250"/>
      <c r="CC63" s="255">
        <f t="shared" si="64"/>
        <v>0</v>
      </c>
      <c r="CD63" s="254"/>
      <c r="CE63" s="250"/>
      <c r="CF63" s="250"/>
      <c r="CG63" s="250"/>
      <c r="CH63" s="250"/>
      <c r="CI63" s="250"/>
      <c r="CJ63" s="250"/>
      <c r="CK63" s="250"/>
      <c r="CL63" s="255">
        <f t="shared" si="65"/>
        <v>0</v>
      </c>
      <c r="CM63" s="254"/>
      <c r="CN63" s="250"/>
      <c r="CO63" s="250"/>
      <c r="CP63" s="250"/>
      <c r="CQ63" s="250"/>
      <c r="CR63" s="250"/>
      <c r="CS63" s="250"/>
      <c r="CT63" s="250"/>
      <c r="CU63" s="255">
        <f t="shared" si="66"/>
        <v>0</v>
      </c>
      <c r="CV63" s="256">
        <f t="shared" si="79"/>
        <v>0</v>
      </c>
      <c r="CW63" s="253">
        <f t="shared" si="67"/>
        <v>0</v>
      </c>
      <c r="CX63" s="255">
        <f t="shared" si="68"/>
        <v>0</v>
      </c>
      <c r="CZ63" s="251">
        <v>3.6231555985429979E-2</v>
      </c>
      <c r="DA63" s="252"/>
      <c r="DB63" s="243"/>
      <c r="DC63" s="250"/>
      <c r="DD63" s="250"/>
      <c r="DE63" s="250"/>
      <c r="DF63" s="250"/>
      <c r="DG63" s="250"/>
      <c r="DH63" s="250"/>
      <c r="DI63" s="255">
        <f t="shared" si="69"/>
        <v>0</v>
      </c>
      <c r="DJ63" s="252"/>
      <c r="DK63" s="243"/>
      <c r="DL63" s="250"/>
      <c r="DM63" s="250"/>
      <c r="DN63" s="250"/>
      <c r="DO63" s="250"/>
      <c r="DP63" s="250"/>
      <c r="DQ63" s="250"/>
      <c r="DR63" s="255">
        <f t="shared" si="70"/>
        <v>0</v>
      </c>
      <c r="DS63" s="252"/>
      <c r="DT63" s="243"/>
      <c r="DU63" s="250"/>
      <c r="DV63" s="250"/>
      <c r="DW63" s="250"/>
      <c r="DX63" s="250"/>
      <c r="DY63" s="250"/>
      <c r="DZ63" s="250"/>
      <c r="EA63" s="255">
        <f t="shared" si="71"/>
        <v>0</v>
      </c>
      <c r="EB63" s="256">
        <f t="shared" si="80"/>
        <v>0</v>
      </c>
      <c r="EC63" s="253">
        <f t="shared" si="72"/>
        <v>0</v>
      </c>
      <c r="ED63" s="255">
        <f t="shared" si="73"/>
        <v>0</v>
      </c>
    </row>
    <row r="64" spans="1:134" ht="30" customHeight="1" x14ac:dyDescent="0.25">
      <c r="A64" s="247">
        <v>24</v>
      </c>
      <c r="B64" s="248" t="s">
        <v>449</v>
      </c>
      <c r="C64" s="248" t="s">
        <v>286</v>
      </c>
      <c r="D64" s="248" t="s">
        <v>450</v>
      </c>
      <c r="E64" s="270" t="s">
        <v>360</v>
      </c>
      <c r="F64" s="250" t="s">
        <v>271</v>
      </c>
      <c r="G64" s="251">
        <v>3.1399999999999997E-2</v>
      </c>
      <c r="H64" s="214"/>
      <c r="I64" s="252">
        <v>1478.3692690455023</v>
      </c>
      <c r="J64" s="243">
        <v>1363.4784079730721</v>
      </c>
      <c r="K64" s="250">
        <v>700</v>
      </c>
      <c r="L64" s="250">
        <v>448</v>
      </c>
      <c r="M64" s="250">
        <f>'FUS-Working'!BW46</f>
        <v>700</v>
      </c>
      <c r="N64" s="250">
        <f>'FUS-Working'!BX46</f>
        <v>448</v>
      </c>
      <c r="O64" s="250">
        <f>'FUS-Working'!DG46</f>
        <v>1400</v>
      </c>
      <c r="P64" s="250">
        <f>'FUS-Working'!DH46</f>
        <v>896</v>
      </c>
      <c r="Q64" s="255">
        <f t="shared" si="74"/>
        <v>0.6571427862447643</v>
      </c>
      <c r="R64" s="252">
        <v>1478.3692690455023</v>
      </c>
      <c r="S64" s="243">
        <v>1363.4784079730721</v>
      </c>
      <c r="T64" s="250">
        <f>'FUS-Working'!DG118</f>
        <v>1400</v>
      </c>
      <c r="U64" s="250">
        <f>'FUS-Working'!DH118</f>
        <v>896</v>
      </c>
      <c r="V64" s="250">
        <f>'FUS-Working'!DG118</f>
        <v>1400</v>
      </c>
      <c r="W64" s="250">
        <f>'FUS-Working'!DH118</f>
        <v>896</v>
      </c>
      <c r="X64" s="250">
        <f>'FUS-Working'!DG118</f>
        <v>1400</v>
      </c>
      <c r="Y64" s="250">
        <f>'FUS-Working'!DH118</f>
        <v>896</v>
      </c>
      <c r="Z64" s="255">
        <f t="shared" si="57"/>
        <v>1.0267856035074441</v>
      </c>
      <c r="AA64" s="252">
        <v>1478.3692690455023</v>
      </c>
      <c r="AB64" s="243">
        <v>1363.4784079730721</v>
      </c>
      <c r="AC64" s="250">
        <f>'FUS-Working'!AP189</f>
        <v>0</v>
      </c>
      <c r="AD64" s="250">
        <f>'FUS-Working'!AQ189</f>
        <v>0</v>
      </c>
      <c r="AE64" s="250">
        <f>'FUS-Working'!BW189</f>
        <v>1400</v>
      </c>
      <c r="AF64" s="250">
        <f>'FUS-Working'!BX189</f>
        <v>896</v>
      </c>
      <c r="AG64" s="250">
        <f>'FUS-Working'!DG189</f>
        <v>1400</v>
      </c>
      <c r="AH64" s="250">
        <f>'FUS-Working'!DH189</f>
        <v>896</v>
      </c>
      <c r="AI64" s="255">
        <f t="shared" si="75"/>
        <v>0.6571427862447643</v>
      </c>
      <c r="AJ64" s="256">
        <f t="shared" si="76"/>
        <v>4090.4352239192162</v>
      </c>
      <c r="AK64" s="253">
        <f t="shared" si="77"/>
        <v>2688</v>
      </c>
      <c r="AL64" s="255">
        <f t="shared" si="58"/>
        <v>0.6571427862447643</v>
      </c>
      <c r="AN64" s="251"/>
      <c r="AO64" s="252"/>
      <c r="AP64" s="243"/>
      <c r="AQ64" s="250"/>
      <c r="AR64" s="250"/>
      <c r="AS64" s="250"/>
      <c r="AT64" s="250"/>
      <c r="AU64" s="250"/>
      <c r="AV64" s="250"/>
      <c r="AW64" s="255">
        <f t="shared" si="59"/>
        <v>0</v>
      </c>
      <c r="AX64" s="252"/>
      <c r="AY64" s="243"/>
      <c r="AZ64" s="250"/>
      <c r="BA64" s="250"/>
      <c r="BB64" s="250"/>
      <c r="BC64" s="250"/>
      <c r="BD64" s="250"/>
      <c r="BE64" s="250"/>
      <c r="BF64" s="255">
        <f t="shared" si="60"/>
        <v>0</v>
      </c>
      <c r="BG64" s="252"/>
      <c r="BH64" s="243"/>
      <c r="BI64" s="250"/>
      <c r="BJ64" s="250"/>
      <c r="BK64" s="250"/>
      <c r="BL64" s="250"/>
      <c r="BM64" s="250"/>
      <c r="BN64" s="250"/>
      <c r="BO64" s="255">
        <f t="shared" si="61"/>
        <v>0</v>
      </c>
      <c r="BP64" s="256">
        <f t="shared" si="78"/>
        <v>0</v>
      </c>
      <c r="BQ64" s="253">
        <f t="shared" si="62"/>
        <v>0</v>
      </c>
      <c r="BR64" s="255">
        <f t="shared" si="63"/>
        <v>0</v>
      </c>
      <c r="BT64" s="251"/>
      <c r="BU64" s="254"/>
      <c r="BV64" s="250"/>
      <c r="BW64" s="250"/>
      <c r="BX64" s="250"/>
      <c r="BY64" s="250"/>
      <c r="BZ64" s="250"/>
      <c r="CA64" s="250"/>
      <c r="CB64" s="250"/>
      <c r="CC64" s="255">
        <f t="shared" si="64"/>
        <v>0</v>
      </c>
      <c r="CD64" s="254"/>
      <c r="CE64" s="250"/>
      <c r="CF64" s="250"/>
      <c r="CG64" s="250"/>
      <c r="CH64" s="250"/>
      <c r="CI64" s="250"/>
      <c r="CJ64" s="250"/>
      <c r="CK64" s="250"/>
      <c r="CL64" s="255">
        <f t="shared" si="65"/>
        <v>0</v>
      </c>
      <c r="CM64" s="254"/>
      <c r="CN64" s="250"/>
      <c r="CO64" s="250"/>
      <c r="CP64" s="250"/>
      <c r="CQ64" s="250"/>
      <c r="CR64" s="250"/>
      <c r="CS64" s="250"/>
      <c r="CT64" s="250"/>
      <c r="CU64" s="255">
        <f t="shared" si="66"/>
        <v>0</v>
      </c>
      <c r="CV64" s="256">
        <f t="shared" si="79"/>
        <v>0</v>
      </c>
      <c r="CW64" s="253">
        <f t="shared" si="67"/>
        <v>0</v>
      </c>
      <c r="CX64" s="255">
        <f t="shared" si="68"/>
        <v>0</v>
      </c>
      <c r="CZ64" s="251">
        <v>2.8679027843516544E-2</v>
      </c>
      <c r="DA64" s="252"/>
      <c r="DB64" s="243"/>
      <c r="DC64" s="250"/>
      <c r="DD64" s="250"/>
      <c r="DE64" s="250"/>
      <c r="DF64" s="250"/>
      <c r="DG64" s="250"/>
      <c r="DH64" s="250"/>
      <c r="DI64" s="255">
        <f t="shared" si="69"/>
        <v>0</v>
      </c>
      <c r="DJ64" s="252"/>
      <c r="DK64" s="243"/>
      <c r="DL64" s="250"/>
      <c r="DM64" s="250"/>
      <c r="DN64" s="250"/>
      <c r="DO64" s="250"/>
      <c r="DP64" s="250"/>
      <c r="DQ64" s="250"/>
      <c r="DR64" s="255">
        <f t="shared" si="70"/>
        <v>0</v>
      </c>
      <c r="DS64" s="252"/>
      <c r="DT64" s="243"/>
      <c r="DU64" s="250"/>
      <c r="DV64" s="250"/>
      <c r="DW64" s="250"/>
      <c r="DX64" s="250"/>
      <c r="DY64" s="250"/>
      <c r="DZ64" s="250"/>
      <c r="EA64" s="255">
        <f t="shared" si="71"/>
        <v>0</v>
      </c>
      <c r="EB64" s="256">
        <f t="shared" si="80"/>
        <v>0</v>
      </c>
      <c r="EC64" s="253">
        <f t="shared" si="72"/>
        <v>0</v>
      </c>
      <c r="ED64" s="255">
        <f t="shared" si="73"/>
        <v>0</v>
      </c>
    </row>
    <row r="65" spans="1:134" s="213" customFormat="1" ht="30" customHeight="1" thickBot="1" x14ac:dyDescent="0.3">
      <c r="A65" s="217"/>
      <c r="B65" s="404" t="s">
        <v>444</v>
      </c>
      <c r="C65" s="405"/>
      <c r="D65" s="405"/>
      <c r="E65" s="405"/>
      <c r="F65" s="406"/>
      <c r="G65" s="367">
        <f>SUM(G41:G64)</f>
        <v>1.0000118622224672</v>
      </c>
      <c r="H65" s="261"/>
      <c r="I65" s="262">
        <f t="shared" ref="I65:P65" si="81">SUM(I41:I64)</f>
        <v>58227.548543382021</v>
      </c>
      <c r="J65" s="263">
        <f t="shared" si="81"/>
        <v>43439.289633455453</v>
      </c>
      <c r="K65" s="263">
        <f t="shared" si="81"/>
        <v>5396</v>
      </c>
      <c r="L65" s="263">
        <f t="shared" si="81"/>
        <v>4015.04</v>
      </c>
      <c r="M65" s="263">
        <f t="shared" si="81"/>
        <v>20438</v>
      </c>
      <c r="N65" s="263">
        <f t="shared" si="81"/>
        <v>14853.68</v>
      </c>
      <c r="O65" s="263">
        <f t="shared" si="81"/>
        <v>45078</v>
      </c>
      <c r="P65" s="263">
        <f t="shared" si="81"/>
        <v>33913.68</v>
      </c>
      <c r="Q65" s="264">
        <f>IFERROR((P65/J65),0)</f>
        <v>0.78071442434180238</v>
      </c>
      <c r="R65" s="262">
        <f t="shared" ref="R65:Y65" si="82">SUM(R41:R64)</f>
        <v>58227.548543382021</v>
      </c>
      <c r="S65" s="263">
        <f t="shared" si="82"/>
        <v>43439.289633455453</v>
      </c>
      <c r="T65" s="263">
        <f t="shared" si="82"/>
        <v>43254</v>
      </c>
      <c r="U65" s="263">
        <f t="shared" si="82"/>
        <v>31794.799999999999</v>
      </c>
      <c r="V65" s="263">
        <f t="shared" si="82"/>
        <v>43254</v>
      </c>
      <c r="W65" s="263">
        <f t="shared" si="82"/>
        <v>31794.799999999999</v>
      </c>
      <c r="X65" s="263">
        <f t="shared" si="82"/>
        <v>43254</v>
      </c>
      <c r="Y65" s="263">
        <f t="shared" si="82"/>
        <v>31794.799999999999</v>
      </c>
      <c r="Z65" s="264">
        <f t="shared" ref="Z65" si="83">IFERROR((X65/S65),0)</f>
        <v>0.99573451511249511</v>
      </c>
      <c r="AA65" s="262">
        <f t="shared" ref="AA65:AH65" si="84">SUM(AA41:AA64)</f>
        <v>58227.548543382021</v>
      </c>
      <c r="AB65" s="263">
        <f t="shared" si="84"/>
        <v>43439.289633455453</v>
      </c>
      <c r="AC65" s="263">
        <f t="shared" si="84"/>
        <v>18726</v>
      </c>
      <c r="AD65" s="263">
        <f t="shared" si="84"/>
        <v>13570.08</v>
      </c>
      <c r="AE65" s="263">
        <f t="shared" si="84"/>
        <v>60358</v>
      </c>
      <c r="AF65" s="263">
        <f t="shared" si="84"/>
        <v>48448.480000000003</v>
      </c>
      <c r="AG65" s="263">
        <f t="shared" si="84"/>
        <v>60358</v>
      </c>
      <c r="AH65" s="263">
        <f t="shared" si="84"/>
        <v>48448.480000000003</v>
      </c>
      <c r="AI65" s="264">
        <f t="shared" ref="AI65" si="85">IFERROR((AG65/AB65),0)</f>
        <v>1.3894794438239233</v>
      </c>
      <c r="AJ65" s="262">
        <f>SUM(AJ41:AJ64)</f>
        <v>130317.8689003664</v>
      </c>
      <c r="AK65" s="263">
        <f>SUM(AK41:AK64)</f>
        <v>114156.95999999999</v>
      </c>
      <c r="AL65" s="266">
        <f t="shared" si="58"/>
        <v>0.87598854219506828</v>
      </c>
      <c r="AN65" s="217"/>
      <c r="AO65" s="262">
        <f t="shared" ref="AO65:AV65" si="86">SUM(AO41:AO64)</f>
        <v>0</v>
      </c>
      <c r="AP65" s="263">
        <f t="shared" si="86"/>
        <v>0</v>
      </c>
      <c r="AQ65" s="263">
        <f t="shared" si="86"/>
        <v>0</v>
      </c>
      <c r="AR65" s="263">
        <f t="shared" si="86"/>
        <v>0</v>
      </c>
      <c r="AS65" s="263">
        <f t="shared" si="86"/>
        <v>0</v>
      </c>
      <c r="AT65" s="263">
        <f t="shared" si="86"/>
        <v>0</v>
      </c>
      <c r="AU65" s="263">
        <f t="shared" si="86"/>
        <v>0</v>
      </c>
      <c r="AV65" s="263">
        <f t="shared" si="86"/>
        <v>0</v>
      </c>
      <c r="AW65" s="264">
        <f t="shared" ref="AW65" si="87">IFERROR((AU65/AP65),0)</f>
        <v>0</v>
      </c>
      <c r="AX65" s="262">
        <f t="shared" ref="AX65:BE65" si="88">SUM(AX41:AX64)</f>
        <v>0</v>
      </c>
      <c r="AY65" s="263">
        <f t="shared" si="88"/>
        <v>0</v>
      </c>
      <c r="AZ65" s="263">
        <f t="shared" si="88"/>
        <v>0</v>
      </c>
      <c r="BA65" s="263">
        <f t="shared" si="88"/>
        <v>0</v>
      </c>
      <c r="BB65" s="263">
        <f t="shared" si="88"/>
        <v>0</v>
      </c>
      <c r="BC65" s="263">
        <f t="shared" si="88"/>
        <v>0</v>
      </c>
      <c r="BD65" s="263">
        <f t="shared" si="88"/>
        <v>0</v>
      </c>
      <c r="BE65" s="263">
        <f t="shared" si="88"/>
        <v>0</v>
      </c>
      <c r="BF65" s="264">
        <f t="shared" ref="BF65" si="89">IFERROR((BD65/AY65),0)</f>
        <v>0</v>
      </c>
      <c r="BG65" s="262">
        <f t="shared" ref="BG65:BN65" si="90">SUM(BG41:BG64)</f>
        <v>0</v>
      </c>
      <c r="BH65" s="263">
        <f t="shared" si="90"/>
        <v>0</v>
      </c>
      <c r="BI65" s="263">
        <f t="shared" si="90"/>
        <v>0</v>
      </c>
      <c r="BJ65" s="263">
        <f t="shared" si="90"/>
        <v>0</v>
      </c>
      <c r="BK65" s="263">
        <f t="shared" si="90"/>
        <v>0</v>
      </c>
      <c r="BL65" s="263">
        <f t="shared" si="90"/>
        <v>0</v>
      </c>
      <c r="BM65" s="263">
        <f t="shared" si="90"/>
        <v>0</v>
      </c>
      <c r="BN65" s="263">
        <f t="shared" si="90"/>
        <v>0</v>
      </c>
      <c r="BO65" s="264">
        <f t="shared" ref="BO65" si="91">IFERROR((BM65/BH65),0)</f>
        <v>0</v>
      </c>
      <c r="BP65" s="262">
        <f>SUM(BP41:BP64)</f>
        <v>0</v>
      </c>
      <c r="BQ65" s="263">
        <f>SUM(BQ41:BQ64)</f>
        <v>0</v>
      </c>
      <c r="BR65" s="266">
        <f t="shared" si="63"/>
        <v>0</v>
      </c>
      <c r="BT65" s="217"/>
      <c r="BU65" s="262">
        <f t="shared" ref="BU65:CB65" si="92">SUM(BU41:BU64)</f>
        <v>0</v>
      </c>
      <c r="BV65" s="263">
        <f t="shared" si="92"/>
        <v>0</v>
      </c>
      <c r="BW65" s="263">
        <f t="shared" si="92"/>
        <v>0</v>
      </c>
      <c r="BX65" s="263">
        <f t="shared" si="92"/>
        <v>0</v>
      </c>
      <c r="BY65" s="263">
        <f t="shared" si="92"/>
        <v>0</v>
      </c>
      <c r="BZ65" s="263">
        <f t="shared" si="92"/>
        <v>0</v>
      </c>
      <c r="CA65" s="263">
        <f t="shared" si="92"/>
        <v>0</v>
      </c>
      <c r="CB65" s="263">
        <f t="shared" si="92"/>
        <v>0</v>
      </c>
      <c r="CC65" s="264">
        <f t="shared" ref="CC65" si="93">IFERROR((CA65/BV65),0)</f>
        <v>0</v>
      </c>
      <c r="CD65" s="262">
        <f t="shared" ref="CD65:CK65" si="94">SUM(CD41:CD64)</f>
        <v>0</v>
      </c>
      <c r="CE65" s="263">
        <f t="shared" si="94"/>
        <v>0</v>
      </c>
      <c r="CF65" s="263">
        <f t="shared" si="94"/>
        <v>0</v>
      </c>
      <c r="CG65" s="263">
        <f t="shared" si="94"/>
        <v>0</v>
      </c>
      <c r="CH65" s="263">
        <f t="shared" si="94"/>
        <v>0</v>
      </c>
      <c r="CI65" s="263">
        <f t="shared" si="94"/>
        <v>0</v>
      </c>
      <c r="CJ65" s="263">
        <f t="shared" si="94"/>
        <v>0</v>
      </c>
      <c r="CK65" s="263">
        <f t="shared" si="94"/>
        <v>0</v>
      </c>
      <c r="CL65" s="264">
        <f t="shared" ref="CL65" si="95">IFERROR((CJ65/CE65),0)</f>
        <v>0</v>
      </c>
      <c r="CM65" s="262">
        <f t="shared" ref="CM65:CT65" si="96">SUM(CM41:CM64)</f>
        <v>0</v>
      </c>
      <c r="CN65" s="263">
        <f t="shared" si="96"/>
        <v>0</v>
      </c>
      <c r="CO65" s="263">
        <f t="shared" si="96"/>
        <v>0</v>
      </c>
      <c r="CP65" s="263">
        <f t="shared" si="96"/>
        <v>0</v>
      </c>
      <c r="CQ65" s="263">
        <f t="shared" si="96"/>
        <v>0</v>
      </c>
      <c r="CR65" s="263">
        <f t="shared" si="96"/>
        <v>0</v>
      </c>
      <c r="CS65" s="263">
        <f t="shared" si="96"/>
        <v>0</v>
      </c>
      <c r="CT65" s="263">
        <f t="shared" si="96"/>
        <v>0</v>
      </c>
      <c r="CU65" s="264">
        <f t="shared" ref="CU65" si="97">IFERROR((CS65/CN65),0)</f>
        <v>0</v>
      </c>
      <c r="CV65" s="262">
        <f>SUM(CV41:CV64)</f>
        <v>0</v>
      </c>
      <c r="CW65" s="263">
        <f>SUM(CW41:CW64)</f>
        <v>0</v>
      </c>
      <c r="CX65" s="266">
        <f t="shared" si="68"/>
        <v>0</v>
      </c>
      <c r="CZ65" s="217"/>
      <c r="DA65" s="262">
        <f t="shared" ref="DA65:DH65" si="98">SUM(DA41:DA64)</f>
        <v>0</v>
      </c>
      <c r="DB65" s="263">
        <f t="shared" si="98"/>
        <v>0</v>
      </c>
      <c r="DC65" s="263">
        <f t="shared" si="98"/>
        <v>0</v>
      </c>
      <c r="DD65" s="263">
        <f t="shared" si="98"/>
        <v>0</v>
      </c>
      <c r="DE65" s="263">
        <f t="shared" si="98"/>
        <v>0</v>
      </c>
      <c r="DF65" s="263">
        <f t="shared" si="98"/>
        <v>0</v>
      </c>
      <c r="DG65" s="263">
        <f t="shared" si="98"/>
        <v>0</v>
      </c>
      <c r="DH65" s="263">
        <f t="shared" si="98"/>
        <v>0</v>
      </c>
      <c r="DI65" s="264">
        <f t="shared" ref="DI65" si="99">IFERROR((DG65/DB65),0)</f>
        <v>0</v>
      </c>
      <c r="DJ65" s="262">
        <f t="shared" ref="DJ65:DQ65" si="100">SUM(DJ41:DJ64)</f>
        <v>0</v>
      </c>
      <c r="DK65" s="263">
        <f t="shared" si="100"/>
        <v>0</v>
      </c>
      <c r="DL65" s="263">
        <f t="shared" si="100"/>
        <v>0</v>
      </c>
      <c r="DM65" s="263">
        <f t="shared" si="100"/>
        <v>0</v>
      </c>
      <c r="DN65" s="263">
        <f t="shared" si="100"/>
        <v>0</v>
      </c>
      <c r="DO65" s="263">
        <f t="shared" si="100"/>
        <v>0</v>
      </c>
      <c r="DP65" s="263">
        <f t="shared" si="100"/>
        <v>0</v>
      </c>
      <c r="DQ65" s="263">
        <f t="shared" si="100"/>
        <v>0</v>
      </c>
      <c r="DR65" s="264">
        <f t="shared" ref="DR65" si="101">IFERROR((DP65/DK65),0)</f>
        <v>0</v>
      </c>
      <c r="DS65" s="262">
        <f t="shared" ref="DS65:DZ65" si="102">SUM(DS41:DS64)</f>
        <v>0</v>
      </c>
      <c r="DT65" s="263">
        <f t="shared" si="102"/>
        <v>0</v>
      </c>
      <c r="DU65" s="263">
        <f t="shared" si="102"/>
        <v>0</v>
      </c>
      <c r="DV65" s="263">
        <f t="shared" si="102"/>
        <v>0</v>
      </c>
      <c r="DW65" s="263">
        <f t="shared" si="102"/>
        <v>0</v>
      </c>
      <c r="DX65" s="263">
        <f t="shared" si="102"/>
        <v>0</v>
      </c>
      <c r="DY65" s="263">
        <f t="shared" si="102"/>
        <v>0</v>
      </c>
      <c r="DZ65" s="263">
        <f t="shared" si="102"/>
        <v>0</v>
      </c>
      <c r="EA65" s="264">
        <f t="shared" ref="EA65" si="103">IFERROR((DY65/DT65),0)</f>
        <v>0</v>
      </c>
      <c r="EB65" s="262">
        <f>SUM(EB41:EB64)</f>
        <v>0</v>
      </c>
      <c r="EC65" s="263">
        <f>SUM(EC41:EC64)</f>
        <v>0</v>
      </c>
      <c r="ED65" s="266">
        <f t="shared" si="73"/>
        <v>0</v>
      </c>
    </row>
    <row r="66" spans="1:134" ht="30" customHeight="1" x14ac:dyDescent="0.25">
      <c r="H66" s="212"/>
      <c r="I66" s="212"/>
      <c r="J66" s="212"/>
      <c r="K66" s="212"/>
      <c r="L66" s="212"/>
      <c r="M66" s="212"/>
      <c r="N66" s="212"/>
      <c r="Q66" s="212"/>
      <c r="R66" s="212"/>
      <c r="S66" s="212"/>
      <c r="T66" s="212"/>
      <c r="W66" s="212"/>
      <c r="X66" s="212"/>
      <c r="Y66" s="212"/>
      <c r="Z66" s="212"/>
    </row>
    <row r="67" spans="1:134" ht="30" customHeight="1" thickBot="1" x14ac:dyDescent="0.3">
      <c r="H67" s="212"/>
      <c r="I67" s="212"/>
      <c r="J67" s="212"/>
      <c r="K67" s="212"/>
      <c r="L67" s="212"/>
      <c r="M67" s="212"/>
      <c r="N67" s="212"/>
      <c r="Q67" s="212"/>
      <c r="R67" s="212"/>
      <c r="S67" s="212"/>
      <c r="T67" s="212"/>
      <c r="W67" s="212"/>
      <c r="X67" s="212"/>
      <c r="Y67" s="212"/>
      <c r="Z67" s="212"/>
    </row>
    <row r="68" spans="1:134" ht="30" customHeight="1" thickBot="1" x14ac:dyDescent="0.3">
      <c r="H68" s="227"/>
      <c r="I68" s="444" t="s">
        <v>269</v>
      </c>
      <c r="J68" s="445"/>
      <c r="K68" s="445"/>
      <c r="L68" s="445"/>
      <c r="M68" s="445"/>
      <c r="N68" s="445"/>
      <c r="O68" s="445"/>
      <c r="P68" s="445"/>
      <c r="Q68" s="445"/>
      <c r="R68" s="445"/>
      <c r="S68" s="445"/>
      <c r="T68" s="445"/>
      <c r="U68" s="445"/>
      <c r="V68" s="445"/>
      <c r="W68" s="445"/>
      <c r="X68" s="445"/>
      <c r="Y68" s="445"/>
      <c r="Z68" s="445"/>
      <c r="AA68" s="445"/>
      <c r="AB68" s="445"/>
      <c r="AC68" s="445"/>
      <c r="AD68" s="445"/>
      <c r="AE68" s="445"/>
      <c r="AF68" s="445"/>
      <c r="AG68" s="445"/>
      <c r="AH68" s="445"/>
      <c r="AI68" s="445"/>
      <c r="AJ68" s="445"/>
      <c r="AK68" s="445"/>
      <c r="AL68" s="446"/>
      <c r="AO68" s="433" t="s">
        <v>371</v>
      </c>
      <c r="AP68" s="434"/>
      <c r="AQ68" s="434"/>
      <c r="AR68" s="434"/>
      <c r="AS68" s="434"/>
      <c r="AT68" s="434"/>
      <c r="AU68" s="434"/>
      <c r="AV68" s="434"/>
      <c r="AW68" s="434"/>
      <c r="AX68" s="434"/>
      <c r="AY68" s="434"/>
      <c r="AZ68" s="434"/>
      <c r="BA68" s="434"/>
      <c r="BB68" s="434"/>
      <c r="BC68" s="434"/>
      <c r="BD68" s="434"/>
      <c r="BE68" s="434"/>
      <c r="BF68" s="434"/>
      <c r="BG68" s="434"/>
      <c r="BH68" s="434"/>
      <c r="BI68" s="434"/>
      <c r="BJ68" s="434"/>
      <c r="BK68" s="434"/>
      <c r="BL68" s="434"/>
      <c r="BM68" s="434"/>
      <c r="BN68" s="434"/>
      <c r="BO68" s="434"/>
      <c r="BP68" s="434"/>
      <c r="BQ68" s="434"/>
      <c r="BR68" s="435"/>
      <c r="BU68" s="433" t="s">
        <v>372</v>
      </c>
      <c r="BV68" s="434"/>
      <c r="BW68" s="434"/>
      <c r="BX68" s="434"/>
      <c r="BY68" s="434"/>
      <c r="BZ68" s="434"/>
      <c r="CA68" s="434"/>
      <c r="CB68" s="434"/>
      <c r="CC68" s="434"/>
      <c r="CD68" s="434"/>
      <c r="CE68" s="434"/>
      <c r="CF68" s="434"/>
      <c r="CG68" s="434"/>
      <c r="CH68" s="434"/>
      <c r="CI68" s="434"/>
      <c r="CJ68" s="434"/>
      <c r="CK68" s="434"/>
      <c r="CL68" s="434"/>
      <c r="CM68" s="434"/>
      <c r="CN68" s="434"/>
      <c r="CO68" s="434"/>
      <c r="CP68" s="434"/>
      <c r="CQ68" s="434"/>
      <c r="CR68" s="434"/>
      <c r="CS68" s="434"/>
      <c r="CT68" s="434"/>
      <c r="CU68" s="434"/>
      <c r="CV68" s="434"/>
      <c r="CW68" s="434"/>
      <c r="CX68" s="435"/>
      <c r="CY68" s="351"/>
      <c r="CZ68" s="351"/>
      <c r="DA68" s="433" t="s">
        <v>373</v>
      </c>
      <c r="DB68" s="434"/>
      <c r="DC68" s="434"/>
      <c r="DD68" s="434"/>
      <c r="DE68" s="434"/>
      <c r="DF68" s="434"/>
      <c r="DG68" s="434"/>
      <c r="DH68" s="434"/>
      <c r="DI68" s="434"/>
      <c r="DJ68" s="434"/>
      <c r="DK68" s="434"/>
      <c r="DL68" s="434"/>
      <c r="DM68" s="434"/>
      <c r="DN68" s="434"/>
      <c r="DO68" s="434"/>
      <c r="DP68" s="434"/>
      <c r="DQ68" s="434"/>
      <c r="DR68" s="434"/>
      <c r="DS68" s="434"/>
      <c r="DT68" s="434"/>
      <c r="DU68" s="434"/>
      <c r="DV68" s="434"/>
      <c r="DW68" s="434"/>
      <c r="DX68" s="434"/>
      <c r="DY68" s="434"/>
      <c r="DZ68" s="434"/>
      <c r="EA68" s="434"/>
      <c r="EB68" s="434"/>
      <c r="EC68" s="434"/>
      <c r="ED68" s="435"/>
    </row>
    <row r="69" spans="1:134" ht="25.15" customHeight="1" x14ac:dyDescent="0.25">
      <c r="A69" s="213"/>
      <c r="B69" s="234" t="s">
        <v>268</v>
      </c>
      <c r="C69" s="213"/>
      <c r="D69" s="213"/>
      <c r="E69" s="213"/>
      <c r="F69" s="213"/>
      <c r="I69" s="425">
        <v>46023</v>
      </c>
      <c r="J69" s="426"/>
      <c r="K69" s="426"/>
      <c r="L69" s="426"/>
      <c r="M69" s="426"/>
      <c r="N69" s="426"/>
      <c r="O69" s="426"/>
      <c r="P69" s="426"/>
      <c r="Q69" s="427"/>
      <c r="R69" s="425">
        <v>46054</v>
      </c>
      <c r="S69" s="426"/>
      <c r="T69" s="426"/>
      <c r="U69" s="426"/>
      <c r="V69" s="426"/>
      <c r="W69" s="426"/>
      <c r="X69" s="426"/>
      <c r="Y69" s="426"/>
      <c r="Z69" s="427"/>
      <c r="AA69" s="425">
        <v>46082</v>
      </c>
      <c r="AB69" s="426"/>
      <c r="AC69" s="426"/>
      <c r="AD69" s="426"/>
      <c r="AE69" s="426"/>
      <c r="AF69" s="426"/>
      <c r="AG69" s="426"/>
      <c r="AH69" s="426"/>
      <c r="AI69" s="427"/>
      <c r="AJ69" s="428" t="s">
        <v>160</v>
      </c>
      <c r="AK69" s="429"/>
      <c r="AL69" s="430"/>
      <c r="AN69" s="213"/>
      <c r="AO69" s="411">
        <v>46113</v>
      </c>
      <c r="AP69" s="412"/>
      <c r="AQ69" s="412"/>
      <c r="AR69" s="412"/>
      <c r="AS69" s="412"/>
      <c r="AT69" s="412"/>
      <c r="AU69" s="412"/>
      <c r="AV69" s="412"/>
      <c r="AW69" s="413"/>
      <c r="AX69" s="411">
        <v>46143</v>
      </c>
      <c r="AY69" s="412"/>
      <c r="AZ69" s="412"/>
      <c r="BA69" s="412"/>
      <c r="BB69" s="412"/>
      <c r="BC69" s="412"/>
      <c r="BD69" s="412"/>
      <c r="BE69" s="412"/>
      <c r="BF69" s="413"/>
      <c r="BG69" s="411">
        <v>46174</v>
      </c>
      <c r="BH69" s="412"/>
      <c r="BI69" s="412"/>
      <c r="BJ69" s="412"/>
      <c r="BK69" s="412"/>
      <c r="BL69" s="412"/>
      <c r="BM69" s="412"/>
      <c r="BN69" s="412"/>
      <c r="BO69" s="413"/>
      <c r="BP69" s="417" t="s">
        <v>374</v>
      </c>
      <c r="BQ69" s="418"/>
      <c r="BR69" s="419"/>
      <c r="BT69" s="213"/>
      <c r="BU69" s="411">
        <v>46204</v>
      </c>
      <c r="BV69" s="412"/>
      <c r="BW69" s="412"/>
      <c r="BX69" s="412"/>
      <c r="BY69" s="412"/>
      <c r="BZ69" s="412"/>
      <c r="CA69" s="412"/>
      <c r="CB69" s="412"/>
      <c r="CC69" s="413"/>
      <c r="CD69" s="411">
        <v>46235</v>
      </c>
      <c r="CE69" s="412"/>
      <c r="CF69" s="412"/>
      <c r="CG69" s="412"/>
      <c r="CH69" s="412"/>
      <c r="CI69" s="412"/>
      <c r="CJ69" s="412"/>
      <c r="CK69" s="412"/>
      <c r="CL69" s="413"/>
      <c r="CM69" s="411">
        <v>46266</v>
      </c>
      <c r="CN69" s="412"/>
      <c r="CO69" s="412"/>
      <c r="CP69" s="412"/>
      <c r="CQ69" s="412"/>
      <c r="CR69" s="412"/>
      <c r="CS69" s="412"/>
      <c r="CT69" s="412"/>
      <c r="CU69" s="413"/>
      <c r="CV69" s="417" t="s">
        <v>375</v>
      </c>
      <c r="CW69" s="418"/>
      <c r="CX69" s="419"/>
      <c r="CY69" s="355"/>
      <c r="CZ69" s="355"/>
      <c r="DA69" s="411">
        <v>46296</v>
      </c>
      <c r="DB69" s="412"/>
      <c r="DC69" s="412"/>
      <c r="DD69" s="412"/>
      <c r="DE69" s="412"/>
      <c r="DF69" s="412"/>
      <c r="DG69" s="412"/>
      <c r="DH69" s="412"/>
      <c r="DI69" s="413"/>
      <c r="DJ69" s="411">
        <v>46327</v>
      </c>
      <c r="DK69" s="412"/>
      <c r="DL69" s="412"/>
      <c r="DM69" s="412"/>
      <c r="DN69" s="412"/>
      <c r="DO69" s="412"/>
      <c r="DP69" s="412"/>
      <c r="DQ69" s="412"/>
      <c r="DR69" s="413"/>
      <c r="DS69" s="411">
        <v>46357</v>
      </c>
      <c r="DT69" s="412"/>
      <c r="DU69" s="412"/>
      <c r="DV69" s="412"/>
      <c r="DW69" s="412"/>
      <c r="DX69" s="412"/>
      <c r="DY69" s="412"/>
      <c r="DZ69" s="412"/>
      <c r="EA69" s="413"/>
      <c r="EB69" s="417" t="s">
        <v>446</v>
      </c>
      <c r="EC69" s="418"/>
      <c r="ED69" s="419"/>
    </row>
    <row r="70" spans="1:134" ht="25.15" customHeight="1" thickBot="1" x14ac:dyDescent="0.3">
      <c r="A70" s="213"/>
      <c r="B70" s="213"/>
      <c r="C70" s="213"/>
      <c r="D70" s="213"/>
      <c r="E70" s="213"/>
      <c r="F70" s="213"/>
      <c r="I70" s="438">
        <f>J4*H7</f>
        <v>9842.78352651983</v>
      </c>
      <c r="J70" s="439"/>
      <c r="K70" s="440">
        <v>10</v>
      </c>
      <c r="L70" s="440"/>
      <c r="M70" s="441">
        <v>20</v>
      </c>
      <c r="N70" s="441"/>
      <c r="O70" s="441">
        <v>30</v>
      </c>
      <c r="P70" s="441"/>
      <c r="Q70" s="271" t="s">
        <v>349</v>
      </c>
      <c r="R70" s="438">
        <f>J4*H7</f>
        <v>9842.78352651983</v>
      </c>
      <c r="S70" s="439"/>
      <c r="T70" s="440">
        <v>10</v>
      </c>
      <c r="U70" s="440"/>
      <c r="V70" s="441">
        <v>20</v>
      </c>
      <c r="W70" s="441"/>
      <c r="X70" s="441">
        <v>30</v>
      </c>
      <c r="Y70" s="441"/>
      <c r="Z70" s="238" t="s">
        <v>349</v>
      </c>
      <c r="AA70" s="442">
        <f>J4*H7</f>
        <v>9842.78352651983</v>
      </c>
      <c r="AB70" s="443"/>
      <c r="AC70" s="436">
        <v>10</v>
      </c>
      <c r="AD70" s="437"/>
      <c r="AE70" s="410">
        <v>20</v>
      </c>
      <c r="AF70" s="410"/>
      <c r="AG70" s="410">
        <v>30</v>
      </c>
      <c r="AH70" s="410"/>
      <c r="AI70" s="272" t="s">
        <v>349</v>
      </c>
      <c r="AJ70" s="252" t="s">
        <v>119</v>
      </c>
      <c r="AK70" s="243" t="s">
        <v>159</v>
      </c>
      <c r="AL70" s="260" t="s">
        <v>110</v>
      </c>
      <c r="AO70" s="415"/>
      <c r="AP70" s="416"/>
      <c r="AQ70" s="414">
        <v>10</v>
      </c>
      <c r="AR70" s="414"/>
      <c r="AS70" s="414">
        <v>20</v>
      </c>
      <c r="AT70" s="414"/>
      <c r="AU70" s="414">
        <v>30</v>
      </c>
      <c r="AV70" s="414"/>
      <c r="AW70" s="356" t="s">
        <v>110</v>
      </c>
      <c r="AX70" s="415"/>
      <c r="AY70" s="416"/>
      <c r="AZ70" s="414">
        <v>10</v>
      </c>
      <c r="BA70" s="414"/>
      <c r="BB70" s="414">
        <v>20</v>
      </c>
      <c r="BC70" s="414"/>
      <c r="BD70" s="414">
        <v>31</v>
      </c>
      <c r="BE70" s="414"/>
      <c r="BF70" s="356" t="s">
        <v>110</v>
      </c>
      <c r="BG70" s="415"/>
      <c r="BH70" s="416"/>
      <c r="BI70" s="414">
        <v>10</v>
      </c>
      <c r="BJ70" s="414"/>
      <c r="BK70" s="414">
        <v>20</v>
      </c>
      <c r="BL70" s="414"/>
      <c r="BM70" s="414">
        <v>30</v>
      </c>
      <c r="BN70" s="414"/>
      <c r="BO70" s="356" t="s">
        <v>110</v>
      </c>
      <c r="BP70" s="357" t="s">
        <v>119</v>
      </c>
      <c r="BQ70" s="358" t="s">
        <v>159</v>
      </c>
      <c r="BR70" s="359" t="s">
        <v>110</v>
      </c>
      <c r="BU70" s="408"/>
      <c r="BV70" s="409"/>
      <c r="BW70" s="407">
        <v>10</v>
      </c>
      <c r="BX70" s="407"/>
      <c r="BY70" s="407">
        <v>20</v>
      </c>
      <c r="BZ70" s="407"/>
      <c r="CA70" s="407">
        <v>30</v>
      </c>
      <c r="CB70" s="407"/>
      <c r="CC70" s="242" t="s">
        <v>110</v>
      </c>
      <c r="CD70" s="408"/>
      <c r="CE70" s="409"/>
      <c r="CF70" s="407">
        <v>10</v>
      </c>
      <c r="CG70" s="407"/>
      <c r="CH70" s="407">
        <v>20</v>
      </c>
      <c r="CI70" s="407"/>
      <c r="CJ70" s="407">
        <v>30</v>
      </c>
      <c r="CK70" s="407"/>
      <c r="CL70" s="242" t="s">
        <v>110</v>
      </c>
      <c r="CM70" s="408"/>
      <c r="CN70" s="409"/>
      <c r="CO70" s="407">
        <v>10</v>
      </c>
      <c r="CP70" s="407"/>
      <c r="CQ70" s="407">
        <v>20</v>
      </c>
      <c r="CR70" s="407"/>
      <c r="CS70" s="407">
        <v>30</v>
      </c>
      <c r="CT70" s="407"/>
      <c r="CU70" s="242" t="s">
        <v>110</v>
      </c>
      <c r="CV70" s="357" t="s">
        <v>119</v>
      </c>
      <c r="CW70" s="358" t="s">
        <v>159</v>
      </c>
      <c r="CX70" s="359" t="s">
        <v>110</v>
      </c>
      <c r="CY70" s="355"/>
      <c r="CZ70" s="355"/>
      <c r="DA70" s="408"/>
      <c r="DB70" s="409"/>
      <c r="DC70" s="407">
        <v>10</v>
      </c>
      <c r="DD70" s="407"/>
      <c r="DE70" s="407">
        <v>20</v>
      </c>
      <c r="DF70" s="407"/>
      <c r="DG70" s="407">
        <v>30</v>
      </c>
      <c r="DH70" s="407"/>
      <c r="DI70" s="242" t="s">
        <v>110</v>
      </c>
      <c r="DJ70" s="408"/>
      <c r="DK70" s="409"/>
      <c r="DL70" s="407">
        <v>10</v>
      </c>
      <c r="DM70" s="407"/>
      <c r="DN70" s="407">
        <v>20</v>
      </c>
      <c r="DO70" s="407"/>
      <c r="DP70" s="407">
        <v>30</v>
      </c>
      <c r="DQ70" s="407"/>
      <c r="DR70" s="242" t="s">
        <v>110</v>
      </c>
      <c r="DS70" s="408"/>
      <c r="DT70" s="409"/>
      <c r="DU70" s="407">
        <v>10</v>
      </c>
      <c r="DV70" s="407"/>
      <c r="DW70" s="407">
        <v>20</v>
      </c>
      <c r="DX70" s="407"/>
      <c r="DY70" s="407">
        <v>30</v>
      </c>
      <c r="DZ70" s="407"/>
      <c r="EA70" s="242" t="s">
        <v>110</v>
      </c>
      <c r="EB70" s="357" t="s">
        <v>119</v>
      </c>
      <c r="EC70" s="358" t="s">
        <v>159</v>
      </c>
      <c r="ED70" s="359" t="s">
        <v>110</v>
      </c>
    </row>
    <row r="71" spans="1:134" s="213" customFormat="1" ht="30" customHeight="1" x14ac:dyDescent="0.25">
      <c r="A71" s="243" t="s">
        <v>158</v>
      </c>
      <c r="B71" s="243" t="s">
        <v>157</v>
      </c>
      <c r="C71" s="243" t="s">
        <v>156</v>
      </c>
      <c r="D71" s="431" t="s">
        <v>155</v>
      </c>
      <c r="E71" s="432"/>
      <c r="F71" s="243" t="s">
        <v>153</v>
      </c>
      <c r="G71" s="243" t="s">
        <v>267</v>
      </c>
      <c r="H71" s="214" t="s">
        <v>266</v>
      </c>
      <c r="I71" s="244" t="s">
        <v>152</v>
      </c>
      <c r="J71" s="245" t="s">
        <v>348</v>
      </c>
      <c r="K71" s="245" t="s">
        <v>152</v>
      </c>
      <c r="L71" s="245" t="s">
        <v>348</v>
      </c>
      <c r="M71" s="245" t="s">
        <v>152</v>
      </c>
      <c r="N71" s="245" t="s">
        <v>348</v>
      </c>
      <c r="O71" s="245" t="s">
        <v>152</v>
      </c>
      <c r="P71" s="245" t="s">
        <v>348</v>
      </c>
      <c r="Q71" s="236" t="s">
        <v>348</v>
      </c>
      <c r="R71" s="235" t="s">
        <v>152</v>
      </c>
      <c r="S71" s="236" t="s">
        <v>348</v>
      </c>
      <c r="T71" s="245" t="s">
        <v>152</v>
      </c>
      <c r="U71" s="245" t="s">
        <v>348</v>
      </c>
      <c r="V71" s="245" t="s">
        <v>152</v>
      </c>
      <c r="W71" s="245" t="s">
        <v>348</v>
      </c>
      <c r="X71" s="245" t="s">
        <v>152</v>
      </c>
      <c r="Y71" s="245" t="s">
        <v>348</v>
      </c>
      <c r="Z71" s="236" t="s">
        <v>348</v>
      </c>
      <c r="AA71" s="235" t="s">
        <v>152</v>
      </c>
      <c r="AB71" s="236" t="s">
        <v>348</v>
      </c>
      <c r="AC71" s="243" t="s">
        <v>152</v>
      </c>
      <c r="AD71" s="243" t="s">
        <v>348</v>
      </c>
      <c r="AE71" s="243" t="s">
        <v>152</v>
      </c>
      <c r="AF71" s="243" t="s">
        <v>348</v>
      </c>
      <c r="AG71" s="243" t="s">
        <v>152</v>
      </c>
      <c r="AH71" s="243" t="s">
        <v>348</v>
      </c>
      <c r="AI71" s="236" t="s">
        <v>348</v>
      </c>
      <c r="AJ71" s="236" t="s">
        <v>348</v>
      </c>
      <c r="AK71" s="236" t="s">
        <v>348</v>
      </c>
      <c r="AL71" s="260"/>
      <c r="AN71" s="243" t="s">
        <v>267</v>
      </c>
      <c r="AO71" s="352" t="s">
        <v>265</v>
      </c>
      <c r="AP71" s="353" t="s">
        <v>152</v>
      </c>
      <c r="AQ71" s="353" t="s">
        <v>152</v>
      </c>
      <c r="AR71" s="353" t="s">
        <v>376</v>
      </c>
      <c r="AS71" s="353" t="s">
        <v>152</v>
      </c>
      <c r="AT71" s="353" t="s">
        <v>376</v>
      </c>
      <c r="AU71" s="353" t="s">
        <v>152</v>
      </c>
      <c r="AV71" s="353" t="s">
        <v>376</v>
      </c>
      <c r="AW71" s="354" t="s">
        <v>152</v>
      </c>
      <c r="AX71" s="352" t="s">
        <v>265</v>
      </c>
      <c r="AY71" s="353" t="s">
        <v>152</v>
      </c>
      <c r="AZ71" s="353" t="s">
        <v>152</v>
      </c>
      <c r="BA71" s="353" t="s">
        <v>376</v>
      </c>
      <c r="BB71" s="353" t="s">
        <v>152</v>
      </c>
      <c r="BC71" s="353" t="s">
        <v>376</v>
      </c>
      <c r="BD71" s="353" t="s">
        <v>152</v>
      </c>
      <c r="BE71" s="353" t="s">
        <v>376</v>
      </c>
      <c r="BF71" s="354" t="s">
        <v>152</v>
      </c>
      <c r="BG71" s="352" t="s">
        <v>265</v>
      </c>
      <c r="BH71" s="353" t="s">
        <v>152</v>
      </c>
      <c r="BI71" s="353" t="s">
        <v>152</v>
      </c>
      <c r="BJ71" s="353" t="s">
        <v>376</v>
      </c>
      <c r="BK71" s="353" t="s">
        <v>152</v>
      </c>
      <c r="BL71" s="353" t="s">
        <v>376</v>
      </c>
      <c r="BM71" s="353" t="s">
        <v>152</v>
      </c>
      <c r="BN71" s="353" t="s">
        <v>376</v>
      </c>
      <c r="BO71" s="354" t="s">
        <v>152</v>
      </c>
      <c r="BP71" s="352" t="s">
        <v>152</v>
      </c>
      <c r="BQ71" s="353" t="s">
        <v>152</v>
      </c>
      <c r="BR71" s="354" t="s">
        <v>152</v>
      </c>
      <c r="BT71" s="243" t="s">
        <v>267</v>
      </c>
      <c r="BU71" s="352" t="s">
        <v>265</v>
      </c>
      <c r="BV71" s="353" t="s">
        <v>152</v>
      </c>
      <c r="BW71" s="353" t="s">
        <v>152</v>
      </c>
      <c r="BX71" s="353" t="s">
        <v>376</v>
      </c>
      <c r="BY71" s="353" t="s">
        <v>152</v>
      </c>
      <c r="BZ71" s="353" t="s">
        <v>376</v>
      </c>
      <c r="CA71" s="353" t="s">
        <v>152</v>
      </c>
      <c r="CB71" s="353" t="s">
        <v>376</v>
      </c>
      <c r="CC71" s="354" t="s">
        <v>152</v>
      </c>
      <c r="CD71" s="352" t="s">
        <v>265</v>
      </c>
      <c r="CE71" s="353" t="s">
        <v>152</v>
      </c>
      <c r="CF71" s="353" t="s">
        <v>152</v>
      </c>
      <c r="CG71" s="353" t="s">
        <v>376</v>
      </c>
      <c r="CH71" s="353" t="s">
        <v>152</v>
      </c>
      <c r="CI71" s="353" t="s">
        <v>376</v>
      </c>
      <c r="CJ71" s="353" t="s">
        <v>152</v>
      </c>
      <c r="CK71" s="353" t="s">
        <v>376</v>
      </c>
      <c r="CL71" s="354" t="s">
        <v>152</v>
      </c>
      <c r="CM71" s="352" t="s">
        <v>265</v>
      </c>
      <c r="CN71" s="353" t="s">
        <v>152</v>
      </c>
      <c r="CO71" s="353" t="s">
        <v>152</v>
      </c>
      <c r="CP71" s="353" t="s">
        <v>376</v>
      </c>
      <c r="CQ71" s="353" t="s">
        <v>152</v>
      </c>
      <c r="CR71" s="353" t="s">
        <v>376</v>
      </c>
      <c r="CS71" s="353" t="s">
        <v>152</v>
      </c>
      <c r="CT71" s="353" t="s">
        <v>376</v>
      </c>
      <c r="CU71" s="354" t="s">
        <v>152</v>
      </c>
      <c r="CV71" s="352" t="s">
        <v>152</v>
      </c>
      <c r="CW71" s="353" t="s">
        <v>152</v>
      </c>
      <c r="CX71" s="354" t="s">
        <v>152</v>
      </c>
      <c r="CY71" s="360"/>
      <c r="CZ71" s="361" t="s">
        <v>267</v>
      </c>
      <c r="DA71" s="352" t="s">
        <v>265</v>
      </c>
      <c r="DB71" s="353" t="s">
        <v>152</v>
      </c>
      <c r="DC71" s="353" t="s">
        <v>152</v>
      </c>
      <c r="DD71" s="353" t="s">
        <v>376</v>
      </c>
      <c r="DE71" s="353" t="s">
        <v>152</v>
      </c>
      <c r="DF71" s="353" t="s">
        <v>376</v>
      </c>
      <c r="DG71" s="353" t="s">
        <v>152</v>
      </c>
      <c r="DH71" s="353" t="s">
        <v>376</v>
      </c>
      <c r="DI71" s="354" t="s">
        <v>152</v>
      </c>
      <c r="DJ71" s="352" t="s">
        <v>265</v>
      </c>
      <c r="DK71" s="353" t="s">
        <v>152</v>
      </c>
      <c r="DL71" s="353" t="s">
        <v>152</v>
      </c>
      <c r="DM71" s="353" t="s">
        <v>376</v>
      </c>
      <c r="DN71" s="353" t="s">
        <v>152</v>
      </c>
      <c r="DO71" s="353" t="s">
        <v>376</v>
      </c>
      <c r="DP71" s="353" t="s">
        <v>152</v>
      </c>
      <c r="DQ71" s="353" t="s">
        <v>376</v>
      </c>
      <c r="DR71" s="354" t="s">
        <v>152</v>
      </c>
      <c r="DS71" s="352" t="s">
        <v>265</v>
      </c>
      <c r="DT71" s="353" t="s">
        <v>152</v>
      </c>
      <c r="DU71" s="353" t="s">
        <v>152</v>
      </c>
      <c r="DV71" s="353" t="s">
        <v>376</v>
      </c>
      <c r="DW71" s="353" t="s">
        <v>152</v>
      </c>
      <c r="DX71" s="353" t="s">
        <v>376</v>
      </c>
      <c r="DY71" s="353" t="s">
        <v>152</v>
      </c>
      <c r="DZ71" s="353" t="s">
        <v>376</v>
      </c>
      <c r="EA71" s="354" t="s">
        <v>152</v>
      </c>
      <c r="EB71" s="362" t="s">
        <v>152</v>
      </c>
      <c r="EC71" s="363" t="s">
        <v>152</v>
      </c>
      <c r="ED71" s="354" t="s">
        <v>152</v>
      </c>
    </row>
    <row r="72" spans="1:134" s="213" customFormat="1" ht="30" customHeight="1" x14ac:dyDescent="0.25">
      <c r="A72" s="247">
        <v>1</v>
      </c>
      <c r="B72" s="248" t="s">
        <v>277</v>
      </c>
      <c r="C72" s="248" t="s">
        <v>456</v>
      </c>
      <c r="D72" s="248" t="s">
        <v>41</v>
      </c>
      <c r="E72" s="268" t="s">
        <v>353</v>
      </c>
      <c r="F72" s="250" t="s">
        <v>164</v>
      </c>
      <c r="G72" s="364">
        <v>0.117039182837089</v>
      </c>
      <c r="H72" s="214"/>
      <c r="I72" s="252">
        <v>1544.1696280761919</v>
      </c>
      <c r="J72" s="243">
        <v>1151.9913407862462</v>
      </c>
      <c r="K72" s="250">
        <v>0</v>
      </c>
      <c r="L72" s="250">
        <v>0</v>
      </c>
      <c r="M72" s="250">
        <f>'FUS-Working'!BW51</f>
        <v>0</v>
      </c>
      <c r="N72" s="250">
        <f>'FUS-Working'!BX51</f>
        <v>0</v>
      </c>
      <c r="O72" s="250">
        <f>'FUS-Working'!DG51</f>
        <v>880</v>
      </c>
      <c r="P72" s="250">
        <f>'FUS-Working'!DH51</f>
        <v>779.2</v>
      </c>
      <c r="Q72" s="255">
        <f>IFERROR((P72/J72),0)</f>
        <v>0.67639397312499583</v>
      </c>
      <c r="R72" s="252">
        <v>1544.1696280761919</v>
      </c>
      <c r="S72" s="243">
        <v>1151.9913407862462</v>
      </c>
      <c r="T72" s="250">
        <f>'FUS-Working'!DG123</f>
        <v>2700</v>
      </c>
      <c r="U72" s="250">
        <f>'FUS-Working'!DH123</f>
        <v>1944</v>
      </c>
      <c r="V72" s="250">
        <f>'FUS-Working'!DG123</f>
        <v>2700</v>
      </c>
      <c r="W72" s="250">
        <f>'FUS-Working'!DH123</f>
        <v>1944</v>
      </c>
      <c r="X72" s="250">
        <f>'FUS-Working'!DG123</f>
        <v>2700</v>
      </c>
      <c r="Y72" s="250">
        <f>'FUS-Working'!DH123</f>
        <v>1944</v>
      </c>
      <c r="Z72" s="255">
        <f t="shared" ref="Z72:Z85" si="104">IFERROR((X72/S72),0)</f>
        <v>2.3437676173479063</v>
      </c>
      <c r="AA72" s="252">
        <v>1544.1696280761919</v>
      </c>
      <c r="AB72" s="243">
        <v>1151.9913407862462</v>
      </c>
      <c r="AC72" s="250">
        <f>'FUS-Working'!AP194</f>
        <v>1260</v>
      </c>
      <c r="AD72" s="250">
        <f>'FUS-Working'!AQ194</f>
        <v>1108.8</v>
      </c>
      <c r="AE72" s="250">
        <f>'FUS-Working'!BW194</f>
        <v>1260</v>
      </c>
      <c r="AF72" s="250">
        <f>'FUS-Working'!BX194</f>
        <v>1108.8</v>
      </c>
      <c r="AG72" s="250">
        <f>'FUS-Working'!DG194</f>
        <v>1260</v>
      </c>
      <c r="AH72" s="250">
        <f>'FUS-Working'!DH194</f>
        <v>1108.8</v>
      </c>
      <c r="AI72" s="255">
        <f>IFERROR((AH72/AB72),0)</f>
        <v>0.96250723485754008</v>
      </c>
      <c r="AJ72" s="256">
        <f t="shared" ref="AJ72" si="105">+AB72+S72+J72</f>
        <v>3455.9740223587387</v>
      </c>
      <c r="AK72" s="253">
        <f>P72+Y72+AH72</f>
        <v>3832</v>
      </c>
      <c r="AL72" s="255">
        <f t="shared" ref="AL72:AL85" si="106">IFERROR((AK72/AJ72),0)</f>
        <v>1.1088046308243427</v>
      </c>
      <c r="AN72" s="251"/>
      <c r="AO72" s="252"/>
      <c r="AP72" s="243"/>
      <c r="AQ72" s="250"/>
      <c r="AR72" s="250"/>
      <c r="AS72" s="250"/>
      <c r="AT72" s="250"/>
      <c r="AU72" s="250"/>
      <c r="AV72" s="250"/>
      <c r="AW72" s="255">
        <f t="shared" ref="AW72:AW85" si="107">IFERROR((AU72/AP72),0)</f>
        <v>0</v>
      </c>
      <c r="AX72" s="252"/>
      <c r="AY72" s="243"/>
      <c r="AZ72" s="250"/>
      <c r="BA72" s="250"/>
      <c r="BB72" s="250"/>
      <c r="BC72" s="250"/>
      <c r="BD72" s="250"/>
      <c r="BE72" s="250"/>
      <c r="BF72" s="255">
        <f t="shared" ref="BF72:BF85" si="108">IFERROR((BD72/AY72),0)</f>
        <v>0</v>
      </c>
      <c r="BG72" s="252"/>
      <c r="BH72" s="243"/>
      <c r="BI72" s="250"/>
      <c r="BJ72" s="250"/>
      <c r="BK72" s="250"/>
      <c r="BL72" s="250"/>
      <c r="BM72" s="250"/>
      <c r="BN72" s="250"/>
      <c r="BO72" s="255">
        <f t="shared" ref="BO72:BO85" si="109">IFERROR((BM72/BH72),0)</f>
        <v>0</v>
      </c>
      <c r="BP72" s="256">
        <f t="shared" ref="BP72:BP85" si="110">+BH72+AY72+AP72</f>
        <v>0</v>
      </c>
      <c r="BQ72" s="253">
        <f t="shared" ref="BQ72:BQ85" si="111">+BM72+BD72+AU72</f>
        <v>0</v>
      </c>
      <c r="BR72" s="255">
        <f t="shared" ref="BR72:BR85" si="112">IFERROR((BQ72/BP72),0)</f>
        <v>0</v>
      </c>
      <c r="BT72" s="251"/>
      <c r="BU72" s="254"/>
      <c r="BV72" s="250"/>
      <c r="BW72" s="250"/>
      <c r="BX72" s="250"/>
      <c r="BY72" s="250"/>
      <c r="BZ72" s="250"/>
      <c r="CA72" s="250"/>
      <c r="CB72" s="250"/>
      <c r="CC72" s="255">
        <f t="shared" ref="CC72:CC85" si="113">IFERROR((CA72/BV72),0)</f>
        <v>0</v>
      </c>
      <c r="CD72" s="254"/>
      <c r="CE72" s="250"/>
      <c r="CF72" s="250"/>
      <c r="CG72" s="250"/>
      <c r="CH72" s="250"/>
      <c r="CI72" s="250"/>
      <c r="CJ72" s="250"/>
      <c r="CK72" s="250"/>
      <c r="CL72" s="255">
        <f t="shared" ref="CL72:CL85" si="114">IFERROR((CJ72/CE72),0)</f>
        <v>0</v>
      </c>
      <c r="CM72" s="254"/>
      <c r="CN72" s="250"/>
      <c r="CO72" s="250"/>
      <c r="CP72" s="250"/>
      <c r="CQ72" s="250"/>
      <c r="CR72" s="250"/>
      <c r="CS72" s="250"/>
      <c r="CT72" s="250"/>
      <c r="CU72" s="255">
        <f t="shared" ref="CU72:CU85" si="115">IFERROR((CS72/CN72),0)</f>
        <v>0</v>
      </c>
      <c r="CV72" s="256">
        <f t="shared" ref="CV72:CV85" si="116">+CN72+CE72+BV72</f>
        <v>0</v>
      </c>
      <c r="CW72" s="253">
        <f t="shared" ref="CW72:CW85" si="117">+CS72+CJ72+CA72</f>
        <v>0</v>
      </c>
      <c r="CX72" s="255">
        <f t="shared" ref="CX72:CX85" si="118">IFERROR((CW72/CV72),0)</f>
        <v>0</v>
      </c>
      <c r="CZ72" s="251"/>
      <c r="DA72" s="252"/>
      <c r="DB72" s="243"/>
      <c r="DC72" s="250"/>
      <c r="DD72" s="250"/>
      <c r="DE72" s="250"/>
      <c r="DF72" s="250"/>
      <c r="DG72" s="250"/>
      <c r="DH72" s="250"/>
      <c r="DI72" s="255">
        <f t="shared" ref="DI72:DI85" si="119">IFERROR((DG72/DB72),0)</f>
        <v>0</v>
      </c>
      <c r="DJ72" s="252"/>
      <c r="DK72" s="243"/>
      <c r="DL72" s="250"/>
      <c r="DM72" s="250"/>
      <c r="DN72" s="250"/>
      <c r="DO72" s="250"/>
      <c r="DP72" s="250"/>
      <c r="DQ72" s="250"/>
      <c r="DR72" s="255">
        <f t="shared" ref="DR72:DR85" si="120">IFERROR((DP72/DK72),0)</f>
        <v>0</v>
      </c>
      <c r="DS72" s="252"/>
      <c r="DT72" s="243"/>
      <c r="DU72" s="250"/>
      <c r="DV72" s="250"/>
      <c r="DW72" s="250"/>
      <c r="DX72" s="250"/>
      <c r="DY72" s="250"/>
      <c r="DZ72" s="250"/>
      <c r="EA72" s="255">
        <f t="shared" ref="EA72:EA85" si="121">IFERROR((DY72/DT72),0)</f>
        <v>0</v>
      </c>
      <c r="EB72" s="256">
        <f t="shared" ref="EB72:EB85" si="122">+DT72+DK72+DB72</f>
        <v>0</v>
      </c>
      <c r="EC72" s="253">
        <f t="shared" ref="EC72:EC85" si="123">+DY72+DP72+DG72</f>
        <v>0</v>
      </c>
      <c r="ED72" s="255">
        <f t="shared" ref="ED72:ED85" si="124">IFERROR((EC72/EB72),0)</f>
        <v>0</v>
      </c>
    </row>
    <row r="73" spans="1:134" s="213" customFormat="1" ht="30" customHeight="1" x14ac:dyDescent="0.25">
      <c r="A73" s="247">
        <v>2</v>
      </c>
      <c r="B73" s="248" t="s">
        <v>105</v>
      </c>
      <c r="C73" s="248" t="s">
        <v>104</v>
      </c>
      <c r="D73" s="248" t="s">
        <v>41</v>
      </c>
      <c r="E73" s="268" t="s">
        <v>400</v>
      </c>
      <c r="F73" s="250" t="s">
        <v>164</v>
      </c>
      <c r="G73" s="364">
        <v>0.104118863783991</v>
      </c>
      <c r="H73" s="214"/>
      <c r="I73" s="252">
        <v>1373.7039448475327</v>
      </c>
      <c r="J73" s="243">
        <v>1024.8194372530309</v>
      </c>
      <c r="K73" s="250">
        <v>0</v>
      </c>
      <c r="L73" s="250">
        <v>0</v>
      </c>
      <c r="M73" s="250">
        <f>'FUS-Working'!BW52</f>
        <v>0</v>
      </c>
      <c r="N73" s="250">
        <f>'FUS-Working'!BX52</f>
        <v>0</v>
      </c>
      <c r="O73" s="250">
        <f>'FUS-Working'!DG52</f>
        <v>0</v>
      </c>
      <c r="P73" s="250">
        <f>'FUS-Working'!DH52</f>
        <v>0</v>
      </c>
      <c r="Q73" s="255">
        <f t="shared" ref="Q73:Q85" si="125">IFERROR((P73/J73),0)</f>
        <v>0</v>
      </c>
      <c r="R73" s="252">
        <v>1373.7039448475327</v>
      </c>
      <c r="S73" s="243">
        <v>1024.8194372530309</v>
      </c>
      <c r="T73" s="250">
        <f>'FUS-Working'!DG124</f>
        <v>0</v>
      </c>
      <c r="U73" s="250">
        <f>'FUS-Working'!DH124</f>
        <v>0</v>
      </c>
      <c r="V73" s="250">
        <f>'FUS-Working'!DG124</f>
        <v>0</v>
      </c>
      <c r="W73" s="250">
        <f>'FUS-Working'!DH124</f>
        <v>0</v>
      </c>
      <c r="X73" s="250">
        <f>'FUS-Working'!DG124</f>
        <v>0</v>
      </c>
      <c r="Y73" s="250">
        <f>'FUS-Working'!DH124</f>
        <v>0</v>
      </c>
      <c r="Z73" s="255">
        <f t="shared" si="104"/>
        <v>0</v>
      </c>
      <c r="AA73" s="252">
        <v>1373.7039448475327</v>
      </c>
      <c r="AB73" s="243">
        <v>1024.8194372530309</v>
      </c>
      <c r="AC73" s="250">
        <f>'FUS-Working'!AP195</f>
        <v>0</v>
      </c>
      <c r="AD73" s="250">
        <f>'FUS-Working'!AQ195</f>
        <v>0</v>
      </c>
      <c r="AE73" s="250">
        <f>'FUS-Working'!BW195</f>
        <v>0</v>
      </c>
      <c r="AF73" s="250">
        <f>'FUS-Working'!BX195</f>
        <v>0</v>
      </c>
      <c r="AG73" s="250">
        <f>'FUS-Working'!DG195</f>
        <v>0</v>
      </c>
      <c r="AH73" s="250">
        <f>'FUS-Working'!DH195</f>
        <v>0</v>
      </c>
      <c r="AI73" s="255">
        <f t="shared" ref="AI73:AI85" si="126">IFERROR((AH73/AB73),0)</f>
        <v>0</v>
      </c>
      <c r="AJ73" s="256">
        <f t="shared" ref="AJ73:AJ85" si="127">+AB73+S73+J73</f>
        <v>3074.4583117590928</v>
      </c>
      <c r="AK73" s="253">
        <f t="shared" ref="AK73:AK85" si="128">P73+Y73+AH73</f>
        <v>0</v>
      </c>
      <c r="AL73" s="255">
        <f t="shared" si="106"/>
        <v>0</v>
      </c>
      <c r="AN73" s="251"/>
      <c r="AO73" s="252"/>
      <c r="AP73" s="243"/>
      <c r="AQ73" s="250"/>
      <c r="AR73" s="250"/>
      <c r="AS73" s="250"/>
      <c r="AT73" s="250"/>
      <c r="AU73" s="250"/>
      <c r="AV73" s="250"/>
      <c r="AW73" s="255">
        <f t="shared" si="107"/>
        <v>0</v>
      </c>
      <c r="AX73" s="252"/>
      <c r="AY73" s="243"/>
      <c r="AZ73" s="250"/>
      <c r="BA73" s="250"/>
      <c r="BB73" s="250"/>
      <c r="BC73" s="250"/>
      <c r="BD73" s="250"/>
      <c r="BE73" s="250"/>
      <c r="BF73" s="255">
        <f t="shared" si="108"/>
        <v>0</v>
      </c>
      <c r="BG73" s="252"/>
      <c r="BH73" s="243"/>
      <c r="BI73" s="250"/>
      <c r="BJ73" s="250"/>
      <c r="BK73" s="250"/>
      <c r="BL73" s="250"/>
      <c r="BM73" s="250"/>
      <c r="BN73" s="250"/>
      <c r="BO73" s="255">
        <f t="shared" si="109"/>
        <v>0</v>
      </c>
      <c r="BP73" s="256">
        <f t="shared" si="110"/>
        <v>0</v>
      </c>
      <c r="BQ73" s="253">
        <f t="shared" si="111"/>
        <v>0</v>
      </c>
      <c r="BR73" s="255">
        <f t="shared" si="112"/>
        <v>0</v>
      </c>
      <c r="BT73" s="251"/>
      <c r="BU73" s="254"/>
      <c r="BV73" s="250"/>
      <c r="BW73" s="250"/>
      <c r="BX73" s="250"/>
      <c r="BY73" s="250"/>
      <c r="BZ73" s="250"/>
      <c r="CA73" s="250"/>
      <c r="CB73" s="250"/>
      <c r="CC73" s="255">
        <f t="shared" si="113"/>
        <v>0</v>
      </c>
      <c r="CD73" s="254"/>
      <c r="CE73" s="250"/>
      <c r="CF73" s="250"/>
      <c r="CG73" s="250"/>
      <c r="CH73" s="250"/>
      <c r="CI73" s="250"/>
      <c r="CJ73" s="250"/>
      <c r="CK73" s="250"/>
      <c r="CL73" s="255">
        <f t="shared" si="114"/>
        <v>0</v>
      </c>
      <c r="CM73" s="254"/>
      <c r="CN73" s="250"/>
      <c r="CO73" s="250"/>
      <c r="CP73" s="250"/>
      <c r="CQ73" s="250"/>
      <c r="CR73" s="250"/>
      <c r="CS73" s="250"/>
      <c r="CT73" s="250"/>
      <c r="CU73" s="255">
        <f t="shared" si="115"/>
        <v>0</v>
      </c>
      <c r="CV73" s="256">
        <f t="shared" si="116"/>
        <v>0</v>
      </c>
      <c r="CW73" s="253">
        <f t="shared" si="117"/>
        <v>0</v>
      </c>
      <c r="CX73" s="255">
        <f t="shared" si="118"/>
        <v>0</v>
      </c>
      <c r="CZ73" s="251"/>
      <c r="DA73" s="252"/>
      <c r="DB73" s="243"/>
      <c r="DC73" s="250"/>
      <c r="DD73" s="250"/>
      <c r="DE73" s="250"/>
      <c r="DF73" s="250"/>
      <c r="DG73" s="250"/>
      <c r="DH73" s="250"/>
      <c r="DI73" s="255">
        <f t="shared" si="119"/>
        <v>0</v>
      </c>
      <c r="DJ73" s="252"/>
      <c r="DK73" s="243"/>
      <c r="DL73" s="250"/>
      <c r="DM73" s="250"/>
      <c r="DN73" s="250"/>
      <c r="DO73" s="250"/>
      <c r="DP73" s="250"/>
      <c r="DQ73" s="250"/>
      <c r="DR73" s="255">
        <f t="shared" si="120"/>
        <v>0</v>
      </c>
      <c r="DS73" s="252"/>
      <c r="DT73" s="243"/>
      <c r="DU73" s="250"/>
      <c r="DV73" s="250"/>
      <c r="DW73" s="250"/>
      <c r="DX73" s="250"/>
      <c r="DY73" s="250"/>
      <c r="DZ73" s="250"/>
      <c r="EA73" s="255">
        <f t="shared" si="121"/>
        <v>0</v>
      </c>
      <c r="EB73" s="256">
        <f t="shared" si="122"/>
        <v>0</v>
      </c>
      <c r="EC73" s="253">
        <f t="shared" si="123"/>
        <v>0</v>
      </c>
      <c r="ED73" s="255">
        <f t="shared" si="124"/>
        <v>0</v>
      </c>
    </row>
    <row r="74" spans="1:134" s="213" customFormat="1" ht="30" customHeight="1" x14ac:dyDescent="0.25">
      <c r="A74" s="247">
        <v>3</v>
      </c>
      <c r="B74" s="248" t="s">
        <v>32</v>
      </c>
      <c r="C74" s="248" t="s">
        <v>31</v>
      </c>
      <c r="D74" s="248" t="s">
        <v>41</v>
      </c>
      <c r="E74" s="268" t="s">
        <v>357</v>
      </c>
      <c r="F74" s="250" t="s">
        <v>164</v>
      </c>
      <c r="G74" s="364">
        <v>0.119449925294558</v>
      </c>
      <c r="H74" s="214"/>
      <c r="I74" s="252">
        <v>1575.9760299469049</v>
      </c>
      <c r="J74" s="243">
        <v>1175.7197569332973</v>
      </c>
      <c r="K74" s="250">
        <v>1160</v>
      </c>
      <c r="L74" s="250">
        <v>640</v>
      </c>
      <c r="M74" s="250">
        <f>'FUS-Working'!BW53</f>
        <v>1160</v>
      </c>
      <c r="N74" s="250">
        <f>'FUS-Working'!BX53</f>
        <v>640</v>
      </c>
      <c r="O74" s="250">
        <f>'FUS-Working'!DG53</f>
        <v>2960</v>
      </c>
      <c r="P74" s="250">
        <f>'FUS-Working'!DH53</f>
        <v>2440</v>
      </c>
      <c r="Q74" s="255">
        <f t="shared" si="125"/>
        <v>2.0753244857978768</v>
      </c>
      <c r="R74" s="252">
        <v>1575.9760299469049</v>
      </c>
      <c r="S74" s="243">
        <v>1175.7197569332973</v>
      </c>
      <c r="T74" s="250">
        <f>'FUS-Working'!DG125</f>
        <v>600</v>
      </c>
      <c r="U74" s="250">
        <f>'FUS-Working'!DH125</f>
        <v>600</v>
      </c>
      <c r="V74" s="250">
        <f>'FUS-Working'!DG125</f>
        <v>600</v>
      </c>
      <c r="W74" s="250">
        <f>'FUS-Working'!DH125</f>
        <v>600</v>
      </c>
      <c r="X74" s="250">
        <f>'FUS-Working'!DG125</f>
        <v>600</v>
      </c>
      <c r="Y74" s="250">
        <f>'FUS-Working'!DH125</f>
        <v>600</v>
      </c>
      <c r="Z74" s="255">
        <f t="shared" si="104"/>
        <v>0.51032569322898613</v>
      </c>
      <c r="AA74" s="252">
        <v>1575.9760299469049</v>
      </c>
      <c r="AB74" s="243">
        <v>1175.7197569332973</v>
      </c>
      <c r="AC74" s="250">
        <f>'FUS-Working'!AP196</f>
        <v>0</v>
      </c>
      <c r="AD74" s="250">
        <f>'FUS-Working'!AQ196</f>
        <v>0</v>
      </c>
      <c r="AE74" s="250">
        <f>'FUS-Working'!BW196</f>
        <v>1800</v>
      </c>
      <c r="AF74" s="250">
        <f>'FUS-Working'!BX196</f>
        <v>1800</v>
      </c>
      <c r="AG74" s="250">
        <f>'FUS-Working'!DG196</f>
        <v>1800</v>
      </c>
      <c r="AH74" s="250">
        <f>'FUS-Working'!DH196</f>
        <v>1800</v>
      </c>
      <c r="AI74" s="255">
        <f t="shared" si="126"/>
        <v>1.5309770796869584</v>
      </c>
      <c r="AJ74" s="256">
        <f t="shared" si="127"/>
        <v>3527.1592707998916</v>
      </c>
      <c r="AK74" s="253">
        <f t="shared" si="128"/>
        <v>4840</v>
      </c>
      <c r="AL74" s="255">
        <f t="shared" si="106"/>
        <v>1.3722090862379406</v>
      </c>
      <c r="AN74" s="251"/>
      <c r="AO74" s="252"/>
      <c r="AP74" s="243"/>
      <c r="AQ74" s="250"/>
      <c r="AR74" s="250"/>
      <c r="AS74" s="250"/>
      <c r="AT74" s="250"/>
      <c r="AU74" s="250"/>
      <c r="AV74" s="250"/>
      <c r="AW74" s="255">
        <f t="shared" si="107"/>
        <v>0</v>
      </c>
      <c r="AX74" s="252"/>
      <c r="AY74" s="243"/>
      <c r="AZ74" s="250"/>
      <c r="BA74" s="250"/>
      <c r="BB74" s="250"/>
      <c r="BC74" s="250"/>
      <c r="BD74" s="250"/>
      <c r="BE74" s="250"/>
      <c r="BF74" s="255">
        <f t="shared" si="108"/>
        <v>0</v>
      </c>
      <c r="BG74" s="252"/>
      <c r="BH74" s="243"/>
      <c r="BI74" s="250"/>
      <c r="BJ74" s="250"/>
      <c r="BK74" s="250"/>
      <c r="BL74" s="250"/>
      <c r="BM74" s="250"/>
      <c r="BN74" s="250"/>
      <c r="BO74" s="255">
        <f t="shared" si="109"/>
        <v>0</v>
      </c>
      <c r="BP74" s="256">
        <f t="shared" si="110"/>
        <v>0</v>
      </c>
      <c r="BQ74" s="253">
        <f t="shared" si="111"/>
        <v>0</v>
      </c>
      <c r="BR74" s="255">
        <f t="shared" si="112"/>
        <v>0</v>
      </c>
      <c r="BT74" s="251"/>
      <c r="BU74" s="254"/>
      <c r="BV74" s="250"/>
      <c r="BW74" s="250"/>
      <c r="BX74" s="250"/>
      <c r="BY74" s="250"/>
      <c r="BZ74" s="250"/>
      <c r="CA74" s="250"/>
      <c r="CB74" s="250"/>
      <c r="CC74" s="255">
        <f t="shared" si="113"/>
        <v>0</v>
      </c>
      <c r="CD74" s="254"/>
      <c r="CE74" s="250"/>
      <c r="CF74" s="250"/>
      <c r="CG74" s="250"/>
      <c r="CH74" s="250"/>
      <c r="CI74" s="250"/>
      <c r="CJ74" s="250"/>
      <c r="CK74" s="250"/>
      <c r="CL74" s="255">
        <f t="shared" si="114"/>
        <v>0</v>
      </c>
      <c r="CM74" s="254"/>
      <c r="CN74" s="250"/>
      <c r="CO74" s="250"/>
      <c r="CP74" s="250"/>
      <c r="CQ74" s="250"/>
      <c r="CR74" s="250"/>
      <c r="CS74" s="250"/>
      <c r="CT74" s="250"/>
      <c r="CU74" s="255">
        <f t="shared" si="115"/>
        <v>0</v>
      </c>
      <c r="CV74" s="256">
        <f t="shared" si="116"/>
        <v>0</v>
      </c>
      <c r="CW74" s="253">
        <f t="shared" si="117"/>
        <v>0</v>
      </c>
      <c r="CX74" s="255">
        <f t="shared" si="118"/>
        <v>0</v>
      </c>
      <c r="CZ74" s="251"/>
      <c r="DA74" s="252"/>
      <c r="DB74" s="243"/>
      <c r="DC74" s="250"/>
      <c r="DD74" s="250"/>
      <c r="DE74" s="250"/>
      <c r="DF74" s="250"/>
      <c r="DG74" s="250"/>
      <c r="DH74" s="250"/>
      <c r="DI74" s="255">
        <f t="shared" si="119"/>
        <v>0</v>
      </c>
      <c r="DJ74" s="252"/>
      <c r="DK74" s="243"/>
      <c r="DL74" s="250"/>
      <c r="DM74" s="250"/>
      <c r="DN74" s="250"/>
      <c r="DO74" s="250"/>
      <c r="DP74" s="250"/>
      <c r="DQ74" s="250"/>
      <c r="DR74" s="255">
        <f t="shared" si="120"/>
        <v>0</v>
      </c>
      <c r="DS74" s="252"/>
      <c r="DT74" s="243"/>
      <c r="DU74" s="250"/>
      <c r="DV74" s="250"/>
      <c r="DW74" s="250"/>
      <c r="DX74" s="250"/>
      <c r="DY74" s="250"/>
      <c r="DZ74" s="250"/>
      <c r="EA74" s="255">
        <f t="shared" si="121"/>
        <v>0</v>
      </c>
      <c r="EB74" s="256">
        <f t="shared" si="122"/>
        <v>0</v>
      </c>
      <c r="EC74" s="253">
        <f t="shared" si="123"/>
        <v>0</v>
      </c>
      <c r="ED74" s="255">
        <f t="shared" si="124"/>
        <v>0</v>
      </c>
    </row>
    <row r="75" spans="1:134" s="213" customFormat="1" ht="30" customHeight="1" x14ac:dyDescent="0.25">
      <c r="A75" s="247">
        <v>4</v>
      </c>
      <c r="B75" s="248" t="s">
        <v>281</v>
      </c>
      <c r="C75" s="248" t="s">
        <v>280</v>
      </c>
      <c r="D75" s="248" t="s">
        <v>24</v>
      </c>
      <c r="E75" s="268" t="s">
        <v>358</v>
      </c>
      <c r="F75" s="250" t="s">
        <v>164</v>
      </c>
      <c r="G75" s="364">
        <v>9.4247424897691195E-2</v>
      </c>
      <c r="H75" s="214"/>
      <c r="I75" s="252">
        <v>1243.4640051612469</v>
      </c>
      <c r="J75" s="243">
        <v>927.65700119991004</v>
      </c>
      <c r="K75" s="250">
        <v>0</v>
      </c>
      <c r="L75" s="250">
        <v>0</v>
      </c>
      <c r="M75" s="250">
        <f>'FUS-Working'!BW54</f>
        <v>0</v>
      </c>
      <c r="N75" s="250">
        <f>'FUS-Working'!BX54</f>
        <v>0</v>
      </c>
      <c r="O75" s="250">
        <f>'FUS-Working'!DG54</f>
        <v>0</v>
      </c>
      <c r="P75" s="250">
        <f>'FUS-Working'!DH54</f>
        <v>0</v>
      </c>
      <c r="Q75" s="255">
        <f t="shared" si="125"/>
        <v>0</v>
      </c>
      <c r="R75" s="252">
        <v>1243.4640051612469</v>
      </c>
      <c r="S75" s="243">
        <v>927.65700119991004</v>
      </c>
      <c r="T75" s="250">
        <f>'FUS-Working'!DG126</f>
        <v>60</v>
      </c>
      <c r="U75" s="250">
        <f>'FUS-Working'!DH126</f>
        <v>60</v>
      </c>
      <c r="V75" s="250">
        <f>'FUS-Working'!DG126</f>
        <v>60</v>
      </c>
      <c r="W75" s="250">
        <f>'FUS-Working'!DH126</f>
        <v>60</v>
      </c>
      <c r="X75" s="250">
        <f>'FUS-Working'!DG126</f>
        <v>60</v>
      </c>
      <c r="Y75" s="250">
        <f>'FUS-Working'!DH126</f>
        <v>60</v>
      </c>
      <c r="Z75" s="255">
        <f t="shared" si="104"/>
        <v>6.4679078498185133E-2</v>
      </c>
      <c r="AA75" s="252">
        <v>1243.4640051612469</v>
      </c>
      <c r="AB75" s="243">
        <v>927.65700119991004</v>
      </c>
      <c r="AC75" s="250">
        <f>'FUS-Working'!AP197</f>
        <v>12</v>
      </c>
      <c r="AD75" s="250">
        <f>'FUS-Working'!AQ197</f>
        <v>12</v>
      </c>
      <c r="AE75" s="250">
        <f>'FUS-Working'!BW197</f>
        <v>12</v>
      </c>
      <c r="AF75" s="250">
        <f>'FUS-Working'!BX197</f>
        <v>12</v>
      </c>
      <c r="AG75" s="250">
        <f>'FUS-Working'!DG197</f>
        <v>12</v>
      </c>
      <c r="AH75" s="250">
        <f>'FUS-Working'!DH197</f>
        <v>12</v>
      </c>
      <c r="AI75" s="255">
        <f t="shared" si="126"/>
        <v>1.2935815699637027E-2</v>
      </c>
      <c r="AJ75" s="256">
        <f t="shared" si="127"/>
        <v>2782.97100359973</v>
      </c>
      <c r="AK75" s="253">
        <f t="shared" si="128"/>
        <v>72</v>
      </c>
      <c r="AL75" s="255">
        <f t="shared" si="106"/>
        <v>2.5871631399274054E-2</v>
      </c>
      <c r="AN75" s="251"/>
      <c r="AO75" s="252"/>
      <c r="AP75" s="243"/>
      <c r="AQ75" s="250"/>
      <c r="AR75" s="250"/>
      <c r="AS75" s="250"/>
      <c r="AT75" s="250"/>
      <c r="AU75" s="250"/>
      <c r="AV75" s="250"/>
      <c r="AW75" s="255">
        <f t="shared" si="107"/>
        <v>0</v>
      </c>
      <c r="AX75" s="252"/>
      <c r="AY75" s="243"/>
      <c r="AZ75" s="250"/>
      <c r="BA75" s="250"/>
      <c r="BB75" s="250"/>
      <c r="BC75" s="250"/>
      <c r="BD75" s="250"/>
      <c r="BE75" s="250"/>
      <c r="BF75" s="255">
        <f t="shared" si="108"/>
        <v>0</v>
      </c>
      <c r="BG75" s="252"/>
      <c r="BH75" s="243"/>
      <c r="BI75" s="250"/>
      <c r="BJ75" s="250"/>
      <c r="BK75" s="250"/>
      <c r="BL75" s="250"/>
      <c r="BM75" s="250"/>
      <c r="BN75" s="250"/>
      <c r="BO75" s="255">
        <f t="shared" si="109"/>
        <v>0</v>
      </c>
      <c r="BP75" s="256">
        <f t="shared" si="110"/>
        <v>0</v>
      </c>
      <c r="BQ75" s="253">
        <f t="shared" si="111"/>
        <v>0</v>
      </c>
      <c r="BR75" s="255">
        <f t="shared" si="112"/>
        <v>0</v>
      </c>
      <c r="BT75" s="251"/>
      <c r="BU75" s="254"/>
      <c r="BV75" s="250"/>
      <c r="BW75" s="250"/>
      <c r="BX75" s="250"/>
      <c r="BY75" s="250"/>
      <c r="BZ75" s="250"/>
      <c r="CA75" s="250"/>
      <c r="CB75" s="250"/>
      <c r="CC75" s="255">
        <f t="shared" si="113"/>
        <v>0</v>
      </c>
      <c r="CD75" s="254"/>
      <c r="CE75" s="250"/>
      <c r="CF75" s="250"/>
      <c r="CG75" s="250"/>
      <c r="CH75" s="250"/>
      <c r="CI75" s="250"/>
      <c r="CJ75" s="250"/>
      <c r="CK75" s="250"/>
      <c r="CL75" s="255">
        <f t="shared" si="114"/>
        <v>0</v>
      </c>
      <c r="CM75" s="254"/>
      <c r="CN75" s="250"/>
      <c r="CO75" s="250"/>
      <c r="CP75" s="250"/>
      <c r="CQ75" s="250"/>
      <c r="CR75" s="250"/>
      <c r="CS75" s="250"/>
      <c r="CT75" s="250"/>
      <c r="CU75" s="255">
        <f t="shared" si="115"/>
        <v>0</v>
      </c>
      <c r="CV75" s="256">
        <f t="shared" si="116"/>
        <v>0</v>
      </c>
      <c r="CW75" s="253">
        <f t="shared" si="117"/>
        <v>0</v>
      </c>
      <c r="CX75" s="255">
        <f t="shared" si="118"/>
        <v>0</v>
      </c>
      <c r="CZ75" s="251"/>
      <c r="DA75" s="252"/>
      <c r="DB75" s="243"/>
      <c r="DC75" s="250"/>
      <c r="DD75" s="250"/>
      <c r="DE75" s="250"/>
      <c r="DF75" s="250"/>
      <c r="DG75" s="250"/>
      <c r="DH75" s="250"/>
      <c r="DI75" s="255">
        <f t="shared" si="119"/>
        <v>0</v>
      </c>
      <c r="DJ75" s="252"/>
      <c r="DK75" s="243"/>
      <c r="DL75" s="250"/>
      <c r="DM75" s="250"/>
      <c r="DN75" s="250"/>
      <c r="DO75" s="250"/>
      <c r="DP75" s="250"/>
      <c r="DQ75" s="250"/>
      <c r="DR75" s="255">
        <f t="shared" si="120"/>
        <v>0</v>
      </c>
      <c r="DS75" s="252"/>
      <c r="DT75" s="243"/>
      <c r="DU75" s="250"/>
      <c r="DV75" s="250"/>
      <c r="DW75" s="250"/>
      <c r="DX75" s="250"/>
      <c r="DY75" s="250"/>
      <c r="DZ75" s="250"/>
      <c r="EA75" s="255">
        <f t="shared" si="121"/>
        <v>0</v>
      </c>
      <c r="EB75" s="256">
        <f t="shared" si="122"/>
        <v>0</v>
      </c>
      <c r="EC75" s="253">
        <f t="shared" si="123"/>
        <v>0</v>
      </c>
      <c r="ED75" s="255">
        <f t="shared" si="124"/>
        <v>0</v>
      </c>
    </row>
    <row r="76" spans="1:134" s="213" customFormat="1" ht="30" customHeight="1" x14ac:dyDescent="0.25">
      <c r="A76" s="247">
        <v>5</v>
      </c>
      <c r="B76" s="248" t="s">
        <v>98</v>
      </c>
      <c r="C76" s="248" t="s">
        <v>97</v>
      </c>
      <c r="D76" s="248" t="s">
        <v>41</v>
      </c>
      <c r="E76" s="268" t="s">
        <v>401</v>
      </c>
      <c r="F76" s="250" t="s">
        <v>164</v>
      </c>
      <c r="G76" s="364">
        <v>8.4533550877892397E-2</v>
      </c>
      <c r="H76" s="214"/>
      <c r="I76" s="252">
        <v>1115.3029152704321</v>
      </c>
      <c r="J76" s="243">
        <v>832.0454420191453</v>
      </c>
      <c r="K76" s="250">
        <v>2900</v>
      </c>
      <c r="L76" s="250">
        <v>2396</v>
      </c>
      <c r="M76" s="250">
        <f>'FUS-Working'!BW55</f>
        <v>2900</v>
      </c>
      <c r="N76" s="250">
        <f>'FUS-Working'!BX55</f>
        <v>2396</v>
      </c>
      <c r="O76" s="250">
        <f>'FUS-Working'!DG55</f>
        <v>2900</v>
      </c>
      <c r="P76" s="250">
        <f>'FUS-Working'!DH55</f>
        <v>2396</v>
      </c>
      <c r="Q76" s="255">
        <f t="shared" si="125"/>
        <v>2.8796504121043767</v>
      </c>
      <c r="R76" s="252">
        <v>1115.3029152704321</v>
      </c>
      <c r="S76" s="243">
        <v>832.0454420191453</v>
      </c>
      <c r="T76" s="250">
        <f>'FUS-Working'!DG127</f>
        <v>1200</v>
      </c>
      <c r="U76" s="250">
        <f>'FUS-Working'!DH127</f>
        <v>1200</v>
      </c>
      <c r="V76" s="250">
        <f>'FUS-Working'!DG127</f>
        <v>1200</v>
      </c>
      <c r="W76" s="250">
        <f>'FUS-Working'!DH127</f>
        <v>1200</v>
      </c>
      <c r="X76" s="250">
        <f>'FUS-Working'!DG127</f>
        <v>1200</v>
      </c>
      <c r="Y76" s="250">
        <f>'FUS-Working'!DH127</f>
        <v>1200</v>
      </c>
      <c r="Z76" s="255">
        <f t="shared" si="104"/>
        <v>1.4422289209203889</v>
      </c>
      <c r="AA76" s="252">
        <v>1115.3029152704321</v>
      </c>
      <c r="AB76" s="243">
        <v>832.0454420191453</v>
      </c>
      <c r="AC76" s="250">
        <f>'FUS-Working'!AP198</f>
        <v>2400</v>
      </c>
      <c r="AD76" s="250">
        <f>'FUS-Working'!AQ198</f>
        <v>2400</v>
      </c>
      <c r="AE76" s="250">
        <f>'FUS-Working'!BW198</f>
        <v>3100</v>
      </c>
      <c r="AF76" s="250">
        <f>'FUS-Working'!BX198</f>
        <v>2848</v>
      </c>
      <c r="AG76" s="250">
        <f>'FUS-Working'!DG198</f>
        <v>3100</v>
      </c>
      <c r="AH76" s="250">
        <f>'FUS-Working'!DH198</f>
        <v>2848</v>
      </c>
      <c r="AI76" s="255">
        <f t="shared" si="126"/>
        <v>3.4228899723177233</v>
      </c>
      <c r="AJ76" s="256">
        <f t="shared" si="127"/>
        <v>2496.1363260574358</v>
      </c>
      <c r="AK76" s="253">
        <f t="shared" si="128"/>
        <v>6444</v>
      </c>
      <c r="AL76" s="255">
        <f t="shared" si="106"/>
        <v>2.5815897684474964</v>
      </c>
      <c r="AN76" s="251"/>
      <c r="AO76" s="252"/>
      <c r="AP76" s="243"/>
      <c r="AQ76" s="250"/>
      <c r="AR76" s="250"/>
      <c r="AS76" s="250"/>
      <c r="AT76" s="250"/>
      <c r="AU76" s="250"/>
      <c r="AV76" s="250"/>
      <c r="AW76" s="255">
        <f t="shared" si="107"/>
        <v>0</v>
      </c>
      <c r="AX76" s="252"/>
      <c r="AY76" s="243"/>
      <c r="AZ76" s="250"/>
      <c r="BA76" s="250"/>
      <c r="BB76" s="250"/>
      <c r="BC76" s="250"/>
      <c r="BD76" s="250"/>
      <c r="BE76" s="250"/>
      <c r="BF76" s="255">
        <f t="shared" si="108"/>
        <v>0</v>
      </c>
      <c r="BG76" s="252"/>
      <c r="BH76" s="243"/>
      <c r="BI76" s="250"/>
      <c r="BJ76" s="250"/>
      <c r="BK76" s="250"/>
      <c r="BL76" s="250"/>
      <c r="BM76" s="250"/>
      <c r="BN76" s="250"/>
      <c r="BO76" s="255">
        <f t="shared" si="109"/>
        <v>0</v>
      </c>
      <c r="BP76" s="256">
        <f t="shared" si="110"/>
        <v>0</v>
      </c>
      <c r="BQ76" s="253">
        <f t="shared" si="111"/>
        <v>0</v>
      </c>
      <c r="BR76" s="255">
        <f t="shared" si="112"/>
        <v>0</v>
      </c>
      <c r="BT76" s="251"/>
      <c r="BU76" s="254"/>
      <c r="BV76" s="250"/>
      <c r="BW76" s="250"/>
      <c r="BX76" s="250"/>
      <c r="BY76" s="250"/>
      <c r="BZ76" s="250"/>
      <c r="CA76" s="250"/>
      <c r="CB76" s="250"/>
      <c r="CC76" s="255">
        <f t="shared" si="113"/>
        <v>0</v>
      </c>
      <c r="CD76" s="254"/>
      <c r="CE76" s="250"/>
      <c r="CF76" s="250"/>
      <c r="CG76" s="250"/>
      <c r="CH76" s="250"/>
      <c r="CI76" s="250"/>
      <c r="CJ76" s="250"/>
      <c r="CK76" s="250"/>
      <c r="CL76" s="255">
        <f t="shared" si="114"/>
        <v>0</v>
      </c>
      <c r="CM76" s="254"/>
      <c r="CN76" s="250"/>
      <c r="CO76" s="250"/>
      <c r="CP76" s="250"/>
      <c r="CQ76" s="250"/>
      <c r="CR76" s="250"/>
      <c r="CS76" s="250"/>
      <c r="CT76" s="250"/>
      <c r="CU76" s="255">
        <f t="shared" si="115"/>
        <v>0</v>
      </c>
      <c r="CV76" s="256">
        <f t="shared" si="116"/>
        <v>0</v>
      </c>
      <c r="CW76" s="253">
        <f t="shared" si="117"/>
        <v>0</v>
      </c>
      <c r="CX76" s="255">
        <f t="shared" si="118"/>
        <v>0</v>
      </c>
      <c r="CZ76" s="251"/>
      <c r="DA76" s="252"/>
      <c r="DB76" s="243"/>
      <c r="DC76" s="250"/>
      <c r="DD76" s="250"/>
      <c r="DE76" s="250"/>
      <c r="DF76" s="250"/>
      <c r="DG76" s="250"/>
      <c r="DH76" s="250"/>
      <c r="DI76" s="255">
        <f t="shared" si="119"/>
        <v>0</v>
      </c>
      <c r="DJ76" s="252"/>
      <c r="DK76" s="243"/>
      <c r="DL76" s="250"/>
      <c r="DM76" s="250"/>
      <c r="DN76" s="250"/>
      <c r="DO76" s="250"/>
      <c r="DP76" s="250"/>
      <c r="DQ76" s="250"/>
      <c r="DR76" s="255">
        <f t="shared" si="120"/>
        <v>0</v>
      </c>
      <c r="DS76" s="252"/>
      <c r="DT76" s="243"/>
      <c r="DU76" s="250"/>
      <c r="DV76" s="250"/>
      <c r="DW76" s="250"/>
      <c r="DX76" s="250"/>
      <c r="DY76" s="250"/>
      <c r="DZ76" s="250"/>
      <c r="EA76" s="255">
        <f t="shared" si="121"/>
        <v>0</v>
      </c>
      <c r="EB76" s="256">
        <f t="shared" si="122"/>
        <v>0</v>
      </c>
      <c r="EC76" s="253">
        <f t="shared" si="123"/>
        <v>0</v>
      </c>
      <c r="ED76" s="255">
        <f t="shared" si="124"/>
        <v>0</v>
      </c>
    </row>
    <row r="77" spans="1:134" s="213" customFormat="1" ht="30" customHeight="1" x14ac:dyDescent="0.25">
      <c r="A77" s="247">
        <v>6</v>
      </c>
      <c r="B77" s="248" t="s">
        <v>293</v>
      </c>
      <c r="C77" s="248" t="s">
        <v>292</v>
      </c>
      <c r="D77" s="248" t="s">
        <v>41</v>
      </c>
      <c r="E77" s="268" t="s">
        <v>358</v>
      </c>
      <c r="F77" s="250" t="s">
        <v>164</v>
      </c>
      <c r="G77" s="364">
        <v>6.1765427668469298E-2</v>
      </c>
      <c r="H77" s="214"/>
      <c r="I77" s="252">
        <v>814.9091198248077</v>
      </c>
      <c r="J77" s="243">
        <v>607.94373396366245</v>
      </c>
      <c r="K77" s="250">
        <v>0</v>
      </c>
      <c r="L77" s="250">
        <v>0</v>
      </c>
      <c r="M77" s="250">
        <f>'FUS-Working'!BW56</f>
        <v>700</v>
      </c>
      <c r="N77" s="250">
        <f>'FUS-Working'!BX56</f>
        <v>448</v>
      </c>
      <c r="O77" s="250">
        <f>'FUS-Working'!DG56</f>
        <v>700</v>
      </c>
      <c r="P77" s="250">
        <f>'FUS-Working'!DH56</f>
        <v>448</v>
      </c>
      <c r="Q77" s="255">
        <f t="shared" si="125"/>
        <v>0.73691030102265598</v>
      </c>
      <c r="R77" s="252">
        <v>814.9091198248077</v>
      </c>
      <c r="S77" s="243">
        <v>607.94373396366245</v>
      </c>
      <c r="T77" s="250">
        <f>'FUS-Working'!DG128</f>
        <v>0</v>
      </c>
      <c r="U77" s="250">
        <f>'FUS-Working'!DH128</f>
        <v>0</v>
      </c>
      <c r="V77" s="250">
        <f>'FUS-Working'!DG128</f>
        <v>0</v>
      </c>
      <c r="W77" s="250">
        <f>'FUS-Working'!DH128</f>
        <v>0</v>
      </c>
      <c r="X77" s="250">
        <f>'FUS-Working'!DG128</f>
        <v>0</v>
      </c>
      <c r="Y77" s="250">
        <f>'FUS-Working'!DH128</f>
        <v>0</v>
      </c>
      <c r="Z77" s="255">
        <f t="shared" si="104"/>
        <v>0</v>
      </c>
      <c r="AA77" s="252">
        <v>814.9091198248077</v>
      </c>
      <c r="AB77" s="243">
        <v>607.94373396366245</v>
      </c>
      <c r="AC77" s="250">
        <f>'FUS-Working'!AP199</f>
        <v>700</v>
      </c>
      <c r="AD77" s="250">
        <f>'FUS-Working'!AQ199</f>
        <v>448</v>
      </c>
      <c r="AE77" s="250">
        <f>'FUS-Working'!BW199</f>
        <v>700</v>
      </c>
      <c r="AF77" s="250">
        <f>'FUS-Working'!BX199</f>
        <v>448</v>
      </c>
      <c r="AG77" s="250">
        <f>'FUS-Working'!DG199</f>
        <v>700</v>
      </c>
      <c r="AH77" s="250">
        <f>'FUS-Working'!DH199</f>
        <v>448</v>
      </c>
      <c r="AI77" s="255">
        <f t="shared" si="126"/>
        <v>0.73691030102265598</v>
      </c>
      <c r="AJ77" s="256">
        <f t="shared" si="127"/>
        <v>1823.8312018909874</v>
      </c>
      <c r="AK77" s="253">
        <f t="shared" si="128"/>
        <v>896</v>
      </c>
      <c r="AL77" s="255">
        <f t="shared" si="106"/>
        <v>0.49127353401510399</v>
      </c>
      <c r="AN77" s="251"/>
      <c r="AO77" s="252"/>
      <c r="AP77" s="243"/>
      <c r="AQ77" s="250"/>
      <c r="AR77" s="250"/>
      <c r="AS77" s="250"/>
      <c r="AT77" s="250"/>
      <c r="AU77" s="250"/>
      <c r="AV77" s="250"/>
      <c r="AW77" s="255">
        <f t="shared" si="107"/>
        <v>0</v>
      </c>
      <c r="AX77" s="252"/>
      <c r="AY77" s="243"/>
      <c r="AZ77" s="250"/>
      <c r="BA77" s="250"/>
      <c r="BB77" s="250"/>
      <c r="BC77" s="250"/>
      <c r="BD77" s="250"/>
      <c r="BE77" s="250"/>
      <c r="BF77" s="255">
        <f t="shared" si="108"/>
        <v>0</v>
      </c>
      <c r="BG77" s="252"/>
      <c r="BH77" s="243"/>
      <c r="BI77" s="250"/>
      <c r="BJ77" s="250"/>
      <c r="BK77" s="250"/>
      <c r="BL77" s="250"/>
      <c r="BM77" s="250"/>
      <c r="BN77" s="250"/>
      <c r="BO77" s="255">
        <f t="shared" si="109"/>
        <v>0</v>
      </c>
      <c r="BP77" s="256">
        <f t="shared" si="110"/>
        <v>0</v>
      </c>
      <c r="BQ77" s="253">
        <f t="shared" si="111"/>
        <v>0</v>
      </c>
      <c r="BR77" s="255">
        <f t="shared" si="112"/>
        <v>0</v>
      </c>
      <c r="BT77" s="251"/>
      <c r="BU77" s="254"/>
      <c r="BV77" s="250"/>
      <c r="BW77" s="250"/>
      <c r="BX77" s="250"/>
      <c r="BY77" s="250"/>
      <c r="BZ77" s="250"/>
      <c r="CA77" s="250"/>
      <c r="CB77" s="250"/>
      <c r="CC77" s="255">
        <f t="shared" si="113"/>
        <v>0</v>
      </c>
      <c r="CD77" s="254"/>
      <c r="CE77" s="250"/>
      <c r="CF77" s="250"/>
      <c r="CG77" s="250"/>
      <c r="CH77" s="250"/>
      <c r="CI77" s="250"/>
      <c r="CJ77" s="250"/>
      <c r="CK77" s="250"/>
      <c r="CL77" s="255">
        <f t="shared" si="114"/>
        <v>0</v>
      </c>
      <c r="CM77" s="254"/>
      <c r="CN77" s="250"/>
      <c r="CO77" s="250"/>
      <c r="CP77" s="250"/>
      <c r="CQ77" s="250"/>
      <c r="CR77" s="250"/>
      <c r="CS77" s="250"/>
      <c r="CT77" s="250"/>
      <c r="CU77" s="255">
        <f t="shared" si="115"/>
        <v>0</v>
      </c>
      <c r="CV77" s="256">
        <f t="shared" si="116"/>
        <v>0</v>
      </c>
      <c r="CW77" s="253">
        <f t="shared" si="117"/>
        <v>0</v>
      </c>
      <c r="CX77" s="255">
        <f t="shared" si="118"/>
        <v>0</v>
      </c>
      <c r="CZ77" s="251"/>
      <c r="DA77" s="252"/>
      <c r="DB77" s="243"/>
      <c r="DC77" s="250"/>
      <c r="DD77" s="250"/>
      <c r="DE77" s="250"/>
      <c r="DF77" s="250"/>
      <c r="DG77" s="250"/>
      <c r="DH77" s="250"/>
      <c r="DI77" s="255">
        <f t="shared" si="119"/>
        <v>0</v>
      </c>
      <c r="DJ77" s="252"/>
      <c r="DK77" s="243"/>
      <c r="DL77" s="250"/>
      <c r="DM77" s="250"/>
      <c r="DN77" s="250"/>
      <c r="DO77" s="250"/>
      <c r="DP77" s="250"/>
      <c r="DQ77" s="250"/>
      <c r="DR77" s="255">
        <f t="shared" si="120"/>
        <v>0</v>
      </c>
      <c r="DS77" s="252"/>
      <c r="DT77" s="243"/>
      <c r="DU77" s="250"/>
      <c r="DV77" s="250"/>
      <c r="DW77" s="250"/>
      <c r="DX77" s="250"/>
      <c r="DY77" s="250"/>
      <c r="DZ77" s="250"/>
      <c r="EA77" s="255">
        <f t="shared" si="121"/>
        <v>0</v>
      </c>
      <c r="EB77" s="256">
        <f t="shared" si="122"/>
        <v>0</v>
      </c>
      <c r="EC77" s="253">
        <f t="shared" si="123"/>
        <v>0</v>
      </c>
      <c r="ED77" s="255">
        <f t="shared" si="124"/>
        <v>0</v>
      </c>
    </row>
    <row r="78" spans="1:134" s="213" customFormat="1" ht="30" customHeight="1" x14ac:dyDescent="0.25">
      <c r="A78" s="247">
        <v>7</v>
      </c>
      <c r="B78" s="248" t="s">
        <v>16</v>
      </c>
      <c r="C78" s="248" t="s">
        <v>457</v>
      </c>
      <c r="D78" s="248" t="s">
        <v>24</v>
      </c>
      <c r="E78" s="268" t="s">
        <v>318</v>
      </c>
      <c r="F78" s="250" t="s">
        <v>164</v>
      </c>
      <c r="G78" s="364">
        <v>5.1039199381400301E-2</v>
      </c>
      <c r="H78" s="214"/>
      <c r="I78" s="252">
        <v>673.39141999808896</v>
      </c>
      <c r="J78" s="243">
        <v>502.36779087800858</v>
      </c>
      <c r="K78" s="250">
        <v>1200</v>
      </c>
      <c r="L78" s="250">
        <v>840</v>
      </c>
      <c r="M78" s="250">
        <f>'FUS-Working'!BW57</f>
        <v>1200</v>
      </c>
      <c r="N78" s="250">
        <f>'FUS-Working'!BX57</f>
        <v>840</v>
      </c>
      <c r="O78" s="250">
        <f>'FUS-Working'!DG57</f>
        <v>1200</v>
      </c>
      <c r="P78" s="250">
        <f>'FUS-Working'!DH57</f>
        <v>840</v>
      </c>
      <c r="Q78" s="255">
        <f t="shared" si="125"/>
        <v>1.6720817203107268</v>
      </c>
      <c r="R78" s="252">
        <v>673.39141999808896</v>
      </c>
      <c r="S78" s="243">
        <v>502.36779087800858</v>
      </c>
      <c r="T78" s="250">
        <f>'FUS-Working'!DG129</f>
        <v>0</v>
      </c>
      <c r="U78" s="250">
        <f>'FUS-Working'!DH129</f>
        <v>0</v>
      </c>
      <c r="V78" s="250">
        <f>'FUS-Working'!DG129</f>
        <v>0</v>
      </c>
      <c r="W78" s="250">
        <f>'FUS-Working'!DH129</f>
        <v>0</v>
      </c>
      <c r="X78" s="250">
        <f>'FUS-Working'!DG129</f>
        <v>0</v>
      </c>
      <c r="Y78" s="250">
        <f>'FUS-Working'!DH129</f>
        <v>0</v>
      </c>
      <c r="Z78" s="255">
        <f t="shared" si="104"/>
        <v>0</v>
      </c>
      <c r="AA78" s="252">
        <v>673.39141999808896</v>
      </c>
      <c r="AB78" s="243">
        <v>502.36779087800858</v>
      </c>
      <c r="AC78" s="250">
        <f>'FUS-Working'!AP200</f>
        <v>0</v>
      </c>
      <c r="AD78" s="250">
        <f>'FUS-Working'!AQ200</f>
        <v>0</v>
      </c>
      <c r="AE78" s="250">
        <f>'FUS-Working'!BW200</f>
        <v>1200</v>
      </c>
      <c r="AF78" s="250">
        <f>'FUS-Working'!BX200</f>
        <v>840</v>
      </c>
      <c r="AG78" s="250">
        <f>'FUS-Working'!DG200</f>
        <v>1200</v>
      </c>
      <c r="AH78" s="250">
        <f>'FUS-Working'!DH200</f>
        <v>840</v>
      </c>
      <c r="AI78" s="255">
        <f t="shared" si="126"/>
        <v>1.6720817203107268</v>
      </c>
      <c r="AJ78" s="256">
        <f t="shared" si="127"/>
        <v>1507.1033726340256</v>
      </c>
      <c r="AK78" s="253">
        <f t="shared" si="128"/>
        <v>1680</v>
      </c>
      <c r="AL78" s="255">
        <f t="shared" si="106"/>
        <v>1.1147211468738178</v>
      </c>
      <c r="AN78" s="251"/>
      <c r="AO78" s="252"/>
      <c r="AP78" s="243"/>
      <c r="AQ78" s="250"/>
      <c r="AR78" s="250"/>
      <c r="AS78" s="250"/>
      <c r="AT78" s="250"/>
      <c r="AU78" s="250"/>
      <c r="AV78" s="250"/>
      <c r="AW78" s="255">
        <f t="shared" si="107"/>
        <v>0</v>
      </c>
      <c r="AX78" s="252"/>
      <c r="AY78" s="243"/>
      <c r="AZ78" s="250"/>
      <c r="BA78" s="250"/>
      <c r="BB78" s="250"/>
      <c r="BC78" s="250"/>
      <c r="BD78" s="250"/>
      <c r="BE78" s="250"/>
      <c r="BF78" s="255">
        <f t="shared" si="108"/>
        <v>0</v>
      </c>
      <c r="BG78" s="252"/>
      <c r="BH78" s="243"/>
      <c r="BI78" s="250"/>
      <c r="BJ78" s="250"/>
      <c r="BK78" s="250"/>
      <c r="BL78" s="250"/>
      <c r="BM78" s="250"/>
      <c r="BN78" s="250"/>
      <c r="BO78" s="255">
        <f t="shared" si="109"/>
        <v>0</v>
      </c>
      <c r="BP78" s="256">
        <f t="shared" si="110"/>
        <v>0</v>
      </c>
      <c r="BQ78" s="253">
        <f t="shared" si="111"/>
        <v>0</v>
      </c>
      <c r="BR78" s="255">
        <f t="shared" si="112"/>
        <v>0</v>
      </c>
      <c r="BT78" s="251"/>
      <c r="BU78" s="254"/>
      <c r="BV78" s="250"/>
      <c r="BW78" s="250"/>
      <c r="BX78" s="250"/>
      <c r="BY78" s="250"/>
      <c r="BZ78" s="250"/>
      <c r="CA78" s="250"/>
      <c r="CB78" s="250"/>
      <c r="CC78" s="255">
        <f t="shared" si="113"/>
        <v>0</v>
      </c>
      <c r="CD78" s="254"/>
      <c r="CE78" s="250"/>
      <c r="CF78" s="250"/>
      <c r="CG78" s="250"/>
      <c r="CH78" s="250"/>
      <c r="CI78" s="250"/>
      <c r="CJ78" s="250"/>
      <c r="CK78" s="250"/>
      <c r="CL78" s="255">
        <f t="shared" si="114"/>
        <v>0</v>
      </c>
      <c r="CM78" s="254"/>
      <c r="CN78" s="250"/>
      <c r="CO78" s="250"/>
      <c r="CP78" s="250"/>
      <c r="CQ78" s="250"/>
      <c r="CR78" s="250"/>
      <c r="CS78" s="250"/>
      <c r="CT78" s="250"/>
      <c r="CU78" s="255">
        <f t="shared" si="115"/>
        <v>0</v>
      </c>
      <c r="CV78" s="256">
        <f t="shared" si="116"/>
        <v>0</v>
      </c>
      <c r="CW78" s="253">
        <f t="shared" si="117"/>
        <v>0</v>
      </c>
      <c r="CX78" s="255">
        <f t="shared" si="118"/>
        <v>0</v>
      </c>
      <c r="CZ78" s="251"/>
      <c r="DA78" s="252"/>
      <c r="DB78" s="243"/>
      <c r="DC78" s="250"/>
      <c r="DD78" s="250"/>
      <c r="DE78" s="250"/>
      <c r="DF78" s="250"/>
      <c r="DG78" s="250"/>
      <c r="DH78" s="250"/>
      <c r="DI78" s="255">
        <f t="shared" si="119"/>
        <v>0</v>
      </c>
      <c r="DJ78" s="252"/>
      <c r="DK78" s="243"/>
      <c r="DL78" s="250"/>
      <c r="DM78" s="250"/>
      <c r="DN78" s="250"/>
      <c r="DO78" s="250"/>
      <c r="DP78" s="250"/>
      <c r="DQ78" s="250"/>
      <c r="DR78" s="255">
        <f t="shared" si="120"/>
        <v>0</v>
      </c>
      <c r="DS78" s="252"/>
      <c r="DT78" s="243"/>
      <c r="DU78" s="250"/>
      <c r="DV78" s="250"/>
      <c r="DW78" s="250"/>
      <c r="DX78" s="250"/>
      <c r="DY78" s="250"/>
      <c r="DZ78" s="250"/>
      <c r="EA78" s="255">
        <f t="shared" si="121"/>
        <v>0</v>
      </c>
      <c r="EB78" s="256">
        <f t="shared" si="122"/>
        <v>0</v>
      </c>
      <c r="EC78" s="253">
        <f t="shared" si="123"/>
        <v>0</v>
      </c>
      <c r="ED78" s="255">
        <f t="shared" si="124"/>
        <v>0</v>
      </c>
    </row>
    <row r="79" spans="1:134" s="213" customFormat="1" ht="30" customHeight="1" x14ac:dyDescent="0.25">
      <c r="A79" s="247">
        <v>8</v>
      </c>
      <c r="B79" s="248" t="s">
        <v>94</v>
      </c>
      <c r="C79" s="248" t="s">
        <v>93</v>
      </c>
      <c r="D79" s="248" t="s">
        <v>46</v>
      </c>
      <c r="E79" s="268" t="s">
        <v>359</v>
      </c>
      <c r="F79" s="250" t="s">
        <v>164</v>
      </c>
      <c r="G79" s="364">
        <v>5.3206504120124301E-2</v>
      </c>
      <c r="H79" s="214"/>
      <c r="I79" s="252">
        <v>701.98599893479866</v>
      </c>
      <c r="J79" s="243">
        <v>523.70010225726924</v>
      </c>
      <c r="K79" s="250">
        <v>0</v>
      </c>
      <c r="L79" s="250">
        <v>0</v>
      </c>
      <c r="M79" s="250">
        <f>'FUS-Working'!BW58</f>
        <v>0</v>
      </c>
      <c r="N79" s="250">
        <f>'FUS-Working'!BX58</f>
        <v>0</v>
      </c>
      <c r="O79" s="250">
        <f>'FUS-Working'!DG58</f>
        <v>0</v>
      </c>
      <c r="P79" s="250">
        <f>'FUS-Working'!DH58</f>
        <v>0</v>
      </c>
      <c r="Q79" s="255">
        <f t="shared" si="125"/>
        <v>0</v>
      </c>
      <c r="R79" s="252">
        <v>701.98599893479866</v>
      </c>
      <c r="S79" s="243">
        <v>523.70010225726924</v>
      </c>
      <c r="T79" s="250">
        <f>'FUS-Working'!DG130</f>
        <v>1400</v>
      </c>
      <c r="U79" s="250">
        <f>'FUS-Working'!DH130</f>
        <v>896</v>
      </c>
      <c r="V79" s="250">
        <f>'FUS-Working'!DG130</f>
        <v>1400</v>
      </c>
      <c r="W79" s="250">
        <f>'FUS-Working'!DH130</f>
        <v>896</v>
      </c>
      <c r="X79" s="250">
        <f>'FUS-Working'!DG130</f>
        <v>1400</v>
      </c>
      <c r="Y79" s="250">
        <f>'FUS-Working'!DH130</f>
        <v>896</v>
      </c>
      <c r="Z79" s="255">
        <f t="shared" si="104"/>
        <v>2.6732857105921393</v>
      </c>
      <c r="AA79" s="252">
        <v>701.98599893479866</v>
      </c>
      <c r="AB79" s="243">
        <v>523.70010225726924</v>
      </c>
      <c r="AC79" s="250">
        <f>'FUS-Working'!AP201</f>
        <v>0</v>
      </c>
      <c r="AD79" s="250">
        <f>'FUS-Working'!AQ201</f>
        <v>0</v>
      </c>
      <c r="AE79" s="250">
        <f>'FUS-Working'!BW201</f>
        <v>0</v>
      </c>
      <c r="AF79" s="250">
        <f>'FUS-Working'!BX201</f>
        <v>0</v>
      </c>
      <c r="AG79" s="250">
        <f>'FUS-Working'!DG201</f>
        <v>0</v>
      </c>
      <c r="AH79" s="250">
        <f>'FUS-Working'!DH201</f>
        <v>0</v>
      </c>
      <c r="AI79" s="255">
        <f t="shared" si="126"/>
        <v>0</v>
      </c>
      <c r="AJ79" s="256">
        <f t="shared" si="127"/>
        <v>1571.1003067718077</v>
      </c>
      <c r="AK79" s="253">
        <f t="shared" si="128"/>
        <v>896</v>
      </c>
      <c r="AL79" s="255">
        <f t="shared" si="106"/>
        <v>0.57030095159298977</v>
      </c>
      <c r="AN79" s="251"/>
      <c r="AO79" s="252"/>
      <c r="AP79" s="243"/>
      <c r="AQ79" s="250"/>
      <c r="AR79" s="250"/>
      <c r="AS79" s="250"/>
      <c r="AT79" s="250"/>
      <c r="AU79" s="250"/>
      <c r="AV79" s="250"/>
      <c r="AW79" s="255">
        <f t="shared" si="107"/>
        <v>0</v>
      </c>
      <c r="AX79" s="252"/>
      <c r="AY79" s="243"/>
      <c r="AZ79" s="250"/>
      <c r="BA79" s="250"/>
      <c r="BB79" s="250"/>
      <c r="BC79" s="250"/>
      <c r="BD79" s="250"/>
      <c r="BE79" s="250"/>
      <c r="BF79" s="255">
        <f t="shared" si="108"/>
        <v>0</v>
      </c>
      <c r="BG79" s="252"/>
      <c r="BH79" s="243"/>
      <c r="BI79" s="250"/>
      <c r="BJ79" s="250"/>
      <c r="BK79" s="250"/>
      <c r="BL79" s="250"/>
      <c r="BM79" s="250"/>
      <c r="BN79" s="250"/>
      <c r="BO79" s="255">
        <f t="shared" si="109"/>
        <v>0</v>
      </c>
      <c r="BP79" s="256">
        <f t="shared" si="110"/>
        <v>0</v>
      </c>
      <c r="BQ79" s="253">
        <f t="shared" si="111"/>
        <v>0</v>
      </c>
      <c r="BR79" s="255">
        <f t="shared" si="112"/>
        <v>0</v>
      </c>
      <c r="BT79" s="251"/>
      <c r="BU79" s="254"/>
      <c r="BV79" s="250"/>
      <c r="BW79" s="250"/>
      <c r="BX79" s="250"/>
      <c r="BY79" s="250"/>
      <c r="BZ79" s="250"/>
      <c r="CA79" s="250"/>
      <c r="CB79" s="250"/>
      <c r="CC79" s="255">
        <f t="shared" si="113"/>
        <v>0</v>
      </c>
      <c r="CD79" s="254"/>
      <c r="CE79" s="250"/>
      <c r="CF79" s="250"/>
      <c r="CG79" s="250"/>
      <c r="CH79" s="250"/>
      <c r="CI79" s="250"/>
      <c r="CJ79" s="250"/>
      <c r="CK79" s="250"/>
      <c r="CL79" s="255">
        <f t="shared" si="114"/>
        <v>0</v>
      </c>
      <c r="CM79" s="254"/>
      <c r="CN79" s="250"/>
      <c r="CO79" s="250"/>
      <c r="CP79" s="250"/>
      <c r="CQ79" s="250"/>
      <c r="CR79" s="250"/>
      <c r="CS79" s="250"/>
      <c r="CT79" s="250"/>
      <c r="CU79" s="255">
        <f t="shared" si="115"/>
        <v>0</v>
      </c>
      <c r="CV79" s="256">
        <f t="shared" si="116"/>
        <v>0</v>
      </c>
      <c r="CW79" s="253">
        <f t="shared" si="117"/>
        <v>0</v>
      </c>
      <c r="CX79" s="255">
        <f t="shared" si="118"/>
        <v>0</v>
      </c>
      <c r="CZ79" s="251"/>
      <c r="DA79" s="252"/>
      <c r="DB79" s="243"/>
      <c r="DC79" s="250"/>
      <c r="DD79" s="250"/>
      <c r="DE79" s="250"/>
      <c r="DF79" s="250"/>
      <c r="DG79" s="250"/>
      <c r="DH79" s="250"/>
      <c r="DI79" s="255">
        <f t="shared" si="119"/>
        <v>0</v>
      </c>
      <c r="DJ79" s="252"/>
      <c r="DK79" s="243"/>
      <c r="DL79" s="250"/>
      <c r="DM79" s="250"/>
      <c r="DN79" s="250"/>
      <c r="DO79" s="250"/>
      <c r="DP79" s="250"/>
      <c r="DQ79" s="250"/>
      <c r="DR79" s="255">
        <f t="shared" si="120"/>
        <v>0</v>
      </c>
      <c r="DS79" s="252"/>
      <c r="DT79" s="243"/>
      <c r="DU79" s="250"/>
      <c r="DV79" s="250"/>
      <c r="DW79" s="250"/>
      <c r="DX79" s="250"/>
      <c r="DY79" s="250"/>
      <c r="DZ79" s="250"/>
      <c r="EA79" s="255">
        <f t="shared" si="121"/>
        <v>0</v>
      </c>
      <c r="EB79" s="256">
        <f t="shared" si="122"/>
        <v>0</v>
      </c>
      <c r="EC79" s="253">
        <f t="shared" si="123"/>
        <v>0</v>
      </c>
      <c r="ED79" s="255">
        <f t="shared" si="124"/>
        <v>0</v>
      </c>
    </row>
    <row r="80" spans="1:134" s="213" customFormat="1" ht="30" customHeight="1" x14ac:dyDescent="0.25">
      <c r="A80" s="247">
        <v>9</v>
      </c>
      <c r="B80" s="248" t="s">
        <v>100</v>
      </c>
      <c r="C80" s="248" t="s">
        <v>99</v>
      </c>
      <c r="D80" s="248" t="s">
        <v>41</v>
      </c>
      <c r="E80" s="268" t="s">
        <v>359</v>
      </c>
      <c r="F80" s="250" t="s">
        <v>164</v>
      </c>
      <c r="G80" s="364">
        <v>5.2941795144402302E-2</v>
      </c>
      <c r="H80" s="214"/>
      <c r="I80" s="252">
        <v>698.49353127840664</v>
      </c>
      <c r="J80" s="243">
        <v>521.09462911171067</v>
      </c>
      <c r="K80" s="250">
        <v>0</v>
      </c>
      <c r="L80" s="250">
        <v>0</v>
      </c>
      <c r="M80" s="250">
        <f>'FUS-Working'!BW59</f>
        <v>0</v>
      </c>
      <c r="N80" s="250">
        <f>'FUS-Working'!BX59</f>
        <v>0</v>
      </c>
      <c r="O80" s="250">
        <f>'FUS-Working'!DG59</f>
        <v>0</v>
      </c>
      <c r="P80" s="250">
        <f>'FUS-Working'!DH59</f>
        <v>0</v>
      </c>
      <c r="Q80" s="255">
        <f t="shared" si="125"/>
        <v>0</v>
      </c>
      <c r="R80" s="252">
        <v>698.49353127840664</v>
      </c>
      <c r="S80" s="243">
        <v>521.09462911171067</v>
      </c>
      <c r="T80" s="250">
        <f>'FUS-Working'!DG131</f>
        <v>0</v>
      </c>
      <c r="U80" s="250">
        <f>'FUS-Working'!DH131</f>
        <v>0</v>
      </c>
      <c r="V80" s="250">
        <f>'FUS-Working'!DG131</f>
        <v>0</v>
      </c>
      <c r="W80" s="250">
        <f>'FUS-Working'!DH131</f>
        <v>0</v>
      </c>
      <c r="X80" s="250">
        <f>'FUS-Working'!DG131</f>
        <v>0</v>
      </c>
      <c r="Y80" s="250">
        <f>'FUS-Working'!DH131</f>
        <v>0</v>
      </c>
      <c r="Z80" s="255">
        <f t="shared" si="104"/>
        <v>0</v>
      </c>
      <c r="AA80" s="252">
        <v>698.49353127840664</v>
      </c>
      <c r="AB80" s="243">
        <v>521.09462911171067</v>
      </c>
      <c r="AC80" s="250">
        <f>'FUS-Working'!AP202</f>
        <v>0</v>
      </c>
      <c r="AD80" s="250">
        <f>'FUS-Working'!AQ202</f>
        <v>0</v>
      </c>
      <c r="AE80" s="250">
        <f>'FUS-Working'!BW202</f>
        <v>0</v>
      </c>
      <c r="AF80" s="250">
        <f>'FUS-Working'!BX202</f>
        <v>0</v>
      </c>
      <c r="AG80" s="250">
        <f>'FUS-Working'!DG202</f>
        <v>0</v>
      </c>
      <c r="AH80" s="250">
        <f>'FUS-Working'!DH202</f>
        <v>0</v>
      </c>
      <c r="AI80" s="255">
        <f t="shared" si="126"/>
        <v>0</v>
      </c>
      <c r="AJ80" s="256">
        <f t="shared" si="127"/>
        <v>1563.283887335132</v>
      </c>
      <c r="AK80" s="253">
        <f t="shared" si="128"/>
        <v>0</v>
      </c>
      <c r="AL80" s="255">
        <f t="shared" si="106"/>
        <v>0</v>
      </c>
      <c r="AN80" s="251"/>
      <c r="AO80" s="252"/>
      <c r="AP80" s="243"/>
      <c r="AQ80" s="250"/>
      <c r="AR80" s="250"/>
      <c r="AS80" s="250"/>
      <c r="AT80" s="250"/>
      <c r="AU80" s="250"/>
      <c r="AV80" s="250"/>
      <c r="AW80" s="255">
        <f t="shared" si="107"/>
        <v>0</v>
      </c>
      <c r="AX80" s="252"/>
      <c r="AY80" s="243"/>
      <c r="AZ80" s="250"/>
      <c r="BA80" s="250"/>
      <c r="BB80" s="250"/>
      <c r="BC80" s="250"/>
      <c r="BD80" s="250"/>
      <c r="BE80" s="250"/>
      <c r="BF80" s="255">
        <f t="shared" si="108"/>
        <v>0</v>
      </c>
      <c r="BG80" s="252"/>
      <c r="BH80" s="243"/>
      <c r="BI80" s="250"/>
      <c r="BJ80" s="250"/>
      <c r="BK80" s="250"/>
      <c r="BL80" s="250"/>
      <c r="BM80" s="250"/>
      <c r="BN80" s="250"/>
      <c r="BO80" s="255">
        <f t="shared" si="109"/>
        <v>0</v>
      </c>
      <c r="BP80" s="256">
        <f t="shared" si="110"/>
        <v>0</v>
      </c>
      <c r="BQ80" s="253">
        <f t="shared" si="111"/>
        <v>0</v>
      </c>
      <c r="BR80" s="255">
        <f t="shared" si="112"/>
        <v>0</v>
      </c>
      <c r="BT80" s="251"/>
      <c r="BU80" s="254"/>
      <c r="BV80" s="250"/>
      <c r="BW80" s="250"/>
      <c r="BX80" s="250"/>
      <c r="BY80" s="250"/>
      <c r="BZ80" s="250"/>
      <c r="CA80" s="250"/>
      <c r="CB80" s="250"/>
      <c r="CC80" s="255">
        <f t="shared" si="113"/>
        <v>0</v>
      </c>
      <c r="CD80" s="254"/>
      <c r="CE80" s="250"/>
      <c r="CF80" s="250"/>
      <c r="CG80" s="250"/>
      <c r="CH80" s="250"/>
      <c r="CI80" s="250"/>
      <c r="CJ80" s="250"/>
      <c r="CK80" s="250"/>
      <c r="CL80" s="255">
        <f t="shared" si="114"/>
        <v>0</v>
      </c>
      <c r="CM80" s="254"/>
      <c r="CN80" s="250"/>
      <c r="CO80" s="250"/>
      <c r="CP80" s="250"/>
      <c r="CQ80" s="250"/>
      <c r="CR80" s="250"/>
      <c r="CS80" s="250"/>
      <c r="CT80" s="250"/>
      <c r="CU80" s="255">
        <f t="shared" si="115"/>
        <v>0</v>
      </c>
      <c r="CV80" s="256">
        <f t="shared" si="116"/>
        <v>0</v>
      </c>
      <c r="CW80" s="253">
        <f t="shared" si="117"/>
        <v>0</v>
      </c>
      <c r="CX80" s="255">
        <f t="shared" si="118"/>
        <v>0</v>
      </c>
      <c r="CZ80" s="251"/>
      <c r="DA80" s="252"/>
      <c r="DB80" s="243"/>
      <c r="DC80" s="250"/>
      <c r="DD80" s="250"/>
      <c r="DE80" s="250"/>
      <c r="DF80" s="250"/>
      <c r="DG80" s="250"/>
      <c r="DH80" s="250"/>
      <c r="DI80" s="255">
        <f t="shared" si="119"/>
        <v>0</v>
      </c>
      <c r="DJ80" s="252"/>
      <c r="DK80" s="243"/>
      <c r="DL80" s="250"/>
      <c r="DM80" s="250"/>
      <c r="DN80" s="250"/>
      <c r="DO80" s="250"/>
      <c r="DP80" s="250"/>
      <c r="DQ80" s="250"/>
      <c r="DR80" s="255">
        <f t="shared" si="120"/>
        <v>0</v>
      </c>
      <c r="DS80" s="252"/>
      <c r="DT80" s="243"/>
      <c r="DU80" s="250"/>
      <c r="DV80" s="250"/>
      <c r="DW80" s="250"/>
      <c r="DX80" s="250"/>
      <c r="DY80" s="250"/>
      <c r="DZ80" s="250"/>
      <c r="EA80" s="255">
        <f t="shared" si="121"/>
        <v>0</v>
      </c>
      <c r="EB80" s="256">
        <f t="shared" si="122"/>
        <v>0</v>
      </c>
      <c r="EC80" s="253">
        <f t="shared" si="123"/>
        <v>0</v>
      </c>
      <c r="ED80" s="255">
        <f t="shared" si="124"/>
        <v>0</v>
      </c>
    </row>
    <row r="81" spans="1:134" s="213" customFormat="1" ht="30" customHeight="1" x14ac:dyDescent="0.25">
      <c r="A81" s="247">
        <v>10</v>
      </c>
      <c r="B81" s="248" t="s">
        <v>166</v>
      </c>
      <c r="C81" s="248" t="s">
        <v>458</v>
      </c>
      <c r="D81" s="248" t="s">
        <v>21</v>
      </c>
      <c r="E81" s="268" t="s">
        <v>360</v>
      </c>
      <c r="F81" s="250" t="s">
        <v>164</v>
      </c>
      <c r="G81" s="364">
        <v>5.6329439774178001E-2</v>
      </c>
      <c r="H81" s="214"/>
      <c r="I81" s="252">
        <v>743.18880188104288</v>
      </c>
      <c r="J81" s="243">
        <v>554.4384818673708</v>
      </c>
      <c r="K81" s="250">
        <v>0</v>
      </c>
      <c r="L81" s="250">
        <v>0</v>
      </c>
      <c r="M81" s="250">
        <f>'FUS-Working'!BW60</f>
        <v>350</v>
      </c>
      <c r="N81" s="250">
        <f>'FUS-Working'!BX60</f>
        <v>224</v>
      </c>
      <c r="O81" s="250">
        <f>'FUS-Working'!DG60</f>
        <v>700</v>
      </c>
      <c r="P81" s="250">
        <f>'FUS-Working'!DH60</f>
        <v>448</v>
      </c>
      <c r="Q81" s="255">
        <f t="shared" si="125"/>
        <v>0.80802472168078632</v>
      </c>
      <c r="R81" s="252">
        <v>743.18880188104288</v>
      </c>
      <c r="S81" s="243">
        <v>554.4384818673708</v>
      </c>
      <c r="T81" s="250">
        <f>'FUS-Working'!DG132</f>
        <v>700</v>
      </c>
      <c r="U81" s="250">
        <f>'FUS-Working'!DH132</f>
        <v>448</v>
      </c>
      <c r="V81" s="250">
        <f>'FUS-Working'!DG132</f>
        <v>700</v>
      </c>
      <c r="W81" s="250">
        <f>'FUS-Working'!DH132</f>
        <v>448</v>
      </c>
      <c r="X81" s="250">
        <f>'FUS-Working'!DG132</f>
        <v>700</v>
      </c>
      <c r="Y81" s="250">
        <f>'FUS-Working'!DH132</f>
        <v>448</v>
      </c>
      <c r="Z81" s="255">
        <f t="shared" si="104"/>
        <v>1.2625386276262287</v>
      </c>
      <c r="AA81" s="252">
        <v>743.18880188104288</v>
      </c>
      <c r="AB81" s="243">
        <v>554.4384818673708</v>
      </c>
      <c r="AC81" s="250">
        <f>'FUS-Working'!AP203</f>
        <v>0</v>
      </c>
      <c r="AD81" s="250">
        <f>'FUS-Working'!AQ203</f>
        <v>0</v>
      </c>
      <c r="AE81" s="250">
        <f>'FUS-Working'!BW203</f>
        <v>350</v>
      </c>
      <c r="AF81" s="250">
        <f>'FUS-Working'!BX203</f>
        <v>224</v>
      </c>
      <c r="AG81" s="250">
        <f>'FUS-Working'!DG203</f>
        <v>350</v>
      </c>
      <c r="AH81" s="250">
        <f>'FUS-Working'!DH203</f>
        <v>224</v>
      </c>
      <c r="AI81" s="255">
        <f t="shared" si="126"/>
        <v>0.40401236084039316</v>
      </c>
      <c r="AJ81" s="256">
        <f t="shared" si="127"/>
        <v>1663.3154456021125</v>
      </c>
      <c r="AK81" s="253">
        <f t="shared" si="128"/>
        <v>1120</v>
      </c>
      <c r="AL81" s="255">
        <f t="shared" si="106"/>
        <v>0.67335393473398863</v>
      </c>
      <c r="AN81" s="251"/>
      <c r="AO81" s="252"/>
      <c r="AP81" s="243"/>
      <c r="AQ81" s="250"/>
      <c r="AR81" s="250"/>
      <c r="AS81" s="250"/>
      <c r="AT81" s="250"/>
      <c r="AU81" s="250"/>
      <c r="AV81" s="250"/>
      <c r="AW81" s="255">
        <f t="shared" si="107"/>
        <v>0</v>
      </c>
      <c r="AX81" s="252"/>
      <c r="AY81" s="243"/>
      <c r="AZ81" s="250"/>
      <c r="BA81" s="250"/>
      <c r="BB81" s="250"/>
      <c r="BC81" s="250"/>
      <c r="BD81" s="250"/>
      <c r="BE81" s="250"/>
      <c r="BF81" s="255">
        <f t="shared" si="108"/>
        <v>0</v>
      </c>
      <c r="BG81" s="252"/>
      <c r="BH81" s="243"/>
      <c r="BI81" s="250"/>
      <c r="BJ81" s="250"/>
      <c r="BK81" s="250"/>
      <c r="BL81" s="250"/>
      <c r="BM81" s="250"/>
      <c r="BN81" s="250"/>
      <c r="BO81" s="255">
        <f t="shared" si="109"/>
        <v>0</v>
      </c>
      <c r="BP81" s="256">
        <f t="shared" si="110"/>
        <v>0</v>
      </c>
      <c r="BQ81" s="253">
        <f t="shared" si="111"/>
        <v>0</v>
      </c>
      <c r="BR81" s="255">
        <f t="shared" si="112"/>
        <v>0</v>
      </c>
      <c r="BT81" s="251"/>
      <c r="BU81" s="254"/>
      <c r="BV81" s="250"/>
      <c r="BW81" s="250"/>
      <c r="BX81" s="250"/>
      <c r="BY81" s="250"/>
      <c r="BZ81" s="250"/>
      <c r="CA81" s="250"/>
      <c r="CB81" s="250"/>
      <c r="CC81" s="255">
        <f t="shared" si="113"/>
        <v>0</v>
      </c>
      <c r="CD81" s="254"/>
      <c r="CE81" s="250"/>
      <c r="CF81" s="250"/>
      <c r="CG81" s="250"/>
      <c r="CH81" s="250"/>
      <c r="CI81" s="250"/>
      <c r="CJ81" s="250"/>
      <c r="CK81" s="250"/>
      <c r="CL81" s="255">
        <f t="shared" si="114"/>
        <v>0</v>
      </c>
      <c r="CM81" s="254"/>
      <c r="CN81" s="250"/>
      <c r="CO81" s="250"/>
      <c r="CP81" s="250"/>
      <c r="CQ81" s="250"/>
      <c r="CR81" s="250"/>
      <c r="CS81" s="250"/>
      <c r="CT81" s="250"/>
      <c r="CU81" s="255">
        <f t="shared" si="115"/>
        <v>0</v>
      </c>
      <c r="CV81" s="256">
        <f t="shared" si="116"/>
        <v>0</v>
      </c>
      <c r="CW81" s="253">
        <f t="shared" si="117"/>
        <v>0</v>
      </c>
      <c r="CX81" s="255">
        <f t="shared" si="118"/>
        <v>0</v>
      </c>
      <c r="CZ81" s="251"/>
      <c r="DA81" s="252"/>
      <c r="DB81" s="243"/>
      <c r="DC81" s="250"/>
      <c r="DD81" s="250"/>
      <c r="DE81" s="250"/>
      <c r="DF81" s="250"/>
      <c r="DG81" s="250"/>
      <c r="DH81" s="250"/>
      <c r="DI81" s="255">
        <f t="shared" si="119"/>
        <v>0</v>
      </c>
      <c r="DJ81" s="252"/>
      <c r="DK81" s="243"/>
      <c r="DL81" s="250"/>
      <c r="DM81" s="250"/>
      <c r="DN81" s="250"/>
      <c r="DO81" s="250"/>
      <c r="DP81" s="250"/>
      <c r="DQ81" s="250"/>
      <c r="DR81" s="255">
        <f t="shared" si="120"/>
        <v>0</v>
      </c>
      <c r="DS81" s="252"/>
      <c r="DT81" s="243"/>
      <c r="DU81" s="250"/>
      <c r="DV81" s="250"/>
      <c r="DW81" s="250"/>
      <c r="DX81" s="250"/>
      <c r="DY81" s="250"/>
      <c r="DZ81" s="250"/>
      <c r="EA81" s="255">
        <f t="shared" si="121"/>
        <v>0</v>
      </c>
      <c r="EB81" s="256">
        <f t="shared" si="122"/>
        <v>0</v>
      </c>
      <c r="EC81" s="253">
        <f t="shared" si="123"/>
        <v>0</v>
      </c>
      <c r="ED81" s="255">
        <f t="shared" si="124"/>
        <v>0</v>
      </c>
    </row>
    <row r="82" spans="1:134" s="213" customFormat="1" ht="30" customHeight="1" x14ac:dyDescent="0.25">
      <c r="A82" s="247">
        <v>11</v>
      </c>
      <c r="B82" s="248" t="s">
        <v>283</v>
      </c>
      <c r="C82" s="248" t="s">
        <v>459</v>
      </c>
      <c r="D82" s="248" t="s">
        <v>41</v>
      </c>
      <c r="E82" s="268" t="s">
        <v>358</v>
      </c>
      <c r="F82" s="250" t="s">
        <v>164</v>
      </c>
      <c r="G82" s="364">
        <v>5.4840057873575501E-2</v>
      </c>
      <c r="H82" s="214"/>
      <c r="I82" s="252">
        <v>723.53847418934879</v>
      </c>
      <c r="J82" s="243">
        <v>539.77881823142297</v>
      </c>
      <c r="K82" s="250">
        <v>0</v>
      </c>
      <c r="L82" s="250">
        <v>0</v>
      </c>
      <c r="M82" s="250">
        <f>'FUS-Working'!BW61</f>
        <v>140</v>
      </c>
      <c r="N82" s="250">
        <f>'FUS-Working'!BX61</f>
        <v>89.600000000000009</v>
      </c>
      <c r="O82" s="250">
        <f>'FUS-Working'!DG61</f>
        <v>280</v>
      </c>
      <c r="P82" s="250">
        <f>'FUS-Working'!DH61</f>
        <v>179.20000000000002</v>
      </c>
      <c r="Q82" s="255">
        <f t="shared" si="125"/>
        <v>0.33198783269626264</v>
      </c>
      <c r="R82" s="252">
        <v>723.53847418934879</v>
      </c>
      <c r="S82" s="243">
        <v>539.77881823142297</v>
      </c>
      <c r="T82" s="250">
        <f>'FUS-Working'!DG133</f>
        <v>432</v>
      </c>
      <c r="U82" s="250">
        <f>'FUS-Working'!DH133</f>
        <v>280.8</v>
      </c>
      <c r="V82" s="250">
        <f>'FUS-Working'!DG133</f>
        <v>432</v>
      </c>
      <c r="W82" s="250">
        <f>'FUS-Working'!DH133</f>
        <v>280.8</v>
      </c>
      <c r="X82" s="250">
        <f>'FUS-Working'!DG133</f>
        <v>432</v>
      </c>
      <c r="Y82" s="250">
        <f>'FUS-Working'!DH133</f>
        <v>280.8</v>
      </c>
      <c r="Z82" s="255">
        <f t="shared" si="104"/>
        <v>0.80032781096420458</v>
      </c>
      <c r="AA82" s="252">
        <v>723.53847418934879</v>
      </c>
      <c r="AB82" s="243">
        <v>539.77881823142297</v>
      </c>
      <c r="AC82" s="250">
        <f>'FUS-Working'!AP204</f>
        <v>152</v>
      </c>
      <c r="AD82" s="250">
        <f>'FUS-Working'!AQ204</f>
        <v>101.60000000000001</v>
      </c>
      <c r="AE82" s="250">
        <f>'FUS-Working'!BW204</f>
        <v>292</v>
      </c>
      <c r="AF82" s="250">
        <f>'FUS-Working'!BX204</f>
        <v>191.20000000000002</v>
      </c>
      <c r="AG82" s="250">
        <f>'FUS-Working'!DG204</f>
        <v>292</v>
      </c>
      <c r="AH82" s="250">
        <f>'FUS-Working'!DH204</f>
        <v>191.20000000000002</v>
      </c>
      <c r="AI82" s="255">
        <f t="shared" si="126"/>
        <v>0.35421916077860166</v>
      </c>
      <c r="AJ82" s="256">
        <f t="shared" si="127"/>
        <v>1619.3364546942689</v>
      </c>
      <c r="AK82" s="253">
        <f t="shared" si="128"/>
        <v>651.20000000000005</v>
      </c>
      <c r="AL82" s="255">
        <f t="shared" si="106"/>
        <v>0.40214002353386574</v>
      </c>
      <c r="AN82" s="251"/>
      <c r="AO82" s="252"/>
      <c r="AP82" s="243"/>
      <c r="AQ82" s="250"/>
      <c r="AR82" s="250"/>
      <c r="AS82" s="250"/>
      <c r="AT82" s="250"/>
      <c r="AU82" s="250"/>
      <c r="AV82" s="250"/>
      <c r="AW82" s="255">
        <f t="shared" si="107"/>
        <v>0</v>
      </c>
      <c r="AX82" s="252"/>
      <c r="AY82" s="243"/>
      <c r="AZ82" s="250"/>
      <c r="BA82" s="250"/>
      <c r="BB82" s="250"/>
      <c r="BC82" s="250"/>
      <c r="BD82" s="250"/>
      <c r="BE82" s="250"/>
      <c r="BF82" s="255">
        <f t="shared" si="108"/>
        <v>0</v>
      </c>
      <c r="BG82" s="252"/>
      <c r="BH82" s="243"/>
      <c r="BI82" s="250"/>
      <c r="BJ82" s="250"/>
      <c r="BK82" s="250"/>
      <c r="BL82" s="250"/>
      <c r="BM82" s="250"/>
      <c r="BN82" s="250"/>
      <c r="BO82" s="255">
        <f t="shared" si="109"/>
        <v>0</v>
      </c>
      <c r="BP82" s="256">
        <f t="shared" si="110"/>
        <v>0</v>
      </c>
      <c r="BQ82" s="253">
        <f t="shared" si="111"/>
        <v>0</v>
      </c>
      <c r="BR82" s="255">
        <f t="shared" si="112"/>
        <v>0</v>
      </c>
      <c r="BT82" s="251"/>
      <c r="BU82" s="254"/>
      <c r="BV82" s="250"/>
      <c r="BW82" s="250"/>
      <c r="BX82" s="250"/>
      <c r="BY82" s="250"/>
      <c r="BZ82" s="250"/>
      <c r="CA82" s="250"/>
      <c r="CB82" s="250"/>
      <c r="CC82" s="255">
        <f t="shared" si="113"/>
        <v>0</v>
      </c>
      <c r="CD82" s="254"/>
      <c r="CE82" s="250"/>
      <c r="CF82" s="250"/>
      <c r="CG82" s="250"/>
      <c r="CH82" s="250"/>
      <c r="CI82" s="250"/>
      <c r="CJ82" s="250"/>
      <c r="CK82" s="250"/>
      <c r="CL82" s="255">
        <f t="shared" si="114"/>
        <v>0</v>
      </c>
      <c r="CM82" s="254"/>
      <c r="CN82" s="250"/>
      <c r="CO82" s="250"/>
      <c r="CP82" s="250"/>
      <c r="CQ82" s="250"/>
      <c r="CR82" s="250"/>
      <c r="CS82" s="250"/>
      <c r="CT82" s="250"/>
      <c r="CU82" s="255">
        <f t="shared" si="115"/>
        <v>0</v>
      </c>
      <c r="CV82" s="256">
        <f t="shared" si="116"/>
        <v>0</v>
      </c>
      <c r="CW82" s="253">
        <f t="shared" si="117"/>
        <v>0</v>
      </c>
      <c r="CX82" s="255">
        <f t="shared" si="118"/>
        <v>0</v>
      </c>
      <c r="CZ82" s="251"/>
      <c r="DA82" s="252"/>
      <c r="DB82" s="243"/>
      <c r="DC82" s="250"/>
      <c r="DD82" s="250"/>
      <c r="DE82" s="250"/>
      <c r="DF82" s="250"/>
      <c r="DG82" s="250"/>
      <c r="DH82" s="250"/>
      <c r="DI82" s="255">
        <f t="shared" si="119"/>
        <v>0</v>
      </c>
      <c r="DJ82" s="252"/>
      <c r="DK82" s="243"/>
      <c r="DL82" s="250"/>
      <c r="DM82" s="250"/>
      <c r="DN82" s="250"/>
      <c r="DO82" s="250"/>
      <c r="DP82" s="250"/>
      <c r="DQ82" s="250"/>
      <c r="DR82" s="255">
        <f t="shared" si="120"/>
        <v>0</v>
      </c>
      <c r="DS82" s="252"/>
      <c r="DT82" s="243"/>
      <c r="DU82" s="250"/>
      <c r="DV82" s="250"/>
      <c r="DW82" s="250"/>
      <c r="DX82" s="250"/>
      <c r="DY82" s="250"/>
      <c r="DZ82" s="250"/>
      <c r="EA82" s="255">
        <f t="shared" si="121"/>
        <v>0</v>
      </c>
      <c r="EB82" s="256">
        <f t="shared" si="122"/>
        <v>0</v>
      </c>
      <c r="EC82" s="253">
        <f t="shared" si="123"/>
        <v>0</v>
      </c>
      <c r="ED82" s="255">
        <f t="shared" si="124"/>
        <v>0</v>
      </c>
    </row>
    <row r="83" spans="1:134" s="213" customFormat="1" ht="30" customHeight="1" x14ac:dyDescent="0.25">
      <c r="A83" s="247">
        <v>12</v>
      </c>
      <c r="B83" s="248" t="s">
        <v>146</v>
      </c>
      <c r="C83" s="248" t="s">
        <v>145</v>
      </c>
      <c r="D83" s="248" t="s">
        <v>41</v>
      </c>
      <c r="E83" s="268" t="s">
        <v>360</v>
      </c>
      <c r="F83" s="250" t="s">
        <v>164</v>
      </c>
      <c r="G83" s="364">
        <v>4.9853523760978798E-2</v>
      </c>
      <c r="H83" s="214"/>
      <c r="I83" s="252">
        <v>657.74807528716633</v>
      </c>
      <c r="J83" s="243">
        <v>490.69744241352765</v>
      </c>
      <c r="K83" s="250">
        <v>420</v>
      </c>
      <c r="L83" s="250">
        <v>268.8</v>
      </c>
      <c r="M83" s="250">
        <f>'FUS-Working'!BW62</f>
        <v>700</v>
      </c>
      <c r="N83" s="250">
        <f>'FUS-Working'!BX62</f>
        <v>448</v>
      </c>
      <c r="O83" s="250">
        <f>'FUS-Working'!DG62</f>
        <v>1120</v>
      </c>
      <c r="P83" s="250">
        <f>'FUS-Working'!DH62</f>
        <v>716.8</v>
      </c>
      <c r="Q83" s="255">
        <f t="shared" si="125"/>
        <v>1.4607779418502205</v>
      </c>
      <c r="R83" s="252">
        <v>657.74807528716633</v>
      </c>
      <c r="S83" s="243">
        <v>490.69744241352765</v>
      </c>
      <c r="T83" s="250">
        <f>'FUS-Working'!DG134</f>
        <v>864</v>
      </c>
      <c r="U83" s="250">
        <f>'FUS-Working'!DH134</f>
        <v>561.6</v>
      </c>
      <c r="V83" s="250">
        <f>'FUS-Working'!DG134</f>
        <v>864</v>
      </c>
      <c r="W83" s="250">
        <f>'FUS-Working'!DH134</f>
        <v>561.6</v>
      </c>
      <c r="X83" s="250">
        <f>'FUS-Working'!DG134</f>
        <v>864</v>
      </c>
      <c r="Y83" s="250">
        <f>'FUS-Working'!DH134</f>
        <v>561.6</v>
      </c>
      <c r="Z83" s="255">
        <f t="shared" si="104"/>
        <v>1.7607591263373192</v>
      </c>
      <c r="AA83" s="252">
        <v>657.74807528716633</v>
      </c>
      <c r="AB83" s="243">
        <v>490.69744241352765</v>
      </c>
      <c r="AC83" s="250">
        <f>'FUS-Working'!AP205</f>
        <v>0</v>
      </c>
      <c r="AD83" s="250">
        <f>'FUS-Working'!AQ205</f>
        <v>0</v>
      </c>
      <c r="AE83" s="250">
        <f>'FUS-Working'!BW205</f>
        <v>760</v>
      </c>
      <c r="AF83" s="250">
        <f>'FUS-Working'!BX205</f>
        <v>508</v>
      </c>
      <c r="AG83" s="250">
        <f>'FUS-Working'!DG205</f>
        <v>760</v>
      </c>
      <c r="AH83" s="250">
        <f>'FUS-Working'!DH205</f>
        <v>508</v>
      </c>
      <c r="AI83" s="255">
        <f t="shared" si="126"/>
        <v>1.0352611529853684</v>
      </c>
      <c r="AJ83" s="256">
        <f t="shared" si="127"/>
        <v>1472.092327240583</v>
      </c>
      <c r="AK83" s="253">
        <f t="shared" si="128"/>
        <v>1786.4</v>
      </c>
      <c r="AL83" s="255">
        <f t="shared" si="106"/>
        <v>1.2135108423182821</v>
      </c>
      <c r="AN83" s="251"/>
      <c r="AO83" s="252"/>
      <c r="AP83" s="243"/>
      <c r="AQ83" s="250"/>
      <c r="AR83" s="250"/>
      <c r="AS83" s="250"/>
      <c r="AT83" s="250"/>
      <c r="AU83" s="250"/>
      <c r="AV83" s="250"/>
      <c r="AW83" s="255">
        <f t="shared" si="107"/>
        <v>0</v>
      </c>
      <c r="AX83" s="252"/>
      <c r="AY83" s="243"/>
      <c r="AZ83" s="250"/>
      <c r="BA83" s="250"/>
      <c r="BB83" s="250"/>
      <c r="BC83" s="250"/>
      <c r="BD83" s="250"/>
      <c r="BE83" s="250"/>
      <c r="BF83" s="255">
        <f t="shared" si="108"/>
        <v>0</v>
      </c>
      <c r="BG83" s="252"/>
      <c r="BH83" s="243"/>
      <c r="BI83" s="250"/>
      <c r="BJ83" s="250"/>
      <c r="BK83" s="250"/>
      <c r="BL83" s="250"/>
      <c r="BM83" s="250"/>
      <c r="BN83" s="250"/>
      <c r="BO83" s="255">
        <f t="shared" si="109"/>
        <v>0</v>
      </c>
      <c r="BP83" s="256">
        <f t="shared" si="110"/>
        <v>0</v>
      </c>
      <c r="BQ83" s="253">
        <f t="shared" si="111"/>
        <v>0</v>
      </c>
      <c r="BR83" s="255">
        <f t="shared" si="112"/>
        <v>0</v>
      </c>
      <c r="BT83" s="251"/>
      <c r="BU83" s="254"/>
      <c r="BV83" s="250"/>
      <c r="BW83" s="250"/>
      <c r="BX83" s="250"/>
      <c r="BY83" s="250"/>
      <c r="BZ83" s="250"/>
      <c r="CA83" s="250"/>
      <c r="CB83" s="250"/>
      <c r="CC83" s="255">
        <f t="shared" si="113"/>
        <v>0</v>
      </c>
      <c r="CD83" s="254"/>
      <c r="CE83" s="250"/>
      <c r="CF83" s="250"/>
      <c r="CG83" s="250"/>
      <c r="CH83" s="250"/>
      <c r="CI83" s="250"/>
      <c r="CJ83" s="250"/>
      <c r="CK83" s="250"/>
      <c r="CL83" s="255">
        <f t="shared" si="114"/>
        <v>0</v>
      </c>
      <c r="CM83" s="254"/>
      <c r="CN83" s="250"/>
      <c r="CO83" s="250"/>
      <c r="CP83" s="250"/>
      <c r="CQ83" s="250"/>
      <c r="CR83" s="250"/>
      <c r="CS83" s="250"/>
      <c r="CT83" s="250"/>
      <c r="CU83" s="255">
        <f t="shared" si="115"/>
        <v>0</v>
      </c>
      <c r="CV83" s="256">
        <f t="shared" si="116"/>
        <v>0</v>
      </c>
      <c r="CW83" s="253">
        <f t="shared" si="117"/>
        <v>0</v>
      </c>
      <c r="CX83" s="255">
        <f t="shared" si="118"/>
        <v>0</v>
      </c>
      <c r="CZ83" s="251"/>
      <c r="DA83" s="252"/>
      <c r="DB83" s="243"/>
      <c r="DC83" s="250"/>
      <c r="DD83" s="250"/>
      <c r="DE83" s="250"/>
      <c r="DF83" s="250"/>
      <c r="DG83" s="250"/>
      <c r="DH83" s="250"/>
      <c r="DI83" s="255">
        <f t="shared" si="119"/>
        <v>0</v>
      </c>
      <c r="DJ83" s="252"/>
      <c r="DK83" s="243"/>
      <c r="DL83" s="250"/>
      <c r="DM83" s="250"/>
      <c r="DN83" s="250"/>
      <c r="DO83" s="250"/>
      <c r="DP83" s="250"/>
      <c r="DQ83" s="250"/>
      <c r="DR83" s="255">
        <f t="shared" si="120"/>
        <v>0</v>
      </c>
      <c r="DS83" s="252"/>
      <c r="DT83" s="243"/>
      <c r="DU83" s="250"/>
      <c r="DV83" s="250"/>
      <c r="DW83" s="250"/>
      <c r="DX83" s="250"/>
      <c r="DY83" s="250"/>
      <c r="DZ83" s="250"/>
      <c r="EA83" s="255">
        <f t="shared" si="121"/>
        <v>0</v>
      </c>
      <c r="EB83" s="256">
        <f t="shared" si="122"/>
        <v>0</v>
      </c>
      <c r="EC83" s="253">
        <f t="shared" si="123"/>
        <v>0</v>
      </c>
      <c r="ED83" s="255">
        <f t="shared" si="124"/>
        <v>0</v>
      </c>
    </row>
    <row r="84" spans="1:134" s="213" customFormat="1" ht="30" customHeight="1" x14ac:dyDescent="0.25">
      <c r="A84" s="247">
        <v>13</v>
      </c>
      <c r="B84" s="248" t="s">
        <v>43</v>
      </c>
      <c r="C84" s="248" t="s">
        <v>460</v>
      </c>
      <c r="D84" s="248" t="s">
        <v>46</v>
      </c>
      <c r="E84" s="268" t="s">
        <v>358</v>
      </c>
      <c r="F84" s="250" t="s">
        <v>164</v>
      </c>
      <c r="G84" s="364">
        <v>5.2941795144402302E-2</v>
      </c>
      <c r="H84" s="214"/>
      <c r="I84" s="252">
        <v>698.49353127840664</v>
      </c>
      <c r="J84" s="243">
        <v>521.09462911171067</v>
      </c>
      <c r="K84" s="250">
        <v>0</v>
      </c>
      <c r="L84" s="250">
        <v>0</v>
      </c>
      <c r="M84" s="250">
        <f>'FUS-Working'!BW63</f>
        <v>0</v>
      </c>
      <c r="N84" s="250">
        <f>'FUS-Working'!BX63</f>
        <v>0</v>
      </c>
      <c r="O84" s="250">
        <f>'FUS-Working'!DG63</f>
        <v>0</v>
      </c>
      <c r="P84" s="250">
        <f>'FUS-Working'!DH63</f>
        <v>0</v>
      </c>
      <c r="Q84" s="255">
        <f t="shared" si="125"/>
        <v>0</v>
      </c>
      <c r="R84" s="252">
        <v>698.49353127840664</v>
      </c>
      <c r="S84" s="243">
        <v>521.09462911171067</v>
      </c>
      <c r="T84" s="250">
        <f>'FUS-Working'!DG135</f>
        <v>0</v>
      </c>
      <c r="U84" s="250">
        <f>'FUS-Working'!DH135</f>
        <v>0</v>
      </c>
      <c r="V84" s="250">
        <f>'FUS-Working'!DG135</f>
        <v>0</v>
      </c>
      <c r="W84" s="250">
        <f>'FUS-Working'!DH135</f>
        <v>0</v>
      </c>
      <c r="X84" s="250">
        <f>'FUS-Working'!DG135</f>
        <v>0</v>
      </c>
      <c r="Y84" s="250">
        <f>'FUS-Working'!DH135</f>
        <v>0</v>
      </c>
      <c r="Z84" s="255">
        <f t="shared" si="104"/>
        <v>0</v>
      </c>
      <c r="AA84" s="252">
        <v>698.49353127840664</v>
      </c>
      <c r="AB84" s="243">
        <v>521.09462911171067</v>
      </c>
      <c r="AC84" s="250">
        <f>'FUS-Working'!AP206</f>
        <v>1400</v>
      </c>
      <c r="AD84" s="250">
        <f>'FUS-Working'!AQ206</f>
        <v>896</v>
      </c>
      <c r="AE84" s="250">
        <f>'FUS-Working'!BW206</f>
        <v>1400</v>
      </c>
      <c r="AF84" s="250">
        <f>'FUS-Working'!BX206</f>
        <v>896</v>
      </c>
      <c r="AG84" s="250">
        <f>'FUS-Working'!DG206</f>
        <v>1400</v>
      </c>
      <c r="AH84" s="250">
        <f>'FUS-Working'!DH206</f>
        <v>896</v>
      </c>
      <c r="AI84" s="255">
        <f t="shared" si="126"/>
        <v>1.7194573690528641</v>
      </c>
      <c r="AJ84" s="256">
        <f t="shared" si="127"/>
        <v>1563.283887335132</v>
      </c>
      <c r="AK84" s="253">
        <f t="shared" si="128"/>
        <v>896</v>
      </c>
      <c r="AL84" s="255">
        <f t="shared" si="106"/>
        <v>0.57315245635095469</v>
      </c>
      <c r="AN84" s="251"/>
      <c r="AO84" s="252"/>
      <c r="AP84" s="243"/>
      <c r="AQ84" s="250"/>
      <c r="AR84" s="250"/>
      <c r="AS84" s="250"/>
      <c r="AT84" s="250"/>
      <c r="AU84" s="250"/>
      <c r="AV84" s="250"/>
      <c r="AW84" s="255">
        <f t="shared" si="107"/>
        <v>0</v>
      </c>
      <c r="AX84" s="252"/>
      <c r="AY84" s="243"/>
      <c r="AZ84" s="250"/>
      <c r="BA84" s="250"/>
      <c r="BB84" s="250"/>
      <c r="BC84" s="250"/>
      <c r="BD84" s="250"/>
      <c r="BE84" s="250"/>
      <c r="BF84" s="255">
        <f t="shared" si="108"/>
        <v>0</v>
      </c>
      <c r="BG84" s="252"/>
      <c r="BH84" s="243"/>
      <c r="BI84" s="250"/>
      <c r="BJ84" s="250"/>
      <c r="BK84" s="250"/>
      <c r="BL84" s="250"/>
      <c r="BM84" s="250"/>
      <c r="BN84" s="250"/>
      <c r="BO84" s="255">
        <f t="shared" si="109"/>
        <v>0</v>
      </c>
      <c r="BP84" s="256">
        <f t="shared" si="110"/>
        <v>0</v>
      </c>
      <c r="BQ84" s="253">
        <f t="shared" si="111"/>
        <v>0</v>
      </c>
      <c r="BR84" s="255">
        <f t="shared" si="112"/>
        <v>0</v>
      </c>
      <c r="BT84" s="251"/>
      <c r="BU84" s="254"/>
      <c r="BV84" s="250"/>
      <c r="BW84" s="250"/>
      <c r="BX84" s="250"/>
      <c r="BY84" s="250"/>
      <c r="BZ84" s="250"/>
      <c r="CA84" s="250"/>
      <c r="CB84" s="250"/>
      <c r="CC84" s="255">
        <f t="shared" si="113"/>
        <v>0</v>
      </c>
      <c r="CD84" s="254"/>
      <c r="CE84" s="250"/>
      <c r="CF84" s="250"/>
      <c r="CG84" s="250"/>
      <c r="CH84" s="250"/>
      <c r="CI84" s="250"/>
      <c r="CJ84" s="250"/>
      <c r="CK84" s="250"/>
      <c r="CL84" s="255">
        <f t="shared" si="114"/>
        <v>0</v>
      </c>
      <c r="CM84" s="254"/>
      <c r="CN84" s="250"/>
      <c r="CO84" s="250"/>
      <c r="CP84" s="250"/>
      <c r="CQ84" s="250"/>
      <c r="CR84" s="250"/>
      <c r="CS84" s="250"/>
      <c r="CT84" s="250"/>
      <c r="CU84" s="255">
        <f t="shared" si="115"/>
        <v>0</v>
      </c>
      <c r="CV84" s="256">
        <f t="shared" si="116"/>
        <v>0</v>
      </c>
      <c r="CW84" s="253">
        <f t="shared" si="117"/>
        <v>0</v>
      </c>
      <c r="CX84" s="255">
        <f t="shared" si="118"/>
        <v>0</v>
      </c>
      <c r="CZ84" s="251"/>
      <c r="DA84" s="252"/>
      <c r="DB84" s="243"/>
      <c r="DC84" s="250"/>
      <c r="DD84" s="250"/>
      <c r="DE84" s="250"/>
      <c r="DF84" s="250"/>
      <c r="DG84" s="250"/>
      <c r="DH84" s="250"/>
      <c r="DI84" s="255">
        <f t="shared" si="119"/>
        <v>0</v>
      </c>
      <c r="DJ84" s="252"/>
      <c r="DK84" s="243"/>
      <c r="DL84" s="250"/>
      <c r="DM84" s="250"/>
      <c r="DN84" s="250"/>
      <c r="DO84" s="250"/>
      <c r="DP84" s="250"/>
      <c r="DQ84" s="250"/>
      <c r="DR84" s="255">
        <f t="shared" si="120"/>
        <v>0</v>
      </c>
      <c r="DS84" s="252"/>
      <c r="DT84" s="243"/>
      <c r="DU84" s="250"/>
      <c r="DV84" s="250"/>
      <c r="DW84" s="250"/>
      <c r="DX84" s="250"/>
      <c r="DY84" s="250"/>
      <c r="DZ84" s="250"/>
      <c r="EA84" s="255">
        <f t="shared" si="121"/>
        <v>0</v>
      </c>
      <c r="EB84" s="256">
        <f t="shared" si="122"/>
        <v>0</v>
      </c>
      <c r="EC84" s="253">
        <f t="shared" si="123"/>
        <v>0</v>
      </c>
      <c r="ED84" s="255">
        <f t="shared" si="124"/>
        <v>0</v>
      </c>
    </row>
    <row r="85" spans="1:134" s="213" customFormat="1" ht="30" customHeight="1" x14ac:dyDescent="0.25">
      <c r="A85" s="247">
        <v>14</v>
      </c>
      <c r="B85" s="248" t="s">
        <v>140</v>
      </c>
      <c r="C85" s="248" t="s">
        <v>461</v>
      </c>
      <c r="D85" s="248" t="s">
        <v>41</v>
      </c>
      <c r="E85" s="268" t="s">
        <v>358</v>
      </c>
      <c r="F85" s="250" t="s">
        <v>164</v>
      </c>
      <c r="G85" s="364">
        <v>4.7693309441247403E-2</v>
      </c>
      <c r="H85" s="214"/>
      <c r="I85" s="252">
        <v>629.24704459125257</v>
      </c>
      <c r="J85" s="243">
        <v>469.4349204935229</v>
      </c>
      <c r="K85" s="250">
        <v>140</v>
      </c>
      <c r="L85" s="250">
        <v>89.600000000000009</v>
      </c>
      <c r="M85" s="250">
        <f>'FUS-Working'!BW64</f>
        <v>280</v>
      </c>
      <c r="N85" s="250">
        <f>'FUS-Working'!BX64</f>
        <v>179.20000000000002</v>
      </c>
      <c r="O85" s="250">
        <f>'FUS-Working'!DG64</f>
        <v>502</v>
      </c>
      <c r="P85" s="250">
        <f>'FUS-Working'!DH64</f>
        <v>325.60000000000002</v>
      </c>
      <c r="Q85" s="255">
        <f t="shared" si="125"/>
        <v>0.69359987036689263</v>
      </c>
      <c r="R85" s="252">
        <v>629.24704459125257</v>
      </c>
      <c r="S85" s="243">
        <v>469.4349204935229</v>
      </c>
      <c r="T85" s="250">
        <f>'FUS-Working'!DG136</f>
        <v>280</v>
      </c>
      <c r="U85" s="250">
        <f>'FUS-Working'!DH136</f>
        <v>179.20000000000002</v>
      </c>
      <c r="V85" s="250">
        <f>'FUS-Working'!DG136</f>
        <v>280</v>
      </c>
      <c r="W85" s="250">
        <f>'FUS-Working'!DH136</f>
        <v>179.20000000000002</v>
      </c>
      <c r="X85" s="250">
        <f>'FUS-Working'!DG136</f>
        <v>280</v>
      </c>
      <c r="Y85" s="250">
        <f>'FUS-Working'!DH136</f>
        <v>179.20000000000002</v>
      </c>
      <c r="Z85" s="255">
        <f t="shared" si="104"/>
        <v>0.59646180498381429</v>
      </c>
      <c r="AA85" s="252">
        <v>629.24704459125257</v>
      </c>
      <c r="AB85" s="243">
        <v>469.4349204935229</v>
      </c>
      <c r="AC85" s="250">
        <f>'FUS-Working'!AP207</f>
        <v>152</v>
      </c>
      <c r="AD85" s="250">
        <f>'FUS-Working'!AQ207</f>
        <v>101.60000000000001</v>
      </c>
      <c r="AE85" s="250">
        <f>'FUS-Working'!BW207</f>
        <v>432</v>
      </c>
      <c r="AF85" s="250">
        <f>'FUS-Working'!BX207</f>
        <v>280.8</v>
      </c>
      <c r="AG85" s="250">
        <f>'FUS-Working'!DG207</f>
        <v>432</v>
      </c>
      <c r="AH85" s="250">
        <f>'FUS-Working'!DH207</f>
        <v>280.8</v>
      </c>
      <c r="AI85" s="255">
        <f t="shared" si="126"/>
        <v>0.59816598156948231</v>
      </c>
      <c r="AJ85" s="256">
        <f t="shared" si="127"/>
        <v>1408.3047614805687</v>
      </c>
      <c r="AK85" s="253">
        <f t="shared" si="128"/>
        <v>785.60000000000014</v>
      </c>
      <c r="AL85" s="255">
        <f t="shared" si="106"/>
        <v>0.55783380237533875</v>
      </c>
      <c r="AN85" s="251"/>
      <c r="AO85" s="252"/>
      <c r="AP85" s="243"/>
      <c r="AQ85" s="250"/>
      <c r="AR85" s="250"/>
      <c r="AS85" s="250"/>
      <c r="AT85" s="250"/>
      <c r="AU85" s="250"/>
      <c r="AV85" s="250"/>
      <c r="AW85" s="255">
        <f t="shared" si="107"/>
        <v>0</v>
      </c>
      <c r="AX85" s="252"/>
      <c r="AY85" s="243"/>
      <c r="AZ85" s="250"/>
      <c r="BA85" s="250"/>
      <c r="BB85" s="250"/>
      <c r="BC85" s="250"/>
      <c r="BD85" s="250"/>
      <c r="BE85" s="250"/>
      <c r="BF85" s="255">
        <f t="shared" si="108"/>
        <v>0</v>
      </c>
      <c r="BG85" s="252"/>
      <c r="BH85" s="243"/>
      <c r="BI85" s="250"/>
      <c r="BJ85" s="250"/>
      <c r="BK85" s="250"/>
      <c r="BL85" s="250"/>
      <c r="BM85" s="250"/>
      <c r="BN85" s="250"/>
      <c r="BO85" s="255">
        <f t="shared" si="109"/>
        <v>0</v>
      </c>
      <c r="BP85" s="256">
        <f t="shared" si="110"/>
        <v>0</v>
      </c>
      <c r="BQ85" s="253">
        <f t="shared" si="111"/>
        <v>0</v>
      </c>
      <c r="BR85" s="255">
        <f t="shared" si="112"/>
        <v>0</v>
      </c>
      <c r="BT85" s="251"/>
      <c r="BU85" s="254"/>
      <c r="BV85" s="250"/>
      <c r="BW85" s="250"/>
      <c r="BX85" s="250"/>
      <c r="BY85" s="250"/>
      <c r="BZ85" s="250"/>
      <c r="CA85" s="250"/>
      <c r="CB85" s="250"/>
      <c r="CC85" s="255">
        <f t="shared" si="113"/>
        <v>0</v>
      </c>
      <c r="CD85" s="254"/>
      <c r="CE85" s="250"/>
      <c r="CF85" s="250"/>
      <c r="CG85" s="250"/>
      <c r="CH85" s="250"/>
      <c r="CI85" s="250"/>
      <c r="CJ85" s="250"/>
      <c r="CK85" s="250"/>
      <c r="CL85" s="255">
        <f t="shared" si="114"/>
        <v>0</v>
      </c>
      <c r="CM85" s="254"/>
      <c r="CN85" s="250"/>
      <c r="CO85" s="250"/>
      <c r="CP85" s="250"/>
      <c r="CQ85" s="250"/>
      <c r="CR85" s="250"/>
      <c r="CS85" s="250"/>
      <c r="CT85" s="250"/>
      <c r="CU85" s="255">
        <f t="shared" si="115"/>
        <v>0</v>
      </c>
      <c r="CV85" s="256">
        <f t="shared" si="116"/>
        <v>0</v>
      </c>
      <c r="CW85" s="253">
        <f t="shared" si="117"/>
        <v>0</v>
      </c>
      <c r="CX85" s="255">
        <f t="shared" si="118"/>
        <v>0</v>
      </c>
      <c r="CZ85" s="251"/>
      <c r="DA85" s="252"/>
      <c r="DB85" s="243"/>
      <c r="DC85" s="250"/>
      <c r="DD85" s="250"/>
      <c r="DE85" s="250"/>
      <c r="DF85" s="250"/>
      <c r="DG85" s="250"/>
      <c r="DH85" s="250"/>
      <c r="DI85" s="255">
        <f t="shared" si="119"/>
        <v>0</v>
      </c>
      <c r="DJ85" s="252"/>
      <c r="DK85" s="243"/>
      <c r="DL85" s="250"/>
      <c r="DM85" s="250"/>
      <c r="DN85" s="250"/>
      <c r="DO85" s="250"/>
      <c r="DP85" s="250"/>
      <c r="DQ85" s="250"/>
      <c r="DR85" s="255">
        <f t="shared" si="120"/>
        <v>0</v>
      </c>
      <c r="DS85" s="252"/>
      <c r="DT85" s="243"/>
      <c r="DU85" s="250"/>
      <c r="DV85" s="250"/>
      <c r="DW85" s="250"/>
      <c r="DX85" s="250"/>
      <c r="DY85" s="250"/>
      <c r="DZ85" s="250"/>
      <c r="EA85" s="255">
        <f t="shared" si="121"/>
        <v>0</v>
      </c>
      <c r="EB85" s="256">
        <f t="shared" si="122"/>
        <v>0</v>
      </c>
      <c r="EC85" s="253">
        <f t="shared" si="123"/>
        <v>0</v>
      </c>
      <c r="ED85" s="255">
        <f t="shared" si="124"/>
        <v>0</v>
      </c>
    </row>
    <row r="86" spans="1:134" s="213" customFormat="1" ht="30" customHeight="1" thickBot="1" x14ac:dyDescent="0.3">
      <c r="A86" s="217"/>
      <c r="B86" s="404" t="s">
        <v>445</v>
      </c>
      <c r="C86" s="405"/>
      <c r="D86" s="405"/>
      <c r="E86" s="405"/>
      <c r="F86" s="406"/>
      <c r="G86" s="367">
        <f>SUM(G72:G85)</f>
        <v>0.99999999999999989</v>
      </c>
      <c r="H86" s="261"/>
      <c r="I86" s="262">
        <f t="shared" ref="I86:P86" si="129">SUM(I72:I85)</f>
        <v>13193.61252056563</v>
      </c>
      <c r="J86" s="263">
        <f t="shared" si="129"/>
        <v>9842.7835265198355</v>
      </c>
      <c r="K86" s="263">
        <f t="shared" si="129"/>
        <v>5820</v>
      </c>
      <c r="L86" s="263">
        <f t="shared" si="129"/>
        <v>4234.4000000000005</v>
      </c>
      <c r="M86" s="263">
        <f t="shared" si="129"/>
        <v>7430</v>
      </c>
      <c r="N86" s="263">
        <f t="shared" si="129"/>
        <v>5264.8</v>
      </c>
      <c r="O86" s="263">
        <f t="shared" si="129"/>
        <v>11242</v>
      </c>
      <c r="P86" s="263">
        <f t="shared" si="129"/>
        <v>8572.7999999999993</v>
      </c>
      <c r="Q86" s="273">
        <f>IFERROR((P86/J86),0)</f>
        <v>0.87097313243778396</v>
      </c>
      <c r="R86" s="262">
        <f t="shared" ref="R86:Y86" si="130">SUM(R72:R85)</f>
        <v>13193.61252056563</v>
      </c>
      <c r="S86" s="263">
        <f t="shared" si="130"/>
        <v>9842.7835265198355</v>
      </c>
      <c r="T86" s="263">
        <f t="shared" si="130"/>
        <v>8236</v>
      </c>
      <c r="U86" s="263">
        <f t="shared" si="130"/>
        <v>6169.6</v>
      </c>
      <c r="V86" s="263">
        <f t="shared" si="130"/>
        <v>8236</v>
      </c>
      <c r="W86" s="263">
        <f t="shared" si="130"/>
        <v>6169.6</v>
      </c>
      <c r="X86" s="263">
        <f t="shared" si="130"/>
        <v>8236</v>
      </c>
      <c r="Y86" s="263">
        <f t="shared" si="130"/>
        <v>6169.6</v>
      </c>
      <c r="Z86" s="273">
        <f>IFERROR((X86/S86),0)</f>
        <v>0.83675516969456765</v>
      </c>
      <c r="AA86" s="262">
        <f t="shared" ref="AA86:AH86" si="131">SUM(AA72:AA85)</f>
        <v>13193.61252056563</v>
      </c>
      <c r="AB86" s="263">
        <f t="shared" si="131"/>
        <v>9842.7835265198355</v>
      </c>
      <c r="AC86" s="263">
        <f t="shared" si="131"/>
        <v>6076</v>
      </c>
      <c r="AD86" s="263">
        <f t="shared" si="131"/>
        <v>5068</v>
      </c>
      <c r="AE86" s="263">
        <f t="shared" si="131"/>
        <v>11306</v>
      </c>
      <c r="AF86" s="263">
        <f t="shared" si="131"/>
        <v>9156.7999999999993</v>
      </c>
      <c r="AG86" s="263">
        <f t="shared" si="131"/>
        <v>11306</v>
      </c>
      <c r="AH86" s="263">
        <f t="shared" si="131"/>
        <v>9156.7999999999993</v>
      </c>
      <c r="AI86" s="273">
        <f>IFERROR((AG86/AB86),0)</f>
        <v>1.148658808713791</v>
      </c>
      <c r="AJ86" s="262">
        <f>SUM(AJ72:AJ85)</f>
        <v>29528.350579559505</v>
      </c>
      <c r="AK86" s="263">
        <f>SUM(AK72:AK85)</f>
        <v>23899.200000000001</v>
      </c>
      <c r="AL86" s="266">
        <f t="shared" ref="AL86" si="132">IFERROR((AK86/AJ86),0)</f>
        <v>0.80936454393574608</v>
      </c>
      <c r="AN86" s="217"/>
      <c r="AO86" s="262">
        <f t="shared" ref="AO86:AV86" si="133">SUM(AO72:AO85)</f>
        <v>0</v>
      </c>
      <c r="AP86" s="263">
        <f t="shared" si="133"/>
        <v>0</v>
      </c>
      <c r="AQ86" s="263">
        <f t="shared" si="133"/>
        <v>0</v>
      </c>
      <c r="AR86" s="263">
        <f t="shared" si="133"/>
        <v>0</v>
      </c>
      <c r="AS86" s="263">
        <f t="shared" si="133"/>
        <v>0</v>
      </c>
      <c r="AT86" s="263">
        <f t="shared" si="133"/>
        <v>0</v>
      </c>
      <c r="AU86" s="263">
        <f t="shared" si="133"/>
        <v>0</v>
      </c>
      <c r="AV86" s="263">
        <f t="shared" si="133"/>
        <v>0</v>
      </c>
      <c r="AW86" s="273">
        <f>IFERROR((AU86/AP86),0)</f>
        <v>0</v>
      </c>
      <c r="AX86" s="262">
        <f t="shared" ref="AX86:BE86" si="134">SUM(AX72:AX85)</f>
        <v>0</v>
      </c>
      <c r="AY86" s="263">
        <f t="shared" si="134"/>
        <v>0</v>
      </c>
      <c r="AZ86" s="263">
        <f t="shared" si="134"/>
        <v>0</v>
      </c>
      <c r="BA86" s="263">
        <f t="shared" si="134"/>
        <v>0</v>
      </c>
      <c r="BB86" s="263">
        <f t="shared" si="134"/>
        <v>0</v>
      </c>
      <c r="BC86" s="263">
        <f t="shared" si="134"/>
        <v>0</v>
      </c>
      <c r="BD86" s="263">
        <f t="shared" si="134"/>
        <v>0</v>
      </c>
      <c r="BE86" s="263">
        <f t="shared" si="134"/>
        <v>0</v>
      </c>
      <c r="BF86" s="273">
        <f>IFERROR((BD86/AY86),0)</f>
        <v>0</v>
      </c>
      <c r="BG86" s="262">
        <f t="shared" ref="BG86:BN86" si="135">SUM(BG72:BG85)</f>
        <v>0</v>
      </c>
      <c r="BH86" s="263">
        <f t="shared" si="135"/>
        <v>0</v>
      </c>
      <c r="BI86" s="263">
        <f t="shared" si="135"/>
        <v>0</v>
      </c>
      <c r="BJ86" s="263">
        <f t="shared" si="135"/>
        <v>0</v>
      </c>
      <c r="BK86" s="263">
        <f t="shared" si="135"/>
        <v>0</v>
      </c>
      <c r="BL86" s="263">
        <f t="shared" si="135"/>
        <v>0</v>
      </c>
      <c r="BM86" s="263">
        <f t="shared" si="135"/>
        <v>0</v>
      </c>
      <c r="BN86" s="263">
        <f t="shared" si="135"/>
        <v>0</v>
      </c>
      <c r="BO86" s="273">
        <f>IFERROR((BM86/BH86),0)</f>
        <v>0</v>
      </c>
      <c r="BP86" s="262">
        <f>SUM(BP72:BP85)</f>
        <v>0</v>
      </c>
      <c r="BQ86" s="263">
        <f>SUM(BQ72:BQ85)</f>
        <v>0</v>
      </c>
      <c r="BR86" s="266">
        <f t="shared" ref="BR86" si="136">IFERROR((BQ86/BP86),0)</f>
        <v>0</v>
      </c>
      <c r="BT86" s="217"/>
      <c r="BU86" s="262">
        <f t="shared" ref="BU86:CB86" si="137">SUM(BU72:BU85)</f>
        <v>0</v>
      </c>
      <c r="BV86" s="263">
        <f t="shared" si="137"/>
        <v>0</v>
      </c>
      <c r="BW86" s="263">
        <f t="shared" si="137"/>
        <v>0</v>
      </c>
      <c r="BX86" s="263">
        <f t="shared" si="137"/>
        <v>0</v>
      </c>
      <c r="BY86" s="263">
        <f t="shared" si="137"/>
        <v>0</v>
      </c>
      <c r="BZ86" s="263">
        <f t="shared" si="137"/>
        <v>0</v>
      </c>
      <c r="CA86" s="263">
        <f t="shared" si="137"/>
        <v>0</v>
      </c>
      <c r="CB86" s="263">
        <f t="shared" si="137"/>
        <v>0</v>
      </c>
      <c r="CC86" s="273">
        <f>IFERROR((CA86/BV86),0)</f>
        <v>0</v>
      </c>
      <c r="CD86" s="262">
        <f t="shared" ref="CD86:CK86" si="138">SUM(CD72:CD85)</f>
        <v>0</v>
      </c>
      <c r="CE86" s="263">
        <f t="shared" si="138"/>
        <v>0</v>
      </c>
      <c r="CF86" s="263">
        <f t="shared" si="138"/>
        <v>0</v>
      </c>
      <c r="CG86" s="263">
        <f t="shared" si="138"/>
        <v>0</v>
      </c>
      <c r="CH86" s="263">
        <f t="shared" si="138"/>
        <v>0</v>
      </c>
      <c r="CI86" s="263">
        <f t="shared" si="138"/>
        <v>0</v>
      </c>
      <c r="CJ86" s="263">
        <f t="shared" si="138"/>
        <v>0</v>
      </c>
      <c r="CK86" s="263">
        <f t="shared" si="138"/>
        <v>0</v>
      </c>
      <c r="CL86" s="273">
        <f>IFERROR((CJ86/CE86),0)</f>
        <v>0</v>
      </c>
      <c r="CM86" s="262">
        <f t="shared" ref="CM86:CT86" si="139">SUM(CM72:CM85)</f>
        <v>0</v>
      </c>
      <c r="CN86" s="263">
        <f t="shared" si="139"/>
        <v>0</v>
      </c>
      <c r="CO86" s="263">
        <f t="shared" si="139"/>
        <v>0</v>
      </c>
      <c r="CP86" s="263">
        <f t="shared" si="139"/>
        <v>0</v>
      </c>
      <c r="CQ86" s="263">
        <f t="shared" si="139"/>
        <v>0</v>
      </c>
      <c r="CR86" s="263">
        <f t="shared" si="139"/>
        <v>0</v>
      </c>
      <c r="CS86" s="263">
        <f t="shared" si="139"/>
        <v>0</v>
      </c>
      <c r="CT86" s="263">
        <f t="shared" si="139"/>
        <v>0</v>
      </c>
      <c r="CU86" s="273">
        <f>IFERROR((CS86/CN86),0)</f>
        <v>0</v>
      </c>
      <c r="CV86" s="262">
        <f>SUM(CV72:CV85)</f>
        <v>0</v>
      </c>
      <c r="CW86" s="263">
        <f>SUM(CW72:CW85)</f>
        <v>0</v>
      </c>
      <c r="CX86" s="266">
        <f t="shared" ref="CX86" si="140">IFERROR((CW86/CV86),0)</f>
        <v>0</v>
      </c>
      <c r="CZ86" s="217"/>
      <c r="DA86" s="262">
        <f t="shared" ref="DA86:DH86" si="141">SUM(DA72:DA85)</f>
        <v>0</v>
      </c>
      <c r="DB86" s="263">
        <f t="shared" si="141"/>
        <v>0</v>
      </c>
      <c r="DC86" s="263">
        <f t="shared" si="141"/>
        <v>0</v>
      </c>
      <c r="DD86" s="263">
        <f t="shared" si="141"/>
        <v>0</v>
      </c>
      <c r="DE86" s="263">
        <f t="shared" si="141"/>
        <v>0</v>
      </c>
      <c r="DF86" s="263">
        <f t="shared" si="141"/>
        <v>0</v>
      </c>
      <c r="DG86" s="263">
        <f t="shared" si="141"/>
        <v>0</v>
      </c>
      <c r="DH86" s="263">
        <f t="shared" si="141"/>
        <v>0</v>
      </c>
      <c r="DI86" s="273">
        <f>IFERROR((DG86/DB86),0)</f>
        <v>0</v>
      </c>
      <c r="DJ86" s="262">
        <f t="shared" ref="DJ86:DQ86" si="142">SUM(DJ72:DJ85)</f>
        <v>0</v>
      </c>
      <c r="DK86" s="263">
        <f t="shared" si="142"/>
        <v>0</v>
      </c>
      <c r="DL86" s="263">
        <f t="shared" si="142"/>
        <v>0</v>
      </c>
      <c r="DM86" s="263">
        <f t="shared" si="142"/>
        <v>0</v>
      </c>
      <c r="DN86" s="263">
        <f t="shared" si="142"/>
        <v>0</v>
      </c>
      <c r="DO86" s="263">
        <f t="shared" si="142"/>
        <v>0</v>
      </c>
      <c r="DP86" s="263">
        <f t="shared" si="142"/>
        <v>0</v>
      </c>
      <c r="DQ86" s="263">
        <f t="shared" si="142"/>
        <v>0</v>
      </c>
      <c r="DR86" s="273">
        <f>IFERROR((DP86/DK86),0)</f>
        <v>0</v>
      </c>
      <c r="DS86" s="262">
        <f t="shared" ref="DS86:DZ86" si="143">SUM(DS72:DS85)</f>
        <v>0</v>
      </c>
      <c r="DT86" s="263">
        <f t="shared" si="143"/>
        <v>0</v>
      </c>
      <c r="DU86" s="263">
        <f t="shared" si="143"/>
        <v>0</v>
      </c>
      <c r="DV86" s="263">
        <f t="shared" si="143"/>
        <v>0</v>
      </c>
      <c r="DW86" s="263">
        <f t="shared" si="143"/>
        <v>0</v>
      </c>
      <c r="DX86" s="263">
        <f t="shared" si="143"/>
        <v>0</v>
      </c>
      <c r="DY86" s="263">
        <f t="shared" si="143"/>
        <v>0</v>
      </c>
      <c r="DZ86" s="263">
        <f t="shared" si="143"/>
        <v>0</v>
      </c>
      <c r="EA86" s="273">
        <f>IFERROR((DY86/DT86),0)</f>
        <v>0</v>
      </c>
      <c r="EB86" s="262">
        <f>SUM(EB72:EB85)</f>
        <v>0</v>
      </c>
      <c r="EC86" s="263">
        <f>SUM(EC72:EC85)</f>
        <v>0</v>
      </c>
      <c r="ED86" s="266">
        <f t="shared" ref="ED86" si="144">IFERROR((EC86/EB86),0)</f>
        <v>0</v>
      </c>
    </row>
    <row r="87" spans="1:134" s="213" customFormat="1" ht="30" customHeight="1" thickBot="1" x14ac:dyDescent="0.3">
      <c r="A87" s="212"/>
      <c r="B87" s="212"/>
      <c r="C87" s="212"/>
      <c r="D87" s="212"/>
      <c r="E87" s="212"/>
      <c r="F87" s="212"/>
      <c r="G87" s="212"/>
      <c r="H87" s="212"/>
      <c r="I87" s="212"/>
      <c r="J87" s="212"/>
      <c r="K87" s="212"/>
      <c r="L87" s="212"/>
      <c r="M87" s="212"/>
      <c r="N87" s="212"/>
      <c r="O87" s="212"/>
      <c r="P87" s="212"/>
      <c r="Q87" s="212"/>
      <c r="R87" s="212"/>
      <c r="S87" s="212"/>
      <c r="T87" s="212"/>
      <c r="U87" s="212"/>
      <c r="V87" s="212"/>
      <c r="W87" s="212"/>
      <c r="X87" s="212"/>
      <c r="Y87" s="212"/>
      <c r="Z87" s="212"/>
      <c r="AA87" s="212"/>
      <c r="AB87" s="212"/>
      <c r="AC87" s="212"/>
      <c r="AN87" s="212"/>
      <c r="AO87" s="212"/>
      <c r="AP87" s="212"/>
      <c r="AQ87" s="212"/>
      <c r="AR87" s="212"/>
      <c r="AS87" s="212"/>
      <c r="AT87" s="212"/>
      <c r="AU87" s="212"/>
      <c r="AV87" s="212"/>
      <c r="AW87" s="212"/>
      <c r="AX87" s="212"/>
      <c r="AY87" s="212"/>
      <c r="AZ87" s="212"/>
      <c r="BA87" s="212"/>
      <c r="BB87" s="212"/>
      <c r="BC87" s="212"/>
      <c r="BD87" s="212"/>
      <c r="BE87" s="212"/>
      <c r="BF87" s="212"/>
      <c r="BG87" s="212"/>
      <c r="BH87" s="212"/>
      <c r="BI87" s="212"/>
      <c r="BT87" s="212"/>
      <c r="BU87" s="212"/>
      <c r="BV87" s="212"/>
      <c r="BW87" s="212"/>
      <c r="BX87" s="212"/>
      <c r="BY87" s="212"/>
      <c r="BZ87" s="212"/>
      <c r="CA87" s="212"/>
      <c r="CB87" s="212"/>
      <c r="CC87" s="212"/>
      <c r="CD87" s="212"/>
      <c r="CE87" s="212"/>
      <c r="CF87" s="212"/>
      <c r="CG87" s="212"/>
      <c r="CH87" s="212"/>
      <c r="CI87" s="212"/>
      <c r="CJ87" s="212"/>
      <c r="CK87" s="212"/>
      <c r="CL87" s="212"/>
      <c r="CM87" s="212"/>
      <c r="CN87" s="212"/>
      <c r="CO87" s="212"/>
      <c r="CZ87" s="212"/>
      <c r="DA87" s="212"/>
      <c r="DB87" s="212"/>
      <c r="DC87" s="212"/>
      <c r="DD87" s="212"/>
      <c r="DE87" s="212"/>
      <c r="DF87" s="212"/>
      <c r="DG87" s="212"/>
      <c r="DH87" s="212"/>
      <c r="DI87" s="212"/>
      <c r="DJ87" s="212"/>
      <c r="DK87" s="212"/>
      <c r="DL87" s="212"/>
      <c r="DM87" s="212"/>
      <c r="DN87" s="212"/>
      <c r="DO87" s="212"/>
      <c r="DP87" s="212"/>
      <c r="DQ87" s="212"/>
      <c r="DR87" s="212"/>
      <c r="DS87" s="212"/>
      <c r="DT87" s="212"/>
      <c r="DU87" s="212"/>
    </row>
    <row r="88" spans="1:134" s="213" customFormat="1" ht="30" customHeight="1" thickBot="1" x14ac:dyDescent="0.3">
      <c r="A88" s="212"/>
      <c r="B88" s="212"/>
      <c r="C88" s="212"/>
      <c r="D88" s="212"/>
      <c r="E88" s="212"/>
      <c r="F88" s="212"/>
      <c r="G88" s="212"/>
      <c r="H88" s="212"/>
      <c r="I88" s="212"/>
      <c r="J88" s="212"/>
      <c r="K88" s="212"/>
      <c r="L88" s="212"/>
      <c r="M88" s="212"/>
      <c r="N88" s="212"/>
      <c r="O88" s="212"/>
      <c r="P88" s="212"/>
      <c r="Q88" s="212"/>
      <c r="R88" s="212"/>
      <c r="S88" s="212"/>
      <c r="T88" s="212"/>
      <c r="U88" s="212"/>
      <c r="V88" s="212"/>
      <c r="W88" s="212"/>
      <c r="X88" s="212"/>
      <c r="Y88" s="212"/>
      <c r="Z88" s="212"/>
      <c r="AA88" s="212"/>
      <c r="AB88" s="212"/>
      <c r="AC88" s="212"/>
      <c r="AN88" s="212"/>
      <c r="AO88" s="433" t="s">
        <v>371</v>
      </c>
      <c r="AP88" s="434"/>
      <c r="AQ88" s="434"/>
      <c r="AR88" s="434"/>
      <c r="AS88" s="434"/>
      <c r="AT88" s="434"/>
      <c r="AU88" s="434"/>
      <c r="AV88" s="434"/>
      <c r="AW88" s="434"/>
      <c r="AX88" s="434"/>
      <c r="AY88" s="434"/>
      <c r="AZ88" s="434"/>
      <c r="BA88" s="434"/>
      <c r="BB88" s="434"/>
      <c r="BC88" s="434"/>
      <c r="BD88" s="434"/>
      <c r="BE88" s="434"/>
      <c r="BF88" s="434"/>
      <c r="BG88" s="434"/>
      <c r="BH88" s="434"/>
      <c r="BI88" s="434"/>
      <c r="BJ88" s="434"/>
      <c r="BK88" s="434"/>
      <c r="BL88" s="434"/>
      <c r="BM88" s="434"/>
      <c r="BN88" s="434"/>
      <c r="BO88" s="434"/>
      <c r="BP88" s="434"/>
      <c r="BQ88" s="434"/>
      <c r="BR88" s="435"/>
      <c r="BT88" s="212"/>
      <c r="BU88" s="433" t="s">
        <v>372</v>
      </c>
      <c r="BV88" s="434"/>
      <c r="BW88" s="434"/>
      <c r="BX88" s="434"/>
      <c r="BY88" s="434"/>
      <c r="BZ88" s="434"/>
      <c r="CA88" s="434"/>
      <c r="CB88" s="434"/>
      <c r="CC88" s="434"/>
      <c r="CD88" s="434"/>
      <c r="CE88" s="434"/>
      <c r="CF88" s="434"/>
      <c r="CG88" s="434"/>
      <c r="CH88" s="434"/>
      <c r="CI88" s="434"/>
      <c r="CJ88" s="434"/>
      <c r="CK88" s="434"/>
      <c r="CL88" s="434"/>
      <c r="CM88" s="434"/>
      <c r="CN88" s="434"/>
      <c r="CO88" s="434"/>
      <c r="CP88" s="434"/>
      <c r="CQ88" s="434"/>
      <c r="CR88" s="434"/>
      <c r="CS88" s="434"/>
      <c r="CT88" s="434"/>
      <c r="CU88" s="434"/>
      <c r="CV88" s="434"/>
      <c r="CW88" s="434"/>
      <c r="CX88" s="435"/>
      <c r="CY88" s="351"/>
      <c r="CZ88" s="351"/>
      <c r="DA88" s="433" t="s">
        <v>373</v>
      </c>
      <c r="DB88" s="434"/>
      <c r="DC88" s="434"/>
      <c r="DD88" s="434"/>
      <c r="DE88" s="434"/>
      <c r="DF88" s="434"/>
      <c r="DG88" s="434"/>
      <c r="DH88" s="434"/>
      <c r="DI88" s="434"/>
      <c r="DJ88" s="434"/>
      <c r="DK88" s="434"/>
      <c r="DL88" s="434"/>
      <c r="DM88" s="434"/>
      <c r="DN88" s="434"/>
      <c r="DO88" s="434"/>
      <c r="DP88" s="434"/>
      <c r="DQ88" s="434"/>
      <c r="DR88" s="434"/>
      <c r="DS88" s="434"/>
      <c r="DT88" s="434"/>
      <c r="DU88" s="434"/>
      <c r="DV88" s="434"/>
      <c r="DW88" s="434"/>
      <c r="DX88" s="434"/>
      <c r="DY88" s="434"/>
      <c r="DZ88" s="434"/>
      <c r="EA88" s="434"/>
      <c r="EB88" s="434"/>
      <c r="EC88" s="434"/>
      <c r="ED88" s="435"/>
    </row>
    <row r="89" spans="1:134" ht="25.15" customHeight="1" x14ac:dyDescent="0.25">
      <c r="A89" s="213"/>
      <c r="B89" s="234" t="s">
        <v>162</v>
      </c>
      <c r="C89" s="213"/>
      <c r="D89" s="213"/>
      <c r="E89" s="213"/>
      <c r="F89" s="213"/>
      <c r="I89" s="411">
        <v>46023</v>
      </c>
      <c r="J89" s="412"/>
      <c r="K89" s="412"/>
      <c r="L89" s="412"/>
      <c r="M89" s="412"/>
      <c r="N89" s="412"/>
      <c r="O89" s="412"/>
      <c r="P89" s="412"/>
      <c r="Q89" s="413"/>
      <c r="R89" s="425">
        <v>46054</v>
      </c>
      <c r="S89" s="426"/>
      <c r="T89" s="426"/>
      <c r="U89" s="426"/>
      <c r="V89" s="426"/>
      <c r="W89" s="426"/>
      <c r="X89" s="426"/>
      <c r="Y89" s="426"/>
      <c r="Z89" s="427"/>
      <c r="AA89" s="425">
        <v>46082</v>
      </c>
      <c r="AB89" s="426"/>
      <c r="AC89" s="426"/>
      <c r="AD89" s="426"/>
      <c r="AE89" s="426"/>
      <c r="AF89" s="426"/>
      <c r="AG89" s="426"/>
      <c r="AH89" s="426"/>
      <c r="AI89" s="427"/>
      <c r="AJ89" s="428" t="s">
        <v>160</v>
      </c>
      <c r="AK89" s="429"/>
      <c r="AL89" s="430"/>
      <c r="AN89" s="213"/>
      <c r="AO89" s="411">
        <v>46113</v>
      </c>
      <c r="AP89" s="412"/>
      <c r="AQ89" s="412"/>
      <c r="AR89" s="412"/>
      <c r="AS89" s="412"/>
      <c r="AT89" s="412"/>
      <c r="AU89" s="412"/>
      <c r="AV89" s="412"/>
      <c r="AW89" s="413"/>
      <c r="AX89" s="411">
        <v>46143</v>
      </c>
      <c r="AY89" s="412"/>
      <c r="AZ89" s="412"/>
      <c r="BA89" s="412"/>
      <c r="BB89" s="412"/>
      <c r="BC89" s="412"/>
      <c r="BD89" s="412"/>
      <c r="BE89" s="412"/>
      <c r="BF89" s="413"/>
      <c r="BG89" s="411">
        <v>46174</v>
      </c>
      <c r="BH89" s="412"/>
      <c r="BI89" s="412"/>
      <c r="BJ89" s="412"/>
      <c r="BK89" s="412"/>
      <c r="BL89" s="412"/>
      <c r="BM89" s="412"/>
      <c r="BN89" s="412"/>
      <c r="BO89" s="413"/>
      <c r="BP89" s="417" t="s">
        <v>374</v>
      </c>
      <c r="BQ89" s="418"/>
      <c r="BR89" s="419"/>
      <c r="BT89" s="213"/>
      <c r="BU89" s="411">
        <v>46204</v>
      </c>
      <c r="BV89" s="412"/>
      <c r="BW89" s="412"/>
      <c r="BX89" s="412"/>
      <c r="BY89" s="412"/>
      <c r="BZ89" s="412"/>
      <c r="CA89" s="412"/>
      <c r="CB89" s="412"/>
      <c r="CC89" s="413"/>
      <c r="CD89" s="411">
        <v>46235</v>
      </c>
      <c r="CE89" s="412"/>
      <c r="CF89" s="412"/>
      <c r="CG89" s="412"/>
      <c r="CH89" s="412"/>
      <c r="CI89" s="412"/>
      <c r="CJ89" s="412"/>
      <c r="CK89" s="412"/>
      <c r="CL89" s="413"/>
      <c r="CM89" s="411">
        <v>46266</v>
      </c>
      <c r="CN89" s="412"/>
      <c r="CO89" s="412"/>
      <c r="CP89" s="412"/>
      <c r="CQ89" s="412"/>
      <c r="CR89" s="412"/>
      <c r="CS89" s="412"/>
      <c r="CT89" s="412"/>
      <c r="CU89" s="413"/>
      <c r="CV89" s="417" t="s">
        <v>375</v>
      </c>
      <c r="CW89" s="418"/>
      <c r="CX89" s="419"/>
      <c r="CY89" s="355"/>
      <c r="CZ89" s="355"/>
      <c r="DA89" s="411">
        <v>46296</v>
      </c>
      <c r="DB89" s="412"/>
      <c r="DC89" s="412"/>
      <c r="DD89" s="412"/>
      <c r="DE89" s="412"/>
      <c r="DF89" s="412"/>
      <c r="DG89" s="412"/>
      <c r="DH89" s="412"/>
      <c r="DI89" s="413"/>
      <c r="DJ89" s="411">
        <v>46327</v>
      </c>
      <c r="DK89" s="412"/>
      <c r="DL89" s="412"/>
      <c r="DM89" s="412"/>
      <c r="DN89" s="412"/>
      <c r="DO89" s="412"/>
      <c r="DP89" s="412"/>
      <c r="DQ89" s="412"/>
      <c r="DR89" s="413"/>
      <c r="DS89" s="411">
        <v>46357</v>
      </c>
      <c r="DT89" s="412"/>
      <c r="DU89" s="412"/>
      <c r="DV89" s="412"/>
      <c r="DW89" s="412"/>
      <c r="DX89" s="412"/>
      <c r="DY89" s="412"/>
      <c r="DZ89" s="412"/>
      <c r="EA89" s="413"/>
      <c r="EB89" s="417" t="s">
        <v>446</v>
      </c>
      <c r="EC89" s="418"/>
      <c r="ED89" s="419"/>
    </row>
    <row r="90" spans="1:134" ht="25.15" customHeight="1" thickBot="1" x14ac:dyDescent="0.3">
      <c r="A90" s="213"/>
      <c r="B90" s="213"/>
      <c r="C90" s="213"/>
      <c r="D90" s="213"/>
      <c r="E90" s="213"/>
      <c r="F90" s="213"/>
      <c r="I90" s="420">
        <f>J4*H8</f>
        <v>11968.993069406311</v>
      </c>
      <c r="J90" s="421"/>
      <c r="K90" s="422">
        <v>10</v>
      </c>
      <c r="L90" s="422"/>
      <c r="M90" s="410">
        <v>20</v>
      </c>
      <c r="N90" s="410"/>
      <c r="O90" s="410">
        <v>30</v>
      </c>
      <c r="P90" s="410"/>
      <c r="Q90" s="267" t="s">
        <v>349</v>
      </c>
      <c r="R90" s="423">
        <f>J4*H8</f>
        <v>11968.993069406311</v>
      </c>
      <c r="S90" s="424"/>
      <c r="T90" s="422">
        <v>10</v>
      </c>
      <c r="U90" s="422"/>
      <c r="V90" s="410">
        <v>20</v>
      </c>
      <c r="W90" s="410"/>
      <c r="X90" s="410">
        <v>30</v>
      </c>
      <c r="Y90" s="410"/>
      <c r="Z90" s="267" t="s">
        <v>349</v>
      </c>
      <c r="AA90" s="423">
        <f>J4*H8</f>
        <v>11968.993069406311</v>
      </c>
      <c r="AB90" s="424"/>
      <c r="AC90" s="422">
        <v>10</v>
      </c>
      <c r="AD90" s="422"/>
      <c r="AE90" s="410">
        <v>20</v>
      </c>
      <c r="AF90" s="410"/>
      <c r="AG90" s="410">
        <v>30</v>
      </c>
      <c r="AH90" s="410"/>
      <c r="AI90" s="267" t="s">
        <v>349</v>
      </c>
      <c r="AJ90" s="252" t="s">
        <v>119</v>
      </c>
      <c r="AK90" s="243" t="s">
        <v>159</v>
      </c>
      <c r="AL90" s="260" t="s">
        <v>110</v>
      </c>
      <c r="AO90" s="415"/>
      <c r="AP90" s="416"/>
      <c r="AQ90" s="414">
        <v>10</v>
      </c>
      <c r="AR90" s="414"/>
      <c r="AS90" s="414">
        <v>20</v>
      </c>
      <c r="AT90" s="414"/>
      <c r="AU90" s="414">
        <v>30</v>
      </c>
      <c r="AV90" s="414"/>
      <c r="AW90" s="356" t="s">
        <v>110</v>
      </c>
      <c r="AX90" s="415"/>
      <c r="AY90" s="416"/>
      <c r="AZ90" s="414">
        <v>10</v>
      </c>
      <c r="BA90" s="414"/>
      <c r="BB90" s="414">
        <v>20</v>
      </c>
      <c r="BC90" s="414"/>
      <c r="BD90" s="414">
        <v>31</v>
      </c>
      <c r="BE90" s="414"/>
      <c r="BF90" s="356" t="s">
        <v>110</v>
      </c>
      <c r="BG90" s="415"/>
      <c r="BH90" s="416"/>
      <c r="BI90" s="414">
        <v>10</v>
      </c>
      <c r="BJ90" s="414"/>
      <c r="BK90" s="414">
        <v>20</v>
      </c>
      <c r="BL90" s="414"/>
      <c r="BM90" s="414">
        <v>30</v>
      </c>
      <c r="BN90" s="414"/>
      <c r="BO90" s="356" t="s">
        <v>110</v>
      </c>
      <c r="BP90" s="357" t="s">
        <v>119</v>
      </c>
      <c r="BQ90" s="358" t="s">
        <v>159</v>
      </c>
      <c r="BR90" s="359" t="s">
        <v>110</v>
      </c>
      <c r="BU90" s="408"/>
      <c r="BV90" s="409"/>
      <c r="BW90" s="407">
        <v>10</v>
      </c>
      <c r="BX90" s="407"/>
      <c r="BY90" s="407">
        <v>20</v>
      </c>
      <c r="BZ90" s="407"/>
      <c r="CA90" s="407">
        <v>30</v>
      </c>
      <c r="CB90" s="407"/>
      <c r="CC90" s="242" t="s">
        <v>110</v>
      </c>
      <c r="CD90" s="408"/>
      <c r="CE90" s="409"/>
      <c r="CF90" s="407">
        <v>10</v>
      </c>
      <c r="CG90" s="407"/>
      <c r="CH90" s="407">
        <v>20</v>
      </c>
      <c r="CI90" s="407"/>
      <c r="CJ90" s="407">
        <v>30</v>
      </c>
      <c r="CK90" s="407"/>
      <c r="CL90" s="242" t="s">
        <v>110</v>
      </c>
      <c r="CM90" s="408"/>
      <c r="CN90" s="409"/>
      <c r="CO90" s="407">
        <v>10</v>
      </c>
      <c r="CP90" s="407"/>
      <c r="CQ90" s="407">
        <v>20</v>
      </c>
      <c r="CR90" s="407"/>
      <c r="CS90" s="407">
        <v>30</v>
      </c>
      <c r="CT90" s="407"/>
      <c r="CU90" s="242" t="s">
        <v>110</v>
      </c>
      <c r="CV90" s="357" t="s">
        <v>119</v>
      </c>
      <c r="CW90" s="358" t="s">
        <v>159</v>
      </c>
      <c r="CX90" s="359" t="s">
        <v>110</v>
      </c>
      <c r="CY90" s="355"/>
      <c r="CZ90" s="355"/>
      <c r="DA90" s="408"/>
      <c r="DB90" s="409"/>
      <c r="DC90" s="407">
        <v>10</v>
      </c>
      <c r="DD90" s="407"/>
      <c r="DE90" s="407">
        <v>20</v>
      </c>
      <c r="DF90" s="407"/>
      <c r="DG90" s="407">
        <v>30</v>
      </c>
      <c r="DH90" s="407"/>
      <c r="DI90" s="242" t="s">
        <v>110</v>
      </c>
      <c r="DJ90" s="408"/>
      <c r="DK90" s="409"/>
      <c r="DL90" s="407">
        <v>10</v>
      </c>
      <c r="DM90" s="407"/>
      <c r="DN90" s="407">
        <v>20</v>
      </c>
      <c r="DO90" s="407"/>
      <c r="DP90" s="407">
        <v>30</v>
      </c>
      <c r="DQ90" s="407"/>
      <c r="DR90" s="242" t="s">
        <v>110</v>
      </c>
      <c r="DS90" s="408"/>
      <c r="DT90" s="409"/>
      <c r="DU90" s="407">
        <v>10</v>
      </c>
      <c r="DV90" s="407"/>
      <c r="DW90" s="407">
        <v>20</v>
      </c>
      <c r="DX90" s="407"/>
      <c r="DY90" s="407">
        <v>30</v>
      </c>
      <c r="DZ90" s="407"/>
      <c r="EA90" s="242" t="s">
        <v>110</v>
      </c>
      <c r="EB90" s="357" t="s">
        <v>119</v>
      </c>
      <c r="EC90" s="358" t="s">
        <v>159</v>
      </c>
      <c r="ED90" s="359" t="s">
        <v>110</v>
      </c>
    </row>
    <row r="91" spans="1:134" s="213" customFormat="1" ht="30" customHeight="1" x14ac:dyDescent="0.25">
      <c r="A91" s="243" t="s">
        <v>158</v>
      </c>
      <c r="B91" s="243" t="s">
        <v>157</v>
      </c>
      <c r="C91" s="243" t="s">
        <v>156</v>
      </c>
      <c r="D91" s="243" t="s">
        <v>155</v>
      </c>
      <c r="E91" s="243" t="s">
        <v>154</v>
      </c>
      <c r="F91" s="243" t="s">
        <v>153</v>
      </c>
      <c r="G91" s="243"/>
      <c r="H91" s="214"/>
      <c r="I91" s="252" t="s">
        <v>152</v>
      </c>
      <c r="J91" s="243" t="s">
        <v>348</v>
      </c>
      <c r="K91" s="243" t="s">
        <v>152</v>
      </c>
      <c r="L91" s="243" t="s">
        <v>348</v>
      </c>
      <c r="M91" s="243" t="s">
        <v>152</v>
      </c>
      <c r="N91" s="243" t="s">
        <v>348</v>
      </c>
      <c r="O91" s="243" t="s">
        <v>152</v>
      </c>
      <c r="P91" s="243" t="s">
        <v>348</v>
      </c>
      <c r="Q91" s="236" t="s">
        <v>348</v>
      </c>
      <c r="R91" s="235" t="s">
        <v>152</v>
      </c>
      <c r="S91" s="236" t="s">
        <v>348</v>
      </c>
      <c r="T91" s="243" t="s">
        <v>152</v>
      </c>
      <c r="U91" s="243" t="s">
        <v>348</v>
      </c>
      <c r="V91" s="243" t="s">
        <v>152</v>
      </c>
      <c r="W91" s="243" t="s">
        <v>348</v>
      </c>
      <c r="X91" s="243" t="s">
        <v>152</v>
      </c>
      <c r="Y91" s="243" t="s">
        <v>348</v>
      </c>
      <c r="Z91" s="236" t="s">
        <v>348</v>
      </c>
      <c r="AA91" s="235" t="s">
        <v>152</v>
      </c>
      <c r="AB91" s="236" t="s">
        <v>348</v>
      </c>
      <c r="AC91" s="243" t="s">
        <v>152</v>
      </c>
      <c r="AD91" s="243" t="s">
        <v>348</v>
      </c>
      <c r="AE91" s="243" t="s">
        <v>152</v>
      </c>
      <c r="AF91" s="243" t="s">
        <v>348</v>
      </c>
      <c r="AG91" s="243" t="s">
        <v>152</v>
      </c>
      <c r="AH91" s="243" t="s">
        <v>348</v>
      </c>
      <c r="AI91" s="236" t="s">
        <v>348</v>
      </c>
      <c r="AJ91" s="236" t="s">
        <v>348</v>
      </c>
      <c r="AK91" s="236" t="s">
        <v>348</v>
      </c>
      <c r="AL91" s="260"/>
      <c r="AN91" s="243"/>
      <c r="AO91" s="352" t="s">
        <v>265</v>
      </c>
      <c r="AP91" s="353" t="s">
        <v>152</v>
      </c>
      <c r="AQ91" s="353" t="s">
        <v>152</v>
      </c>
      <c r="AR91" s="353" t="s">
        <v>376</v>
      </c>
      <c r="AS91" s="353" t="s">
        <v>152</v>
      </c>
      <c r="AT91" s="353" t="s">
        <v>376</v>
      </c>
      <c r="AU91" s="353" t="s">
        <v>152</v>
      </c>
      <c r="AV91" s="353" t="s">
        <v>376</v>
      </c>
      <c r="AW91" s="354" t="s">
        <v>152</v>
      </c>
      <c r="AX91" s="352" t="s">
        <v>265</v>
      </c>
      <c r="AY91" s="353" t="s">
        <v>152</v>
      </c>
      <c r="AZ91" s="353" t="s">
        <v>152</v>
      </c>
      <c r="BA91" s="353" t="s">
        <v>376</v>
      </c>
      <c r="BB91" s="353" t="s">
        <v>152</v>
      </c>
      <c r="BC91" s="353" t="s">
        <v>376</v>
      </c>
      <c r="BD91" s="353" t="s">
        <v>152</v>
      </c>
      <c r="BE91" s="353" t="s">
        <v>376</v>
      </c>
      <c r="BF91" s="354" t="s">
        <v>152</v>
      </c>
      <c r="BG91" s="352" t="s">
        <v>265</v>
      </c>
      <c r="BH91" s="353" t="s">
        <v>152</v>
      </c>
      <c r="BI91" s="353" t="s">
        <v>152</v>
      </c>
      <c r="BJ91" s="353" t="s">
        <v>376</v>
      </c>
      <c r="BK91" s="353" t="s">
        <v>152</v>
      </c>
      <c r="BL91" s="353" t="s">
        <v>376</v>
      </c>
      <c r="BM91" s="353" t="s">
        <v>152</v>
      </c>
      <c r="BN91" s="353" t="s">
        <v>376</v>
      </c>
      <c r="BO91" s="354" t="s">
        <v>152</v>
      </c>
      <c r="BP91" s="352" t="s">
        <v>152</v>
      </c>
      <c r="BQ91" s="353" t="s">
        <v>152</v>
      </c>
      <c r="BR91" s="354" t="s">
        <v>152</v>
      </c>
      <c r="BT91" s="243"/>
      <c r="BU91" s="352" t="s">
        <v>265</v>
      </c>
      <c r="BV91" s="353" t="s">
        <v>152</v>
      </c>
      <c r="BW91" s="353" t="s">
        <v>152</v>
      </c>
      <c r="BX91" s="353" t="s">
        <v>376</v>
      </c>
      <c r="BY91" s="353" t="s">
        <v>152</v>
      </c>
      <c r="BZ91" s="353" t="s">
        <v>376</v>
      </c>
      <c r="CA91" s="353" t="s">
        <v>152</v>
      </c>
      <c r="CB91" s="353" t="s">
        <v>376</v>
      </c>
      <c r="CC91" s="354" t="s">
        <v>152</v>
      </c>
      <c r="CD91" s="352" t="s">
        <v>265</v>
      </c>
      <c r="CE91" s="353" t="s">
        <v>152</v>
      </c>
      <c r="CF91" s="353" t="s">
        <v>152</v>
      </c>
      <c r="CG91" s="353" t="s">
        <v>376</v>
      </c>
      <c r="CH91" s="353" t="s">
        <v>152</v>
      </c>
      <c r="CI91" s="353" t="s">
        <v>376</v>
      </c>
      <c r="CJ91" s="353" t="s">
        <v>152</v>
      </c>
      <c r="CK91" s="353" t="s">
        <v>376</v>
      </c>
      <c r="CL91" s="354" t="s">
        <v>152</v>
      </c>
      <c r="CM91" s="352" t="s">
        <v>265</v>
      </c>
      <c r="CN91" s="353" t="s">
        <v>152</v>
      </c>
      <c r="CO91" s="353" t="s">
        <v>152</v>
      </c>
      <c r="CP91" s="353" t="s">
        <v>376</v>
      </c>
      <c r="CQ91" s="353" t="s">
        <v>152</v>
      </c>
      <c r="CR91" s="353" t="s">
        <v>376</v>
      </c>
      <c r="CS91" s="353" t="s">
        <v>152</v>
      </c>
      <c r="CT91" s="353" t="s">
        <v>376</v>
      </c>
      <c r="CU91" s="354" t="s">
        <v>152</v>
      </c>
      <c r="CV91" s="352" t="s">
        <v>152</v>
      </c>
      <c r="CW91" s="353" t="s">
        <v>152</v>
      </c>
      <c r="CX91" s="354" t="s">
        <v>152</v>
      </c>
      <c r="CY91" s="360"/>
      <c r="CZ91" s="361" t="s">
        <v>267</v>
      </c>
      <c r="DA91" s="352" t="s">
        <v>265</v>
      </c>
      <c r="DB91" s="353" t="s">
        <v>152</v>
      </c>
      <c r="DC91" s="353" t="s">
        <v>152</v>
      </c>
      <c r="DD91" s="353" t="s">
        <v>376</v>
      </c>
      <c r="DE91" s="353" t="s">
        <v>152</v>
      </c>
      <c r="DF91" s="353" t="s">
        <v>376</v>
      </c>
      <c r="DG91" s="353" t="s">
        <v>152</v>
      </c>
      <c r="DH91" s="353" t="s">
        <v>376</v>
      </c>
      <c r="DI91" s="354" t="s">
        <v>152</v>
      </c>
      <c r="DJ91" s="352" t="s">
        <v>265</v>
      </c>
      <c r="DK91" s="353" t="s">
        <v>152</v>
      </c>
      <c r="DL91" s="353" t="s">
        <v>152</v>
      </c>
      <c r="DM91" s="353" t="s">
        <v>376</v>
      </c>
      <c r="DN91" s="353" t="s">
        <v>152</v>
      </c>
      <c r="DO91" s="353" t="s">
        <v>376</v>
      </c>
      <c r="DP91" s="353" t="s">
        <v>152</v>
      </c>
      <c r="DQ91" s="353" t="s">
        <v>376</v>
      </c>
      <c r="DR91" s="354" t="s">
        <v>152</v>
      </c>
      <c r="DS91" s="352" t="s">
        <v>265</v>
      </c>
      <c r="DT91" s="353" t="s">
        <v>152</v>
      </c>
      <c r="DU91" s="353" t="s">
        <v>152</v>
      </c>
      <c r="DV91" s="353" t="s">
        <v>376</v>
      </c>
      <c r="DW91" s="353" t="s">
        <v>152</v>
      </c>
      <c r="DX91" s="353" t="s">
        <v>376</v>
      </c>
      <c r="DY91" s="353" t="s">
        <v>152</v>
      </c>
      <c r="DZ91" s="353" t="s">
        <v>376</v>
      </c>
      <c r="EA91" s="354" t="s">
        <v>152</v>
      </c>
      <c r="EB91" s="362" t="s">
        <v>152</v>
      </c>
      <c r="EC91" s="363" t="s">
        <v>152</v>
      </c>
      <c r="ED91" s="354" t="s">
        <v>152</v>
      </c>
    </row>
    <row r="92" spans="1:134" ht="30" customHeight="1" x14ac:dyDescent="0.25">
      <c r="A92" s="243">
        <v>1</v>
      </c>
      <c r="B92" s="268" t="s">
        <v>151</v>
      </c>
      <c r="C92" s="268"/>
      <c r="D92" s="268" t="s">
        <v>40</v>
      </c>
      <c r="E92" s="249"/>
      <c r="F92" s="250"/>
      <c r="G92" s="250"/>
      <c r="H92" s="214"/>
      <c r="I92" s="252">
        <v>16043.65842178761</v>
      </c>
      <c r="J92" s="243">
        <v>11968.99306940631</v>
      </c>
      <c r="K92" s="250">
        <v>7157</v>
      </c>
      <c r="L92" s="250">
        <v>6402.97</v>
      </c>
      <c r="M92" s="250">
        <f>'FUS-Working'!BW69</f>
        <v>15915</v>
      </c>
      <c r="N92" s="250">
        <f>'FUS-Working'!BX69</f>
        <v>13535.75</v>
      </c>
      <c r="O92" s="250">
        <f>'FUS-Working'!DG69</f>
        <v>33461</v>
      </c>
      <c r="P92" s="250">
        <f>'FUS-Working'!DH69</f>
        <v>28303.63</v>
      </c>
      <c r="Q92" s="255">
        <f>IFERROR((P92/J92),0)</f>
        <v>2.364746126584893</v>
      </c>
      <c r="R92" s="252">
        <v>16043.65842178761</v>
      </c>
      <c r="S92" s="243">
        <v>11968.99306940631</v>
      </c>
      <c r="T92" s="250">
        <f>'FUS-Working'!DG141</f>
        <v>25317</v>
      </c>
      <c r="U92" s="250">
        <f>'FUS-Working'!DH141</f>
        <v>21167.33</v>
      </c>
      <c r="V92" s="250">
        <f>'FUS-Working'!DG141</f>
        <v>25317</v>
      </c>
      <c r="W92" s="250">
        <f>'FUS-Working'!DH141</f>
        <v>21167.33</v>
      </c>
      <c r="X92" s="250">
        <f>'FUS-Working'!DG141</f>
        <v>25317</v>
      </c>
      <c r="Y92" s="250">
        <f>'FUS-Working'!DH141</f>
        <v>21167.33</v>
      </c>
      <c r="Z92" s="255">
        <f t="shared" ref="Z92" si="145">IFERROR((X92/S92),0)</f>
        <v>2.1152155284233767</v>
      </c>
      <c r="AA92" s="252">
        <v>16043.65842178761</v>
      </c>
      <c r="AB92" s="243">
        <v>11968.99306940631</v>
      </c>
      <c r="AC92" s="250">
        <f>'FUS-Working'!AP212</f>
        <v>10583</v>
      </c>
      <c r="AD92" s="250">
        <f>'FUS-Working'!AQ212</f>
        <v>8215.17</v>
      </c>
      <c r="AE92" s="250">
        <f>'FUS-Working'!BW212</f>
        <v>31645</v>
      </c>
      <c r="AF92" s="250">
        <f>'FUS-Working'!BX212</f>
        <v>25619.57</v>
      </c>
      <c r="AG92" s="250">
        <f>'FUS-Working'!DG212</f>
        <v>31645</v>
      </c>
      <c r="AH92" s="250">
        <f>'FUS-Working'!DH212</f>
        <v>25619.57</v>
      </c>
      <c r="AI92" s="255">
        <f>IFERROR((AH92/AB92),0)</f>
        <v>2.1404950150305995</v>
      </c>
      <c r="AJ92" s="256">
        <f>+AB92+S92+J92</f>
        <v>35906.979208218931</v>
      </c>
      <c r="AK92" s="253">
        <f>P92+Y92+AH92</f>
        <v>75090.53</v>
      </c>
      <c r="AL92" s="255">
        <f t="shared" ref="AL92:AL93" si="146">IFERROR((AK92/AJ92),0)</f>
        <v>2.09125166348753</v>
      </c>
      <c r="AN92" s="250"/>
      <c r="AO92" s="252"/>
      <c r="AP92" s="243"/>
      <c r="AQ92" s="250"/>
      <c r="AR92" s="250"/>
      <c r="AS92" s="250"/>
      <c r="AT92" s="250"/>
      <c r="AU92" s="250"/>
      <c r="AV92" s="250"/>
      <c r="AW92" s="255">
        <f t="shared" ref="AW92" si="147">IFERROR((AU92/AP92),0)</f>
        <v>0</v>
      </c>
      <c r="AX92" s="252"/>
      <c r="AY92" s="243"/>
      <c r="AZ92" s="250"/>
      <c r="BA92" s="250"/>
      <c r="BB92" s="250"/>
      <c r="BC92" s="250"/>
      <c r="BD92" s="250"/>
      <c r="BE92" s="250"/>
      <c r="BF92" s="255">
        <f t="shared" ref="BF92" si="148">IFERROR((BD92/AY92),0)</f>
        <v>0</v>
      </c>
      <c r="BG92" s="252"/>
      <c r="BH92" s="243"/>
      <c r="BI92" s="250"/>
      <c r="BJ92" s="250"/>
      <c r="BK92" s="250"/>
      <c r="BL92" s="250"/>
      <c r="BM92" s="250"/>
      <c r="BN92" s="250"/>
      <c r="BO92" s="255">
        <f t="shared" ref="BO92" si="149">IFERROR((BM92/BH92),0)</f>
        <v>0</v>
      </c>
      <c r="BP92" s="256">
        <f t="shared" ref="BP92" si="150">+BH92+AY92+AP92</f>
        <v>0</v>
      </c>
      <c r="BQ92" s="253">
        <f t="shared" ref="BQ92" si="151">+BM92+BD92+AU92</f>
        <v>0</v>
      </c>
      <c r="BR92" s="255">
        <f t="shared" ref="BR92:BR93" si="152">IFERROR((BQ92/BP92),0)</f>
        <v>0</v>
      </c>
      <c r="BT92" s="250"/>
      <c r="BU92" s="252"/>
      <c r="BV92" s="243"/>
      <c r="BW92" s="250"/>
      <c r="BX92" s="250"/>
      <c r="BY92" s="250"/>
      <c r="BZ92" s="250"/>
      <c r="CA92" s="250"/>
      <c r="CB92" s="250"/>
      <c r="CC92" s="255">
        <f t="shared" ref="CC92" si="153">IFERROR((CA92/BV92),0)</f>
        <v>0</v>
      </c>
      <c r="CD92" s="252"/>
      <c r="CE92" s="243"/>
      <c r="CF92" s="250"/>
      <c r="CG92" s="250"/>
      <c r="CH92" s="250"/>
      <c r="CI92" s="250"/>
      <c r="CJ92" s="250"/>
      <c r="CK92" s="250"/>
      <c r="CL92" s="255">
        <f t="shared" ref="CL92" si="154">IFERROR((CJ92/CE92),0)</f>
        <v>0</v>
      </c>
      <c r="CM92" s="252"/>
      <c r="CN92" s="243"/>
      <c r="CO92" s="250"/>
      <c r="CP92" s="250"/>
      <c r="CQ92" s="250"/>
      <c r="CR92" s="250"/>
      <c r="CS92" s="250"/>
      <c r="CT92" s="250"/>
      <c r="CU92" s="255">
        <f t="shared" ref="CU92" si="155">IFERROR((CS92/CN92),0)</f>
        <v>0</v>
      </c>
      <c r="CV92" s="256">
        <f t="shared" ref="CV92" si="156">+CN92+CE92+BV92</f>
        <v>0</v>
      </c>
      <c r="CW92" s="253">
        <f t="shared" ref="CW92" si="157">+CS92+CJ92+CA92</f>
        <v>0</v>
      </c>
      <c r="CX92" s="255">
        <f t="shared" ref="CX92:CX93" si="158">IFERROR((CW92/CV92),0)</f>
        <v>0</v>
      </c>
      <c r="CZ92" s="250"/>
      <c r="DA92" s="252"/>
      <c r="DB92" s="243"/>
      <c r="DC92" s="250"/>
      <c r="DD92" s="250"/>
      <c r="DE92" s="250"/>
      <c r="DF92" s="250"/>
      <c r="DG92" s="250"/>
      <c r="DH92" s="250"/>
      <c r="DI92" s="255">
        <f t="shared" ref="DI92" si="159">IFERROR((DG92/DB92),0)</f>
        <v>0</v>
      </c>
      <c r="DJ92" s="252"/>
      <c r="DK92" s="243"/>
      <c r="DL92" s="250"/>
      <c r="DM92" s="250"/>
      <c r="DN92" s="250"/>
      <c r="DO92" s="250"/>
      <c r="DP92" s="250"/>
      <c r="DQ92" s="250"/>
      <c r="DR92" s="255">
        <f t="shared" ref="DR92" si="160">IFERROR((DP92/DK92),0)</f>
        <v>0</v>
      </c>
      <c r="DS92" s="252"/>
      <c r="DT92" s="243"/>
      <c r="DU92" s="250"/>
      <c r="DV92" s="250"/>
      <c r="DW92" s="250"/>
      <c r="DX92" s="250"/>
      <c r="DY92" s="250"/>
      <c r="DZ92" s="250"/>
      <c r="EA92" s="255">
        <f t="shared" ref="EA92" si="161">IFERROR((DY92/DT92),0)</f>
        <v>0</v>
      </c>
      <c r="EB92" s="256">
        <f t="shared" ref="EB92" si="162">+DT92+DK92+DB92</f>
        <v>0</v>
      </c>
      <c r="EC92" s="253">
        <f t="shared" ref="EC92" si="163">+DY92+DP92+DG92</f>
        <v>0</v>
      </c>
      <c r="ED92" s="255">
        <f t="shared" ref="ED92:ED93" si="164">IFERROR((EC92/EB92),0)</f>
        <v>0</v>
      </c>
    </row>
    <row r="93" spans="1:134" s="213" customFormat="1" ht="30" customHeight="1" thickBot="1" x14ac:dyDescent="0.3">
      <c r="A93" s="217"/>
      <c r="B93" s="404" t="s">
        <v>149</v>
      </c>
      <c r="C93" s="405"/>
      <c r="D93" s="405"/>
      <c r="E93" s="405"/>
      <c r="F93" s="406"/>
      <c r="G93" s="217"/>
      <c r="H93" s="261"/>
      <c r="I93" s="263">
        <f>SUM(I92)</f>
        <v>16043.65842178761</v>
      </c>
      <c r="J93" s="263">
        <f>SUM(J92)</f>
        <v>11968.99306940631</v>
      </c>
      <c r="K93" s="263">
        <f>SUM(K92)</f>
        <v>7157</v>
      </c>
      <c r="L93" s="263">
        <f t="shared" ref="L93:AK93" si="165">SUM(L92)</f>
        <v>6402.97</v>
      </c>
      <c r="M93" s="263">
        <f t="shared" si="165"/>
        <v>15915</v>
      </c>
      <c r="N93" s="263">
        <f t="shared" si="165"/>
        <v>13535.75</v>
      </c>
      <c r="O93" s="263">
        <f t="shared" si="165"/>
        <v>33461</v>
      </c>
      <c r="P93" s="263">
        <f t="shared" si="165"/>
        <v>28303.63</v>
      </c>
      <c r="Q93" s="273">
        <f>IFERROR((P93/J93),0)</f>
        <v>2.364746126584893</v>
      </c>
      <c r="R93" s="262">
        <f t="shared" si="165"/>
        <v>16043.65842178761</v>
      </c>
      <c r="S93" s="263">
        <f t="shared" si="165"/>
        <v>11968.99306940631</v>
      </c>
      <c r="T93" s="263">
        <f t="shared" si="165"/>
        <v>25317</v>
      </c>
      <c r="U93" s="263">
        <f t="shared" si="165"/>
        <v>21167.33</v>
      </c>
      <c r="V93" s="263">
        <f t="shared" si="165"/>
        <v>25317</v>
      </c>
      <c r="W93" s="263">
        <f t="shared" si="165"/>
        <v>21167.33</v>
      </c>
      <c r="X93" s="263">
        <f t="shared" si="165"/>
        <v>25317</v>
      </c>
      <c r="Y93" s="263">
        <f t="shared" si="165"/>
        <v>21167.33</v>
      </c>
      <c r="Z93" s="273">
        <f>IFERROR((X93/S93),0)</f>
        <v>2.1152155284233767</v>
      </c>
      <c r="AA93" s="262">
        <f t="shared" si="165"/>
        <v>16043.65842178761</v>
      </c>
      <c r="AB93" s="263">
        <f t="shared" si="165"/>
        <v>11968.99306940631</v>
      </c>
      <c r="AC93" s="263">
        <f t="shared" si="165"/>
        <v>10583</v>
      </c>
      <c r="AD93" s="263">
        <f t="shared" si="165"/>
        <v>8215.17</v>
      </c>
      <c r="AE93" s="263">
        <f t="shared" si="165"/>
        <v>31645</v>
      </c>
      <c r="AF93" s="263">
        <f t="shared" si="165"/>
        <v>25619.57</v>
      </c>
      <c r="AG93" s="263">
        <f t="shared" si="165"/>
        <v>31645</v>
      </c>
      <c r="AH93" s="263">
        <f t="shared" si="165"/>
        <v>25619.57</v>
      </c>
      <c r="AI93" s="273">
        <f>IFERROR((AH93/AB93),0)</f>
        <v>2.1404950150305995</v>
      </c>
      <c r="AJ93" s="262">
        <f t="shared" si="165"/>
        <v>35906.979208218931</v>
      </c>
      <c r="AK93" s="263">
        <f t="shared" si="165"/>
        <v>75090.53</v>
      </c>
      <c r="AL93" s="266">
        <f t="shared" si="146"/>
        <v>2.09125166348753</v>
      </c>
      <c r="AN93" s="217"/>
      <c r="AO93" s="262">
        <f t="shared" ref="AO93:AV93" si="166">SUM(AO92)</f>
        <v>0</v>
      </c>
      <c r="AP93" s="263">
        <f t="shared" si="166"/>
        <v>0</v>
      </c>
      <c r="AQ93" s="263">
        <f t="shared" si="166"/>
        <v>0</v>
      </c>
      <c r="AR93" s="263">
        <f t="shared" si="166"/>
        <v>0</v>
      </c>
      <c r="AS93" s="263">
        <f t="shared" si="166"/>
        <v>0</v>
      </c>
      <c r="AT93" s="263">
        <f t="shared" si="166"/>
        <v>0</v>
      </c>
      <c r="AU93" s="263">
        <f t="shared" si="166"/>
        <v>0</v>
      </c>
      <c r="AV93" s="263">
        <f t="shared" si="166"/>
        <v>0</v>
      </c>
      <c r="AW93" s="273">
        <f>IFERROR((AU93/AP93),0)</f>
        <v>0</v>
      </c>
      <c r="AX93" s="262">
        <f t="shared" ref="AX93:BE93" si="167">SUM(AX92)</f>
        <v>0</v>
      </c>
      <c r="AY93" s="263">
        <f t="shared" si="167"/>
        <v>0</v>
      </c>
      <c r="AZ93" s="263">
        <f t="shared" si="167"/>
        <v>0</v>
      </c>
      <c r="BA93" s="263">
        <f t="shared" si="167"/>
        <v>0</v>
      </c>
      <c r="BB93" s="263">
        <f t="shared" si="167"/>
        <v>0</v>
      </c>
      <c r="BC93" s="263">
        <f t="shared" si="167"/>
        <v>0</v>
      </c>
      <c r="BD93" s="263">
        <f t="shared" si="167"/>
        <v>0</v>
      </c>
      <c r="BE93" s="263">
        <f t="shared" si="167"/>
        <v>0</v>
      </c>
      <c r="BF93" s="273">
        <f>IFERROR((BD93/AY93),0)</f>
        <v>0</v>
      </c>
      <c r="BG93" s="262">
        <f t="shared" ref="BG93:BN93" si="168">SUM(BG92)</f>
        <v>0</v>
      </c>
      <c r="BH93" s="263">
        <f t="shared" si="168"/>
        <v>0</v>
      </c>
      <c r="BI93" s="263">
        <f t="shared" si="168"/>
        <v>0</v>
      </c>
      <c r="BJ93" s="263">
        <f t="shared" si="168"/>
        <v>0</v>
      </c>
      <c r="BK93" s="263">
        <f t="shared" si="168"/>
        <v>0</v>
      </c>
      <c r="BL93" s="263">
        <f t="shared" si="168"/>
        <v>0</v>
      </c>
      <c r="BM93" s="263">
        <f t="shared" si="168"/>
        <v>0</v>
      </c>
      <c r="BN93" s="263">
        <f t="shared" si="168"/>
        <v>0</v>
      </c>
      <c r="BO93" s="273">
        <f>IFERROR((BM93/BH93),0)</f>
        <v>0</v>
      </c>
      <c r="BP93" s="262">
        <f t="shared" ref="BP93:BQ93" si="169">SUM(BP92)</f>
        <v>0</v>
      </c>
      <c r="BQ93" s="263">
        <f t="shared" si="169"/>
        <v>0</v>
      </c>
      <c r="BR93" s="266">
        <f t="shared" si="152"/>
        <v>0</v>
      </c>
      <c r="BT93" s="217"/>
      <c r="BU93" s="262">
        <f t="shared" ref="BU93:CB93" si="170">SUM(BU92)</f>
        <v>0</v>
      </c>
      <c r="BV93" s="263">
        <f t="shared" si="170"/>
        <v>0</v>
      </c>
      <c r="BW93" s="263">
        <f t="shared" si="170"/>
        <v>0</v>
      </c>
      <c r="BX93" s="263">
        <f t="shared" si="170"/>
        <v>0</v>
      </c>
      <c r="BY93" s="263">
        <f t="shared" si="170"/>
        <v>0</v>
      </c>
      <c r="BZ93" s="263">
        <f t="shared" si="170"/>
        <v>0</v>
      </c>
      <c r="CA93" s="263">
        <f t="shared" si="170"/>
        <v>0</v>
      </c>
      <c r="CB93" s="263">
        <f t="shared" si="170"/>
        <v>0</v>
      </c>
      <c r="CC93" s="273">
        <f>IFERROR((CA93/BV93),0)</f>
        <v>0</v>
      </c>
      <c r="CD93" s="262">
        <f t="shared" ref="CD93:CK93" si="171">SUM(CD92)</f>
        <v>0</v>
      </c>
      <c r="CE93" s="263">
        <f t="shared" si="171"/>
        <v>0</v>
      </c>
      <c r="CF93" s="263">
        <f t="shared" si="171"/>
        <v>0</v>
      </c>
      <c r="CG93" s="263">
        <f t="shared" si="171"/>
        <v>0</v>
      </c>
      <c r="CH93" s="263">
        <f t="shared" si="171"/>
        <v>0</v>
      </c>
      <c r="CI93" s="263">
        <f t="shared" si="171"/>
        <v>0</v>
      </c>
      <c r="CJ93" s="263">
        <f t="shared" si="171"/>
        <v>0</v>
      </c>
      <c r="CK93" s="263">
        <f t="shared" si="171"/>
        <v>0</v>
      </c>
      <c r="CL93" s="273">
        <f>IFERROR((CJ93/CE93),0)</f>
        <v>0</v>
      </c>
      <c r="CM93" s="262">
        <f t="shared" ref="CM93:CT93" si="172">SUM(CM92)</f>
        <v>0</v>
      </c>
      <c r="CN93" s="263">
        <f t="shared" si="172"/>
        <v>0</v>
      </c>
      <c r="CO93" s="263">
        <f t="shared" si="172"/>
        <v>0</v>
      </c>
      <c r="CP93" s="263">
        <f t="shared" si="172"/>
        <v>0</v>
      </c>
      <c r="CQ93" s="263">
        <f t="shared" si="172"/>
        <v>0</v>
      </c>
      <c r="CR93" s="263">
        <f t="shared" si="172"/>
        <v>0</v>
      </c>
      <c r="CS93" s="263">
        <f t="shared" si="172"/>
        <v>0</v>
      </c>
      <c r="CT93" s="263">
        <f t="shared" si="172"/>
        <v>0</v>
      </c>
      <c r="CU93" s="273">
        <f>IFERROR((CS93/CN93),0)</f>
        <v>0</v>
      </c>
      <c r="CV93" s="262">
        <f t="shared" ref="CV93:CW93" si="173">SUM(CV92)</f>
        <v>0</v>
      </c>
      <c r="CW93" s="263">
        <f t="shared" si="173"/>
        <v>0</v>
      </c>
      <c r="CX93" s="266">
        <f t="shared" si="158"/>
        <v>0</v>
      </c>
      <c r="CZ93" s="217"/>
      <c r="DA93" s="262">
        <f t="shared" ref="DA93:DH93" si="174">SUM(DA92)</f>
        <v>0</v>
      </c>
      <c r="DB93" s="263">
        <f t="shared" si="174"/>
        <v>0</v>
      </c>
      <c r="DC93" s="263">
        <f t="shared" si="174"/>
        <v>0</v>
      </c>
      <c r="DD93" s="263">
        <f t="shared" si="174"/>
        <v>0</v>
      </c>
      <c r="DE93" s="263">
        <f t="shared" si="174"/>
        <v>0</v>
      </c>
      <c r="DF93" s="263">
        <f t="shared" si="174"/>
        <v>0</v>
      </c>
      <c r="DG93" s="263">
        <f t="shared" si="174"/>
        <v>0</v>
      </c>
      <c r="DH93" s="263">
        <f t="shared" si="174"/>
        <v>0</v>
      </c>
      <c r="DI93" s="273">
        <f>IFERROR((DG93/DB93),0)</f>
        <v>0</v>
      </c>
      <c r="DJ93" s="262">
        <f t="shared" ref="DJ93:DQ93" si="175">SUM(DJ92)</f>
        <v>0</v>
      </c>
      <c r="DK93" s="263">
        <f t="shared" si="175"/>
        <v>0</v>
      </c>
      <c r="DL93" s="263">
        <f t="shared" si="175"/>
        <v>0</v>
      </c>
      <c r="DM93" s="263">
        <f t="shared" si="175"/>
        <v>0</v>
      </c>
      <c r="DN93" s="263">
        <f t="shared" si="175"/>
        <v>0</v>
      </c>
      <c r="DO93" s="263">
        <f t="shared" si="175"/>
        <v>0</v>
      </c>
      <c r="DP93" s="263">
        <f t="shared" si="175"/>
        <v>0</v>
      </c>
      <c r="DQ93" s="263">
        <f t="shared" si="175"/>
        <v>0</v>
      </c>
      <c r="DR93" s="273">
        <f>IFERROR((DP93/DK93),0)</f>
        <v>0</v>
      </c>
      <c r="DS93" s="262">
        <f t="shared" ref="DS93:DZ93" si="176">SUM(DS92)</f>
        <v>0</v>
      </c>
      <c r="DT93" s="263">
        <f t="shared" si="176"/>
        <v>0</v>
      </c>
      <c r="DU93" s="263">
        <f t="shared" si="176"/>
        <v>0</v>
      </c>
      <c r="DV93" s="263">
        <f t="shared" si="176"/>
        <v>0</v>
      </c>
      <c r="DW93" s="263">
        <f t="shared" si="176"/>
        <v>0</v>
      </c>
      <c r="DX93" s="263">
        <f t="shared" si="176"/>
        <v>0</v>
      </c>
      <c r="DY93" s="263">
        <f t="shared" si="176"/>
        <v>0</v>
      </c>
      <c r="DZ93" s="263">
        <f t="shared" si="176"/>
        <v>0</v>
      </c>
      <c r="EA93" s="273">
        <f>IFERROR((DY93/DT93),0)</f>
        <v>0</v>
      </c>
      <c r="EB93" s="262">
        <f t="shared" ref="EB93:EC93" si="177">SUM(EB92)</f>
        <v>0</v>
      </c>
      <c r="EC93" s="263">
        <f t="shared" si="177"/>
        <v>0</v>
      </c>
      <c r="ED93" s="266">
        <f t="shared" si="164"/>
        <v>0</v>
      </c>
    </row>
    <row r="96" spans="1:134" x14ac:dyDescent="0.25">
      <c r="K96" s="213">
        <f t="shared" ref="K96:P96" si="178">SUM(K35+K65+K86+K93)</f>
        <v>67527</v>
      </c>
      <c r="L96" s="213">
        <f t="shared" si="178"/>
        <v>52772.41</v>
      </c>
      <c r="M96" s="213">
        <f t="shared" si="178"/>
        <v>166713</v>
      </c>
      <c r="N96" s="213">
        <f t="shared" si="178"/>
        <v>127479.67</v>
      </c>
      <c r="O96" s="213">
        <f t="shared" si="178"/>
        <v>299175</v>
      </c>
      <c r="P96" s="213">
        <f t="shared" si="178"/>
        <v>233525.94999999998</v>
      </c>
      <c r="T96" s="213">
        <f>SUM(T35+T65+T86+T93)</f>
        <v>285899</v>
      </c>
      <c r="U96" s="213">
        <f>SUM(U35+U65+U86+U93)</f>
        <v>221678.61</v>
      </c>
      <c r="X96" s="213">
        <f>X35+X65+X86+X93</f>
        <v>285899</v>
      </c>
      <c r="Y96" s="213">
        <f>Y35+Y65+Y86+Y93</f>
        <v>221678.61</v>
      </c>
      <c r="AG96" s="213">
        <f>AG93+AG86+AG65+AG35</f>
        <v>269501</v>
      </c>
      <c r="AH96" s="213">
        <f>AH93+AH86+AH65+AH35</f>
        <v>214103.73</v>
      </c>
    </row>
  </sheetData>
  <mergeCells count="286">
    <mergeCell ref="E2:F2"/>
    <mergeCell ref="I15:AL15"/>
    <mergeCell ref="AO15:BR15"/>
    <mergeCell ref="BU15:CX15"/>
    <mergeCell ref="DA15:ED15"/>
    <mergeCell ref="I16:Q16"/>
    <mergeCell ref="R16:Z16"/>
    <mergeCell ref="AA16:AI16"/>
    <mergeCell ref="AJ16:AL16"/>
    <mergeCell ref="AO16:AW16"/>
    <mergeCell ref="I1:I2"/>
    <mergeCell ref="J1:L1"/>
    <mergeCell ref="M1:O1"/>
    <mergeCell ref="P1:R1"/>
    <mergeCell ref="S1:U1"/>
    <mergeCell ref="V1:V2"/>
    <mergeCell ref="CV16:CX16"/>
    <mergeCell ref="DA16:DI16"/>
    <mergeCell ref="DJ16:DR16"/>
    <mergeCell ref="DS16:EA16"/>
    <mergeCell ref="EB16:ED16"/>
    <mergeCell ref="CD16:CL16"/>
    <mergeCell ref="CM16:CU16"/>
    <mergeCell ref="I17:J17"/>
    <mergeCell ref="K17:L17"/>
    <mergeCell ref="M17:N17"/>
    <mergeCell ref="O17:P17"/>
    <mergeCell ref="R17:S17"/>
    <mergeCell ref="AX16:BF16"/>
    <mergeCell ref="BG16:BO16"/>
    <mergeCell ref="BP16:BR16"/>
    <mergeCell ref="BU16:CC16"/>
    <mergeCell ref="AG17:AH17"/>
    <mergeCell ref="AO17:AP17"/>
    <mergeCell ref="AQ17:AR17"/>
    <mergeCell ref="AS17:AT17"/>
    <mergeCell ref="AU17:AV17"/>
    <mergeCell ref="AX17:AY17"/>
    <mergeCell ref="T17:U17"/>
    <mergeCell ref="V17:W17"/>
    <mergeCell ref="X17:Y17"/>
    <mergeCell ref="AA17:AB17"/>
    <mergeCell ref="AC17:AD17"/>
    <mergeCell ref="AE17:AF17"/>
    <mergeCell ref="CO17:CP17"/>
    <mergeCell ref="CQ17:CR17"/>
    <mergeCell ref="BM17:BN17"/>
    <mergeCell ref="BU17:BV17"/>
    <mergeCell ref="BW17:BX17"/>
    <mergeCell ref="BY17:BZ17"/>
    <mergeCell ref="CA17:CB17"/>
    <mergeCell ref="CD17:CE17"/>
    <mergeCell ref="AZ17:BA17"/>
    <mergeCell ref="BB17:BC17"/>
    <mergeCell ref="BD17:BE17"/>
    <mergeCell ref="BG17:BH17"/>
    <mergeCell ref="BI17:BJ17"/>
    <mergeCell ref="BK17:BL17"/>
    <mergeCell ref="DY17:DZ17"/>
    <mergeCell ref="B18:C18"/>
    <mergeCell ref="D18:E18"/>
    <mergeCell ref="B35:F35"/>
    <mergeCell ref="I37:AL37"/>
    <mergeCell ref="AO37:BR37"/>
    <mergeCell ref="BU37:CX37"/>
    <mergeCell ref="DA37:ED37"/>
    <mergeCell ref="DL17:DM17"/>
    <mergeCell ref="DN17:DO17"/>
    <mergeCell ref="DP17:DQ17"/>
    <mergeCell ref="DS17:DT17"/>
    <mergeCell ref="DU17:DV17"/>
    <mergeCell ref="DW17:DX17"/>
    <mergeCell ref="CS17:CT17"/>
    <mergeCell ref="DA17:DB17"/>
    <mergeCell ref="DC17:DD17"/>
    <mergeCell ref="DE17:DF17"/>
    <mergeCell ref="DG17:DH17"/>
    <mergeCell ref="DJ17:DK17"/>
    <mergeCell ref="CF17:CG17"/>
    <mergeCell ref="CH17:CI17"/>
    <mergeCell ref="CJ17:CK17"/>
    <mergeCell ref="CM17:CN17"/>
    <mergeCell ref="EB38:ED38"/>
    <mergeCell ref="I39:J39"/>
    <mergeCell ref="K39:L39"/>
    <mergeCell ref="M39:N39"/>
    <mergeCell ref="O39:P39"/>
    <mergeCell ref="R39:S39"/>
    <mergeCell ref="T39:U39"/>
    <mergeCell ref="BG38:BO38"/>
    <mergeCell ref="BP38:BR38"/>
    <mergeCell ref="BU38:CC38"/>
    <mergeCell ref="CD38:CL38"/>
    <mergeCell ref="CM38:CU38"/>
    <mergeCell ref="CV38:CX38"/>
    <mergeCell ref="I38:Q38"/>
    <mergeCell ref="R38:Z38"/>
    <mergeCell ref="AA38:AI38"/>
    <mergeCell ref="AJ38:AL38"/>
    <mergeCell ref="AO38:AW38"/>
    <mergeCell ref="AX38:BF38"/>
    <mergeCell ref="V39:W39"/>
    <mergeCell ref="X39:Y39"/>
    <mergeCell ref="AA39:AB39"/>
    <mergeCell ref="AC39:AD39"/>
    <mergeCell ref="AE39:AF39"/>
    <mergeCell ref="AG39:AH39"/>
    <mergeCell ref="DA38:DI38"/>
    <mergeCell ref="DJ38:DR38"/>
    <mergeCell ref="DS38:EA38"/>
    <mergeCell ref="BI39:BJ39"/>
    <mergeCell ref="BK39:BL39"/>
    <mergeCell ref="BM39:BN39"/>
    <mergeCell ref="AO39:AP39"/>
    <mergeCell ref="AQ39:AR39"/>
    <mergeCell ref="AS39:AT39"/>
    <mergeCell ref="AU39:AV39"/>
    <mergeCell ref="AX39:AY39"/>
    <mergeCell ref="AZ39:BA39"/>
    <mergeCell ref="DU39:DV39"/>
    <mergeCell ref="DW39:DX39"/>
    <mergeCell ref="DY39:DZ39"/>
    <mergeCell ref="DA39:DB39"/>
    <mergeCell ref="DC39:DD39"/>
    <mergeCell ref="DE39:DF39"/>
    <mergeCell ref="DG39:DH39"/>
    <mergeCell ref="DJ39:DK39"/>
    <mergeCell ref="DL39:DM39"/>
    <mergeCell ref="D40:E40"/>
    <mergeCell ref="B65:F65"/>
    <mergeCell ref="I68:AL68"/>
    <mergeCell ref="AO68:BR68"/>
    <mergeCell ref="BU68:CX68"/>
    <mergeCell ref="DN39:DO39"/>
    <mergeCell ref="DP39:DQ39"/>
    <mergeCell ref="DS39:DT39"/>
    <mergeCell ref="CH39:CI39"/>
    <mergeCell ref="CJ39:CK39"/>
    <mergeCell ref="CM39:CN39"/>
    <mergeCell ref="CO39:CP39"/>
    <mergeCell ref="CQ39:CR39"/>
    <mergeCell ref="CS39:CT39"/>
    <mergeCell ref="BU39:BV39"/>
    <mergeCell ref="BW39:BX39"/>
    <mergeCell ref="BY39:BZ39"/>
    <mergeCell ref="CA39:CB39"/>
    <mergeCell ref="CD39:CE39"/>
    <mergeCell ref="CF39:CG39"/>
    <mergeCell ref="BB39:BC39"/>
    <mergeCell ref="BD39:BE39"/>
    <mergeCell ref="BG39:BH39"/>
    <mergeCell ref="DA68:ED68"/>
    <mergeCell ref="I69:Q69"/>
    <mergeCell ref="R69:Z69"/>
    <mergeCell ref="AA69:AI69"/>
    <mergeCell ref="AJ69:AL69"/>
    <mergeCell ref="AO69:AW69"/>
    <mergeCell ref="AX69:BF69"/>
    <mergeCell ref="BG69:BO69"/>
    <mergeCell ref="BP69:BR69"/>
    <mergeCell ref="BU69:CC69"/>
    <mergeCell ref="AC70:AD70"/>
    <mergeCell ref="AE70:AF70"/>
    <mergeCell ref="AG70:AH70"/>
    <mergeCell ref="AO70:AP70"/>
    <mergeCell ref="AQ70:AR70"/>
    <mergeCell ref="AS70:AT70"/>
    <mergeCell ref="EB69:ED69"/>
    <mergeCell ref="I70:J70"/>
    <mergeCell ref="K70:L70"/>
    <mergeCell ref="M70:N70"/>
    <mergeCell ref="O70:P70"/>
    <mergeCell ref="R70:S70"/>
    <mergeCell ref="T70:U70"/>
    <mergeCell ref="V70:W70"/>
    <mergeCell ref="X70:Y70"/>
    <mergeCell ref="AA70:AB70"/>
    <mergeCell ref="CD69:CL69"/>
    <mergeCell ref="CM69:CU69"/>
    <mergeCell ref="CV69:CX69"/>
    <mergeCell ref="DA69:DI69"/>
    <mergeCell ref="DJ69:DR69"/>
    <mergeCell ref="DS69:EA69"/>
    <mergeCell ref="CJ70:CK70"/>
    <mergeCell ref="CM70:CN70"/>
    <mergeCell ref="BI70:BJ70"/>
    <mergeCell ref="BK70:BL70"/>
    <mergeCell ref="BM70:BN70"/>
    <mergeCell ref="BU70:BV70"/>
    <mergeCell ref="BW70:BX70"/>
    <mergeCell ref="BY70:BZ70"/>
    <mergeCell ref="AU70:AV70"/>
    <mergeCell ref="AX70:AY70"/>
    <mergeCell ref="AZ70:BA70"/>
    <mergeCell ref="BB70:BC70"/>
    <mergeCell ref="BD70:BE70"/>
    <mergeCell ref="BG70:BH70"/>
    <mergeCell ref="DU70:DV70"/>
    <mergeCell ref="DW70:DX70"/>
    <mergeCell ref="DY70:DZ70"/>
    <mergeCell ref="D71:E71"/>
    <mergeCell ref="B86:F86"/>
    <mergeCell ref="AO88:BR88"/>
    <mergeCell ref="BU88:CX88"/>
    <mergeCell ref="DA88:ED88"/>
    <mergeCell ref="DG70:DH70"/>
    <mergeCell ref="DJ70:DK70"/>
    <mergeCell ref="DL70:DM70"/>
    <mergeCell ref="DN70:DO70"/>
    <mergeCell ref="DP70:DQ70"/>
    <mergeCell ref="DS70:DT70"/>
    <mergeCell ref="CO70:CP70"/>
    <mergeCell ref="CQ70:CR70"/>
    <mergeCell ref="CS70:CT70"/>
    <mergeCell ref="DA70:DB70"/>
    <mergeCell ref="DC70:DD70"/>
    <mergeCell ref="DE70:DF70"/>
    <mergeCell ref="CA70:CB70"/>
    <mergeCell ref="CD70:CE70"/>
    <mergeCell ref="CF70:CG70"/>
    <mergeCell ref="CH70:CI70"/>
    <mergeCell ref="EB89:ED89"/>
    <mergeCell ref="I90:J90"/>
    <mergeCell ref="K90:L90"/>
    <mergeCell ref="M90:N90"/>
    <mergeCell ref="O90:P90"/>
    <mergeCell ref="R90:S90"/>
    <mergeCell ref="T90:U90"/>
    <mergeCell ref="BG89:BO89"/>
    <mergeCell ref="BP89:BR89"/>
    <mergeCell ref="BU89:CC89"/>
    <mergeCell ref="CD89:CL89"/>
    <mergeCell ref="CM89:CU89"/>
    <mergeCell ref="CV89:CX89"/>
    <mergeCell ref="I89:Q89"/>
    <mergeCell ref="R89:Z89"/>
    <mergeCell ref="AA89:AI89"/>
    <mergeCell ref="AJ89:AL89"/>
    <mergeCell ref="AO89:AW89"/>
    <mergeCell ref="AX89:BF89"/>
    <mergeCell ref="V90:W90"/>
    <mergeCell ref="X90:Y90"/>
    <mergeCell ref="AA90:AB90"/>
    <mergeCell ref="AC90:AD90"/>
    <mergeCell ref="AE90:AF90"/>
    <mergeCell ref="AG90:AH90"/>
    <mergeCell ref="DA89:DI89"/>
    <mergeCell ref="DJ89:DR89"/>
    <mergeCell ref="DS89:EA89"/>
    <mergeCell ref="CF90:CG90"/>
    <mergeCell ref="BB90:BC90"/>
    <mergeCell ref="BD90:BE90"/>
    <mergeCell ref="BG90:BH90"/>
    <mergeCell ref="BI90:BJ90"/>
    <mergeCell ref="BK90:BL90"/>
    <mergeCell ref="BM90:BN90"/>
    <mergeCell ref="AO90:AP90"/>
    <mergeCell ref="AQ90:AR90"/>
    <mergeCell ref="AS90:AT90"/>
    <mergeCell ref="AU90:AV90"/>
    <mergeCell ref="AX90:AY90"/>
    <mergeCell ref="AZ90:BA90"/>
    <mergeCell ref="B93:F93"/>
    <mergeCell ref="DN90:DO90"/>
    <mergeCell ref="DP90:DQ90"/>
    <mergeCell ref="DS90:DT90"/>
    <mergeCell ref="DU90:DV90"/>
    <mergeCell ref="DW90:DX90"/>
    <mergeCell ref="DY90:DZ90"/>
    <mergeCell ref="DA90:DB90"/>
    <mergeCell ref="DC90:DD90"/>
    <mergeCell ref="DE90:DF90"/>
    <mergeCell ref="DG90:DH90"/>
    <mergeCell ref="DJ90:DK90"/>
    <mergeCell ref="DL90:DM90"/>
    <mergeCell ref="CH90:CI90"/>
    <mergeCell ref="CJ90:CK90"/>
    <mergeCell ref="CM90:CN90"/>
    <mergeCell ref="CO90:CP90"/>
    <mergeCell ref="CQ90:CR90"/>
    <mergeCell ref="CS90:CT90"/>
    <mergeCell ref="BU90:BV90"/>
    <mergeCell ref="BW90:BX90"/>
    <mergeCell ref="BY90:BZ90"/>
    <mergeCell ref="CA90:CB90"/>
    <mergeCell ref="CD90:CE90"/>
  </mergeCells>
  <conditionalFormatting sqref="B86:C86">
    <cfRule type="duplicateValues" dxfId="5" priority="4"/>
    <cfRule type="duplicateValues" dxfId="4" priority="5"/>
  </conditionalFormatting>
  <conditionalFormatting sqref="B92:C93 B68:C68 B34:C37 B64:C65">
    <cfRule type="duplicateValues" dxfId="3" priority="7"/>
  </conditionalFormatting>
  <conditionalFormatting sqref="B93:C93">
    <cfRule type="duplicateValues" dxfId="2" priority="6"/>
  </conditionalFormatting>
  <conditionalFormatting sqref="B92:D92 B68:C68 B34:C37 B64:C65">
    <cfRule type="duplicateValues" dxfId="1" priority="8"/>
  </conditionalFormatting>
  <conditionalFormatting sqref="D92">
    <cfRule type="duplicateValues" dxfId="0" priority="3"/>
  </conditionalFormatting>
  <hyperlinks>
    <hyperlink ref="B19" location="'Kyaw Star'!A1" display="ကျော်စတား" xr:uid="{5D2EE28C-C821-40B3-9C00-F2D3A91F49C5}"/>
    <hyperlink ref="B20" location="'Daw Nwe Nwe Yi'!A1" display="ဒေါ်နွယ်နွယ်ရီ(ရွှေတောင်ကြား)" xr:uid="{BE7DD919-617D-4CCA-B21B-169A13AF89EF}"/>
    <hyperlink ref="B21" location="'Pyae Hlan'!A1" display="ပြည့်လျှံ" xr:uid="{E9F6C4BB-7475-4C32-8EE7-E614C4643123}"/>
    <hyperlink ref="B22" location="'Ko Myo Aung'!A1" display="ကိုမျိုးအောင်" xr:uid="{F45C681F-B9CA-4DBB-A859-B0631AA59869}"/>
    <hyperlink ref="B23" location="'Ko Htike Soe'!A1" display="ကိုထိုက်စိုး" xr:uid="{319528DD-4241-4576-9285-30CD8D054728}"/>
    <hyperlink ref="B24" location="'U Min Lwin'!A1" display="ဦးမင်းလွင်(ထင်းပုံ)" xr:uid="{BD749C2B-B18D-4160-AF5D-DD9A8F60F436}"/>
    <hyperlink ref="B25" location="'Ko Htun Naing'!A1" display="ကိုထွန်းနိုင်" xr:uid="{02FE0443-4B45-4996-AB7D-E4FA5AD9C402}"/>
    <hyperlink ref="B26" location="'Daw Htun May'!A1" display="ဒေါ်ထွန်းမေ" xr:uid="{A61ED87A-9163-4E99-AF61-53ACFA6360A3}"/>
    <hyperlink ref="B27" location="'Shwe Pin Lal'!A1" display="ရွှေပင်လယ်" xr:uid="{694650E9-69E5-4919-9A46-FAD35D06876F}"/>
    <hyperlink ref="B28" location="'Ko Nyi Nyi Swe'!A1" display="ကိုညီညီဆွေ" xr:uid="{32799248-1AA7-4553-BC36-9A3C5BD387DD}"/>
    <hyperlink ref="B29" location="'Lin Thit'!A1" display="လင်းသစ်" xr:uid="{8408FBAB-8930-4C1A-A54A-1A01C1CE0A84}"/>
    <hyperlink ref="B30" location="'Ko Mg+Ma Thu Zar'!A1" display="ကိုမောင်+မသူဇာ" xr:uid="{6739E900-E69C-482F-9654-B17FBFA2C944}"/>
    <hyperlink ref="B31" location="'Moe San Char Li '!A1" display="မိုးဆန်းချာလီ" xr:uid="{0041B96A-04E4-4185-B160-B98802E95547}"/>
    <hyperlink ref="B32" location="'Ko Mya Khat'!A1" display="ကိုမြခက်" xr:uid="{0C9F51D5-621A-4EB7-80C7-563C3C6FACF1}"/>
  </hyperlinks>
  <pageMargins left="0.45" right="0.45" top="0.5" bottom="0.5" header="0.3" footer="0.3"/>
  <pageSetup paperSize="7" scale="7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E6B03-4863-4DAC-99F2-DDAEFB361A47}">
  <dimension ref="A1:BA788"/>
  <sheetViews>
    <sheetView topLeftCell="A31" zoomScaleNormal="100" workbookViewId="0">
      <selection activeCell="A111" sqref="A111:XFD116"/>
    </sheetView>
  </sheetViews>
  <sheetFormatPr defaultColWidth="9.140625" defaultRowHeight="18" x14ac:dyDescent="0.5"/>
  <cols>
    <col min="1" max="2" width="9.140625" style="22"/>
    <col min="3" max="5" width="9.140625" style="22" hidden="1" customWidth="1"/>
    <col min="6" max="8" width="9.140625" style="22"/>
    <col min="9" max="23" width="9.140625" style="22" hidden="1" customWidth="1"/>
    <col min="24" max="26" width="9.140625" style="22" customWidth="1"/>
    <col min="27" max="47" width="9.140625" style="22" hidden="1" customWidth="1"/>
    <col min="48" max="16384" width="9.140625" style="22"/>
  </cols>
  <sheetData>
    <row r="1" spans="1:50" hidden="1" x14ac:dyDescent="0.5">
      <c r="A1" s="550" t="s">
        <v>434</v>
      </c>
      <c r="B1" s="550"/>
      <c r="C1" s="550"/>
      <c r="D1" s="550"/>
      <c r="E1" s="550"/>
      <c r="F1" s="550"/>
    </row>
    <row r="2" spans="1:50" hidden="1" x14ac:dyDescent="0.5">
      <c r="A2" s="550"/>
      <c r="B2" s="550"/>
      <c r="C2" s="550"/>
      <c r="D2" s="550"/>
      <c r="E2" s="550"/>
      <c r="F2" s="550"/>
    </row>
    <row r="3" spans="1:50" hidden="1" x14ac:dyDescent="0.5">
      <c r="A3" s="551" t="s">
        <v>118</v>
      </c>
      <c r="B3" s="552" t="s">
        <v>135</v>
      </c>
      <c r="C3" s="553"/>
      <c r="D3" s="553"/>
      <c r="E3" s="553"/>
      <c r="F3" s="553"/>
      <c r="G3" s="553"/>
      <c r="H3" s="553"/>
      <c r="I3" s="553"/>
      <c r="J3" s="553"/>
      <c r="K3" s="553"/>
      <c r="L3" s="553"/>
      <c r="M3" s="553"/>
      <c r="N3" s="553"/>
      <c r="O3" s="553"/>
      <c r="P3" s="553"/>
      <c r="Q3" s="553"/>
      <c r="R3" s="553"/>
      <c r="S3" s="553"/>
      <c r="T3" s="553"/>
      <c r="U3" s="553"/>
      <c r="V3" s="553"/>
      <c r="W3" s="553"/>
      <c r="X3" s="553"/>
      <c r="Y3" s="553"/>
      <c r="Z3" s="553"/>
      <c r="AA3" s="553"/>
      <c r="AB3" s="553"/>
      <c r="AC3" s="553"/>
      <c r="AD3" s="553"/>
      <c r="AE3" s="553"/>
      <c r="AF3" s="553"/>
      <c r="AG3" s="553"/>
      <c r="AH3" s="553"/>
      <c r="AI3" s="553"/>
      <c r="AJ3" s="553"/>
      <c r="AK3" s="553"/>
      <c r="AL3" s="553"/>
      <c r="AM3" s="553"/>
      <c r="AN3" s="553"/>
      <c r="AO3" s="553"/>
      <c r="AP3" s="553"/>
      <c r="AQ3" s="553"/>
      <c r="AR3" s="553"/>
      <c r="AS3" s="553"/>
      <c r="AT3" s="553"/>
      <c r="AU3" s="553"/>
      <c r="AV3" s="553"/>
      <c r="AW3" s="553"/>
      <c r="AX3" s="553"/>
    </row>
    <row r="4" spans="1:50" ht="18" hidden="1" customHeight="1" x14ac:dyDescent="0.5">
      <c r="A4" s="551"/>
      <c r="B4" s="552"/>
      <c r="C4" s="554" t="s">
        <v>134</v>
      </c>
      <c r="D4" s="555"/>
      <c r="E4" s="556"/>
      <c r="F4" s="557" t="s">
        <v>133</v>
      </c>
      <c r="G4" s="557"/>
      <c r="H4" s="557"/>
      <c r="I4" s="557" t="s">
        <v>132</v>
      </c>
      <c r="J4" s="557"/>
      <c r="K4" s="557"/>
      <c r="L4" s="557" t="s">
        <v>131</v>
      </c>
      <c r="M4" s="557"/>
      <c r="N4" s="557"/>
      <c r="O4" s="557" t="s">
        <v>130</v>
      </c>
      <c r="P4" s="557"/>
      <c r="Q4" s="557"/>
      <c r="R4" s="557" t="s">
        <v>129</v>
      </c>
      <c r="S4" s="557"/>
      <c r="T4" s="557"/>
      <c r="U4" s="558" t="s">
        <v>128</v>
      </c>
      <c r="V4" s="559"/>
      <c r="W4" s="560"/>
      <c r="X4" s="557" t="s">
        <v>127</v>
      </c>
      <c r="Y4" s="557"/>
      <c r="Z4" s="557"/>
      <c r="AA4" s="557" t="s">
        <v>126</v>
      </c>
      <c r="AB4" s="557"/>
      <c r="AC4" s="557"/>
      <c r="AD4" s="177"/>
      <c r="AE4" s="177"/>
      <c r="AF4" s="177"/>
      <c r="AG4" s="557" t="s">
        <v>125</v>
      </c>
      <c r="AH4" s="557"/>
      <c r="AI4" s="557"/>
      <c r="AJ4" s="557" t="s">
        <v>124</v>
      </c>
      <c r="AK4" s="557"/>
      <c r="AL4" s="557"/>
      <c r="AM4" s="557" t="s">
        <v>123</v>
      </c>
      <c r="AN4" s="557"/>
      <c r="AO4" s="177"/>
      <c r="AP4" s="557" t="s">
        <v>367</v>
      </c>
      <c r="AQ4" s="557"/>
      <c r="AR4" s="177"/>
      <c r="AS4" s="557" t="s">
        <v>368</v>
      </c>
      <c r="AT4" s="557"/>
      <c r="AU4" s="177"/>
      <c r="AV4" s="557" t="s">
        <v>122</v>
      </c>
      <c r="AW4" s="557"/>
      <c r="AX4" s="557"/>
    </row>
    <row r="5" spans="1:50" hidden="1" x14ac:dyDescent="0.5">
      <c r="A5" s="551"/>
      <c r="B5" s="552"/>
      <c r="C5" s="17" t="s">
        <v>109</v>
      </c>
      <c r="D5" s="17" t="s">
        <v>108</v>
      </c>
      <c r="E5" s="17" t="s">
        <v>348</v>
      </c>
      <c r="F5" s="17" t="s">
        <v>109</v>
      </c>
      <c r="G5" s="17" t="s">
        <v>108</v>
      </c>
      <c r="H5" s="17" t="s">
        <v>348</v>
      </c>
      <c r="I5" s="17" t="s">
        <v>109</v>
      </c>
      <c r="J5" s="17" t="s">
        <v>108</v>
      </c>
      <c r="K5" s="17" t="s">
        <v>348</v>
      </c>
      <c r="L5" s="17" t="s">
        <v>109</v>
      </c>
      <c r="M5" s="17" t="s">
        <v>108</v>
      </c>
      <c r="N5" s="17" t="s">
        <v>348</v>
      </c>
      <c r="O5" s="17" t="s">
        <v>109</v>
      </c>
      <c r="P5" s="17" t="s">
        <v>108</v>
      </c>
      <c r="Q5" s="17" t="s">
        <v>348</v>
      </c>
      <c r="R5" s="17" t="s">
        <v>109</v>
      </c>
      <c r="S5" s="17" t="s">
        <v>108</v>
      </c>
      <c r="T5" s="17" t="s">
        <v>348</v>
      </c>
      <c r="U5" s="17" t="s">
        <v>109</v>
      </c>
      <c r="V5" s="17" t="s">
        <v>108</v>
      </c>
      <c r="W5" s="17" t="s">
        <v>348</v>
      </c>
      <c r="X5" s="17" t="s">
        <v>109</v>
      </c>
      <c r="Y5" s="17" t="s">
        <v>108</v>
      </c>
      <c r="Z5" s="17" t="s">
        <v>348</v>
      </c>
      <c r="AA5" s="17" t="s">
        <v>109</v>
      </c>
      <c r="AB5" s="17" t="s">
        <v>108</v>
      </c>
      <c r="AC5" s="17" t="s">
        <v>348</v>
      </c>
      <c r="AD5" s="17"/>
      <c r="AE5" s="17"/>
      <c r="AF5" s="17"/>
      <c r="AG5" s="17" t="s">
        <v>109</v>
      </c>
      <c r="AH5" s="17" t="s">
        <v>108</v>
      </c>
      <c r="AI5" s="17" t="s">
        <v>348</v>
      </c>
      <c r="AJ5" s="17" t="s">
        <v>109</v>
      </c>
      <c r="AK5" s="17" t="s">
        <v>108</v>
      </c>
      <c r="AL5" s="17" t="s">
        <v>348</v>
      </c>
      <c r="AM5" s="17" t="s">
        <v>109</v>
      </c>
      <c r="AN5" s="17" t="s">
        <v>108</v>
      </c>
      <c r="AO5" s="17" t="s">
        <v>348</v>
      </c>
      <c r="AP5" s="17" t="s">
        <v>109</v>
      </c>
      <c r="AQ5" s="17" t="s">
        <v>108</v>
      </c>
      <c r="AR5" s="17" t="s">
        <v>348</v>
      </c>
      <c r="AS5" s="17" t="s">
        <v>109</v>
      </c>
      <c r="AT5" s="17" t="s">
        <v>108</v>
      </c>
      <c r="AU5" s="17" t="s">
        <v>348</v>
      </c>
      <c r="AV5" s="17" t="s">
        <v>109</v>
      </c>
      <c r="AW5" s="17" t="s">
        <v>108</v>
      </c>
      <c r="AX5" s="17" t="s">
        <v>348</v>
      </c>
    </row>
    <row r="6" spans="1:50" hidden="1" x14ac:dyDescent="0.5">
      <c r="A6" s="16">
        <v>1</v>
      </c>
      <c r="B6" s="15">
        <v>46024</v>
      </c>
      <c r="C6" s="19"/>
      <c r="D6" s="19"/>
      <c r="E6" s="19"/>
      <c r="F6" s="19">
        <v>205</v>
      </c>
      <c r="G6" s="19">
        <v>2870</v>
      </c>
      <c r="H6" s="19">
        <v>1836.8000000000002</v>
      </c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>
        <v>100</v>
      </c>
      <c r="Y6" s="19">
        <v>1200</v>
      </c>
      <c r="Z6" s="19">
        <v>1200</v>
      </c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>
        <f>F6+I6+L6+O6+R6+U6+X6+AA6+AG6+AJ6+AM6+AP6+AS6</f>
        <v>305</v>
      </c>
      <c r="AW6" s="19">
        <f t="shared" ref="AW6:AX21" si="0">G6+J6+M6+P6+S6+V6+Y6+AB6+AH6+AK6+AN6+AQ6+AT6</f>
        <v>4070</v>
      </c>
      <c r="AX6" s="19">
        <f t="shared" si="0"/>
        <v>3036.8</v>
      </c>
    </row>
    <row r="7" spans="1:50" hidden="1" x14ac:dyDescent="0.5">
      <c r="A7" s="16">
        <v>2</v>
      </c>
      <c r="B7" s="15">
        <v>46027</v>
      </c>
      <c r="C7" s="19"/>
      <c r="D7" s="19"/>
      <c r="E7" s="19"/>
      <c r="F7" s="19">
        <v>240</v>
      </c>
      <c r="G7" s="19">
        <v>3360</v>
      </c>
      <c r="H7" s="19">
        <v>2150.4</v>
      </c>
      <c r="I7" s="19"/>
      <c r="J7" s="19"/>
      <c r="K7" s="19"/>
      <c r="L7" s="19"/>
      <c r="M7" s="19"/>
      <c r="N7" s="19"/>
      <c r="O7" s="21"/>
      <c r="P7" s="178"/>
      <c r="Q7" s="19"/>
      <c r="R7" s="19"/>
      <c r="S7" s="19"/>
      <c r="T7" s="19"/>
      <c r="U7" s="19"/>
      <c r="V7" s="19"/>
      <c r="W7" s="19"/>
      <c r="X7" s="19">
        <v>150</v>
      </c>
      <c r="Y7" s="19">
        <v>1800</v>
      </c>
      <c r="Z7" s="19">
        <v>1800</v>
      </c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>
        <f t="shared" ref="AV7:AX25" si="1">F7+I7+L7+O7+R7+U7+X7+AA7+AG7+AJ7+AM7+AP7+AS7</f>
        <v>390</v>
      </c>
      <c r="AW7" s="19">
        <f t="shared" si="0"/>
        <v>5160</v>
      </c>
      <c r="AX7" s="19">
        <f t="shared" si="0"/>
        <v>3950.4</v>
      </c>
    </row>
    <row r="8" spans="1:50" hidden="1" x14ac:dyDescent="0.5">
      <c r="A8" s="16">
        <v>3</v>
      </c>
      <c r="B8" s="15">
        <v>46028</v>
      </c>
      <c r="C8" s="19"/>
      <c r="D8" s="19"/>
      <c r="E8" s="19"/>
      <c r="F8" s="19">
        <v>200</v>
      </c>
      <c r="G8" s="19">
        <v>2800</v>
      </c>
      <c r="H8" s="19">
        <v>1792</v>
      </c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>
        <v>100</v>
      </c>
      <c r="Y8" s="19">
        <v>1200</v>
      </c>
      <c r="Z8" s="19">
        <v>1200</v>
      </c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>
        <f t="shared" si="1"/>
        <v>300</v>
      </c>
      <c r="AW8" s="19">
        <f t="shared" si="0"/>
        <v>4000</v>
      </c>
      <c r="AX8" s="19">
        <f t="shared" si="0"/>
        <v>2992</v>
      </c>
    </row>
    <row r="9" spans="1:50" hidden="1" x14ac:dyDescent="0.5">
      <c r="A9" s="16">
        <v>4</v>
      </c>
      <c r="B9" s="15">
        <v>46030</v>
      </c>
      <c r="C9" s="19"/>
      <c r="D9" s="19"/>
      <c r="E9" s="19"/>
      <c r="F9" s="19">
        <v>100</v>
      </c>
      <c r="G9" s="19">
        <v>1400</v>
      </c>
      <c r="H9" s="19">
        <v>896</v>
      </c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>
        <v>200</v>
      </c>
      <c r="Y9" s="19">
        <v>2400</v>
      </c>
      <c r="Z9" s="19">
        <v>2400</v>
      </c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>
        <f t="shared" si="1"/>
        <v>300</v>
      </c>
      <c r="AW9" s="19">
        <f t="shared" si="0"/>
        <v>3800</v>
      </c>
      <c r="AX9" s="19">
        <f t="shared" si="0"/>
        <v>3296</v>
      </c>
    </row>
    <row r="10" spans="1:50" hidden="1" x14ac:dyDescent="0.5">
      <c r="A10" s="16">
        <v>5</v>
      </c>
      <c r="B10" s="15">
        <v>46031</v>
      </c>
      <c r="C10" s="19"/>
      <c r="D10" s="19"/>
      <c r="E10" s="19"/>
      <c r="F10" s="19">
        <v>200</v>
      </c>
      <c r="G10" s="19">
        <v>2800</v>
      </c>
      <c r="H10" s="19">
        <v>1792</v>
      </c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>
        <f t="shared" si="1"/>
        <v>200</v>
      </c>
      <c r="AW10" s="19">
        <f t="shared" si="0"/>
        <v>2800</v>
      </c>
      <c r="AX10" s="19">
        <f t="shared" si="0"/>
        <v>1792</v>
      </c>
    </row>
    <row r="11" spans="1:50" hidden="1" x14ac:dyDescent="0.5">
      <c r="A11" s="16">
        <v>6</v>
      </c>
      <c r="B11" s="15">
        <v>46032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>
        <v>100</v>
      </c>
      <c r="Y11" s="19">
        <v>1200</v>
      </c>
      <c r="Z11" s="19">
        <v>1200</v>
      </c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>
        <f t="shared" si="1"/>
        <v>100</v>
      </c>
      <c r="AW11" s="19">
        <f t="shared" si="0"/>
        <v>1200</v>
      </c>
      <c r="AX11" s="19">
        <f t="shared" si="0"/>
        <v>1200</v>
      </c>
    </row>
    <row r="12" spans="1:50" hidden="1" x14ac:dyDescent="0.5">
      <c r="A12" s="16">
        <v>7</v>
      </c>
      <c r="B12" s="15">
        <v>46034</v>
      </c>
      <c r="C12" s="20"/>
      <c r="D12" s="20"/>
      <c r="E12" s="19"/>
      <c r="F12" s="20">
        <v>300</v>
      </c>
      <c r="G12" s="20">
        <v>4200</v>
      </c>
      <c r="H12" s="19">
        <v>2688</v>
      </c>
      <c r="I12" s="20"/>
      <c r="J12" s="20"/>
      <c r="K12" s="20"/>
      <c r="L12" s="20"/>
      <c r="M12" s="20"/>
      <c r="N12" s="20"/>
      <c r="O12" s="20"/>
      <c r="P12" s="20"/>
      <c r="Q12" s="19"/>
      <c r="R12" s="20"/>
      <c r="S12" s="20"/>
      <c r="T12" s="19"/>
      <c r="U12" s="20"/>
      <c r="V12" s="20"/>
      <c r="W12" s="20"/>
      <c r="X12" s="20">
        <v>200</v>
      </c>
      <c r="Y12" s="20">
        <v>2400</v>
      </c>
      <c r="Z12" s="20">
        <v>2400</v>
      </c>
      <c r="AA12" s="20"/>
      <c r="AB12" s="20"/>
      <c r="AC12" s="20"/>
      <c r="AD12" s="20"/>
      <c r="AE12" s="20"/>
      <c r="AF12" s="20"/>
      <c r="AG12" s="20"/>
      <c r="AH12" s="20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>
        <f t="shared" si="1"/>
        <v>500</v>
      </c>
      <c r="AW12" s="19">
        <f t="shared" si="0"/>
        <v>6600</v>
      </c>
      <c r="AX12" s="19">
        <f t="shared" si="0"/>
        <v>5088</v>
      </c>
    </row>
    <row r="13" spans="1:50" hidden="1" x14ac:dyDescent="0.5">
      <c r="A13" s="16">
        <v>8</v>
      </c>
      <c r="B13" s="15">
        <v>46035</v>
      </c>
      <c r="C13" s="20"/>
      <c r="D13" s="20"/>
      <c r="E13" s="19"/>
      <c r="F13" s="20">
        <v>150</v>
      </c>
      <c r="G13" s="20">
        <v>2100</v>
      </c>
      <c r="H13" s="19">
        <v>1344</v>
      </c>
      <c r="I13" s="20"/>
      <c r="J13" s="20"/>
      <c r="K13" s="20"/>
      <c r="L13" s="20"/>
      <c r="M13" s="20"/>
      <c r="N13" s="20"/>
      <c r="O13" s="20"/>
      <c r="P13" s="20"/>
      <c r="Q13" s="19"/>
      <c r="R13" s="20"/>
      <c r="S13" s="20"/>
      <c r="T13" s="19"/>
      <c r="U13" s="20"/>
      <c r="V13" s="20"/>
      <c r="W13" s="20"/>
      <c r="X13" s="20">
        <v>150</v>
      </c>
      <c r="Y13" s="20">
        <v>1800</v>
      </c>
      <c r="Z13" s="20">
        <v>1800</v>
      </c>
      <c r="AA13" s="20"/>
      <c r="AB13" s="20"/>
      <c r="AC13" s="20"/>
      <c r="AD13" s="20"/>
      <c r="AE13" s="20"/>
      <c r="AF13" s="20"/>
      <c r="AG13" s="20"/>
      <c r="AH13" s="20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>
        <f t="shared" si="1"/>
        <v>300</v>
      </c>
      <c r="AW13" s="19">
        <f t="shared" si="0"/>
        <v>3900</v>
      </c>
      <c r="AX13" s="19">
        <f t="shared" si="0"/>
        <v>3144</v>
      </c>
    </row>
    <row r="14" spans="1:50" hidden="1" x14ac:dyDescent="0.5">
      <c r="A14" s="16">
        <v>9</v>
      </c>
      <c r="B14" s="15">
        <v>46036</v>
      </c>
      <c r="C14" s="20"/>
      <c r="D14" s="20"/>
      <c r="E14" s="19"/>
      <c r="F14" s="20">
        <v>200</v>
      </c>
      <c r="G14" s="20">
        <v>2800</v>
      </c>
      <c r="H14" s="19">
        <v>1792</v>
      </c>
      <c r="I14" s="20"/>
      <c r="J14" s="20"/>
      <c r="K14" s="20"/>
      <c r="L14" s="20"/>
      <c r="M14" s="20"/>
      <c r="N14" s="20"/>
      <c r="O14" s="20"/>
      <c r="P14" s="20"/>
      <c r="Q14" s="19"/>
      <c r="R14" s="20"/>
      <c r="S14" s="20"/>
      <c r="T14" s="19"/>
      <c r="U14" s="20"/>
      <c r="V14" s="20"/>
      <c r="W14" s="20"/>
      <c r="X14" s="20">
        <v>100</v>
      </c>
      <c r="Y14" s="20">
        <v>1200</v>
      </c>
      <c r="Z14" s="20">
        <v>1200</v>
      </c>
      <c r="AA14" s="20"/>
      <c r="AB14" s="20"/>
      <c r="AC14" s="20"/>
      <c r="AD14" s="20"/>
      <c r="AE14" s="20"/>
      <c r="AF14" s="20"/>
      <c r="AG14" s="20"/>
      <c r="AH14" s="20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>
        <f t="shared" si="1"/>
        <v>300</v>
      </c>
      <c r="AW14" s="19">
        <f t="shared" si="0"/>
        <v>4000</v>
      </c>
      <c r="AX14" s="19">
        <f t="shared" si="0"/>
        <v>2992</v>
      </c>
    </row>
    <row r="15" spans="1:50" hidden="1" x14ac:dyDescent="0.5">
      <c r="A15" s="16">
        <v>10</v>
      </c>
      <c r="B15" s="15">
        <v>46037</v>
      </c>
      <c r="C15" s="20"/>
      <c r="D15" s="20"/>
      <c r="E15" s="19"/>
      <c r="F15" s="20">
        <v>50</v>
      </c>
      <c r="G15" s="20">
        <v>700</v>
      </c>
      <c r="H15" s="19">
        <v>448</v>
      </c>
      <c r="I15" s="20"/>
      <c r="J15" s="20"/>
      <c r="K15" s="20"/>
      <c r="L15" s="20"/>
      <c r="M15" s="20"/>
      <c r="N15" s="20"/>
      <c r="O15" s="20"/>
      <c r="P15" s="20"/>
      <c r="Q15" s="19"/>
      <c r="R15" s="20"/>
      <c r="S15" s="20"/>
      <c r="T15" s="19"/>
      <c r="U15" s="20"/>
      <c r="V15" s="20"/>
      <c r="W15" s="20"/>
      <c r="X15" s="20">
        <v>150</v>
      </c>
      <c r="Y15" s="20">
        <v>1800</v>
      </c>
      <c r="Z15" s="20">
        <v>1800</v>
      </c>
      <c r="AA15" s="20"/>
      <c r="AB15" s="20"/>
      <c r="AC15" s="20"/>
      <c r="AD15" s="20"/>
      <c r="AE15" s="20"/>
      <c r="AF15" s="20"/>
      <c r="AG15" s="20"/>
      <c r="AH15" s="20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>
        <f t="shared" si="1"/>
        <v>200</v>
      </c>
      <c r="AW15" s="19">
        <f t="shared" si="0"/>
        <v>2500</v>
      </c>
      <c r="AX15" s="19">
        <f t="shared" si="0"/>
        <v>2248</v>
      </c>
    </row>
    <row r="16" spans="1:50" hidden="1" x14ac:dyDescent="0.5">
      <c r="A16" s="16">
        <v>11</v>
      </c>
      <c r="B16" s="15">
        <v>46038</v>
      </c>
      <c r="C16" s="20"/>
      <c r="D16" s="20"/>
      <c r="E16" s="19"/>
      <c r="F16" s="20">
        <v>200</v>
      </c>
      <c r="G16" s="20">
        <v>2800</v>
      </c>
      <c r="H16" s="19">
        <v>1792</v>
      </c>
      <c r="I16" s="20"/>
      <c r="J16" s="20"/>
      <c r="K16" s="20"/>
      <c r="L16" s="20"/>
      <c r="M16" s="20"/>
      <c r="N16" s="20"/>
      <c r="O16" s="20"/>
      <c r="P16" s="20"/>
      <c r="Q16" s="19"/>
      <c r="R16" s="20"/>
      <c r="S16" s="20"/>
      <c r="T16" s="19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>
        <f t="shared" si="0"/>
        <v>2800</v>
      </c>
      <c r="AX16" s="19">
        <f t="shared" si="0"/>
        <v>1792</v>
      </c>
    </row>
    <row r="17" spans="1:50" hidden="1" x14ac:dyDescent="0.5">
      <c r="A17" s="16">
        <v>12</v>
      </c>
      <c r="B17" s="15">
        <v>46039</v>
      </c>
      <c r="C17" s="20"/>
      <c r="D17" s="20"/>
      <c r="E17" s="19"/>
      <c r="F17" s="20">
        <v>100</v>
      </c>
      <c r="G17" s="20">
        <v>1400</v>
      </c>
      <c r="H17" s="19">
        <v>896</v>
      </c>
      <c r="I17" s="20"/>
      <c r="J17" s="20"/>
      <c r="K17" s="20"/>
      <c r="L17" s="20"/>
      <c r="M17" s="20"/>
      <c r="N17" s="20"/>
      <c r="O17" s="20"/>
      <c r="P17" s="20"/>
      <c r="Q17" s="19"/>
      <c r="R17" s="20"/>
      <c r="S17" s="20"/>
      <c r="T17" s="19"/>
      <c r="U17" s="20"/>
      <c r="V17" s="20"/>
      <c r="W17" s="20"/>
      <c r="X17" s="20">
        <v>130</v>
      </c>
      <c r="Y17" s="20">
        <v>1560</v>
      </c>
      <c r="Z17" s="20">
        <v>1560</v>
      </c>
      <c r="AA17" s="20"/>
      <c r="AB17" s="20"/>
      <c r="AC17" s="20"/>
      <c r="AD17" s="20"/>
      <c r="AE17" s="20"/>
      <c r="AF17" s="20"/>
      <c r="AG17" s="20"/>
      <c r="AH17" s="20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>
        <f t="shared" si="1"/>
        <v>230</v>
      </c>
      <c r="AW17" s="19">
        <f t="shared" si="0"/>
        <v>2960</v>
      </c>
      <c r="AX17" s="19">
        <f t="shared" si="0"/>
        <v>2456</v>
      </c>
    </row>
    <row r="18" spans="1:50" hidden="1" x14ac:dyDescent="0.5">
      <c r="A18" s="16">
        <v>13</v>
      </c>
      <c r="B18" s="15">
        <v>46041</v>
      </c>
      <c r="C18" s="20"/>
      <c r="D18" s="20"/>
      <c r="E18" s="19"/>
      <c r="F18" s="20">
        <v>200</v>
      </c>
      <c r="G18" s="20">
        <v>2400</v>
      </c>
      <c r="H18" s="19">
        <v>2400</v>
      </c>
      <c r="I18" s="20"/>
      <c r="J18" s="20"/>
      <c r="K18" s="20"/>
      <c r="L18" s="20"/>
      <c r="M18" s="20"/>
      <c r="N18" s="20"/>
      <c r="O18" s="20"/>
      <c r="P18" s="20"/>
      <c r="Q18" s="19"/>
      <c r="R18" s="20"/>
      <c r="S18" s="20"/>
      <c r="T18" s="19"/>
      <c r="U18" s="20"/>
      <c r="V18" s="20"/>
      <c r="W18" s="20"/>
      <c r="X18" s="20">
        <v>230</v>
      </c>
      <c r="Y18" s="20">
        <v>3220</v>
      </c>
      <c r="Z18" s="20">
        <v>2060.8000000000002</v>
      </c>
      <c r="AA18" s="20"/>
      <c r="AB18" s="20"/>
      <c r="AC18" s="20"/>
      <c r="AD18" s="20"/>
      <c r="AE18" s="20"/>
      <c r="AF18" s="20"/>
      <c r="AG18" s="20"/>
      <c r="AH18" s="20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>
        <f t="shared" si="1"/>
        <v>430</v>
      </c>
      <c r="AW18" s="19">
        <f t="shared" si="0"/>
        <v>5620</v>
      </c>
      <c r="AX18" s="19">
        <f t="shared" si="0"/>
        <v>4460.8</v>
      </c>
    </row>
    <row r="19" spans="1:50" hidden="1" x14ac:dyDescent="0.5">
      <c r="A19" s="16">
        <v>14</v>
      </c>
      <c r="B19" s="15">
        <v>46042</v>
      </c>
      <c r="C19" s="20"/>
      <c r="D19" s="20"/>
      <c r="E19" s="19"/>
      <c r="F19" s="20">
        <v>170</v>
      </c>
      <c r="G19" s="20">
        <v>2380</v>
      </c>
      <c r="H19" s="19">
        <v>1523.2</v>
      </c>
      <c r="I19" s="20"/>
      <c r="J19" s="20"/>
      <c r="K19" s="20"/>
      <c r="L19" s="20"/>
      <c r="M19" s="20"/>
      <c r="N19" s="20"/>
      <c r="O19" s="20"/>
      <c r="P19" s="20"/>
      <c r="Q19" s="19"/>
      <c r="R19" s="20"/>
      <c r="S19" s="20"/>
      <c r="T19" s="19"/>
      <c r="U19" s="20"/>
      <c r="V19" s="20"/>
      <c r="W19" s="20"/>
      <c r="X19" s="20">
        <v>100</v>
      </c>
      <c r="Y19" s="20">
        <v>1200</v>
      </c>
      <c r="Z19" s="20">
        <v>1200</v>
      </c>
      <c r="AA19" s="20"/>
      <c r="AB19" s="20"/>
      <c r="AC19" s="20"/>
      <c r="AD19" s="20"/>
      <c r="AE19" s="20"/>
      <c r="AF19" s="20"/>
      <c r="AG19" s="20"/>
      <c r="AH19" s="20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>
        <f t="shared" si="1"/>
        <v>270</v>
      </c>
      <c r="AW19" s="19">
        <f t="shared" si="0"/>
        <v>3580</v>
      </c>
      <c r="AX19" s="19">
        <f t="shared" si="0"/>
        <v>2723.2</v>
      </c>
    </row>
    <row r="20" spans="1:50" hidden="1" x14ac:dyDescent="0.5">
      <c r="A20" s="16">
        <v>15</v>
      </c>
      <c r="B20" s="15">
        <v>46043</v>
      </c>
      <c r="C20" s="20"/>
      <c r="D20" s="20"/>
      <c r="E20" s="19"/>
      <c r="F20" s="20">
        <v>200</v>
      </c>
      <c r="G20" s="20">
        <v>2800</v>
      </c>
      <c r="H20" s="19">
        <v>1792</v>
      </c>
      <c r="I20" s="20"/>
      <c r="J20" s="20"/>
      <c r="K20" s="20"/>
      <c r="L20" s="20"/>
      <c r="M20" s="20"/>
      <c r="N20" s="20"/>
      <c r="O20" s="20"/>
      <c r="P20" s="20"/>
      <c r="Q20" s="19"/>
      <c r="R20" s="20"/>
      <c r="S20" s="20"/>
      <c r="T20" s="19"/>
      <c r="U20" s="20"/>
      <c r="V20" s="20"/>
      <c r="W20" s="20"/>
      <c r="X20" s="20">
        <v>250</v>
      </c>
      <c r="Y20" s="20">
        <v>3000</v>
      </c>
      <c r="Z20" s="20">
        <v>3000</v>
      </c>
      <c r="AA20" s="20"/>
      <c r="AB20" s="20"/>
      <c r="AC20" s="20"/>
      <c r="AD20" s="20"/>
      <c r="AE20" s="20"/>
      <c r="AF20" s="20"/>
      <c r="AG20" s="20"/>
      <c r="AH20" s="20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>
        <f t="shared" si="1"/>
        <v>450</v>
      </c>
      <c r="AW20" s="19">
        <f t="shared" si="0"/>
        <v>5800</v>
      </c>
      <c r="AX20" s="19">
        <f t="shared" si="0"/>
        <v>4792</v>
      </c>
    </row>
    <row r="21" spans="1:50" hidden="1" x14ac:dyDescent="0.5">
      <c r="A21" s="16">
        <v>16</v>
      </c>
      <c r="B21" s="15">
        <v>46044</v>
      </c>
      <c r="C21" s="20"/>
      <c r="D21" s="20"/>
      <c r="E21" s="19"/>
      <c r="F21" s="20">
        <v>200</v>
      </c>
      <c r="G21" s="20">
        <v>2800</v>
      </c>
      <c r="H21" s="19">
        <v>1792</v>
      </c>
      <c r="I21" s="20"/>
      <c r="J21" s="20"/>
      <c r="K21" s="20"/>
      <c r="L21" s="20"/>
      <c r="M21" s="20"/>
      <c r="N21" s="20"/>
      <c r="O21" s="20"/>
      <c r="P21" s="20"/>
      <c r="Q21" s="19"/>
      <c r="R21" s="20"/>
      <c r="S21" s="20"/>
      <c r="T21" s="19"/>
      <c r="U21" s="20"/>
      <c r="V21" s="20"/>
      <c r="W21" s="20"/>
      <c r="X21" s="20">
        <v>100</v>
      </c>
      <c r="Y21" s="20">
        <v>1200</v>
      </c>
      <c r="Z21" s="20">
        <v>1200</v>
      </c>
      <c r="AA21" s="20"/>
      <c r="AB21" s="20"/>
      <c r="AC21" s="20"/>
      <c r="AD21" s="20"/>
      <c r="AE21" s="20"/>
      <c r="AF21" s="20"/>
      <c r="AG21" s="20"/>
      <c r="AH21" s="20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>
        <f t="shared" si="1"/>
        <v>300</v>
      </c>
      <c r="AW21" s="19">
        <f t="shared" si="0"/>
        <v>4000</v>
      </c>
      <c r="AX21" s="19">
        <f t="shared" si="0"/>
        <v>2992</v>
      </c>
    </row>
    <row r="22" spans="1:50" hidden="1" x14ac:dyDescent="0.5">
      <c r="A22" s="16">
        <v>17</v>
      </c>
      <c r="B22" s="15">
        <v>46045</v>
      </c>
      <c r="C22" s="20"/>
      <c r="D22" s="20"/>
      <c r="E22" s="19"/>
      <c r="F22" s="20">
        <v>50</v>
      </c>
      <c r="G22" s="20">
        <v>700</v>
      </c>
      <c r="H22" s="19">
        <v>448</v>
      </c>
      <c r="I22" s="20"/>
      <c r="J22" s="20"/>
      <c r="K22" s="20"/>
      <c r="L22" s="20"/>
      <c r="M22" s="20"/>
      <c r="N22" s="20"/>
      <c r="O22" s="20"/>
      <c r="P22" s="20"/>
      <c r="Q22" s="19"/>
      <c r="R22" s="20"/>
      <c r="S22" s="20"/>
      <c r="T22" s="19"/>
      <c r="U22" s="20"/>
      <c r="V22" s="20"/>
      <c r="W22" s="20"/>
      <c r="X22" s="20">
        <v>105</v>
      </c>
      <c r="Y22" s="20">
        <v>1260</v>
      </c>
      <c r="Z22" s="20">
        <v>1260</v>
      </c>
      <c r="AA22" s="20"/>
      <c r="AB22" s="20"/>
      <c r="AC22" s="20"/>
      <c r="AD22" s="20"/>
      <c r="AE22" s="20"/>
      <c r="AF22" s="20"/>
      <c r="AG22" s="20"/>
      <c r="AH22" s="20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>
        <f t="shared" si="1"/>
        <v>155</v>
      </c>
      <c r="AW22" s="19">
        <f t="shared" si="1"/>
        <v>1960</v>
      </c>
      <c r="AX22" s="19">
        <f t="shared" si="1"/>
        <v>1708</v>
      </c>
    </row>
    <row r="23" spans="1:50" hidden="1" x14ac:dyDescent="0.5">
      <c r="A23" s="16">
        <v>18</v>
      </c>
      <c r="B23" s="15">
        <v>46046</v>
      </c>
      <c r="C23" s="20"/>
      <c r="D23" s="20"/>
      <c r="E23" s="19"/>
      <c r="F23" s="20">
        <v>100</v>
      </c>
      <c r="G23" s="20">
        <v>1400</v>
      </c>
      <c r="H23" s="19">
        <v>896</v>
      </c>
      <c r="I23" s="20"/>
      <c r="J23" s="20"/>
      <c r="K23" s="20"/>
      <c r="L23" s="20"/>
      <c r="M23" s="20"/>
      <c r="N23" s="20"/>
      <c r="O23" s="20"/>
      <c r="P23" s="20"/>
      <c r="Q23" s="19"/>
      <c r="R23" s="20"/>
      <c r="S23" s="20"/>
      <c r="T23" s="19"/>
      <c r="U23" s="20"/>
      <c r="V23" s="20"/>
      <c r="W23" s="20"/>
      <c r="X23" s="20">
        <v>150</v>
      </c>
      <c r="Y23" s="20">
        <v>1800</v>
      </c>
      <c r="Z23" s="20">
        <v>1800</v>
      </c>
      <c r="AA23" s="20"/>
      <c r="AB23" s="20"/>
      <c r="AC23" s="20"/>
      <c r="AD23" s="20"/>
      <c r="AE23" s="20"/>
      <c r="AF23" s="20"/>
      <c r="AG23" s="20"/>
      <c r="AH23" s="20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>
        <f t="shared" si="1"/>
        <v>250</v>
      </c>
      <c r="AW23" s="19">
        <f t="shared" si="1"/>
        <v>3200</v>
      </c>
      <c r="AX23" s="19">
        <f t="shared" si="1"/>
        <v>2696</v>
      </c>
    </row>
    <row r="24" spans="1:50" hidden="1" x14ac:dyDescent="0.5">
      <c r="A24" s="16">
        <v>19</v>
      </c>
      <c r="B24" s="15">
        <v>46048</v>
      </c>
      <c r="C24" s="20"/>
      <c r="D24" s="20"/>
      <c r="E24" s="19"/>
      <c r="F24" s="20">
        <v>150</v>
      </c>
      <c r="G24" s="20">
        <v>2100</v>
      </c>
      <c r="H24" s="19">
        <v>1344</v>
      </c>
      <c r="I24" s="20"/>
      <c r="J24" s="20"/>
      <c r="K24" s="20"/>
      <c r="L24" s="20"/>
      <c r="M24" s="20"/>
      <c r="N24" s="20"/>
      <c r="O24" s="20"/>
      <c r="P24" s="20"/>
      <c r="Q24" s="19"/>
      <c r="R24" s="20"/>
      <c r="S24" s="20"/>
      <c r="T24" s="19"/>
      <c r="U24" s="20"/>
      <c r="V24" s="20"/>
      <c r="W24" s="20"/>
      <c r="X24" s="20">
        <v>160</v>
      </c>
      <c r="Y24" s="20">
        <v>1920</v>
      </c>
      <c r="Z24" s="20">
        <v>1920</v>
      </c>
      <c r="AA24" s="20"/>
      <c r="AB24" s="20"/>
      <c r="AC24" s="20"/>
      <c r="AD24" s="20"/>
      <c r="AE24" s="20"/>
      <c r="AF24" s="20"/>
      <c r="AG24" s="20"/>
      <c r="AH24" s="20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>
        <f t="shared" si="1"/>
        <v>310</v>
      </c>
      <c r="AW24" s="19">
        <f t="shared" si="1"/>
        <v>4020</v>
      </c>
      <c r="AX24" s="19">
        <f t="shared" si="1"/>
        <v>3264</v>
      </c>
    </row>
    <row r="25" spans="1:50" hidden="1" x14ac:dyDescent="0.5">
      <c r="A25" s="16">
        <v>20</v>
      </c>
      <c r="B25" s="15">
        <v>46049</v>
      </c>
      <c r="C25" s="20"/>
      <c r="D25" s="20"/>
      <c r="E25" s="19"/>
      <c r="F25" s="20">
        <v>50</v>
      </c>
      <c r="G25" s="20">
        <v>700</v>
      </c>
      <c r="H25" s="19">
        <v>448</v>
      </c>
      <c r="I25" s="20"/>
      <c r="J25" s="20"/>
      <c r="K25" s="20"/>
      <c r="L25" s="20"/>
      <c r="M25" s="20"/>
      <c r="N25" s="20"/>
      <c r="O25" s="20"/>
      <c r="P25" s="20"/>
      <c r="Q25" s="19"/>
      <c r="R25" s="20"/>
      <c r="S25" s="20"/>
      <c r="T25" s="19"/>
      <c r="U25" s="20"/>
      <c r="V25" s="20"/>
      <c r="W25" s="20"/>
      <c r="X25" s="20">
        <v>120</v>
      </c>
      <c r="Y25" s="20">
        <v>1440</v>
      </c>
      <c r="Z25" s="20">
        <v>1440</v>
      </c>
      <c r="AA25" s="20"/>
      <c r="AB25" s="20"/>
      <c r="AC25" s="20"/>
      <c r="AD25" s="20"/>
      <c r="AE25" s="20"/>
      <c r="AF25" s="20"/>
      <c r="AG25" s="20"/>
      <c r="AH25" s="20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>
        <f t="shared" si="1"/>
        <v>170</v>
      </c>
      <c r="AW25" s="19">
        <f t="shared" ref="AW25" si="2">G25+J25+M25+P25+S25+V25+Y25+AB25+AH25+AK25+AN25+AQ25+AT25</f>
        <v>2140</v>
      </c>
      <c r="AX25" s="19">
        <f>E25+H25+K25+N25+Q25+T25+W25+Z25+AC25+AI25+AL25+AO25+AR25+AU25</f>
        <v>1888</v>
      </c>
    </row>
    <row r="26" spans="1:50" hidden="1" x14ac:dyDescent="0.5">
      <c r="A26" s="16">
        <v>21</v>
      </c>
      <c r="B26" s="15">
        <v>46051</v>
      </c>
      <c r="C26" s="20"/>
      <c r="D26" s="20"/>
      <c r="E26" s="19"/>
      <c r="F26" s="20">
        <v>80</v>
      </c>
      <c r="G26" s="20">
        <v>1120</v>
      </c>
      <c r="H26" s="19">
        <v>716.80000000000007</v>
      </c>
      <c r="I26" s="20"/>
      <c r="J26" s="20"/>
      <c r="K26" s="20"/>
      <c r="L26" s="20"/>
      <c r="M26" s="20"/>
      <c r="N26" s="20"/>
      <c r="O26" s="20"/>
      <c r="P26" s="20"/>
      <c r="Q26" s="19"/>
      <c r="R26" s="20"/>
      <c r="S26" s="20"/>
      <c r="T26" s="19"/>
      <c r="U26" s="20"/>
      <c r="V26" s="20"/>
      <c r="W26" s="20"/>
      <c r="X26" s="20">
        <v>100</v>
      </c>
      <c r="Y26" s="20">
        <v>1200</v>
      </c>
      <c r="Z26" s="20">
        <v>1200</v>
      </c>
      <c r="AA26" s="20"/>
      <c r="AB26" s="20"/>
      <c r="AC26" s="20"/>
      <c r="AD26" s="20"/>
      <c r="AE26" s="20"/>
      <c r="AF26" s="20"/>
      <c r="AG26" s="20"/>
      <c r="AH26" s="20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>
        <f t="shared" ref="AV26:AV27" si="3">F26+I26+L26+O26+R26+U26+X26+AA26+AG26+AJ26+AM26+AP26+AS26</f>
        <v>180</v>
      </c>
      <c r="AW26" s="19">
        <f t="shared" ref="AW26:AW27" si="4">G26+J26+M26+P26+S26+V26+Y26+AB26+AH26+AK26+AN26+AQ26+AT26</f>
        <v>2320</v>
      </c>
      <c r="AX26" s="19">
        <f t="shared" ref="AX26:AX27" si="5">E26+H26+K26+N26+Q26+T26+W26+Z26+AC26+AI26+AL26+AO26+AR26+AU26</f>
        <v>1916.8000000000002</v>
      </c>
    </row>
    <row r="27" spans="1:50" hidden="1" x14ac:dyDescent="0.5">
      <c r="A27" s="16">
        <v>22</v>
      </c>
      <c r="B27" s="15">
        <v>46052</v>
      </c>
      <c r="C27" s="20"/>
      <c r="D27" s="20"/>
      <c r="E27" s="19"/>
      <c r="F27" s="20">
        <v>150</v>
      </c>
      <c r="G27" s="20">
        <v>2100</v>
      </c>
      <c r="H27" s="19">
        <v>1344</v>
      </c>
      <c r="I27" s="20"/>
      <c r="J27" s="20"/>
      <c r="K27" s="20"/>
      <c r="L27" s="20"/>
      <c r="M27" s="20"/>
      <c r="N27" s="20"/>
      <c r="O27" s="20"/>
      <c r="P27" s="20"/>
      <c r="Q27" s="19"/>
      <c r="R27" s="20"/>
      <c r="S27" s="20"/>
      <c r="T27" s="19"/>
      <c r="U27" s="20"/>
      <c r="V27" s="20"/>
      <c r="W27" s="20"/>
      <c r="X27" s="20">
        <v>100</v>
      </c>
      <c r="Y27" s="20">
        <v>1200</v>
      </c>
      <c r="Z27" s="20">
        <v>1200</v>
      </c>
      <c r="AA27" s="20"/>
      <c r="AB27" s="20"/>
      <c r="AC27" s="20"/>
      <c r="AD27" s="20"/>
      <c r="AE27" s="20"/>
      <c r="AF27" s="20"/>
      <c r="AG27" s="20"/>
      <c r="AH27" s="20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>
        <f t="shared" si="3"/>
        <v>250</v>
      </c>
      <c r="AW27" s="19">
        <f t="shared" si="4"/>
        <v>3300</v>
      </c>
      <c r="AX27" s="19">
        <f t="shared" si="5"/>
        <v>2544</v>
      </c>
    </row>
    <row r="28" spans="1:50" hidden="1" x14ac:dyDescent="0.5">
      <c r="A28" s="16">
        <v>23</v>
      </c>
      <c r="B28" s="15">
        <v>46053</v>
      </c>
      <c r="C28" s="20"/>
      <c r="D28" s="20"/>
      <c r="E28" s="19"/>
      <c r="F28" s="20">
        <v>250</v>
      </c>
      <c r="G28" s="20">
        <v>3500</v>
      </c>
      <c r="H28" s="19">
        <v>2240</v>
      </c>
      <c r="I28" s="20"/>
      <c r="J28" s="20"/>
      <c r="K28" s="20"/>
      <c r="L28" s="20"/>
      <c r="M28" s="20"/>
      <c r="N28" s="20"/>
      <c r="O28" s="20"/>
      <c r="P28" s="20"/>
      <c r="Q28" s="19"/>
      <c r="R28" s="20"/>
      <c r="S28" s="20"/>
      <c r="T28" s="19"/>
      <c r="U28" s="20"/>
      <c r="V28" s="20"/>
      <c r="W28" s="20"/>
      <c r="X28" s="20">
        <v>160</v>
      </c>
      <c r="Y28" s="20">
        <v>1920</v>
      </c>
      <c r="Z28" s="20">
        <v>1920</v>
      </c>
      <c r="AA28" s="20"/>
      <c r="AB28" s="20"/>
      <c r="AC28" s="20"/>
      <c r="AD28" s="20"/>
      <c r="AE28" s="20"/>
      <c r="AF28" s="20"/>
      <c r="AG28" s="20"/>
      <c r="AH28" s="20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>
        <f t="shared" ref="AV28" si="6">F28+I28+L28+O28+R28+U28+X28+AA28+AG28+AJ28+AM28+AP28+AS28</f>
        <v>410</v>
      </c>
      <c r="AW28" s="19">
        <f t="shared" ref="AW28" si="7">G28+J28+M28+P28+S28+V28+Y28+AB28+AH28+AK28+AN28+AQ28+AT28</f>
        <v>5420</v>
      </c>
      <c r="AX28" s="19">
        <f t="shared" ref="AX28" si="8">E28+H28+K28+N28+Q28+T28+W28+Z28+AC28+AI28+AL28+AO28+AR28+AU28</f>
        <v>4160</v>
      </c>
    </row>
    <row r="29" spans="1:50" hidden="1" x14ac:dyDescent="0.5">
      <c r="A29" s="16">
        <v>22</v>
      </c>
      <c r="B29" s="15"/>
      <c r="C29" s="20"/>
      <c r="D29" s="20"/>
      <c r="E29" s="19"/>
      <c r="F29" s="20"/>
      <c r="G29" s="20"/>
      <c r="H29" s="19"/>
      <c r="I29" s="20"/>
      <c r="J29" s="20"/>
      <c r="K29" s="20"/>
      <c r="L29" s="20"/>
      <c r="M29" s="20"/>
      <c r="N29" s="20"/>
      <c r="O29" s="20"/>
      <c r="P29" s="20"/>
      <c r="Q29" s="19"/>
      <c r="R29" s="20"/>
      <c r="S29" s="20"/>
      <c r="T29" s="19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>
        <f>C29+F29+I29+L29+O29+R29+U29+X29+AA29+AG29+AJ29+AM29</f>
        <v>0</v>
      </c>
      <c r="AW29" s="19">
        <f>D29+G29+J29+M29+P29+S29+V29+Y29+AB29+AH29+AK29+AN29</f>
        <v>0</v>
      </c>
      <c r="AX29" s="19">
        <f>E29+H29+K29+N29+Q29+T29+W29+Z29+AC29+AI29+AL29+AN29</f>
        <v>0</v>
      </c>
    </row>
    <row r="30" spans="1:50" hidden="1" x14ac:dyDescent="0.5">
      <c r="A30" s="14"/>
      <c r="B30" s="13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8">
        <f>SUM(AA6:AA13)</f>
        <v>0</v>
      </c>
      <c r="AB30" s="18">
        <f>SUM(AB6:AB13)</f>
        <v>0</v>
      </c>
      <c r="AV30" s="182">
        <f>SUM(AV6:AV29)</f>
        <v>6300</v>
      </c>
      <c r="AW30" s="182">
        <f>SUM(AW6:AW29)</f>
        <v>85150</v>
      </c>
      <c r="AX30" s="182">
        <f>SUM(AX6:AX29)</f>
        <v>67132</v>
      </c>
    </row>
    <row r="33" spans="1:50" hidden="1" x14ac:dyDescent="0.5">
      <c r="A33" s="550" t="s">
        <v>369</v>
      </c>
      <c r="B33" s="550"/>
      <c r="C33" s="550"/>
      <c r="D33" s="550"/>
      <c r="E33" s="550"/>
      <c r="F33" s="550"/>
    </row>
    <row r="34" spans="1:50" hidden="1" x14ac:dyDescent="0.5">
      <c r="A34" s="550"/>
      <c r="B34" s="550"/>
      <c r="C34" s="550"/>
      <c r="D34" s="550"/>
      <c r="E34" s="550"/>
      <c r="F34" s="550"/>
    </row>
    <row r="35" spans="1:50" hidden="1" x14ac:dyDescent="0.5">
      <c r="A35" s="551" t="s">
        <v>118</v>
      </c>
      <c r="B35" s="552" t="s">
        <v>135</v>
      </c>
      <c r="C35" s="553"/>
      <c r="D35" s="553"/>
      <c r="E35" s="553"/>
      <c r="F35" s="553"/>
      <c r="G35" s="553"/>
      <c r="H35" s="553"/>
      <c r="I35" s="553"/>
      <c r="J35" s="553"/>
      <c r="K35" s="553"/>
      <c r="L35" s="553"/>
      <c r="M35" s="553"/>
      <c r="N35" s="553"/>
      <c r="O35" s="553"/>
      <c r="P35" s="553"/>
      <c r="Q35" s="553"/>
      <c r="R35" s="553"/>
      <c r="S35" s="553"/>
      <c r="T35" s="553"/>
      <c r="U35" s="553"/>
      <c r="V35" s="553"/>
      <c r="W35" s="553"/>
      <c r="X35" s="553"/>
      <c r="Y35" s="553"/>
      <c r="Z35" s="553"/>
      <c r="AA35" s="553"/>
      <c r="AB35" s="553"/>
      <c r="AC35" s="553"/>
      <c r="AD35" s="553"/>
      <c r="AE35" s="553"/>
      <c r="AF35" s="553"/>
      <c r="AG35" s="553"/>
      <c r="AH35" s="553"/>
      <c r="AI35" s="553"/>
      <c r="AJ35" s="553"/>
      <c r="AK35" s="553"/>
      <c r="AL35" s="553"/>
      <c r="AM35" s="553"/>
      <c r="AN35" s="553"/>
      <c r="AO35" s="553"/>
      <c r="AP35" s="553"/>
      <c r="AQ35" s="553"/>
      <c r="AR35" s="553"/>
      <c r="AS35" s="553"/>
      <c r="AT35" s="553"/>
      <c r="AU35" s="553"/>
      <c r="AV35" s="553"/>
      <c r="AW35" s="553"/>
      <c r="AX35" s="553"/>
    </row>
    <row r="36" spans="1:50" hidden="1" x14ac:dyDescent="0.5">
      <c r="A36" s="551"/>
      <c r="B36" s="552"/>
      <c r="C36" s="554" t="s">
        <v>134</v>
      </c>
      <c r="D36" s="555"/>
      <c r="E36" s="556"/>
      <c r="F36" s="557" t="s">
        <v>133</v>
      </c>
      <c r="G36" s="557"/>
      <c r="H36" s="557"/>
      <c r="I36" s="557" t="s">
        <v>132</v>
      </c>
      <c r="J36" s="557"/>
      <c r="K36" s="557"/>
      <c r="L36" s="557" t="s">
        <v>131</v>
      </c>
      <c r="M36" s="557"/>
      <c r="N36" s="557"/>
      <c r="O36" s="557" t="s">
        <v>130</v>
      </c>
      <c r="P36" s="557"/>
      <c r="Q36" s="557"/>
      <c r="R36" s="557" t="s">
        <v>129</v>
      </c>
      <c r="S36" s="557"/>
      <c r="T36" s="557"/>
      <c r="U36" s="558" t="s">
        <v>128</v>
      </c>
      <c r="V36" s="559"/>
      <c r="W36" s="560"/>
      <c r="X36" s="557" t="s">
        <v>127</v>
      </c>
      <c r="Y36" s="557"/>
      <c r="Z36" s="557"/>
      <c r="AA36" s="557" t="s">
        <v>126</v>
      </c>
      <c r="AB36" s="557"/>
      <c r="AC36" s="557"/>
      <c r="AD36" s="177"/>
      <c r="AE36" s="177"/>
      <c r="AF36" s="177"/>
      <c r="AG36" s="557" t="s">
        <v>125</v>
      </c>
      <c r="AH36" s="557"/>
      <c r="AI36" s="557"/>
      <c r="AJ36" s="557" t="s">
        <v>124</v>
      </c>
      <c r="AK36" s="557"/>
      <c r="AL36" s="557"/>
      <c r="AM36" s="557" t="s">
        <v>123</v>
      </c>
      <c r="AN36" s="557"/>
      <c r="AO36" s="177"/>
      <c r="AP36" s="557" t="s">
        <v>367</v>
      </c>
      <c r="AQ36" s="557"/>
      <c r="AR36" s="177"/>
      <c r="AS36" s="557" t="s">
        <v>368</v>
      </c>
      <c r="AT36" s="557"/>
      <c r="AU36" s="177"/>
      <c r="AV36" s="557" t="s">
        <v>122</v>
      </c>
      <c r="AW36" s="557"/>
      <c r="AX36" s="557"/>
    </row>
    <row r="37" spans="1:50" hidden="1" x14ac:dyDescent="0.5">
      <c r="A37" s="551"/>
      <c r="B37" s="552"/>
      <c r="C37" s="17" t="s">
        <v>109</v>
      </c>
      <c r="D37" s="17" t="s">
        <v>108</v>
      </c>
      <c r="E37" s="17" t="s">
        <v>348</v>
      </c>
      <c r="F37" s="17" t="s">
        <v>109</v>
      </c>
      <c r="G37" s="17" t="s">
        <v>108</v>
      </c>
      <c r="H37" s="17" t="s">
        <v>348</v>
      </c>
      <c r="I37" s="17" t="s">
        <v>109</v>
      </c>
      <c r="J37" s="17" t="s">
        <v>108</v>
      </c>
      <c r="K37" s="17" t="s">
        <v>348</v>
      </c>
      <c r="L37" s="17" t="s">
        <v>109</v>
      </c>
      <c r="M37" s="17" t="s">
        <v>108</v>
      </c>
      <c r="N37" s="17" t="s">
        <v>348</v>
      </c>
      <c r="O37" s="17" t="s">
        <v>109</v>
      </c>
      <c r="P37" s="17" t="s">
        <v>108</v>
      </c>
      <c r="Q37" s="17" t="s">
        <v>348</v>
      </c>
      <c r="R37" s="17" t="s">
        <v>109</v>
      </c>
      <c r="S37" s="17" t="s">
        <v>108</v>
      </c>
      <c r="T37" s="17" t="s">
        <v>348</v>
      </c>
      <c r="U37" s="17" t="s">
        <v>109</v>
      </c>
      <c r="V37" s="17" t="s">
        <v>108</v>
      </c>
      <c r="W37" s="17" t="s">
        <v>348</v>
      </c>
      <c r="X37" s="17" t="s">
        <v>109</v>
      </c>
      <c r="Y37" s="17" t="s">
        <v>108</v>
      </c>
      <c r="Z37" s="17" t="s">
        <v>348</v>
      </c>
      <c r="AA37" s="17" t="s">
        <v>109</v>
      </c>
      <c r="AB37" s="17" t="s">
        <v>108</v>
      </c>
      <c r="AC37" s="17" t="s">
        <v>348</v>
      </c>
      <c r="AD37" s="17"/>
      <c r="AE37" s="17"/>
      <c r="AF37" s="17"/>
      <c r="AG37" s="17" t="s">
        <v>109</v>
      </c>
      <c r="AH37" s="17" t="s">
        <v>108</v>
      </c>
      <c r="AI37" s="17" t="s">
        <v>348</v>
      </c>
      <c r="AJ37" s="17" t="s">
        <v>109</v>
      </c>
      <c r="AK37" s="17" t="s">
        <v>108</v>
      </c>
      <c r="AL37" s="17" t="s">
        <v>348</v>
      </c>
      <c r="AM37" s="17" t="s">
        <v>109</v>
      </c>
      <c r="AN37" s="17" t="s">
        <v>108</v>
      </c>
      <c r="AO37" s="17" t="s">
        <v>348</v>
      </c>
      <c r="AP37" s="17" t="s">
        <v>109</v>
      </c>
      <c r="AQ37" s="17" t="s">
        <v>108</v>
      </c>
      <c r="AR37" s="17" t="s">
        <v>348</v>
      </c>
      <c r="AS37" s="17" t="s">
        <v>109</v>
      </c>
      <c r="AT37" s="17" t="s">
        <v>108</v>
      </c>
      <c r="AU37" s="17" t="s">
        <v>348</v>
      </c>
      <c r="AV37" s="17" t="s">
        <v>109</v>
      </c>
      <c r="AW37" s="17" t="s">
        <v>108</v>
      </c>
      <c r="AX37" s="17" t="s">
        <v>348</v>
      </c>
    </row>
    <row r="38" spans="1:50" ht="20.100000000000001" hidden="1" customHeight="1" x14ac:dyDescent="0.5">
      <c r="A38" s="16">
        <v>1</v>
      </c>
      <c r="B38" s="15">
        <v>46055</v>
      </c>
      <c r="C38" s="19"/>
      <c r="D38" s="19"/>
      <c r="E38" s="19"/>
      <c r="F38" s="19">
        <v>170</v>
      </c>
      <c r="G38" s="19">
        <v>2380</v>
      </c>
      <c r="H38" s="19">
        <v>1523.2</v>
      </c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>
        <v>265</v>
      </c>
      <c r="Y38" s="19">
        <v>3180</v>
      </c>
      <c r="Z38" s="19">
        <v>3180</v>
      </c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>
        <f>F38+X38</f>
        <v>435</v>
      </c>
      <c r="AW38" s="19">
        <f>G38+Y38</f>
        <v>5560</v>
      </c>
      <c r="AX38" s="19">
        <f>E38+H38+K38+N38+Q38+T38+W38+Z38+AC38+AI38+AL38+AO38+AR38+AU38</f>
        <v>4703.2</v>
      </c>
    </row>
    <row r="39" spans="1:50" ht="20.100000000000001" hidden="1" customHeight="1" x14ac:dyDescent="0.5">
      <c r="A39" s="16">
        <v>2</v>
      </c>
      <c r="B39" s="15">
        <v>46056</v>
      </c>
      <c r="C39" s="19"/>
      <c r="D39" s="19"/>
      <c r="E39" s="19"/>
      <c r="F39" s="19">
        <v>200</v>
      </c>
      <c r="G39" s="19">
        <v>2800</v>
      </c>
      <c r="H39" s="19">
        <v>1792</v>
      </c>
      <c r="I39" s="19"/>
      <c r="J39" s="19"/>
      <c r="K39" s="19"/>
      <c r="L39" s="19"/>
      <c r="M39" s="19"/>
      <c r="N39" s="19"/>
      <c r="O39" s="21"/>
      <c r="P39" s="178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>
        <f t="shared" ref="AV39:AV44" si="9">F39+X39</f>
        <v>200</v>
      </c>
      <c r="AW39" s="19">
        <f t="shared" ref="AW39:AW44" si="10">G39+Y39</f>
        <v>2800</v>
      </c>
      <c r="AX39" s="19">
        <f t="shared" ref="AX39:AX51" si="11">E39+H39+K39+N39+Q39+T39+W39+Z39+AC39+AI39+AL39+AN39</f>
        <v>1792</v>
      </c>
    </row>
    <row r="40" spans="1:50" ht="20.100000000000001" hidden="1" customHeight="1" x14ac:dyDescent="0.5">
      <c r="A40" s="16">
        <v>3</v>
      </c>
      <c r="B40" s="15">
        <v>46057</v>
      </c>
      <c r="C40" s="19"/>
      <c r="D40" s="19"/>
      <c r="E40" s="19"/>
      <c r="F40" s="19">
        <v>120</v>
      </c>
      <c r="G40" s="19">
        <v>1680</v>
      </c>
      <c r="H40" s="19">
        <v>1075.2</v>
      </c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>
        <v>100</v>
      </c>
      <c r="Y40" s="19">
        <v>1200</v>
      </c>
      <c r="Z40" s="19">
        <v>1200</v>
      </c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>
        <f t="shared" si="9"/>
        <v>220</v>
      </c>
      <c r="AW40" s="19">
        <f t="shared" si="10"/>
        <v>2880</v>
      </c>
      <c r="AX40" s="19">
        <f t="shared" si="11"/>
        <v>2275.1999999999998</v>
      </c>
    </row>
    <row r="41" spans="1:50" ht="20.100000000000001" hidden="1" customHeight="1" x14ac:dyDescent="0.5">
      <c r="A41" s="16">
        <v>4</v>
      </c>
      <c r="B41" s="15">
        <v>46058</v>
      </c>
      <c r="C41" s="19"/>
      <c r="D41" s="19"/>
      <c r="E41" s="19"/>
      <c r="F41" s="19">
        <v>200</v>
      </c>
      <c r="G41" s="19">
        <v>2800</v>
      </c>
      <c r="H41" s="19">
        <v>1792</v>
      </c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>
        <v>70</v>
      </c>
      <c r="Y41" s="19">
        <v>840</v>
      </c>
      <c r="Z41" s="19">
        <v>840</v>
      </c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>
        <f t="shared" si="9"/>
        <v>270</v>
      </c>
      <c r="AW41" s="19">
        <f t="shared" si="10"/>
        <v>3640</v>
      </c>
      <c r="AX41" s="19">
        <f t="shared" si="11"/>
        <v>2632</v>
      </c>
    </row>
    <row r="42" spans="1:50" ht="20.100000000000001" hidden="1" customHeight="1" x14ac:dyDescent="0.5">
      <c r="A42" s="16">
        <v>5</v>
      </c>
      <c r="B42" s="15">
        <v>46059</v>
      </c>
      <c r="C42" s="19"/>
      <c r="D42" s="19"/>
      <c r="E42" s="19"/>
      <c r="F42" s="19">
        <v>100</v>
      </c>
      <c r="G42" s="19">
        <v>1400</v>
      </c>
      <c r="H42" s="19">
        <v>896</v>
      </c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>
        <v>150</v>
      </c>
      <c r="Y42" s="19">
        <v>1800</v>
      </c>
      <c r="Z42" s="19">
        <v>1800</v>
      </c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>
        <f t="shared" si="9"/>
        <v>250</v>
      </c>
      <c r="AW42" s="19">
        <f t="shared" si="10"/>
        <v>3200</v>
      </c>
      <c r="AX42" s="19">
        <f t="shared" si="11"/>
        <v>2696</v>
      </c>
    </row>
    <row r="43" spans="1:50" ht="20.100000000000001" hidden="1" customHeight="1" x14ac:dyDescent="0.5">
      <c r="A43" s="16">
        <v>6</v>
      </c>
      <c r="B43" s="15">
        <v>46060</v>
      </c>
      <c r="C43" s="19"/>
      <c r="D43" s="19"/>
      <c r="E43" s="19"/>
      <c r="F43" s="19">
        <v>100</v>
      </c>
      <c r="G43" s="19">
        <v>1400</v>
      </c>
      <c r="H43" s="19">
        <v>896</v>
      </c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>
        <v>50</v>
      </c>
      <c r="Y43" s="19">
        <v>600</v>
      </c>
      <c r="Z43" s="19">
        <v>600</v>
      </c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>
        <f t="shared" si="9"/>
        <v>150</v>
      </c>
      <c r="AW43" s="19">
        <f t="shared" si="10"/>
        <v>2000</v>
      </c>
      <c r="AX43" s="19">
        <f t="shared" si="11"/>
        <v>1496</v>
      </c>
    </row>
    <row r="44" spans="1:50" ht="20.100000000000001" hidden="1" customHeight="1" x14ac:dyDescent="0.5">
      <c r="A44" s="16">
        <v>7</v>
      </c>
      <c r="B44" s="15">
        <v>46062</v>
      </c>
      <c r="C44" s="19"/>
      <c r="D44" s="19"/>
      <c r="E44" s="19"/>
      <c r="F44" s="19">
        <v>250</v>
      </c>
      <c r="G44" s="19">
        <v>3500</v>
      </c>
      <c r="H44" s="19">
        <v>2240</v>
      </c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>
        <v>275</v>
      </c>
      <c r="Y44" s="19">
        <v>3300</v>
      </c>
      <c r="Z44" s="19">
        <v>3300</v>
      </c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>
        <f t="shared" si="9"/>
        <v>525</v>
      </c>
      <c r="AW44" s="19">
        <f t="shared" si="10"/>
        <v>6800</v>
      </c>
      <c r="AX44" s="19">
        <f t="shared" si="11"/>
        <v>5540</v>
      </c>
    </row>
    <row r="45" spans="1:50" ht="20.100000000000001" hidden="1" customHeight="1" x14ac:dyDescent="0.5">
      <c r="A45" s="16">
        <v>8</v>
      </c>
      <c r="B45" s="15">
        <v>46064</v>
      </c>
      <c r="C45" s="19"/>
      <c r="D45" s="19"/>
      <c r="E45" s="19"/>
      <c r="F45" s="19">
        <v>130</v>
      </c>
      <c r="G45" s="19">
        <v>1820</v>
      </c>
      <c r="H45" s="19">
        <v>1164.8</v>
      </c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>
        <v>150</v>
      </c>
      <c r="Y45" s="19">
        <v>1800</v>
      </c>
      <c r="Z45" s="19">
        <v>1800</v>
      </c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>
        <f t="shared" ref="AV45:AV50" si="12">F45+X45</f>
        <v>280</v>
      </c>
      <c r="AW45" s="19">
        <f t="shared" ref="AW45:AW50" si="13">G45+Y45</f>
        <v>3620</v>
      </c>
      <c r="AX45" s="19">
        <f t="shared" si="11"/>
        <v>2964.8</v>
      </c>
    </row>
    <row r="46" spans="1:50" ht="20.100000000000001" hidden="1" customHeight="1" x14ac:dyDescent="0.5">
      <c r="A46" s="16">
        <v>9</v>
      </c>
      <c r="B46" s="15">
        <v>46066</v>
      </c>
      <c r="C46" s="19"/>
      <c r="D46" s="19"/>
      <c r="E46" s="19"/>
      <c r="F46" s="19">
        <v>200</v>
      </c>
      <c r="G46" s="19">
        <v>2800</v>
      </c>
      <c r="H46" s="19">
        <v>1792</v>
      </c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>
        <v>200</v>
      </c>
      <c r="Y46" s="19">
        <v>2400</v>
      </c>
      <c r="Z46" s="19">
        <v>2400</v>
      </c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>
        <f t="shared" si="12"/>
        <v>400</v>
      </c>
      <c r="AW46" s="19">
        <f t="shared" si="13"/>
        <v>5200</v>
      </c>
      <c r="AX46" s="19">
        <f t="shared" si="11"/>
        <v>4192</v>
      </c>
    </row>
    <row r="47" spans="1:50" ht="20.100000000000001" hidden="1" customHeight="1" x14ac:dyDescent="0.5">
      <c r="A47" s="16">
        <v>8</v>
      </c>
      <c r="B47" s="15">
        <v>46069</v>
      </c>
      <c r="C47" s="19"/>
      <c r="D47" s="19"/>
      <c r="E47" s="19"/>
      <c r="F47" s="19">
        <v>160</v>
      </c>
      <c r="G47" s="19">
        <v>2240</v>
      </c>
      <c r="H47" s="19">
        <v>1433.6000000000001</v>
      </c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>
        <v>160</v>
      </c>
      <c r="Y47" s="19">
        <v>1920</v>
      </c>
      <c r="Z47" s="19">
        <v>1920</v>
      </c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>
        <f t="shared" si="12"/>
        <v>320</v>
      </c>
      <c r="AW47" s="19">
        <f t="shared" si="13"/>
        <v>4160</v>
      </c>
      <c r="AX47" s="19">
        <f t="shared" si="11"/>
        <v>3353.6000000000004</v>
      </c>
    </row>
    <row r="48" spans="1:50" ht="20.100000000000001" hidden="1" customHeight="1" x14ac:dyDescent="0.5">
      <c r="A48" s="16">
        <v>7</v>
      </c>
      <c r="B48" s="15">
        <v>46070</v>
      </c>
      <c r="C48" s="20"/>
      <c r="D48" s="20"/>
      <c r="E48" s="19"/>
      <c r="F48" s="20">
        <v>275</v>
      </c>
      <c r="G48" s="20">
        <v>3850</v>
      </c>
      <c r="H48" s="19">
        <v>2464</v>
      </c>
      <c r="I48" s="20">
        <v>1800</v>
      </c>
      <c r="J48" s="20">
        <v>1800</v>
      </c>
      <c r="K48" s="20"/>
      <c r="L48" s="20"/>
      <c r="M48" s="20"/>
      <c r="N48" s="20"/>
      <c r="O48" s="20"/>
      <c r="P48" s="20"/>
      <c r="Q48" s="19"/>
      <c r="R48" s="20"/>
      <c r="S48" s="20"/>
      <c r="T48" s="19"/>
      <c r="U48" s="20"/>
      <c r="V48" s="20"/>
      <c r="W48" s="20"/>
      <c r="X48" s="20">
        <v>150</v>
      </c>
      <c r="Y48" s="20">
        <v>1800</v>
      </c>
      <c r="Z48" s="20">
        <v>1800</v>
      </c>
      <c r="AA48" s="20"/>
      <c r="AB48" s="20"/>
      <c r="AC48" s="20"/>
      <c r="AD48" s="20"/>
      <c r="AE48" s="20"/>
      <c r="AF48" s="20"/>
      <c r="AG48" s="20"/>
      <c r="AH48" s="20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>
        <f t="shared" si="12"/>
        <v>425</v>
      </c>
      <c r="AW48" s="19">
        <f t="shared" si="13"/>
        <v>5650</v>
      </c>
      <c r="AX48" s="19">
        <f t="shared" si="11"/>
        <v>4264</v>
      </c>
    </row>
    <row r="49" spans="1:50" ht="20.100000000000001" hidden="1" customHeight="1" x14ac:dyDescent="0.5">
      <c r="A49" s="16">
        <v>8</v>
      </c>
      <c r="B49" s="15">
        <v>46071</v>
      </c>
      <c r="C49" s="20"/>
      <c r="D49" s="20"/>
      <c r="E49" s="19"/>
      <c r="F49" s="20">
        <v>100</v>
      </c>
      <c r="G49" s="20">
        <v>1400</v>
      </c>
      <c r="H49" s="19">
        <v>896</v>
      </c>
      <c r="I49" s="20"/>
      <c r="J49" s="20"/>
      <c r="K49" s="20"/>
      <c r="L49" s="20"/>
      <c r="M49" s="20"/>
      <c r="N49" s="20"/>
      <c r="O49" s="20"/>
      <c r="P49" s="20"/>
      <c r="Q49" s="19"/>
      <c r="R49" s="20"/>
      <c r="S49" s="20"/>
      <c r="T49" s="19"/>
      <c r="U49" s="20"/>
      <c r="V49" s="20"/>
      <c r="W49" s="20"/>
      <c r="X49" s="20">
        <v>50</v>
      </c>
      <c r="Y49" s="20">
        <v>600</v>
      </c>
      <c r="Z49" s="20">
        <v>600</v>
      </c>
      <c r="AA49" s="20"/>
      <c r="AB49" s="20"/>
      <c r="AC49" s="20"/>
      <c r="AD49" s="20"/>
      <c r="AE49" s="20"/>
      <c r="AF49" s="20"/>
      <c r="AG49" s="20"/>
      <c r="AH49" s="20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>
        <f t="shared" si="12"/>
        <v>150</v>
      </c>
      <c r="AW49" s="19">
        <f t="shared" si="13"/>
        <v>2000</v>
      </c>
      <c r="AX49" s="19">
        <f t="shared" si="11"/>
        <v>1496</v>
      </c>
    </row>
    <row r="50" spans="1:50" ht="20.100000000000001" hidden="1" customHeight="1" x14ac:dyDescent="0.5">
      <c r="A50" s="16">
        <v>9</v>
      </c>
      <c r="B50" s="15">
        <v>46072</v>
      </c>
      <c r="C50" s="20"/>
      <c r="D50" s="20"/>
      <c r="E50" s="19"/>
      <c r="F50" s="20">
        <v>250</v>
      </c>
      <c r="G50" s="20">
        <v>3500</v>
      </c>
      <c r="H50" s="19">
        <v>2240</v>
      </c>
      <c r="I50" s="20"/>
      <c r="J50" s="20"/>
      <c r="K50" s="20"/>
      <c r="L50" s="20"/>
      <c r="M50" s="20"/>
      <c r="N50" s="20"/>
      <c r="O50" s="20"/>
      <c r="P50" s="20"/>
      <c r="Q50" s="19"/>
      <c r="R50" s="20"/>
      <c r="S50" s="20"/>
      <c r="T50" s="19"/>
      <c r="U50" s="20"/>
      <c r="V50" s="20"/>
      <c r="W50" s="20"/>
      <c r="X50" s="20">
        <v>150</v>
      </c>
      <c r="Y50" s="20">
        <v>1800</v>
      </c>
      <c r="Z50" s="20">
        <v>1800</v>
      </c>
      <c r="AA50" s="20"/>
      <c r="AB50" s="20"/>
      <c r="AC50" s="20"/>
      <c r="AD50" s="20"/>
      <c r="AE50" s="20"/>
      <c r="AF50" s="20"/>
      <c r="AG50" s="20"/>
      <c r="AH50" s="20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>
        <f t="shared" si="12"/>
        <v>400</v>
      </c>
      <c r="AW50" s="19">
        <f t="shared" si="13"/>
        <v>5300</v>
      </c>
      <c r="AX50" s="19">
        <f t="shared" si="11"/>
        <v>4040</v>
      </c>
    </row>
    <row r="51" spans="1:50" ht="20.100000000000001" hidden="1" customHeight="1" x14ac:dyDescent="0.5">
      <c r="A51" s="16">
        <v>10</v>
      </c>
      <c r="B51" s="15">
        <v>46074</v>
      </c>
      <c r="C51" s="20"/>
      <c r="D51" s="20"/>
      <c r="E51" s="19"/>
      <c r="F51" s="20">
        <v>150</v>
      </c>
      <c r="G51" s="20">
        <v>2100</v>
      </c>
      <c r="H51" s="19">
        <v>1344</v>
      </c>
      <c r="I51" s="20"/>
      <c r="J51" s="20"/>
      <c r="K51" s="20"/>
      <c r="L51" s="20"/>
      <c r="M51" s="20"/>
      <c r="N51" s="20"/>
      <c r="O51" s="20"/>
      <c r="P51" s="20"/>
      <c r="Q51" s="19"/>
      <c r="R51" s="20"/>
      <c r="S51" s="20"/>
      <c r="T51" s="19"/>
      <c r="U51" s="20"/>
      <c r="V51" s="20"/>
      <c r="W51" s="20"/>
      <c r="X51" s="20">
        <v>100</v>
      </c>
      <c r="Y51" s="20">
        <v>1200</v>
      </c>
      <c r="Z51" s="20">
        <v>1200</v>
      </c>
      <c r="AA51" s="20"/>
      <c r="AB51" s="20"/>
      <c r="AC51" s="20"/>
      <c r="AD51" s="20"/>
      <c r="AE51" s="20"/>
      <c r="AF51" s="20"/>
      <c r="AG51" s="20"/>
      <c r="AH51" s="20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>
        <f t="shared" ref="AV51:AV56" si="14">F51+X51</f>
        <v>250</v>
      </c>
      <c r="AW51" s="19">
        <f t="shared" ref="AW51:AW56" si="15">G51+Y51</f>
        <v>3300</v>
      </c>
      <c r="AX51" s="19">
        <f t="shared" si="11"/>
        <v>2544</v>
      </c>
    </row>
    <row r="52" spans="1:50" ht="20.100000000000001" hidden="1" customHeight="1" x14ac:dyDescent="0.5">
      <c r="A52" s="16">
        <v>11</v>
      </c>
      <c r="B52" s="15">
        <v>46076</v>
      </c>
      <c r="C52" s="20"/>
      <c r="D52" s="20"/>
      <c r="E52" s="19"/>
      <c r="F52" s="20">
        <v>160</v>
      </c>
      <c r="G52" s="20">
        <v>2240</v>
      </c>
      <c r="H52" s="19">
        <v>1433.6</v>
      </c>
      <c r="I52" s="20"/>
      <c r="J52" s="20"/>
      <c r="K52" s="20"/>
      <c r="L52" s="20"/>
      <c r="M52" s="20"/>
      <c r="N52" s="20"/>
      <c r="O52" s="20"/>
      <c r="P52" s="20"/>
      <c r="Q52" s="19"/>
      <c r="R52" s="20"/>
      <c r="S52" s="20"/>
      <c r="T52" s="19"/>
      <c r="U52" s="20"/>
      <c r="V52" s="20"/>
      <c r="W52" s="20"/>
      <c r="X52" s="20">
        <v>150</v>
      </c>
      <c r="Y52" s="20">
        <v>1800</v>
      </c>
      <c r="Z52" s="20">
        <v>1800</v>
      </c>
      <c r="AA52" s="20"/>
      <c r="AB52" s="20"/>
      <c r="AC52" s="20"/>
      <c r="AD52" s="20"/>
      <c r="AE52" s="20"/>
      <c r="AF52" s="20"/>
      <c r="AG52" s="20"/>
      <c r="AH52" s="20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>
        <f t="shared" si="14"/>
        <v>310</v>
      </c>
      <c r="AW52" s="19">
        <f t="shared" si="15"/>
        <v>4040</v>
      </c>
      <c r="AX52" s="19">
        <f t="shared" ref="AX52:AX56" si="16">E52+H52+K52+N52+Q52+T52+W52+Z52+AC52+AI52+AL52+AN52</f>
        <v>3233.6</v>
      </c>
    </row>
    <row r="53" spans="1:50" ht="20.100000000000001" hidden="1" customHeight="1" x14ac:dyDescent="0.5">
      <c r="A53" s="16">
        <v>12</v>
      </c>
      <c r="B53" s="15">
        <v>46077</v>
      </c>
      <c r="C53" s="20"/>
      <c r="D53" s="20"/>
      <c r="E53" s="19"/>
      <c r="F53" s="20">
        <v>100</v>
      </c>
      <c r="G53" s="20">
        <v>1400</v>
      </c>
      <c r="H53" s="19">
        <v>896</v>
      </c>
      <c r="I53" s="20"/>
      <c r="J53" s="20"/>
      <c r="K53" s="20"/>
      <c r="L53" s="20"/>
      <c r="M53" s="20"/>
      <c r="N53" s="20"/>
      <c r="O53" s="20"/>
      <c r="P53" s="20"/>
      <c r="Q53" s="19"/>
      <c r="R53" s="20"/>
      <c r="S53" s="20"/>
      <c r="T53" s="19"/>
      <c r="U53" s="20"/>
      <c r="V53" s="20"/>
      <c r="W53" s="20"/>
      <c r="X53" s="20">
        <v>100</v>
      </c>
      <c r="Y53" s="20">
        <v>1200</v>
      </c>
      <c r="Z53" s="20">
        <v>1200</v>
      </c>
      <c r="AA53" s="20"/>
      <c r="AB53" s="20"/>
      <c r="AC53" s="20"/>
      <c r="AD53" s="20"/>
      <c r="AE53" s="20"/>
      <c r="AF53" s="20"/>
      <c r="AG53" s="20"/>
      <c r="AH53" s="20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>
        <f t="shared" si="14"/>
        <v>200</v>
      </c>
      <c r="AW53" s="19">
        <f t="shared" si="15"/>
        <v>2600</v>
      </c>
      <c r="AX53" s="19">
        <f t="shared" si="16"/>
        <v>2096</v>
      </c>
    </row>
    <row r="54" spans="1:50" ht="20.100000000000001" hidden="1" customHeight="1" x14ac:dyDescent="0.5">
      <c r="A54" s="16">
        <v>13</v>
      </c>
      <c r="B54" s="15">
        <v>46078</v>
      </c>
      <c r="C54" s="20"/>
      <c r="D54" s="20"/>
      <c r="E54" s="19"/>
      <c r="F54" s="20">
        <v>100</v>
      </c>
      <c r="G54" s="20">
        <v>1400</v>
      </c>
      <c r="H54" s="19">
        <v>896</v>
      </c>
      <c r="I54" s="20"/>
      <c r="J54" s="20"/>
      <c r="K54" s="20"/>
      <c r="L54" s="20"/>
      <c r="M54" s="20"/>
      <c r="N54" s="20"/>
      <c r="O54" s="20"/>
      <c r="P54" s="20"/>
      <c r="Q54" s="19"/>
      <c r="R54" s="20"/>
      <c r="S54" s="20"/>
      <c r="T54" s="19"/>
      <c r="U54" s="20"/>
      <c r="V54" s="20"/>
      <c r="W54" s="20"/>
      <c r="X54" s="20">
        <v>100</v>
      </c>
      <c r="Y54" s="20">
        <v>1200</v>
      </c>
      <c r="Z54" s="20">
        <v>1200</v>
      </c>
      <c r="AA54" s="20"/>
      <c r="AB54" s="20"/>
      <c r="AC54" s="20"/>
      <c r="AD54" s="20"/>
      <c r="AE54" s="20"/>
      <c r="AF54" s="20"/>
      <c r="AG54" s="20"/>
      <c r="AH54" s="20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>
        <f t="shared" si="14"/>
        <v>200</v>
      </c>
      <c r="AW54" s="19">
        <f t="shared" si="15"/>
        <v>2600</v>
      </c>
      <c r="AX54" s="19">
        <f t="shared" si="16"/>
        <v>2096</v>
      </c>
    </row>
    <row r="55" spans="1:50" ht="20.100000000000001" hidden="1" customHeight="1" x14ac:dyDescent="0.5">
      <c r="A55" s="16">
        <v>14</v>
      </c>
      <c r="B55" s="15">
        <v>46079</v>
      </c>
      <c r="C55" s="20"/>
      <c r="D55" s="20"/>
      <c r="E55" s="19"/>
      <c r="F55" s="20">
        <v>130</v>
      </c>
      <c r="G55" s="20">
        <v>1820</v>
      </c>
      <c r="H55" s="19">
        <v>1164.8</v>
      </c>
      <c r="I55" s="20"/>
      <c r="J55" s="20"/>
      <c r="K55" s="20"/>
      <c r="L55" s="20"/>
      <c r="M55" s="20"/>
      <c r="N55" s="20"/>
      <c r="O55" s="20"/>
      <c r="P55" s="20"/>
      <c r="Q55" s="19"/>
      <c r="R55" s="20"/>
      <c r="S55" s="20"/>
      <c r="T55" s="19"/>
      <c r="U55" s="20"/>
      <c r="V55" s="20"/>
      <c r="W55" s="20"/>
      <c r="X55" s="20">
        <v>100</v>
      </c>
      <c r="Y55" s="20">
        <v>1200</v>
      </c>
      <c r="Z55" s="20">
        <v>1200</v>
      </c>
      <c r="AA55" s="20"/>
      <c r="AB55" s="20"/>
      <c r="AC55" s="20"/>
      <c r="AD55" s="20"/>
      <c r="AE55" s="20"/>
      <c r="AF55" s="20"/>
      <c r="AG55" s="20"/>
      <c r="AH55" s="20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>
        <f t="shared" si="14"/>
        <v>230</v>
      </c>
      <c r="AW55" s="19">
        <f t="shared" si="15"/>
        <v>3020</v>
      </c>
      <c r="AX55" s="19">
        <f t="shared" si="16"/>
        <v>2364.8000000000002</v>
      </c>
    </row>
    <row r="56" spans="1:50" ht="20.100000000000001" hidden="1" customHeight="1" x14ac:dyDescent="0.5">
      <c r="A56" s="16">
        <v>15</v>
      </c>
      <c r="B56" s="15">
        <v>46081</v>
      </c>
      <c r="C56" s="20"/>
      <c r="D56" s="20"/>
      <c r="E56" s="19"/>
      <c r="F56" s="20">
        <v>400</v>
      </c>
      <c r="G56" s="20">
        <v>5600</v>
      </c>
      <c r="H56" s="19">
        <v>3584</v>
      </c>
      <c r="I56" s="20"/>
      <c r="J56" s="20"/>
      <c r="K56" s="20"/>
      <c r="L56" s="20"/>
      <c r="M56" s="20"/>
      <c r="N56" s="20"/>
      <c r="O56" s="20"/>
      <c r="P56" s="20"/>
      <c r="Q56" s="19"/>
      <c r="R56" s="20"/>
      <c r="S56" s="20"/>
      <c r="T56" s="19"/>
      <c r="U56" s="20"/>
      <c r="V56" s="20"/>
      <c r="W56" s="20"/>
      <c r="X56" s="20">
        <v>385</v>
      </c>
      <c r="Y56" s="20">
        <v>4620</v>
      </c>
      <c r="Z56" s="20">
        <v>4620</v>
      </c>
      <c r="AA56" s="20"/>
      <c r="AB56" s="20"/>
      <c r="AC56" s="20"/>
      <c r="AD56" s="20"/>
      <c r="AE56" s="20"/>
      <c r="AF56" s="20"/>
      <c r="AG56" s="20"/>
      <c r="AH56" s="20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>
        <f t="shared" si="14"/>
        <v>785</v>
      </c>
      <c r="AW56" s="19">
        <f t="shared" si="15"/>
        <v>10220</v>
      </c>
      <c r="AX56" s="19">
        <f t="shared" si="16"/>
        <v>8204</v>
      </c>
    </row>
    <row r="57" spans="1:50" hidden="1" x14ac:dyDescent="0.5">
      <c r="A57" s="14"/>
      <c r="B57" s="13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8">
        <f>SUM(AA38:AA49)</f>
        <v>0</v>
      </c>
      <c r="AB57" s="18">
        <f>SUM(AB38:AB49)</f>
        <v>0</v>
      </c>
      <c r="AV57" s="182">
        <f>SUM(AV38:AV56)</f>
        <v>6000</v>
      </c>
      <c r="AW57" s="182">
        <f>SUM(AW38:AW56)</f>
        <v>78590</v>
      </c>
      <c r="AX57" s="182">
        <f>SUM(AX38:AX56)</f>
        <v>61983.200000000004</v>
      </c>
    </row>
    <row r="59" spans="1:50" hidden="1" x14ac:dyDescent="0.5"/>
    <row r="60" spans="1:50" hidden="1" x14ac:dyDescent="0.5">
      <c r="A60" s="561" t="s">
        <v>370</v>
      </c>
      <c r="B60" s="561"/>
      <c r="C60" s="561"/>
      <c r="D60" s="561"/>
      <c r="E60" s="561"/>
      <c r="F60" s="561"/>
    </row>
    <row r="61" spans="1:50" hidden="1" x14ac:dyDescent="0.5">
      <c r="A61" s="561"/>
      <c r="B61" s="561"/>
      <c r="C61" s="561"/>
      <c r="D61" s="561"/>
      <c r="E61" s="561"/>
      <c r="F61" s="561"/>
    </row>
    <row r="62" spans="1:50" hidden="1" x14ac:dyDescent="0.5">
      <c r="A62" s="551" t="s">
        <v>118</v>
      </c>
      <c r="B62" s="552" t="s">
        <v>135</v>
      </c>
      <c r="C62" s="553"/>
      <c r="D62" s="553"/>
      <c r="E62" s="553"/>
      <c r="F62" s="553"/>
      <c r="G62" s="553"/>
      <c r="H62" s="553"/>
      <c r="I62" s="553"/>
      <c r="J62" s="553"/>
      <c r="K62" s="553"/>
      <c r="L62" s="553"/>
      <c r="M62" s="553"/>
      <c r="N62" s="553"/>
      <c r="O62" s="553"/>
      <c r="P62" s="553"/>
      <c r="Q62" s="553"/>
      <c r="R62" s="553"/>
      <c r="S62" s="553"/>
      <c r="T62" s="553"/>
      <c r="U62" s="553"/>
      <c r="V62" s="553"/>
      <c r="W62" s="553"/>
      <c r="X62" s="553"/>
      <c r="Y62" s="553"/>
      <c r="Z62" s="553"/>
      <c r="AA62" s="553"/>
      <c r="AB62" s="553"/>
      <c r="AC62" s="553"/>
      <c r="AD62" s="553"/>
      <c r="AE62" s="553"/>
      <c r="AF62" s="553"/>
      <c r="AG62" s="553"/>
      <c r="AH62" s="553"/>
      <c r="AI62" s="553"/>
      <c r="AJ62" s="553"/>
      <c r="AK62" s="553"/>
      <c r="AL62" s="553"/>
      <c r="AM62" s="553"/>
      <c r="AN62" s="553"/>
      <c r="AO62" s="553"/>
      <c r="AP62" s="553"/>
      <c r="AQ62" s="553"/>
      <c r="AR62" s="553"/>
      <c r="AS62" s="553"/>
      <c r="AT62" s="553"/>
      <c r="AU62" s="553"/>
      <c r="AV62" s="553"/>
      <c r="AW62" s="553"/>
      <c r="AX62" s="553"/>
    </row>
    <row r="63" spans="1:50" ht="18" hidden="1" customHeight="1" x14ac:dyDescent="0.5">
      <c r="A63" s="551"/>
      <c r="B63" s="552"/>
      <c r="C63" s="554" t="s">
        <v>124</v>
      </c>
      <c r="D63" s="555"/>
      <c r="E63" s="556"/>
      <c r="F63" s="554" t="s">
        <v>133</v>
      </c>
      <c r="G63" s="555"/>
      <c r="H63" s="556"/>
      <c r="I63" s="554" t="s">
        <v>132</v>
      </c>
      <c r="J63" s="555"/>
      <c r="K63" s="556"/>
      <c r="L63" s="554" t="s">
        <v>131</v>
      </c>
      <c r="M63" s="555"/>
      <c r="N63" s="556"/>
      <c r="O63" s="554" t="s">
        <v>130</v>
      </c>
      <c r="P63" s="555"/>
      <c r="Q63" s="556"/>
      <c r="R63" s="554" t="s">
        <v>129</v>
      </c>
      <c r="S63" s="555"/>
      <c r="T63" s="556"/>
      <c r="U63" s="554" t="s">
        <v>128</v>
      </c>
      <c r="V63" s="555"/>
      <c r="W63" s="556"/>
      <c r="X63" s="554" t="s">
        <v>127</v>
      </c>
      <c r="Y63" s="555"/>
      <c r="Z63" s="556"/>
      <c r="AA63" s="554" t="s">
        <v>126</v>
      </c>
      <c r="AB63" s="555"/>
      <c r="AC63" s="556"/>
      <c r="AD63" s="211"/>
      <c r="AE63" s="211"/>
      <c r="AF63" s="211"/>
      <c r="AG63" s="554" t="s">
        <v>125</v>
      </c>
      <c r="AH63" s="555"/>
      <c r="AI63" s="556"/>
      <c r="AJ63" s="554" t="s">
        <v>124</v>
      </c>
      <c r="AK63" s="555"/>
      <c r="AL63" s="556"/>
      <c r="AM63" s="554" t="s">
        <v>123</v>
      </c>
      <c r="AN63" s="555"/>
      <c r="AO63" s="556"/>
      <c r="AP63" s="554" t="s">
        <v>367</v>
      </c>
      <c r="AQ63" s="555"/>
      <c r="AR63" s="556"/>
      <c r="AS63" s="554" t="s">
        <v>368</v>
      </c>
      <c r="AT63" s="555"/>
      <c r="AU63" s="556"/>
      <c r="AV63" s="554" t="s">
        <v>122</v>
      </c>
      <c r="AW63" s="555"/>
      <c r="AX63" s="556"/>
    </row>
    <row r="64" spans="1:50" hidden="1" x14ac:dyDescent="0.5">
      <c r="A64" s="551"/>
      <c r="B64" s="552"/>
      <c r="C64" s="17" t="s">
        <v>109</v>
      </c>
      <c r="D64" s="17" t="s">
        <v>108</v>
      </c>
      <c r="E64" s="17" t="s">
        <v>348</v>
      </c>
      <c r="F64" s="17" t="s">
        <v>109</v>
      </c>
      <c r="G64" s="17" t="s">
        <v>108</v>
      </c>
      <c r="H64" s="17" t="s">
        <v>348</v>
      </c>
      <c r="I64" s="17" t="s">
        <v>109</v>
      </c>
      <c r="J64" s="17" t="s">
        <v>108</v>
      </c>
      <c r="K64" s="17" t="s">
        <v>348</v>
      </c>
      <c r="L64" s="17" t="s">
        <v>109</v>
      </c>
      <c r="M64" s="17" t="s">
        <v>108</v>
      </c>
      <c r="N64" s="17" t="s">
        <v>348</v>
      </c>
      <c r="O64" s="17" t="s">
        <v>109</v>
      </c>
      <c r="P64" s="17" t="s">
        <v>108</v>
      </c>
      <c r="Q64" s="17" t="s">
        <v>348</v>
      </c>
      <c r="R64" s="17" t="s">
        <v>109</v>
      </c>
      <c r="S64" s="17" t="s">
        <v>108</v>
      </c>
      <c r="T64" s="17" t="s">
        <v>348</v>
      </c>
      <c r="U64" s="17" t="s">
        <v>109</v>
      </c>
      <c r="V64" s="17" t="s">
        <v>108</v>
      </c>
      <c r="W64" s="17" t="s">
        <v>348</v>
      </c>
      <c r="X64" s="17" t="s">
        <v>109</v>
      </c>
      <c r="Y64" s="17" t="s">
        <v>108</v>
      </c>
      <c r="Z64" s="17" t="s">
        <v>348</v>
      </c>
      <c r="AA64" s="17" t="s">
        <v>109</v>
      </c>
      <c r="AB64" s="17" t="s">
        <v>108</v>
      </c>
      <c r="AC64" s="17" t="s">
        <v>348</v>
      </c>
      <c r="AD64" s="17"/>
      <c r="AE64" s="17"/>
      <c r="AF64" s="17"/>
      <c r="AG64" s="17" t="s">
        <v>109</v>
      </c>
      <c r="AH64" s="17" t="s">
        <v>108</v>
      </c>
      <c r="AI64" s="17" t="s">
        <v>348</v>
      </c>
      <c r="AJ64" s="17" t="s">
        <v>109</v>
      </c>
      <c r="AK64" s="17" t="s">
        <v>108</v>
      </c>
      <c r="AL64" s="17" t="s">
        <v>348</v>
      </c>
      <c r="AM64" s="17" t="s">
        <v>109</v>
      </c>
      <c r="AN64" s="17" t="s">
        <v>108</v>
      </c>
      <c r="AO64" s="17" t="s">
        <v>348</v>
      </c>
      <c r="AP64" s="17" t="s">
        <v>109</v>
      </c>
      <c r="AQ64" s="17" t="s">
        <v>108</v>
      </c>
      <c r="AR64" s="17" t="s">
        <v>348</v>
      </c>
      <c r="AS64" s="17" t="s">
        <v>109</v>
      </c>
      <c r="AT64" s="17" t="s">
        <v>108</v>
      </c>
      <c r="AU64" s="17" t="s">
        <v>348</v>
      </c>
      <c r="AV64" s="17" t="s">
        <v>109</v>
      </c>
      <c r="AW64" s="17" t="s">
        <v>108</v>
      </c>
      <c r="AX64" s="17" t="s">
        <v>348</v>
      </c>
    </row>
    <row r="65" spans="1:50" ht="20.100000000000001" hidden="1" customHeight="1" x14ac:dyDescent="0.5">
      <c r="A65" s="16">
        <v>1</v>
      </c>
      <c r="B65" s="15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>
        <f>C65+F65+I65+L65+O65+R65+U65+X65+AA65+AG65+AJ65+AM65+AP65+AS65</f>
        <v>0</v>
      </c>
      <c r="AW65" s="19">
        <f>D65+G65+J65+M65+P65+S65+V65+Y65+AB65+AH65+AK65+AN65+AQ65+AT65</f>
        <v>0</v>
      </c>
      <c r="AX65" s="19">
        <f>E65+H65+K65+N65+Q65+T65+W65+Z65+AC65+AI65+AL65+AO65+AR65+AU65</f>
        <v>0</v>
      </c>
    </row>
    <row r="66" spans="1:50" ht="20.100000000000001" hidden="1" customHeight="1" x14ac:dyDescent="0.5">
      <c r="A66" s="16">
        <v>2</v>
      </c>
      <c r="B66" s="15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21"/>
      <c r="P66" s="178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>
        <f t="shared" ref="AV66:AV71" si="17">C66+F66+I66+L66+O66+R66+U66+X66+AA66+AG66+AJ66+AM66</f>
        <v>0</v>
      </c>
      <c r="AW66" s="19">
        <f t="shared" ref="AW66:AW71" si="18">D66+G66+J66+M66+P66+S66+V66+Y66+AB66+AH66+AK66+AN66</f>
        <v>0</v>
      </c>
      <c r="AX66" s="19">
        <f t="shared" ref="AX66:AX71" si="19">E66+H66+K66+N66+Q66+T66+W66+Z66+AC66+AI66+AL66+AN66</f>
        <v>0</v>
      </c>
    </row>
    <row r="67" spans="1:50" ht="20.100000000000001" hidden="1" customHeight="1" x14ac:dyDescent="0.5">
      <c r="A67" s="16">
        <v>3</v>
      </c>
      <c r="B67" s="15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>
        <f t="shared" si="17"/>
        <v>0</v>
      </c>
      <c r="AW67" s="19">
        <f t="shared" si="18"/>
        <v>0</v>
      </c>
      <c r="AX67" s="19">
        <f t="shared" si="19"/>
        <v>0</v>
      </c>
    </row>
    <row r="68" spans="1:50" ht="20.100000000000001" hidden="1" customHeight="1" x14ac:dyDescent="0.5">
      <c r="A68" s="16">
        <v>4</v>
      </c>
      <c r="B68" s="15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>
        <f t="shared" si="17"/>
        <v>0</v>
      </c>
      <c r="AW68" s="19">
        <f t="shared" si="18"/>
        <v>0</v>
      </c>
      <c r="AX68" s="19">
        <f t="shared" si="19"/>
        <v>0</v>
      </c>
    </row>
    <row r="69" spans="1:50" ht="20.100000000000001" hidden="1" customHeight="1" x14ac:dyDescent="0.5">
      <c r="A69" s="16">
        <v>5</v>
      </c>
      <c r="B69" s="15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>
        <f t="shared" si="17"/>
        <v>0</v>
      </c>
      <c r="AW69" s="19">
        <f t="shared" si="18"/>
        <v>0</v>
      </c>
      <c r="AX69" s="19">
        <f t="shared" si="19"/>
        <v>0</v>
      </c>
    </row>
    <row r="70" spans="1:50" ht="20.100000000000001" hidden="1" customHeight="1" x14ac:dyDescent="0.5">
      <c r="A70" s="16">
        <v>6</v>
      </c>
      <c r="B70" s="15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>
        <f t="shared" si="17"/>
        <v>0</v>
      </c>
      <c r="AW70" s="19">
        <f t="shared" si="18"/>
        <v>0</v>
      </c>
      <c r="AX70" s="19">
        <f t="shared" si="19"/>
        <v>0</v>
      </c>
    </row>
    <row r="71" spans="1:50" ht="20.100000000000001" hidden="1" customHeight="1" x14ac:dyDescent="0.5">
      <c r="A71" s="16">
        <v>7</v>
      </c>
      <c r="B71" s="15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>
        <f t="shared" si="17"/>
        <v>0</v>
      </c>
      <c r="AW71" s="19">
        <f t="shared" si="18"/>
        <v>0</v>
      </c>
      <c r="AX71" s="19">
        <f t="shared" si="19"/>
        <v>0</v>
      </c>
    </row>
    <row r="72" spans="1:50" ht="20.100000000000001" hidden="1" customHeight="1" x14ac:dyDescent="0.5">
      <c r="A72" s="16">
        <v>8</v>
      </c>
      <c r="B72" s="15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>
        <f t="shared" ref="AV72:AV73" si="20">C72+F72+I72+L72+O72+R72+U72+X72+AA72+AG72+AJ72+AM72</f>
        <v>0</v>
      </c>
      <c r="AW72" s="19">
        <f t="shared" ref="AW72:AW73" si="21">D72+G72+J72+M72+P72+S72+V72+Y72+AB72+AH72+AK72+AN72</f>
        <v>0</v>
      </c>
      <c r="AX72" s="19">
        <f t="shared" ref="AX72:AX73" si="22">E72+H72+K72+N72+Q72+T72+W72+Z72+AC72+AI72+AL72+AN72</f>
        <v>0</v>
      </c>
    </row>
    <row r="73" spans="1:50" ht="20.100000000000001" hidden="1" customHeight="1" x14ac:dyDescent="0.5">
      <c r="A73" s="16">
        <v>9</v>
      </c>
      <c r="B73" s="15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>
        <f t="shared" si="20"/>
        <v>0</v>
      </c>
      <c r="AW73" s="19">
        <f t="shared" si="21"/>
        <v>0</v>
      </c>
      <c r="AX73" s="19">
        <f t="shared" si="22"/>
        <v>0</v>
      </c>
    </row>
    <row r="74" spans="1:50" ht="20.100000000000001" hidden="1" customHeight="1" x14ac:dyDescent="0.5">
      <c r="A74" s="16">
        <v>8</v>
      </c>
      <c r="B74" s="15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>
        <f t="shared" ref="AV74:AV88" si="23">C74+F74+I74+L74+O74+R74+U74+X74+AA74+AG74+AJ74+AM74</f>
        <v>0</v>
      </c>
      <c r="AW74" s="19">
        <f t="shared" ref="AW74:AW88" si="24">D74+G74+J74+M74+P74+S74+V74+Y74+AB74+AH74+AK74+AN74</f>
        <v>0</v>
      </c>
      <c r="AX74" s="19">
        <f t="shared" ref="AX74:AX88" si="25">E74+H74+K74+N74+Q74+T74+W74+Z74+AC74+AI74+AL74+AN74</f>
        <v>0</v>
      </c>
    </row>
    <row r="75" spans="1:50" ht="20.100000000000001" hidden="1" customHeight="1" x14ac:dyDescent="0.5">
      <c r="A75" s="16">
        <v>7</v>
      </c>
      <c r="B75" s="15"/>
      <c r="C75" s="20"/>
      <c r="D75" s="20"/>
      <c r="E75" s="19"/>
      <c r="F75" s="20"/>
      <c r="G75" s="20"/>
      <c r="H75" s="19"/>
      <c r="I75" s="20"/>
      <c r="J75" s="20"/>
      <c r="K75" s="20"/>
      <c r="L75" s="20"/>
      <c r="M75" s="20"/>
      <c r="N75" s="20"/>
      <c r="O75" s="20"/>
      <c r="P75" s="20"/>
      <c r="Q75" s="19"/>
      <c r="R75" s="20"/>
      <c r="S75" s="20"/>
      <c r="T75" s="19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>
        <f t="shared" si="23"/>
        <v>0</v>
      </c>
      <c r="AW75" s="19">
        <f t="shared" si="24"/>
        <v>0</v>
      </c>
      <c r="AX75" s="19">
        <f t="shared" si="25"/>
        <v>0</v>
      </c>
    </row>
    <row r="76" spans="1:50" ht="20.100000000000001" hidden="1" customHeight="1" x14ac:dyDescent="0.5">
      <c r="A76" s="16">
        <v>8</v>
      </c>
      <c r="B76" s="15"/>
      <c r="C76" s="20"/>
      <c r="D76" s="20"/>
      <c r="E76" s="19"/>
      <c r="F76" s="20"/>
      <c r="G76" s="20"/>
      <c r="H76" s="19"/>
      <c r="I76" s="20"/>
      <c r="J76" s="20"/>
      <c r="K76" s="20"/>
      <c r="L76" s="20"/>
      <c r="M76" s="20"/>
      <c r="N76" s="20"/>
      <c r="O76" s="20"/>
      <c r="P76" s="20"/>
      <c r="Q76" s="19"/>
      <c r="R76" s="20"/>
      <c r="S76" s="20"/>
      <c r="T76" s="19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>
        <f t="shared" si="23"/>
        <v>0</v>
      </c>
      <c r="AW76" s="19">
        <f t="shared" si="24"/>
        <v>0</v>
      </c>
      <c r="AX76" s="19">
        <f t="shared" si="25"/>
        <v>0</v>
      </c>
    </row>
    <row r="77" spans="1:50" ht="20.100000000000001" hidden="1" customHeight="1" x14ac:dyDescent="0.5">
      <c r="A77" s="16">
        <v>9</v>
      </c>
      <c r="B77" s="15"/>
      <c r="C77" s="20"/>
      <c r="D77" s="20"/>
      <c r="E77" s="19"/>
      <c r="F77" s="20"/>
      <c r="G77" s="20"/>
      <c r="H77" s="19"/>
      <c r="I77" s="20"/>
      <c r="J77" s="20"/>
      <c r="K77" s="20"/>
      <c r="L77" s="20"/>
      <c r="M77" s="20"/>
      <c r="N77" s="20"/>
      <c r="O77" s="20"/>
      <c r="P77" s="20"/>
      <c r="Q77" s="19"/>
      <c r="R77" s="20"/>
      <c r="S77" s="20"/>
      <c r="T77" s="19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>
        <f t="shared" si="23"/>
        <v>0</v>
      </c>
      <c r="AW77" s="19">
        <f t="shared" si="24"/>
        <v>0</v>
      </c>
      <c r="AX77" s="19">
        <f t="shared" si="25"/>
        <v>0</v>
      </c>
    </row>
    <row r="78" spans="1:50" ht="20.100000000000001" hidden="1" customHeight="1" x14ac:dyDescent="0.5">
      <c r="A78" s="16">
        <v>10</v>
      </c>
      <c r="B78" s="15"/>
      <c r="C78" s="20"/>
      <c r="D78" s="20"/>
      <c r="E78" s="19"/>
      <c r="F78" s="20"/>
      <c r="G78" s="20"/>
      <c r="H78" s="19"/>
      <c r="I78" s="20"/>
      <c r="J78" s="20"/>
      <c r="K78" s="20"/>
      <c r="L78" s="20"/>
      <c r="M78" s="20"/>
      <c r="N78" s="20"/>
      <c r="O78" s="20"/>
      <c r="P78" s="20"/>
      <c r="Q78" s="19"/>
      <c r="R78" s="20"/>
      <c r="S78" s="20"/>
      <c r="T78" s="19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>
        <f t="shared" si="23"/>
        <v>0</v>
      </c>
      <c r="AW78" s="19">
        <f t="shared" si="24"/>
        <v>0</v>
      </c>
      <c r="AX78" s="19">
        <f t="shared" si="25"/>
        <v>0</v>
      </c>
    </row>
    <row r="79" spans="1:50" ht="20.100000000000001" hidden="1" customHeight="1" x14ac:dyDescent="0.5">
      <c r="A79" s="16">
        <v>11</v>
      </c>
      <c r="B79" s="15"/>
      <c r="C79" s="20"/>
      <c r="D79" s="20"/>
      <c r="E79" s="19"/>
      <c r="F79" s="20"/>
      <c r="G79" s="20"/>
      <c r="H79" s="19"/>
      <c r="I79" s="20"/>
      <c r="J79" s="20"/>
      <c r="K79" s="20"/>
      <c r="L79" s="20"/>
      <c r="M79" s="20"/>
      <c r="N79" s="20"/>
      <c r="O79" s="20"/>
      <c r="P79" s="20"/>
      <c r="Q79" s="19"/>
      <c r="R79" s="20"/>
      <c r="S79" s="20"/>
      <c r="T79" s="19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>
        <f t="shared" si="23"/>
        <v>0</v>
      </c>
      <c r="AW79" s="19">
        <f t="shared" si="24"/>
        <v>0</v>
      </c>
      <c r="AX79" s="19">
        <f t="shared" si="25"/>
        <v>0</v>
      </c>
    </row>
    <row r="80" spans="1:50" ht="20.100000000000001" hidden="1" customHeight="1" x14ac:dyDescent="0.5">
      <c r="A80" s="16">
        <v>12</v>
      </c>
      <c r="B80" s="15"/>
      <c r="C80" s="20"/>
      <c r="D80" s="20"/>
      <c r="E80" s="19"/>
      <c r="F80" s="20"/>
      <c r="G80" s="20"/>
      <c r="H80" s="19"/>
      <c r="I80" s="20"/>
      <c r="J80" s="20"/>
      <c r="K80" s="20"/>
      <c r="L80" s="20"/>
      <c r="M80" s="20"/>
      <c r="N80" s="20"/>
      <c r="O80" s="20"/>
      <c r="P80" s="20"/>
      <c r="Q80" s="19"/>
      <c r="R80" s="20"/>
      <c r="S80" s="20"/>
      <c r="T80" s="19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>
        <f t="shared" si="23"/>
        <v>0</v>
      </c>
      <c r="AW80" s="19">
        <f t="shared" si="24"/>
        <v>0</v>
      </c>
      <c r="AX80" s="19">
        <f t="shared" si="25"/>
        <v>0</v>
      </c>
    </row>
    <row r="81" spans="1:50" ht="20.100000000000001" hidden="1" customHeight="1" x14ac:dyDescent="0.5">
      <c r="A81" s="16">
        <v>13</v>
      </c>
      <c r="B81" s="15"/>
      <c r="C81" s="20"/>
      <c r="D81" s="20"/>
      <c r="E81" s="19"/>
      <c r="F81" s="20"/>
      <c r="G81" s="20"/>
      <c r="H81" s="19"/>
      <c r="I81" s="20"/>
      <c r="J81" s="20"/>
      <c r="K81" s="20"/>
      <c r="L81" s="20"/>
      <c r="M81" s="20"/>
      <c r="N81" s="20"/>
      <c r="O81" s="20"/>
      <c r="P81" s="20"/>
      <c r="Q81" s="19"/>
      <c r="R81" s="20"/>
      <c r="S81" s="20"/>
      <c r="T81" s="19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>
        <f t="shared" si="23"/>
        <v>0</v>
      </c>
      <c r="AW81" s="19">
        <f t="shared" si="24"/>
        <v>0</v>
      </c>
      <c r="AX81" s="19">
        <f t="shared" si="25"/>
        <v>0</v>
      </c>
    </row>
    <row r="82" spans="1:50" ht="20.100000000000001" hidden="1" customHeight="1" x14ac:dyDescent="0.5">
      <c r="A82" s="16">
        <v>14</v>
      </c>
      <c r="B82" s="15"/>
      <c r="C82" s="20"/>
      <c r="D82" s="20"/>
      <c r="E82" s="19"/>
      <c r="F82" s="20"/>
      <c r="G82" s="20"/>
      <c r="H82" s="19"/>
      <c r="I82" s="20"/>
      <c r="J82" s="20"/>
      <c r="K82" s="20"/>
      <c r="L82" s="20"/>
      <c r="M82" s="20"/>
      <c r="N82" s="20"/>
      <c r="O82" s="20"/>
      <c r="P82" s="20"/>
      <c r="Q82" s="19"/>
      <c r="R82" s="20"/>
      <c r="S82" s="20"/>
      <c r="T82" s="19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>
        <f t="shared" si="23"/>
        <v>0</v>
      </c>
      <c r="AW82" s="19">
        <f t="shared" si="24"/>
        <v>0</v>
      </c>
      <c r="AX82" s="19">
        <f t="shared" si="25"/>
        <v>0</v>
      </c>
    </row>
    <row r="83" spans="1:50" ht="20.100000000000001" hidden="1" customHeight="1" x14ac:dyDescent="0.5">
      <c r="A83" s="16">
        <v>15</v>
      </c>
      <c r="B83" s="15"/>
      <c r="C83" s="20"/>
      <c r="D83" s="20"/>
      <c r="E83" s="19"/>
      <c r="F83" s="20"/>
      <c r="G83" s="20"/>
      <c r="H83" s="19"/>
      <c r="I83" s="20"/>
      <c r="J83" s="20"/>
      <c r="K83" s="20"/>
      <c r="L83" s="20"/>
      <c r="M83" s="20"/>
      <c r="N83" s="20"/>
      <c r="O83" s="20"/>
      <c r="P83" s="20"/>
      <c r="Q83" s="19"/>
      <c r="R83" s="20"/>
      <c r="S83" s="20"/>
      <c r="T83" s="19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>
        <f t="shared" si="23"/>
        <v>0</v>
      </c>
      <c r="AW83" s="19">
        <f t="shared" si="24"/>
        <v>0</v>
      </c>
      <c r="AX83" s="19">
        <f t="shared" si="25"/>
        <v>0</v>
      </c>
    </row>
    <row r="84" spans="1:50" ht="20.100000000000001" hidden="1" customHeight="1" x14ac:dyDescent="0.5">
      <c r="A84" s="16">
        <v>16</v>
      </c>
      <c r="B84" s="15"/>
      <c r="C84" s="20"/>
      <c r="D84" s="20"/>
      <c r="E84" s="19"/>
      <c r="F84" s="20"/>
      <c r="G84" s="20"/>
      <c r="H84" s="19"/>
      <c r="I84" s="20"/>
      <c r="J84" s="20"/>
      <c r="K84" s="20"/>
      <c r="L84" s="20"/>
      <c r="M84" s="20"/>
      <c r="N84" s="20"/>
      <c r="O84" s="20"/>
      <c r="P84" s="20"/>
      <c r="Q84" s="19"/>
      <c r="R84" s="20"/>
      <c r="S84" s="20"/>
      <c r="T84" s="19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>
        <f t="shared" si="23"/>
        <v>0</v>
      </c>
      <c r="AW84" s="19">
        <f t="shared" si="24"/>
        <v>0</v>
      </c>
      <c r="AX84" s="19">
        <f t="shared" si="25"/>
        <v>0</v>
      </c>
    </row>
    <row r="85" spans="1:50" ht="20.100000000000001" hidden="1" customHeight="1" x14ac:dyDescent="0.5">
      <c r="A85" s="16">
        <v>17</v>
      </c>
      <c r="B85" s="15"/>
      <c r="C85" s="20"/>
      <c r="D85" s="20"/>
      <c r="E85" s="19"/>
      <c r="F85" s="20"/>
      <c r="G85" s="20"/>
      <c r="H85" s="19"/>
      <c r="I85" s="20"/>
      <c r="J85" s="20"/>
      <c r="K85" s="20"/>
      <c r="L85" s="20"/>
      <c r="M85" s="20"/>
      <c r="N85" s="20"/>
      <c r="O85" s="20"/>
      <c r="P85" s="20"/>
      <c r="Q85" s="19"/>
      <c r="R85" s="20"/>
      <c r="S85" s="20"/>
      <c r="T85" s="19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>
        <f t="shared" si="23"/>
        <v>0</v>
      </c>
      <c r="AW85" s="19">
        <f t="shared" si="24"/>
        <v>0</v>
      </c>
      <c r="AX85" s="19">
        <f t="shared" si="25"/>
        <v>0</v>
      </c>
    </row>
    <row r="86" spans="1:50" ht="20.100000000000001" hidden="1" customHeight="1" x14ac:dyDescent="0.5">
      <c r="A86" s="16">
        <v>18</v>
      </c>
      <c r="B86" s="15"/>
      <c r="C86" s="20"/>
      <c r="D86" s="20"/>
      <c r="E86" s="19"/>
      <c r="F86" s="20"/>
      <c r="G86" s="20"/>
      <c r="H86" s="19"/>
      <c r="I86" s="20"/>
      <c r="J86" s="20"/>
      <c r="K86" s="20"/>
      <c r="L86" s="20"/>
      <c r="M86" s="20"/>
      <c r="N86" s="20"/>
      <c r="O86" s="20"/>
      <c r="P86" s="20"/>
      <c r="Q86" s="19"/>
      <c r="R86" s="20"/>
      <c r="S86" s="20"/>
      <c r="T86" s="19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>
        <f t="shared" si="23"/>
        <v>0</v>
      </c>
      <c r="AW86" s="19">
        <f t="shared" si="24"/>
        <v>0</v>
      </c>
      <c r="AX86" s="19">
        <f t="shared" si="25"/>
        <v>0</v>
      </c>
    </row>
    <row r="87" spans="1:50" ht="20.100000000000001" hidden="1" customHeight="1" x14ac:dyDescent="0.5">
      <c r="A87" s="16">
        <v>19</v>
      </c>
      <c r="B87" s="15"/>
      <c r="C87" s="20"/>
      <c r="D87" s="20"/>
      <c r="E87" s="19"/>
      <c r="F87" s="20"/>
      <c r="G87" s="20"/>
      <c r="H87" s="19"/>
      <c r="I87" s="20"/>
      <c r="J87" s="20"/>
      <c r="K87" s="20"/>
      <c r="L87" s="20"/>
      <c r="M87" s="20"/>
      <c r="N87" s="20"/>
      <c r="O87" s="20"/>
      <c r="P87" s="20"/>
      <c r="Q87" s="19"/>
      <c r="R87" s="20"/>
      <c r="S87" s="20"/>
      <c r="T87" s="19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>
        <f t="shared" si="23"/>
        <v>0</v>
      </c>
      <c r="AW87" s="19">
        <f t="shared" si="24"/>
        <v>0</v>
      </c>
      <c r="AX87" s="19">
        <f t="shared" si="25"/>
        <v>0</v>
      </c>
    </row>
    <row r="88" spans="1:50" ht="20.100000000000001" hidden="1" customHeight="1" x14ac:dyDescent="0.5">
      <c r="A88" s="16">
        <v>20</v>
      </c>
      <c r="B88" s="15"/>
      <c r="C88" s="20"/>
      <c r="D88" s="20"/>
      <c r="E88" s="19"/>
      <c r="F88" s="20"/>
      <c r="G88" s="20"/>
      <c r="H88" s="19"/>
      <c r="I88" s="20"/>
      <c r="J88" s="20"/>
      <c r="K88" s="20"/>
      <c r="L88" s="20"/>
      <c r="M88" s="20"/>
      <c r="N88" s="20"/>
      <c r="O88" s="20"/>
      <c r="P88" s="20"/>
      <c r="Q88" s="19"/>
      <c r="R88" s="20"/>
      <c r="S88" s="20"/>
      <c r="T88" s="19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>
        <f t="shared" si="23"/>
        <v>0</v>
      </c>
      <c r="AW88" s="19">
        <f t="shared" si="24"/>
        <v>0</v>
      </c>
      <c r="AX88" s="19">
        <f t="shared" si="25"/>
        <v>0</v>
      </c>
    </row>
    <row r="89" spans="1:50" ht="20.100000000000001" hidden="1" customHeight="1" x14ac:dyDescent="0.5">
      <c r="A89" s="16">
        <v>21</v>
      </c>
      <c r="B89" s="15"/>
      <c r="C89" s="20"/>
      <c r="D89" s="20"/>
      <c r="E89" s="19"/>
      <c r="F89" s="20"/>
      <c r="G89" s="20"/>
      <c r="H89" s="19"/>
      <c r="I89" s="20"/>
      <c r="J89" s="20"/>
      <c r="K89" s="20"/>
      <c r="L89" s="20"/>
      <c r="M89" s="20"/>
      <c r="N89" s="20"/>
      <c r="O89" s="20"/>
      <c r="P89" s="20"/>
      <c r="Q89" s="19"/>
      <c r="R89" s="20"/>
      <c r="S89" s="20"/>
      <c r="T89" s="19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>
        <f>C89+F89+I89+L89+O89+R89+U89+X89+AA89+AG89+AJ89+AM89+AP89+AS89</f>
        <v>0</v>
      </c>
      <c r="AW89" s="19">
        <f>D89+G89+J89+M89+P89+S89+V89+Y89+AB89+AH89+AK89+AN89+AQ89+AT89</f>
        <v>0</v>
      </c>
      <c r="AX89" s="19">
        <f>E89+H89+K89+N89+Q89+T89+W89+Z89+AC89+AI89+AL89+AO89+AR89+AU89</f>
        <v>0</v>
      </c>
    </row>
    <row r="90" spans="1:50" ht="20.100000000000001" hidden="1" customHeight="1" x14ac:dyDescent="0.5">
      <c r="A90" s="16">
        <v>22</v>
      </c>
      <c r="B90" s="15"/>
      <c r="C90" s="20"/>
      <c r="D90" s="20"/>
      <c r="E90" s="19"/>
      <c r="F90" s="20"/>
      <c r="G90" s="20"/>
      <c r="H90" s="19"/>
      <c r="I90" s="20"/>
      <c r="J90" s="20"/>
      <c r="K90" s="20"/>
      <c r="L90" s="20"/>
      <c r="M90" s="20"/>
      <c r="N90" s="20"/>
      <c r="O90" s="20"/>
      <c r="P90" s="20"/>
      <c r="Q90" s="19"/>
      <c r="R90" s="20"/>
      <c r="S90" s="20"/>
      <c r="T90" s="19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>
        <f t="shared" ref="AV90:AV91" si="26">C90+F90+I90+L90+O90+R90+U90+X90+AA90+AG90+AJ90+AM90+AP90+AS90</f>
        <v>0</v>
      </c>
      <c r="AW90" s="19">
        <f t="shared" ref="AW90:AW91" si="27">D90+G90+J90+M90+P90+S90+V90+Y90+AB90+AH90+AK90+AN90+AQ90+AT90</f>
        <v>0</v>
      </c>
      <c r="AX90" s="19">
        <f t="shared" ref="AX90:AX91" si="28">E90+H90+K90+N90+Q90+T90+W90+Z90+AC90+AI90+AL90+AO90+AR90+AU90</f>
        <v>0</v>
      </c>
    </row>
    <row r="91" spans="1:50" ht="20.100000000000001" hidden="1" customHeight="1" x14ac:dyDescent="0.5">
      <c r="A91" s="16">
        <v>23</v>
      </c>
      <c r="B91" s="15"/>
      <c r="C91" s="20"/>
      <c r="D91" s="20"/>
      <c r="E91" s="19"/>
      <c r="F91" s="20"/>
      <c r="G91" s="20"/>
      <c r="H91" s="19"/>
      <c r="I91" s="20"/>
      <c r="J91" s="20"/>
      <c r="K91" s="20"/>
      <c r="L91" s="20"/>
      <c r="M91" s="20"/>
      <c r="N91" s="20"/>
      <c r="O91" s="20"/>
      <c r="P91" s="20"/>
      <c r="Q91" s="19"/>
      <c r="R91" s="20"/>
      <c r="S91" s="20"/>
      <c r="T91" s="19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>
        <f t="shared" si="26"/>
        <v>0</v>
      </c>
      <c r="AW91" s="19">
        <f t="shared" si="27"/>
        <v>0</v>
      </c>
      <c r="AX91" s="19">
        <f t="shared" si="28"/>
        <v>0</v>
      </c>
    </row>
    <row r="92" spans="1:50" ht="20.100000000000001" hidden="1" customHeight="1" x14ac:dyDescent="0.5">
      <c r="A92" s="14"/>
      <c r="B92" s="13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8">
        <f>SUM(AA65:AA76)</f>
        <v>0</v>
      </c>
      <c r="AB92" s="18">
        <f>SUM(AB65:AB76)</f>
        <v>0</v>
      </c>
      <c r="AV92" s="182">
        <f>SUM(AV65:AV91)</f>
        <v>0</v>
      </c>
      <c r="AW92" s="182">
        <f>SUM(AW65:AW91)</f>
        <v>0</v>
      </c>
      <c r="AX92" s="182">
        <f t="shared" ref="AX92" si="29">SUM(AX65:AX91)</f>
        <v>0</v>
      </c>
    </row>
    <row r="93" spans="1:50" x14ac:dyDescent="0.5">
      <c r="A93" s="550" t="s">
        <v>370</v>
      </c>
      <c r="B93" s="550"/>
      <c r="C93" s="550"/>
      <c r="D93" s="550"/>
      <c r="E93" s="550"/>
      <c r="F93" s="550"/>
    </row>
    <row r="94" spans="1:50" ht="18" customHeight="1" x14ac:dyDescent="0.5">
      <c r="A94" s="550"/>
      <c r="B94" s="550"/>
      <c r="C94" s="550"/>
      <c r="D94" s="550"/>
      <c r="E94" s="550"/>
      <c r="F94" s="550"/>
    </row>
    <row r="95" spans="1:50" ht="18" customHeight="1" x14ac:dyDescent="0.5">
      <c r="A95" s="551" t="s">
        <v>118</v>
      </c>
      <c r="B95" s="552" t="s">
        <v>135</v>
      </c>
      <c r="C95" s="553"/>
      <c r="D95" s="553"/>
      <c r="E95" s="553"/>
      <c r="F95" s="553"/>
      <c r="G95" s="553"/>
      <c r="H95" s="553"/>
      <c r="I95" s="553"/>
      <c r="J95" s="553"/>
      <c r="K95" s="553"/>
      <c r="L95" s="553"/>
      <c r="M95" s="553"/>
      <c r="N95" s="553"/>
      <c r="O95" s="553"/>
      <c r="P95" s="553"/>
      <c r="Q95" s="553"/>
      <c r="R95" s="553"/>
      <c r="S95" s="553"/>
      <c r="T95" s="553"/>
      <c r="U95" s="553"/>
      <c r="V95" s="553"/>
      <c r="W95" s="553"/>
      <c r="X95" s="553"/>
      <c r="Y95" s="553"/>
      <c r="Z95" s="553"/>
      <c r="AA95" s="553"/>
      <c r="AB95" s="553"/>
      <c r="AC95" s="553"/>
      <c r="AD95" s="553"/>
      <c r="AE95" s="553"/>
      <c r="AF95" s="553"/>
      <c r="AG95" s="553"/>
      <c r="AH95" s="553"/>
      <c r="AI95" s="553"/>
      <c r="AJ95" s="553"/>
      <c r="AK95" s="553"/>
      <c r="AL95" s="553"/>
      <c r="AM95" s="553"/>
      <c r="AN95" s="553"/>
      <c r="AO95" s="553"/>
      <c r="AP95" s="553"/>
      <c r="AQ95" s="553"/>
      <c r="AR95" s="553"/>
      <c r="AS95" s="553"/>
      <c r="AT95" s="553"/>
      <c r="AU95" s="553"/>
      <c r="AV95" s="553"/>
      <c r="AW95" s="553"/>
      <c r="AX95" s="553"/>
    </row>
    <row r="96" spans="1:50" ht="18" customHeight="1" x14ac:dyDescent="0.5">
      <c r="A96" s="551"/>
      <c r="B96" s="552"/>
      <c r="C96" s="554" t="s">
        <v>134</v>
      </c>
      <c r="D96" s="555"/>
      <c r="E96" s="556"/>
      <c r="F96" s="557" t="s">
        <v>133</v>
      </c>
      <c r="G96" s="557"/>
      <c r="H96" s="557"/>
      <c r="I96" s="557" t="s">
        <v>132</v>
      </c>
      <c r="J96" s="557"/>
      <c r="K96" s="557"/>
      <c r="L96" s="557" t="s">
        <v>131</v>
      </c>
      <c r="M96" s="557"/>
      <c r="N96" s="557"/>
      <c r="O96" s="557" t="s">
        <v>130</v>
      </c>
      <c r="P96" s="557"/>
      <c r="Q96" s="557"/>
      <c r="R96" s="557" t="s">
        <v>129</v>
      </c>
      <c r="S96" s="557"/>
      <c r="T96" s="557"/>
      <c r="U96" s="558" t="s">
        <v>128</v>
      </c>
      <c r="V96" s="559"/>
      <c r="W96" s="560"/>
      <c r="X96" s="557" t="s">
        <v>127</v>
      </c>
      <c r="Y96" s="557"/>
      <c r="Z96" s="557"/>
      <c r="AA96" s="557" t="s">
        <v>126</v>
      </c>
      <c r="AB96" s="557"/>
      <c r="AC96" s="557"/>
      <c r="AD96" s="177"/>
      <c r="AE96" s="177"/>
      <c r="AF96" s="177"/>
      <c r="AG96" s="557" t="s">
        <v>125</v>
      </c>
      <c r="AH96" s="557"/>
      <c r="AI96" s="557"/>
      <c r="AJ96" s="557" t="s">
        <v>124</v>
      </c>
      <c r="AK96" s="557"/>
      <c r="AL96" s="557"/>
      <c r="AM96" s="557" t="s">
        <v>123</v>
      </c>
      <c r="AN96" s="557"/>
      <c r="AO96" s="177"/>
      <c r="AP96" s="557" t="s">
        <v>367</v>
      </c>
      <c r="AQ96" s="557"/>
      <c r="AR96" s="177"/>
      <c r="AS96" s="557" t="s">
        <v>368</v>
      </c>
      <c r="AT96" s="557"/>
      <c r="AU96" s="177"/>
      <c r="AV96" s="557" t="s">
        <v>122</v>
      </c>
      <c r="AW96" s="557"/>
      <c r="AX96" s="557"/>
    </row>
    <row r="97" spans="1:53" ht="18" customHeight="1" x14ac:dyDescent="0.5">
      <c r="A97" s="551"/>
      <c r="B97" s="552"/>
      <c r="C97" s="17" t="s">
        <v>109</v>
      </c>
      <c r="D97" s="17" t="s">
        <v>108</v>
      </c>
      <c r="E97" s="17" t="s">
        <v>348</v>
      </c>
      <c r="F97" s="17" t="s">
        <v>109</v>
      </c>
      <c r="G97" s="17" t="s">
        <v>108</v>
      </c>
      <c r="H97" s="17" t="s">
        <v>348</v>
      </c>
      <c r="I97" s="17" t="s">
        <v>109</v>
      </c>
      <c r="J97" s="17" t="s">
        <v>108</v>
      </c>
      <c r="K97" s="17" t="s">
        <v>348</v>
      </c>
      <c r="L97" s="17" t="s">
        <v>109</v>
      </c>
      <c r="M97" s="17" t="s">
        <v>108</v>
      </c>
      <c r="N97" s="17" t="s">
        <v>348</v>
      </c>
      <c r="O97" s="17" t="s">
        <v>109</v>
      </c>
      <c r="P97" s="17" t="s">
        <v>108</v>
      </c>
      <c r="Q97" s="17" t="s">
        <v>348</v>
      </c>
      <c r="R97" s="17" t="s">
        <v>109</v>
      </c>
      <c r="S97" s="17" t="s">
        <v>108</v>
      </c>
      <c r="T97" s="17" t="s">
        <v>348</v>
      </c>
      <c r="U97" s="17" t="s">
        <v>109</v>
      </c>
      <c r="V97" s="17" t="s">
        <v>108</v>
      </c>
      <c r="W97" s="17" t="s">
        <v>348</v>
      </c>
      <c r="X97" s="17" t="s">
        <v>109</v>
      </c>
      <c r="Y97" s="17" t="s">
        <v>108</v>
      </c>
      <c r="Z97" s="17" t="s">
        <v>348</v>
      </c>
      <c r="AA97" s="17" t="s">
        <v>109</v>
      </c>
      <c r="AB97" s="17" t="s">
        <v>108</v>
      </c>
      <c r="AC97" s="17" t="s">
        <v>348</v>
      </c>
      <c r="AD97" s="17"/>
      <c r="AE97" s="17"/>
      <c r="AF97" s="17"/>
      <c r="AG97" s="17" t="s">
        <v>109</v>
      </c>
      <c r="AH97" s="17" t="s">
        <v>108</v>
      </c>
      <c r="AI97" s="17" t="s">
        <v>348</v>
      </c>
      <c r="AJ97" s="17" t="s">
        <v>109</v>
      </c>
      <c r="AK97" s="17" t="s">
        <v>108</v>
      </c>
      <c r="AL97" s="17" t="s">
        <v>348</v>
      </c>
      <c r="AM97" s="17" t="s">
        <v>109</v>
      </c>
      <c r="AN97" s="17" t="s">
        <v>108</v>
      </c>
      <c r="AO97" s="17" t="s">
        <v>348</v>
      </c>
      <c r="AP97" s="17" t="s">
        <v>109</v>
      </c>
      <c r="AQ97" s="17" t="s">
        <v>108</v>
      </c>
      <c r="AR97" s="17" t="s">
        <v>348</v>
      </c>
      <c r="AS97" s="17" t="s">
        <v>109</v>
      </c>
      <c r="AT97" s="17" t="s">
        <v>108</v>
      </c>
      <c r="AU97" s="17" t="s">
        <v>348</v>
      </c>
      <c r="AV97" s="17" t="s">
        <v>109</v>
      </c>
      <c r="AW97" s="17" t="s">
        <v>108</v>
      </c>
      <c r="AX97" s="17" t="s">
        <v>348</v>
      </c>
    </row>
    <row r="98" spans="1:53" ht="18" customHeight="1" x14ac:dyDescent="0.5">
      <c r="A98" s="16">
        <v>1</v>
      </c>
      <c r="B98" s="15">
        <v>46084</v>
      </c>
      <c r="C98" s="19"/>
      <c r="D98" s="19"/>
      <c r="E98" s="19"/>
      <c r="F98" s="19">
        <v>100</v>
      </c>
      <c r="G98" s="19">
        <v>1400</v>
      </c>
      <c r="H98" s="19">
        <v>896</v>
      </c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>
        <v>200</v>
      </c>
      <c r="Y98" s="19">
        <v>2400</v>
      </c>
      <c r="Z98" s="19">
        <v>2400</v>
      </c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>
        <f>F98+X98</f>
        <v>300</v>
      </c>
      <c r="AW98" s="19">
        <f>G98+Y98</f>
        <v>3800</v>
      </c>
      <c r="AX98" s="19">
        <f>E98+H98+K98+N98+Q98+T98+W98+Z98+AC98+AI98+AL98+AO98+AR98+AU98</f>
        <v>3296</v>
      </c>
    </row>
    <row r="99" spans="1:53" ht="18" customHeight="1" x14ac:dyDescent="0.5">
      <c r="A99" s="16">
        <v>2</v>
      </c>
      <c r="B99" s="15">
        <v>46086</v>
      </c>
      <c r="C99" s="19"/>
      <c r="D99" s="19"/>
      <c r="E99" s="19"/>
      <c r="F99" s="19">
        <v>100</v>
      </c>
      <c r="G99" s="19">
        <v>1400</v>
      </c>
      <c r="H99" s="19">
        <v>896</v>
      </c>
      <c r="I99" s="19"/>
      <c r="J99" s="19"/>
      <c r="K99" s="19"/>
      <c r="L99" s="19"/>
      <c r="M99" s="19"/>
      <c r="N99" s="19"/>
      <c r="O99" s="21"/>
      <c r="P99" s="178"/>
      <c r="Q99" s="19"/>
      <c r="R99" s="19"/>
      <c r="S99" s="19"/>
      <c r="T99" s="19"/>
      <c r="U99" s="19"/>
      <c r="V99" s="19"/>
      <c r="W99" s="19"/>
      <c r="X99" s="19">
        <v>200</v>
      </c>
      <c r="Y99" s="19">
        <v>2400</v>
      </c>
      <c r="Z99" s="19">
        <v>2400</v>
      </c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>
        <f t="shared" ref="AV99:AW116" si="30">F99+X99</f>
        <v>300</v>
      </c>
      <c r="AW99" s="19">
        <f t="shared" si="30"/>
        <v>3800</v>
      </c>
      <c r="AX99" s="19">
        <f t="shared" ref="AX99:AX116" si="31">E99+H99+K99+N99+Q99+T99+W99+Z99+AC99+AI99+AL99+AN99</f>
        <v>3296</v>
      </c>
    </row>
    <row r="100" spans="1:53" ht="18" customHeight="1" x14ac:dyDescent="0.5">
      <c r="A100" s="16">
        <v>3</v>
      </c>
      <c r="B100" s="15">
        <v>46087</v>
      </c>
      <c r="C100" s="19"/>
      <c r="D100" s="19"/>
      <c r="E100" s="19"/>
      <c r="F100" s="19">
        <v>385</v>
      </c>
      <c r="G100" s="19">
        <v>5390</v>
      </c>
      <c r="H100" s="19">
        <v>3449.6000000000004</v>
      </c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>
        <v>330</v>
      </c>
      <c r="Y100" s="19">
        <v>3960</v>
      </c>
      <c r="Z100" s="19">
        <v>3960</v>
      </c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>
        <f t="shared" si="30"/>
        <v>715</v>
      </c>
      <c r="AW100" s="19">
        <f t="shared" si="30"/>
        <v>9350</v>
      </c>
      <c r="AX100" s="19">
        <f t="shared" si="31"/>
        <v>7409.6</v>
      </c>
    </row>
    <row r="101" spans="1:53" ht="18" customHeight="1" x14ac:dyDescent="0.5">
      <c r="A101" s="16">
        <v>4</v>
      </c>
      <c r="B101" s="15">
        <v>46088</v>
      </c>
      <c r="C101" s="19"/>
      <c r="D101" s="19"/>
      <c r="E101" s="19"/>
      <c r="F101" s="19">
        <v>230</v>
      </c>
      <c r="G101" s="19">
        <v>3220</v>
      </c>
      <c r="H101" s="19">
        <v>2060.8000000000002</v>
      </c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>
        <v>150</v>
      </c>
      <c r="Y101" s="19">
        <v>1800</v>
      </c>
      <c r="Z101" s="19">
        <v>1800</v>
      </c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>
        <f t="shared" si="30"/>
        <v>380</v>
      </c>
      <c r="AW101" s="19">
        <f t="shared" si="30"/>
        <v>5020</v>
      </c>
      <c r="AX101" s="19">
        <f t="shared" si="31"/>
        <v>3860.8</v>
      </c>
    </row>
    <row r="102" spans="1:53" ht="18" customHeight="1" x14ac:dyDescent="0.5">
      <c r="A102" s="16">
        <v>5</v>
      </c>
      <c r="B102" s="15">
        <v>46090</v>
      </c>
      <c r="C102" s="19"/>
      <c r="D102" s="19"/>
      <c r="E102" s="19"/>
      <c r="F102" s="19">
        <v>500</v>
      </c>
      <c r="G102" s="19">
        <v>7000</v>
      </c>
      <c r="H102" s="19">
        <v>4480</v>
      </c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>
        <v>300</v>
      </c>
      <c r="Y102" s="19">
        <v>3600</v>
      </c>
      <c r="Z102" s="19">
        <v>3600</v>
      </c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>
        <f t="shared" si="30"/>
        <v>800</v>
      </c>
      <c r="AW102" s="19">
        <f t="shared" si="30"/>
        <v>10600</v>
      </c>
      <c r="AX102" s="19">
        <f t="shared" si="31"/>
        <v>8080</v>
      </c>
    </row>
    <row r="103" spans="1:53" ht="18.75" customHeight="1" x14ac:dyDescent="0.5">
      <c r="A103" s="16">
        <v>6</v>
      </c>
      <c r="B103" s="15">
        <v>46091</v>
      </c>
      <c r="C103" s="19"/>
      <c r="D103" s="19"/>
      <c r="E103" s="19"/>
      <c r="F103" s="19">
        <v>50</v>
      </c>
      <c r="G103" s="19">
        <v>700</v>
      </c>
      <c r="H103" s="19">
        <v>448</v>
      </c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>
        <v>150</v>
      </c>
      <c r="Y103" s="19">
        <v>1800</v>
      </c>
      <c r="Z103" s="19">
        <v>1800</v>
      </c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>
        <f t="shared" si="30"/>
        <v>200</v>
      </c>
      <c r="AW103" s="19">
        <f t="shared" si="30"/>
        <v>2500</v>
      </c>
      <c r="AX103" s="19">
        <f t="shared" si="31"/>
        <v>2248</v>
      </c>
      <c r="BA103" s="274" t="s">
        <v>379</v>
      </c>
    </row>
    <row r="104" spans="1:53" ht="18" customHeight="1" x14ac:dyDescent="0.5">
      <c r="A104" s="16">
        <v>7</v>
      </c>
      <c r="B104" s="15">
        <v>46092</v>
      </c>
      <c r="C104" s="19"/>
      <c r="D104" s="19"/>
      <c r="E104" s="19"/>
      <c r="F104" s="19">
        <v>310</v>
      </c>
      <c r="G104" s="19">
        <v>4340</v>
      </c>
      <c r="H104" s="19">
        <v>2777.6</v>
      </c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>
        <v>100</v>
      </c>
      <c r="Y104" s="19">
        <v>1200</v>
      </c>
      <c r="Z104" s="19">
        <v>1200</v>
      </c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>
        <f t="shared" si="30"/>
        <v>410</v>
      </c>
      <c r="AW104" s="19">
        <f t="shared" si="30"/>
        <v>5540</v>
      </c>
      <c r="AX104" s="19">
        <f t="shared" si="31"/>
        <v>3977.6</v>
      </c>
    </row>
    <row r="105" spans="1:53" ht="18" customHeight="1" x14ac:dyDescent="0.5">
      <c r="A105" s="16">
        <v>8</v>
      </c>
      <c r="B105" s="15">
        <v>46094</v>
      </c>
      <c r="C105" s="19"/>
      <c r="D105" s="19"/>
      <c r="E105" s="19"/>
      <c r="F105" s="19">
        <v>30</v>
      </c>
      <c r="G105" s="19">
        <v>420</v>
      </c>
      <c r="H105" s="19">
        <v>268.8</v>
      </c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>
        <v>80</v>
      </c>
      <c r="Y105" s="19">
        <v>960</v>
      </c>
      <c r="Z105" s="19">
        <v>960</v>
      </c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>
        <f t="shared" si="30"/>
        <v>110</v>
      </c>
      <c r="AW105" s="19">
        <f t="shared" si="30"/>
        <v>1380</v>
      </c>
      <c r="AX105" s="19">
        <f t="shared" si="31"/>
        <v>1228.8</v>
      </c>
    </row>
    <row r="106" spans="1:53" ht="18" customHeight="1" x14ac:dyDescent="0.5">
      <c r="A106" s="16">
        <v>9</v>
      </c>
      <c r="B106" s="15">
        <v>46097</v>
      </c>
      <c r="C106" s="19"/>
      <c r="D106" s="19"/>
      <c r="E106" s="19"/>
      <c r="F106" s="19">
        <v>280</v>
      </c>
      <c r="G106" s="19">
        <v>3920</v>
      </c>
      <c r="H106" s="19">
        <v>2508.8000000000002</v>
      </c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>
        <v>255</v>
      </c>
      <c r="Y106" s="19">
        <v>3060</v>
      </c>
      <c r="Z106" s="19">
        <v>3060</v>
      </c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>
        <f t="shared" si="30"/>
        <v>535</v>
      </c>
      <c r="AW106" s="19">
        <f t="shared" si="30"/>
        <v>6980</v>
      </c>
      <c r="AX106" s="19">
        <f t="shared" si="31"/>
        <v>5568.8</v>
      </c>
    </row>
    <row r="107" spans="1:53" ht="18" customHeight="1" x14ac:dyDescent="0.5">
      <c r="A107" s="16">
        <v>10</v>
      </c>
      <c r="B107" s="15">
        <v>46098</v>
      </c>
      <c r="C107" s="19"/>
      <c r="D107" s="19"/>
      <c r="E107" s="19"/>
      <c r="F107" s="19">
        <v>300</v>
      </c>
      <c r="G107" s="19">
        <v>4200</v>
      </c>
      <c r="H107" s="19">
        <v>2688</v>
      </c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>
        <v>350</v>
      </c>
      <c r="Y107" s="19">
        <v>4200</v>
      </c>
      <c r="Z107" s="19">
        <v>4200</v>
      </c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>
        <f t="shared" si="30"/>
        <v>650</v>
      </c>
      <c r="AW107" s="19">
        <f t="shared" si="30"/>
        <v>8400</v>
      </c>
      <c r="AX107" s="19">
        <f t="shared" si="31"/>
        <v>6888</v>
      </c>
    </row>
    <row r="108" spans="1:53" ht="18" customHeight="1" x14ac:dyDescent="0.5">
      <c r="A108" s="16">
        <v>11</v>
      </c>
      <c r="B108" s="15">
        <v>46099</v>
      </c>
      <c r="C108" s="20"/>
      <c r="D108" s="20"/>
      <c r="E108" s="19"/>
      <c r="F108" s="20">
        <v>170</v>
      </c>
      <c r="G108" s="20">
        <v>2380</v>
      </c>
      <c r="H108" s="19">
        <v>1523.2</v>
      </c>
      <c r="I108" s="20"/>
      <c r="J108" s="20"/>
      <c r="K108" s="20"/>
      <c r="L108" s="20"/>
      <c r="M108" s="20"/>
      <c r="N108" s="20"/>
      <c r="O108" s="20"/>
      <c r="P108" s="20"/>
      <c r="Q108" s="19"/>
      <c r="R108" s="20"/>
      <c r="S108" s="20"/>
      <c r="T108" s="19"/>
      <c r="U108" s="20"/>
      <c r="V108" s="20"/>
      <c r="W108" s="20"/>
      <c r="X108" s="20">
        <v>150</v>
      </c>
      <c r="Y108" s="20">
        <v>1800</v>
      </c>
      <c r="Z108" s="20">
        <v>1800</v>
      </c>
      <c r="AA108" s="20"/>
      <c r="AB108" s="20"/>
      <c r="AC108" s="20"/>
      <c r="AD108" s="20"/>
      <c r="AE108" s="20"/>
      <c r="AF108" s="20"/>
      <c r="AG108" s="20"/>
      <c r="AH108" s="20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>
        <f t="shared" si="30"/>
        <v>320</v>
      </c>
      <c r="AW108" s="19">
        <f t="shared" si="30"/>
        <v>4180</v>
      </c>
      <c r="AX108" s="19">
        <f t="shared" si="31"/>
        <v>3323.2</v>
      </c>
    </row>
    <row r="109" spans="1:53" ht="18" customHeight="1" x14ac:dyDescent="0.5">
      <c r="A109" s="16">
        <v>12</v>
      </c>
      <c r="B109" s="15">
        <v>46100</v>
      </c>
      <c r="C109" s="20"/>
      <c r="D109" s="20"/>
      <c r="E109" s="19"/>
      <c r="F109" s="20">
        <v>50</v>
      </c>
      <c r="G109" s="20">
        <v>700</v>
      </c>
      <c r="H109" s="19">
        <v>448</v>
      </c>
      <c r="I109" s="20"/>
      <c r="J109" s="20"/>
      <c r="K109" s="20"/>
      <c r="L109" s="20"/>
      <c r="M109" s="20"/>
      <c r="N109" s="20"/>
      <c r="O109" s="20"/>
      <c r="P109" s="20"/>
      <c r="Q109" s="19"/>
      <c r="R109" s="20"/>
      <c r="S109" s="20"/>
      <c r="T109" s="19"/>
      <c r="U109" s="20"/>
      <c r="V109" s="20"/>
      <c r="W109" s="20"/>
      <c r="X109" s="20">
        <v>70</v>
      </c>
      <c r="Y109" s="20">
        <v>840</v>
      </c>
      <c r="Z109" s="20">
        <v>840</v>
      </c>
      <c r="AA109" s="20"/>
      <c r="AB109" s="20"/>
      <c r="AC109" s="20"/>
      <c r="AD109" s="20"/>
      <c r="AE109" s="20"/>
      <c r="AF109" s="20"/>
      <c r="AG109" s="20"/>
      <c r="AH109" s="20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>
        <f t="shared" si="30"/>
        <v>120</v>
      </c>
      <c r="AW109" s="19">
        <f t="shared" si="30"/>
        <v>1540</v>
      </c>
      <c r="AX109" s="19">
        <f t="shared" si="31"/>
        <v>1288</v>
      </c>
    </row>
    <row r="110" spans="1:53" ht="18" customHeight="1" x14ac:dyDescent="0.5">
      <c r="A110" s="16">
        <v>13</v>
      </c>
      <c r="B110" s="15">
        <v>46101</v>
      </c>
      <c r="C110" s="20"/>
      <c r="D110" s="20"/>
      <c r="E110" s="19"/>
      <c r="F110" s="20">
        <v>200</v>
      </c>
      <c r="G110" s="20">
        <v>2800</v>
      </c>
      <c r="H110" s="19">
        <v>1792</v>
      </c>
      <c r="I110" s="20"/>
      <c r="J110" s="20"/>
      <c r="K110" s="20"/>
      <c r="L110" s="20"/>
      <c r="M110" s="20"/>
      <c r="N110" s="20"/>
      <c r="O110" s="20"/>
      <c r="P110" s="20"/>
      <c r="Q110" s="19"/>
      <c r="R110" s="20"/>
      <c r="S110" s="20"/>
      <c r="T110" s="19"/>
      <c r="U110" s="20"/>
      <c r="V110" s="20"/>
      <c r="W110" s="20"/>
      <c r="X110" s="20">
        <v>20</v>
      </c>
      <c r="Y110" s="20">
        <v>240</v>
      </c>
      <c r="Z110" s="20">
        <v>240</v>
      </c>
      <c r="AA110" s="20"/>
      <c r="AB110" s="20"/>
      <c r="AC110" s="20"/>
      <c r="AD110" s="20"/>
      <c r="AE110" s="20"/>
      <c r="AF110" s="20"/>
      <c r="AG110" s="20"/>
      <c r="AH110" s="20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>
        <f t="shared" si="30"/>
        <v>220</v>
      </c>
      <c r="AW110" s="19">
        <f t="shared" si="30"/>
        <v>3040</v>
      </c>
      <c r="AX110" s="19">
        <f t="shared" si="31"/>
        <v>2032</v>
      </c>
    </row>
    <row r="111" spans="1:53" ht="18" hidden="1" customHeight="1" x14ac:dyDescent="0.5">
      <c r="A111" s="16">
        <v>14</v>
      </c>
      <c r="B111" s="15"/>
      <c r="C111" s="20"/>
      <c r="D111" s="20"/>
      <c r="E111" s="19"/>
      <c r="F111" s="20"/>
      <c r="G111" s="20"/>
      <c r="H111" s="19"/>
      <c r="I111" s="20"/>
      <c r="J111" s="20"/>
      <c r="K111" s="20"/>
      <c r="L111" s="20"/>
      <c r="M111" s="20"/>
      <c r="N111" s="20"/>
      <c r="O111" s="20"/>
      <c r="P111" s="20"/>
      <c r="Q111" s="19"/>
      <c r="R111" s="20"/>
      <c r="S111" s="20"/>
      <c r="T111" s="19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>
        <f t="shared" si="30"/>
        <v>0</v>
      </c>
      <c r="AW111" s="19">
        <f t="shared" si="30"/>
        <v>0</v>
      </c>
      <c r="AX111" s="19">
        <f t="shared" si="31"/>
        <v>0</v>
      </c>
    </row>
    <row r="112" spans="1:53" ht="18" hidden="1" customHeight="1" x14ac:dyDescent="0.5">
      <c r="A112" s="16">
        <v>15</v>
      </c>
      <c r="B112" s="15"/>
      <c r="C112" s="20"/>
      <c r="D112" s="20"/>
      <c r="E112" s="19"/>
      <c r="F112" s="20"/>
      <c r="G112" s="20"/>
      <c r="H112" s="19"/>
      <c r="I112" s="20"/>
      <c r="J112" s="20"/>
      <c r="K112" s="20"/>
      <c r="L112" s="20"/>
      <c r="M112" s="20"/>
      <c r="N112" s="20"/>
      <c r="O112" s="20"/>
      <c r="P112" s="20"/>
      <c r="Q112" s="19"/>
      <c r="R112" s="20"/>
      <c r="S112" s="20"/>
      <c r="T112" s="19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>
        <f t="shared" si="30"/>
        <v>0</v>
      </c>
      <c r="AW112" s="19">
        <f t="shared" si="30"/>
        <v>0</v>
      </c>
      <c r="AX112" s="19">
        <f t="shared" si="31"/>
        <v>0</v>
      </c>
    </row>
    <row r="113" spans="1:50" ht="18" hidden="1" customHeight="1" x14ac:dyDescent="0.5">
      <c r="A113" s="16">
        <v>16</v>
      </c>
      <c r="B113" s="15"/>
      <c r="C113" s="20"/>
      <c r="D113" s="20"/>
      <c r="E113" s="19"/>
      <c r="F113" s="20"/>
      <c r="G113" s="20"/>
      <c r="H113" s="19"/>
      <c r="I113" s="20"/>
      <c r="J113" s="20"/>
      <c r="K113" s="20"/>
      <c r="L113" s="20"/>
      <c r="M113" s="20"/>
      <c r="N113" s="20"/>
      <c r="O113" s="20"/>
      <c r="P113" s="20"/>
      <c r="Q113" s="19"/>
      <c r="R113" s="20"/>
      <c r="S113" s="20"/>
      <c r="T113" s="19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>
        <f t="shared" si="30"/>
        <v>0</v>
      </c>
      <c r="AW113" s="19">
        <f t="shared" si="30"/>
        <v>0</v>
      </c>
      <c r="AX113" s="19">
        <f t="shared" si="31"/>
        <v>0</v>
      </c>
    </row>
    <row r="114" spans="1:50" ht="18" hidden="1" customHeight="1" x14ac:dyDescent="0.5">
      <c r="A114" s="16">
        <v>17</v>
      </c>
      <c r="B114" s="15"/>
      <c r="C114" s="20"/>
      <c r="D114" s="20"/>
      <c r="E114" s="19"/>
      <c r="F114" s="20"/>
      <c r="G114" s="20"/>
      <c r="H114" s="19"/>
      <c r="I114" s="20"/>
      <c r="J114" s="20"/>
      <c r="K114" s="20"/>
      <c r="L114" s="20"/>
      <c r="M114" s="20"/>
      <c r="N114" s="20"/>
      <c r="O114" s="20"/>
      <c r="P114" s="20"/>
      <c r="Q114" s="19"/>
      <c r="R114" s="20"/>
      <c r="S114" s="20"/>
      <c r="T114" s="19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>
        <f t="shared" si="30"/>
        <v>0</v>
      </c>
      <c r="AW114" s="19">
        <f t="shared" si="30"/>
        <v>0</v>
      </c>
      <c r="AX114" s="19">
        <f t="shared" si="31"/>
        <v>0</v>
      </c>
    </row>
    <row r="115" spans="1:50" ht="18" hidden="1" customHeight="1" x14ac:dyDescent="0.5">
      <c r="A115" s="16">
        <v>18</v>
      </c>
      <c r="B115" s="15"/>
      <c r="C115" s="20"/>
      <c r="D115" s="20"/>
      <c r="E115" s="19"/>
      <c r="F115" s="20"/>
      <c r="G115" s="20"/>
      <c r="H115" s="19"/>
      <c r="I115" s="20"/>
      <c r="J115" s="20"/>
      <c r="K115" s="20"/>
      <c r="L115" s="20"/>
      <c r="M115" s="20"/>
      <c r="N115" s="20"/>
      <c r="O115" s="20"/>
      <c r="P115" s="20"/>
      <c r="Q115" s="19"/>
      <c r="R115" s="20"/>
      <c r="S115" s="20"/>
      <c r="T115" s="19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>
        <f t="shared" si="30"/>
        <v>0</v>
      </c>
      <c r="AW115" s="19">
        <f t="shared" si="30"/>
        <v>0</v>
      </c>
      <c r="AX115" s="19">
        <f t="shared" si="31"/>
        <v>0</v>
      </c>
    </row>
    <row r="116" spans="1:50" ht="18" hidden="1" customHeight="1" x14ac:dyDescent="0.5">
      <c r="A116" s="16"/>
      <c r="B116" s="15"/>
      <c r="C116" s="20"/>
      <c r="D116" s="20"/>
      <c r="E116" s="19"/>
      <c r="F116" s="20"/>
      <c r="G116" s="20"/>
      <c r="H116" s="19"/>
      <c r="I116" s="20"/>
      <c r="J116" s="20"/>
      <c r="K116" s="20"/>
      <c r="L116" s="20"/>
      <c r="M116" s="20"/>
      <c r="N116" s="20"/>
      <c r="O116" s="20"/>
      <c r="P116" s="20"/>
      <c r="Q116" s="19"/>
      <c r="R116" s="20"/>
      <c r="S116" s="20"/>
      <c r="T116" s="19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>
        <f t="shared" si="30"/>
        <v>0</v>
      </c>
      <c r="AW116" s="19">
        <f t="shared" si="30"/>
        <v>0</v>
      </c>
      <c r="AX116" s="19">
        <f t="shared" si="31"/>
        <v>0</v>
      </c>
    </row>
    <row r="117" spans="1:50" ht="18" customHeight="1" x14ac:dyDescent="0.5">
      <c r="A117" s="14"/>
      <c r="B117" s="13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8">
        <f>SUM(AA98:AA109)</f>
        <v>0</v>
      </c>
      <c r="AB117" s="18">
        <f>SUM(AB98:AB109)</f>
        <v>0</v>
      </c>
      <c r="AV117" s="182">
        <f>SUM(AV98:AV116)</f>
        <v>5060</v>
      </c>
      <c r="AW117" s="182">
        <f>SUM(AW98:AW116)</f>
        <v>66130</v>
      </c>
      <c r="AX117" s="182">
        <f>SUM(AX98:AX116)</f>
        <v>52496.800000000003</v>
      </c>
    </row>
    <row r="118" spans="1:50" hidden="1" x14ac:dyDescent="0.5">
      <c r="A118" s="16">
        <v>15</v>
      </c>
      <c r="B118" s="15"/>
      <c r="C118" s="20"/>
      <c r="D118" s="20"/>
      <c r="E118" s="19"/>
      <c r="F118" s="20"/>
      <c r="G118" s="20"/>
      <c r="H118" s="19"/>
      <c r="I118" s="20"/>
      <c r="J118" s="20"/>
      <c r="K118" s="20"/>
      <c r="L118" s="20"/>
      <c r="M118" s="20"/>
      <c r="N118" s="20"/>
      <c r="O118" s="20"/>
      <c r="P118" s="20"/>
      <c r="Q118" s="19"/>
      <c r="R118" s="20"/>
      <c r="S118" s="20"/>
      <c r="T118" s="19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>
        <f t="shared" ref="AV118:AV123" si="32">C118+F118+I118+L118+O118+R118+U118+X118+AA118+AG118+AJ118+AM118</f>
        <v>0</v>
      </c>
      <c r="AW118" s="19">
        <f t="shared" ref="AW118:AW123" si="33">D118+G118+J118+M118+P118+S118+V118+Y118+AB118+AH118+AK118+AN118</f>
        <v>0</v>
      </c>
      <c r="AX118" s="19">
        <f t="shared" ref="AX118:AX123" si="34">E118+H118+K118+N118+Q118+T118+W118+Z118+AC118+AI118+AL118+AN118</f>
        <v>0</v>
      </c>
    </row>
    <row r="119" spans="1:50" hidden="1" x14ac:dyDescent="0.5">
      <c r="A119" s="16">
        <v>16</v>
      </c>
      <c r="B119" s="15"/>
      <c r="C119" s="20"/>
      <c r="D119" s="20"/>
      <c r="E119" s="19"/>
      <c r="F119" s="20"/>
      <c r="G119" s="20"/>
      <c r="H119" s="19"/>
      <c r="I119" s="20"/>
      <c r="J119" s="20"/>
      <c r="K119" s="20"/>
      <c r="L119" s="20"/>
      <c r="M119" s="20"/>
      <c r="N119" s="20"/>
      <c r="O119" s="20"/>
      <c r="P119" s="20"/>
      <c r="Q119" s="19"/>
      <c r="R119" s="20"/>
      <c r="S119" s="20"/>
      <c r="T119" s="19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>
        <f t="shared" si="32"/>
        <v>0</v>
      </c>
      <c r="AW119" s="19">
        <f t="shared" si="33"/>
        <v>0</v>
      </c>
      <c r="AX119" s="19">
        <f t="shared" si="34"/>
        <v>0</v>
      </c>
    </row>
    <row r="120" spans="1:50" hidden="1" x14ac:dyDescent="0.5">
      <c r="A120" s="16">
        <v>17</v>
      </c>
      <c r="B120" s="15"/>
      <c r="C120" s="20"/>
      <c r="D120" s="20"/>
      <c r="E120" s="19"/>
      <c r="F120" s="20"/>
      <c r="G120" s="20"/>
      <c r="H120" s="19"/>
      <c r="I120" s="20"/>
      <c r="J120" s="20"/>
      <c r="K120" s="20"/>
      <c r="L120" s="20"/>
      <c r="M120" s="20"/>
      <c r="N120" s="20"/>
      <c r="O120" s="20"/>
      <c r="P120" s="20"/>
      <c r="Q120" s="19"/>
      <c r="R120" s="20"/>
      <c r="S120" s="20"/>
      <c r="T120" s="19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>
        <f t="shared" si="32"/>
        <v>0</v>
      </c>
      <c r="AW120" s="19">
        <f t="shared" si="33"/>
        <v>0</v>
      </c>
      <c r="AX120" s="19">
        <f t="shared" si="34"/>
        <v>0</v>
      </c>
    </row>
    <row r="121" spans="1:50" hidden="1" x14ac:dyDescent="0.5">
      <c r="A121" s="16">
        <v>18</v>
      </c>
      <c r="B121" s="15"/>
      <c r="C121" s="20"/>
      <c r="D121" s="20"/>
      <c r="E121" s="19"/>
      <c r="F121" s="20"/>
      <c r="G121" s="20"/>
      <c r="H121" s="19"/>
      <c r="I121" s="20"/>
      <c r="J121" s="20"/>
      <c r="K121" s="20"/>
      <c r="L121" s="20"/>
      <c r="M121" s="20"/>
      <c r="N121" s="20"/>
      <c r="O121" s="20"/>
      <c r="P121" s="20"/>
      <c r="Q121" s="19"/>
      <c r="R121" s="20"/>
      <c r="S121" s="20"/>
      <c r="T121" s="19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>
        <f t="shared" si="32"/>
        <v>0</v>
      </c>
      <c r="AW121" s="19">
        <f t="shared" si="33"/>
        <v>0</v>
      </c>
      <c r="AX121" s="19">
        <f t="shared" si="34"/>
        <v>0</v>
      </c>
    </row>
    <row r="122" spans="1:50" hidden="1" x14ac:dyDescent="0.5">
      <c r="A122" s="16">
        <v>19</v>
      </c>
      <c r="B122" s="15"/>
      <c r="C122" s="20"/>
      <c r="D122" s="20"/>
      <c r="E122" s="19"/>
      <c r="F122" s="20"/>
      <c r="G122" s="20"/>
      <c r="H122" s="19"/>
      <c r="I122" s="20"/>
      <c r="J122" s="20"/>
      <c r="K122" s="20"/>
      <c r="L122" s="20"/>
      <c r="M122" s="20"/>
      <c r="N122" s="20"/>
      <c r="O122" s="20"/>
      <c r="P122" s="20"/>
      <c r="Q122" s="19"/>
      <c r="R122" s="20"/>
      <c r="S122" s="20"/>
      <c r="T122" s="19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>
        <f t="shared" si="32"/>
        <v>0</v>
      </c>
      <c r="AW122" s="19">
        <f t="shared" si="33"/>
        <v>0</v>
      </c>
      <c r="AX122" s="19">
        <f t="shared" si="34"/>
        <v>0</v>
      </c>
    </row>
    <row r="123" spans="1:50" hidden="1" x14ac:dyDescent="0.5">
      <c r="A123" s="16">
        <v>20</v>
      </c>
      <c r="B123" s="15"/>
      <c r="C123" s="20"/>
      <c r="D123" s="20"/>
      <c r="E123" s="19"/>
      <c r="F123" s="20"/>
      <c r="G123" s="20"/>
      <c r="H123" s="19"/>
      <c r="I123" s="20"/>
      <c r="J123" s="20"/>
      <c r="K123" s="20"/>
      <c r="L123" s="20"/>
      <c r="M123" s="20"/>
      <c r="N123" s="20"/>
      <c r="O123" s="20"/>
      <c r="P123" s="20"/>
      <c r="Q123" s="19"/>
      <c r="R123" s="20"/>
      <c r="S123" s="20"/>
      <c r="T123" s="19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>
        <f t="shared" si="32"/>
        <v>0</v>
      </c>
      <c r="AW123" s="19">
        <f t="shared" si="33"/>
        <v>0</v>
      </c>
      <c r="AX123" s="19">
        <f t="shared" si="34"/>
        <v>0</v>
      </c>
    </row>
    <row r="124" spans="1:50" hidden="1" x14ac:dyDescent="0.5">
      <c r="A124" s="16">
        <v>21</v>
      </c>
      <c r="B124" s="15"/>
      <c r="C124" s="20"/>
      <c r="D124" s="20"/>
      <c r="E124" s="19"/>
      <c r="F124" s="20"/>
      <c r="G124" s="20"/>
      <c r="H124" s="19"/>
      <c r="I124" s="20"/>
      <c r="J124" s="20"/>
      <c r="K124" s="20"/>
      <c r="L124" s="20"/>
      <c r="M124" s="20"/>
      <c r="N124" s="20"/>
      <c r="O124" s="20"/>
      <c r="P124" s="20"/>
      <c r="Q124" s="19"/>
      <c r="R124" s="20"/>
      <c r="S124" s="20"/>
      <c r="T124" s="19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>
        <f>C124+F124+I124+L124+O124+R124+U124+X124+AA124+AG124+AJ124+AM124+AP124+AS124</f>
        <v>0</v>
      </c>
      <c r="AW124" s="19">
        <f>D124+G124+J124+M124+P124+S124+V124+Y124+AB124+AH124+AK124+AN124+AQ124+AT124</f>
        <v>0</v>
      </c>
      <c r="AX124" s="19">
        <f>E124+H124+K124+N124+Q124+T124+W124+Z124+AC124+AI124+AL124+AO124+AR124+AU124</f>
        <v>0</v>
      </c>
    </row>
    <row r="125" spans="1:50" hidden="1" x14ac:dyDescent="0.5">
      <c r="A125" s="16">
        <v>22</v>
      </c>
      <c r="B125" s="15"/>
      <c r="C125" s="20"/>
      <c r="D125" s="20"/>
      <c r="E125" s="19"/>
      <c r="F125" s="20"/>
      <c r="G125" s="20"/>
      <c r="H125" s="19"/>
      <c r="I125" s="20"/>
      <c r="J125" s="20"/>
      <c r="K125" s="20"/>
      <c r="L125" s="20"/>
      <c r="M125" s="20"/>
      <c r="N125" s="20"/>
      <c r="O125" s="20"/>
      <c r="P125" s="20"/>
      <c r="Q125" s="19"/>
      <c r="R125" s="20"/>
      <c r="S125" s="20"/>
      <c r="T125" s="19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>
        <f t="shared" ref="AV125:AV126" si="35">C125+F125+I125+L125+O125+R125+U125+X125+AA125+AG125+AJ125+AM125+AP125+AS125</f>
        <v>0</v>
      </c>
      <c r="AW125" s="19">
        <f t="shared" ref="AW125:AW126" si="36">D125+G125+J125+M125+P125+S125+V125+Y125+AB125+AH125+AK125+AN125+AQ125+AT125</f>
        <v>0</v>
      </c>
      <c r="AX125" s="19">
        <f t="shared" ref="AX125:AX126" si="37">E125+H125+K125+N125+Q125+T125+W125+Z125+AC125+AI125+AL125+AO125+AR125+AU125</f>
        <v>0</v>
      </c>
    </row>
    <row r="126" spans="1:50" hidden="1" x14ac:dyDescent="0.5">
      <c r="A126" s="16">
        <v>23</v>
      </c>
      <c r="B126" s="15"/>
      <c r="C126" s="20"/>
      <c r="D126" s="20"/>
      <c r="E126" s="19"/>
      <c r="F126" s="20"/>
      <c r="G126" s="20"/>
      <c r="H126" s="19"/>
      <c r="I126" s="20"/>
      <c r="J126" s="20"/>
      <c r="K126" s="20"/>
      <c r="L126" s="20"/>
      <c r="M126" s="20"/>
      <c r="N126" s="20"/>
      <c r="O126" s="20"/>
      <c r="P126" s="20"/>
      <c r="Q126" s="19"/>
      <c r="R126" s="20"/>
      <c r="S126" s="20"/>
      <c r="T126" s="19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>
        <f t="shared" si="35"/>
        <v>0</v>
      </c>
      <c r="AW126" s="19">
        <f t="shared" si="36"/>
        <v>0</v>
      </c>
      <c r="AX126" s="19">
        <f t="shared" si="37"/>
        <v>0</v>
      </c>
    </row>
    <row r="127" spans="1:50" hidden="1" x14ac:dyDescent="0.5">
      <c r="A127" s="14"/>
      <c r="B127" s="13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8">
        <f>SUM(AA100:AA111)</f>
        <v>0</v>
      </c>
      <c r="AB127" s="18">
        <f>SUM(AB100:AB111)</f>
        <v>0</v>
      </c>
      <c r="AV127" s="182">
        <f>SUM(AV100:AV126)</f>
        <v>9520</v>
      </c>
      <c r="AW127" s="182">
        <f>SUM(AW100:AW126)</f>
        <v>124660</v>
      </c>
      <c r="AX127" s="182">
        <f t="shared" ref="AX127" si="38">SUM(AX100:AX126)</f>
        <v>98401.600000000006</v>
      </c>
    </row>
    <row r="128" spans="1:50" hidden="1" x14ac:dyDescent="0.5"/>
    <row r="129" spans="1:50" hidden="1" x14ac:dyDescent="0.5">
      <c r="A129" s="561" t="s">
        <v>380</v>
      </c>
      <c r="B129" s="561"/>
      <c r="C129" s="561"/>
      <c r="D129" s="561"/>
      <c r="E129" s="561"/>
      <c r="F129" s="561"/>
    </row>
    <row r="130" spans="1:50" hidden="1" x14ac:dyDescent="0.5">
      <c r="A130" s="561"/>
      <c r="B130" s="561"/>
      <c r="C130" s="561"/>
      <c r="D130" s="561"/>
      <c r="E130" s="561"/>
      <c r="F130" s="561"/>
    </row>
    <row r="131" spans="1:50" hidden="1" x14ac:dyDescent="0.5">
      <c r="A131" s="551" t="s">
        <v>118</v>
      </c>
      <c r="B131" s="552" t="s">
        <v>135</v>
      </c>
      <c r="C131" s="553"/>
      <c r="D131" s="553"/>
      <c r="E131" s="553"/>
      <c r="F131" s="553"/>
      <c r="G131" s="553"/>
      <c r="H131" s="553"/>
      <c r="I131" s="553"/>
      <c r="J131" s="553"/>
      <c r="K131" s="553"/>
      <c r="L131" s="553"/>
      <c r="M131" s="553"/>
      <c r="N131" s="553"/>
      <c r="O131" s="553"/>
      <c r="P131" s="553"/>
      <c r="Q131" s="553"/>
      <c r="R131" s="553"/>
      <c r="S131" s="553"/>
      <c r="T131" s="553"/>
      <c r="U131" s="553"/>
      <c r="V131" s="553"/>
      <c r="W131" s="553"/>
      <c r="X131" s="553"/>
      <c r="Y131" s="553"/>
      <c r="Z131" s="553"/>
      <c r="AA131" s="553"/>
      <c r="AB131" s="553"/>
      <c r="AC131" s="553"/>
      <c r="AD131" s="553"/>
      <c r="AE131" s="553"/>
      <c r="AF131" s="553"/>
      <c r="AG131" s="553"/>
      <c r="AH131" s="553"/>
      <c r="AI131" s="553"/>
      <c r="AJ131" s="553"/>
      <c r="AK131" s="553"/>
      <c r="AL131" s="553"/>
      <c r="AM131" s="553"/>
      <c r="AN131" s="553"/>
      <c r="AO131" s="553"/>
      <c r="AP131" s="553"/>
      <c r="AQ131" s="553"/>
      <c r="AR131" s="553"/>
      <c r="AS131" s="553"/>
      <c r="AT131" s="553"/>
      <c r="AU131" s="553"/>
      <c r="AV131" s="553"/>
      <c r="AW131" s="553"/>
      <c r="AX131" s="553"/>
    </row>
    <row r="132" spans="1:50" hidden="1" x14ac:dyDescent="0.5">
      <c r="A132" s="551"/>
      <c r="B132" s="552"/>
      <c r="C132" s="554" t="s">
        <v>124</v>
      </c>
      <c r="D132" s="555"/>
      <c r="E132" s="556"/>
      <c r="F132" s="554" t="s">
        <v>133</v>
      </c>
      <c r="G132" s="555"/>
      <c r="H132" s="556"/>
      <c r="I132" s="554" t="s">
        <v>132</v>
      </c>
      <c r="J132" s="555"/>
      <c r="K132" s="556"/>
      <c r="L132" s="554" t="s">
        <v>131</v>
      </c>
      <c r="M132" s="555"/>
      <c r="N132" s="556"/>
      <c r="O132" s="554" t="s">
        <v>130</v>
      </c>
      <c r="P132" s="555"/>
      <c r="Q132" s="556"/>
      <c r="R132" s="554" t="s">
        <v>129</v>
      </c>
      <c r="S132" s="555"/>
      <c r="T132" s="556"/>
      <c r="U132" s="554" t="s">
        <v>128</v>
      </c>
      <c r="V132" s="555"/>
      <c r="W132" s="556"/>
      <c r="X132" s="554" t="s">
        <v>127</v>
      </c>
      <c r="Y132" s="555"/>
      <c r="Z132" s="556"/>
      <c r="AA132" s="554" t="s">
        <v>126</v>
      </c>
      <c r="AB132" s="555"/>
      <c r="AC132" s="556"/>
      <c r="AD132" s="554" t="s">
        <v>378</v>
      </c>
      <c r="AE132" s="555"/>
      <c r="AF132" s="556"/>
      <c r="AG132" s="554" t="s">
        <v>125</v>
      </c>
      <c r="AH132" s="555"/>
      <c r="AI132" s="556"/>
      <c r="AJ132" s="554" t="s">
        <v>124</v>
      </c>
      <c r="AK132" s="555"/>
      <c r="AL132" s="556"/>
      <c r="AM132" s="554" t="s">
        <v>123</v>
      </c>
      <c r="AN132" s="555"/>
      <c r="AO132" s="556"/>
      <c r="AP132" s="554" t="s">
        <v>367</v>
      </c>
      <c r="AQ132" s="555"/>
      <c r="AR132" s="556"/>
      <c r="AS132" s="554" t="s">
        <v>368</v>
      </c>
      <c r="AT132" s="555"/>
      <c r="AU132" s="556"/>
      <c r="AV132" s="554" t="s">
        <v>122</v>
      </c>
      <c r="AW132" s="555"/>
      <c r="AX132" s="556"/>
    </row>
    <row r="133" spans="1:50" hidden="1" x14ac:dyDescent="0.5">
      <c r="A133" s="551"/>
      <c r="B133" s="552"/>
      <c r="C133" s="17" t="s">
        <v>109</v>
      </c>
      <c r="D133" s="17" t="s">
        <v>108</v>
      </c>
      <c r="E133" s="17" t="s">
        <v>348</v>
      </c>
      <c r="F133" s="17" t="s">
        <v>109</v>
      </c>
      <c r="G133" s="17" t="s">
        <v>108</v>
      </c>
      <c r="H133" s="17" t="s">
        <v>348</v>
      </c>
      <c r="I133" s="17" t="s">
        <v>109</v>
      </c>
      <c r="J133" s="17" t="s">
        <v>108</v>
      </c>
      <c r="K133" s="17" t="s">
        <v>348</v>
      </c>
      <c r="L133" s="17" t="s">
        <v>109</v>
      </c>
      <c r="M133" s="17" t="s">
        <v>108</v>
      </c>
      <c r="N133" s="17" t="s">
        <v>348</v>
      </c>
      <c r="O133" s="17" t="s">
        <v>109</v>
      </c>
      <c r="P133" s="17" t="s">
        <v>108</v>
      </c>
      <c r="Q133" s="17" t="s">
        <v>348</v>
      </c>
      <c r="R133" s="17" t="s">
        <v>109</v>
      </c>
      <c r="S133" s="17" t="s">
        <v>108</v>
      </c>
      <c r="T133" s="17" t="s">
        <v>348</v>
      </c>
      <c r="U133" s="17" t="s">
        <v>109</v>
      </c>
      <c r="V133" s="17" t="s">
        <v>108</v>
      </c>
      <c r="W133" s="17" t="s">
        <v>348</v>
      </c>
      <c r="X133" s="17" t="s">
        <v>109</v>
      </c>
      <c r="Y133" s="17" t="s">
        <v>108</v>
      </c>
      <c r="Z133" s="17" t="s">
        <v>348</v>
      </c>
      <c r="AA133" s="17" t="s">
        <v>109</v>
      </c>
      <c r="AB133" s="17" t="s">
        <v>108</v>
      </c>
      <c r="AC133" s="17" t="s">
        <v>348</v>
      </c>
      <c r="AD133" s="17"/>
      <c r="AE133" s="17"/>
      <c r="AF133" s="17"/>
      <c r="AG133" s="17" t="s">
        <v>109</v>
      </c>
      <c r="AH133" s="17" t="s">
        <v>108</v>
      </c>
      <c r="AI133" s="17" t="s">
        <v>348</v>
      </c>
      <c r="AJ133" s="17" t="s">
        <v>109</v>
      </c>
      <c r="AK133" s="17" t="s">
        <v>108</v>
      </c>
      <c r="AL133" s="17" t="s">
        <v>348</v>
      </c>
      <c r="AM133" s="17" t="s">
        <v>109</v>
      </c>
      <c r="AN133" s="17" t="s">
        <v>108</v>
      </c>
      <c r="AO133" s="17" t="s">
        <v>348</v>
      </c>
      <c r="AP133" s="17" t="s">
        <v>109</v>
      </c>
      <c r="AQ133" s="17" t="s">
        <v>108</v>
      </c>
      <c r="AR133" s="17" t="s">
        <v>348</v>
      </c>
      <c r="AS133" s="17" t="s">
        <v>109</v>
      </c>
      <c r="AT133" s="17" t="s">
        <v>108</v>
      </c>
      <c r="AU133" s="17" t="s">
        <v>348</v>
      </c>
      <c r="AV133" s="17" t="s">
        <v>109</v>
      </c>
      <c r="AW133" s="17" t="s">
        <v>108</v>
      </c>
      <c r="AX133" s="17" t="s">
        <v>348</v>
      </c>
    </row>
    <row r="134" spans="1:50" hidden="1" x14ac:dyDescent="0.5">
      <c r="A134" s="16">
        <v>1</v>
      </c>
      <c r="B134" s="15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>
        <f>C134+F134+I134+L134+O134+R134+U134+X134+AA134+AG134+AJ134+AM134+AP134+AS134</f>
        <v>0</v>
      </c>
      <c r="AW134" s="19">
        <f>D134+G134+J134+M134+P134+S134+V134+Y134+AB134+AH134+AK134+AN134+AQ134+AT134</f>
        <v>0</v>
      </c>
      <c r="AX134" s="19">
        <f>E134+H134+K134+N134+Q134+T134+W134+Z134+AC134+AI134+AL134+AO134+AR134+AU134</f>
        <v>0</v>
      </c>
    </row>
    <row r="135" spans="1:50" hidden="1" x14ac:dyDescent="0.5">
      <c r="A135" s="16">
        <v>2</v>
      </c>
      <c r="B135" s="15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21"/>
      <c r="P135" s="178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>
        <f t="shared" ref="AV135:AV158" si="39">C135+F135+I135+L135+O135+R135+U135+X135+AA135+AG135+AJ135+AM135</f>
        <v>0</v>
      </c>
      <c r="AW135" s="19">
        <f>D135+G135+J135+M135+P135+S135+V135+Y135+AB135+AH135+AK135+AN135+AE135</f>
        <v>0</v>
      </c>
      <c r="AX135" s="19">
        <f>E135+H135+K135+N135+Q135+T135+W135+Z135+AC135+AI135+AL135+AN135+AF135</f>
        <v>0</v>
      </c>
    </row>
    <row r="136" spans="1:50" hidden="1" x14ac:dyDescent="0.5">
      <c r="A136" s="16">
        <v>3</v>
      </c>
      <c r="B136" s="15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>
        <f t="shared" si="39"/>
        <v>0</v>
      </c>
      <c r="AW136" s="19">
        <f t="shared" ref="AW136:AW158" si="40">D136+G136+J136+M136+P136+S136+V136+Y136+AB136+AH136+AK136+AN136</f>
        <v>0</v>
      </c>
      <c r="AX136" s="19">
        <f t="shared" ref="AX136:AX158" si="41">E136+H136+K136+N136+Q136+T136+W136+Z136+AC136+AI136+AL136+AN136</f>
        <v>0</v>
      </c>
    </row>
    <row r="137" spans="1:50" hidden="1" x14ac:dyDescent="0.5">
      <c r="A137" s="16">
        <v>4</v>
      </c>
      <c r="B137" s="15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>
        <f t="shared" si="39"/>
        <v>0</v>
      </c>
      <c r="AW137" s="19">
        <f t="shared" si="40"/>
        <v>0</v>
      </c>
      <c r="AX137" s="19">
        <f t="shared" si="41"/>
        <v>0</v>
      </c>
    </row>
    <row r="138" spans="1:50" hidden="1" x14ac:dyDescent="0.5">
      <c r="A138" s="16">
        <v>5</v>
      </c>
      <c r="B138" s="15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>
        <f t="shared" si="39"/>
        <v>0</v>
      </c>
      <c r="AW138" s="19">
        <f t="shared" si="40"/>
        <v>0</v>
      </c>
      <c r="AX138" s="19">
        <f t="shared" si="41"/>
        <v>0</v>
      </c>
    </row>
    <row r="139" spans="1:50" hidden="1" x14ac:dyDescent="0.5">
      <c r="A139" s="16">
        <v>6</v>
      </c>
      <c r="B139" s="15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>
        <f t="shared" si="39"/>
        <v>0</v>
      </c>
      <c r="AW139" s="19">
        <f t="shared" si="40"/>
        <v>0</v>
      </c>
      <c r="AX139" s="19">
        <f t="shared" si="41"/>
        <v>0</v>
      </c>
    </row>
    <row r="140" spans="1:50" hidden="1" x14ac:dyDescent="0.5">
      <c r="A140" s="16">
        <v>7</v>
      </c>
      <c r="B140" s="15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>
        <f t="shared" si="39"/>
        <v>0</v>
      </c>
      <c r="AW140" s="19">
        <f t="shared" si="40"/>
        <v>0</v>
      </c>
      <c r="AX140" s="19">
        <f t="shared" si="41"/>
        <v>0</v>
      </c>
    </row>
    <row r="141" spans="1:50" hidden="1" x14ac:dyDescent="0.5">
      <c r="A141" s="16">
        <v>8</v>
      </c>
      <c r="B141" s="15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>
        <f t="shared" si="39"/>
        <v>0</v>
      </c>
      <c r="AW141" s="19">
        <f t="shared" si="40"/>
        <v>0</v>
      </c>
      <c r="AX141" s="19">
        <f t="shared" si="41"/>
        <v>0</v>
      </c>
    </row>
    <row r="142" spans="1:50" hidden="1" x14ac:dyDescent="0.5">
      <c r="A142" s="16">
        <v>9</v>
      </c>
      <c r="B142" s="15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>
        <f t="shared" si="39"/>
        <v>0</v>
      </c>
      <c r="AW142" s="19">
        <f t="shared" si="40"/>
        <v>0</v>
      </c>
      <c r="AX142" s="19">
        <f t="shared" si="41"/>
        <v>0</v>
      </c>
    </row>
    <row r="143" spans="1:50" hidden="1" x14ac:dyDescent="0.5">
      <c r="A143" s="16">
        <v>8</v>
      </c>
      <c r="B143" s="15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>
        <f t="shared" si="39"/>
        <v>0</v>
      </c>
      <c r="AW143" s="19">
        <f t="shared" si="40"/>
        <v>0</v>
      </c>
      <c r="AX143" s="19">
        <f t="shared" si="41"/>
        <v>0</v>
      </c>
    </row>
    <row r="144" spans="1:50" hidden="1" x14ac:dyDescent="0.5">
      <c r="A144" s="16">
        <v>7</v>
      </c>
      <c r="B144" s="15"/>
      <c r="C144" s="20"/>
      <c r="D144" s="20"/>
      <c r="E144" s="19"/>
      <c r="F144" s="20"/>
      <c r="G144" s="20"/>
      <c r="H144" s="19"/>
      <c r="I144" s="20"/>
      <c r="J144" s="20"/>
      <c r="K144" s="20"/>
      <c r="L144" s="20"/>
      <c r="M144" s="20"/>
      <c r="N144" s="20"/>
      <c r="O144" s="20"/>
      <c r="P144" s="20"/>
      <c r="Q144" s="19"/>
      <c r="R144" s="20"/>
      <c r="S144" s="20"/>
      <c r="T144" s="19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>
        <f t="shared" si="39"/>
        <v>0</v>
      </c>
      <c r="AW144" s="19">
        <f t="shared" si="40"/>
        <v>0</v>
      </c>
      <c r="AX144" s="19">
        <f t="shared" si="41"/>
        <v>0</v>
      </c>
    </row>
    <row r="145" spans="1:50" hidden="1" x14ac:dyDescent="0.5">
      <c r="A145" s="16">
        <v>8</v>
      </c>
      <c r="B145" s="15"/>
      <c r="C145" s="20"/>
      <c r="D145" s="20"/>
      <c r="E145" s="19"/>
      <c r="F145" s="20"/>
      <c r="G145" s="20"/>
      <c r="H145" s="19"/>
      <c r="I145" s="20"/>
      <c r="J145" s="20"/>
      <c r="K145" s="20"/>
      <c r="L145" s="20"/>
      <c r="M145" s="20"/>
      <c r="N145" s="20"/>
      <c r="O145" s="20"/>
      <c r="P145" s="20"/>
      <c r="Q145" s="19"/>
      <c r="R145" s="20"/>
      <c r="S145" s="20"/>
      <c r="T145" s="19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>
        <f t="shared" si="39"/>
        <v>0</v>
      </c>
      <c r="AW145" s="19">
        <f t="shared" si="40"/>
        <v>0</v>
      </c>
      <c r="AX145" s="19">
        <f t="shared" si="41"/>
        <v>0</v>
      </c>
    </row>
    <row r="146" spans="1:50" hidden="1" x14ac:dyDescent="0.5">
      <c r="A146" s="16">
        <v>9</v>
      </c>
      <c r="B146" s="15"/>
      <c r="C146" s="20"/>
      <c r="D146" s="20"/>
      <c r="E146" s="19"/>
      <c r="F146" s="20"/>
      <c r="G146" s="20"/>
      <c r="H146" s="19"/>
      <c r="I146" s="20"/>
      <c r="J146" s="20"/>
      <c r="K146" s="20"/>
      <c r="L146" s="20"/>
      <c r="M146" s="20"/>
      <c r="N146" s="20"/>
      <c r="O146" s="20"/>
      <c r="P146" s="20"/>
      <c r="Q146" s="19"/>
      <c r="R146" s="20"/>
      <c r="S146" s="20"/>
      <c r="T146" s="19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>
        <f t="shared" si="39"/>
        <v>0</v>
      </c>
      <c r="AW146" s="19">
        <f t="shared" si="40"/>
        <v>0</v>
      </c>
      <c r="AX146" s="19">
        <f t="shared" si="41"/>
        <v>0</v>
      </c>
    </row>
    <row r="147" spans="1:50" hidden="1" x14ac:dyDescent="0.5">
      <c r="A147" s="16">
        <v>11</v>
      </c>
      <c r="B147" s="15"/>
      <c r="C147" s="20"/>
      <c r="D147" s="20"/>
      <c r="E147" s="19"/>
      <c r="F147" s="20"/>
      <c r="G147" s="20"/>
      <c r="H147" s="19"/>
      <c r="I147" s="20"/>
      <c r="J147" s="20"/>
      <c r="K147" s="20"/>
      <c r="L147" s="20"/>
      <c r="M147" s="20"/>
      <c r="N147" s="20"/>
      <c r="O147" s="20"/>
      <c r="P147" s="20"/>
      <c r="Q147" s="19"/>
      <c r="R147" s="20"/>
      <c r="S147" s="20"/>
      <c r="T147" s="19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>
        <f t="shared" ref="AV147" si="42">C147+F147+I147+L147+O147+R147+U147+X147+AA147+AG147+AJ147+AM147</f>
        <v>0</v>
      </c>
      <c r="AW147" s="19">
        <f t="shared" ref="AW147" si="43">D147+G147+J147+M147+P147+S147+V147+Y147+AB147+AH147+AK147+AN147</f>
        <v>0</v>
      </c>
      <c r="AX147" s="19">
        <f t="shared" ref="AX147" si="44">E147+H147+K147+N147+Q147+T147+W147+Z147+AC147+AI147+AL147+AN147</f>
        <v>0</v>
      </c>
    </row>
    <row r="148" spans="1:50" hidden="1" x14ac:dyDescent="0.5">
      <c r="A148" s="16">
        <v>10</v>
      </c>
      <c r="B148" s="15"/>
      <c r="C148" s="20"/>
      <c r="D148" s="20"/>
      <c r="E148" s="19"/>
      <c r="F148" s="20"/>
      <c r="G148" s="20"/>
      <c r="H148" s="19"/>
      <c r="I148" s="20"/>
      <c r="J148" s="20"/>
      <c r="K148" s="20"/>
      <c r="L148" s="20"/>
      <c r="M148" s="20"/>
      <c r="N148" s="20"/>
      <c r="O148" s="20"/>
      <c r="P148" s="20"/>
      <c r="Q148" s="19"/>
      <c r="R148" s="20"/>
      <c r="S148" s="20"/>
      <c r="T148" s="19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>
        <f t="shared" si="39"/>
        <v>0</v>
      </c>
      <c r="AW148" s="19">
        <f t="shared" si="40"/>
        <v>0</v>
      </c>
      <c r="AX148" s="19">
        <f t="shared" si="41"/>
        <v>0</v>
      </c>
    </row>
    <row r="149" spans="1:50" hidden="1" x14ac:dyDescent="0.5">
      <c r="A149" s="16">
        <v>11</v>
      </c>
      <c r="B149" s="15"/>
      <c r="C149" s="20"/>
      <c r="D149" s="20"/>
      <c r="E149" s="19"/>
      <c r="F149" s="20"/>
      <c r="G149" s="20"/>
      <c r="H149" s="19"/>
      <c r="I149" s="20"/>
      <c r="J149" s="20"/>
      <c r="K149" s="20"/>
      <c r="L149" s="20"/>
      <c r="M149" s="20"/>
      <c r="N149" s="20"/>
      <c r="O149" s="20"/>
      <c r="P149" s="20"/>
      <c r="Q149" s="19"/>
      <c r="R149" s="20"/>
      <c r="S149" s="20"/>
      <c r="T149" s="19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>
        <f t="shared" si="39"/>
        <v>0</v>
      </c>
      <c r="AW149" s="19">
        <f t="shared" si="40"/>
        <v>0</v>
      </c>
      <c r="AX149" s="19">
        <f t="shared" si="41"/>
        <v>0</v>
      </c>
    </row>
    <row r="150" spans="1:50" hidden="1" x14ac:dyDescent="0.5">
      <c r="A150" s="16">
        <v>12</v>
      </c>
      <c r="B150" s="15"/>
      <c r="C150" s="20"/>
      <c r="D150" s="20"/>
      <c r="E150" s="19"/>
      <c r="F150" s="20"/>
      <c r="G150" s="20"/>
      <c r="H150" s="19"/>
      <c r="I150" s="20"/>
      <c r="J150" s="20"/>
      <c r="K150" s="20"/>
      <c r="L150" s="20"/>
      <c r="M150" s="20"/>
      <c r="N150" s="20"/>
      <c r="O150" s="20"/>
      <c r="P150" s="20"/>
      <c r="Q150" s="19"/>
      <c r="R150" s="20"/>
      <c r="S150" s="20"/>
      <c r="T150" s="19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>
        <f t="shared" si="39"/>
        <v>0</v>
      </c>
      <c r="AW150" s="19">
        <f t="shared" si="40"/>
        <v>0</v>
      </c>
      <c r="AX150" s="19">
        <f t="shared" si="41"/>
        <v>0</v>
      </c>
    </row>
    <row r="151" spans="1:50" hidden="1" x14ac:dyDescent="0.5">
      <c r="A151" s="16">
        <v>13</v>
      </c>
      <c r="B151" s="15"/>
      <c r="C151" s="20"/>
      <c r="D151" s="20"/>
      <c r="E151" s="19"/>
      <c r="F151" s="20"/>
      <c r="G151" s="20"/>
      <c r="H151" s="19"/>
      <c r="I151" s="20"/>
      <c r="J151" s="20"/>
      <c r="K151" s="20"/>
      <c r="L151" s="20"/>
      <c r="M151" s="20"/>
      <c r="N151" s="20"/>
      <c r="O151" s="20"/>
      <c r="P151" s="20"/>
      <c r="Q151" s="19"/>
      <c r="R151" s="20"/>
      <c r="S151" s="20"/>
      <c r="T151" s="19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>
        <f t="shared" si="39"/>
        <v>0</v>
      </c>
      <c r="AW151" s="19">
        <f t="shared" si="40"/>
        <v>0</v>
      </c>
      <c r="AX151" s="19">
        <f t="shared" si="41"/>
        <v>0</v>
      </c>
    </row>
    <row r="152" spans="1:50" hidden="1" x14ac:dyDescent="0.5">
      <c r="A152" s="16">
        <v>14</v>
      </c>
      <c r="B152" s="15"/>
      <c r="C152" s="20"/>
      <c r="D152" s="20"/>
      <c r="E152" s="19"/>
      <c r="F152" s="20"/>
      <c r="G152" s="20"/>
      <c r="H152" s="19"/>
      <c r="I152" s="20"/>
      <c r="J152" s="20"/>
      <c r="K152" s="20"/>
      <c r="L152" s="20"/>
      <c r="M152" s="20"/>
      <c r="N152" s="20"/>
      <c r="O152" s="20"/>
      <c r="P152" s="20"/>
      <c r="Q152" s="19"/>
      <c r="R152" s="20"/>
      <c r="S152" s="20"/>
      <c r="T152" s="19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>
        <f t="shared" si="39"/>
        <v>0</v>
      </c>
      <c r="AW152" s="19">
        <f t="shared" si="40"/>
        <v>0</v>
      </c>
      <c r="AX152" s="19">
        <f t="shared" si="41"/>
        <v>0</v>
      </c>
    </row>
    <row r="153" spans="1:50" hidden="1" x14ac:dyDescent="0.5">
      <c r="A153" s="16">
        <v>15</v>
      </c>
      <c r="B153" s="15"/>
      <c r="C153" s="20"/>
      <c r="D153" s="20"/>
      <c r="E153" s="19"/>
      <c r="F153" s="20"/>
      <c r="G153" s="20"/>
      <c r="H153" s="19"/>
      <c r="I153" s="20"/>
      <c r="J153" s="20"/>
      <c r="K153" s="20"/>
      <c r="L153" s="20"/>
      <c r="M153" s="20"/>
      <c r="N153" s="20"/>
      <c r="O153" s="20"/>
      <c r="P153" s="20"/>
      <c r="Q153" s="19"/>
      <c r="R153" s="20"/>
      <c r="S153" s="20"/>
      <c r="T153" s="19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>
        <f t="shared" si="39"/>
        <v>0</v>
      </c>
      <c r="AW153" s="19">
        <f t="shared" si="40"/>
        <v>0</v>
      </c>
      <c r="AX153" s="19">
        <f t="shared" si="41"/>
        <v>0</v>
      </c>
    </row>
    <row r="154" spans="1:50" hidden="1" x14ac:dyDescent="0.5">
      <c r="A154" s="16">
        <v>16</v>
      </c>
      <c r="B154" s="15"/>
      <c r="C154" s="20"/>
      <c r="D154" s="20"/>
      <c r="E154" s="19"/>
      <c r="F154" s="20"/>
      <c r="G154" s="20"/>
      <c r="H154" s="19"/>
      <c r="I154" s="20"/>
      <c r="J154" s="20"/>
      <c r="K154" s="20"/>
      <c r="L154" s="20"/>
      <c r="M154" s="20"/>
      <c r="N154" s="20"/>
      <c r="O154" s="20"/>
      <c r="P154" s="20"/>
      <c r="Q154" s="19"/>
      <c r="R154" s="20"/>
      <c r="S154" s="20"/>
      <c r="T154" s="19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>
        <f t="shared" si="39"/>
        <v>0</v>
      </c>
      <c r="AW154" s="19">
        <f t="shared" si="40"/>
        <v>0</v>
      </c>
      <c r="AX154" s="19">
        <f t="shared" si="41"/>
        <v>0</v>
      </c>
    </row>
    <row r="155" spans="1:50" hidden="1" x14ac:dyDescent="0.5">
      <c r="A155" s="16">
        <v>17</v>
      </c>
      <c r="B155" s="15"/>
      <c r="C155" s="20"/>
      <c r="D155" s="20"/>
      <c r="E155" s="19"/>
      <c r="F155" s="20"/>
      <c r="G155" s="20"/>
      <c r="H155" s="19"/>
      <c r="I155" s="20"/>
      <c r="J155" s="20"/>
      <c r="K155" s="20"/>
      <c r="L155" s="20"/>
      <c r="M155" s="20"/>
      <c r="N155" s="20"/>
      <c r="O155" s="20"/>
      <c r="P155" s="20"/>
      <c r="Q155" s="19"/>
      <c r="R155" s="20"/>
      <c r="S155" s="20"/>
      <c r="T155" s="19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>
        <f t="shared" si="39"/>
        <v>0</v>
      </c>
      <c r="AW155" s="19">
        <f t="shared" si="40"/>
        <v>0</v>
      </c>
      <c r="AX155" s="19">
        <f t="shared" si="41"/>
        <v>0</v>
      </c>
    </row>
    <row r="156" spans="1:50" hidden="1" x14ac:dyDescent="0.5">
      <c r="A156" s="16">
        <v>18</v>
      </c>
      <c r="B156" s="15"/>
      <c r="C156" s="20"/>
      <c r="D156" s="20"/>
      <c r="E156" s="19"/>
      <c r="F156" s="20"/>
      <c r="G156" s="20"/>
      <c r="H156" s="19"/>
      <c r="I156" s="20"/>
      <c r="J156" s="20"/>
      <c r="K156" s="20"/>
      <c r="L156" s="20"/>
      <c r="M156" s="20"/>
      <c r="N156" s="20"/>
      <c r="O156" s="20"/>
      <c r="P156" s="20"/>
      <c r="Q156" s="19"/>
      <c r="R156" s="20"/>
      <c r="S156" s="20"/>
      <c r="T156" s="19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>
        <f t="shared" si="39"/>
        <v>0</v>
      </c>
      <c r="AW156" s="19">
        <f t="shared" si="40"/>
        <v>0</v>
      </c>
      <c r="AX156" s="19">
        <f t="shared" si="41"/>
        <v>0</v>
      </c>
    </row>
    <row r="157" spans="1:50" hidden="1" x14ac:dyDescent="0.5">
      <c r="A157" s="16">
        <v>19</v>
      </c>
      <c r="B157" s="15"/>
      <c r="C157" s="20"/>
      <c r="D157" s="20"/>
      <c r="E157" s="19"/>
      <c r="F157" s="20"/>
      <c r="G157" s="20"/>
      <c r="H157" s="19"/>
      <c r="I157" s="20"/>
      <c r="J157" s="20"/>
      <c r="K157" s="20"/>
      <c r="L157" s="20"/>
      <c r="M157" s="20"/>
      <c r="N157" s="20"/>
      <c r="O157" s="20"/>
      <c r="P157" s="20"/>
      <c r="Q157" s="19"/>
      <c r="R157" s="20"/>
      <c r="S157" s="20"/>
      <c r="T157" s="19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>
        <f t="shared" si="39"/>
        <v>0</v>
      </c>
      <c r="AW157" s="19">
        <f t="shared" si="40"/>
        <v>0</v>
      </c>
      <c r="AX157" s="19">
        <f t="shared" si="41"/>
        <v>0</v>
      </c>
    </row>
    <row r="158" spans="1:50" hidden="1" x14ac:dyDescent="0.5">
      <c r="A158" s="16">
        <v>20</v>
      </c>
      <c r="B158" s="15"/>
      <c r="C158" s="20"/>
      <c r="D158" s="20"/>
      <c r="E158" s="19"/>
      <c r="F158" s="20"/>
      <c r="G158" s="20"/>
      <c r="H158" s="19"/>
      <c r="I158" s="20"/>
      <c r="J158" s="20"/>
      <c r="K158" s="20"/>
      <c r="L158" s="20"/>
      <c r="M158" s="20"/>
      <c r="N158" s="20"/>
      <c r="O158" s="20"/>
      <c r="P158" s="20"/>
      <c r="Q158" s="19"/>
      <c r="R158" s="20"/>
      <c r="S158" s="20"/>
      <c r="T158" s="19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>
        <f t="shared" si="39"/>
        <v>0</v>
      </c>
      <c r="AW158" s="19">
        <f t="shared" si="40"/>
        <v>0</v>
      </c>
      <c r="AX158" s="19">
        <f t="shared" si="41"/>
        <v>0</v>
      </c>
    </row>
    <row r="159" spans="1:50" hidden="1" x14ac:dyDescent="0.5">
      <c r="A159" s="16">
        <v>21</v>
      </c>
      <c r="B159" s="15"/>
      <c r="C159" s="20"/>
      <c r="D159" s="20"/>
      <c r="E159" s="19"/>
      <c r="F159" s="20"/>
      <c r="G159" s="20"/>
      <c r="H159" s="19"/>
      <c r="I159" s="20"/>
      <c r="J159" s="20"/>
      <c r="K159" s="20"/>
      <c r="L159" s="20"/>
      <c r="M159" s="20"/>
      <c r="N159" s="20"/>
      <c r="O159" s="20"/>
      <c r="P159" s="20"/>
      <c r="Q159" s="19"/>
      <c r="R159" s="20"/>
      <c r="S159" s="20"/>
      <c r="T159" s="19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>
        <f>C159+F159+I159+L159+O159+R159+U159+X159+AA159+AG159+AJ159+AM159+AP159+AS159</f>
        <v>0</v>
      </c>
      <c r="AW159" s="19">
        <f>D159+G159+J159+M159+P159+S159+V159+Y159+AB159+AH159+AK159+AN159+AQ159+AT159</f>
        <v>0</v>
      </c>
      <c r="AX159" s="19">
        <f>E159+H159+K159+N159+Q159+T159+W159+Z159+AC159+AI159+AL159+AO159+AR159+AU159</f>
        <v>0</v>
      </c>
    </row>
    <row r="160" spans="1:50" hidden="1" x14ac:dyDescent="0.5">
      <c r="A160" s="16">
        <v>22</v>
      </c>
      <c r="B160" s="15"/>
      <c r="C160" s="20"/>
      <c r="D160" s="20"/>
      <c r="E160" s="19"/>
      <c r="F160" s="20"/>
      <c r="G160" s="20"/>
      <c r="H160" s="19"/>
      <c r="I160" s="20"/>
      <c r="J160" s="20"/>
      <c r="K160" s="20"/>
      <c r="L160" s="20"/>
      <c r="M160" s="20"/>
      <c r="N160" s="20"/>
      <c r="O160" s="20"/>
      <c r="P160" s="20"/>
      <c r="Q160" s="19"/>
      <c r="R160" s="20"/>
      <c r="S160" s="20"/>
      <c r="T160" s="19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>
        <f t="shared" ref="AV160:AV161" si="45">C160+F160+I160+L160+O160+R160+U160+X160+AA160+AG160+AJ160+AM160+AP160+AS160</f>
        <v>0</v>
      </c>
      <c r="AW160" s="19">
        <f t="shared" ref="AW160:AW161" si="46">D160+G160+J160+M160+P160+S160+V160+Y160+AB160+AH160+AK160+AN160+AQ160+AT160</f>
        <v>0</v>
      </c>
      <c r="AX160" s="19">
        <f t="shared" ref="AX160:AX161" si="47">E160+H160+K160+N160+Q160+T160+W160+Z160+AC160+AI160+AL160+AO160+AR160+AU160</f>
        <v>0</v>
      </c>
    </row>
    <row r="161" spans="1:50" hidden="1" x14ac:dyDescent="0.5">
      <c r="A161" s="16">
        <v>23</v>
      </c>
      <c r="B161" s="15"/>
      <c r="C161" s="20"/>
      <c r="D161" s="20"/>
      <c r="E161" s="19"/>
      <c r="F161" s="20"/>
      <c r="G161" s="20"/>
      <c r="H161" s="19"/>
      <c r="I161" s="20"/>
      <c r="J161" s="20"/>
      <c r="K161" s="20"/>
      <c r="L161" s="20"/>
      <c r="M161" s="20"/>
      <c r="N161" s="20"/>
      <c r="O161" s="20"/>
      <c r="P161" s="20"/>
      <c r="Q161" s="19"/>
      <c r="R161" s="20"/>
      <c r="S161" s="20"/>
      <c r="T161" s="19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>
        <f t="shared" si="45"/>
        <v>0</v>
      </c>
      <c r="AW161" s="19">
        <f t="shared" si="46"/>
        <v>0</v>
      </c>
      <c r="AX161" s="19">
        <f t="shared" si="47"/>
        <v>0</v>
      </c>
    </row>
    <row r="162" spans="1:50" hidden="1" x14ac:dyDescent="0.5">
      <c r="A162" s="14"/>
      <c r="B162" s="13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8">
        <f>SUM(AA134:AA145)</f>
        <v>0</v>
      </c>
      <c r="AB162" s="18">
        <f>SUM(AB134:AB145)</f>
        <v>0</v>
      </c>
      <c r="AV162" s="182">
        <f>SUM(AV134:AV161)</f>
        <v>0</v>
      </c>
      <c r="AW162" s="182">
        <f>SUM(AW134:AW161)</f>
        <v>0</v>
      </c>
      <c r="AX162" s="182">
        <f t="shared" ref="AX162" si="48">SUM(AX134:AX161)</f>
        <v>0</v>
      </c>
    </row>
    <row r="163" spans="1:50" hidden="1" x14ac:dyDescent="0.5"/>
    <row r="164" spans="1:50" hidden="1" x14ac:dyDescent="0.5"/>
    <row r="165" spans="1:50" hidden="1" x14ac:dyDescent="0.5">
      <c r="A165" s="561" t="s">
        <v>381</v>
      </c>
      <c r="B165" s="561"/>
      <c r="C165" s="561"/>
      <c r="D165" s="561"/>
      <c r="E165" s="561"/>
      <c r="F165" s="561"/>
    </row>
    <row r="166" spans="1:50" hidden="1" x14ac:dyDescent="0.5">
      <c r="A166" s="561"/>
      <c r="B166" s="561"/>
      <c r="C166" s="561"/>
      <c r="D166" s="561"/>
      <c r="E166" s="561"/>
      <c r="F166" s="561"/>
    </row>
    <row r="167" spans="1:50" hidden="1" x14ac:dyDescent="0.5">
      <c r="A167" s="551" t="s">
        <v>118</v>
      </c>
      <c r="B167" s="552" t="s">
        <v>135</v>
      </c>
      <c r="C167" s="553"/>
      <c r="D167" s="553"/>
      <c r="E167" s="553"/>
      <c r="F167" s="553"/>
      <c r="G167" s="553"/>
      <c r="H167" s="553"/>
      <c r="I167" s="553"/>
      <c r="J167" s="553"/>
      <c r="K167" s="553"/>
      <c r="L167" s="553"/>
      <c r="M167" s="553"/>
      <c r="N167" s="553"/>
      <c r="O167" s="553"/>
      <c r="P167" s="553"/>
      <c r="Q167" s="553"/>
      <c r="R167" s="553"/>
      <c r="S167" s="553"/>
      <c r="T167" s="553"/>
      <c r="U167" s="553"/>
      <c r="V167" s="553"/>
      <c r="W167" s="553"/>
      <c r="X167" s="553"/>
      <c r="Y167" s="553"/>
      <c r="Z167" s="553"/>
      <c r="AA167" s="553"/>
      <c r="AB167" s="553"/>
      <c r="AC167" s="553"/>
      <c r="AD167" s="553"/>
      <c r="AE167" s="553"/>
      <c r="AF167" s="553"/>
      <c r="AG167" s="553"/>
      <c r="AH167" s="553"/>
      <c r="AI167" s="553"/>
      <c r="AJ167" s="553"/>
      <c r="AK167" s="553"/>
      <c r="AL167" s="553"/>
      <c r="AM167" s="553"/>
      <c r="AN167" s="553"/>
      <c r="AO167" s="553"/>
      <c r="AP167" s="553"/>
      <c r="AQ167" s="553"/>
      <c r="AR167" s="553"/>
      <c r="AS167" s="553"/>
      <c r="AT167" s="553"/>
      <c r="AU167" s="553"/>
      <c r="AV167" s="553"/>
      <c r="AW167" s="553"/>
      <c r="AX167" s="553"/>
    </row>
    <row r="168" spans="1:50" ht="20.100000000000001" hidden="1" customHeight="1" x14ac:dyDescent="0.5">
      <c r="A168" s="551"/>
      <c r="B168" s="552"/>
      <c r="C168" s="554" t="s">
        <v>124</v>
      </c>
      <c r="D168" s="555"/>
      <c r="E168" s="556"/>
      <c r="F168" s="554" t="s">
        <v>133</v>
      </c>
      <c r="G168" s="555"/>
      <c r="H168" s="556"/>
      <c r="I168" s="554" t="s">
        <v>132</v>
      </c>
      <c r="J168" s="555"/>
      <c r="K168" s="556"/>
      <c r="L168" s="554" t="s">
        <v>131</v>
      </c>
      <c r="M168" s="555"/>
      <c r="N168" s="556"/>
      <c r="O168" s="554" t="s">
        <v>130</v>
      </c>
      <c r="P168" s="555"/>
      <c r="Q168" s="556"/>
      <c r="R168" s="554" t="s">
        <v>129</v>
      </c>
      <c r="S168" s="555"/>
      <c r="T168" s="556"/>
      <c r="U168" s="554" t="s">
        <v>128</v>
      </c>
      <c r="V168" s="555"/>
      <c r="W168" s="556"/>
      <c r="X168" s="554" t="s">
        <v>127</v>
      </c>
      <c r="Y168" s="555"/>
      <c r="Z168" s="556"/>
      <c r="AA168" s="554" t="s">
        <v>126</v>
      </c>
      <c r="AB168" s="555"/>
      <c r="AC168" s="556"/>
      <c r="AD168" s="554" t="s">
        <v>378</v>
      </c>
      <c r="AE168" s="555"/>
      <c r="AF168" s="556"/>
      <c r="AG168" s="554" t="s">
        <v>125</v>
      </c>
      <c r="AH168" s="555"/>
      <c r="AI168" s="556"/>
      <c r="AJ168" s="554" t="s">
        <v>124</v>
      </c>
      <c r="AK168" s="555"/>
      <c r="AL168" s="556"/>
      <c r="AM168" s="554" t="s">
        <v>123</v>
      </c>
      <c r="AN168" s="555"/>
      <c r="AO168" s="556"/>
      <c r="AP168" s="554" t="s">
        <v>367</v>
      </c>
      <c r="AQ168" s="555"/>
      <c r="AR168" s="556"/>
      <c r="AS168" s="554" t="s">
        <v>368</v>
      </c>
      <c r="AT168" s="555"/>
      <c r="AU168" s="556"/>
      <c r="AV168" s="554" t="s">
        <v>122</v>
      </c>
      <c r="AW168" s="555"/>
      <c r="AX168" s="556"/>
    </row>
    <row r="169" spans="1:50" ht="20.100000000000001" hidden="1" customHeight="1" x14ac:dyDescent="0.5">
      <c r="A169" s="551"/>
      <c r="B169" s="552"/>
      <c r="C169" s="17" t="s">
        <v>109</v>
      </c>
      <c r="D169" s="17" t="s">
        <v>108</v>
      </c>
      <c r="E169" s="17" t="s">
        <v>348</v>
      </c>
      <c r="F169" s="17" t="s">
        <v>109</v>
      </c>
      <c r="G169" s="17" t="s">
        <v>108</v>
      </c>
      <c r="H169" s="17" t="s">
        <v>348</v>
      </c>
      <c r="I169" s="17" t="s">
        <v>109</v>
      </c>
      <c r="J169" s="17" t="s">
        <v>108</v>
      </c>
      <c r="K169" s="17" t="s">
        <v>348</v>
      </c>
      <c r="L169" s="17" t="s">
        <v>109</v>
      </c>
      <c r="M169" s="17" t="s">
        <v>108</v>
      </c>
      <c r="N169" s="17" t="s">
        <v>348</v>
      </c>
      <c r="O169" s="17" t="s">
        <v>109</v>
      </c>
      <c r="P169" s="17" t="s">
        <v>108</v>
      </c>
      <c r="Q169" s="17" t="s">
        <v>348</v>
      </c>
      <c r="R169" s="17" t="s">
        <v>109</v>
      </c>
      <c r="S169" s="17" t="s">
        <v>108</v>
      </c>
      <c r="T169" s="17" t="s">
        <v>348</v>
      </c>
      <c r="U169" s="17" t="s">
        <v>109</v>
      </c>
      <c r="V169" s="17" t="s">
        <v>108</v>
      </c>
      <c r="W169" s="17" t="s">
        <v>348</v>
      </c>
      <c r="X169" s="17" t="s">
        <v>109</v>
      </c>
      <c r="Y169" s="17" t="s">
        <v>108</v>
      </c>
      <c r="Z169" s="17" t="s">
        <v>348</v>
      </c>
      <c r="AA169" s="17" t="s">
        <v>109</v>
      </c>
      <c r="AB169" s="17" t="s">
        <v>108</v>
      </c>
      <c r="AC169" s="17" t="s">
        <v>348</v>
      </c>
      <c r="AD169" s="17"/>
      <c r="AE169" s="17"/>
      <c r="AF169" s="17"/>
      <c r="AG169" s="17" t="s">
        <v>109</v>
      </c>
      <c r="AH169" s="17" t="s">
        <v>108</v>
      </c>
      <c r="AI169" s="17" t="s">
        <v>348</v>
      </c>
      <c r="AJ169" s="17" t="s">
        <v>109</v>
      </c>
      <c r="AK169" s="17" t="s">
        <v>108</v>
      </c>
      <c r="AL169" s="17" t="s">
        <v>348</v>
      </c>
      <c r="AM169" s="17" t="s">
        <v>109</v>
      </c>
      <c r="AN169" s="17" t="s">
        <v>108</v>
      </c>
      <c r="AO169" s="17" t="s">
        <v>348</v>
      </c>
      <c r="AP169" s="17" t="s">
        <v>109</v>
      </c>
      <c r="AQ169" s="17" t="s">
        <v>108</v>
      </c>
      <c r="AR169" s="17" t="s">
        <v>348</v>
      </c>
      <c r="AS169" s="17" t="s">
        <v>109</v>
      </c>
      <c r="AT169" s="17" t="s">
        <v>108</v>
      </c>
      <c r="AU169" s="17" t="s">
        <v>348</v>
      </c>
      <c r="AV169" s="17" t="s">
        <v>109</v>
      </c>
      <c r="AW169" s="17" t="s">
        <v>108</v>
      </c>
      <c r="AX169" s="17" t="s">
        <v>348</v>
      </c>
    </row>
    <row r="170" spans="1:50" ht="20.100000000000001" hidden="1" customHeight="1" x14ac:dyDescent="0.5">
      <c r="A170" s="16">
        <v>1</v>
      </c>
      <c r="B170" s="15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>
        <f>C170+F170+I170+L170+O170+R170+U170+X170+AA170+AG170+AJ170+AM170+AP170+AS170</f>
        <v>0</v>
      </c>
      <c r="AW170" s="19">
        <f>D170+G170+J170+M170+P170+S170+V170+Y170+AB170+AH170+AK170+AN170+AQ170+AT170</f>
        <v>0</v>
      </c>
      <c r="AX170" s="19">
        <f>E170+H170+K170+N170+Q170+T170+W170+Z170+AC170+AI170+AL170+AO170+AR170+AU170</f>
        <v>0</v>
      </c>
    </row>
    <row r="171" spans="1:50" ht="20.100000000000001" hidden="1" customHeight="1" x14ac:dyDescent="0.5">
      <c r="A171" s="16">
        <v>2</v>
      </c>
      <c r="B171" s="15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21"/>
      <c r="P171" s="178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>
        <f t="shared" ref="AV171:AV194" si="49">C171+F171+I171+L171+O171+R171+U171+X171+AA171+AG171+AJ171+AM171</f>
        <v>0</v>
      </c>
      <c r="AW171" s="19">
        <f>D171+G171+J171+M171+P171+S171+V171+Y171+AB171+AH171+AK171+AN171+AE171</f>
        <v>0</v>
      </c>
      <c r="AX171" s="19">
        <f>E171+H171+K171+N171+Q171+T171+W171+Z171+AC171+AI171+AL171+AN171+AF171</f>
        <v>0</v>
      </c>
    </row>
    <row r="172" spans="1:50" ht="20.100000000000001" hidden="1" customHeight="1" x14ac:dyDescent="0.5">
      <c r="A172" s="16">
        <v>3</v>
      </c>
      <c r="B172" s="15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>
        <f t="shared" si="49"/>
        <v>0</v>
      </c>
      <c r="AW172" s="19">
        <f t="shared" ref="AW172:AW194" si="50">D172+G172+J172+M172+P172+S172+V172+Y172+AB172+AH172+AK172+AN172</f>
        <v>0</v>
      </c>
      <c r="AX172" s="19">
        <f t="shared" ref="AX172:AX194" si="51">E172+H172+K172+N172+Q172+T172+W172+Z172+AC172+AI172+AL172+AN172</f>
        <v>0</v>
      </c>
    </row>
    <row r="173" spans="1:50" ht="20.100000000000001" hidden="1" customHeight="1" x14ac:dyDescent="0.5">
      <c r="A173" s="16">
        <v>4</v>
      </c>
      <c r="B173" s="15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>
        <f t="shared" si="49"/>
        <v>0</v>
      </c>
      <c r="AW173" s="19">
        <f t="shared" si="50"/>
        <v>0</v>
      </c>
      <c r="AX173" s="19">
        <f t="shared" si="51"/>
        <v>0</v>
      </c>
    </row>
    <row r="174" spans="1:50" ht="20.100000000000001" hidden="1" customHeight="1" x14ac:dyDescent="0.5">
      <c r="A174" s="16">
        <v>5</v>
      </c>
      <c r="B174" s="15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>
        <f t="shared" si="49"/>
        <v>0</v>
      </c>
      <c r="AW174" s="19">
        <f t="shared" si="50"/>
        <v>0</v>
      </c>
      <c r="AX174" s="19">
        <f t="shared" si="51"/>
        <v>0</v>
      </c>
    </row>
    <row r="175" spans="1:50" ht="20.100000000000001" hidden="1" customHeight="1" x14ac:dyDescent="0.5">
      <c r="A175" s="16">
        <v>6</v>
      </c>
      <c r="B175" s="15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>
        <f t="shared" si="49"/>
        <v>0</v>
      </c>
      <c r="AW175" s="19">
        <f t="shared" si="50"/>
        <v>0</v>
      </c>
      <c r="AX175" s="19">
        <f t="shared" si="51"/>
        <v>0</v>
      </c>
    </row>
    <row r="176" spans="1:50" ht="20.100000000000001" hidden="1" customHeight="1" x14ac:dyDescent="0.5">
      <c r="A176" s="16">
        <v>7</v>
      </c>
      <c r="B176" s="15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>
        <f t="shared" si="49"/>
        <v>0</v>
      </c>
      <c r="AW176" s="19">
        <f t="shared" si="50"/>
        <v>0</v>
      </c>
      <c r="AX176" s="19">
        <f t="shared" si="51"/>
        <v>0</v>
      </c>
    </row>
    <row r="177" spans="1:50" ht="20.100000000000001" hidden="1" customHeight="1" x14ac:dyDescent="0.5">
      <c r="A177" s="16">
        <v>8</v>
      </c>
      <c r="B177" s="15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>
        <f t="shared" si="49"/>
        <v>0</v>
      </c>
      <c r="AW177" s="19">
        <f t="shared" si="50"/>
        <v>0</v>
      </c>
      <c r="AX177" s="19">
        <f t="shared" si="51"/>
        <v>0</v>
      </c>
    </row>
    <row r="178" spans="1:50" ht="20.100000000000001" hidden="1" customHeight="1" x14ac:dyDescent="0.5">
      <c r="A178" s="16">
        <v>9</v>
      </c>
      <c r="B178" s="15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>
        <f t="shared" si="49"/>
        <v>0</v>
      </c>
      <c r="AW178" s="19">
        <f t="shared" si="50"/>
        <v>0</v>
      </c>
      <c r="AX178" s="19">
        <f t="shared" si="51"/>
        <v>0</v>
      </c>
    </row>
    <row r="179" spans="1:50" ht="20.100000000000001" hidden="1" customHeight="1" x14ac:dyDescent="0.5">
      <c r="A179" s="16">
        <v>8</v>
      </c>
      <c r="B179" s="15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>
        <f t="shared" si="49"/>
        <v>0</v>
      </c>
      <c r="AW179" s="19">
        <f t="shared" si="50"/>
        <v>0</v>
      </c>
      <c r="AX179" s="19">
        <f t="shared" si="51"/>
        <v>0</v>
      </c>
    </row>
    <row r="180" spans="1:50" ht="20.100000000000001" hidden="1" customHeight="1" x14ac:dyDescent="0.5">
      <c r="A180" s="16">
        <v>7</v>
      </c>
      <c r="B180" s="15"/>
      <c r="C180" s="20"/>
      <c r="D180" s="20"/>
      <c r="E180" s="19"/>
      <c r="F180" s="20"/>
      <c r="G180" s="20"/>
      <c r="H180" s="19"/>
      <c r="I180" s="20"/>
      <c r="J180" s="20"/>
      <c r="K180" s="20"/>
      <c r="L180" s="20"/>
      <c r="M180" s="20"/>
      <c r="N180" s="20"/>
      <c r="O180" s="20"/>
      <c r="P180" s="20"/>
      <c r="Q180" s="19"/>
      <c r="R180" s="20"/>
      <c r="S180" s="20"/>
      <c r="T180" s="19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>
        <f t="shared" si="49"/>
        <v>0</v>
      </c>
      <c r="AW180" s="19">
        <f t="shared" si="50"/>
        <v>0</v>
      </c>
      <c r="AX180" s="19">
        <f t="shared" si="51"/>
        <v>0</v>
      </c>
    </row>
    <row r="181" spans="1:50" ht="20.100000000000001" hidden="1" customHeight="1" x14ac:dyDescent="0.5">
      <c r="A181" s="16">
        <v>8</v>
      </c>
      <c r="B181" s="15"/>
      <c r="C181" s="20"/>
      <c r="D181" s="20"/>
      <c r="E181" s="19"/>
      <c r="F181" s="20"/>
      <c r="G181" s="20"/>
      <c r="H181" s="19"/>
      <c r="I181" s="20"/>
      <c r="J181" s="20"/>
      <c r="K181" s="20"/>
      <c r="L181" s="20"/>
      <c r="M181" s="20"/>
      <c r="N181" s="20"/>
      <c r="O181" s="20"/>
      <c r="P181" s="20"/>
      <c r="Q181" s="19"/>
      <c r="R181" s="20"/>
      <c r="S181" s="20"/>
      <c r="T181" s="19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>
        <f t="shared" si="49"/>
        <v>0</v>
      </c>
      <c r="AW181" s="19">
        <f t="shared" si="50"/>
        <v>0</v>
      </c>
      <c r="AX181" s="19">
        <f t="shared" si="51"/>
        <v>0</v>
      </c>
    </row>
    <row r="182" spans="1:50" ht="20.100000000000001" hidden="1" customHeight="1" x14ac:dyDescent="0.5">
      <c r="A182" s="16">
        <v>9</v>
      </c>
      <c r="B182" s="15"/>
      <c r="C182" s="20"/>
      <c r="D182" s="20"/>
      <c r="E182" s="19"/>
      <c r="F182" s="20"/>
      <c r="G182" s="20"/>
      <c r="H182" s="19"/>
      <c r="I182" s="20"/>
      <c r="J182" s="20"/>
      <c r="K182" s="20"/>
      <c r="L182" s="20"/>
      <c r="M182" s="20"/>
      <c r="N182" s="20"/>
      <c r="O182" s="20"/>
      <c r="P182" s="20"/>
      <c r="Q182" s="19"/>
      <c r="R182" s="20"/>
      <c r="S182" s="20"/>
      <c r="T182" s="19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>
        <f t="shared" si="49"/>
        <v>0</v>
      </c>
      <c r="AW182" s="19">
        <f t="shared" si="50"/>
        <v>0</v>
      </c>
      <c r="AX182" s="19">
        <f t="shared" si="51"/>
        <v>0</v>
      </c>
    </row>
    <row r="183" spans="1:50" ht="20.100000000000001" hidden="1" customHeight="1" x14ac:dyDescent="0.5">
      <c r="A183" s="16">
        <v>11</v>
      </c>
      <c r="B183" s="15"/>
      <c r="C183" s="20"/>
      <c r="D183" s="20"/>
      <c r="E183" s="19"/>
      <c r="F183" s="20"/>
      <c r="G183" s="20"/>
      <c r="H183" s="19"/>
      <c r="I183" s="20"/>
      <c r="J183" s="20"/>
      <c r="K183" s="20"/>
      <c r="L183" s="20"/>
      <c r="M183" s="20"/>
      <c r="N183" s="20"/>
      <c r="O183" s="20"/>
      <c r="P183" s="20"/>
      <c r="Q183" s="19"/>
      <c r="R183" s="20"/>
      <c r="S183" s="20"/>
      <c r="T183" s="19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>
        <f t="shared" si="49"/>
        <v>0</v>
      </c>
      <c r="AW183" s="19">
        <f t="shared" si="50"/>
        <v>0</v>
      </c>
      <c r="AX183" s="19">
        <f t="shared" si="51"/>
        <v>0</v>
      </c>
    </row>
    <row r="184" spans="1:50" ht="20.100000000000001" hidden="1" customHeight="1" x14ac:dyDescent="0.5">
      <c r="A184" s="16">
        <v>10</v>
      </c>
      <c r="B184" s="15"/>
      <c r="C184" s="20"/>
      <c r="D184" s="20"/>
      <c r="E184" s="19"/>
      <c r="F184" s="20"/>
      <c r="G184" s="20"/>
      <c r="H184" s="19"/>
      <c r="I184" s="20"/>
      <c r="J184" s="20"/>
      <c r="K184" s="20"/>
      <c r="L184" s="20"/>
      <c r="M184" s="20"/>
      <c r="N184" s="20"/>
      <c r="O184" s="20"/>
      <c r="P184" s="20"/>
      <c r="Q184" s="19"/>
      <c r="R184" s="20"/>
      <c r="S184" s="20"/>
      <c r="T184" s="19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>
        <f t="shared" si="49"/>
        <v>0</v>
      </c>
      <c r="AW184" s="19">
        <f t="shared" si="50"/>
        <v>0</v>
      </c>
      <c r="AX184" s="19">
        <f t="shared" si="51"/>
        <v>0</v>
      </c>
    </row>
    <row r="185" spans="1:50" ht="20.100000000000001" hidden="1" customHeight="1" x14ac:dyDescent="0.5">
      <c r="A185" s="16">
        <v>11</v>
      </c>
      <c r="B185" s="15"/>
      <c r="C185" s="20"/>
      <c r="D185" s="20"/>
      <c r="E185" s="19"/>
      <c r="F185" s="20"/>
      <c r="G185" s="20"/>
      <c r="H185" s="19"/>
      <c r="I185" s="20"/>
      <c r="J185" s="20"/>
      <c r="K185" s="20"/>
      <c r="L185" s="20"/>
      <c r="M185" s="20"/>
      <c r="N185" s="20"/>
      <c r="O185" s="20"/>
      <c r="P185" s="20"/>
      <c r="Q185" s="19"/>
      <c r="R185" s="20"/>
      <c r="S185" s="20"/>
      <c r="T185" s="19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>
        <f t="shared" si="49"/>
        <v>0</v>
      </c>
      <c r="AW185" s="19">
        <f t="shared" si="50"/>
        <v>0</v>
      </c>
      <c r="AX185" s="19">
        <f t="shared" si="51"/>
        <v>0</v>
      </c>
    </row>
    <row r="186" spans="1:50" ht="20.100000000000001" hidden="1" customHeight="1" x14ac:dyDescent="0.5">
      <c r="A186" s="16">
        <v>12</v>
      </c>
      <c r="B186" s="15"/>
      <c r="C186" s="20"/>
      <c r="D186" s="20"/>
      <c r="E186" s="19"/>
      <c r="F186" s="20"/>
      <c r="G186" s="20"/>
      <c r="H186" s="19"/>
      <c r="I186" s="20"/>
      <c r="J186" s="20"/>
      <c r="K186" s="20"/>
      <c r="L186" s="20"/>
      <c r="M186" s="20"/>
      <c r="N186" s="20"/>
      <c r="O186" s="20"/>
      <c r="P186" s="20"/>
      <c r="Q186" s="19"/>
      <c r="R186" s="20"/>
      <c r="S186" s="20"/>
      <c r="T186" s="19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>
        <f t="shared" si="49"/>
        <v>0</v>
      </c>
      <c r="AW186" s="19">
        <f t="shared" si="50"/>
        <v>0</v>
      </c>
      <c r="AX186" s="19">
        <f t="shared" si="51"/>
        <v>0</v>
      </c>
    </row>
    <row r="187" spans="1:50" ht="20.100000000000001" hidden="1" customHeight="1" x14ac:dyDescent="0.5">
      <c r="A187" s="16">
        <v>13</v>
      </c>
      <c r="B187" s="15"/>
      <c r="C187" s="20"/>
      <c r="D187" s="20"/>
      <c r="E187" s="19"/>
      <c r="F187" s="20"/>
      <c r="G187" s="20"/>
      <c r="H187" s="19"/>
      <c r="I187" s="20"/>
      <c r="J187" s="20"/>
      <c r="K187" s="20"/>
      <c r="L187" s="20"/>
      <c r="M187" s="20"/>
      <c r="N187" s="20"/>
      <c r="O187" s="20"/>
      <c r="P187" s="20"/>
      <c r="Q187" s="19"/>
      <c r="R187" s="20"/>
      <c r="S187" s="20"/>
      <c r="T187" s="19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>
        <f t="shared" si="49"/>
        <v>0</v>
      </c>
      <c r="AW187" s="19">
        <f t="shared" si="50"/>
        <v>0</v>
      </c>
      <c r="AX187" s="19">
        <f t="shared" si="51"/>
        <v>0</v>
      </c>
    </row>
    <row r="188" spans="1:50" ht="20.100000000000001" hidden="1" customHeight="1" x14ac:dyDescent="0.5">
      <c r="A188" s="16">
        <v>14</v>
      </c>
      <c r="B188" s="15"/>
      <c r="C188" s="20"/>
      <c r="D188" s="20"/>
      <c r="E188" s="19"/>
      <c r="F188" s="20"/>
      <c r="G188" s="20"/>
      <c r="H188" s="19"/>
      <c r="I188" s="20"/>
      <c r="J188" s="20"/>
      <c r="K188" s="20"/>
      <c r="L188" s="20"/>
      <c r="M188" s="20"/>
      <c r="N188" s="20"/>
      <c r="O188" s="20"/>
      <c r="P188" s="20"/>
      <c r="Q188" s="19"/>
      <c r="R188" s="20"/>
      <c r="S188" s="20"/>
      <c r="T188" s="19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>
        <f t="shared" si="49"/>
        <v>0</v>
      </c>
      <c r="AW188" s="19">
        <f t="shared" si="50"/>
        <v>0</v>
      </c>
      <c r="AX188" s="19">
        <f t="shared" si="51"/>
        <v>0</v>
      </c>
    </row>
    <row r="189" spans="1:50" ht="20.100000000000001" hidden="1" customHeight="1" x14ac:dyDescent="0.5">
      <c r="A189" s="16">
        <v>15</v>
      </c>
      <c r="B189" s="15"/>
      <c r="C189" s="20"/>
      <c r="D189" s="20"/>
      <c r="E189" s="19"/>
      <c r="F189" s="20"/>
      <c r="G189" s="20"/>
      <c r="H189" s="19"/>
      <c r="I189" s="20"/>
      <c r="J189" s="20"/>
      <c r="K189" s="20"/>
      <c r="L189" s="20"/>
      <c r="M189" s="20"/>
      <c r="N189" s="20"/>
      <c r="O189" s="20"/>
      <c r="P189" s="20"/>
      <c r="Q189" s="19"/>
      <c r="R189" s="20"/>
      <c r="S189" s="20"/>
      <c r="T189" s="19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>
        <f t="shared" si="49"/>
        <v>0</v>
      </c>
      <c r="AW189" s="19">
        <f t="shared" si="50"/>
        <v>0</v>
      </c>
      <c r="AX189" s="19">
        <f t="shared" si="51"/>
        <v>0</v>
      </c>
    </row>
    <row r="190" spans="1:50" ht="20.100000000000001" hidden="1" customHeight="1" x14ac:dyDescent="0.5">
      <c r="A190" s="16">
        <v>16</v>
      </c>
      <c r="B190" s="15"/>
      <c r="C190" s="20"/>
      <c r="D190" s="20"/>
      <c r="E190" s="19"/>
      <c r="F190" s="20"/>
      <c r="G190" s="20"/>
      <c r="H190" s="19"/>
      <c r="I190" s="20"/>
      <c r="J190" s="20"/>
      <c r="K190" s="20"/>
      <c r="L190" s="20"/>
      <c r="M190" s="20"/>
      <c r="N190" s="20"/>
      <c r="O190" s="20"/>
      <c r="P190" s="20"/>
      <c r="Q190" s="19"/>
      <c r="R190" s="20"/>
      <c r="S190" s="20"/>
      <c r="T190" s="19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>
        <f t="shared" si="49"/>
        <v>0</v>
      </c>
      <c r="AW190" s="19">
        <f t="shared" si="50"/>
        <v>0</v>
      </c>
      <c r="AX190" s="19">
        <f t="shared" si="51"/>
        <v>0</v>
      </c>
    </row>
    <row r="191" spans="1:50" ht="20.100000000000001" hidden="1" customHeight="1" x14ac:dyDescent="0.5">
      <c r="A191" s="16">
        <v>17</v>
      </c>
      <c r="B191" s="15"/>
      <c r="C191" s="20"/>
      <c r="D191" s="20"/>
      <c r="E191" s="19"/>
      <c r="F191" s="20"/>
      <c r="G191" s="20"/>
      <c r="H191" s="19"/>
      <c r="I191" s="20"/>
      <c r="J191" s="20"/>
      <c r="K191" s="20"/>
      <c r="L191" s="20"/>
      <c r="M191" s="20"/>
      <c r="N191" s="20"/>
      <c r="O191" s="20"/>
      <c r="P191" s="20"/>
      <c r="Q191" s="19"/>
      <c r="R191" s="20"/>
      <c r="S191" s="20"/>
      <c r="T191" s="19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>
        <f t="shared" si="49"/>
        <v>0</v>
      </c>
      <c r="AW191" s="19">
        <f t="shared" si="50"/>
        <v>0</v>
      </c>
      <c r="AX191" s="19">
        <f t="shared" si="51"/>
        <v>0</v>
      </c>
    </row>
    <row r="192" spans="1:50" ht="20.100000000000001" hidden="1" customHeight="1" x14ac:dyDescent="0.5">
      <c r="A192" s="16">
        <v>18</v>
      </c>
      <c r="B192" s="15"/>
      <c r="C192" s="20"/>
      <c r="D192" s="20"/>
      <c r="E192" s="19"/>
      <c r="F192" s="20"/>
      <c r="G192" s="20"/>
      <c r="H192" s="19"/>
      <c r="I192" s="20"/>
      <c r="J192" s="20"/>
      <c r="K192" s="20"/>
      <c r="L192" s="20"/>
      <c r="M192" s="20"/>
      <c r="N192" s="20"/>
      <c r="O192" s="20"/>
      <c r="P192" s="20"/>
      <c r="Q192" s="19"/>
      <c r="R192" s="20"/>
      <c r="S192" s="20"/>
      <c r="T192" s="19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>
        <f t="shared" si="49"/>
        <v>0</v>
      </c>
      <c r="AW192" s="19">
        <f t="shared" si="50"/>
        <v>0</v>
      </c>
      <c r="AX192" s="19">
        <f t="shared" si="51"/>
        <v>0</v>
      </c>
    </row>
    <row r="193" spans="1:50" ht="20.100000000000001" hidden="1" customHeight="1" x14ac:dyDescent="0.5">
      <c r="A193" s="16">
        <v>19</v>
      </c>
      <c r="B193" s="15"/>
      <c r="C193" s="20"/>
      <c r="D193" s="20"/>
      <c r="E193" s="19"/>
      <c r="F193" s="20"/>
      <c r="G193" s="20"/>
      <c r="H193" s="19"/>
      <c r="I193" s="20"/>
      <c r="J193" s="20"/>
      <c r="K193" s="20"/>
      <c r="L193" s="20"/>
      <c r="M193" s="20"/>
      <c r="N193" s="20"/>
      <c r="O193" s="20"/>
      <c r="P193" s="20"/>
      <c r="Q193" s="19"/>
      <c r="R193" s="20"/>
      <c r="S193" s="20"/>
      <c r="T193" s="19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>
        <f t="shared" si="49"/>
        <v>0</v>
      </c>
      <c r="AW193" s="19">
        <f t="shared" si="50"/>
        <v>0</v>
      </c>
      <c r="AX193" s="19">
        <f t="shared" si="51"/>
        <v>0</v>
      </c>
    </row>
    <row r="194" spans="1:50" ht="20.100000000000001" hidden="1" customHeight="1" x14ac:dyDescent="0.5">
      <c r="A194" s="16">
        <v>20</v>
      </c>
      <c r="B194" s="15"/>
      <c r="C194" s="20"/>
      <c r="D194" s="20"/>
      <c r="E194" s="19"/>
      <c r="F194" s="20"/>
      <c r="G194" s="20"/>
      <c r="H194" s="19"/>
      <c r="I194" s="20"/>
      <c r="J194" s="20"/>
      <c r="K194" s="20"/>
      <c r="L194" s="20"/>
      <c r="M194" s="20"/>
      <c r="N194" s="20"/>
      <c r="O194" s="20"/>
      <c r="P194" s="20"/>
      <c r="Q194" s="19"/>
      <c r="R194" s="20"/>
      <c r="S194" s="20"/>
      <c r="T194" s="19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>
        <f t="shared" si="49"/>
        <v>0</v>
      </c>
      <c r="AW194" s="19">
        <f t="shared" si="50"/>
        <v>0</v>
      </c>
      <c r="AX194" s="19">
        <f t="shared" si="51"/>
        <v>0</v>
      </c>
    </row>
    <row r="195" spans="1:50" ht="20.100000000000001" hidden="1" customHeight="1" x14ac:dyDescent="0.5">
      <c r="A195" s="16">
        <v>21</v>
      </c>
      <c r="B195" s="15"/>
      <c r="C195" s="20"/>
      <c r="D195" s="20"/>
      <c r="E195" s="19"/>
      <c r="F195" s="20"/>
      <c r="G195" s="20"/>
      <c r="H195" s="19"/>
      <c r="I195" s="20"/>
      <c r="J195" s="20"/>
      <c r="K195" s="20"/>
      <c r="L195" s="20"/>
      <c r="M195" s="20"/>
      <c r="N195" s="20"/>
      <c r="O195" s="20"/>
      <c r="P195" s="20"/>
      <c r="Q195" s="19"/>
      <c r="R195" s="20"/>
      <c r="S195" s="20"/>
      <c r="T195" s="19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>
        <f>C195+F195+I195+L195+O195+R195+U195+X195+AA195+AG195+AJ195+AM195+AP195+AS195</f>
        <v>0</v>
      </c>
      <c r="AW195" s="19">
        <f>D195+G195+J195+M195+P195+S195+V195+Y195+AB195+AH195+AK195+AN195+AQ195+AT195</f>
        <v>0</v>
      </c>
      <c r="AX195" s="19">
        <f>E195+H195+K195+N195+Q195+T195+W195+Z195+AC195+AI195+AL195+AO195+AR195+AU195</f>
        <v>0</v>
      </c>
    </row>
    <row r="196" spans="1:50" ht="20.100000000000001" hidden="1" customHeight="1" x14ac:dyDescent="0.5">
      <c r="A196" s="16">
        <v>22</v>
      </c>
      <c r="B196" s="15"/>
      <c r="C196" s="20"/>
      <c r="D196" s="20"/>
      <c r="E196" s="19"/>
      <c r="F196" s="20"/>
      <c r="G196" s="20"/>
      <c r="H196" s="19"/>
      <c r="I196" s="20"/>
      <c r="J196" s="20"/>
      <c r="K196" s="20"/>
      <c r="L196" s="20"/>
      <c r="M196" s="20"/>
      <c r="N196" s="20"/>
      <c r="O196" s="20"/>
      <c r="P196" s="20"/>
      <c r="Q196" s="19"/>
      <c r="R196" s="20"/>
      <c r="S196" s="20"/>
      <c r="T196" s="19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>
        <f t="shared" ref="AV196:AV197" si="52">C196+F196+I196+L196+O196+R196+U196+X196+AA196+AG196+AJ196+AM196+AP196+AS196</f>
        <v>0</v>
      </c>
      <c r="AW196" s="19">
        <f t="shared" ref="AW196:AW197" si="53">D196+G196+J196+M196+P196+S196+V196+Y196+AB196+AH196+AK196+AN196+AQ196+AT196</f>
        <v>0</v>
      </c>
      <c r="AX196" s="19">
        <f t="shared" ref="AX196:AX197" si="54">E196+H196+K196+N196+Q196+T196+W196+Z196+AC196+AI196+AL196+AO196+AR196+AU196</f>
        <v>0</v>
      </c>
    </row>
    <row r="197" spans="1:50" ht="20.100000000000001" hidden="1" customHeight="1" x14ac:dyDescent="0.5">
      <c r="A197" s="16">
        <v>23</v>
      </c>
      <c r="B197" s="15"/>
      <c r="C197" s="20"/>
      <c r="D197" s="20"/>
      <c r="E197" s="19"/>
      <c r="F197" s="20"/>
      <c r="G197" s="20"/>
      <c r="H197" s="19"/>
      <c r="I197" s="20"/>
      <c r="J197" s="20"/>
      <c r="K197" s="20"/>
      <c r="L197" s="20"/>
      <c r="M197" s="20"/>
      <c r="N197" s="20"/>
      <c r="O197" s="20"/>
      <c r="P197" s="20"/>
      <c r="Q197" s="19"/>
      <c r="R197" s="20"/>
      <c r="S197" s="20"/>
      <c r="T197" s="19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>
        <f t="shared" si="52"/>
        <v>0</v>
      </c>
      <c r="AW197" s="19">
        <f t="shared" si="53"/>
        <v>0</v>
      </c>
      <c r="AX197" s="19">
        <f t="shared" si="54"/>
        <v>0</v>
      </c>
    </row>
    <row r="198" spans="1:50" ht="20.100000000000001" hidden="1" customHeight="1" x14ac:dyDescent="0.5">
      <c r="A198" s="14"/>
      <c r="B198" s="13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8">
        <f>SUM(AA170:AA181)</f>
        <v>0</v>
      </c>
      <c r="AB198" s="18">
        <f>SUM(AB170:AB181)</f>
        <v>0</v>
      </c>
      <c r="AV198" s="182">
        <f>SUM(AV170:AV197)</f>
        <v>0</v>
      </c>
      <c r="AW198" s="182">
        <f>SUM(AW170:AW197)</f>
        <v>0</v>
      </c>
      <c r="AX198" s="182">
        <f t="shared" ref="AX198" si="55">SUM(AX170:AX197)</f>
        <v>0</v>
      </c>
    </row>
    <row r="199" spans="1:50" hidden="1" x14ac:dyDescent="0.5"/>
    <row r="200" spans="1:50" hidden="1" x14ac:dyDescent="0.5"/>
    <row r="201" spans="1:50" hidden="1" x14ac:dyDescent="0.5">
      <c r="A201" s="550" t="s">
        <v>382</v>
      </c>
      <c r="B201" s="550"/>
    </row>
    <row r="202" spans="1:50" hidden="1" x14ac:dyDescent="0.5"/>
    <row r="203" spans="1:50" hidden="1" x14ac:dyDescent="0.5">
      <c r="A203" s="551" t="s">
        <v>118</v>
      </c>
      <c r="B203" s="552" t="s">
        <v>135</v>
      </c>
      <c r="C203" s="553"/>
      <c r="D203" s="553"/>
      <c r="E203" s="553"/>
      <c r="F203" s="553"/>
      <c r="G203" s="553"/>
      <c r="H203" s="553"/>
      <c r="I203" s="553"/>
      <c r="J203" s="553"/>
      <c r="K203" s="553"/>
      <c r="L203" s="553"/>
      <c r="M203" s="553"/>
      <c r="N203" s="553"/>
      <c r="O203" s="553"/>
      <c r="P203" s="553"/>
      <c r="Q203" s="553"/>
      <c r="R203" s="553"/>
      <c r="S203" s="553"/>
      <c r="T203" s="553"/>
      <c r="U203" s="553"/>
      <c r="V203" s="553"/>
      <c r="W203" s="553"/>
      <c r="X203" s="553"/>
      <c r="Y203" s="553"/>
      <c r="Z203" s="553"/>
      <c r="AA203" s="553"/>
      <c r="AB203" s="553"/>
      <c r="AC203" s="553"/>
      <c r="AD203" s="553"/>
      <c r="AE203" s="553"/>
      <c r="AF203" s="553"/>
      <c r="AG203" s="553"/>
      <c r="AH203" s="553"/>
      <c r="AI203" s="553"/>
      <c r="AJ203" s="553"/>
      <c r="AK203" s="553"/>
      <c r="AL203" s="553"/>
      <c r="AM203" s="553"/>
      <c r="AN203" s="553"/>
      <c r="AO203" s="553"/>
      <c r="AP203" s="553"/>
      <c r="AQ203" s="553"/>
      <c r="AR203" s="553"/>
      <c r="AS203" s="553"/>
      <c r="AT203" s="553"/>
      <c r="AU203" s="553"/>
      <c r="AV203" s="553"/>
      <c r="AW203" s="553"/>
      <c r="AX203" s="553"/>
    </row>
    <row r="204" spans="1:50" ht="20.100000000000001" hidden="1" customHeight="1" x14ac:dyDescent="0.5">
      <c r="A204" s="551"/>
      <c r="B204" s="552"/>
      <c r="C204" s="554" t="s">
        <v>124</v>
      </c>
      <c r="D204" s="555"/>
      <c r="E204" s="556"/>
      <c r="F204" s="554" t="s">
        <v>133</v>
      </c>
      <c r="G204" s="555"/>
      <c r="H204" s="556"/>
      <c r="I204" s="554" t="s">
        <v>132</v>
      </c>
      <c r="J204" s="555"/>
      <c r="K204" s="556"/>
      <c r="L204" s="554" t="s">
        <v>131</v>
      </c>
      <c r="M204" s="555"/>
      <c r="N204" s="556"/>
      <c r="O204" s="554" t="s">
        <v>130</v>
      </c>
      <c r="P204" s="555"/>
      <c r="Q204" s="556"/>
      <c r="R204" s="554" t="s">
        <v>129</v>
      </c>
      <c r="S204" s="555"/>
      <c r="T204" s="556"/>
      <c r="U204" s="554" t="s">
        <v>128</v>
      </c>
      <c r="V204" s="555"/>
      <c r="W204" s="556"/>
      <c r="X204" s="554" t="s">
        <v>127</v>
      </c>
      <c r="Y204" s="555"/>
      <c r="Z204" s="556"/>
      <c r="AA204" s="554" t="s">
        <v>126</v>
      </c>
      <c r="AB204" s="555"/>
      <c r="AC204" s="556"/>
      <c r="AD204" s="554" t="s">
        <v>378</v>
      </c>
      <c r="AE204" s="555"/>
      <c r="AF204" s="556"/>
      <c r="AG204" s="554" t="s">
        <v>125</v>
      </c>
      <c r="AH204" s="555"/>
      <c r="AI204" s="556"/>
      <c r="AJ204" s="554" t="s">
        <v>124</v>
      </c>
      <c r="AK204" s="555"/>
      <c r="AL204" s="556"/>
      <c r="AM204" s="554" t="s">
        <v>123</v>
      </c>
      <c r="AN204" s="555"/>
      <c r="AO204" s="556"/>
      <c r="AP204" s="554" t="s">
        <v>367</v>
      </c>
      <c r="AQ204" s="555"/>
      <c r="AR204" s="556"/>
      <c r="AS204" s="554" t="s">
        <v>368</v>
      </c>
      <c r="AT204" s="555"/>
      <c r="AU204" s="556"/>
      <c r="AV204" s="554" t="s">
        <v>122</v>
      </c>
      <c r="AW204" s="555"/>
      <c r="AX204" s="556"/>
    </row>
    <row r="205" spans="1:50" ht="20.100000000000001" hidden="1" customHeight="1" x14ac:dyDescent="0.5">
      <c r="A205" s="551"/>
      <c r="B205" s="552"/>
      <c r="C205" s="17" t="s">
        <v>109</v>
      </c>
      <c r="D205" s="17" t="s">
        <v>108</v>
      </c>
      <c r="E205" s="17" t="s">
        <v>348</v>
      </c>
      <c r="F205" s="17" t="s">
        <v>109</v>
      </c>
      <c r="G205" s="17" t="s">
        <v>108</v>
      </c>
      <c r="H205" s="17" t="s">
        <v>348</v>
      </c>
      <c r="I205" s="17" t="s">
        <v>109</v>
      </c>
      <c r="J205" s="17" t="s">
        <v>108</v>
      </c>
      <c r="K205" s="17" t="s">
        <v>348</v>
      </c>
      <c r="L205" s="17" t="s">
        <v>109</v>
      </c>
      <c r="M205" s="17" t="s">
        <v>108</v>
      </c>
      <c r="N205" s="17" t="s">
        <v>348</v>
      </c>
      <c r="O205" s="17" t="s">
        <v>109</v>
      </c>
      <c r="P205" s="17" t="s">
        <v>108</v>
      </c>
      <c r="Q205" s="17" t="s">
        <v>348</v>
      </c>
      <c r="R205" s="17" t="s">
        <v>109</v>
      </c>
      <c r="S205" s="17" t="s">
        <v>108</v>
      </c>
      <c r="T205" s="17" t="s">
        <v>348</v>
      </c>
      <c r="U205" s="17" t="s">
        <v>109</v>
      </c>
      <c r="V205" s="17" t="s">
        <v>108</v>
      </c>
      <c r="W205" s="17" t="s">
        <v>348</v>
      </c>
      <c r="X205" s="17" t="s">
        <v>109</v>
      </c>
      <c r="Y205" s="17" t="s">
        <v>108</v>
      </c>
      <c r="Z205" s="17" t="s">
        <v>348</v>
      </c>
      <c r="AA205" s="17" t="s">
        <v>109</v>
      </c>
      <c r="AB205" s="17" t="s">
        <v>108</v>
      </c>
      <c r="AC205" s="17" t="s">
        <v>348</v>
      </c>
      <c r="AD205" s="17"/>
      <c r="AE205" s="17"/>
      <c r="AF205" s="17"/>
      <c r="AG205" s="17" t="s">
        <v>109</v>
      </c>
      <c r="AH205" s="17" t="s">
        <v>108</v>
      </c>
      <c r="AI205" s="17" t="s">
        <v>348</v>
      </c>
      <c r="AJ205" s="17" t="s">
        <v>109</v>
      </c>
      <c r="AK205" s="17" t="s">
        <v>108</v>
      </c>
      <c r="AL205" s="17" t="s">
        <v>348</v>
      </c>
      <c r="AM205" s="17" t="s">
        <v>109</v>
      </c>
      <c r="AN205" s="17" t="s">
        <v>108</v>
      </c>
      <c r="AO205" s="17" t="s">
        <v>348</v>
      </c>
      <c r="AP205" s="17" t="s">
        <v>109</v>
      </c>
      <c r="AQ205" s="17" t="s">
        <v>108</v>
      </c>
      <c r="AR205" s="17" t="s">
        <v>348</v>
      </c>
      <c r="AS205" s="17" t="s">
        <v>109</v>
      </c>
      <c r="AT205" s="17" t="s">
        <v>108</v>
      </c>
      <c r="AU205" s="17" t="s">
        <v>348</v>
      </c>
      <c r="AV205" s="17" t="s">
        <v>109</v>
      </c>
      <c r="AW205" s="17" t="s">
        <v>108</v>
      </c>
      <c r="AX205" s="17" t="s">
        <v>348</v>
      </c>
    </row>
    <row r="206" spans="1:50" ht="20.100000000000001" hidden="1" customHeight="1" x14ac:dyDescent="0.5">
      <c r="A206" s="16"/>
      <c r="B206" s="15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>
        <f>C206+F206+I206+L206+O206+R206+U206+X206+AA206+AG206+AJ206+AM206+AP206+AS206</f>
        <v>0</v>
      </c>
      <c r="AW206" s="19">
        <f>D206+G206+J206+M206+P206+S206+V206+Y206+AB206+AH206+AK206+AN206+AQ206+AT206</f>
        <v>0</v>
      </c>
      <c r="AX206" s="19">
        <f>E206+H206+K206+N206+Q206+T206+W206+Z206+AC206+AI206+AL206+AO206+AR206+AU206</f>
        <v>0</v>
      </c>
    </row>
    <row r="207" spans="1:50" ht="20.100000000000001" hidden="1" customHeight="1" x14ac:dyDescent="0.5">
      <c r="A207" s="16"/>
      <c r="B207" s="15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21"/>
      <c r="P207" s="178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>
        <f t="shared" ref="AV207:AV230" si="56">C207+F207+I207+L207+O207+R207+U207+X207+AA207+AG207+AJ207+AM207</f>
        <v>0</v>
      </c>
      <c r="AW207" s="19">
        <f>D207+G207+J207+M207+P207+S207+V207+Y207+AB207+AH207+AK207+AN207+AE207</f>
        <v>0</v>
      </c>
      <c r="AX207" s="19">
        <f>E207+H207+K207+N207+Q207+T207+W207+Z207+AC207+AI207+AL207+AN207+AF207</f>
        <v>0</v>
      </c>
    </row>
    <row r="208" spans="1:50" ht="20.100000000000001" hidden="1" customHeight="1" x14ac:dyDescent="0.5">
      <c r="A208" s="16"/>
      <c r="B208" s="15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>
        <f t="shared" si="56"/>
        <v>0</v>
      </c>
      <c r="AW208" s="19">
        <f t="shared" ref="AW208:AW230" si="57">D208+G208+J208+M208+P208+S208+V208+Y208+AB208+AH208+AK208+AN208</f>
        <v>0</v>
      </c>
      <c r="AX208" s="19">
        <f t="shared" ref="AX208:AX230" si="58">E208+H208+K208+N208+Q208+T208+W208+Z208+AC208+AI208+AL208+AN208</f>
        <v>0</v>
      </c>
    </row>
    <row r="209" spans="1:50" ht="20.100000000000001" hidden="1" customHeight="1" x14ac:dyDescent="0.5">
      <c r="A209" s="16"/>
      <c r="B209" s="15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>
        <f t="shared" si="56"/>
        <v>0</v>
      </c>
      <c r="AW209" s="19">
        <f t="shared" si="57"/>
        <v>0</v>
      </c>
      <c r="AX209" s="19">
        <f t="shared" si="58"/>
        <v>0</v>
      </c>
    </row>
    <row r="210" spans="1:50" ht="20.100000000000001" hidden="1" customHeight="1" x14ac:dyDescent="0.5">
      <c r="A210" s="16"/>
      <c r="B210" s="15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>
        <f t="shared" si="56"/>
        <v>0</v>
      </c>
      <c r="AW210" s="19">
        <f t="shared" si="57"/>
        <v>0</v>
      </c>
      <c r="AX210" s="19">
        <f t="shared" si="58"/>
        <v>0</v>
      </c>
    </row>
    <row r="211" spans="1:50" ht="20.100000000000001" hidden="1" customHeight="1" x14ac:dyDescent="0.5">
      <c r="A211" s="16"/>
      <c r="B211" s="15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>
        <f t="shared" si="56"/>
        <v>0</v>
      </c>
      <c r="AW211" s="19">
        <f t="shared" si="57"/>
        <v>0</v>
      </c>
      <c r="AX211" s="19">
        <f t="shared" si="58"/>
        <v>0</v>
      </c>
    </row>
    <row r="212" spans="1:50" ht="20.100000000000001" hidden="1" customHeight="1" x14ac:dyDescent="0.5">
      <c r="A212" s="16"/>
      <c r="B212" s="15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>
        <f t="shared" si="56"/>
        <v>0</v>
      </c>
      <c r="AW212" s="19">
        <f t="shared" si="57"/>
        <v>0</v>
      </c>
      <c r="AX212" s="19">
        <f t="shared" si="58"/>
        <v>0</v>
      </c>
    </row>
    <row r="213" spans="1:50" ht="20.100000000000001" hidden="1" customHeight="1" x14ac:dyDescent="0.5">
      <c r="A213" s="16"/>
      <c r="B213" s="15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>
        <f t="shared" si="56"/>
        <v>0</v>
      </c>
      <c r="AW213" s="19">
        <f t="shared" si="57"/>
        <v>0</v>
      </c>
      <c r="AX213" s="19">
        <f t="shared" si="58"/>
        <v>0</v>
      </c>
    </row>
    <row r="214" spans="1:50" ht="20.100000000000001" hidden="1" customHeight="1" x14ac:dyDescent="0.5">
      <c r="A214" s="16"/>
      <c r="B214" s="15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>
        <f t="shared" si="56"/>
        <v>0</v>
      </c>
      <c r="AW214" s="19">
        <f t="shared" si="57"/>
        <v>0</v>
      </c>
      <c r="AX214" s="19">
        <f t="shared" si="58"/>
        <v>0</v>
      </c>
    </row>
    <row r="215" spans="1:50" ht="20.100000000000001" hidden="1" customHeight="1" x14ac:dyDescent="0.5">
      <c r="A215" s="16"/>
      <c r="B215" s="15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>
        <f t="shared" si="56"/>
        <v>0</v>
      </c>
      <c r="AW215" s="19">
        <f t="shared" si="57"/>
        <v>0</v>
      </c>
      <c r="AX215" s="19">
        <f t="shared" si="58"/>
        <v>0</v>
      </c>
    </row>
    <row r="216" spans="1:50" ht="20.100000000000001" hidden="1" customHeight="1" x14ac:dyDescent="0.5">
      <c r="A216" s="16"/>
      <c r="B216" s="15"/>
      <c r="C216" s="20"/>
      <c r="D216" s="20"/>
      <c r="E216" s="19"/>
      <c r="F216" s="20"/>
      <c r="G216" s="20"/>
      <c r="H216" s="19"/>
      <c r="I216" s="20"/>
      <c r="J216" s="20"/>
      <c r="K216" s="20"/>
      <c r="L216" s="20"/>
      <c r="M216" s="20"/>
      <c r="N216" s="20"/>
      <c r="O216" s="20"/>
      <c r="P216" s="20"/>
      <c r="Q216" s="19"/>
      <c r="R216" s="20"/>
      <c r="S216" s="20"/>
      <c r="T216" s="19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>
        <f t="shared" si="56"/>
        <v>0</v>
      </c>
      <c r="AW216" s="19">
        <f t="shared" si="57"/>
        <v>0</v>
      </c>
      <c r="AX216" s="19">
        <f t="shared" si="58"/>
        <v>0</v>
      </c>
    </row>
    <row r="217" spans="1:50" ht="20.100000000000001" hidden="1" customHeight="1" x14ac:dyDescent="0.5">
      <c r="A217" s="16"/>
      <c r="B217" s="15"/>
      <c r="C217" s="20"/>
      <c r="D217" s="20"/>
      <c r="E217" s="19"/>
      <c r="F217" s="20"/>
      <c r="G217" s="20"/>
      <c r="H217" s="19"/>
      <c r="I217" s="20"/>
      <c r="J217" s="20"/>
      <c r="K217" s="20"/>
      <c r="L217" s="20"/>
      <c r="M217" s="20"/>
      <c r="N217" s="20"/>
      <c r="O217" s="20"/>
      <c r="P217" s="20"/>
      <c r="Q217" s="19"/>
      <c r="R217" s="20"/>
      <c r="S217" s="20"/>
      <c r="T217" s="19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>
        <f t="shared" si="56"/>
        <v>0</v>
      </c>
      <c r="AW217" s="19">
        <f t="shared" si="57"/>
        <v>0</v>
      </c>
      <c r="AX217" s="19">
        <f t="shared" si="58"/>
        <v>0</v>
      </c>
    </row>
    <row r="218" spans="1:50" ht="20.100000000000001" hidden="1" customHeight="1" x14ac:dyDescent="0.5">
      <c r="A218" s="16"/>
      <c r="B218" s="15"/>
      <c r="C218" s="20"/>
      <c r="D218" s="20"/>
      <c r="E218" s="19"/>
      <c r="F218" s="20"/>
      <c r="G218" s="20"/>
      <c r="H218" s="19"/>
      <c r="I218" s="20"/>
      <c r="J218" s="20"/>
      <c r="K218" s="20"/>
      <c r="L218" s="20"/>
      <c r="M218" s="20"/>
      <c r="N218" s="20"/>
      <c r="O218" s="20"/>
      <c r="P218" s="20"/>
      <c r="Q218" s="19"/>
      <c r="R218" s="20"/>
      <c r="S218" s="20"/>
      <c r="T218" s="19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>
        <f t="shared" si="56"/>
        <v>0</v>
      </c>
      <c r="AW218" s="19">
        <f t="shared" si="57"/>
        <v>0</v>
      </c>
      <c r="AX218" s="19">
        <f t="shared" si="58"/>
        <v>0</v>
      </c>
    </row>
    <row r="219" spans="1:50" ht="20.100000000000001" hidden="1" customHeight="1" x14ac:dyDescent="0.5">
      <c r="A219" s="16"/>
      <c r="B219" s="15"/>
      <c r="C219" s="20"/>
      <c r="D219" s="20"/>
      <c r="E219" s="19"/>
      <c r="F219" s="20"/>
      <c r="G219" s="20"/>
      <c r="H219" s="19"/>
      <c r="I219" s="20"/>
      <c r="J219" s="20"/>
      <c r="K219" s="20"/>
      <c r="L219" s="20"/>
      <c r="M219" s="20"/>
      <c r="N219" s="20"/>
      <c r="O219" s="20"/>
      <c r="P219" s="20"/>
      <c r="Q219" s="19"/>
      <c r="R219" s="20"/>
      <c r="S219" s="20"/>
      <c r="T219" s="19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>
        <f t="shared" si="56"/>
        <v>0</v>
      </c>
      <c r="AW219" s="19">
        <f t="shared" si="57"/>
        <v>0</v>
      </c>
      <c r="AX219" s="19">
        <f t="shared" si="58"/>
        <v>0</v>
      </c>
    </row>
    <row r="220" spans="1:50" ht="20.100000000000001" hidden="1" customHeight="1" x14ac:dyDescent="0.5">
      <c r="A220" s="16"/>
      <c r="B220" s="15"/>
      <c r="C220" s="20"/>
      <c r="D220" s="20"/>
      <c r="E220" s="19"/>
      <c r="F220" s="20"/>
      <c r="G220" s="20"/>
      <c r="H220" s="19"/>
      <c r="I220" s="20"/>
      <c r="J220" s="20"/>
      <c r="K220" s="20"/>
      <c r="L220" s="20"/>
      <c r="M220" s="20"/>
      <c r="N220" s="20"/>
      <c r="O220" s="20"/>
      <c r="P220" s="20"/>
      <c r="Q220" s="19"/>
      <c r="R220" s="20"/>
      <c r="S220" s="20"/>
      <c r="T220" s="19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>
        <f t="shared" si="56"/>
        <v>0</v>
      </c>
      <c r="AW220" s="19">
        <f t="shared" si="57"/>
        <v>0</v>
      </c>
      <c r="AX220" s="19">
        <f t="shared" si="58"/>
        <v>0</v>
      </c>
    </row>
    <row r="221" spans="1:50" ht="20.100000000000001" hidden="1" customHeight="1" x14ac:dyDescent="0.5">
      <c r="A221" s="16"/>
      <c r="B221" s="15"/>
      <c r="C221" s="20"/>
      <c r="D221" s="20"/>
      <c r="E221" s="19"/>
      <c r="F221" s="20"/>
      <c r="G221" s="20"/>
      <c r="H221" s="19"/>
      <c r="I221" s="20"/>
      <c r="J221" s="20"/>
      <c r="K221" s="20"/>
      <c r="L221" s="20"/>
      <c r="M221" s="20"/>
      <c r="N221" s="20"/>
      <c r="O221" s="20"/>
      <c r="P221" s="20"/>
      <c r="Q221" s="19"/>
      <c r="R221" s="20"/>
      <c r="S221" s="20"/>
      <c r="T221" s="19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>
        <f t="shared" si="56"/>
        <v>0</v>
      </c>
      <c r="AW221" s="19">
        <f t="shared" si="57"/>
        <v>0</v>
      </c>
      <c r="AX221" s="19">
        <f t="shared" si="58"/>
        <v>0</v>
      </c>
    </row>
    <row r="222" spans="1:50" ht="20.100000000000001" hidden="1" customHeight="1" x14ac:dyDescent="0.5">
      <c r="A222" s="16"/>
      <c r="B222" s="15"/>
      <c r="C222" s="20"/>
      <c r="D222" s="20"/>
      <c r="E222" s="19"/>
      <c r="F222" s="20"/>
      <c r="G222" s="20"/>
      <c r="H222" s="19"/>
      <c r="I222" s="20"/>
      <c r="J222" s="20"/>
      <c r="K222" s="20"/>
      <c r="L222" s="20"/>
      <c r="M222" s="20"/>
      <c r="N222" s="20"/>
      <c r="O222" s="20"/>
      <c r="P222" s="20"/>
      <c r="Q222" s="19"/>
      <c r="R222" s="20"/>
      <c r="S222" s="20"/>
      <c r="T222" s="19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>
        <f t="shared" si="56"/>
        <v>0</v>
      </c>
      <c r="AW222" s="19">
        <f t="shared" si="57"/>
        <v>0</v>
      </c>
      <c r="AX222" s="19">
        <f t="shared" si="58"/>
        <v>0</v>
      </c>
    </row>
    <row r="223" spans="1:50" ht="20.100000000000001" hidden="1" customHeight="1" x14ac:dyDescent="0.5">
      <c r="A223" s="16"/>
      <c r="B223" s="15"/>
      <c r="C223" s="20"/>
      <c r="D223" s="20"/>
      <c r="E223" s="19"/>
      <c r="F223" s="20"/>
      <c r="G223" s="20"/>
      <c r="H223" s="19"/>
      <c r="I223" s="20"/>
      <c r="J223" s="20"/>
      <c r="K223" s="20"/>
      <c r="L223" s="20"/>
      <c r="M223" s="20"/>
      <c r="N223" s="20"/>
      <c r="O223" s="20"/>
      <c r="P223" s="20"/>
      <c r="Q223" s="19"/>
      <c r="R223" s="20"/>
      <c r="S223" s="20"/>
      <c r="T223" s="19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>
        <f t="shared" si="56"/>
        <v>0</v>
      </c>
      <c r="AW223" s="19">
        <f t="shared" si="57"/>
        <v>0</v>
      </c>
      <c r="AX223" s="19">
        <f t="shared" si="58"/>
        <v>0</v>
      </c>
    </row>
    <row r="224" spans="1:50" ht="20.100000000000001" hidden="1" customHeight="1" x14ac:dyDescent="0.5">
      <c r="A224" s="16"/>
      <c r="B224" s="15"/>
      <c r="C224" s="20"/>
      <c r="D224" s="20"/>
      <c r="E224" s="19"/>
      <c r="F224" s="20"/>
      <c r="G224" s="20"/>
      <c r="H224" s="19"/>
      <c r="I224" s="20"/>
      <c r="J224" s="20"/>
      <c r="K224" s="20"/>
      <c r="L224" s="20"/>
      <c r="M224" s="20"/>
      <c r="N224" s="20"/>
      <c r="O224" s="20"/>
      <c r="P224" s="20"/>
      <c r="Q224" s="19"/>
      <c r="R224" s="20"/>
      <c r="S224" s="20"/>
      <c r="T224" s="19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>
        <f t="shared" si="56"/>
        <v>0</v>
      </c>
      <c r="AW224" s="19">
        <f t="shared" si="57"/>
        <v>0</v>
      </c>
      <c r="AX224" s="19">
        <f t="shared" si="58"/>
        <v>0</v>
      </c>
    </row>
    <row r="225" spans="1:50" ht="20.100000000000001" hidden="1" customHeight="1" x14ac:dyDescent="0.5">
      <c r="A225" s="16"/>
      <c r="B225" s="15"/>
      <c r="C225" s="20"/>
      <c r="D225" s="20"/>
      <c r="E225" s="19"/>
      <c r="F225" s="20"/>
      <c r="G225" s="20"/>
      <c r="H225" s="19"/>
      <c r="I225" s="20"/>
      <c r="J225" s="20"/>
      <c r="K225" s="20"/>
      <c r="L225" s="20"/>
      <c r="M225" s="20"/>
      <c r="N225" s="20"/>
      <c r="O225" s="20"/>
      <c r="P225" s="20"/>
      <c r="Q225" s="19"/>
      <c r="R225" s="20"/>
      <c r="S225" s="20"/>
      <c r="T225" s="19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>
        <f t="shared" si="56"/>
        <v>0</v>
      </c>
      <c r="AW225" s="19">
        <f t="shared" si="57"/>
        <v>0</v>
      </c>
      <c r="AX225" s="19">
        <f t="shared" si="58"/>
        <v>0</v>
      </c>
    </row>
    <row r="226" spans="1:50" ht="20.100000000000001" hidden="1" customHeight="1" x14ac:dyDescent="0.5">
      <c r="A226" s="16"/>
      <c r="B226" s="15"/>
      <c r="C226" s="20"/>
      <c r="D226" s="20"/>
      <c r="E226" s="19"/>
      <c r="F226" s="20"/>
      <c r="G226" s="20"/>
      <c r="H226" s="19"/>
      <c r="I226" s="20"/>
      <c r="J226" s="20"/>
      <c r="K226" s="20"/>
      <c r="L226" s="20"/>
      <c r="M226" s="20"/>
      <c r="N226" s="20"/>
      <c r="O226" s="20"/>
      <c r="P226" s="20"/>
      <c r="Q226" s="19"/>
      <c r="R226" s="20"/>
      <c r="S226" s="20"/>
      <c r="T226" s="19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>
        <f t="shared" si="56"/>
        <v>0</v>
      </c>
      <c r="AW226" s="19">
        <f t="shared" si="57"/>
        <v>0</v>
      </c>
      <c r="AX226" s="19">
        <f t="shared" si="58"/>
        <v>0</v>
      </c>
    </row>
    <row r="227" spans="1:50" ht="20.100000000000001" hidden="1" customHeight="1" x14ac:dyDescent="0.5">
      <c r="A227" s="16"/>
      <c r="B227" s="15"/>
      <c r="C227" s="20"/>
      <c r="D227" s="20"/>
      <c r="E227" s="19"/>
      <c r="F227" s="20"/>
      <c r="G227" s="20"/>
      <c r="H227" s="19"/>
      <c r="I227" s="20"/>
      <c r="J227" s="20"/>
      <c r="K227" s="20"/>
      <c r="L227" s="20"/>
      <c r="M227" s="20"/>
      <c r="N227" s="20"/>
      <c r="O227" s="20"/>
      <c r="P227" s="20"/>
      <c r="Q227" s="19"/>
      <c r="R227" s="20"/>
      <c r="S227" s="20"/>
      <c r="T227" s="19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>
        <f t="shared" si="56"/>
        <v>0</v>
      </c>
      <c r="AW227" s="19">
        <f t="shared" si="57"/>
        <v>0</v>
      </c>
      <c r="AX227" s="19">
        <f t="shared" si="58"/>
        <v>0</v>
      </c>
    </row>
    <row r="228" spans="1:50" ht="20.100000000000001" hidden="1" customHeight="1" x14ac:dyDescent="0.5">
      <c r="A228" s="16"/>
      <c r="B228" s="15"/>
      <c r="C228" s="20"/>
      <c r="D228" s="20"/>
      <c r="E228" s="19"/>
      <c r="F228" s="20"/>
      <c r="G228" s="20"/>
      <c r="H228" s="19"/>
      <c r="I228" s="20"/>
      <c r="J228" s="20"/>
      <c r="K228" s="20"/>
      <c r="L228" s="20"/>
      <c r="M228" s="20"/>
      <c r="N228" s="20"/>
      <c r="O228" s="20"/>
      <c r="P228" s="20"/>
      <c r="Q228" s="19"/>
      <c r="R228" s="20"/>
      <c r="S228" s="20"/>
      <c r="T228" s="19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>
        <f t="shared" si="56"/>
        <v>0</v>
      </c>
      <c r="AW228" s="19">
        <f t="shared" si="57"/>
        <v>0</v>
      </c>
      <c r="AX228" s="19">
        <f t="shared" si="58"/>
        <v>0</v>
      </c>
    </row>
    <row r="229" spans="1:50" ht="20.100000000000001" hidden="1" customHeight="1" x14ac:dyDescent="0.5">
      <c r="A229" s="16"/>
      <c r="B229" s="15"/>
      <c r="C229" s="20"/>
      <c r="D229" s="20"/>
      <c r="E229" s="19"/>
      <c r="F229" s="20"/>
      <c r="G229" s="20"/>
      <c r="H229" s="19"/>
      <c r="I229" s="20"/>
      <c r="J229" s="20"/>
      <c r="K229" s="20"/>
      <c r="L229" s="20"/>
      <c r="M229" s="20"/>
      <c r="N229" s="20"/>
      <c r="O229" s="20"/>
      <c r="P229" s="20"/>
      <c r="Q229" s="19"/>
      <c r="R229" s="20"/>
      <c r="S229" s="20"/>
      <c r="T229" s="19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>
        <f t="shared" si="56"/>
        <v>0</v>
      </c>
      <c r="AW229" s="19">
        <f t="shared" si="57"/>
        <v>0</v>
      </c>
      <c r="AX229" s="19">
        <f t="shared" si="58"/>
        <v>0</v>
      </c>
    </row>
    <row r="230" spans="1:50" ht="20.100000000000001" hidden="1" customHeight="1" x14ac:dyDescent="0.5">
      <c r="A230" s="16"/>
      <c r="B230" s="15"/>
      <c r="C230" s="20"/>
      <c r="D230" s="20"/>
      <c r="E230" s="19"/>
      <c r="F230" s="20"/>
      <c r="G230" s="20"/>
      <c r="H230" s="19"/>
      <c r="I230" s="20"/>
      <c r="J230" s="20"/>
      <c r="K230" s="20"/>
      <c r="L230" s="20"/>
      <c r="M230" s="20"/>
      <c r="N230" s="20"/>
      <c r="O230" s="20"/>
      <c r="P230" s="20"/>
      <c r="Q230" s="19"/>
      <c r="R230" s="20"/>
      <c r="S230" s="20"/>
      <c r="T230" s="19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>
        <f t="shared" si="56"/>
        <v>0</v>
      </c>
      <c r="AW230" s="19">
        <f t="shared" si="57"/>
        <v>0</v>
      </c>
      <c r="AX230" s="19">
        <f t="shared" si="58"/>
        <v>0</v>
      </c>
    </row>
    <row r="231" spans="1:50" ht="20.100000000000001" hidden="1" customHeight="1" x14ac:dyDescent="0.5">
      <c r="A231" s="16"/>
      <c r="B231" s="15"/>
      <c r="C231" s="20"/>
      <c r="D231" s="20"/>
      <c r="E231" s="19"/>
      <c r="F231" s="20"/>
      <c r="G231" s="20"/>
      <c r="H231" s="19"/>
      <c r="I231" s="20"/>
      <c r="J231" s="20"/>
      <c r="K231" s="20"/>
      <c r="L231" s="20"/>
      <c r="M231" s="20"/>
      <c r="N231" s="20"/>
      <c r="O231" s="20"/>
      <c r="P231" s="20"/>
      <c r="Q231" s="19"/>
      <c r="R231" s="20"/>
      <c r="S231" s="20"/>
      <c r="T231" s="19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>
        <f>C231+F231+I231+L231+O231+R231+U231+X231+AA231+AG231+AJ231+AM231+AP231+AS231</f>
        <v>0</v>
      </c>
      <c r="AW231" s="19">
        <f>D231+G231+J231+M231+P231+S231+V231+Y231+AB231+AH231+AK231+AN231+AQ231+AT231</f>
        <v>0</v>
      </c>
      <c r="AX231" s="19">
        <f>E231+H231+K231+N231+Q231+T231+W231+Z231+AC231+AI231+AL231+AO231+AR231+AU231</f>
        <v>0</v>
      </c>
    </row>
    <row r="232" spans="1:50" ht="20.100000000000001" hidden="1" customHeight="1" x14ac:dyDescent="0.5">
      <c r="A232" s="16"/>
      <c r="B232" s="15"/>
      <c r="C232" s="20"/>
      <c r="D232" s="20"/>
      <c r="E232" s="19"/>
      <c r="F232" s="20"/>
      <c r="G232" s="20"/>
      <c r="H232" s="19"/>
      <c r="I232" s="20"/>
      <c r="J232" s="20"/>
      <c r="K232" s="20"/>
      <c r="L232" s="20"/>
      <c r="M232" s="20"/>
      <c r="N232" s="20"/>
      <c r="O232" s="20"/>
      <c r="P232" s="20"/>
      <c r="Q232" s="19"/>
      <c r="R232" s="20"/>
      <c r="S232" s="20"/>
      <c r="T232" s="19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>
        <f t="shared" ref="AV232:AV233" si="59">C232+F232+I232+L232+O232+R232+U232+X232+AA232+AG232+AJ232+AM232+AP232+AS232</f>
        <v>0</v>
      </c>
      <c r="AW232" s="19">
        <f t="shared" ref="AW232:AW233" si="60">D232+G232+J232+M232+P232+S232+V232+Y232+AB232+AH232+AK232+AN232+AQ232+AT232</f>
        <v>0</v>
      </c>
      <c r="AX232" s="19">
        <f t="shared" ref="AX232:AX233" si="61">E232+H232+K232+N232+Q232+T232+W232+Z232+AC232+AI232+AL232+AO232+AR232+AU232</f>
        <v>0</v>
      </c>
    </row>
    <row r="233" spans="1:50" ht="20.100000000000001" hidden="1" customHeight="1" x14ac:dyDescent="0.5">
      <c r="A233" s="16"/>
      <c r="B233" s="15"/>
      <c r="C233" s="20"/>
      <c r="D233" s="20"/>
      <c r="E233" s="19"/>
      <c r="F233" s="20"/>
      <c r="G233" s="20"/>
      <c r="H233" s="19"/>
      <c r="I233" s="20"/>
      <c r="J233" s="20"/>
      <c r="K233" s="20"/>
      <c r="L233" s="20"/>
      <c r="M233" s="20"/>
      <c r="N233" s="20"/>
      <c r="O233" s="20"/>
      <c r="P233" s="20"/>
      <c r="Q233" s="19"/>
      <c r="R233" s="20"/>
      <c r="S233" s="20"/>
      <c r="T233" s="19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>
        <f t="shared" si="59"/>
        <v>0</v>
      </c>
      <c r="AW233" s="19">
        <f t="shared" si="60"/>
        <v>0</v>
      </c>
      <c r="AX233" s="19">
        <f t="shared" si="61"/>
        <v>0</v>
      </c>
    </row>
    <row r="234" spans="1:50" ht="20.100000000000001" hidden="1" customHeight="1" x14ac:dyDescent="0.5">
      <c r="A234" s="14"/>
      <c r="B234" s="13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8">
        <f>SUM(AA206:AA217)</f>
        <v>0</v>
      </c>
      <c r="AB234" s="18">
        <f>SUM(AB206:AB217)</f>
        <v>0</v>
      </c>
      <c r="AV234" s="182">
        <f>SUM(AV206:AV233)</f>
        <v>0</v>
      </c>
      <c r="AW234" s="182">
        <f>SUM(AW206:AW233)</f>
        <v>0</v>
      </c>
      <c r="AX234" s="182">
        <f t="shared" ref="AX234" si="62">SUM(AX206:AX233)</f>
        <v>0</v>
      </c>
    </row>
    <row r="235" spans="1:50" hidden="1" x14ac:dyDescent="0.5"/>
    <row r="236" spans="1:50" hidden="1" x14ac:dyDescent="0.5"/>
    <row r="237" spans="1:50" hidden="1" x14ac:dyDescent="0.5">
      <c r="A237" s="550" t="s">
        <v>384</v>
      </c>
      <c r="B237" s="550"/>
    </row>
    <row r="238" spans="1:50" hidden="1" x14ac:dyDescent="0.5"/>
    <row r="239" spans="1:50" hidden="1" x14ac:dyDescent="0.5">
      <c r="A239" s="551" t="s">
        <v>118</v>
      </c>
      <c r="B239" s="552" t="s">
        <v>135</v>
      </c>
      <c r="C239" s="553"/>
      <c r="D239" s="553"/>
      <c r="E239" s="553"/>
      <c r="F239" s="553"/>
      <c r="G239" s="553"/>
      <c r="H239" s="553"/>
      <c r="I239" s="553"/>
      <c r="J239" s="553"/>
      <c r="K239" s="553"/>
      <c r="L239" s="553"/>
      <c r="M239" s="553"/>
      <c r="N239" s="553"/>
      <c r="O239" s="553"/>
      <c r="P239" s="553"/>
      <c r="Q239" s="553"/>
      <c r="R239" s="553"/>
      <c r="S239" s="553"/>
      <c r="T239" s="553"/>
      <c r="U239" s="553"/>
      <c r="V239" s="553"/>
      <c r="W239" s="553"/>
      <c r="X239" s="553"/>
      <c r="Y239" s="553"/>
      <c r="Z239" s="553"/>
      <c r="AA239" s="553"/>
      <c r="AB239" s="553"/>
      <c r="AC239" s="553"/>
      <c r="AD239" s="553"/>
      <c r="AE239" s="553"/>
      <c r="AF239" s="553"/>
      <c r="AG239" s="553"/>
      <c r="AH239" s="553"/>
      <c r="AI239" s="553"/>
      <c r="AJ239" s="553"/>
      <c r="AK239" s="553"/>
      <c r="AL239" s="553"/>
      <c r="AM239" s="553"/>
      <c r="AN239" s="553"/>
      <c r="AO239" s="553"/>
      <c r="AP239" s="553"/>
      <c r="AQ239" s="553"/>
      <c r="AR239" s="553"/>
      <c r="AS239" s="553"/>
      <c r="AT239" s="553"/>
      <c r="AU239" s="553"/>
      <c r="AV239" s="553"/>
      <c r="AW239" s="553"/>
      <c r="AX239" s="553"/>
    </row>
    <row r="240" spans="1:50" hidden="1" x14ac:dyDescent="0.5">
      <c r="A240" s="551"/>
      <c r="B240" s="552"/>
      <c r="C240" s="554" t="s">
        <v>124</v>
      </c>
      <c r="D240" s="555"/>
      <c r="E240" s="556"/>
      <c r="F240" s="554" t="s">
        <v>133</v>
      </c>
      <c r="G240" s="555"/>
      <c r="H240" s="556"/>
      <c r="I240" s="554" t="s">
        <v>132</v>
      </c>
      <c r="J240" s="555"/>
      <c r="K240" s="556"/>
      <c r="L240" s="554" t="s">
        <v>131</v>
      </c>
      <c r="M240" s="555"/>
      <c r="N240" s="556"/>
      <c r="O240" s="554" t="s">
        <v>130</v>
      </c>
      <c r="P240" s="555"/>
      <c r="Q240" s="556"/>
      <c r="R240" s="554" t="s">
        <v>129</v>
      </c>
      <c r="S240" s="555"/>
      <c r="T240" s="556"/>
      <c r="U240" s="554" t="s">
        <v>128</v>
      </c>
      <c r="V240" s="555"/>
      <c r="W240" s="556"/>
      <c r="X240" s="554" t="s">
        <v>127</v>
      </c>
      <c r="Y240" s="555"/>
      <c r="Z240" s="556"/>
      <c r="AA240" s="554" t="s">
        <v>126</v>
      </c>
      <c r="AB240" s="555"/>
      <c r="AC240" s="556"/>
      <c r="AD240" s="554" t="s">
        <v>378</v>
      </c>
      <c r="AE240" s="555"/>
      <c r="AF240" s="556"/>
      <c r="AG240" s="554" t="s">
        <v>125</v>
      </c>
      <c r="AH240" s="555"/>
      <c r="AI240" s="556"/>
      <c r="AJ240" s="554" t="s">
        <v>124</v>
      </c>
      <c r="AK240" s="555"/>
      <c r="AL240" s="556"/>
      <c r="AM240" s="554" t="s">
        <v>123</v>
      </c>
      <c r="AN240" s="555"/>
      <c r="AO240" s="556"/>
      <c r="AP240" s="554" t="s">
        <v>367</v>
      </c>
      <c r="AQ240" s="555"/>
      <c r="AR240" s="556"/>
      <c r="AS240" s="554" t="s">
        <v>368</v>
      </c>
      <c r="AT240" s="555"/>
      <c r="AU240" s="556"/>
      <c r="AV240" s="554" t="s">
        <v>122</v>
      </c>
      <c r="AW240" s="555"/>
      <c r="AX240" s="556"/>
    </row>
    <row r="241" spans="1:50" hidden="1" x14ac:dyDescent="0.5">
      <c r="A241" s="551"/>
      <c r="B241" s="552"/>
      <c r="C241" s="17" t="s">
        <v>109</v>
      </c>
      <c r="D241" s="17" t="s">
        <v>108</v>
      </c>
      <c r="E241" s="17" t="s">
        <v>348</v>
      </c>
      <c r="F241" s="17" t="s">
        <v>109</v>
      </c>
      <c r="G241" s="17" t="s">
        <v>108</v>
      </c>
      <c r="H241" s="17" t="s">
        <v>348</v>
      </c>
      <c r="I241" s="17" t="s">
        <v>109</v>
      </c>
      <c r="J241" s="17" t="s">
        <v>108</v>
      </c>
      <c r="K241" s="17" t="s">
        <v>348</v>
      </c>
      <c r="L241" s="17" t="s">
        <v>109</v>
      </c>
      <c r="M241" s="17" t="s">
        <v>108</v>
      </c>
      <c r="N241" s="17" t="s">
        <v>348</v>
      </c>
      <c r="O241" s="17" t="s">
        <v>109</v>
      </c>
      <c r="P241" s="17" t="s">
        <v>108</v>
      </c>
      <c r="Q241" s="17" t="s">
        <v>348</v>
      </c>
      <c r="R241" s="17" t="s">
        <v>109</v>
      </c>
      <c r="S241" s="17" t="s">
        <v>108</v>
      </c>
      <c r="T241" s="17" t="s">
        <v>348</v>
      </c>
      <c r="U241" s="17" t="s">
        <v>109</v>
      </c>
      <c r="V241" s="17" t="s">
        <v>108</v>
      </c>
      <c r="W241" s="17" t="s">
        <v>348</v>
      </c>
      <c r="X241" s="17" t="s">
        <v>109</v>
      </c>
      <c r="Y241" s="17" t="s">
        <v>108</v>
      </c>
      <c r="Z241" s="17" t="s">
        <v>348</v>
      </c>
      <c r="AA241" s="17" t="s">
        <v>109</v>
      </c>
      <c r="AB241" s="17" t="s">
        <v>108</v>
      </c>
      <c r="AC241" s="17" t="s">
        <v>348</v>
      </c>
      <c r="AD241" s="17"/>
      <c r="AE241" s="17"/>
      <c r="AF241" s="17"/>
      <c r="AG241" s="17" t="s">
        <v>109</v>
      </c>
      <c r="AH241" s="17" t="s">
        <v>108</v>
      </c>
      <c r="AI241" s="17" t="s">
        <v>348</v>
      </c>
      <c r="AJ241" s="17" t="s">
        <v>109</v>
      </c>
      <c r="AK241" s="17" t="s">
        <v>108</v>
      </c>
      <c r="AL241" s="17" t="s">
        <v>348</v>
      </c>
      <c r="AM241" s="17" t="s">
        <v>109</v>
      </c>
      <c r="AN241" s="17" t="s">
        <v>108</v>
      </c>
      <c r="AO241" s="17" t="s">
        <v>348</v>
      </c>
      <c r="AP241" s="17" t="s">
        <v>109</v>
      </c>
      <c r="AQ241" s="17" t="s">
        <v>108</v>
      </c>
      <c r="AR241" s="17" t="s">
        <v>348</v>
      </c>
      <c r="AS241" s="17" t="s">
        <v>109</v>
      </c>
      <c r="AT241" s="17" t="s">
        <v>108</v>
      </c>
      <c r="AU241" s="17" t="s">
        <v>348</v>
      </c>
      <c r="AV241" s="17" t="s">
        <v>109</v>
      </c>
      <c r="AW241" s="17" t="s">
        <v>108</v>
      </c>
      <c r="AX241" s="17" t="s">
        <v>348</v>
      </c>
    </row>
    <row r="242" spans="1:50" hidden="1" x14ac:dyDescent="0.5">
      <c r="A242" s="16"/>
      <c r="B242" s="15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>
        <f>C242+F242+I242+L242+O242+R242+U242+X242+AA242+AG242+AJ242+AM242+AP242+AS242</f>
        <v>0</v>
      </c>
      <c r="AW242" s="19">
        <f>D242+G242+J242+M242+P242+S242+V242+Y242+AB242+AH242+AK242+AN242+AQ242+AT242</f>
        <v>0</v>
      </c>
      <c r="AX242" s="19">
        <f>E242+H242+K242+N242+Q242+T242+W242+Z242+AC242+AI242+AL242+AO242+AR242+AU242</f>
        <v>0</v>
      </c>
    </row>
    <row r="243" spans="1:50" hidden="1" x14ac:dyDescent="0.5">
      <c r="A243" s="16"/>
      <c r="B243" s="15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21"/>
      <c r="P243" s="178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>
        <f t="shared" ref="AV243:AV267" si="63">C243+F243+I243+L243+O243+R243+U243+X243+AA243+AG243+AJ243+AM243</f>
        <v>0</v>
      </c>
      <c r="AW243" s="19">
        <f>D243+G243+J243+M243+P243+S243+V243+Y243+AB243+AH243+AK243+AN243+AE243</f>
        <v>0</v>
      </c>
      <c r="AX243" s="19">
        <f>E243+H243+K243+N243+Q243+T243+W243+Z243+AC243+AI243+AL243+AN243+AF243</f>
        <v>0</v>
      </c>
    </row>
    <row r="244" spans="1:50" hidden="1" x14ac:dyDescent="0.5">
      <c r="A244" s="16"/>
      <c r="B244" s="15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>
        <f t="shared" si="63"/>
        <v>0</v>
      </c>
      <c r="AW244" s="19">
        <f t="shared" ref="AW244:AW267" si="64">D244+G244+J244+M244+P244+S244+V244+Y244+AB244+AH244+AK244+AN244</f>
        <v>0</v>
      </c>
      <c r="AX244" s="19">
        <f t="shared" ref="AX244:AX267" si="65">E244+H244+K244+N244+Q244+T244+W244+Z244+AC244+AI244+AL244+AN244</f>
        <v>0</v>
      </c>
    </row>
    <row r="245" spans="1:50" hidden="1" x14ac:dyDescent="0.5">
      <c r="A245" s="16"/>
      <c r="B245" s="15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>
        <f t="shared" si="63"/>
        <v>0</v>
      </c>
      <c r="AW245" s="19">
        <f t="shared" si="64"/>
        <v>0</v>
      </c>
      <c r="AX245" s="19">
        <f t="shared" si="65"/>
        <v>0</v>
      </c>
    </row>
    <row r="246" spans="1:50" hidden="1" x14ac:dyDescent="0.5">
      <c r="A246" s="16"/>
      <c r="B246" s="15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>
        <f t="shared" si="63"/>
        <v>0</v>
      </c>
      <c r="AW246" s="19">
        <f t="shared" si="64"/>
        <v>0</v>
      </c>
      <c r="AX246" s="19">
        <f t="shared" si="65"/>
        <v>0</v>
      </c>
    </row>
    <row r="247" spans="1:50" hidden="1" x14ac:dyDescent="0.5">
      <c r="A247" s="16"/>
      <c r="B247" s="15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>
        <f t="shared" si="63"/>
        <v>0</v>
      </c>
      <c r="AW247" s="19">
        <f t="shared" si="64"/>
        <v>0</v>
      </c>
      <c r="AX247" s="19">
        <f t="shared" si="65"/>
        <v>0</v>
      </c>
    </row>
    <row r="248" spans="1:50" hidden="1" x14ac:dyDescent="0.5">
      <c r="A248" s="16"/>
      <c r="B248" s="15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>
        <f t="shared" si="63"/>
        <v>0</v>
      </c>
      <c r="AW248" s="19">
        <f t="shared" si="64"/>
        <v>0</v>
      </c>
      <c r="AX248" s="19">
        <f t="shared" si="65"/>
        <v>0</v>
      </c>
    </row>
    <row r="249" spans="1:50" hidden="1" x14ac:dyDescent="0.5">
      <c r="A249" s="16"/>
      <c r="B249" s="15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>
        <f t="shared" ref="AV249" si="66">C249+F249+I249+L249+O249+R249+U249+X249+AA249+AG249+AJ249+AM249</f>
        <v>0</v>
      </c>
      <c r="AW249" s="19">
        <f t="shared" ref="AW249" si="67">D249+G249+J249+M249+P249+S249+V249+Y249+AB249+AH249+AK249+AN249</f>
        <v>0</v>
      </c>
      <c r="AX249" s="19">
        <f t="shared" ref="AX249" si="68">E249+H249+K249+N249+Q249+T249+W249+Z249+AC249+AI249+AL249+AN249</f>
        <v>0</v>
      </c>
    </row>
    <row r="250" spans="1:50" hidden="1" x14ac:dyDescent="0.5">
      <c r="A250" s="16"/>
      <c r="B250" s="15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>
        <f t="shared" si="63"/>
        <v>0</v>
      </c>
      <c r="AW250" s="19">
        <f t="shared" si="64"/>
        <v>0</v>
      </c>
      <c r="AX250" s="19">
        <f t="shared" si="65"/>
        <v>0</v>
      </c>
    </row>
    <row r="251" spans="1:50" hidden="1" x14ac:dyDescent="0.5">
      <c r="A251" s="16"/>
      <c r="B251" s="15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>
        <f t="shared" si="63"/>
        <v>0</v>
      </c>
      <c r="AW251" s="19">
        <f t="shared" si="64"/>
        <v>0</v>
      </c>
      <c r="AX251" s="19">
        <f t="shared" si="65"/>
        <v>0</v>
      </c>
    </row>
    <row r="252" spans="1:50" hidden="1" x14ac:dyDescent="0.5">
      <c r="A252" s="16"/>
      <c r="B252" s="15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>
        <f t="shared" si="63"/>
        <v>0</v>
      </c>
      <c r="AW252" s="19">
        <f t="shared" si="64"/>
        <v>0</v>
      </c>
      <c r="AX252" s="19">
        <f t="shared" si="65"/>
        <v>0</v>
      </c>
    </row>
    <row r="253" spans="1:50" hidden="1" x14ac:dyDescent="0.5">
      <c r="A253" s="16"/>
      <c r="B253" s="15"/>
      <c r="C253" s="20"/>
      <c r="D253" s="20"/>
      <c r="E253" s="19"/>
      <c r="F253" s="20"/>
      <c r="G253" s="20"/>
      <c r="H253" s="19"/>
      <c r="I253" s="20"/>
      <c r="J253" s="20"/>
      <c r="K253" s="20"/>
      <c r="L253" s="20"/>
      <c r="M253" s="20"/>
      <c r="N253" s="20"/>
      <c r="O253" s="20"/>
      <c r="P253" s="20"/>
      <c r="Q253" s="19"/>
      <c r="R253" s="20"/>
      <c r="S253" s="20"/>
      <c r="T253" s="19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>
        <f t="shared" si="63"/>
        <v>0</v>
      </c>
      <c r="AW253" s="19">
        <f t="shared" si="64"/>
        <v>0</v>
      </c>
      <c r="AX253" s="19">
        <f t="shared" si="65"/>
        <v>0</v>
      </c>
    </row>
    <row r="254" spans="1:50" hidden="1" x14ac:dyDescent="0.5">
      <c r="A254" s="16"/>
      <c r="B254" s="15"/>
      <c r="C254" s="20"/>
      <c r="D254" s="20"/>
      <c r="E254" s="19"/>
      <c r="F254" s="20"/>
      <c r="G254" s="20"/>
      <c r="H254" s="19"/>
      <c r="I254" s="20"/>
      <c r="J254" s="20"/>
      <c r="K254" s="20"/>
      <c r="L254" s="20"/>
      <c r="M254" s="20"/>
      <c r="N254" s="20"/>
      <c r="O254" s="20"/>
      <c r="P254" s="20"/>
      <c r="Q254" s="19"/>
      <c r="R254" s="20"/>
      <c r="S254" s="20"/>
      <c r="T254" s="19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>
        <f t="shared" si="63"/>
        <v>0</v>
      </c>
      <c r="AW254" s="19">
        <f t="shared" si="64"/>
        <v>0</v>
      </c>
      <c r="AX254" s="19">
        <f t="shared" si="65"/>
        <v>0</v>
      </c>
    </row>
    <row r="255" spans="1:50" hidden="1" x14ac:dyDescent="0.5">
      <c r="A255" s="16"/>
      <c r="B255" s="15"/>
      <c r="C255" s="20"/>
      <c r="D255" s="20"/>
      <c r="E255" s="19"/>
      <c r="F255" s="20"/>
      <c r="G255" s="20"/>
      <c r="H255" s="19"/>
      <c r="I255" s="20"/>
      <c r="J255" s="20"/>
      <c r="K255" s="20"/>
      <c r="L255" s="20"/>
      <c r="M255" s="20"/>
      <c r="N255" s="20"/>
      <c r="O255" s="20"/>
      <c r="P255" s="20"/>
      <c r="Q255" s="19"/>
      <c r="R255" s="20"/>
      <c r="S255" s="20"/>
      <c r="T255" s="19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>
        <f t="shared" si="63"/>
        <v>0</v>
      </c>
      <c r="AW255" s="19">
        <f t="shared" si="64"/>
        <v>0</v>
      </c>
      <c r="AX255" s="19">
        <f t="shared" si="65"/>
        <v>0</v>
      </c>
    </row>
    <row r="256" spans="1:50" hidden="1" x14ac:dyDescent="0.5">
      <c r="A256" s="16"/>
      <c r="B256" s="15"/>
      <c r="C256" s="20"/>
      <c r="D256" s="20"/>
      <c r="E256" s="19"/>
      <c r="F256" s="20"/>
      <c r="G256" s="20"/>
      <c r="H256" s="19"/>
      <c r="I256" s="20"/>
      <c r="J256" s="20"/>
      <c r="K256" s="20"/>
      <c r="L256" s="20"/>
      <c r="M256" s="20"/>
      <c r="N256" s="20"/>
      <c r="O256" s="20"/>
      <c r="P256" s="20"/>
      <c r="Q256" s="19"/>
      <c r="R256" s="20"/>
      <c r="S256" s="20"/>
      <c r="T256" s="19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>
        <f t="shared" si="63"/>
        <v>0</v>
      </c>
      <c r="AW256" s="19">
        <f t="shared" si="64"/>
        <v>0</v>
      </c>
      <c r="AX256" s="19">
        <f t="shared" si="65"/>
        <v>0</v>
      </c>
    </row>
    <row r="257" spans="1:50" hidden="1" x14ac:dyDescent="0.5">
      <c r="A257" s="16"/>
      <c r="B257" s="15"/>
      <c r="C257" s="20"/>
      <c r="D257" s="20"/>
      <c r="E257" s="19"/>
      <c r="F257" s="20"/>
      <c r="G257" s="20"/>
      <c r="H257" s="19"/>
      <c r="I257" s="20"/>
      <c r="J257" s="20"/>
      <c r="K257" s="20"/>
      <c r="L257" s="20"/>
      <c r="M257" s="20"/>
      <c r="N257" s="20"/>
      <c r="O257" s="20"/>
      <c r="P257" s="20"/>
      <c r="Q257" s="19"/>
      <c r="R257" s="20"/>
      <c r="S257" s="20"/>
      <c r="T257" s="19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>
        <f t="shared" si="63"/>
        <v>0</v>
      </c>
      <c r="AW257" s="19">
        <f t="shared" si="64"/>
        <v>0</v>
      </c>
      <c r="AX257" s="19">
        <f t="shared" si="65"/>
        <v>0</v>
      </c>
    </row>
    <row r="258" spans="1:50" hidden="1" x14ac:dyDescent="0.5">
      <c r="A258" s="16"/>
      <c r="B258" s="15"/>
      <c r="C258" s="20"/>
      <c r="D258" s="20"/>
      <c r="E258" s="19"/>
      <c r="F258" s="20"/>
      <c r="G258" s="20"/>
      <c r="H258" s="19"/>
      <c r="I258" s="20"/>
      <c r="J258" s="20"/>
      <c r="K258" s="20"/>
      <c r="L258" s="20"/>
      <c r="M258" s="20"/>
      <c r="N258" s="20"/>
      <c r="O258" s="20"/>
      <c r="P258" s="20"/>
      <c r="Q258" s="19"/>
      <c r="R258" s="20"/>
      <c r="S258" s="20"/>
      <c r="T258" s="19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>
        <f t="shared" si="63"/>
        <v>0</v>
      </c>
      <c r="AW258" s="19">
        <f t="shared" si="64"/>
        <v>0</v>
      </c>
      <c r="AX258" s="19">
        <f t="shared" si="65"/>
        <v>0</v>
      </c>
    </row>
    <row r="259" spans="1:50" hidden="1" x14ac:dyDescent="0.5">
      <c r="A259" s="16"/>
      <c r="B259" s="15"/>
      <c r="C259" s="20"/>
      <c r="D259" s="20"/>
      <c r="E259" s="19"/>
      <c r="F259" s="20"/>
      <c r="G259" s="20"/>
      <c r="H259" s="19"/>
      <c r="I259" s="20"/>
      <c r="J259" s="20"/>
      <c r="K259" s="20"/>
      <c r="L259" s="20"/>
      <c r="M259" s="20"/>
      <c r="N259" s="20"/>
      <c r="O259" s="20"/>
      <c r="P259" s="20"/>
      <c r="Q259" s="19"/>
      <c r="R259" s="20"/>
      <c r="S259" s="20"/>
      <c r="T259" s="19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>
        <f t="shared" si="63"/>
        <v>0</v>
      </c>
      <c r="AW259" s="19">
        <f t="shared" si="64"/>
        <v>0</v>
      </c>
      <c r="AX259" s="19">
        <f t="shared" si="65"/>
        <v>0</v>
      </c>
    </row>
    <row r="260" spans="1:50" hidden="1" x14ac:dyDescent="0.5">
      <c r="A260" s="16"/>
      <c r="B260" s="15"/>
      <c r="C260" s="20"/>
      <c r="D260" s="20"/>
      <c r="E260" s="19"/>
      <c r="F260" s="20"/>
      <c r="G260" s="20"/>
      <c r="H260" s="19"/>
      <c r="I260" s="20"/>
      <c r="J260" s="20"/>
      <c r="K260" s="20"/>
      <c r="L260" s="20"/>
      <c r="M260" s="20"/>
      <c r="N260" s="20"/>
      <c r="O260" s="20"/>
      <c r="P260" s="20"/>
      <c r="Q260" s="19"/>
      <c r="R260" s="20"/>
      <c r="S260" s="20"/>
      <c r="T260" s="19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>
        <f t="shared" si="63"/>
        <v>0</v>
      </c>
      <c r="AW260" s="19">
        <f t="shared" si="64"/>
        <v>0</v>
      </c>
      <c r="AX260" s="19">
        <f t="shared" si="65"/>
        <v>0</v>
      </c>
    </row>
    <row r="261" spans="1:50" hidden="1" x14ac:dyDescent="0.5">
      <c r="A261" s="16"/>
      <c r="B261" s="15"/>
      <c r="C261" s="20"/>
      <c r="D261" s="20"/>
      <c r="E261" s="19"/>
      <c r="F261" s="20"/>
      <c r="G261" s="20"/>
      <c r="H261" s="19"/>
      <c r="I261" s="20"/>
      <c r="J261" s="20"/>
      <c r="K261" s="20"/>
      <c r="L261" s="20"/>
      <c r="M261" s="20"/>
      <c r="N261" s="20"/>
      <c r="O261" s="20"/>
      <c r="P261" s="20"/>
      <c r="Q261" s="19"/>
      <c r="R261" s="20"/>
      <c r="S261" s="20"/>
      <c r="T261" s="19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>
        <f t="shared" si="63"/>
        <v>0</v>
      </c>
      <c r="AW261" s="19">
        <f t="shared" si="64"/>
        <v>0</v>
      </c>
      <c r="AX261" s="19">
        <f t="shared" si="65"/>
        <v>0</v>
      </c>
    </row>
    <row r="262" spans="1:50" hidden="1" x14ac:dyDescent="0.5">
      <c r="A262" s="16"/>
      <c r="B262" s="15"/>
      <c r="C262" s="20"/>
      <c r="D262" s="20"/>
      <c r="E262" s="19"/>
      <c r="F262" s="20"/>
      <c r="G262" s="20"/>
      <c r="H262" s="19"/>
      <c r="I262" s="20"/>
      <c r="J262" s="20"/>
      <c r="K262" s="20"/>
      <c r="L262" s="20"/>
      <c r="M262" s="20"/>
      <c r="N262" s="20"/>
      <c r="O262" s="20"/>
      <c r="P262" s="20"/>
      <c r="Q262" s="19"/>
      <c r="R262" s="20"/>
      <c r="S262" s="20"/>
      <c r="T262" s="19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>
        <f t="shared" si="63"/>
        <v>0</v>
      </c>
      <c r="AW262" s="19">
        <f t="shared" si="64"/>
        <v>0</v>
      </c>
      <c r="AX262" s="19">
        <f t="shared" si="65"/>
        <v>0</v>
      </c>
    </row>
    <row r="263" spans="1:50" hidden="1" x14ac:dyDescent="0.5">
      <c r="A263" s="16"/>
      <c r="B263" s="15"/>
      <c r="C263" s="20"/>
      <c r="D263" s="20"/>
      <c r="E263" s="19"/>
      <c r="F263" s="20"/>
      <c r="G263" s="20"/>
      <c r="H263" s="19"/>
      <c r="I263" s="20"/>
      <c r="J263" s="20"/>
      <c r="K263" s="20"/>
      <c r="L263" s="20"/>
      <c r="M263" s="20"/>
      <c r="N263" s="20"/>
      <c r="O263" s="20"/>
      <c r="P263" s="20"/>
      <c r="Q263" s="19"/>
      <c r="R263" s="20"/>
      <c r="S263" s="20"/>
      <c r="T263" s="19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>
        <f t="shared" si="63"/>
        <v>0</v>
      </c>
      <c r="AW263" s="19">
        <f t="shared" si="64"/>
        <v>0</v>
      </c>
      <c r="AX263" s="19">
        <f t="shared" si="65"/>
        <v>0</v>
      </c>
    </row>
    <row r="264" spans="1:50" hidden="1" x14ac:dyDescent="0.5">
      <c r="A264" s="16"/>
      <c r="B264" s="15"/>
      <c r="C264" s="20"/>
      <c r="D264" s="20"/>
      <c r="E264" s="19"/>
      <c r="F264" s="20"/>
      <c r="G264" s="20"/>
      <c r="H264" s="19"/>
      <c r="I264" s="20"/>
      <c r="J264" s="20"/>
      <c r="K264" s="20"/>
      <c r="L264" s="20"/>
      <c r="M264" s="20"/>
      <c r="N264" s="20"/>
      <c r="O264" s="20"/>
      <c r="P264" s="20"/>
      <c r="Q264" s="19"/>
      <c r="R264" s="20"/>
      <c r="S264" s="20"/>
      <c r="T264" s="19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>
        <f t="shared" si="63"/>
        <v>0</v>
      </c>
      <c r="AW264" s="19">
        <f t="shared" si="64"/>
        <v>0</v>
      </c>
      <c r="AX264" s="19">
        <f t="shared" si="65"/>
        <v>0</v>
      </c>
    </row>
    <row r="265" spans="1:50" hidden="1" x14ac:dyDescent="0.5">
      <c r="A265" s="16"/>
      <c r="B265" s="15"/>
      <c r="C265" s="20"/>
      <c r="D265" s="20"/>
      <c r="E265" s="19"/>
      <c r="F265" s="20"/>
      <c r="G265" s="20"/>
      <c r="H265" s="19"/>
      <c r="I265" s="20"/>
      <c r="J265" s="20"/>
      <c r="K265" s="20"/>
      <c r="L265" s="20"/>
      <c r="M265" s="20"/>
      <c r="N265" s="20"/>
      <c r="O265" s="20"/>
      <c r="P265" s="20"/>
      <c r="Q265" s="19"/>
      <c r="R265" s="20"/>
      <c r="S265" s="20"/>
      <c r="T265" s="19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>
        <f t="shared" si="63"/>
        <v>0</v>
      </c>
      <c r="AW265" s="19">
        <f t="shared" si="64"/>
        <v>0</v>
      </c>
      <c r="AX265" s="19">
        <f t="shared" si="65"/>
        <v>0</v>
      </c>
    </row>
    <row r="266" spans="1:50" hidden="1" x14ac:dyDescent="0.5">
      <c r="A266" s="16"/>
      <c r="B266" s="15"/>
      <c r="C266" s="20"/>
      <c r="D266" s="20"/>
      <c r="E266" s="19"/>
      <c r="F266" s="20"/>
      <c r="G266" s="20"/>
      <c r="H266" s="19"/>
      <c r="I266" s="20"/>
      <c r="J266" s="20"/>
      <c r="K266" s="20"/>
      <c r="L266" s="20"/>
      <c r="M266" s="20"/>
      <c r="N266" s="20"/>
      <c r="O266" s="20"/>
      <c r="P266" s="20"/>
      <c r="Q266" s="19"/>
      <c r="R266" s="20"/>
      <c r="S266" s="20"/>
      <c r="T266" s="19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>
        <f t="shared" si="63"/>
        <v>0</v>
      </c>
      <c r="AW266" s="19">
        <f t="shared" si="64"/>
        <v>0</v>
      </c>
      <c r="AX266" s="19">
        <f t="shared" si="65"/>
        <v>0</v>
      </c>
    </row>
    <row r="267" spans="1:50" hidden="1" x14ac:dyDescent="0.5">
      <c r="A267" s="16"/>
      <c r="B267" s="15"/>
      <c r="C267" s="20"/>
      <c r="D267" s="20"/>
      <c r="E267" s="19"/>
      <c r="F267" s="20"/>
      <c r="G267" s="20"/>
      <c r="H267" s="19"/>
      <c r="I267" s="20"/>
      <c r="J267" s="20"/>
      <c r="K267" s="20"/>
      <c r="L267" s="20"/>
      <c r="M267" s="20"/>
      <c r="N267" s="20"/>
      <c r="O267" s="20"/>
      <c r="P267" s="20"/>
      <c r="Q267" s="19"/>
      <c r="R267" s="20"/>
      <c r="S267" s="20"/>
      <c r="T267" s="19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>
        <f t="shared" si="63"/>
        <v>0</v>
      </c>
      <c r="AW267" s="19">
        <f t="shared" si="64"/>
        <v>0</v>
      </c>
      <c r="AX267" s="19">
        <f t="shared" si="65"/>
        <v>0</v>
      </c>
    </row>
    <row r="268" spans="1:50" hidden="1" x14ac:dyDescent="0.5">
      <c r="A268" s="16"/>
      <c r="B268" s="15"/>
      <c r="C268" s="20"/>
      <c r="D268" s="20"/>
      <c r="E268" s="19"/>
      <c r="F268" s="20"/>
      <c r="G268" s="20"/>
      <c r="H268" s="19"/>
      <c r="I268" s="20"/>
      <c r="J268" s="20"/>
      <c r="K268" s="20"/>
      <c r="L268" s="20"/>
      <c r="M268" s="20"/>
      <c r="N268" s="20"/>
      <c r="O268" s="20"/>
      <c r="P268" s="20"/>
      <c r="Q268" s="19"/>
      <c r="R268" s="20"/>
      <c r="S268" s="20"/>
      <c r="T268" s="19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>
        <f>C268+F268+I268+L268+O268+R268+U268+X268+AA268+AG268+AJ268+AM268+AP268+AS268</f>
        <v>0</v>
      </c>
      <c r="AW268" s="19">
        <f>D268+G268+J268+M268+P268+S268+V268+Y268+AB268+AH268+AK268+AN268+AQ268+AT268</f>
        <v>0</v>
      </c>
      <c r="AX268" s="19">
        <f>E268+H268+K268+N268+Q268+T268+W268+Z268+AC268+AI268+AL268+AO268+AR268+AU268</f>
        <v>0</v>
      </c>
    </row>
    <row r="269" spans="1:50" hidden="1" x14ac:dyDescent="0.5">
      <c r="A269" s="16"/>
      <c r="B269" s="15"/>
      <c r="C269" s="20"/>
      <c r="D269" s="20"/>
      <c r="E269" s="19"/>
      <c r="F269" s="20"/>
      <c r="G269" s="20"/>
      <c r="H269" s="19"/>
      <c r="I269" s="20"/>
      <c r="J269" s="20"/>
      <c r="K269" s="20"/>
      <c r="L269" s="20"/>
      <c r="M269" s="20"/>
      <c r="N269" s="20"/>
      <c r="O269" s="20"/>
      <c r="P269" s="20"/>
      <c r="Q269" s="19"/>
      <c r="R269" s="20"/>
      <c r="S269" s="20"/>
      <c r="T269" s="19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>
        <f t="shared" ref="AV269:AV270" si="69">C269+F269+I269+L269+O269+R269+U269+X269+AA269+AG269+AJ269+AM269+AP269+AS269</f>
        <v>0</v>
      </c>
      <c r="AW269" s="19">
        <f t="shared" ref="AW269:AW270" si="70">D269+G269+J269+M269+P269+S269+V269+Y269+AB269+AH269+AK269+AN269+AQ269+AT269</f>
        <v>0</v>
      </c>
      <c r="AX269" s="19">
        <f t="shared" ref="AX269:AX270" si="71">E269+H269+K269+N269+Q269+T269+W269+Z269+AC269+AI269+AL269+AO269+AR269+AU269</f>
        <v>0</v>
      </c>
    </row>
    <row r="270" spans="1:50" hidden="1" x14ac:dyDescent="0.5">
      <c r="A270" s="16"/>
      <c r="B270" s="15"/>
      <c r="C270" s="20"/>
      <c r="D270" s="20"/>
      <c r="E270" s="19"/>
      <c r="F270" s="20"/>
      <c r="G270" s="20"/>
      <c r="H270" s="19"/>
      <c r="I270" s="20"/>
      <c r="J270" s="20"/>
      <c r="K270" s="20"/>
      <c r="L270" s="20"/>
      <c r="M270" s="20"/>
      <c r="N270" s="20"/>
      <c r="O270" s="20"/>
      <c r="P270" s="20"/>
      <c r="Q270" s="19"/>
      <c r="R270" s="20"/>
      <c r="S270" s="20"/>
      <c r="T270" s="19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>
        <f t="shared" si="69"/>
        <v>0</v>
      </c>
      <c r="AW270" s="19">
        <f t="shared" si="70"/>
        <v>0</v>
      </c>
      <c r="AX270" s="19">
        <f t="shared" si="71"/>
        <v>0</v>
      </c>
    </row>
    <row r="271" spans="1:50" hidden="1" x14ac:dyDescent="0.5">
      <c r="A271" s="14"/>
      <c r="B271" s="13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8">
        <f>SUM(AA242:AA254)</f>
        <v>0</v>
      </c>
      <c r="AB271" s="18">
        <f>SUM(AB242:AB254)</f>
        <v>0</v>
      </c>
      <c r="AV271" s="182">
        <f>SUM(AV242:AV270)</f>
        <v>0</v>
      </c>
      <c r="AW271" s="182">
        <f>SUM(AW242:AW270)</f>
        <v>0</v>
      </c>
      <c r="AX271" s="182">
        <f t="shared" ref="AX271" si="72">SUM(AX242:AX270)</f>
        <v>0</v>
      </c>
    </row>
    <row r="272" spans="1:50" hidden="1" x14ac:dyDescent="0.5"/>
    <row r="273" spans="1:50" hidden="1" x14ac:dyDescent="0.5"/>
    <row r="274" spans="1:50" hidden="1" x14ac:dyDescent="0.5">
      <c r="A274" s="550" t="s">
        <v>388</v>
      </c>
      <c r="B274" s="550"/>
    </row>
    <row r="275" spans="1:50" hidden="1" x14ac:dyDescent="0.5"/>
    <row r="276" spans="1:50" hidden="1" x14ac:dyDescent="0.5">
      <c r="A276" s="551" t="s">
        <v>118</v>
      </c>
      <c r="B276" s="552" t="s">
        <v>135</v>
      </c>
      <c r="C276" s="553"/>
      <c r="D276" s="553"/>
      <c r="E276" s="553"/>
      <c r="F276" s="553"/>
      <c r="G276" s="553"/>
      <c r="H276" s="553"/>
      <c r="I276" s="553"/>
      <c r="J276" s="553"/>
      <c r="K276" s="553"/>
      <c r="L276" s="553"/>
      <c r="M276" s="553"/>
      <c r="N276" s="553"/>
      <c r="O276" s="553"/>
      <c r="P276" s="553"/>
      <c r="Q276" s="553"/>
      <c r="R276" s="553"/>
      <c r="S276" s="553"/>
      <c r="T276" s="553"/>
      <c r="U276" s="553"/>
      <c r="V276" s="553"/>
      <c r="W276" s="553"/>
      <c r="X276" s="553"/>
      <c r="Y276" s="553"/>
      <c r="Z276" s="553"/>
      <c r="AA276" s="553"/>
      <c r="AB276" s="553"/>
      <c r="AC276" s="553"/>
      <c r="AD276" s="553"/>
      <c r="AE276" s="553"/>
      <c r="AF276" s="553"/>
      <c r="AG276" s="553"/>
      <c r="AH276" s="553"/>
      <c r="AI276" s="553"/>
      <c r="AJ276" s="553"/>
      <c r="AK276" s="553"/>
      <c r="AL276" s="553"/>
      <c r="AM276" s="553"/>
      <c r="AN276" s="553"/>
      <c r="AO276" s="553"/>
      <c r="AP276" s="553"/>
      <c r="AQ276" s="553"/>
      <c r="AR276" s="553"/>
      <c r="AS276" s="553"/>
      <c r="AT276" s="553"/>
      <c r="AU276" s="553"/>
      <c r="AV276" s="553"/>
      <c r="AW276" s="553"/>
      <c r="AX276" s="553"/>
    </row>
    <row r="277" spans="1:50" hidden="1" x14ac:dyDescent="0.5">
      <c r="A277" s="551"/>
      <c r="B277" s="552"/>
      <c r="C277" s="554" t="s">
        <v>124</v>
      </c>
      <c r="D277" s="555"/>
      <c r="E277" s="556"/>
      <c r="F277" s="554" t="s">
        <v>133</v>
      </c>
      <c r="G277" s="555"/>
      <c r="H277" s="556"/>
      <c r="I277" s="554" t="s">
        <v>132</v>
      </c>
      <c r="J277" s="555"/>
      <c r="K277" s="556"/>
      <c r="L277" s="554" t="s">
        <v>131</v>
      </c>
      <c r="M277" s="555"/>
      <c r="N277" s="556"/>
      <c r="O277" s="554" t="s">
        <v>130</v>
      </c>
      <c r="P277" s="555"/>
      <c r="Q277" s="556"/>
      <c r="R277" s="554" t="s">
        <v>129</v>
      </c>
      <c r="S277" s="555"/>
      <c r="T277" s="556"/>
      <c r="U277" s="554" t="s">
        <v>128</v>
      </c>
      <c r="V277" s="555"/>
      <c r="W277" s="556"/>
      <c r="X277" s="554" t="s">
        <v>127</v>
      </c>
      <c r="Y277" s="555"/>
      <c r="Z277" s="556"/>
      <c r="AA277" s="554" t="s">
        <v>126</v>
      </c>
      <c r="AB277" s="555"/>
      <c r="AC277" s="556"/>
      <c r="AD277" s="554" t="s">
        <v>378</v>
      </c>
      <c r="AE277" s="555"/>
      <c r="AF277" s="556"/>
      <c r="AG277" s="554" t="s">
        <v>125</v>
      </c>
      <c r="AH277" s="555"/>
      <c r="AI277" s="556"/>
      <c r="AJ277" s="554" t="s">
        <v>124</v>
      </c>
      <c r="AK277" s="555"/>
      <c r="AL277" s="556"/>
      <c r="AM277" s="554" t="s">
        <v>123</v>
      </c>
      <c r="AN277" s="555"/>
      <c r="AO277" s="556"/>
      <c r="AP277" s="554" t="s">
        <v>367</v>
      </c>
      <c r="AQ277" s="555"/>
      <c r="AR277" s="556"/>
      <c r="AS277" s="554" t="s">
        <v>368</v>
      </c>
      <c r="AT277" s="555"/>
      <c r="AU277" s="556"/>
      <c r="AV277" s="554" t="s">
        <v>122</v>
      </c>
      <c r="AW277" s="555"/>
      <c r="AX277" s="556"/>
    </row>
    <row r="278" spans="1:50" hidden="1" x14ac:dyDescent="0.5">
      <c r="A278" s="551"/>
      <c r="B278" s="552"/>
      <c r="C278" s="17" t="s">
        <v>109</v>
      </c>
      <c r="D278" s="17" t="s">
        <v>108</v>
      </c>
      <c r="E278" s="17" t="s">
        <v>348</v>
      </c>
      <c r="F278" s="17" t="s">
        <v>109</v>
      </c>
      <c r="G278" s="17" t="s">
        <v>108</v>
      </c>
      <c r="H278" s="17" t="s">
        <v>348</v>
      </c>
      <c r="I278" s="17" t="s">
        <v>109</v>
      </c>
      <c r="J278" s="17" t="s">
        <v>108</v>
      </c>
      <c r="K278" s="17" t="s">
        <v>348</v>
      </c>
      <c r="L278" s="17" t="s">
        <v>109</v>
      </c>
      <c r="M278" s="17" t="s">
        <v>108</v>
      </c>
      <c r="N278" s="17" t="s">
        <v>348</v>
      </c>
      <c r="O278" s="17" t="s">
        <v>109</v>
      </c>
      <c r="P278" s="17" t="s">
        <v>108</v>
      </c>
      <c r="Q278" s="17" t="s">
        <v>348</v>
      </c>
      <c r="R278" s="17" t="s">
        <v>109</v>
      </c>
      <c r="S278" s="17" t="s">
        <v>108</v>
      </c>
      <c r="T278" s="17" t="s">
        <v>348</v>
      </c>
      <c r="U278" s="17" t="s">
        <v>109</v>
      </c>
      <c r="V278" s="17" t="s">
        <v>108</v>
      </c>
      <c r="W278" s="17" t="s">
        <v>348</v>
      </c>
      <c r="X278" s="17" t="s">
        <v>109</v>
      </c>
      <c r="Y278" s="17" t="s">
        <v>108</v>
      </c>
      <c r="Z278" s="17" t="s">
        <v>348</v>
      </c>
      <c r="AA278" s="17" t="s">
        <v>109</v>
      </c>
      <c r="AB278" s="17" t="s">
        <v>108</v>
      </c>
      <c r="AC278" s="17" t="s">
        <v>348</v>
      </c>
      <c r="AD278" s="17"/>
      <c r="AE278" s="17"/>
      <c r="AF278" s="17"/>
      <c r="AG278" s="17" t="s">
        <v>109</v>
      </c>
      <c r="AH278" s="17" t="s">
        <v>108</v>
      </c>
      <c r="AI278" s="17" t="s">
        <v>348</v>
      </c>
      <c r="AJ278" s="17" t="s">
        <v>109</v>
      </c>
      <c r="AK278" s="17" t="s">
        <v>108</v>
      </c>
      <c r="AL278" s="17" t="s">
        <v>348</v>
      </c>
      <c r="AM278" s="17" t="s">
        <v>109</v>
      </c>
      <c r="AN278" s="17" t="s">
        <v>108</v>
      </c>
      <c r="AO278" s="17" t="s">
        <v>348</v>
      </c>
      <c r="AP278" s="17" t="s">
        <v>109</v>
      </c>
      <c r="AQ278" s="17" t="s">
        <v>108</v>
      </c>
      <c r="AR278" s="17" t="s">
        <v>348</v>
      </c>
      <c r="AS278" s="17" t="s">
        <v>109</v>
      </c>
      <c r="AT278" s="17" t="s">
        <v>108</v>
      </c>
      <c r="AU278" s="17" t="s">
        <v>348</v>
      </c>
      <c r="AV278" s="17" t="s">
        <v>109</v>
      </c>
      <c r="AW278" s="17" t="s">
        <v>108</v>
      </c>
      <c r="AX278" s="17" t="s">
        <v>348</v>
      </c>
    </row>
    <row r="279" spans="1:50" hidden="1" x14ac:dyDescent="0.5">
      <c r="A279" s="16"/>
      <c r="B279" s="15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>
        <f>C279+F279+I279+L279+O279+R279+U279+X279+AA279+AG279+AJ279+AM279+AP279+AS279</f>
        <v>0</v>
      </c>
      <c r="AW279" s="19">
        <f>D279+G279+J279+M279+P279+S279+V279+Y279+AB279+AH279+AK279+AN279+AQ279+AT279</f>
        <v>0</v>
      </c>
      <c r="AX279" s="19">
        <f>E279+H279+K279+N279+Q279+T279+W279+Z279+AC279+AI279+AL279+AO279+AR279+AU279</f>
        <v>0</v>
      </c>
    </row>
    <row r="280" spans="1:50" hidden="1" x14ac:dyDescent="0.5">
      <c r="A280" s="16"/>
      <c r="B280" s="15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21"/>
      <c r="P280" s="178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>
        <f t="shared" ref="AV280:AV299" si="73">C280+F280+I280+L280+O280+R280+U280+X280+AA280+AG280+AJ280+AM280</f>
        <v>0</v>
      </c>
      <c r="AW280" s="19">
        <f>D280+G280+J280+M280+P280+S280+V280+Y280+AB280+AH280+AK280+AN280+AE280</f>
        <v>0</v>
      </c>
      <c r="AX280" s="19">
        <f>E280+H280+K280+N280+Q280+T280+W280+Z280+AC280+AI280+AL280+AN280+AF280</f>
        <v>0</v>
      </c>
    </row>
    <row r="281" spans="1:50" hidden="1" x14ac:dyDescent="0.5">
      <c r="A281" s="16"/>
      <c r="B281" s="15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>
        <f t="shared" si="73"/>
        <v>0</v>
      </c>
      <c r="AW281" s="19">
        <f t="shared" ref="AW281:AW299" si="74">D281+G281+J281+M281+P281+S281+V281+Y281+AB281+AH281+AK281+AN281</f>
        <v>0</v>
      </c>
      <c r="AX281" s="19">
        <f t="shared" ref="AX281:AX299" si="75">E281+H281+K281+N281+Q281+T281+W281+Z281+AC281+AI281+AL281+AN281</f>
        <v>0</v>
      </c>
    </row>
    <row r="282" spans="1:50" hidden="1" x14ac:dyDescent="0.5">
      <c r="A282" s="16"/>
      <c r="B282" s="15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>
        <f t="shared" si="73"/>
        <v>0</v>
      </c>
      <c r="AW282" s="19">
        <f t="shared" si="74"/>
        <v>0</v>
      </c>
      <c r="AX282" s="19">
        <f t="shared" si="75"/>
        <v>0</v>
      </c>
    </row>
    <row r="283" spans="1:50" hidden="1" x14ac:dyDescent="0.5">
      <c r="A283" s="16"/>
      <c r="B283" s="15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>
        <f t="shared" si="73"/>
        <v>0</v>
      </c>
      <c r="AW283" s="19">
        <f t="shared" si="74"/>
        <v>0</v>
      </c>
      <c r="AX283" s="19">
        <f t="shared" si="75"/>
        <v>0</v>
      </c>
    </row>
    <row r="284" spans="1:50" hidden="1" x14ac:dyDescent="0.5">
      <c r="A284" s="16"/>
      <c r="B284" s="15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>
        <f t="shared" si="73"/>
        <v>0</v>
      </c>
      <c r="AW284" s="19">
        <f t="shared" si="74"/>
        <v>0</v>
      </c>
      <c r="AX284" s="19">
        <f t="shared" si="75"/>
        <v>0</v>
      </c>
    </row>
    <row r="285" spans="1:50" hidden="1" x14ac:dyDescent="0.5">
      <c r="A285" s="16"/>
      <c r="B285" s="15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>
        <f t="shared" si="73"/>
        <v>0</v>
      </c>
      <c r="AW285" s="19">
        <f t="shared" si="74"/>
        <v>0</v>
      </c>
      <c r="AX285" s="19">
        <f t="shared" si="75"/>
        <v>0</v>
      </c>
    </row>
    <row r="286" spans="1:50" hidden="1" x14ac:dyDescent="0.5">
      <c r="A286" s="16"/>
      <c r="B286" s="15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>
        <f t="shared" si="73"/>
        <v>0</v>
      </c>
      <c r="AW286" s="19">
        <f t="shared" si="74"/>
        <v>0</v>
      </c>
      <c r="AX286" s="19">
        <f t="shared" si="75"/>
        <v>0</v>
      </c>
    </row>
    <row r="287" spans="1:50" hidden="1" x14ac:dyDescent="0.5">
      <c r="A287" s="16"/>
      <c r="B287" s="15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>
        <f t="shared" si="73"/>
        <v>0</v>
      </c>
      <c r="AW287" s="19">
        <f t="shared" si="74"/>
        <v>0</v>
      </c>
      <c r="AX287" s="19">
        <f t="shared" si="75"/>
        <v>0</v>
      </c>
    </row>
    <row r="288" spans="1:50" hidden="1" x14ac:dyDescent="0.5">
      <c r="A288" s="16"/>
      <c r="B288" s="15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>
        <f t="shared" si="73"/>
        <v>0</v>
      </c>
      <c r="AW288" s="19">
        <f t="shared" si="74"/>
        <v>0</v>
      </c>
      <c r="AX288" s="19">
        <f t="shared" si="75"/>
        <v>0</v>
      </c>
    </row>
    <row r="289" spans="1:50" hidden="1" x14ac:dyDescent="0.5">
      <c r="A289" s="16"/>
      <c r="B289" s="15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>
        <f t="shared" si="73"/>
        <v>0</v>
      </c>
      <c r="AW289" s="19">
        <f t="shared" si="74"/>
        <v>0</v>
      </c>
      <c r="AX289" s="19">
        <f t="shared" si="75"/>
        <v>0</v>
      </c>
    </row>
    <row r="290" spans="1:50" hidden="1" x14ac:dyDescent="0.5">
      <c r="A290" s="16"/>
      <c r="B290" s="15"/>
      <c r="C290" s="20"/>
      <c r="D290" s="20"/>
      <c r="E290" s="19"/>
      <c r="F290" s="20"/>
      <c r="G290" s="20"/>
      <c r="H290" s="19"/>
      <c r="I290" s="20"/>
      <c r="J290" s="20"/>
      <c r="K290" s="20"/>
      <c r="L290" s="20"/>
      <c r="M290" s="20"/>
      <c r="N290" s="20"/>
      <c r="O290" s="20"/>
      <c r="P290" s="20"/>
      <c r="Q290" s="19"/>
      <c r="R290" s="20"/>
      <c r="S290" s="20"/>
      <c r="T290" s="19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>
        <f t="shared" si="73"/>
        <v>0</v>
      </c>
      <c r="AW290" s="19">
        <f t="shared" si="74"/>
        <v>0</v>
      </c>
      <c r="AX290" s="19">
        <f t="shared" si="75"/>
        <v>0</v>
      </c>
    </row>
    <row r="291" spans="1:50" hidden="1" x14ac:dyDescent="0.5">
      <c r="A291" s="16"/>
      <c r="B291" s="15"/>
      <c r="C291" s="20"/>
      <c r="D291" s="20"/>
      <c r="E291" s="19"/>
      <c r="F291" s="20"/>
      <c r="G291" s="20"/>
      <c r="H291" s="19"/>
      <c r="I291" s="20"/>
      <c r="J291" s="20"/>
      <c r="K291" s="20"/>
      <c r="L291" s="20"/>
      <c r="M291" s="20"/>
      <c r="N291" s="20"/>
      <c r="O291" s="20"/>
      <c r="P291" s="20"/>
      <c r="Q291" s="19"/>
      <c r="R291" s="20"/>
      <c r="S291" s="20"/>
      <c r="T291" s="19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>
        <f t="shared" si="73"/>
        <v>0</v>
      </c>
      <c r="AW291" s="19">
        <f t="shared" si="74"/>
        <v>0</v>
      </c>
      <c r="AX291" s="19">
        <f t="shared" si="75"/>
        <v>0</v>
      </c>
    </row>
    <row r="292" spans="1:50" hidden="1" x14ac:dyDescent="0.5">
      <c r="A292" s="16"/>
      <c r="B292" s="15"/>
      <c r="C292" s="20"/>
      <c r="D292" s="20"/>
      <c r="E292" s="19"/>
      <c r="F292" s="20"/>
      <c r="G292" s="20"/>
      <c r="H292" s="19"/>
      <c r="I292" s="20"/>
      <c r="J292" s="20"/>
      <c r="K292" s="20"/>
      <c r="L292" s="20"/>
      <c r="M292" s="20"/>
      <c r="N292" s="20"/>
      <c r="O292" s="20"/>
      <c r="P292" s="20"/>
      <c r="Q292" s="19"/>
      <c r="R292" s="20"/>
      <c r="S292" s="20"/>
      <c r="T292" s="19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>
        <f t="shared" si="73"/>
        <v>0</v>
      </c>
      <c r="AW292" s="19">
        <f t="shared" si="74"/>
        <v>0</v>
      </c>
      <c r="AX292" s="19">
        <f t="shared" si="75"/>
        <v>0</v>
      </c>
    </row>
    <row r="293" spans="1:50" hidden="1" x14ac:dyDescent="0.5">
      <c r="A293" s="16"/>
      <c r="B293" s="15"/>
      <c r="C293" s="20"/>
      <c r="D293" s="20"/>
      <c r="E293" s="19"/>
      <c r="F293" s="20"/>
      <c r="G293" s="20"/>
      <c r="H293" s="19"/>
      <c r="I293" s="20"/>
      <c r="J293" s="20"/>
      <c r="K293" s="20"/>
      <c r="L293" s="20"/>
      <c r="M293" s="20"/>
      <c r="N293" s="20"/>
      <c r="O293" s="20"/>
      <c r="P293" s="20"/>
      <c r="Q293" s="19"/>
      <c r="R293" s="20"/>
      <c r="S293" s="20"/>
      <c r="T293" s="19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>
        <f t="shared" si="73"/>
        <v>0</v>
      </c>
      <c r="AW293" s="19">
        <f t="shared" si="74"/>
        <v>0</v>
      </c>
      <c r="AX293" s="19">
        <f t="shared" si="75"/>
        <v>0</v>
      </c>
    </row>
    <row r="294" spans="1:50" hidden="1" x14ac:dyDescent="0.5">
      <c r="A294" s="16"/>
      <c r="B294" s="15"/>
      <c r="C294" s="20"/>
      <c r="D294" s="20"/>
      <c r="E294" s="19"/>
      <c r="F294" s="20"/>
      <c r="G294" s="20"/>
      <c r="H294" s="19"/>
      <c r="I294" s="20"/>
      <c r="J294" s="20"/>
      <c r="K294" s="20"/>
      <c r="L294" s="20"/>
      <c r="M294" s="20"/>
      <c r="N294" s="20"/>
      <c r="O294" s="20"/>
      <c r="P294" s="20"/>
      <c r="Q294" s="19"/>
      <c r="R294" s="20"/>
      <c r="S294" s="20"/>
      <c r="T294" s="19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>
        <f t="shared" si="73"/>
        <v>0</v>
      </c>
      <c r="AW294" s="19">
        <f t="shared" si="74"/>
        <v>0</v>
      </c>
      <c r="AX294" s="19">
        <f t="shared" si="75"/>
        <v>0</v>
      </c>
    </row>
    <row r="295" spans="1:50" hidden="1" x14ac:dyDescent="0.5">
      <c r="A295" s="16"/>
      <c r="B295" s="15"/>
      <c r="C295" s="20"/>
      <c r="D295" s="20"/>
      <c r="E295" s="19"/>
      <c r="F295" s="20"/>
      <c r="G295" s="20"/>
      <c r="H295" s="19"/>
      <c r="I295" s="20"/>
      <c r="J295" s="20"/>
      <c r="K295" s="20"/>
      <c r="L295" s="20"/>
      <c r="M295" s="20"/>
      <c r="N295" s="20"/>
      <c r="O295" s="20"/>
      <c r="P295" s="20"/>
      <c r="Q295" s="19"/>
      <c r="R295" s="20"/>
      <c r="S295" s="20"/>
      <c r="T295" s="19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>
        <f t="shared" si="73"/>
        <v>0</v>
      </c>
      <c r="AW295" s="19">
        <f t="shared" si="74"/>
        <v>0</v>
      </c>
      <c r="AX295" s="19">
        <f t="shared" si="75"/>
        <v>0</v>
      </c>
    </row>
    <row r="296" spans="1:50" hidden="1" x14ac:dyDescent="0.5">
      <c r="A296" s="16"/>
      <c r="B296" s="15"/>
      <c r="C296" s="20"/>
      <c r="D296" s="20"/>
      <c r="E296" s="19"/>
      <c r="F296" s="20"/>
      <c r="G296" s="20"/>
      <c r="H296" s="19"/>
      <c r="I296" s="20"/>
      <c r="J296" s="20"/>
      <c r="K296" s="20"/>
      <c r="L296" s="20"/>
      <c r="M296" s="20"/>
      <c r="N296" s="20"/>
      <c r="O296" s="20"/>
      <c r="P296" s="20"/>
      <c r="Q296" s="19"/>
      <c r="R296" s="20"/>
      <c r="S296" s="20"/>
      <c r="T296" s="19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>
        <f t="shared" si="73"/>
        <v>0</v>
      </c>
      <c r="AW296" s="19">
        <f t="shared" si="74"/>
        <v>0</v>
      </c>
      <c r="AX296" s="19">
        <f t="shared" si="75"/>
        <v>0</v>
      </c>
    </row>
    <row r="297" spans="1:50" hidden="1" x14ac:dyDescent="0.5">
      <c r="A297" s="16"/>
      <c r="B297" s="15"/>
      <c r="C297" s="20"/>
      <c r="D297" s="20"/>
      <c r="E297" s="19"/>
      <c r="F297" s="20"/>
      <c r="G297" s="20"/>
      <c r="H297" s="19"/>
      <c r="I297" s="20"/>
      <c r="J297" s="20"/>
      <c r="K297" s="20"/>
      <c r="L297" s="20"/>
      <c r="M297" s="20"/>
      <c r="N297" s="20"/>
      <c r="O297" s="20"/>
      <c r="P297" s="20"/>
      <c r="Q297" s="19"/>
      <c r="R297" s="20"/>
      <c r="S297" s="20"/>
      <c r="T297" s="19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>
        <f t="shared" si="73"/>
        <v>0</v>
      </c>
      <c r="AW297" s="19">
        <f t="shared" si="74"/>
        <v>0</v>
      </c>
      <c r="AX297" s="19">
        <f t="shared" si="75"/>
        <v>0</v>
      </c>
    </row>
    <row r="298" spans="1:50" hidden="1" x14ac:dyDescent="0.5">
      <c r="A298" s="16"/>
      <c r="B298" s="15"/>
      <c r="C298" s="20"/>
      <c r="D298" s="20"/>
      <c r="E298" s="19"/>
      <c r="F298" s="20"/>
      <c r="G298" s="20"/>
      <c r="H298" s="19"/>
      <c r="I298" s="20"/>
      <c r="J298" s="20"/>
      <c r="K298" s="20"/>
      <c r="L298" s="20"/>
      <c r="M298" s="20"/>
      <c r="N298" s="20"/>
      <c r="O298" s="20"/>
      <c r="P298" s="20"/>
      <c r="Q298" s="19"/>
      <c r="R298" s="20"/>
      <c r="S298" s="20"/>
      <c r="T298" s="19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>
        <f t="shared" si="73"/>
        <v>0</v>
      </c>
      <c r="AW298" s="19">
        <f t="shared" si="74"/>
        <v>0</v>
      </c>
      <c r="AX298" s="19">
        <f t="shared" si="75"/>
        <v>0</v>
      </c>
    </row>
    <row r="299" spans="1:50" hidden="1" x14ac:dyDescent="0.5">
      <c r="A299" s="16"/>
      <c r="B299" s="15"/>
      <c r="C299" s="20"/>
      <c r="D299" s="20"/>
      <c r="E299" s="19"/>
      <c r="F299" s="20"/>
      <c r="G299" s="20"/>
      <c r="H299" s="19"/>
      <c r="I299" s="20"/>
      <c r="J299" s="20"/>
      <c r="K299" s="20"/>
      <c r="L299" s="20"/>
      <c r="M299" s="20"/>
      <c r="N299" s="20"/>
      <c r="O299" s="20"/>
      <c r="P299" s="20"/>
      <c r="Q299" s="19"/>
      <c r="R299" s="20"/>
      <c r="S299" s="20"/>
      <c r="T299" s="19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>
        <f t="shared" si="73"/>
        <v>0</v>
      </c>
      <c r="AW299" s="19">
        <f t="shared" si="74"/>
        <v>0</v>
      </c>
      <c r="AX299" s="19">
        <f t="shared" si="75"/>
        <v>0</v>
      </c>
    </row>
    <row r="300" spans="1:50" hidden="1" x14ac:dyDescent="0.5">
      <c r="A300" s="14"/>
      <c r="B300" s="13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8">
        <f>SUM(AA279:AA291)</f>
        <v>0</v>
      </c>
      <c r="AB300" s="18">
        <f>SUM(AB279:AB291)</f>
        <v>0</v>
      </c>
      <c r="AV300" s="182">
        <f>SUM(AV279:AV299)</f>
        <v>0</v>
      </c>
      <c r="AW300" s="182">
        <f>SUM(AW279:AW299)</f>
        <v>0</v>
      </c>
      <c r="AX300" s="182">
        <f>SUM(AX279:AX299)</f>
        <v>0</v>
      </c>
    </row>
    <row r="301" spans="1:50" hidden="1" x14ac:dyDescent="0.5"/>
    <row r="302" spans="1:50" hidden="1" x14ac:dyDescent="0.5">
      <c r="A302" s="550" t="s">
        <v>390</v>
      </c>
      <c r="B302" s="550"/>
    </row>
    <row r="303" spans="1:50" hidden="1" x14ac:dyDescent="0.5"/>
    <row r="304" spans="1:50" ht="20.100000000000001" hidden="1" customHeight="1" x14ac:dyDescent="0.5">
      <c r="A304" s="551" t="s">
        <v>118</v>
      </c>
      <c r="B304" s="552" t="s">
        <v>135</v>
      </c>
      <c r="C304" s="553"/>
      <c r="D304" s="553"/>
      <c r="E304" s="553"/>
      <c r="F304" s="553"/>
      <c r="G304" s="553"/>
      <c r="H304" s="553"/>
      <c r="I304" s="553"/>
      <c r="J304" s="553"/>
      <c r="K304" s="553"/>
      <c r="L304" s="553"/>
      <c r="M304" s="553"/>
      <c r="N304" s="553"/>
      <c r="O304" s="553"/>
      <c r="P304" s="553"/>
      <c r="Q304" s="553"/>
      <c r="R304" s="553"/>
      <c r="S304" s="553"/>
      <c r="T304" s="553"/>
      <c r="U304" s="553"/>
      <c r="V304" s="553"/>
      <c r="W304" s="553"/>
      <c r="X304" s="553"/>
      <c r="Y304" s="553"/>
      <c r="Z304" s="553"/>
      <c r="AA304" s="553"/>
      <c r="AB304" s="553"/>
      <c r="AC304" s="553"/>
      <c r="AD304" s="553"/>
      <c r="AE304" s="553"/>
      <c r="AF304" s="553"/>
      <c r="AG304" s="553"/>
      <c r="AH304" s="553"/>
      <c r="AI304" s="553"/>
      <c r="AJ304" s="553"/>
      <c r="AK304" s="553"/>
      <c r="AL304" s="553"/>
      <c r="AM304" s="553"/>
      <c r="AN304" s="553"/>
      <c r="AO304" s="553"/>
      <c r="AP304" s="553"/>
      <c r="AQ304" s="553"/>
      <c r="AR304" s="553"/>
      <c r="AS304" s="553"/>
      <c r="AT304" s="553"/>
      <c r="AU304" s="553"/>
      <c r="AV304" s="553"/>
      <c r="AW304" s="553"/>
      <c r="AX304" s="553"/>
    </row>
    <row r="305" spans="1:50" ht="20.100000000000001" hidden="1" customHeight="1" x14ac:dyDescent="0.5">
      <c r="A305" s="551"/>
      <c r="B305" s="552"/>
      <c r="C305" s="554" t="s">
        <v>124</v>
      </c>
      <c r="D305" s="555"/>
      <c r="E305" s="556"/>
      <c r="F305" s="554" t="s">
        <v>133</v>
      </c>
      <c r="G305" s="555"/>
      <c r="H305" s="556"/>
      <c r="I305" s="554" t="s">
        <v>132</v>
      </c>
      <c r="J305" s="555"/>
      <c r="K305" s="556"/>
      <c r="L305" s="554" t="s">
        <v>131</v>
      </c>
      <c r="M305" s="555"/>
      <c r="N305" s="556"/>
      <c r="O305" s="554" t="s">
        <v>130</v>
      </c>
      <c r="P305" s="555"/>
      <c r="Q305" s="556"/>
      <c r="R305" s="554" t="s">
        <v>129</v>
      </c>
      <c r="S305" s="555"/>
      <c r="T305" s="556"/>
      <c r="U305" s="554" t="s">
        <v>128</v>
      </c>
      <c r="V305" s="555"/>
      <c r="W305" s="556"/>
      <c r="X305" s="554" t="s">
        <v>127</v>
      </c>
      <c r="Y305" s="555"/>
      <c r="Z305" s="556"/>
      <c r="AA305" s="554" t="s">
        <v>126</v>
      </c>
      <c r="AB305" s="555"/>
      <c r="AC305" s="556"/>
      <c r="AD305" s="554" t="s">
        <v>378</v>
      </c>
      <c r="AE305" s="555"/>
      <c r="AF305" s="556"/>
      <c r="AG305" s="554" t="s">
        <v>125</v>
      </c>
      <c r="AH305" s="555"/>
      <c r="AI305" s="556"/>
      <c r="AJ305" s="554" t="s">
        <v>124</v>
      </c>
      <c r="AK305" s="555"/>
      <c r="AL305" s="556"/>
      <c r="AM305" s="554" t="s">
        <v>123</v>
      </c>
      <c r="AN305" s="555"/>
      <c r="AO305" s="556"/>
      <c r="AP305" s="554" t="s">
        <v>367</v>
      </c>
      <c r="AQ305" s="555"/>
      <c r="AR305" s="556"/>
      <c r="AS305" s="554" t="s">
        <v>368</v>
      </c>
      <c r="AT305" s="555"/>
      <c r="AU305" s="556"/>
      <c r="AV305" s="554" t="s">
        <v>122</v>
      </c>
      <c r="AW305" s="555"/>
      <c r="AX305" s="556"/>
    </row>
    <row r="306" spans="1:50" ht="20.100000000000001" hidden="1" customHeight="1" x14ac:dyDescent="0.5">
      <c r="A306" s="551"/>
      <c r="B306" s="552"/>
      <c r="C306" s="17" t="s">
        <v>109</v>
      </c>
      <c r="D306" s="17" t="s">
        <v>108</v>
      </c>
      <c r="E306" s="17" t="s">
        <v>348</v>
      </c>
      <c r="F306" s="17" t="s">
        <v>109</v>
      </c>
      <c r="G306" s="17" t="s">
        <v>108</v>
      </c>
      <c r="H306" s="17" t="s">
        <v>348</v>
      </c>
      <c r="I306" s="17" t="s">
        <v>109</v>
      </c>
      <c r="J306" s="17" t="s">
        <v>108</v>
      </c>
      <c r="K306" s="17" t="s">
        <v>348</v>
      </c>
      <c r="L306" s="17" t="s">
        <v>109</v>
      </c>
      <c r="M306" s="17" t="s">
        <v>108</v>
      </c>
      <c r="N306" s="17" t="s">
        <v>348</v>
      </c>
      <c r="O306" s="17" t="s">
        <v>109</v>
      </c>
      <c r="P306" s="17" t="s">
        <v>108</v>
      </c>
      <c r="Q306" s="17" t="s">
        <v>348</v>
      </c>
      <c r="R306" s="17" t="s">
        <v>109</v>
      </c>
      <c r="S306" s="17" t="s">
        <v>108</v>
      </c>
      <c r="T306" s="17" t="s">
        <v>348</v>
      </c>
      <c r="U306" s="17" t="s">
        <v>109</v>
      </c>
      <c r="V306" s="17" t="s">
        <v>108</v>
      </c>
      <c r="W306" s="17" t="s">
        <v>348</v>
      </c>
      <c r="X306" s="17" t="s">
        <v>109</v>
      </c>
      <c r="Y306" s="17" t="s">
        <v>108</v>
      </c>
      <c r="Z306" s="17" t="s">
        <v>348</v>
      </c>
      <c r="AA306" s="17" t="s">
        <v>109</v>
      </c>
      <c r="AB306" s="17" t="s">
        <v>108</v>
      </c>
      <c r="AC306" s="17" t="s">
        <v>348</v>
      </c>
      <c r="AD306" s="17"/>
      <c r="AE306" s="17"/>
      <c r="AF306" s="17"/>
      <c r="AG306" s="17" t="s">
        <v>109</v>
      </c>
      <c r="AH306" s="17" t="s">
        <v>108</v>
      </c>
      <c r="AI306" s="17" t="s">
        <v>348</v>
      </c>
      <c r="AJ306" s="17" t="s">
        <v>109</v>
      </c>
      <c r="AK306" s="17" t="s">
        <v>108</v>
      </c>
      <c r="AL306" s="17" t="s">
        <v>348</v>
      </c>
      <c r="AM306" s="17" t="s">
        <v>109</v>
      </c>
      <c r="AN306" s="17" t="s">
        <v>108</v>
      </c>
      <c r="AO306" s="17" t="s">
        <v>348</v>
      </c>
      <c r="AP306" s="17" t="s">
        <v>109</v>
      </c>
      <c r="AQ306" s="17" t="s">
        <v>108</v>
      </c>
      <c r="AR306" s="17" t="s">
        <v>348</v>
      </c>
      <c r="AS306" s="17" t="s">
        <v>109</v>
      </c>
      <c r="AT306" s="17" t="s">
        <v>108</v>
      </c>
      <c r="AU306" s="17" t="s">
        <v>348</v>
      </c>
      <c r="AV306" s="17" t="s">
        <v>109</v>
      </c>
      <c r="AW306" s="17" t="s">
        <v>108</v>
      </c>
      <c r="AX306" s="17" t="s">
        <v>348</v>
      </c>
    </row>
    <row r="307" spans="1:50" ht="20.100000000000001" hidden="1" customHeight="1" x14ac:dyDescent="0.5">
      <c r="A307" s="16"/>
      <c r="B307" s="15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>
        <f>C307+F307+I307+L307+O307+R307+U307+X307+AA307+AG307+AJ307+AM307+AP307+AS307</f>
        <v>0</v>
      </c>
      <c r="AW307" s="19">
        <f>D307+G307+J307+M307+P307+S307+V307+Y307+AB307+AH307+AK307+AN307+AQ307+AT307</f>
        <v>0</v>
      </c>
      <c r="AX307" s="19">
        <f>E307+H307+K307+N307+Q307+T307+W307+Z307+AC307+AI307+AL307+AO307+AR307+AU307</f>
        <v>0</v>
      </c>
    </row>
    <row r="308" spans="1:50" ht="20.100000000000001" hidden="1" customHeight="1" x14ac:dyDescent="0.5">
      <c r="A308" s="16"/>
      <c r="B308" s="15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21"/>
      <c r="P308" s="178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>
        <f t="shared" ref="AV308:AV326" si="76">C308+F308+I308+L308+O308+R308+U308+X308+AA308+AG308+AJ308+AM308</f>
        <v>0</v>
      </c>
      <c r="AW308" s="19">
        <f>D308+G308+J308+M308+P308+S308+V308+Y308+AB308+AH308+AK308+AN308+AE308</f>
        <v>0</v>
      </c>
      <c r="AX308" s="19">
        <f>E308+H308+K308+N308+Q308+T308+W308+Z308+AC308+AI308+AL308+AN308+AF308</f>
        <v>0</v>
      </c>
    </row>
    <row r="309" spans="1:50" ht="20.100000000000001" hidden="1" customHeight="1" x14ac:dyDescent="0.5">
      <c r="A309" s="16"/>
      <c r="B309" s="15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>
        <f t="shared" si="76"/>
        <v>0</v>
      </c>
      <c r="AW309" s="19">
        <f t="shared" ref="AW309:AW327" si="77">D309+G309+J309+M309+P309+S309+V309+Y309+AB309+AH309+AK309+AN309</f>
        <v>0</v>
      </c>
      <c r="AX309" s="19">
        <f t="shared" ref="AX309:AX327" si="78">E309+H309+K309+N309+Q309+T309+W309+Z309+AC309+AI309+AL309+AN309</f>
        <v>0</v>
      </c>
    </row>
    <row r="310" spans="1:50" ht="20.100000000000001" hidden="1" customHeight="1" x14ac:dyDescent="0.5">
      <c r="A310" s="16"/>
      <c r="B310" s="15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>
        <f t="shared" si="76"/>
        <v>0</v>
      </c>
      <c r="AW310" s="19">
        <f t="shared" si="77"/>
        <v>0</v>
      </c>
      <c r="AX310" s="19">
        <f t="shared" si="78"/>
        <v>0</v>
      </c>
    </row>
    <row r="311" spans="1:50" ht="20.100000000000001" hidden="1" customHeight="1" x14ac:dyDescent="0.5">
      <c r="A311" s="16"/>
      <c r="B311" s="15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>
        <f t="shared" si="76"/>
        <v>0</v>
      </c>
      <c r="AW311" s="19">
        <f t="shared" si="77"/>
        <v>0</v>
      </c>
      <c r="AX311" s="19">
        <f t="shared" si="78"/>
        <v>0</v>
      </c>
    </row>
    <row r="312" spans="1:50" ht="20.100000000000001" hidden="1" customHeight="1" x14ac:dyDescent="0.5">
      <c r="A312" s="16"/>
      <c r="B312" s="15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>
        <f t="shared" si="76"/>
        <v>0</v>
      </c>
      <c r="AW312" s="19">
        <f t="shared" si="77"/>
        <v>0</v>
      </c>
      <c r="AX312" s="19">
        <f t="shared" si="78"/>
        <v>0</v>
      </c>
    </row>
    <row r="313" spans="1:50" ht="20.100000000000001" hidden="1" customHeight="1" x14ac:dyDescent="0.5">
      <c r="A313" s="16"/>
      <c r="B313" s="15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>
        <f t="shared" si="76"/>
        <v>0</v>
      </c>
      <c r="AW313" s="19">
        <f t="shared" si="77"/>
        <v>0</v>
      </c>
      <c r="AX313" s="19">
        <f t="shared" si="78"/>
        <v>0</v>
      </c>
    </row>
    <row r="314" spans="1:50" ht="20.100000000000001" hidden="1" customHeight="1" x14ac:dyDescent="0.5">
      <c r="A314" s="16"/>
      <c r="B314" s="15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>
        <f t="shared" si="76"/>
        <v>0</v>
      </c>
      <c r="AW314" s="19">
        <f t="shared" si="77"/>
        <v>0</v>
      </c>
      <c r="AX314" s="19">
        <f t="shared" si="78"/>
        <v>0</v>
      </c>
    </row>
    <row r="315" spans="1:50" ht="20.100000000000001" hidden="1" customHeight="1" x14ac:dyDescent="0.5">
      <c r="A315" s="16"/>
      <c r="B315" s="15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>
        <f t="shared" si="76"/>
        <v>0</v>
      </c>
      <c r="AW315" s="19">
        <f t="shared" si="77"/>
        <v>0</v>
      </c>
      <c r="AX315" s="19">
        <f t="shared" si="78"/>
        <v>0</v>
      </c>
    </row>
    <row r="316" spans="1:50" ht="20.100000000000001" hidden="1" customHeight="1" x14ac:dyDescent="0.5">
      <c r="A316" s="16"/>
      <c r="B316" s="15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>
        <f t="shared" si="76"/>
        <v>0</v>
      </c>
      <c r="AW316" s="19">
        <f t="shared" si="77"/>
        <v>0</v>
      </c>
      <c r="AX316" s="19">
        <f t="shared" si="78"/>
        <v>0</v>
      </c>
    </row>
    <row r="317" spans="1:50" ht="20.100000000000001" hidden="1" customHeight="1" x14ac:dyDescent="0.5">
      <c r="A317" s="16"/>
      <c r="B317" s="15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>
        <f t="shared" si="76"/>
        <v>0</v>
      </c>
      <c r="AW317" s="19">
        <f t="shared" si="77"/>
        <v>0</v>
      </c>
      <c r="AX317" s="19">
        <f t="shared" si="78"/>
        <v>0</v>
      </c>
    </row>
    <row r="318" spans="1:50" ht="20.100000000000001" hidden="1" customHeight="1" x14ac:dyDescent="0.5">
      <c r="A318" s="16"/>
      <c r="B318" s="15"/>
      <c r="C318" s="20"/>
      <c r="D318" s="20"/>
      <c r="E318" s="19"/>
      <c r="F318" s="20"/>
      <c r="G318" s="20"/>
      <c r="H318" s="19"/>
      <c r="I318" s="20"/>
      <c r="J318" s="20"/>
      <c r="K318" s="20"/>
      <c r="L318" s="20"/>
      <c r="M318" s="20"/>
      <c r="N318" s="20"/>
      <c r="O318" s="20"/>
      <c r="P318" s="20"/>
      <c r="Q318" s="19"/>
      <c r="R318" s="20"/>
      <c r="S318" s="20"/>
      <c r="T318" s="19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>
        <f t="shared" si="76"/>
        <v>0</v>
      </c>
      <c r="AW318" s="19">
        <f t="shared" si="77"/>
        <v>0</v>
      </c>
      <c r="AX318" s="19">
        <f t="shared" si="78"/>
        <v>0</v>
      </c>
    </row>
    <row r="319" spans="1:50" ht="20.100000000000001" hidden="1" customHeight="1" x14ac:dyDescent="0.5">
      <c r="A319" s="16"/>
      <c r="B319" s="15"/>
      <c r="C319" s="20"/>
      <c r="D319" s="20"/>
      <c r="E319" s="19"/>
      <c r="F319" s="20"/>
      <c r="G319" s="20"/>
      <c r="H319" s="19"/>
      <c r="I319" s="20"/>
      <c r="J319" s="20"/>
      <c r="K319" s="20"/>
      <c r="L319" s="20"/>
      <c r="M319" s="20"/>
      <c r="N319" s="20"/>
      <c r="O319" s="20"/>
      <c r="P319" s="20"/>
      <c r="Q319" s="19"/>
      <c r="R319" s="20"/>
      <c r="S319" s="20"/>
      <c r="T319" s="19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>
        <f t="shared" si="76"/>
        <v>0</v>
      </c>
      <c r="AW319" s="19">
        <f t="shared" si="77"/>
        <v>0</v>
      </c>
      <c r="AX319" s="19">
        <f t="shared" si="78"/>
        <v>0</v>
      </c>
    </row>
    <row r="320" spans="1:50" ht="20.100000000000001" hidden="1" customHeight="1" x14ac:dyDescent="0.5">
      <c r="A320" s="16"/>
      <c r="B320" s="15"/>
      <c r="C320" s="20"/>
      <c r="D320" s="20"/>
      <c r="E320" s="19"/>
      <c r="F320" s="20"/>
      <c r="G320" s="20"/>
      <c r="H320" s="19"/>
      <c r="I320" s="20"/>
      <c r="J320" s="20"/>
      <c r="K320" s="20"/>
      <c r="L320" s="20"/>
      <c r="M320" s="20"/>
      <c r="N320" s="20"/>
      <c r="O320" s="20"/>
      <c r="P320" s="20"/>
      <c r="Q320" s="19"/>
      <c r="R320" s="20"/>
      <c r="S320" s="20"/>
      <c r="T320" s="19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>
        <f t="shared" si="76"/>
        <v>0</v>
      </c>
      <c r="AW320" s="19">
        <f t="shared" si="77"/>
        <v>0</v>
      </c>
      <c r="AX320" s="19">
        <f t="shared" si="78"/>
        <v>0</v>
      </c>
    </row>
    <row r="321" spans="1:50" ht="20.100000000000001" hidden="1" customHeight="1" x14ac:dyDescent="0.5">
      <c r="A321" s="16"/>
      <c r="B321" s="15"/>
      <c r="C321" s="20"/>
      <c r="D321" s="20"/>
      <c r="E321" s="19"/>
      <c r="F321" s="20"/>
      <c r="G321" s="20"/>
      <c r="H321" s="19"/>
      <c r="I321" s="20"/>
      <c r="J321" s="20"/>
      <c r="K321" s="20"/>
      <c r="L321" s="20"/>
      <c r="M321" s="20"/>
      <c r="N321" s="20"/>
      <c r="O321" s="20"/>
      <c r="P321" s="20"/>
      <c r="Q321" s="19"/>
      <c r="R321" s="20"/>
      <c r="S321" s="20"/>
      <c r="T321" s="19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>
        <f t="shared" si="76"/>
        <v>0</v>
      </c>
      <c r="AW321" s="19">
        <f t="shared" si="77"/>
        <v>0</v>
      </c>
      <c r="AX321" s="19">
        <f t="shared" si="78"/>
        <v>0</v>
      </c>
    </row>
    <row r="322" spans="1:50" ht="20.100000000000001" hidden="1" customHeight="1" x14ac:dyDescent="0.5">
      <c r="A322" s="16"/>
      <c r="B322" s="15"/>
      <c r="C322" s="20"/>
      <c r="D322" s="20"/>
      <c r="E322" s="19"/>
      <c r="F322" s="20"/>
      <c r="G322" s="20"/>
      <c r="H322" s="19"/>
      <c r="I322" s="20"/>
      <c r="J322" s="20"/>
      <c r="K322" s="20"/>
      <c r="L322" s="20"/>
      <c r="M322" s="20"/>
      <c r="N322" s="20"/>
      <c r="O322" s="20"/>
      <c r="P322" s="20"/>
      <c r="Q322" s="19"/>
      <c r="R322" s="20"/>
      <c r="S322" s="20"/>
      <c r="T322" s="19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>
        <f t="shared" si="76"/>
        <v>0</v>
      </c>
      <c r="AW322" s="19">
        <f t="shared" si="77"/>
        <v>0</v>
      </c>
      <c r="AX322" s="19">
        <f t="shared" si="78"/>
        <v>0</v>
      </c>
    </row>
    <row r="323" spans="1:50" ht="20.100000000000001" hidden="1" customHeight="1" x14ac:dyDescent="0.5">
      <c r="A323" s="16"/>
      <c r="B323" s="15"/>
      <c r="C323" s="20"/>
      <c r="D323" s="20"/>
      <c r="E323" s="19"/>
      <c r="F323" s="20"/>
      <c r="G323" s="20"/>
      <c r="H323" s="19"/>
      <c r="I323" s="20"/>
      <c r="J323" s="20"/>
      <c r="K323" s="20"/>
      <c r="L323" s="20"/>
      <c r="M323" s="20"/>
      <c r="N323" s="20"/>
      <c r="O323" s="20"/>
      <c r="P323" s="20"/>
      <c r="Q323" s="19"/>
      <c r="R323" s="20"/>
      <c r="S323" s="20"/>
      <c r="T323" s="19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>
        <f t="shared" si="76"/>
        <v>0</v>
      </c>
      <c r="AW323" s="19">
        <f t="shared" si="77"/>
        <v>0</v>
      </c>
      <c r="AX323" s="19">
        <f t="shared" si="78"/>
        <v>0</v>
      </c>
    </row>
    <row r="324" spans="1:50" ht="20.100000000000001" hidden="1" customHeight="1" x14ac:dyDescent="0.5">
      <c r="A324" s="16"/>
      <c r="B324" s="15"/>
      <c r="C324" s="20"/>
      <c r="D324" s="20"/>
      <c r="E324" s="19"/>
      <c r="F324" s="20"/>
      <c r="G324" s="20"/>
      <c r="H324" s="19"/>
      <c r="I324" s="20"/>
      <c r="J324" s="20"/>
      <c r="K324" s="20"/>
      <c r="L324" s="20"/>
      <c r="M324" s="20"/>
      <c r="N324" s="20"/>
      <c r="O324" s="20"/>
      <c r="P324" s="20"/>
      <c r="Q324" s="19"/>
      <c r="R324" s="20"/>
      <c r="S324" s="20"/>
      <c r="T324" s="19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>
        <f t="shared" si="76"/>
        <v>0</v>
      </c>
      <c r="AW324" s="19">
        <f t="shared" si="77"/>
        <v>0</v>
      </c>
      <c r="AX324" s="19">
        <f t="shared" si="78"/>
        <v>0</v>
      </c>
    </row>
    <row r="325" spans="1:50" ht="20.100000000000001" hidden="1" customHeight="1" x14ac:dyDescent="0.5">
      <c r="A325" s="16"/>
      <c r="B325" s="15"/>
      <c r="C325" s="20"/>
      <c r="D325" s="20"/>
      <c r="E325" s="19"/>
      <c r="F325" s="20"/>
      <c r="G325" s="20"/>
      <c r="H325" s="19"/>
      <c r="I325" s="20"/>
      <c r="J325" s="20"/>
      <c r="K325" s="20"/>
      <c r="L325" s="20"/>
      <c r="M325" s="20"/>
      <c r="N325" s="20"/>
      <c r="O325" s="20"/>
      <c r="P325" s="20"/>
      <c r="Q325" s="19"/>
      <c r="R325" s="20"/>
      <c r="S325" s="20"/>
      <c r="T325" s="19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>
        <f t="shared" si="76"/>
        <v>0</v>
      </c>
      <c r="AW325" s="19">
        <f t="shared" si="77"/>
        <v>0</v>
      </c>
      <c r="AX325" s="19">
        <f t="shared" si="78"/>
        <v>0</v>
      </c>
    </row>
    <row r="326" spans="1:50" ht="20.100000000000001" hidden="1" customHeight="1" x14ac:dyDescent="0.5">
      <c r="A326" s="16"/>
      <c r="B326" s="15"/>
      <c r="C326" s="20"/>
      <c r="D326" s="20"/>
      <c r="E326" s="19"/>
      <c r="F326" s="20"/>
      <c r="G326" s="20"/>
      <c r="H326" s="19"/>
      <c r="I326" s="20"/>
      <c r="J326" s="20"/>
      <c r="K326" s="20"/>
      <c r="L326" s="20"/>
      <c r="M326" s="20"/>
      <c r="N326" s="20"/>
      <c r="O326" s="20"/>
      <c r="P326" s="20"/>
      <c r="Q326" s="19"/>
      <c r="R326" s="20"/>
      <c r="S326" s="20"/>
      <c r="T326" s="19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>
        <f t="shared" si="76"/>
        <v>0</v>
      </c>
      <c r="AW326" s="19">
        <f t="shared" si="77"/>
        <v>0</v>
      </c>
      <c r="AX326" s="19">
        <f t="shared" si="78"/>
        <v>0</v>
      </c>
    </row>
    <row r="327" spans="1:50" ht="20.100000000000001" hidden="1" customHeight="1" x14ac:dyDescent="0.5">
      <c r="A327" s="16"/>
      <c r="B327" s="15"/>
      <c r="C327" s="20"/>
      <c r="D327" s="20"/>
      <c r="E327" s="19"/>
      <c r="F327" s="20"/>
      <c r="G327" s="20"/>
      <c r="H327" s="19"/>
      <c r="I327" s="20"/>
      <c r="J327" s="20"/>
      <c r="K327" s="20"/>
      <c r="L327" s="20"/>
      <c r="M327" s="20"/>
      <c r="N327" s="20"/>
      <c r="O327" s="20"/>
      <c r="P327" s="20"/>
      <c r="Q327" s="19"/>
      <c r="R327" s="20"/>
      <c r="S327" s="20"/>
      <c r="T327" s="19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>
        <f>C327+F327+I327+L327+O327+R327+U327+X327+AA327+AG327+AJ327+AM327</f>
        <v>0</v>
      </c>
      <c r="AW327" s="19">
        <f t="shared" si="77"/>
        <v>0</v>
      </c>
      <c r="AX327" s="19">
        <f t="shared" si="78"/>
        <v>0</v>
      </c>
    </row>
    <row r="328" spans="1:50" ht="20.100000000000001" hidden="1" customHeight="1" x14ac:dyDescent="0.5">
      <c r="A328" s="14"/>
      <c r="B328" s="13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8">
        <f>SUM(AA307:AA319)</f>
        <v>0</v>
      </c>
      <c r="AB328" s="18">
        <f>SUM(AB307:AB319)</f>
        <v>0</v>
      </c>
      <c r="AV328" s="182">
        <f>SUM(AV307:AV327)</f>
        <v>0</v>
      </c>
      <c r="AW328" s="182">
        <f>SUM(AW307:AW327)</f>
        <v>0</v>
      </c>
      <c r="AX328" s="182">
        <f>SUM(AX307:AX327)</f>
        <v>0</v>
      </c>
    </row>
    <row r="329" spans="1:50" hidden="1" x14ac:dyDescent="0.5"/>
    <row r="330" spans="1:50" hidden="1" x14ac:dyDescent="0.5">
      <c r="A330" s="550" t="s">
        <v>395</v>
      </c>
      <c r="B330" s="550"/>
    </row>
    <row r="331" spans="1:50" hidden="1" x14ac:dyDescent="0.5"/>
    <row r="332" spans="1:50" ht="20.100000000000001" hidden="1" customHeight="1" x14ac:dyDescent="0.5">
      <c r="A332" s="551" t="s">
        <v>118</v>
      </c>
      <c r="B332" s="552" t="s">
        <v>135</v>
      </c>
      <c r="C332" s="553"/>
      <c r="D332" s="553"/>
      <c r="E332" s="553"/>
      <c r="F332" s="553"/>
      <c r="G332" s="553"/>
      <c r="H332" s="553"/>
      <c r="I332" s="553"/>
      <c r="J332" s="553"/>
      <c r="K332" s="553"/>
      <c r="L332" s="553"/>
      <c r="M332" s="553"/>
      <c r="N332" s="553"/>
      <c r="O332" s="553"/>
      <c r="P332" s="553"/>
      <c r="Q332" s="553"/>
      <c r="R332" s="553"/>
      <c r="S332" s="553"/>
      <c r="T332" s="553"/>
      <c r="U332" s="553"/>
      <c r="V332" s="553"/>
      <c r="W332" s="553"/>
      <c r="X332" s="553"/>
      <c r="Y332" s="553"/>
      <c r="Z332" s="553"/>
      <c r="AA332" s="553"/>
      <c r="AB332" s="553"/>
      <c r="AC332" s="553"/>
      <c r="AD332" s="553"/>
      <c r="AE332" s="553"/>
      <c r="AF332" s="553"/>
      <c r="AG332" s="553"/>
      <c r="AH332" s="553"/>
      <c r="AI332" s="553"/>
      <c r="AJ332" s="553"/>
      <c r="AK332" s="553"/>
      <c r="AL332" s="553"/>
      <c r="AM332" s="553"/>
      <c r="AN332" s="553"/>
      <c r="AO332" s="553"/>
      <c r="AP332" s="553"/>
      <c r="AQ332" s="553"/>
      <c r="AR332" s="553"/>
      <c r="AS332" s="553"/>
      <c r="AT332" s="553"/>
      <c r="AU332" s="553"/>
      <c r="AV332" s="553"/>
      <c r="AW332" s="553"/>
      <c r="AX332" s="553"/>
    </row>
    <row r="333" spans="1:50" ht="20.100000000000001" hidden="1" customHeight="1" x14ac:dyDescent="0.5">
      <c r="A333" s="551"/>
      <c r="B333" s="552"/>
      <c r="C333" s="554" t="s">
        <v>124</v>
      </c>
      <c r="D333" s="555"/>
      <c r="E333" s="556"/>
      <c r="F333" s="554" t="s">
        <v>133</v>
      </c>
      <c r="G333" s="555"/>
      <c r="H333" s="556"/>
      <c r="I333" s="554" t="s">
        <v>132</v>
      </c>
      <c r="J333" s="555"/>
      <c r="K333" s="556"/>
      <c r="L333" s="554" t="s">
        <v>131</v>
      </c>
      <c r="M333" s="555"/>
      <c r="N333" s="556"/>
      <c r="O333" s="554" t="s">
        <v>130</v>
      </c>
      <c r="P333" s="555"/>
      <c r="Q333" s="556"/>
      <c r="R333" s="554" t="s">
        <v>129</v>
      </c>
      <c r="S333" s="555"/>
      <c r="T333" s="556"/>
      <c r="U333" s="554" t="s">
        <v>128</v>
      </c>
      <c r="V333" s="555"/>
      <c r="W333" s="556"/>
      <c r="X333" s="554" t="s">
        <v>127</v>
      </c>
      <c r="Y333" s="555"/>
      <c r="Z333" s="556"/>
      <c r="AA333" s="554" t="s">
        <v>126</v>
      </c>
      <c r="AB333" s="555"/>
      <c r="AC333" s="556"/>
      <c r="AD333" s="554" t="s">
        <v>378</v>
      </c>
      <c r="AE333" s="555"/>
      <c r="AF333" s="556"/>
      <c r="AG333" s="554" t="s">
        <v>125</v>
      </c>
      <c r="AH333" s="555"/>
      <c r="AI333" s="556"/>
      <c r="AJ333" s="554" t="s">
        <v>124</v>
      </c>
      <c r="AK333" s="555"/>
      <c r="AL333" s="556"/>
      <c r="AM333" s="554" t="s">
        <v>123</v>
      </c>
      <c r="AN333" s="555"/>
      <c r="AO333" s="556"/>
      <c r="AP333" s="554" t="s">
        <v>367</v>
      </c>
      <c r="AQ333" s="555"/>
      <c r="AR333" s="556"/>
      <c r="AS333" s="554" t="s">
        <v>368</v>
      </c>
      <c r="AT333" s="555"/>
      <c r="AU333" s="556"/>
      <c r="AV333" s="554" t="s">
        <v>122</v>
      </c>
      <c r="AW333" s="555"/>
      <c r="AX333" s="556"/>
    </row>
    <row r="334" spans="1:50" ht="20.100000000000001" hidden="1" customHeight="1" x14ac:dyDescent="0.5">
      <c r="A334" s="551"/>
      <c r="B334" s="552"/>
      <c r="C334" s="17" t="s">
        <v>109</v>
      </c>
      <c r="D334" s="17" t="s">
        <v>108</v>
      </c>
      <c r="E334" s="17" t="s">
        <v>348</v>
      </c>
      <c r="F334" s="17" t="s">
        <v>109</v>
      </c>
      <c r="G334" s="17" t="s">
        <v>108</v>
      </c>
      <c r="H334" s="17" t="s">
        <v>348</v>
      </c>
      <c r="I334" s="17" t="s">
        <v>109</v>
      </c>
      <c r="J334" s="17" t="s">
        <v>108</v>
      </c>
      <c r="K334" s="17" t="s">
        <v>348</v>
      </c>
      <c r="L334" s="17" t="s">
        <v>109</v>
      </c>
      <c r="M334" s="17" t="s">
        <v>108</v>
      </c>
      <c r="N334" s="17" t="s">
        <v>348</v>
      </c>
      <c r="O334" s="17" t="s">
        <v>109</v>
      </c>
      <c r="P334" s="17" t="s">
        <v>108</v>
      </c>
      <c r="Q334" s="17" t="s">
        <v>348</v>
      </c>
      <c r="R334" s="17" t="s">
        <v>109</v>
      </c>
      <c r="S334" s="17" t="s">
        <v>108</v>
      </c>
      <c r="T334" s="17" t="s">
        <v>348</v>
      </c>
      <c r="U334" s="17" t="s">
        <v>109</v>
      </c>
      <c r="V334" s="17" t="s">
        <v>108</v>
      </c>
      <c r="W334" s="17" t="s">
        <v>348</v>
      </c>
      <c r="X334" s="17" t="s">
        <v>109</v>
      </c>
      <c r="Y334" s="17" t="s">
        <v>108</v>
      </c>
      <c r="Z334" s="17" t="s">
        <v>348</v>
      </c>
      <c r="AA334" s="17" t="s">
        <v>109</v>
      </c>
      <c r="AB334" s="17" t="s">
        <v>108</v>
      </c>
      <c r="AC334" s="17" t="s">
        <v>348</v>
      </c>
      <c r="AD334" s="17"/>
      <c r="AE334" s="17"/>
      <c r="AF334" s="17"/>
      <c r="AG334" s="17" t="s">
        <v>109</v>
      </c>
      <c r="AH334" s="17" t="s">
        <v>108</v>
      </c>
      <c r="AI334" s="17" t="s">
        <v>348</v>
      </c>
      <c r="AJ334" s="17" t="s">
        <v>109</v>
      </c>
      <c r="AK334" s="17" t="s">
        <v>108</v>
      </c>
      <c r="AL334" s="17" t="s">
        <v>348</v>
      </c>
      <c r="AM334" s="17" t="s">
        <v>109</v>
      </c>
      <c r="AN334" s="17" t="s">
        <v>108</v>
      </c>
      <c r="AO334" s="17" t="s">
        <v>348</v>
      </c>
      <c r="AP334" s="17" t="s">
        <v>109</v>
      </c>
      <c r="AQ334" s="17" t="s">
        <v>108</v>
      </c>
      <c r="AR334" s="17" t="s">
        <v>348</v>
      </c>
      <c r="AS334" s="17" t="s">
        <v>109</v>
      </c>
      <c r="AT334" s="17" t="s">
        <v>108</v>
      </c>
      <c r="AU334" s="17" t="s">
        <v>348</v>
      </c>
      <c r="AV334" s="17" t="s">
        <v>109</v>
      </c>
      <c r="AW334" s="17" t="s">
        <v>108</v>
      </c>
      <c r="AX334" s="17" t="s">
        <v>348</v>
      </c>
    </row>
    <row r="335" spans="1:50" ht="20.100000000000001" hidden="1" customHeight="1" x14ac:dyDescent="0.5">
      <c r="A335" s="16"/>
      <c r="B335" s="15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>
        <f>F335+X335</f>
        <v>0</v>
      </c>
      <c r="AW335" s="19">
        <f>G335+Y335</f>
        <v>0</v>
      </c>
      <c r="AX335" s="19">
        <f>H335+Z335</f>
        <v>0</v>
      </c>
    </row>
    <row r="336" spans="1:50" ht="20.100000000000001" hidden="1" customHeight="1" x14ac:dyDescent="0.5">
      <c r="A336" s="16"/>
      <c r="B336" s="15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21"/>
      <c r="P336" s="178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  <c r="AS336" s="19"/>
      <c r="AT336" s="19"/>
      <c r="AU336" s="19"/>
      <c r="AV336" s="19">
        <f t="shared" ref="AV336:AV355" si="79">F336+X336</f>
        <v>0</v>
      </c>
      <c r="AW336" s="19">
        <f t="shared" ref="AW336:AW355" si="80">G336+Y336</f>
        <v>0</v>
      </c>
      <c r="AX336" s="19">
        <f t="shared" ref="AX336:AX355" si="81">H336+Z336</f>
        <v>0</v>
      </c>
    </row>
    <row r="337" spans="1:50" ht="20.100000000000001" hidden="1" customHeight="1" x14ac:dyDescent="0.5">
      <c r="A337" s="16"/>
      <c r="B337" s="15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  <c r="AS337" s="19"/>
      <c r="AT337" s="19"/>
      <c r="AU337" s="19"/>
      <c r="AV337" s="19">
        <f t="shared" si="79"/>
        <v>0</v>
      </c>
      <c r="AW337" s="19">
        <f t="shared" si="80"/>
        <v>0</v>
      </c>
      <c r="AX337" s="19">
        <f t="shared" si="81"/>
        <v>0</v>
      </c>
    </row>
    <row r="338" spans="1:50" ht="20.100000000000001" hidden="1" customHeight="1" x14ac:dyDescent="0.5">
      <c r="A338" s="16"/>
      <c r="B338" s="15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>
        <f t="shared" si="79"/>
        <v>0</v>
      </c>
      <c r="AW338" s="19">
        <f t="shared" si="80"/>
        <v>0</v>
      </c>
      <c r="AX338" s="19">
        <f t="shared" si="81"/>
        <v>0</v>
      </c>
    </row>
    <row r="339" spans="1:50" ht="20.100000000000001" hidden="1" customHeight="1" x14ac:dyDescent="0.5">
      <c r="A339" s="16"/>
      <c r="B339" s="15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  <c r="AS339" s="19"/>
      <c r="AT339" s="19"/>
      <c r="AU339" s="19"/>
      <c r="AV339" s="19">
        <f t="shared" si="79"/>
        <v>0</v>
      </c>
      <c r="AW339" s="19">
        <f t="shared" si="80"/>
        <v>0</v>
      </c>
      <c r="AX339" s="19">
        <f t="shared" si="81"/>
        <v>0</v>
      </c>
    </row>
    <row r="340" spans="1:50" ht="20.100000000000001" hidden="1" customHeight="1" x14ac:dyDescent="0.5">
      <c r="A340" s="16"/>
      <c r="B340" s="15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>
        <f t="shared" si="79"/>
        <v>0</v>
      </c>
      <c r="AW340" s="19">
        <f t="shared" si="80"/>
        <v>0</v>
      </c>
      <c r="AX340" s="19">
        <f t="shared" si="81"/>
        <v>0</v>
      </c>
    </row>
    <row r="341" spans="1:50" ht="20.100000000000001" hidden="1" customHeight="1" x14ac:dyDescent="0.5">
      <c r="A341" s="16"/>
      <c r="B341" s="15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  <c r="AS341" s="19"/>
      <c r="AT341" s="19"/>
      <c r="AU341" s="19"/>
      <c r="AV341" s="19">
        <f t="shared" si="79"/>
        <v>0</v>
      </c>
      <c r="AW341" s="19">
        <f t="shared" si="80"/>
        <v>0</v>
      </c>
      <c r="AX341" s="19">
        <f t="shared" si="81"/>
        <v>0</v>
      </c>
    </row>
    <row r="342" spans="1:50" ht="20.100000000000001" hidden="1" customHeight="1" x14ac:dyDescent="0.5">
      <c r="A342" s="16"/>
      <c r="B342" s="15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>
        <f t="shared" si="79"/>
        <v>0</v>
      </c>
      <c r="AW342" s="19">
        <f t="shared" si="80"/>
        <v>0</v>
      </c>
      <c r="AX342" s="19">
        <f t="shared" si="81"/>
        <v>0</v>
      </c>
    </row>
    <row r="343" spans="1:50" ht="20.100000000000001" hidden="1" customHeight="1" x14ac:dyDescent="0.5">
      <c r="A343" s="16"/>
      <c r="B343" s="15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  <c r="AS343" s="19"/>
      <c r="AT343" s="19"/>
      <c r="AU343" s="19"/>
      <c r="AV343" s="19">
        <f t="shared" si="79"/>
        <v>0</v>
      </c>
      <c r="AW343" s="19">
        <f t="shared" si="80"/>
        <v>0</v>
      </c>
      <c r="AX343" s="19">
        <f t="shared" si="81"/>
        <v>0</v>
      </c>
    </row>
    <row r="344" spans="1:50" ht="20.100000000000001" hidden="1" customHeight="1" x14ac:dyDescent="0.5">
      <c r="A344" s="16"/>
      <c r="B344" s="15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  <c r="AS344" s="19"/>
      <c r="AT344" s="19"/>
      <c r="AU344" s="19"/>
      <c r="AV344" s="19">
        <f t="shared" si="79"/>
        <v>0</v>
      </c>
      <c r="AW344" s="19">
        <f t="shared" si="80"/>
        <v>0</v>
      </c>
      <c r="AX344" s="19">
        <f t="shared" si="81"/>
        <v>0</v>
      </c>
    </row>
    <row r="345" spans="1:50" ht="20.100000000000001" hidden="1" customHeight="1" x14ac:dyDescent="0.5">
      <c r="A345" s="16"/>
      <c r="B345" s="15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  <c r="AS345" s="19"/>
      <c r="AT345" s="19"/>
      <c r="AU345" s="19"/>
      <c r="AV345" s="19">
        <f t="shared" si="79"/>
        <v>0</v>
      </c>
      <c r="AW345" s="19">
        <f t="shared" si="80"/>
        <v>0</v>
      </c>
      <c r="AX345" s="19">
        <f t="shared" si="81"/>
        <v>0</v>
      </c>
    </row>
    <row r="346" spans="1:50" ht="20.100000000000001" hidden="1" customHeight="1" x14ac:dyDescent="0.5">
      <c r="A346" s="16"/>
      <c r="B346" s="15"/>
      <c r="C346" s="20"/>
      <c r="D346" s="20"/>
      <c r="E346" s="19"/>
      <c r="F346" s="20"/>
      <c r="G346" s="20"/>
      <c r="H346" s="19"/>
      <c r="I346" s="20"/>
      <c r="J346" s="20"/>
      <c r="K346" s="20"/>
      <c r="L346" s="20"/>
      <c r="M346" s="20"/>
      <c r="N346" s="20"/>
      <c r="O346" s="20"/>
      <c r="P346" s="20"/>
      <c r="Q346" s="19"/>
      <c r="R346" s="20"/>
      <c r="S346" s="20"/>
      <c r="T346" s="19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  <c r="AS346" s="19"/>
      <c r="AT346" s="19"/>
      <c r="AU346" s="19"/>
      <c r="AV346" s="19">
        <f t="shared" si="79"/>
        <v>0</v>
      </c>
      <c r="AW346" s="19">
        <f t="shared" si="80"/>
        <v>0</v>
      </c>
      <c r="AX346" s="19">
        <f t="shared" si="81"/>
        <v>0</v>
      </c>
    </row>
    <row r="347" spans="1:50" ht="20.100000000000001" hidden="1" customHeight="1" x14ac:dyDescent="0.5">
      <c r="A347" s="16"/>
      <c r="B347" s="15"/>
      <c r="C347" s="20"/>
      <c r="D347" s="20"/>
      <c r="E347" s="19"/>
      <c r="F347" s="20"/>
      <c r="G347" s="20"/>
      <c r="H347" s="19"/>
      <c r="I347" s="20"/>
      <c r="J347" s="20"/>
      <c r="K347" s="20"/>
      <c r="L347" s="20"/>
      <c r="M347" s="20"/>
      <c r="N347" s="20"/>
      <c r="O347" s="20"/>
      <c r="P347" s="20"/>
      <c r="Q347" s="19"/>
      <c r="R347" s="20"/>
      <c r="S347" s="20"/>
      <c r="T347" s="19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  <c r="AS347" s="19"/>
      <c r="AT347" s="19"/>
      <c r="AU347" s="19"/>
      <c r="AV347" s="19">
        <f t="shared" si="79"/>
        <v>0</v>
      </c>
      <c r="AW347" s="19">
        <f t="shared" si="80"/>
        <v>0</v>
      </c>
      <c r="AX347" s="19">
        <f t="shared" si="81"/>
        <v>0</v>
      </c>
    </row>
    <row r="348" spans="1:50" ht="20.100000000000001" hidden="1" customHeight="1" x14ac:dyDescent="0.5">
      <c r="A348" s="16"/>
      <c r="B348" s="15"/>
      <c r="C348" s="20"/>
      <c r="D348" s="20"/>
      <c r="E348" s="19"/>
      <c r="F348" s="20"/>
      <c r="G348" s="20"/>
      <c r="H348" s="19"/>
      <c r="I348" s="20"/>
      <c r="J348" s="20"/>
      <c r="K348" s="20"/>
      <c r="L348" s="20"/>
      <c r="M348" s="20"/>
      <c r="N348" s="20"/>
      <c r="O348" s="20"/>
      <c r="P348" s="20"/>
      <c r="Q348" s="19"/>
      <c r="R348" s="20"/>
      <c r="S348" s="20"/>
      <c r="T348" s="19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  <c r="AS348" s="19"/>
      <c r="AT348" s="19"/>
      <c r="AU348" s="19"/>
      <c r="AV348" s="19">
        <f t="shared" si="79"/>
        <v>0</v>
      </c>
      <c r="AW348" s="19">
        <f t="shared" si="80"/>
        <v>0</v>
      </c>
      <c r="AX348" s="19">
        <f t="shared" si="81"/>
        <v>0</v>
      </c>
    </row>
    <row r="349" spans="1:50" ht="20.100000000000001" hidden="1" customHeight="1" x14ac:dyDescent="0.5">
      <c r="A349" s="16"/>
      <c r="B349" s="15"/>
      <c r="C349" s="20"/>
      <c r="D349" s="20"/>
      <c r="E349" s="19"/>
      <c r="F349" s="20"/>
      <c r="G349" s="20"/>
      <c r="H349" s="19"/>
      <c r="I349" s="20"/>
      <c r="J349" s="20"/>
      <c r="K349" s="20"/>
      <c r="L349" s="20"/>
      <c r="M349" s="20"/>
      <c r="N349" s="20"/>
      <c r="O349" s="20"/>
      <c r="P349" s="20"/>
      <c r="Q349" s="19"/>
      <c r="R349" s="20"/>
      <c r="S349" s="20"/>
      <c r="T349" s="19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  <c r="AS349" s="19"/>
      <c r="AT349" s="19"/>
      <c r="AU349" s="19"/>
      <c r="AV349" s="19">
        <f t="shared" si="79"/>
        <v>0</v>
      </c>
      <c r="AW349" s="19">
        <f t="shared" si="80"/>
        <v>0</v>
      </c>
      <c r="AX349" s="19">
        <f t="shared" si="81"/>
        <v>0</v>
      </c>
    </row>
    <row r="350" spans="1:50" ht="20.100000000000001" hidden="1" customHeight="1" x14ac:dyDescent="0.5">
      <c r="A350" s="16"/>
      <c r="B350" s="15"/>
      <c r="C350" s="20"/>
      <c r="D350" s="20"/>
      <c r="E350" s="19"/>
      <c r="F350" s="20"/>
      <c r="G350" s="20"/>
      <c r="H350" s="19"/>
      <c r="I350" s="20"/>
      <c r="J350" s="20"/>
      <c r="K350" s="20"/>
      <c r="L350" s="20"/>
      <c r="M350" s="20"/>
      <c r="N350" s="20"/>
      <c r="O350" s="20"/>
      <c r="P350" s="20"/>
      <c r="Q350" s="19"/>
      <c r="R350" s="20"/>
      <c r="S350" s="20"/>
      <c r="T350" s="19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  <c r="AS350" s="19"/>
      <c r="AT350" s="19"/>
      <c r="AU350" s="19"/>
      <c r="AV350" s="19">
        <f t="shared" si="79"/>
        <v>0</v>
      </c>
      <c r="AW350" s="19">
        <f t="shared" si="80"/>
        <v>0</v>
      </c>
      <c r="AX350" s="19">
        <f t="shared" si="81"/>
        <v>0</v>
      </c>
    </row>
    <row r="351" spans="1:50" ht="20.100000000000001" hidden="1" customHeight="1" x14ac:dyDescent="0.5">
      <c r="A351" s="16"/>
      <c r="B351" s="15"/>
      <c r="C351" s="20"/>
      <c r="D351" s="20"/>
      <c r="E351" s="19"/>
      <c r="F351" s="20"/>
      <c r="G351" s="20"/>
      <c r="H351" s="19"/>
      <c r="I351" s="20"/>
      <c r="J351" s="20"/>
      <c r="K351" s="20"/>
      <c r="L351" s="20"/>
      <c r="M351" s="20"/>
      <c r="N351" s="20"/>
      <c r="O351" s="20"/>
      <c r="P351" s="20"/>
      <c r="Q351" s="19"/>
      <c r="R351" s="20"/>
      <c r="S351" s="20"/>
      <c r="T351" s="19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  <c r="AS351" s="19"/>
      <c r="AT351" s="19"/>
      <c r="AU351" s="19"/>
      <c r="AV351" s="19">
        <f t="shared" si="79"/>
        <v>0</v>
      </c>
      <c r="AW351" s="19">
        <f t="shared" si="80"/>
        <v>0</v>
      </c>
      <c r="AX351" s="19">
        <f t="shared" si="81"/>
        <v>0</v>
      </c>
    </row>
    <row r="352" spans="1:50" ht="20.100000000000001" hidden="1" customHeight="1" x14ac:dyDescent="0.5">
      <c r="A352" s="16"/>
      <c r="B352" s="15"/>
      <c r="C352" s="20"/>
      <c r="D352" s="20"/>
      <c r="E352" s="19"/>
      <c r="F352" s="20"/>
      <c r="G352" s="20"/>
      <c r="H352" s="19"/>
      <c r="I352" s="20"/>
      <c r="J352" s="20"/>
      <c r="K352" s="20"/>
      <c r="L352" s="20"/>
      <c r="M352" s="20"/>
      <c r="N352" s="20"/>
      <c r="O352" s="20"/>
      <c r="P352" s="20"/>
      <c r="Q352" s="19"/>
      <c r="R352" s="20"/>
      <c r="S352" s="20"/>
      <c r="T352" s="19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  <c r="AS352" s="19"/>
      <c r="AT352" s="19"/>
      <c r="AU352" s="19"/>
      <c r="AV352" s="19">
        <f t="shared" si="79"/>
        <v>0</v>
      </c>
      <c r="AW352" s="19">
        <f t="shared" si="80"/>
        <v>0</v>
      </c>
      <c r="AX352" s="19">
        <f t="shared" si="81"/>
        <v>0</v>
      </c>
    </row>
    <row r="353" spans="1:50" ht="20.100000000000001" hidden="1" customHeight="1" x14ac:dyDescent="0.5">
      <c r="A353" s="16"/>
      <c r="B353" s="15"/>
      <c r="C353" s="20"/>
      <c r="D353" s="20"/>
      <c r="E353" s="19"/>
      <c r="F353" s="20"/>
      <c r="G353" s="20"/>
      <c r="H353" s="19"/>
      <c r="I353" s="20"/>
      <c r="J353" s="20"/>
      <c r="K353" s="20"/>
      <c r="L353" s="20"/>
      <c r="M353" s="20"/>
      <c r="N353" s="20"/>
      <c r="O353" s="20"/>
      <c r="P353" s="20"/>
      <c r="Q353" s="19"/>
      <c r="R353" s="20"/>
      <c r="S353" s="20"/>
      <c r="T353" s="19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  <c r="AS353" s="19"/>
      <c r="AT353" s="19"/>
      <c r="AU353" s="19"/>
      <c r="AV353" s="19">
        <f t="shared" si="79"/>
        <v>0</v>
      </c>
      <c r="AW353" s="19">
        <f t="shared" si="80"/>
        <v>0</v>
      </c>
      <c r="AX353" s="19">
        <f t="shared" si="81"/>
        <v>0</v>
      </c>
    </row>
    <row r="354" spans="1:50" ht="20.100000000000001" hidden="1" customHeight="1" x14ac:dyDescent="0.5">
      <c r="A354" s="16"/>
      <c r="B354" s="15"/>
      <c r="C354" s="20"/>
      <c r="D354" s="20"/>
      <c r="E354" s="19"/>
      <c r="F354" s="20"/>
      <c r="G354" s="20"/>
      <c r="H354" s="19"/>
      <c r="I354" s="20"/>
      <c r="J354" s="20"/>
      <c r="K354" s="20"/>
      <c r="L354" s="20"/>
      <c r="M354" s="20"/>
      <c r="N354" s="20"/>
      <c r="O354" s="20"/>
      <c r="P354" s="20"/>
      <c r="Q354" s="19"/>
      <c r="R354" s="20"/>
      <c r="S354" s="20"/>
      <c r="T354" s="19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>
        <f t="shared" si="79"/>
        <v>0</v>
      </c>
      <c r="AW354" s="19">
        <f t="shared" si="80"/>
        <v>0</v>
      </c>
      <c r="AX354" s="19">
        <f t="shared" si="81"/>
        <v>0</v>
      </c>
    </row>
    <row r="355" spans="1:50" ht="20.100000000000001" hidden="1" customHeight="1" x14ac:dyDescent="0.5">
      <c r="A355" s="16"/>
      <c r="B355" s="15"/>
      <c r="C355" s="20"/>
      <c r="D355" s="20"/>
      <c r="E355" s="19"/>
      <c r="F355" s="20"/>
      <c r="G355" s="20"/>
      <c r="H355" s="19"/>
      <c r="I355" s="20"/>
      <c r="J355" s="20"/>
      <c r="K355" s="20"/>
      <c r="L355" s="20"/>
      <c r="M355" s="20"/>
      <c r="N355" s="20"/>
      <c r="O355" s="20"/>
      <c r="P355" s="20"/>
      <c r="Q355" s="19"/>
      <c r="R355" s="20"/>
      <c r="S355" s="20"/>
      <c r="T355" s="19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  <c r="AS355" s="19"/>
      <c r="AT355" s="19"/>
      <c r="AU355" s="19"/>
      <c r="AV355" s="19">
        <f t="shared" si="79"/>
        <v>0</v>
      </c>
      <c r="AW355" s="19">
        <f t="shared" si="80"/>
        <v>0</v>
      </c>
      <c r="AX355" s="19">
        <f t="shared" si="81"/>
        <v>0</v>
      </c>
    </row>
    <row r="356" spans="1:50" ht="20.100000000000001" hidden="1" customHeight="1" x14ac:dyDescent="0.5">
      <c r="A356" s="14"/>
      <c r="B356" s="13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8">
        <f>SUM(AA335:AA347)</f>
        <v>0</v>
      </c>
      <c r="AB356" s="18">
        <f>SUM(AB335:AB347)</f>
        <v>0</v>
      </c>
      <c r="AV356" s="182">
        <f>SUM(AV335:AV355)</f>
        <v>0</v>
      </c>
      <c r="AW356" s="182">
        <f>SUM(AW335:AW355)</f>
        <v>0</v>
      </c>
      <c r="AX356" s="182">
        <f>SUM(AX335:AX355)</f>
        <v>0</v>
      </c>
    </row>
    <row r="357" spans="1:50" hidden="1" x14ac:dyDescent="0.5"/>
    <row r="358" spans="1:50" hidden="1" x14ac:dyDescent="0.5"/>
    <row r="359" spans="1:50" hidden="1" x14ac:dyDescent="0.5">
      <c r="A359" s="550" t="s">
        <v>396</v>
      </c>
      <c r="B359" s="550"/>
    </row>
    <row r="360" spans="1:50" hidden="1" x14ac:dyDescent="0.5"/>
    <row r="361" spans="1:50" hidden="1" x14ac:dyDescent="0.5">
      <c r="A361" s="551" t="s">
        <v>118</v>
      </c>
      <c r="B361" s="552" t="s">
        <v>135</v>
      </c>
      <c r="C361" s="553"/>
      <c r="D361" s="553"/>
      <c r="E361" s="553"/>
      <c r="F361" s="553"/>
      <c r="G361" s="553"/>
      <c r="H361" s="553"/>
      <c r="I361" s="553"/>
      <c r="J361" s="553"/>
      <c r="K361" s="553"/>
      <c r="L361" s="553"/>
      <c r="M361" s="553"/>
      <c r="N361" s="553"/>
      <c r="O361" s="553"/>
      <c r="P361" s="553"/>
      <c r="Q361" s="553"/>
      <c r="R361" s="553"/>
      <c r="S361" s="553"/>
      <c r="T361" s="553"/>
      <c r="U361" s="553"/>
      <c r="V361" s="553"/>
      <c r="W361" s="553"/>
      <c r="X361" s="553"/>
      <c r="Y361" s="553"/>
      <c r="Z361" s="553"/>
      <c r="AA361" s="553"/>
      <c r="AB361" s="553"/>
      <c r="AC361" s="553"/>
      <c r="AD361" s="553"/>
      <c r="AE361" s="553"/>
      <c r="AF361" s="553"/>
      <c r="AG361" s="553"/>
      <c r="AH361" s="553"/>
      <c r="AI361" s="553"/>
      <c r="AJ361" s="553"/>
      <c r="AK361" s="553"/>
      <c r="AL361" s="553"/>
      <c r="AM361" s="553"/>
      <c r="AN361" s="553"/>
      <c r="AO361" s="553"/>
      <c r="AP361" s="553"/>
      <c r="AQ361" s="553"/>
      <c r="AR361" s="553"/>
      <c r="AS361" s="553"/>
      <c r="AT361" s="553"/>
      <c r="AU361" s="553"/>
      <c r="AV361" s="553"/>
      <c r="AW361" s="553"/>
      <c r="AX361" s="553"/>
    </row>
    <row r="362" spans="1:50" hidden="1" x14ac:dyDescent="0.5">
      <c r="A362" s="551"/>
      <c r="B362" s="552"/>
      <c r="C362" s="554" t="s">
        <v>124</v>
      </c>
      <c r="D362" s="555"/>
      <c r="E362" s="556"/>
      <c r="F362" s="554" t="s">
        <v>133</v>
      </c>
      <c r="G362" s="555"/>
      <c r="H362" s="556"/>
      <c r="I362" s="554" t="s">
        <v>132</v>
      </c>
      <c r="J362" s="555"/>
      <c r="K362" s="556"/>
      <c r="L362" s="554" t="s">
        <v>131</v>
      </c>
      <c r="M362" s="555"/>
      <c r="N362" s="556"/>
      <c r="O362" s="554" t="s">
        <v>130</v>
      </c>
      <c r="P362" s="555"/>
      <c r="Q362" s="556"/>
      <c r="R362" s="554" t="s">
        <v>129</v>
      </c>
      <c r="S362" s="555"/>
      <c r="T362" s="556"/>
      <c r="U362" s="554" t="s">
        <v>128</v>
      </c>
      <c r="V362" s="555"/>
      <c r="W362" s="556"/>
      <c r="X362" s="554" t="s">
        <v>127</v>
      </c>
      <c r="Y362" s="555"/>
      <c r="Z362" s="556"/>
      <c r="AA362" s="554" t="s">
        <v>126</v>
      </c>
      <c r="AB362" s="555"/>
      <c r="AC362" s="556"/>
      <c r="AD362" s="554" t="s">
        <v>378</v>
      </c>
      <c r="AE362" s="555"/>
      <c r="AF362" s="556"/>
      <c r="AG362" s="554" t="s">
        <v>125</v>
      </c>
      <c r="AH362" s="555"/>
      <c r="AI362" s="556"/>
      <c r="AJ362" s="554" t="s">
        <v>124</v>
      </c>
      <c r="AK362" s="555"/>
      <c r="AL362" s="556"/>
      <c r="AM362" s="554" t="s">
        <v>123</v>
      </c>
      <c r="AN362" s="555"/>
      <c r="AO362" s="556"/>
      <c r="AP362" s="554" t="s">
        <v>367</v>
      </c>
      <c r="AQ362" s="555"/>
      <c r="AR362" s="556"/>
      <c r="AS362" s="554" t="s">
        <v>368</v>
      </c>
      <c r="AT362" s="555"/>
      <c r="AU362" s="556"/>
      <c r="AV362" s="554" t="s">
        <v>122</v>
      </c>
      <c r="AW362" s="555"/>
      <c r="AX362" s="556"/>
    </row>
    <row r="363" spans="1:50" hidden="1" x14ac:dyDescent="0.5">
      <c r="A363" s="551"/>
      <c r="B363" s="552"/>
      <c r="C363" s="17" t="s">
        <v>109</v>
      </c>
      <c r="D363" s="17" t="s">
        <v>108</v>
      </c>
      <c r="E363" s="17" t="s">
        <v>348</v>
      </c>
      <c r="F363" s="17" t="s">
        <v>109</v>
      </c>
      <c r="G363" s="17" t="s">
        <v>108</v>
      </c>
      <c r="H363" s="17" t="s">
        <v>348</v>
      </c>
      <c r="I363" s="17" t="s">
        <v>109</v>
      </c>
      <c r="J363" s="17" t="s">
        <v>108</v>
      </c>
      <c r="K363" s="17" t="s">
        <v>348</v>
      </c>
      <c r="L363" s="17" t="s">
        <v>109</v>
      </c>
      <c r="M363" s="17" t="s">
        <v>108</v>
      </c>
      <c r="N363" s="17" t="s">
        <v>348</v>
      </c>
      <c r="O363" s="17" t="s">
        <v>109</v>
      </c>
      <c r="P363" s="17" t="s">
        <v>108</v>
      </c>
      <c r="Q363" s="17" t="s">
        <v>348</v>
      </c>
      <c r="R363" s="17" t="s">
        <v>109</v>
      </c>
      <c r="S363" s="17" t="s">
        <v>108</v>
      </c>
      <c r="T363" s="17" t="s">
        <v>348</v>
      </c>
      <c r="U363" s="17" t="s">
        <v>109</v>
      </c>
      <c r="V363" s="17" t="s">
        <v>108</v>
      </c>
      <c r="W363" s="17" t="s">
        <v>348</v>
      </c>
      <c r="X363" s="17" t="s">
        <v>109</v>
      </c>
      <c r="Y363" s="17" t="s">
        <v>108</v>
      </c>
      <c r="Z363" s="17" t="s">
        <v>348</v>
      </c>
      <c r="AA363" s="17" t="s">
        <v>109</v>
      </c>
      <c r="AB363" s="17" t="s">
        <v>108</v>
      </c>
      <c r="AC363" s="17" t="s">
        <v>348</v>
      </c>
      <c r="AD363" s="17"/>
      <c r="AE363" s="17"/>
      <c r="AF363" s="17"/>
      <c r="AG363" s="17" t="s">
        <v>109</v>
      </c>
      <c r="AH363" s="17" t="s">
        <v>108</v>
      </c>
      <c r="AI363" s="17" t="s">
        <v>348</v>
      </c>
      <c r="AJ363" s="17" t="s">
        <v>109</v>
      </c>
      <c r="AK363" s="17" t="s">
        <v>108</v>
      </c>
      <c r="AL363" s="17" t="s">
        <v>348</v>
      </c>
      <c r="AM363" s="17" t="s">
        <v>109</v>
      </c>
      <c r="AN363" s="17" t="s">
        <v>108</v>
      </c>
      <c r="AO363" s="17" t="s">
        <v>348</v>
      </c>
      <c r="AP363" s="17" t="s">
        <v>109</v>
      </c>
      <c r="AQ363" s="17" t="s">
        <v>108</v>
      </c>
      <c r="AR363" s="17" t="s">
        <v>348</v>
      </c>
      <c r="AS363" s="17" t="s">
        <v>109</v>
      </c>
      <c r="AT363" s="17" t="s">
        <v>108</v>
      </c>
      <c r="AU363" s="17" t="s">
        <v>348</v>
      </c>
      <c r="AV363" s="17" t="s">
        <v>109</v>
      </c>
      <c r="AW363" s="17" t="s">
        <v>108</v>
      </c>
      <c r="AX363" s="17" t="s">
        <v>348</v>
      </c>
    </row>
    <row r="364" spans="1:50" hidden="1" x14ac:dyDescent="0.5">
      <c r="A364" s="16"/>
      <c r="B364" s="15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  <c r="AS364" s="19"/>
      <c r="AT364" s="19"/>
      <c r="AU364" s="19"/>
      <c r="AV364" s="19">
        <f>F364+X364</f>
        <v>0</v>
      </c>
      <c r="AW364" s="19">
        <f>G364+Y364</f>
        <v>0</v>
      </c>
      <c r="AX364" s="19">
        <f>H364+Z364</f>
        <v>0</v>
      </c>
    </row>
    <row r="365" spans="1:50" hidden="1" x14ac:dyDescent="0.5">
      <c r="A365" s="16"/>
      <c r="B365" s="15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21"/>
      <c r="P365" s="178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  <c r="AS365" s="19"/>
      <c r="AT365" s="19"/>
      <c r="AU365" s="19"/>
      <c r="AV365" s="19">
        <f t="shared" ref="AV365:AV385" si="82">F365+X365</f>
        <v>0</v>
      </c>
      <c r="AW365" s="19">
        <f t="shared" ref="AW365:AW385" si="83">G365+Y365</f>
        <v>0</v>
      </c>
      <c r="AX365" s="19">
        <f t="shared" ref="AX365:AX385" si="84">H365+Z365</f>
        <v>0</v>
      </c>
    </row>
    <row r="366" spans="1:50" hidden="1" x14ac:dyDescent="0.5">
      <c r="A366" s="16"/>
      <c r="B366" s="15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  <c r="AS366" s="19"/>
      <c r="AT366" s="19"/>
      <c r="AU366" s="19"/>
      <c r="AV366" s="19">
        <f t="shared" si="82"/>
        <v>0</v>
      </c>
      <c r="AW366" s="19">
        <f t="shared" si="83"/>
        <v>0</v>
      </c>
      <c r="AX366" s="19">
        <f t="shared" si="84"/>
        <v>0</v>
      </c>
    </row>
    <row r="367" spans="1:50" hidden="1" x14ac:dyDescent="0.5">
      <c r="A367" s="16"/>
      <c r="B367" s="15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  <c r="AS367" s="19"/>
      <c r="AT367" s="19"/>
      <c r="AU367" s="19"/>
      <c r="AV367" s="19">
        <f t="shared" si="82"/>
        <v>0</v>
      </c>
      <c r="AW367" s="19">
        <f t="shared" si="83"/>
        <v>0</v>
      </c>
      <c r="AX367" s="19">
        <f t="shared" si="84"/>
        <v>0</v>
      </c>
    </row>
    <row r="368" spans="1:50" hidden="1" x14ac:dyDescent="0.5">
      <c r="A368" s="16"/>
      <c r="B368" s="15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  <c r="AS368" s="19"/>
      <c r="AT368" s="19"/>
      <c r="AU368" s="19"/>
      <c r="AV368" s="19">
        <f t="shared" si="82"/>
        <v>0</v>
      </c>
      <c r="AW368" s="19">
        <f t="shared" si="83"/>
        <v>0</v>
      </c>
      <c r="AX368" s="19">
        <f t="shared" si="84"/>
        <v>0</v>
      </c>
    </row>
    <row r="369" spans="1:50" hidden="1" x14ac:dyDescent="0.5">
      <c r="A369" s="16"/>
      <c r="B369" s="15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  <c r="AS369" s="19"/>
      <c r="AT369" s="19"/>
      <c r="AU369" s="19"/>
      <c r="AV369" s="19">
        <f t="shared" si="82"/>
        <v>0</v>
      </c>
      <c r="AW369" s="19">
        <f t="shared" si="83"/>
        <v>0</v>
      </c>
      <c r="AX369" s="19">
        <f t="shared" si="84"/>
        <v>0</v>
      </c>
    </row>
    <row r="370" spans="1:50" hidden="1" x14ac:dyDescent="0.5">
      <c r="A370" s="16"/>
      <c r="B370" s="15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  <c r="AS370" s="19"/>
      <c r="AT370" s="19"/>
      <c r="AU370" s="19"/>
      <c r="AV370" s="19">
        <f t="shared" si="82"/>
        <v>0</v>
      </c>
      <c r="AW370" s="19">
        <f t="shared" si="83"/>
        <v>0</v>
      </c>
      <c r="AX370" s="19">
        <f t="shared" si="84"/>
        <v>0</v>
      </c>
    </row>
    <row r="371" spans="1:50" hidden="1" x14ac:dyDescent="0.5">
      <c r="A371" s="16"/>
      <c r="B371" s="15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  <c r="AS371" s="19"/>
      <c r="AT371" s="19"/>
      <c r="AU371" s="19"/>
      <c r="AV371" s="19">
        <f t="shared" si="82"/>
        <v>0</v>
      </c>
      <c r="AW371" s="19">
        <f t="shared" si="83"/>
        <v>0</v>
      </c>
      <c r="AX371" s="19">
        <f t="shared" si="84"/>
        <v>0</v>
      </c>
    </row>
    <row r="372" spans="1:50" hidden="1" x14ac:dyDescent="0.5">
      <c r="A372" s="16"/>
      <c r="B372" s="15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  <c r="AS372" s="19"/>
      <c r="AT372" s="19"/>
      <c r="AU372" s="19"/>
      <c r="AV372" s="19">
        <f t="shared" si="82"/>
        <v>0</v>
      </c>
      <c r="AW372" s="19">
        <f t="shared" si="83"/>
        <v>0</v>
      </c>
      <c r="AX372" s="19">
        <f t="shared" si="84"/>
        <v>0</v>
      </c>
    </row>
    <row r="373" spans="1:50" hidden="1" x14ac:dyDescent="0.5">
      <c r="A373" s="16"/>
      <c r="B373" s="15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  <c r="AS373" s="19"/>
      <c r="AT373" s="19"/>
      <c r="AU373" s="19"/>
      <c r="AV373" s="19">
        <f t="shared" si="82"/>
        <v>0</v>
      </c>
      <c r="AW373" s="19">
        <f t="shared" si="83"/>
        <v>0</v>
      </c>
      <c r="AX373" s="19">
        <f t="shared" si="84"/>
        <v>0</v>
      </c>
    </row>
    <row r="374" spans="1:50" hidden="1" x14ac:dyDescent="0.5">
      <c r="A374" s="16"/>
      <c r="B374" s="15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  <c r="AS374" s="19"/>
      <c r="AT374" s="19"/>
      <c r="AU374" s="19"/>
      <c r="AV374" s="19">
        <f t="shared" si="82"/>
        <v>0</v>
      </c>
      <c r="AW374" s="19">
        <f t="shared" si="83"/>
        <v>0</v>
      </c>
      <c r="AX374" s="19">
        <f t="shared" si="84"/>
        <v>0</v>
      </c>
    </row>
    <row r="375" spans="1:50" hidden="1" x14ac:dyDescent="0.5">
      <c r="A375" s="16"/>
      <c r="B375" s="15"/>
      <c r="C375" s="20"/>
      <c r="D375" s="20"/>
      <c r="E375" s="19"/>
      <c r="F375" s="20"/>
      <c r="G375" s="20"/>
      <c r="H375" s="19"/>
      <c r="I375" s="20"/>
      <c r="J375" s="20"/>
      <c r="K375" s="20"/>
      <c r="L375" s="20"/>
      <c r="M375" s="20"/>
      <c r="N375" s="20"/>
      <c r="O375" s="20"/>
      <c r="P375" s="20"/>
      <c r="Q375" s="19"/>
      <c r="R375" s="20"/>
      <c r="S375" s="20"/>
      <c r="T375" s="19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  <c r="AS375" s="19"/>
      <c r="AT375" s="19"/>
      <c r="AU375" s="19"/>
      <c r="AV375" s="19">
        <f t="shared" si="82"/>
        <v>0</v>
      </c>
      <c r="AW375" s="19">
        <f t="shared" si="83"/>
        <v>0</v>
      </c>
      <c r="AX375" s="19">
        <f t="shared" si="84"/>
        <v>0</v>
      </c>
    </row>
    <row r="376" spans="1:50" ht="17.25" hidden="1" customHeight="1" x14ac:dyDescent="0.5">
      <c r="A376" s="16"/>
      <c r="B376" s="15"/>
      <c r="C376" s="20"/>
      <c r="D376" s="20"/>
      <c r="E376" s="19"/>
      <c r="F376" s="20"/>
      <c r="G376" s="20"/>
      <c r="H376" s="19"/>
      <c r="I376" s="20"/>
      <c r="J376" s="20"/>
      <c r="K376" s="20"/>
      <c r="L376" s="20"/>
      <c r="M376" s="20"/>
      <c r="N376" s="20"/>
      <c r="O376" s="20"/>
      <c r="P376" s="20"/>
      <c r="Q376" s="19"/>
      <c r="R376" s="20"/>
      <c r="S376" s="20"/>
      <c r="T376" s="19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  <c r="AS376" s="19"/>
      <c r="AT376" s="19"/>
      <c r="AU376" s="19"/>
      <c r="AV376" s="19">
        <f t="shared" si="82"/>
        <v>0</v>
      </c>
      <c r="AW376" s="19">
        <f t="shared" si="83"/>
        <v>0</v>
      </c>
      <c r="AX376" s="19">
        <f t="shared" si="84"/>
        <v>0</v>
      </c>
    </row>
    <row r="377" spans="1:50" hidden="1" x14ac:dyDescent="0.5">
      <c r="A377" s="16"/>
      <c r="B377" s="15"/>
      <c r="C377" s="20"/>
      <c r="D377" s="20"/>
      <c r="E377" s="19"/>
      <c r="F377" s="20"/>
      <c r="G377" s="20"/>
      <c r="H377" s="19"/>
      <c r="I377" s="20"/>
      <c r="J377" s="20"/>
      <c r="K377" s="20"/>
      <c r="L377" s="20"/>
      <c r="M377" s="20"/>
      <c r="N377" s="20"/>
      <c r="O377" s="20"/>
      <c r="P377" s="20"/>
      <c r="Q377" s="19"/>
      <c r="R377" s="20"/>
      <c r="S377" s="20"/>
      <c r="T377" s="19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  <c r="AS377" s="19"/>
      <c r="AT377" s="19"/>
      <c r="AU377" s="19"/>
      <c r="AV377" s="19">
        <f t="shared" si="82"/>
        <v>0</v>
      </c>
      <c r="AW377" s="19">
        <f t="shared" si="83"/>
        <v>0</v>
      </c>
      <c r="AX377" s="19">
        <f t="shared" si="84"/>
        <v>0</v>
      </c>
    </row>
    <row r="378" spans="1:50" hidden="1" x14ac:dyDescent="0.5">
      <c r="A378" s="16"/>
      <c r="B378" s="15"/>
      <c r="C378" s="20"/>
      <c r="D378" s="20"/>
      <c r="E378" s="19"/>
      <c r="F378" s="20"/>
      <c r="G378" s="20"/>
      <c r="H378" s="19"/>
      <c r="I378" s="20"/>
      <c r="J378" s="20"/>
      <c r="K378" s="20"/>
      <c r="L378" s="20"/>
      <c r="M378" s="20"/>
      <c r="N378" s="20"/>
      <c r="O378" s="20"/>
      <c r="P378" s="20"/>
      <c r="Q378" s="19"/>
      <c r="R378" s="20"/>
      <c r="S378" s="20"/>
      <c r="T378" s="19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  <c r="AS378" s="19"/>
      <c r="AT378" s="19"/>
      <c r="AU378" s="19"/>
      <c r="AV378" s="19">
        <f t="shared" si="82"/>
        <v>0</v>
      </c>
      <c r="AW378" s="19">
        <f t="shared" si="83"/>
        <v>0</v>
      </c>
      <c r="AX378" s="19">
        <f t="shared" si="84"/>
        <v>0</v>
      </c>
    </row>
    <row r="379" spans="1:50" hidden="1" x14ac:dyDescent="0.5">
      <c r="A379" s="16"/>
      <c r="B379" s="15"/>
      <c r="C379" s="20"/>
      <c r="D379" s="20"/>
      <c r="E379" s="19"/>
      <c r="F379" s="20"/>
      <c r="G379" s="20"/>
      <c r="H379" s="19"/>
      <c r="I379" s="20"/>
      <c r="J379" s="20"/>
      <c r="K379" s="20"/>
      <c r="L379" s="20"/>
      <c r="M379" s="20"/>
      <c r="N379" s="20"/>
      <c r="O379" s="20"/>
      <c r="P379" s="20"/>
      <c r="Q379" s="19"/>
      <c r="R379" s="20"/>
      <c r="S379" s="20"/>
      <c r="T379" s="19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  <c r="AS379" s="19"/>
      <c r="AT379" s="19"/>
      <c r="AU379" s="19"/>
      <c r="AV379" s="19">
        <f t="shared" si="82"/>
        <v>0</v>
      </c>
      <c r="AW379" s="19">
        <f t="shared" si="83"/>
        <v>0</v>
      </c>
      <c r="AX379" s="19">
        <f t="shared" si="84"/>
        <v>0</v>
      </c>
    </row>
    <row r="380" spans="1:50" hidden="1" x14ac:dyDescent="0.5">
      <c r="A380" s="16"/>
      <c r="B380" s="15"/>
      <c r="C380" s="20"/>
      <c r="D380" s="20"/>
      <c r="E380" s="19"/>
      <c r="F380" s="20"/>
      <c r="G380" s="20"/>
      <c r="H380" s="19"/>
      <c r="I380" s="20"/>
      <c r="J380" s="20"/>
      <c r="K380" s="20"/>
      <c r="L380" s="20"/>
      <c r="M380" s="20"/>
      <c r="N380" s="20"/>
      <c r="O380" s="20"/>
      <c r="P380" s="20"/>
      <c r="Q380" s="19"/>
      <c r="R380" s="20"/>
      <c r="S380" s="20"/>
      <c r="T380" s="19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  <c r="AS380" s="19"/>
      <c r="AT380" s="19"/>
      <c r="AU380" s="19"/>
      <c r="AV380" s="19">
        <f t="shared" si="82"/>
        <v>0</v>
      </c>
      <c r="AW380" s="19">
        <f t="shared" si="83"/>
        <v>0</v>
      </c>
      <c r="AX380" s="19">
        <f t="shared" si="84"/>
        <v>0</v>
      </c>
    </row>
    <row r="381" spans="1:50" hidden="1" x14ac:dyDescent="0.5">
      <c r="A381" s="16"/>
      <c r="B381" s="15"/>
      <c r="C381" s="20"/>
      <c r="D381" s="20"/>
      <c r="E381" s="19"/>
      <c r="F381" s="20"/>
      <c r="G381" s="20"/>
      <c r="H381" s="19"/>
      <c r="I381" s="20"/>
      <c r="J381" s="20"/>
      <c r="K381" s="20"/>
      <c r="L381" s="20"/>
      <c r="M381" s="20"/>
      <c r="N381" s="20"/>
      <c r="O381" s="20"/>
      <c r="P381" s="20"/>
      <c r="Q381" s="19"/>
      <c r="R381" s="20"/>
      <c r="S381" s="20"/>
      <c r="T381" s="19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  <c r="AS381" s="19"/>
      <c r="AT381" s="19"/>
      <c r="AU381" s="19"/>
      <c r="AV381" s="19">
        <f t="shared" ref="AV381" si="85">F381+X381</f>
        <v>0</v>
      </c>
      <c r="AW381" s="19">
        <f t="shared" ref="AW381" si="86">G381+Y381</f>
        <v>0</v>
      </c>
      <c r="AX381" s="19">
        <f t="shared" ref="AX381" si="87">H381+Z381</f>
        <v>0</v>
      </c>
    </row>
    <row r="382" spans="1:50" hidden="1" x14ac:dyDescent="0.5">
      <c r="A382" s="16"/>
      <c r="B382" s="15"/>
      <c r="C382" s="20"/>
      <c r="D382" s="20"/>
      <c r="E382" s="19"/>
      <c r="F382" s="20"/>
      <c r="G382" s="20"/>
      <c r="H382" s="19"/>
      <c r="I382" s="20"/>
      <c r="J382" s="20"/>
      <c r="K382" s="20"/>
      <c r="L382" s="20"/>
      <c r="M382" s="20"/>
      <c r="N382" s="20"/>
      <c r="O382" s="20"/>
      <c r="P382" s="20"/>
      <c r="Q382" s="19"/>
      <c r="R382" s="20"/>
      <c r="S382" s="20"/>
      <c r="T382" s="19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  <c r="AS382" s="19"/>
      <c r="AT382" s="19"/>
      <c r="AU382" s="19"/>
      <c r="AV382" s="19">
        <f t="shared" si="82"/>
        <v>0</v>
      </c>
      <c r="AW382" s="19">
        <f t="shared" si="83"/>
        <v>0</v>
      </c>
      <c r="AX382" s="19">
        <f t="shared" si="84"/>
        <v>0</v>
      </c>
    </row>
    <row r="383" spans="1:50" hidden="1" x14ac:dyDescent="0.5">
      <c r="A383" s="16"/>
      <c r="B383" s="15"/>
      <c r="C383" s="20"/>
      <c r="D383" s="20"/>
      <c r="E383" s="19"/>
      <c r="F383" s="20"/>
      <c r="G383" s="20"/>
      <c r="H383" s="19"/>
      <c r="I383" s="20"/>
      <c r="J383" s="20"/>
      <c r="K383" s="20"/>
      <c r="L383" s="20"/>
      <c r="M383" s="20"/>
      <c r="N383" s="20"/>
      <c r="O383" s="20"/>
      <c r="P383" s="20"/>
      <c r="Q383" s="19"/>
      <c r="R383" s="20"/>
      <c r="S383" s="20"/>
      <c r="T383" s="19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  <c r="AS383" s="19"/>
      <c r="AT383" s="19"/>
      <c r="AU383" s="19"/>
      <c r="AV383" s="19">
        <f t="shared" si="82"/>
        <v>0</v>
      </c>
      <c r="AW383" s="19">
        <f t="shared" si="83"/>
        <v>0</v>
      </c>
      <c r="AX383" s="19">
        <f t="shared" si="84"/>
        <v>0</v>
      </c>
    </row>
    <row r="384" spans="1:50" hidden="1" x14ac:dyDescent="0.5">
      <c r="A384" s="16"/>
      <c r="B384" s="15"/>
      <c r="C384" s="20"/>
      <c r="D384" s="20"/>
      <c r="E384" s="19"/>
      <c r="F384" s="20"/>
      <c r="G384" s="20"/>
      <c r="H384" s="19"/>
      <c r="I384" s="20"/>
      <c r="J384" s="20"/>
      <c r="K384" s="20"/>
      <c r="L384" s="20"/>
      <c r="M384" s="20"/>
      <c r="N384" s="20"/>
      <c r="O384" s="20"/>
      <c r="P384" s="20"/>
      <c r="Q384" s="19"/>
      <c r="R384" s="20"/>
      <c r="S384" s="20"/>
      <c r="T384" s="19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  <c r="AS384" s="19"/>
      <c r="AT384" s="19"/>
      <c r="AU384" s="19"/>
      <c r="AV384" s="19">
        <f t="shared" si="82"/>
        <v>0</v>
      </c>
      <c r="AW384" s="19">
        <f t="shared" si="83"/>
        <v>0</v>
      </c>
      <c r="AX384" s="19">
        <f t="shared" si="84"/>
        <v>0</v>
      </c>
    </row>
    <row r="385" spans="1:50" hidden="1" x14ac:dyDescent="0.5">
      <c r="A385" s="16"/>
      <c r="B385" s="15"/>
      <c r="C385" s="20"/>
      <c r="D385" s="20"/>
      <c r="E385" s="19"/>
      <c r="F385" s="20"/>
      <c r="G385" s="20"/>
      <c r="H385" s="19"/>
      <c r="I385" s="20"/>
      <c r="J385" s="20"/>
      <c r="K385" s="20"/>
      <c r="L385" s="20"/>
      <c r="M385" s="20"/>
      <c r="N385" s="20"/>
      <c r="O385" s="20"/>
      <c r="P385" s="20"/>
      <c r="Q385" s="19"/>
      <c r="R385" s="20"/>
      <c r="S385" s="20"/>
      <c r="T385" s="19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  <c r="AS385" s="19"/>
      <c r="AT385" s="19"/>
      <c r="AU385" s="19"/>
      <c r="AV385" s="19">
        <f t="shared" si="82"/>
        <v>0</v>
      </c>
      <c r="AW385" s="19">
        <f t="shared" si="83"/>
        <v>0</v>
      </c>
      <c r="AX385" s="19">
        <f t="shared" si="84"/>
        <v>0</v>
      </c>
    </row>
    <row r="386" spans="1:50" hidden="1" x14ac:dyDescent="0.5">
      <c r="A386" s="14"/>
      <c r="B386" s="13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8">
        <f>SUM(AA364:AA376)</f>
        <v>0</v>
      </c>
      <c r="AB386" s="18">
        <f>SUM(AB364:AB376)</f>
        <v>0</v>
      </c>
      <c r="AV386" s="182">
        <f>SUM(AV364:AV385)</f>
        <v>0</v>
      </c>
      <c r="AW386" s="182">
        <f>SUM(AW364:AW385)</f>
        <v>0</v>
      </c>
      <c r="AX386" s="182">
        <f>SUM(AX364:AX385)</f>
        <v>0</v>
      </c>
    </row>
    <row r="387" spans="1:50" hidden="1" x14ac:dyDescent="0.5"/>
    <row r="388" spans="1:50" hidden="1" x14ac:dyDescent="0.5"/>
    <row r="389" spans="1:50" hidden="1" x14ac:dyDescent="0.5">
      <c r="AV389" s="182">
        <f>SUM(AV6:AV28)</f>
        <v>6300</v>
      </c>
      <c r="AW389" s="182">
        <f>SUM(AW6:AW28)</f>
        <v>85150</v>
      </c>
      <c r="AX389" s="182">
        <f>SUM(AX6:AX28)</f>
        <v>67132</v>
      </c>
    </row>
    <row r="390" spans="1:50" hidden="1" x14ac:dyDescent="0.5"/>
    <row r="391" spans="1:50" hidden="1" x14ac:dyDescent="0.5">
      <c r="A391" s="550" t="s">
        <v>496</v>
      </c>
      <c r="B391" s="550"/>
      <c r="C391" s="550"/>
      <c r="D391" s="550"/>
      <c r="E391" s="550"/>
      <c r="F391" s="550"/>
    </row>
    <row r="392" spans="1:50" hidden="1" x14ac:dyDescent="0.5">
      <c r="A392" s="550"/>
      <c r="B392" s="550"/>
      <c r="C392" s="550"/>
      <c r="D392" s="550"/>
      <c r="E392" s="550"/>
      <c r="F392" s="550"/>
    </row>
    <row r="393" spans="1:50" hidden="1" x14ac:dyDescent="0.5">
      <c r="A393" s="551" t="s">
        <v>118</v>
      </c>
      <c r="B393" s="552" t="s">
        <v>135</v>
      </c>
      <c r="C393" s="553"/>
      <c r="D393" s="553"/>
      <c r="E393" s="553"/>
      <c r="F393" s="553"/>
      <c r="G393" s="553"/>
      <c r="H393" s="553"/>
      <c r="I393" s="553"/>
      <c r="J393" s="553"/>
      <c r="K393" s="553"/>
      <c r="L393" s="553"/>
      <c r="M393" s="553"/>
      <c r="N393" s="553"/>
      <c r="O393" s="553"/>
      <c r="P393" s="553"/>
      <c r="Q393" s="553"/>
      <c r="R393" s="553"/>
      <c r="S393" s="553"/>
      <c r="T393" s="553"/>
      <c r="U393" s="553"/>
      <c r="V393" s="553"/>
      <c r="W393" s="553"/>
      <c r="X393" s="553"/>
      <c r="Y393" s="553"/>
      <c r="Z393" s="553"/>
      <c r="AA393" s="553"/>
      <c r="AB393" s="553"/>
      <c r="AC393" s="553"/>
      <c r="AD393" s="553"/>
      <c r="AE393" s="553"/>
      <c r="AF393" s="553"/>
      <c r="AG393" s="553"/>
      <c r="AH393" s="553"/>
      <c r="AI393" s="553"/>
      <c r="AJ393" s="553"/>
      <c r="AK393" s="553"/>
      <c r="AL393" s="553"/>
      <c r="AM393" s="553"/>
      <c r="AN393" s="553"/>
      <c r="AO393" s="553"/>
      <c r="AP393" s="553"/>
      <c r="AQ393" s="553"/>
      <c r="AR393" s="553"/>
      <c r="AS393" s="553"/>
      <c r="AT393" s="553"/>
      <c r="AU393" s="553"/>
      <c r="AV393" s="553"/>
      <c r="AW393" s="553"/>
      <c r="AX393" s="553"/>
    </row>
    <row r="394" spans="1:50" hidden="1" x14ac:dyDescent="0.5">
      <c r="A394" s="551"/>
      <c r="B394" s="552"/>
      <c r="C394" s="554" t="s">
        <v>134</v>
      </c>
      <c r="D394" s="555"/>
      <c r="E394" s="556"/>
      <c r="F394" s="557" t="s">
        <v>133</v>
      </c>
      <c r="G394" s="557"/>
      <c r="H394" s="557"/>
      <c r="I394" s="557" t="s">
        <v>132</v>
      </c>
      <c r="J394" s="557"/>
      <c r="K394" s="557"/>
      <c r="L394" s="557" t="s">
        <v>131</v>
      </c>
      <c r="M394" s="557"/>
      <c r="N394" s="557"/>
      <c r="O394" s="557" t="s">
        <v>130</v>
      </c>
      <c r="P394" s="557"/>
      <c r="Q394" s="557"/>
      <c r="R394" s="557" t="s">
        <v>129</v>
      </c>
      <c r="S394" s="557"/>
      <c r="T394" s="557"/>
      <c r="U394" s="558" t="s">
        <v>128</v>
      </c>
      <c r="V394" s="559"/>
      <c r="W394" s="560"/>
      <c r="X394" s="557" t="s">
        <v>127</v>
      </c>
      <c r="Y394" s="557"/>
      <c r="Z394" s="557"/>
      <c r="AA394" s="557" t="s">
        <v>126</v>
      </c>
      <c r="AB394" s="557"/>
      <c r="AC394" s="557"/>
      <c r="AD394" s="177"/>
      <c r="AE394" s="177"/>
      <c r="AF394" s="177"/>
      <c r="AG394" s="557" t="s">
        <v>125</v>
      </c>
      <c r="AH394" s="557"/>
      <c r="AI394" s="557"/>
      <c r="AJ394" s="557" t="s">
        <v>124</v>
      </c>
      <c r="AK394" s="557"/>
      <c r="AL394" s="557"/>
      <c r="AM394" s="557" t="s">
        <v>123</v>
      </c>
      <c r="AN394" s="557"/>
      <c r="AO394" s="177"/>
      <c r="AP394" s="557" t="s">
        <v>367</v>
      </c>
      <c r="AQ394" s="557"/>
      <c r="AR394" s="177"/>
      <c r="AS394" s="557" t="s">
        <v>368</v>
      </c>
      <c r="AT394" s="557"/>
      <c r="AU394" s="177"/>
      <c r="AV394" s="557" t="s">
        <v>122</v>
      </c>
      <c r="AW394" s="557"/>
      <c r="AX394" s="557"/>
    </row>
    <row r="395" spans="1:50" hidden="1" x14ac:dyDescent="0.5">
      <c r="A395" s="551"/>
      <c r="B395" s="552"/>
      <c r="C395" s="17" t="s">
        <v>109</v>
      </c>
      <c r="D395" s="17" t="s">
        <v>108</v>
      </c>
      <c r="E395" s="17" t="s">
        <v>348</v>
      </c>
      <c r="F395" s="17" t="s">
        <v>109</v>
      </c>
      <c r="G395" s="17" t="s">
        <v>108</v>
      </c>
      <c r="H395" s="17" t="s">
        <v>348</v>
      </c>
      <c r="I395" s="17" t="s">
        <v>109</v>
      </c>
      <c r="J395" s="17" t="s">
        <v>108</v>
      </c>
      <c r="K395" s="17" t="s">
        <v>348</v>
      </c>
      <c r="L395" s="17" t="s">
        <v>109</v>
      </c>
      <c r="M395" s="17" t="s">
        <v>108</v>
      </c>
      <c r="N395" s="17" t="s">
        <v>348</v>
      </c>
      <c r="O395" s="17" t="s">
        <v>109</v>
      </c>
      <c r="P395" s="17" t="s">
        <v>108</v>
      </c>
      <c r="Q395" s="17" t="s">
        <v>348</v>
      </c>
      <c r="R395" s="17" t="s">
        <v>109</v>
      </c>
      <c r="S395" s="17" t="s">
        <v>108</v>
      </c>
      <c r="T395" s="17" t="s">
        <v>348</v>
      </c>
      <c r="U395" s="17" t="s">
        <v>109</v>
      </c>
      <c r="V395" s="17" t="s">
        <v>108</v>
      </c>
      <c r="W395" s="17" t="s">
        <v>348</v>
      </c>
      <c r="X395" s="17" t="s">
        <v>109</v>
      </c>
      <c r="Y395" s="17" t="s">
        <v>108</v>
      </c>
      <c r="Z395" s="17" t="s">
        <v>348</v>
      </c>
      <c r="AA395" s="17" t="s">
        <v>109</v>
      </c>
      <c r="AB395" s="17" t="s">
        <v>108</v>
      </c>
      <c r="AC395" s="17" t="s">
        <v>348</v>
      </c>
      <c r="AD395" s="17"/>
      <c r="AE395" s="17"/>
      <c r="AF395" s="17"/>
      <c r="AG395" s="17" t="s">
        <v>109</v>
      </c>
      <c r="AH395" s="17" t="s">
        <v>108</v>
      </c>
      <c r="AI395" s="17" t="s">
        <v>348</v>
      </c>
      <c r="AJ395" s="17" t="s">
        <v>109</v>
      </c>
      <c r="AK395" s="17" t="s">
        <v>108</v>
      </c>
      <c r="AL395" s="17" t="s">
        <v>348</v>
      </c>
      <c r="AM395" s="17" t="s">
        <v>109</v>
      </c>
      <c r="AN395" s="17" t="s">
        <v>108</v>
      </c>
      <c r="AO395" s="17" t="s">
        <v>348</v>
      </c>
      <c r="AP395" s="17" t="s">
        <v>109</v>
      </c>
      <c r="AQ395" s="17" t="s">
        <v>108</v>
      </c>
      <c r="AR395" s="17" t="s">
        <v>348</v>
      </c>
      <c r="AS395" s="17" t="s">
        <v>109</v>
      </c>
      <c r="AT395" s="17" t="s">
        <v>108</v>
      </c>
      <c r="AU395" s="17" t="s">
        <v>348</v>
      </c>
      <c r="AV395" s="17" t="s">
        <v>109</v>
      </c>
      <c r="AW395" s="17" t="s">
        <v>108</v>
      </c>
      <c r="AX395" s="17" t="s">
        <v>348</v>
      </c>
    </row>
    <row r="396" spans="1:50" hidden="1" x14ac:dyDescent="0.5">
      <c r="A396" s="16">
        <v>1</v>
      </c>
      <c r="B396" s="15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  <c r="AS396" s="19"/>
      <c r="AT396" s="19"/>
      <c r="AU396" s="19"/>
      <c r="AV396" s="19">
        <f>F396+I396+L396+O396+R396+U396+X396+AA396+AG396+AJ396+AM396+AP396+AS396</f>
        <v>0</v>
      </c>
      <c r="AW396" s="19">
        <f t="shared" ref="AW396:AW418" si="88">G396+J396+M396+P396+S396+V396+Y396+AB396+AH396+AK396+AN396+AQ396+AT396</f>
        <v>0</v>
      </c>
      <c r="AX396" s="19">
        <f t="shared" ref="AX396:AX414" si="89">H396+K396+N396+Q396+T396+W396+Z396+AC396+AI396+AL396+AO396+AR396+AU396</f>
        <v>0</v>
      </c>
    </row>
    <row r="397" spans="1:50" hidden="1" x14ac:dyDescent="0.5">
      <c r="A397" s="16">
        <v>2</v>
      </c>
      <c r="B397" s="15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21"/>
      <c r="P397" s="178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  <c r="AS397" s="19"/>
      <c r="AT397" s="19"/>
      <c r="AU397" s="19"/>
      <c r="AV397" s="19">
        <f t="shared" ref="AV397:AV405" si="90">F397+I397+L397+O397+R397+U397+X397+AA397+AG397+AJ397+AM397+AP397+AS397</f>
        <v>0</v>
      </c>
      <c r="AW397" s="19">
        <f t="shared" si="88"/>
        <v>0</v>
      </c>
      <c r="AX397" s="19">
        <f t="shared" si="89"/>
        <v>0</v>
      </c>
    </row>
    <row r="398" spans="1:50" hidden="1" x14ac:dyDescent="0.5">
      <c r="A398" s="16">
        <v>3</v>
      </c>
      <c r="B398" s="15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  <c r="AS398" s="19"/>
      <c r="AT398" s="19"/>
      <c r="AU398" s="19"/>
      <c r="AV398" s="19">
        <f t="shared" si="90"/>
        <v>0</v>
      </c>
      <c r="AW398" s="19">
        <f t="shared" si="88"/>
        <v>0</v>
      </c>
      <c r="AX398" s="19">
        <f t="shared" si="89"/>
        <v>0</v>
      </c>
    </row>
    <row r="399" spans="1:50" hidden="1" x14ac:dyDescent="0.5">
      <c r="A399" s="16">
        <v>4</v>
      </c>
      <c r="B399" s="15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  <c r="AS399" s="19"/>
      <c r="AT399" s="19"/>
      <c r="AU399" s="19"/>
      <c r="AV399" s="19">
        <f t="shared" si="90"/>
        <v>0</v>
      </c>
      <c r="AW399" s="19">
        <f t="shared" si="88"/>
        <v>0</v>
      </c>
      <c r="AX399" s="19">
        <f t="shared" si="89"/>
        <v>0</v>
      </c>
    </row>
    <row r="400" spans="1:50" hidden="1" x14ac:dyDescent="0.5">
      <c r="A400" s="16">
        <v>5</v>
      </c>
      <c r="B400" s="15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  <c r="AS400" s="19"/>
      <c r="AT400" s="19"/>
      <c r="AU400" s="19"/>
      <c r="AV400" s="19">
        <f t="shared" si="90"/>
        <v>0</v>
      </c>
      <c r="AW400" s="19">
        <f t="shared" si="88"/>
        <v>0</v>
      </c>
      <c r="AX400" s="19">
        <f t="shared" si="89"/>
        <v>0</v>
      </c>
    </row>
    <row r="401" spans="1:50" hidden="1" x14ac:dyDescent="0.5">
      <c r="A401" s="16">
        <v>6</v>
      </c>
      <c r="B401" s="15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  <c r="AS401" s="19"/>
      <c r="AT401" s="19"/>
      <c r="AU401" s="19"/>
      <c r="AV401" s="19">
        <f t="shared" si="90"/>
        <v>0</v>
      </c>
      <c r="AW401" s="19">
        <f t="shared" si="88"/>
        <v>0</v>
      </c>
      <c r="AX401" s="19">
        <f t="shared" si="89"/>
        <v>0</v>
      </c>
    </row>
    <row r="402" spans="1:50" hidden="1" x14ac:dyDescent="0.5">
      <c r="A402" s="16">
        <v>7</v>
      </c>
      <c r="B402" s="15"/>
      <c r="C402" s="20"/>
      <c r="D402" s="20"/>
      <c r="E402" s="19"/>
      <c r="F402" s="20"/>
      <c r="G402" s="20"/>
      <c r="H402" s="19"/>
      <c r="I402" s="20"/>
      <c r="J402" s="20"/>
      <c r="K402" s="20"/>
      <c r="L402" s="20"/>
      <c r="M402" s="20"/>
      <c r="N402" s="20"/>
      <c r="O402" s="20"/>
      <c r="P402" s="20"/>
      <c r="Q402" s="19"/>
      <c r="R402" s="20"/>
      <c r="S402" s="20"/>
      <c r="T402" s="19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  <c r="AS402" s="19"/>
      <c r="AT402" s="19"/>
      <c r="AU402" s="19"/>
      <c r="AV402" s="19">
        <f t="shared" si="90"/>
        <v>0</v>
      </c>
      <c r="AW402" s="19">
        <f t="shared" si="88"/>
        <v>0</v>
      </c>
      <c r="AX402" s="19">
        <f t="shared" si="89"/>
        <v>0</v>
      </c>
    </row>
    <row r="403" spans="1:50" hidden="1" x14ac:dyDescent="0.5">
      <c r="A403" s="16">
        <v>8</v>
      </c>
      <c r="B403" s="15"/>
      <c r="C403" s="20"/>
      <c r="D403" s="20"/>
      <c r="E403" s="19"/>
      <c r="F403" s="20"/>
      <c r="G403" s="20"/>
      <c r="H403" s="19"/>
      <c r="I403" s="20"/>
      <c r="J403" s="20"/>
      <c r="K403" s="20"/>
      <c r="L403" s="20"/>
      <c r="M403" s="20"/>
      <c r="N403" s="20"/>
      <c r="O403" s="20"/>
      <c r="P403" s="20"/>
      <c r="Q403" s="19"/>
      <c r="R403" s="20"/>
      <c r="S403" s="20"/>
      <c r="T403" s="19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  <c r="AS403" s="19"/>
      <c r="AT403" s="19"/>
      <c r="AU403" s="19"/>
      <c r="AV403" s="19">
        <f t="shared" si="90"/>
        <v>0</v>
      </c>
      <c r="AW403" s="19">
        <f t="shared" si="88"/>
        <v>0</v>
      </c>
      <c r="AX403" s="19">
        <f t="shared" si="89"/>
        <v>0</v>
      </c>
    </row>
    <row r="404" spans="1:50" hidden="1" x14ac:dyDescent="0.5">
      <c r="A404" s="16">
        <v>9</v>
      </c>
      <c r="B404" s="15"/>
      <c r="C404" s="20"/>
      <c r="D404" s="20"/>
      <c r="E404" s="19"/>
      <c r="F404" s="20"/>
      <c r="G404" s="20"/>
      <c r="H404" s="19"/>
      <c r="I404" s="20"/>
      <c r="J404" s="20"/>
      <c r="K404" s="20"/>
      <c r="L404" s="20"/>
      <c r="M404" s="20"/>
      <c r="N404" s="20"/>
      <c r="O404" s="20"/>
      <c r="P404" s="20"/>
      <c r="Q404" s="19"/>
      <c r="R404" s="20"/>
      <c r="S404" s="20"/>
      <c r="T404" s="19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  <c r="AS404" s="19"/>
      <c r="AT404" s="19"/>
      <c r="AU404" s="19"/>
      <c r="AV404" s="19">
        <f t="shared" si="90"/>
        <v>0</v>
      </c>
      <c r="AW404" s="19">
        <f t="shared" si="88"/>
        <v>0</v>
      </c>
      <c r="AX404" s="19">
        <f t="shared" si="89"/>
        <v>0</v>
      </c>
    </row>
    <row r="405" spans="1:50" hidden="1" x14ac:dyDescent="0.5">
      <c r="A405" s="16">
        <v>10</v>
      </c>
      <c r="B405" s="15"/>
      <c r="C405" s="20"/>
      <c r="D405" s="20"/>
      <c r="E405" s="19"/>
      <c r="F405" s="20"/>
      <c r="G405" s="20"/>
      <c r="H405" s="19"/>
      <c r="I405" s="20"/>
      <c r="J405" s="20"/>
      <c r="K405" s="20"/>
      <c r="L405" s="20"/>
      <c r="M405" s="20"/>
      <c r="N405" s="20"/>
      <c r="O405" s="20"/>
      <c r="P405" s="20"/>
      <c r="Q405" s="19"/>
      <c r="R405" s="20"/>
      <c r="S405" s="20"/>
      <c r="T405" s="19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  <c r="AS405" s="19"/>
      <c r="AT405" s="19"/>
      <c r="AU405" s="19"/>
      <c r="AV405" s="19">
        <f t="shared" si="90"/>
        <v>0</v>
      </c>
      <c r="AW405" s="19">
        <f t="shared" si="88"/>
        <v>0</v>
      </c>
      <c r="AX405" s="19">
        <f t="shared" si="89"/>
        <v>0</v>
      </c>
    </row>
    <row r="406" spans="1:50" hidden="1" x14ac:dyDescent="0.5">
      <c r="A406" s="16">
        <v>11</v>
      </c>
      <c r="B406" s="15"/>
      <c r="C406" s="20"/>
      <c r="D406" s="20"/>
      <c r="E406" s="19"/>
      <c r="F406" s="20"/>
      <c r="G406" s="20"/>
      <c r="H406" s="19"/>
      <c r="I406" s="20"/>
      <c r="J406" s="20"/>
      <c r="K406" s="20"/>
      <c r="L406" s="20"/>
      <c r="M406" s="20"/>
      <c r="N406" s="20"/>
      <c r="O406" s="20"/>
      <c r="P406" s="20"/>
      <c r="Q406" s="19"/>
      <c r="R406" s="20"/>
      <c r="S406" s="20"/>
      <c r="T406" s="19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  <c r="AS406" s="19"/>
      <c r="AT406" s="19"/>
      <c r="AU406" s="19"/>
      <c r="AV406" s="19"/>
      <c r="AW406" s="19">
        <f t="shared" si="88"/>
        <v>0</v>
      </c>
      <c r="AX406" s="19">
        <f t="shared" si="89"/>
        <v>0</v>
      </c>
    </row>
    <row r="407" spans="1:50" hidden="1" x14ac:dyDescent="0.5">
      <c r="A407" s="16">
        <v>12</v>
      </c>
      <c r="B407" s="15"/>
      <c r="C407" s="20"/>
      <c r="D407" s="20"/>
      <c r="E407" s="19"/>
      <c r="F407" s="20"/>
      <c r="G407" s="20"/>
      <c r="H407" s="19"/>
      <c r="I407" s="20"/>
      <c r="J407" s="20"/>
      <c r="K407" s="20"/>
      <c r="L407" s="20"/>
      <c r="M407" s="20"/>
      <c r="N407" s="20"/>
      <c r="O407" s="20"/>
      <c r="P407" s="20"/>
      <c r="Q407" s="19"/>
      <c r="R407" s="20"/>
      <c r="S407" s="20"/>
      <c r="T407" s="19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  <c r="AS407" s="19"/>
      <c r="AT407" s="19"/>
      <c r="AU407" s="19"/>
      <c r="AV407" s="19">
        <f t="shared" ref="AV407:AV418" si="91">F407+I407+L407+O407+R407+U407+X407+AA407+AG407+AJ407+AM407+AP407+AS407</f>
        <v>0</v>
      </c>
      <c r="AW407" s="19">
        <f t="shared" si="88"/>
        <v>0</v>
      </c>
      <c r="AX407" s="19">
        <f t="shared" si="89"/>
        <v>0</v>
      </c>
    </row>
    <row r="408" spans="1:50" hidden="1" x14ac:dyDescent="0.5">
      <c r="A408" s="16">
        <v>13</v>
      </c>
      <c r="B408" s="15"/>
      <c r="C408" s="20"/>
      <c r="D408" s="20"/>
      <c r="E408" s="19"/>
      <c r="F408" s="20"/>
      <c r="G408" s="20"/>
      <c r="H408" s="19"/>
      <c r="I408" s="20"/>
      <c r="J408" s="20"/>
      <c r="K408" s="20"/>
      <c r="L408" s="20"/>
      <c r="M408" s="20"/>
      <c r="N408" s="20"/>
      <c r="O408" s="20"/>
      <c r="P408" s="20"/>
      <c r="Q408" s="19"/>
      <c r="R408" s="20"/>
      <c r="S408" s="20"/>
      <c r="T408" s="19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  <c r="AS408" s="19"/>
      <c r="AT408" s="19"/>
      <c r="AU408" s="19"/>
      <c r="AV408" s="19">
        <f t="shared" si="91"/>
        <v>0</v>
      </c>
      <c r="AW408" s="19">
        <f t="shared" si="88"/>
        <v>0</v>
      </c>
      <c r="AX408" s="19">
        <f t="shared" si="89"/>
        <v>0</v>
      </c>
    </row>
    <row r="409" spans="1:50" hidden="1" x14ac:dyDescent="0.5">
      <c r="A409" s="16">
        <v>14</v>
      </c>
      <c r="B409" s="15"/>
      <c r="C409" s="20"/>
      <c r="D409" s="20"/>
      <c r="E409" s="19"/>
      <c r="F409" s="20"/>
      <c r="G409" s="20"/>
      <c r="H409" s="19"/>
      <c r="I409" s="20"/>
      <c r="J409" s="20"/>
      <c r="K409" s="20"/>
      <c r="L409" s="20"/>
      <c r="M409" s="20"/>
      <c r="N409" s="20"/>
      <c r="O409" s="20"/>
      <c r="P409" s="20"/>
      <c r="Q409" s="19"/>
      <c r="R409" s="20"/>
      <c r="S409" s="20"/>
      <c r="T409" s="19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  <c r="AS409" s="19"/>
      <c r="AT409" s="19"/>
      <c r="AU409" s="19"/>
      <c r="AV409" s="19">
        <f t="shared" si="91"/>
        <v>0</v>
      </c>
      <c r="AW409" s="19">
        <f t="shared" si="88"/>
        <v>0</v>
      </c>
      <c r="AX409" s="19">
        <f t="shared" si="89"/>
        <v>0</v>
      </c>
    </row>
    <row r="410" spans="1:50" hidden="1" x14ac:dyDescent="0.5">
      <c r="A410" s="16">
        <v>15</v>
      </c>
      <c r="B410" s="15"/>
      <c r="C410" s="20"/>
      <c r="D410" s="20"/>
      <c r="E410" s="19"/>
      <c r="F410" s="20"/>
      <c r="G410" s="20"/>
      <c r="H410" s="19"/>
      <c r="I410" s="20"/>
      <c r="J410" s="20"/>
      <c r="K410" s="20"/>
      <c r="L410" s="20"/>
      <c r="M410" s="20"/>
      <c r="N410" s="20"/>
      <c r="O410" s="20"/>
      <c r="P410" s="20"/>
      <c r="Q410" s="19"/>
      <c r="R410" s="20"/>
      <c r="S410" s="20"/>
      <c r="T410" s="19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  <c r="AS410" s="19"/>
      <c r="AT410" s="19"/>
      <c r="AU410" s="19"/>
      <c r="AV410" s="19">
        <f t="shared" si="91"/>
        <v>0</v>
      </c>
      <c r="AW410" s="19">
        <f t="shared" si="88"/>
        <v>0</v>
      </c>
      <c r="AX410" s="19">
        <f t="shared" si="89"/>
        <v>0</v>
      </c>
    </row>
    <row r="411" spans="1:50" hidden="1" x14ac:dyDescent="0.5">
      <c r="A411" s="16">
        <v>16</v>
      </c>
      <c r="B411" s="15"/>
      <c r="C411" s="20"/>
      <c r="D411" s="20"/>
      <c r="E411" s="19"/>
      <c r="F411" s="20"/>
      <c r="G411" s="20"/>
      <c r="H411" s="19"/>
      <c r="I411" s="20"/>
      <c r="J411" s="20"/>
      <c r="K411" s="20"/>
      <c r="L411" s="20"/>
      <c r="M411" s="20"/>
      <c r="N411" s="20"/>
      <c r="O411" s="20"/>
      <c r="P411" s="20"/>
      <c r="Q411" s="19"/>
      <c r="R411" s="20"/>
      <c r="S411" s="20"/>
      <c r="T411" s="19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  <c r="AS411" s="19"/>
      <c r="AT411" s="19"/>
      <c r="AU411" s="19"/>
      <c r="AV411" s="19">
        <f t="shared" si="91"/>
        <v>0</v>
      </c>
      <c r="AW411" s="19">
        <f t="shared" si="88"/>
        <v>0</v>
      </c>
      <c r="AX411" s="19">
        <f t="shared" si="89"/>
        <v>0</v>
      </c>
    </row>
    <row r="412" spans="1:50" hidden="1" x14ac:dyDescent="0.5">
      <c r="A412" s="16">
        <v>17</v>
      </c>
      <c r="B412" s="15"/>
      <c r="C412" s="20"/>
      <c r="D412" s="20"/>
      <c r="E412" s="19"/>
      <c r="F412" s="20"/>
      <c r="G412" s="20"/>
      <c r="H412" s="19"/>
      <c r="I412" s="20"/>
      <c r="J412" s="20"/>
      <c r="K412" s="20"/>
      <c r="L412" s="20"/>
      <c r="M412" s="20"/>
      <c r="N412" s="20"/>
      <c r="O412" s="20"/>
      <c r="P412" s="20"/>
      <c r="Q412" s="19"/>
      <c r="R412" s="20"/>
      <c r="S412" s="20"/>
      <c r="T412" s="19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  <c r="AS412" s="19"/>
      <c r="AT412" s="19"/>
      <c r="AU412" s="19"/>
      <c r="AV412" s="19">
        <f t="shared" si="91"/>
        <v>0</v>
      </c>
      <c r="AW412" s="19">
        <f t="shared" si="88"/>
        <v>0</v>
      </c>
      <c r="AX412" s="19">
        <f t="shared" si="89"/>
        <v>0</v>
      </c>
    </row>
    <row r="413" spans="1:50" hidden="1" x14ac:dyDescent="0.5">
      <c r="A413" s="16">
        <v>18</v>
      </c>
      <c r="B413" s="15"/>
      <c r="C413" s="20"/>
      <c r="D413" s="20"/>
      <c r="E413" s="19"/>
      <c r="F413" s="20"/>
      <c r="G413" s="20"/>
      <c r="H413" s="19"/>
      <c r="I413" s="20"/>
      <c r="J413" s="20"/>
      <c r="K413" s="20"/>
      <c r="L413" s="20"/>
      <c r="M413" s="20"/>
      <c r="N413" s="20"/>
      <c r="O413" s="20"/>
      <c r="P413" s="20"/>
      <c r="Q413" s="19"/>
      <c r="R413" s="20"/>
      <c r="S413" s="20"/>
      <c r="T413" s="19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  <c r="AS413" s="19"/>
      <c r="AT413" s="19"/>
      <c r="AU413" s="19"/>
      <c r="AV413" s="19">
        <f t="shared" si="91"/>
        <v>0</v>
      </c>
      <c r="AW413" s="19">
        <f t="shared" si="88"/>
        <v>0</v>
      </c>
      <c r="AX413" s="19">
        <f t="shared" si="89"/>
        <v>0</v>
      </c>
    </row>
    <row r="414" spans="1:50" hidden="1" x14ac:dyDescent="0.5">
      <c r="A414" s="16">
        <v>19</v>
      </c>
      <c r="B414" s="15"/>
      <c r="C414" s="20"/>
      <c r="D414" s="20"/>
      <c r="E414" s="19"/>
      <c r="F414" s="20"/>
      <c r="G414" s="20"/>
      <c r="H414" s="19"/>
      <c r="I414" s="20"/>
      <c r="J414" s="20"/>
      <c r="K414" s="20"/>
      <c r="L414" s="20"/>
      <c r="M414" s="20"/>
      <c r="N414" s="20"/>
      <c r="O414" s="20"/>
      <c r="P414" s="20"/>
      <c r="Q414" s="19"/>
      <c r="R414" s="20"/>
      <c r="S414" s="20"/>
      <c r="T414" s="19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  <c r="AS414" s="19"/>
      <c r="AT414" s="19"/>
      <c r="AU414" s="19"/>
      <c r="AV414" s="19">
        <f t="shared" si="91"/>
        <v>0</v>
      </c>
      <c r="AW414" s="19">
        <f t="shared" si="88"/>
        <v>0</v>
      </c>
      <c r="AX414" s="19">
        <f t="shared" si="89"/>
        <v>0</v>
      </c>
    </row>
    <row r="415" spans="1:50" hidden="1" x14ac:dyDescent="0.5">
      <c r="A415" s="16">
        <v>20</v>
      </c>
      <c r="B415" s="15"/>
      <c r="C415" s="20"/>
      <c r="D415" s="20"/>
      <c r="E415" s="19"/>
      <c r="F415" s="20"/>
      <c r="G415" s="20"/>
      <c r="H415" s="19"/>
      <c r="I415" s="20"/>
      <c r="J415" s="20"/>
      <c r="K415" s="20"/>
      <c r="L415" s="20"/>
      <c r="M415" s="20"/>
      <c r="N415" s="20"/>
      <c r="O415" s="20"/>
      <c r="P415" s="20"/>
      <c r="Q415" s="19"/>
      <c r="R415" s="20"/>
      <c r="S415" s="20"/>
      <c r="T415" s="19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  <c r="AS415" s="19"/>
      <c r="AT415" s="19"/>
      <c r="AU415" s="19"/>
      <c r="AV415" s="19">
        <f t="shared" si="91"/>
        <v>0</v>
      </c>
      <c r="AW415" s="19">
        <f t="shared" si="88"/>
        <v>0</v>
      </c>
      <c r="AX415" s="19">
        <f>E415+H415+K415+N415+Q415+T415+W415+Z415+AC415+AI415+AL415+AO415+AR415+AU415</f>
        <v>0</v>
      </c>
    </row>
    <row r="416" spans="1:50" hidden="1" x14ac:dyDescent="0.5">
      <c r="A416" s="16">
        <v>21</v>
      </c>
      <c r="B416" s="15"/>
      <c r="C416" s="20"/>
      <c r="D416" s="20"/>
      <c r="E416" s="19"/>
      <c r="F416" s="20"/>
      <c r="G416" s="20"/>
      <c r="H416" s="19"/>
      <c r="I416" s="20"/>
      <c r="J416" s="20"/>
      <c r="K416" s="20"/>
      <c r="L416" s="20"/>
      <c r="M416" s="20"/>
      <c r="N416" s="20"/>
      <c r="O416" s="20"/>
      <c r="P416" s="20"/>
      <c r="Q416" s="19"/>
      <c r="R416" s="20"/>
      <c r="S416" s="20"/>
      <c r="T416" s="19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  <c r="AS416" s="19"/>
      <c r="AT416" s="19"/>
      <c r="AU416" s="19"/>
      <c r="AV416" s="19">
        <f t="shared" si="91"/>
        <v>0</v>
      </c>
      <c r="AW416" s="19">
        <f t="shared" si="88"/>
        <v>0</v>
      </c>
      <c r="AX416" s="19">
        <f t="shared" ref="AX416:AX418" si="92">E416+H416+K416+N416+Q416+T416+W416+Z416+AC416+AI416+AL416+AO416+AR416+AU416</f>
        <v>0</v>
      </c>
    </row>
    <row r="417" spans="1:50" hidden="1" x14ac:dyDescent="0.5">
      <c r="A417" s="16">
        <v>22</v>
      </c>
      <c r="B417" s="15"/>
      <c r="C417" s="20"/>
      <c r="D417" s="20"/>
      <c r="E417" s="19"/>
      <c r="F417" s="20"/>
      <c r="G417" s="20"/>
      <c r="H417" s="19"/>
      <c r="I417" s="20"/>
      <c r="J417" s="20"/>
      <c r="K417" s="20"/>
      <c r="L417" s="20"/>
      <c r="M417" s="20"/>
      <c r="N417" s="20"/>
      <c r="O417" s="20"/>
      <c r="P417" s="20"/>
      <c r="Q417" s="19"/>
      <c r="R417" s="20"/>
      <c r="S417" s="20"/>
      <c r="T417" s="19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  <c r="AS417" s="19"/>
      <c r="AT417" s="19"/>
      <c r="AU417" s="19"/>
      <c r="AV417" s="19">
        <f t="shared" si="91"/>
        <v>0</v>
      </c>
      <c r="AW417" s="19">
        <f t="shared" si="88"/>
        <v>0</v>
      </c>
      <c r="AX417" s="19">
        <f t="shared" si="92"/>
        <v>0</v>
      </c>
    </row>
    <row r="418" spans="1:50" hidden="1" x14ac:dyDescent="0.5">
      <c r="A418" s="16">
        <v>23</v>
      </c>
      <c r="B418" s="15"/>
      <c r="C418" s="20"/>
      <c r="D418" s="20"/>
      <c r="E418" s="19"/>
      <c r="F418" s="20"/>
      <c r="G418" s="20"/>
      <c r="H418" s="19"/>
      <c r="I418" s="20"/>
      <c r="J418" s="20"/>
      <c r="K418" s="20"/>
      <c r="L418" s="20"/>
      <c r="M418" s="20"/>
      <c r="N418" s="20"/>
      <c r="O418" s="20"/>
      <c r="P418" s="20"/>
      <c r="Q418" s="19"/>
      <c r="R418" s="20"/>
      <c r="S418" s="20"/>
      <c r="T418" s="19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  <c r="AS418" s="19"/>
      <c r="AT418" s="19"/>
      <c r="AU418" s="19"/>
      <c r="AV418" s="19">
        <f t="shared" si="91"/>
        <v>0</v>
      </c>
      <c r="AW418" s="19">
        <f t="shared" si="88"/>
        <v>0</v>
      </c>
      <c r="AX418" s="19">
        <f t="shared" si="92"/>
        <v>0</v>
      </c>
    </row>
    <row r="419" spans="1:50" hidden="1" x14ac:dyDescent="0.5">
      <c r="A419" s="16">
        <v>22</v>
      </c>
      <c r="B419" s="15"/>
      <c r="C419" s="20"/>
      <c r="D419" s="20"/>
      <c r="E419" s="19"/>
      <c r="F419" s="20"/>
      <c r="G419" s="20"/>
      <c r="H419" s="19"/>
      <c r="I419" s="20"/>
      <c r="J419" s="20"/>
      <c r="K419" s="20"/>
      <c r="L419" s="20"/>
      <c r="M419" s="20"/>
      <c r="N419" s="20"/>
      <c r="O419" s="20"/>
      <c r="P419" s="20"/>
      <c r="Q419" s="19"/>
      <c r="R419" s="20"/>
      <c r="S419" s="20"/>
      <c r="T419" s="19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  <c r="AS419" s="19"/>
      <c r="AT419" s="19"/>
      <c r="AU419" s="19"/>
      <c r="AV419" s="19">
        <f>C419+F419+I419+L419+O419+R419+U419+X419+AA419+AG419+AJ419+AM419</f>
        <v>0</v>
      </c>
      <c r="AW419" s="19">
        <f>D419+G419+J419+M419+P419+S419+V419+Y419+AB419+AH419+AK419+AN419</f>
        <v>0</v>
      </c>
      <c r="AX419" s="19">
        <f>E419+H419+K419+N419+Q419+T419+W419+Z419+AC419+AI419+AL419+AN419</f>
        <v>0</v>
      </c>
    </row>
    <row r="420" spans="1:50" hidden="1" x14ac:dyDescent="0.5">
      <c r="A420" s="14"/>
      <c r="B420" s="13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8">
        <f>SUM(AA396:AA403)</f>
        <v>0</v>
      </c>
      <c r="AB420" s="18">
        <f>SUM(AB396:AB403)</f>
        <v>0</v>
      </c>
      <c r="AV420" s="182">
        <f>SUM(AV396:AV419)</f>
        <v>0</v>
      </c>
      <c r="AW420" s="182">
        <f>SUM(AW396:AW419)</f>
        <v>0</v>
      </c>
      <c r="AX420" s="182">
        <f>SUM(AX396:AX419)</f>
        <v>0</v>
      </c>
    </row>
    <row r="421" spans="1:50" hidden="1" x14ac:dyDescent="0.5"/>
    <row r="422" spans="1:50" hidden="1" x14ac:dyDescent="0.5"/>
    <row r="423" spans="1:50" hidden="1" x14ac:dyDescent="0.5">
      <c r="A423" s="550" t="s">
        <v>369</v>
      </c>
      <c r="B423" s="550"/>
      <c r="C423" s="550"/>
      <c r="D423" s="550"/>
      <c r="E423" s="550"/>
      <c r="F423" s="550"/>
    </row>
    <row r="424" spans="1:50" hidden="1" x14ac:dyDescent="0.5">
      <c r="A424" s="550"/>
      <c r="B424" s="550"/>
      <c r="C424" s="550"/>
      <c r="D424" s="550"/>
      <c r="E424" s="550"/>
      <c r="F424" s="550"/>
    </row>
    <row r="425" spans="1:50" hidden="1" x14ac:dyDescent="0.5">
      <c r="A425" s="551" t="s">
        <v>118</v>
      </c>
      <c r="B425" s="552" t="s">
        <v>135</v>
      </c>
      <c r="C425" s="553"/>
      <c r="D425" s="553"/>
      <c r="E425" s="553"/>
      <c r="F425" s="553"/>
      <c r="G425" s="553"/>
      <c r="H425" s="553"/>
      <c r="I425" s="553"/>
      <c r="J425" s="553"/>
      <c r="K425" s="553"/>
      <c r="L425" s="553"/>
      <c r="M425" s="553"/>
      <c r="N425" s="553"/>
      <c r="O425" s="553"/>
      <c r="P425" s="553"/>
      <c r="Q425" s="553"/>
      <c r="R425" s="553"/>
      <c r="S425" s="553"/>
      <c r="T425" s="553"/>
      <c r="U425" s="553"/>
      <c r="V425" s="553"/>
      <c r="W425" s="553"/>
      <c r="X425" s="553"/>
      <c r="Y425" s="553"/>
      <c r="Z425" s="553"/>
      <c r="AA425" s="553"/>
      <c r="AB425" s="553"/>
      <c r="AC425" s="553"/>
      <c r="AD425" s="553"/>
      <c r="AE425" s="553"/>
      <c r="AF425" s="553"/>
      <c r="AG425" s="553"/>
      <c r="AH425" s="553"/>
      <c r="AI425" s="553"/>
      <c r="AJ425" s="553"/>
      <c r="AK425" s="553"/>
      <c r="AL425" s="553"/>
      <c r="AM425" s="553"/>
      <c r="AN425" s="553"/>
      <c r="AO425" s="553"/>
      <c r="AP425" s="553"/>
      <c r="AQ425" s="553"/>
      <c r="AR425" s="553"/>
      <c r="AS425" s="553"/>
      <c r="AT425" s="553"/>
      <c r="AU425" s="553"/>
      <c r="AV425" s="553"/>
      <c r="AW425" s="553"/>
      <c r="AX425" s="553"/>
    </row>
    <row r="426" spans="1:50" hidden="1" x14ac:dyDescent="0.5">
      <c r="A426" s="551"/>
      <c r="B426" s="552"/>
      <c r="C426" s="554" t="s">
        <v>134</v>
      </c>
      <c r="D426" s="555"/>
      <c r="E426" s="556"/>
      <c r="F426" s="557" t="s">
        <v>133</v>
      </c>
      <c r="G426" s="557"/>
      <c r="H426" s="557"/>
      <c r="I426" s="557" t="s">
        <v>132</v>
      </c>
      <c r="J426" s="557"/>
      <c r="K426" s="557"/>
      <c r="L426" s="557" t="s">
        <v>131</v>
      </c>
      <c r="M426" s="557"/>
      <c r="N426" s="557"/>
      <c r="O426" s="557" t="s">
        <v>130</v>
      </c>
      <c r="P426" s="557"/>
      <c r="Q426" s="557"/>
      <c r="R426" s="557" t="s">
        <v>129</v>
      </c>
      <c r="S426" s="557"/>
      <c r="T426" s="557"/>
      <c r="U426" s="558" t="s">
        <v>128</v>
      </c>
      <c r="V426" s="559"/>
      <c r="W426" s="560"/>
      <c r="X426" s="557" t="s">
        <v>127</v>
      </c>
      <c r="Y426" s="557"/>
      <c r="Z426" s="557"/>
      <c r="AA426" s="557" t="s">
        <v>126</v>
      </c>
      <c r="AB426" s="557"/>
      <c r="AC426" s="557"/>
      <c r="AD426" s="177"/>
      <c r="AE426" s="177"/>
      <c r="AF426" s="177"/>
      <c r="AG426" s="557" t="s">
        <v>125</v>
      </c>
      <c r="AH426" s="557"/>
      <c r="AI426" s="557"/>
      <c r="AJ426" s="557" t="s">
        <v>124</v>
      </c>
      <c r="AK426" s="557"/>
      <c r="AL426" s="557"/>
      <c r="AM426" s="557" t="s">
        <v>123</v>
      </c>
      <c r="AN426" s="557"/>
      <c r="AO426" s="177"/>
      <c r="AP426" s="557" t="s">
        <v>367</v>
      </c>
      <c r="AQ426" s="557"/>
      <c r="AR426" s="177"/>
      <c r="AS426" s="557" t="s">
        <v>368</v>
      </c>
      <c r="AT426" s="557"/>
      <c r="AU426" s="177"/>
      <c r="AV426" s="557" t="s">
        <v>122</v>
      </c>
      <c r="AW426" s="557"/>
      <c r="AX426" s="557"/>
    </row>
    <row r="427" spans="1:50" hidden="1" x14ac:dyDescent="0.5">
      <c r="A427" s="551"/>
      <c r="B427" s="552"/>
      <c r="C427" s="17" t="s">
        <v>109</v>
      </c>
      <c r="D427" s="17" t="s">
        <v>108</v>
      </c>
      <c r="E427" s="17" t="s">
        <v>348</v>
      </c>
      <c r="F427" s="17" t="s">
        <v>109</v>
      </c>
      <c r="G427" s="17" t="s">
        <v>108</v>
      </c>
      <c r="H427" s="17" t="s">
        <v>348</v>
      </c>
      <c r="I427" s="17" t="s">
        <v>109</v>
      </c>
      <c r="J427" s="17" t="s">
        <v>108</v>
      </c>
      <c r="K427" s="17" t="s">
        <v>348</v>
      </c>
      <c r="L427" s="17" t="s">
        <v>109</v>
      </c>
      <c r="M427" s="17" t="s">
        <v>108</v>
      </c>
      <c r="N427" s="17" t="s">
        <v>348</v>
      </c>
      <c r="O427" s="17" t="s">
        <v>109</v>
      </c>
      <c r="P427" s="17" t="s">
        <v>108</v>
      </c>
      <c r="Q427" s="17" t="s">
        <v>348</v>
      </c>
      <c r="R427" s="17" t="s">
        <v>109</v>
      </c>
      <c r="S427" s="17" t="s">
        <v>108</v>
      </c>
      <c r="T427" s="17" t="s">
        <v>348</v>
      </c>
      <c r="U427" s="17" t="s">
        <v>109</v>
      </c>
      <c r="V427" s="17" t="s">
        <v>108</v>
      </c>
      <c r="W427" s="17" t="s">
        <v>348</v>
      </c>
      <c r="X427" s="17" t="s">
        <v>109</v>
      </c>
      <c r="Y427" s="17" t="s">
        <v>108</v>
      </c>
      <c r="Z427" s="17" t="s">
        <v>348</v>
      </c>
      <c r="AA427" s="17" t="s">
        <v>109</v>
      </c>
      <c r="AB427" s="17" t="s">
        <v>108</v>
      </c>
      <c r="AC427" s="17" t="s">
        <v>348</v>
      </c>
      <c r="AD427" s="17"/>
      <c r="AE427" s="17"/>
      <c r="AF427" s="17"/>
      <c r="AG427" s="17" t="s">
        <v>109</v>
      </c>
      <c r="AH427" s="17" t="s">
        <v>108</v>
      </c>
      <c r="AI427" s="17" t="s">
        <v>348</v>
      </c>
      <c r="AJ427" s="17" t="s">
        <v>109</v>
      </c>
      <c r="AK427" s="17" t="s">
        <v>108</v>
      </c>
      <c r="AL427" s="17" t="s">
        <v>348</v>
      </c>
      <c r="AM427" s="17" t="s">
        <v>109</v>
      </c>
      <c r="AN427" s="17" t="s">
        <v>108</v>
      </c>
      <c r="AO427" s="17" t="s">
        <v>348</v>
      </c>
      <c r="AP427" s="17" t="s">
        <v>109</v>
      </c>
      <c r="AQ427" s="17" t="s">
        <v>108</v>
      </c>
      <c r="AR427" s="17" t="s">
        <v>348</v>
      </c>
      <c r="AS427" s="17" t="s">
        <v>109</v>
      </c>
      <c r="AT427" s="17" t="s">
        <v>108</v>
      </c>
      <c r="AU427" s="17" t="s">
        <v>348</v>
      </c>
      <c r="AV427" s="17" t="s">
        <v>109</v>
      </c>
      <c r="AW427" s="17" t="s">
        <v>108</v>
      </c>
      <c r="AX427" s="17" t="s">
        <v>348</v>
      </c>
    </row>
    <row r="428" spans="1:50" hidden="1" x14ac:dyDescent="0.5">
      <c r="A428" s="16">
        <v>1</v>
      </c>
      <c r="B428" s="15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  <c r="AS428" s="19"/>
      <c r="AT428" s="19"/>
      <c r="AU428" s="19"/>
      <c r="AV428" s="19"/>
      <c r="AW428" s="19"/>
      <c r="AX428" s="19">
        <f>E428+H428+K428+N428+Q428+T428+W428+Z428+AC428+AI428+AL428+AO428+AR428+AU428</f>
        <v>0</v>
      </c>
    </row>
    <row r="429" spans="1:50" hidden="1" x14ac:dyDescent="0.5">
      <c r="A429" s="16">
        <v>2</v>
      </c>
      <c r="B429" s="15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21"/>
      <c r="P429" s="178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  <c r="AS429" s="19"/>
      <c r="AT429" s="19"/>
      <c r="AU429" s="19"/>
      <c r="AV429" s="19"/>
      <c r="AW429" s="19"/>
      <c r="AX429" s="19">
        <f t="shared" ref="AX429:AX434" si="93">E429+H429+K429+N429+Q429+T429+W429+Z429+AC429+AI429+AL429+AN429</f>
        <v>0</v>
      </c>
    </row>
    <row r="430" spans="1:50" hidden="1" x14ac:dyDescent="0.5">
      <c r="A430" s="16">
        <v>3</v>
      </c>
      <c r="B430" s="15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  <c r="AS430" s="19"/>
      <c r="AT430" s="19"/>
      <c r="AU430" s="19"/>
      <c r="AV430" s="19"/>
      <c r="AW430" s="19"/>
      <c r="AX430" s="19">
        <f t="shared" si="93"/>
        <v>0</v>
      </c>
    </row>
    <row r="431" spans="1:50" hidden="1" x14ac:dyDescent="0.5">
      <c r="A431" s="16">
        <v>4</v>
      </c>
      <c r="B431" s="15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  <c r="AS431" s="19"/>
      <c r="AT431" s="19"/>
      <c r="AU431" s="19"/>
      <c r="AV431" s="19"/>
      <c r="AW431" s="19"/>
      <c r="AX431" s="19">
        <f t="shared" si="93"/>
        <v>0</v>
      </c>
    </row>
    <row r="432" spans="1:50" hidden="1" x14ac:dyDescent="0.5">
      <c r="A432" s="16">
        <v>5</v>
      </c>
      <c r="B432" s="15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  <c r="AS432" s="19"/>
      <c r="AT432" s="19"/>
      <c r="AU432" s="19"/>
      <c r="AV432" s="19"/>
      <c r="AW432" s="19"/>
      <c r="AX432" s="19">
        <f t="shared" si="93"/>
        <v>0</v>
      </c>
    </row>
    <row r="433" spans="1:50" hidden="1" x14ac:dyDescent="0.5">
      <c r="A433" s="16">
        <v>6</v>
      </c>
      <c r="B433" s="15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  <c r="AS433" s="19"/>
      <c r="AT433" s="19"/>
      <c r="AU433" s="19"/>
      <c r="AV433" s="19"/>
      <c r="AW433" s="19"/>
      <c r="AX433" s="19">
        <f t="shared" si="93"/>
        <v>0</v>
      </c>
    </row>
    <row r="434" spans="1:50" hidden="1" x14ac:dyDescent="0.5">
      <c r="A434" s="16">
        <v>7</v>
      </c>
      <c r="B434" s="15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  <c r="AS434" s="19"/>
      <c r="AT434" s="19"/>
      <c r="AU434" s="19"/>
      <c r="AV434" s="19"/>
      <c r="AW434" s="19"/>
      <c r="AX434" s="19">
        <f t="shared" si="93"/>
        <v>0</v>
      </c>
    </row>
    <row r="435" spans="1:50" hidden="1" x14ac:dyDescent="0.5">
      <c r="A435" s="16">
        <v>8</v>
      </c>
      <c r="B435" s="15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  <c r="AS435" s="19"/>
      <c r="AT435" s="19"/>
      <c r="AU435" s="19"/>
      <c r="AV435" s="19"/>
      <c r="AW435" s="19"/>
      <c r="AX435" s="19"/>
    </row>
    <row r="436" spans="1:50" hidden="1" x14ac:dyDescent="0.5">
      <c r="A436" s="16">
        <v>9</v>
      </c>
      <c r="B436" s="15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  <c r="AS436" s="19"/>
      <c r="AT436" s="19"/>
      <c r="AU436" s="19"/>
      <c r="AV436" s="19"/>
      <c r="AW436" s="19"/>
      <c r="AX436" s="19"/>
    </row>
    <row r="437" spans="1:50" hidden="1" x14ac:dyDescent="0.5">
      <c r="A437" s="16">
        <v>8</v>
      </c>
      <c r="B437" s="15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  <c r="AS437" s="19"/>
      <c r="AT437" s="19"/>
      <c r="AU437" s="19"/>
      <c r="AV437" s="19"/>
      <c r="AW437" s="19"/>
      <c r="AX437" s="19">
        <f t="shared" ref="AX437:AX451" si="94">E437+H437+K437+N437+Q437+T437+W437+Z437+AC437+AI437+AL437+AN437</f>
        <v>0</v>
      </c>
    </row>
    <row r="438" spans="1:50" hidden="1" x14ac:dyDescent="0.5">
      <c r="A438" s="16">
        <v>7</v>
      </c>
      <c r="B438" s="15"/>
      <c r="C438" s="20"/>
      <c r="D438" s="20"/>
      <c r="E438" s="19"/>
      <c r="F438" s="20"/>
      <c r="G438" s="20"/>
      <c r="H438" s="19"/>
      <c r="I438" s="20"/>
      <c r="J438" s="20"/>
      <c r="K438" s="20"/>
      <c r="L438" s="20"/>
      <c r="M438" s="20"/>
      <c r="N438" s="20"/>
      <c r="O438" s="20"/>
      <c r="P438" s="20"/>
      <c r="Q438" s="19"/>
      <c r="R438" s="20"/>
      <c r="S438" s="20"/>
      <c r="T438" s="19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  <c r="AS438" s="19"/>
      <c r="AT438" s="19"/>
      <c r="AU438" s="19"/>
      <c r="AV438" s="19"/>
      <c r="AW438" s="19"/>
      <c r="AX438" s="19">
        <f t="shared" si="94"/>
        <v>0</v>
      </c>
    </row>
    <row r="439" spans="1:50" hidden="1" x14ac:dyDescent="0.5">
      <c r="A439" s="16">
        <v>8</v>
      </c>
      <c r="B439" s="15"/>
      <c r="C439" s="20"/>
      <c r="D439" s="20"/>
      <c r="E439" s="19"/>
      <c r="F439" s="20"/>
      <c r="G439" s="20"/>
      <c r="H439" s="19"/>
      <c r="I439" s="20"/>
      <c r="J439" s="20"/>
      <c r="K439" s="20"/>
      <c r="L439" s="20"/>
      <c r="M439" s="20"/>
      <c r="N439" s="20"/>
      <c r="O439" s="20"/>
      <c r="P439" s="20"/>
      <c r="Q439" s="19"/>
      <c r="R439" s="20"/>
      <c r="S439" s="20"/>
      <c r="T439" s="19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  <c r="AS439" s="19"/>
      <c r="AT439" s="19"/>
      <c r="AU439" s="19"/>
      <c r="AV439" s="19"/>
      <c r="AW439" s="19"/>
      <c r="AX439" s="19">
        <f t="shared" si="94"/>
        <v>0</v>
      </c>
    </row>
    <row r="440" spans="1:50" hidden="1" x14ac:dyDescent="0.5">
      <c r="A440" s="16">
        <v>9</v>
      </c>
      <c r="B440" s="15"/>
      <c r="C440" s="20"/>
      <c r="D440" s="20"/>
      <c r="E440" s="19"/>
      <c r="F440" s="20"/>
      <c r="G440" s="20"/>
      <c r="H440" s="19"/>
      <c r="I440" s="20"/>
      <c r="J440" s="20"/>
      <c r="K440" s="20"/>
      <c r="L440" s="20"/>
      <c r="M440" s="20"/>
      <c r="N440" s="20"/>
      <c r="O440" s="20"/>
      <c r="P440" s="20"/>
      <c r="Q440" s="19"/>
      <c r="R440" s="20"/>
      <c r="S440" s="20"/>
      <c r="T440" s="19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  <c r="AS440" s="19"/>
      <c r="AT440" s="19"/>
      <c r="AU440" s="19"/>
      <c r="AV440" s="19"/>
      <c r="AW440" s="19"/>
      <c r="AX440" s="19">
        <f t="shared" si="94"/>
        <v>0</v>
      </c>
    </row>
    <row r="441" spans="1:50" hidden="1" x14ac:dyDescent="0.5">
      <c r="A441" s="16">
        <v>10</v>
      </c>
      <c r="B441" s="15"/>
      <c r="C441" s="20"/>
      <c r="D441" s="20"/>
      <c r="E441" s="19"/>
      <c r="F441" s="20"/>
      <c r="G441" s="20"/>
      <c r="H441" s="19"/>
      <c r="I441" s="20"/>
      <c r="J441" s="20"/>
      <c r="K441" s="20"/>
      <c r="L441" s="20"/>
      <c r="M441" s="20"/>
      <c r="N441" s="20"/>
      <c r="O441" s="20"/>
      <c r="P441" s="20"/>
      <c r="Q441" s="19"/>
      <c r="R441" s="20"/>
      <c r="S441" s="20"/>
      <c r="T441" s="19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  <c r="AS441" s="19"/>
      <c r="AT441" s="19"/>
      <c r="AU441" s="19"/>
      <c r="AV441" s="19"/>
      <c r="AW441" s="19"/>
      <c r="AX441" s="19">
        <f t="shared" si="94"/>
        <v>0</v>
      </c>
    </row>
    <row r="442" spans="1:50" hidden="1" x14ac:dyDescent="0.5">
      <c r="A442" s="16">
        <v>11</v>
      </c>
      <c r="B442" s="15"/>
      <c r="C442" s="20"/>
      <c r="D442" s="20"/>
      <c r="E442" s="19"/>
      <c r="F442" s="20"/>
      <c r="G442" s="20"/>
      <c r="H442" s="19"/>
      <c r="I442" s="20"/>
      <c r="J442" s="20"/>
      <c r="K442" s="20"/>
      <c r="L442" s="20"/>
      <c r="M442" s="20"/>
      <c r="N442" s="20"/>
      <c r="O442" s="20"/>
      <c r="P442" s="20"/>
      <c r="Q442" s="19"/>
      <c r="R442" s="20"/>
      <c r="S442" s="20"/>
      <c r="T442" s="19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  <c r="AS442" s="19"/>
      <c r="AT442" s="19"/>
      <c r="AU442" s="19"/>
      <c r="AV442" s="19"/>
      <c r="AW442" s="19"/>
      <c r="AX442" s="19">
        <f t="shared" si="94"/>
        <v>0</v>
      </c>
    </row>
    <row r="443" spans="1:50" hidden="1" x14ac:dyDescent="0.5">
      <c r="A443" s="16">
        <v>12</v>
      </c>
      <c r="B443" s="15"/>
      <c r="C443" s="20"/>
      <c r="D443" s="20"/>
      <c r="E443" s="19"/>
      <c r="F443" s="20"/>
      <c r="G443" s="20"/>
      <c r="H443" s="19"/>
      <c r="I443" s="20"/>
      <c r="J443" s="20"/>
      <c r="K443" s="20"/>
      <c r="L443" s="20"/>
      <c r="M443" s="20"/>
      <c r="N443" s="20"/>
      <c r="O443" s="20"/>
      <c r="P443" s="20"/>
      <c r="Q443" s="19"/>
      <c r="R443" s="20"/>
      <c r="S443" s="20"/>
      <c r="T443" s="19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  <c r="AS443" s="19"/>
      <c r="AT443" s="19"/>
      <c r="AU443" s="19"/>
      <c r="AV443" s="19"/>
      <c r="AW443" s="19"/>
      <c r="AX443" s="19">
        <f t="shared" si="94"/>
        <v>0</v>
      </c>
    </row>
    <row r="444" spans="1:50" hidden="1" x14ac:dyDescent="0.5">
      <c r="A444" s="16">
        <v>13</v>
      </c>
      <c r="B444" s="15"/>
      <c r="C444" s="20"/>
      <c r="D444" s="20"/>
      <c r="E444" s="19"/>
      <c r="F444" s="20"/>
      <c r="G444" s="20"/>
      <c r="H444" s="19"/>
      <c r="I444" s="20"/>
      <c r="J444" s="20"/>
      <c r="K444" s="20"/>
      <c r="L444" s="20"/>
      <c r="M444" s="20"/>
      <c r="N444" s="20"/>
      <c r="O444" s="20"/>
      <c r="P444" s="20"/>
      <c r="Q444" s="19"/>
      <c r="R444" s="20"/>
      <c r="S444" s="20"/>
      <c r="T444" s="19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  <c r="AS444" s="19"/>
      <c r="AT444" s="19"/>
      <c r="AU444" s="19"/>
      <c r="AV444" s="19"/>
      <c r="AW444" s="19"/>
      <c r="AX444" s="19">
        <f t="shared" si="94"/>
        <v>0</v>
      </c>
    </row>
    <row r="445" spans="1:50" hidden="1" x14ac:dyDescent="0.5">
      <c r="A445" s="16">
        <v>14</v>
      </c>
      <c r="B445" s="15"/>
      <c r="C445" s="20"/>
      <c r="D445" s="20"/>
      <c r="E445" s="19"/>
      <c r="F445" s="20"/>
      <c r="G445" s="20"/>
      <c r="H445" s="19"/>
      <c r="I445" s="20"/>
      <c r="J445" s="20"/>
      <c r="K445" s="20"/>
      <c r="L445" s="20"/>
      <c r="M445" s="20"/>
      <c r="N445" s="20"/>
      <c r="O445" s="20"/>
      <c r="P445" s="20"/>
      <c r="Q445" s="19"/>
      <c r="R445" s="20"/>
      <c r="S445" s="20"/>
      <c r="T445" s="19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  <c r="AS445" s="19"/>
      <c r="AT445" s="19"/>
      <c r="AU445" s="19"/>
      <c r="AV445" s="19"/>
      <c r="AW445" s="19"/>
      <c r="AX445" s="19">
        <f t="shared" si="94"/>
        <v>0</v>
      </c>
    </row>
    <row r="446" spans="1:50" hidden="1" x14ac:dyDescent="0.5">
      <c r="A446" s="16">
        <v>15</v>
      </c>
      <c r="B446" s="15"/>
      <c r="C446" s="20"/>
      <c r="D446" s="20"/>
      <c r="E446" s="19"/>
      <c r="F446" s="20"/>
      <c r="G446" s="20"/>
      <c r="H446" s="19"/>
      <c r="I446" s="20"/>
      <c r="J446" s="20"/>
      <c r="K446" s="20"/>
      <c r="L446" s="20"/>
      <c r="M446" s="20"/>
      <c r="N446" s="20"/>
      <c r="O446" s="20"/>
      <c r="P446" s="20"/>
      <c r="Q446" s="19"/>
      <c r="R446" s="20"/>
      <c r="S446" s="20"/>
      <c r="T446" s="19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  <c r="AS446" s="19"/>
      <c r="AT446" s="19"/>
      <c r="AU446" s="19"/>
      <c r="AV446" s="19"/>
      <c r="AW446" s="19"/>
      <c r="AX446" s="19">
        <f t="shared" si="94"/>
        <v>0</v>
      </c>
    </row>
    <row r="447" spans="1:50" hidden="1" x14ac:dyDescent="0.5">
      <c r="A447" s="16">
        <v>16</v>
      </c>
      <c r="B447" s="15"/>
      <c r="C447" s="20"/>
      <c r="D447" s="20"/>
      <c r="E447" s="19"/>
      <c r="F447" s="20"/>
      <c r="G447" s="20"/>
      <c r="H447" s="19"/>
      <c r="I447" s="20"/>
      <c r="J447" s="20"/>
      <c r="K447" s="20"/>
      <c r="L447" s="20"/>
      <c r="M447" s="20"/>
      <c r="N447" s="20"/>
      <c r="O447" s="20"/>
      <c r="P447" s="20"/>
      <c r="Q447" s="19"/>
      <c r="R447" s="20"/>
      <c r="S447" s="20"/>
      <c r="T447" s="19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  <c r="AS447" s="19"/>
      <c r="AT447" s="19"/>
      <c r="AU447" s="19"/>
      <c r="AV447" s="19"/>
      <c r="AW447" s="19"/>
      <c r="AX447" s="19">
        <f t="shared" si="94"/>
        <v>0</v>
      </c>
    </row>
    <row r="448" spans="1:50" hidden="1" x14ac:dyDescent="0.5">
      <c r="A448" s="16">
        <v>17</v>
      </c>
      <c r="B448" s="15"/>
      <c r="C448" s="20"/>
      <c r="D448" s="20"/>
      <c r="E448" s="19"/>
      <c r="F448" s="20"/>
      <c r="G448" s="20"/>
      <c r="H448" s="19"/>
      <c r="I448" s="20"/>
      <c r="J448" s="20"/>
      <c r="K448" s="20"/>
      <c r="L448" s="20"/>
      <c r="M448" s="20"/>
      <c r="N448" s="20"/>
      <c r="O448" s="20"/>
      <c r="P448" s="20"/>
      <c r="Q448" s="19"/>
      <c r="R448" s="20"/>
      <c r="S448" s="20"/>
      <c r="T448" s="19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  <c r="AS448" s="19"/>
      <c r="AT448" s="19"/>
      <c r="AU448" s="19"/>
      <c r="AV448" s="19"/>
      <c r="AW448" s="19"/>
      <c r="AX448" s="19">
        <f t="shared" si="94"/>
        <v>0</v>
      </c>
    </row>
    <row r="449" spans="1:50" hidden="1" x14ac:dyDescent="0.5">
      <c r="A449" s="16">
        <v>18</v>
      </c>
      <c r="B449" s="15"/>
      <c r="C449" s="20"/>
      <c r="D449" s="20"/>
      <c r="E449" s="19"/>
      <c r="F449" s="20"/>
      <c r="G449" s="20"/>
      <c r="H449" s="19"/>
      <c r="I449" s="20"/>
      <c r="J449" s="20"/>
      <c r="K449" s="20"/>
      <c r="L449" s="20"/>
      <c r="M449" s="20"/>
      <c r="N449" s="20"/>
      <c r="O449" s="20"/>
      <c r="P449" s="20"/>
      <c r="Q449" s="19"/>
      <c r="R449" s="20"/>
      <c r="S449" s="20"/>
      <c r="T449" s="19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  <c r="AS449" s="19"/>
      <c r="AT449" s="19"/>
      <c r="AU449" s="19"/>
      <c r="AV449" s="19"/>
      <c r="AW449" s="19"/>
      <c r="AX449" s="19">
        <f t="shared" si="94"/>
        <v>0</v>
      </c>
    </row>
    <row r="450" spans="1:50" hidden="1" x14ac:dyDescent="0.5">
      <c r="A450" s="16">
        <v>19</v>
      </c>
      <c r="B450" s="15"/>
      <c r="C450" s="20"/>
      <c r="D450" s="20"/>
      <c r="E450" s="19"/>
      <c r="F450" s="20"/>
      <c r="G450" s="20"/>
      <c r="H450" s="19"/>
      <c r="I450" s="20"/>
      <c r="J450" s="20"/>
      <c r="K450" s="20"/>
      <c r="L450" s="20"/>
      <c r="M450" s="20"/>
      <c r="N450" s="20"/>
      <c r="O450" s="20"/>
      <c r="P450" s="20"/>
      <c r="Q450" s="19"/>
      <c r="R450" s="20"/>
      <c r="S450" s="20"/>
      <c r="T450" s="19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  <c r="AS450" s="19"/>
      <c r="AT450" s="19"/>
      <c r="AU450" s="19"/>
      <c r="AV450" s="19"/>
      <c r="AW450" s="19"/>
      <c r="AX450" s="19">
        <f t="shared" si="94"/>
        <v>0</v>
      </c>
    </row>
    <row r="451" spans="1:50" hidden="1" x14ac:dyDescent="0.5">
      <c r="A451" s="16">
        <v>20</v>
      </c>
      <c r="B451" s="15"/>
      <c r="C451" s="20"/>
      <c r="D451" s="20"/>
      <c r="E451" s="19"/>
      <c r="F451" s="20"/>
      <c r="G451" s="20"/>
      <c r="H451" s="19"/>
      <c r="I451" s="20"/>
      <c r="J451" s="20"/>
      <c r="K451" s="20"/>
      <c r="L451" s="20"/>
      <c r="M451" s="20"/>
      <c r="N451" s="20"/>
      <c r="O451" s="20"/>
      <c r="P451" s="20"/>
      <c r="Q451" s="19"/>
      <c r="R451" s="20"/>
      <c r="S451" s="20"/>
      <c r="T451" s="19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0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  <c r="AS451" s="19"/>
      <c r="AT451" s="19"/>
      <c r="AU451" s="19"/>
      <c r="AV451" s="19"/>
      <c r="AW451" s="19"/>
      <c r="AX451" s="19">
        <f t="shared" si="94"/>
        <v>0</v>
      </c>
    </row>
    <row r="452" spans="1:50" hidden="1" x14ac:dyDescent="0.5">
      <c r="A452" s="16">
        <v>21</v>
      </c>
      <c r="B452" s="15"/>
      <c r="C452" s="20"/>
      <c r="D452" s="20"/>
      <c r="E452" s="19"/>
      <c r="F452" s="20"/>
      <c r="G452" s="20"/>
      <c r="H452" s="19"/>
      <c r="I452" s="20"/>
      <c r="J452" s="20"/>
      <c r="K452" s="20"/>
      <c r="L452" s="20"/>
      <c r="M452" s="20"/>
      <c r="N452" s="20"/>
      <c r="O452" s="20"/>
      <c r="P452" s="20"/>
      <c r="Q452" s="19"/>
      <c r="R452" s="20"/>
      <c r="S452" s="20"/>
      <c r="T452" s="19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  <c r="AS452" s="19"/>
      <c r="AT452" s="19"/>
      <c r="AU452" s="19"/>
      <c r="AV452" s="19"/>
      <c r="AW452" s="19"/>
      <c r="AX452" s="19">
        <f>E452+H452+K452+N452+Q452+T452+W452+Z452+AC452+AI452+AL452+AO452+AR452+AU452</f>
        <v>0</v>
      </c>
    </row>
    <row r="453" spans="1:50" hidden="1" x14ac:dyDescent="0.5">
      <c r="A453" s="16">
        <v>22</v>
      </c>
      <c r="B453" s="15"/>
      <c r="C453" s="20"/>
      <c r="D453" s="20"/>
      <c r="E453" s="19"/>
      <c r="F453" s="20"/>
      <c r="G453" s="20"/>
      <c r="H453" s="19"/>
      <c r="I453" s="20"/>
      <c r="J453" s="20"/>
      <c r="K453" s="20"/>
      <c r="L453" s="20"/>
      <c r="M453" s="20"/>
      <c r="N453" s="20"/>
      <c r="O453" s="20"/>
      <c r="P453" s="20"/>
      <c r="Q453" s="19"/>
      <c r="R453" s="20"/>
      <c r="S453" s="20"/>
      <c r="T453" s="19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  <c r="AS453" s="19"/>
      <c r="AT453" s="19"/>
      <c r="AU453" s="19"/>
      <c r="AV453" s="19">
        <f t="shared" ref="AV453:AV454" si="95">C453+F453+I453+L453+O453+R453+U453+X453+AA453+AG453+AJ453+AM453+AP453+AS453</f>
        <v>0</v>
      </c>
      <c r="AW453" s="19">
        <f t="shared" ref="AW453:AW454" si="96">D453+G453+J453+M453+P453+S453+V453+Y453+AB453+AH453+AK453+AN453+AQ453+AT453</f>
        <v>0</v>
      </c>
      <c r="AX453" s="19">
        <f t="shared" ref="AX453:AX454" si="97">E453+H453+K453+N453+Q453+T453+W453+Z453+AC453+AI453+AL453+AO453+AR453+AU453</f>
        <v>0</v>
      </c>
    </row>
    <row r="454" spans="1:50" hidden="1" x14ac:dyDescent="0.5">
      <c r="A454" s="16">
        <v>23</v>
      </c>
      <c r="B454" s="15"/>
      <c r="C454" s="20"/>
      <c r="D454" s="20"/>
      <c r="E454" s="19"/>
      <c r="F454" s="20"/>
      <c r="G454" s="20"/>
      <c r="H454" s="19"/>
      <c r="I454" s="20"/>
      <c r="J454" s="20"/>
      <c r="K454" s="20"/>
      <c r="L454" s="20"/>
      <c r="M454" s="20"/>
      <c r="N454" s="20"/>
      <c r="O454" s="20"/>
      <c r="P454" s="20"/>
      <c r="Q454" s="19"/>
      <c r="R454" s="20"/>
      <c r="S454" s="20"/>
      <c r="T454" s="19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  <c r="AS454" s="19"/>
      <c r="AT454" s="19"/>
      <c r="AU454" s="19"/>
      <c r="AV454" s="19">
        <f t="shared" si="95"/>
        <v>0</v>
      </c>
      <c r="AW454" s="19">
        <f t="shared" si="96"/>
        <v>0</v>
      </c>
      <c r="AX454" s="19">
        <f t="shared" si="97"/>
        <v>0</v>
      </c>
    </row>
    <row r="455" spans="1:50" hidden="1" x14ac:dyDescent="0.5">
      <c r="A455" s="14"/>
      <c r="B455" s="13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8">
        <f>SUM(AA428:AA439)</f>
        <v>0</v>
      </c>
      <c r="AB455" s="18">
        <f>SUM(AB428:AB439)</f>
        <v>0</v>
      </c>
      <c r="AV455" s="182">
        <f>SUM(AV428:AV454)</f>
        <v>0</v>
      </c>
      <c r="AW455" s="182">
        <f>SUM(AW428:AW454)</f>
        <v>0</v>
      </c>
      <c r="AX455" s="182">
        <f t="shared" ref="AX455" si="98">SUM(AX428:AX454)</f>
        <v>0</v>
      </c>
    </row>
    <row r="456" spans="1:50" hidden="1" x14ac:dyDescent="0.5"/>
    <row r="457" spans="1:50" hidden="1" x14ac:dyDescent="0.5"/>
    <row r="458" spans="1:50" hidden="1" x14ac:dyDescent="0.5">
      <c r="A458" s="561" t="s">
        <v>370</v>
      </c>
      <c r="B458" s="561"/>
      <c r="C458" s="561"/>
      <c r="D458" s="561"/>
      <c r="E458" s="561"/>
      <c r="F458" s="561"/>
    </row>
    <row r="459" spans="1:50" hidden="1" x14ac:dyDescent="0.5">
      <c r="A459" s="561"/>
      <c r="B459" s="561"/>
      <c r="C459" s="561"/>
      <c r="D459" s="561"/>
      <c r="E459" s="561"/>
      <c r="F459" s="561"/>
    </row>
    <row r="460" spans="1:50" hidden="1" x14ac:dyDescent="0.5">
      <c r="A460" s="551" t="s">
        <v>118</v>
      </c>
      <c r="B460" s="552" t="s">
        <v>135</v>
      </c>
      <c r="C460" s="553"/>
      <c r="D460" s="553"/>
      <c r="E460" s="553"/>
      <c r="F460" s="553"/>
      <c r="G460" s="553"/>
      <c r="H460" s="553"/>
      <c r="I460" s="553"/>
      <c r="J460" s="553"/>
      <c r="K460" s="553"/>
      <c r="L460" s="553"/>
      <c r="M460" s="553"/>
      <c r="N460" s="553"/>
      <c r="O460" s="553"/>
      <c r="P460" s="553"/>
      <c r="Q460" s="553"/>
      <c r="R460" s="553"/>
      <c r="S460" s="553"/>
      <c r="T460" s="553"/>
      <c r="U460" s="553"/>
      <c r="V460" s="553"/>
      <c r="W460" s="553"/>
      <c r="X460" s="553"/>
      <c r="Y460" s="553"/>
      <c r="Z460" s="553"/>
      <c r="AA460" s="553"/>
      <c r="AB460" s="553"/>
      <c r="AC460" s="553"/>
      <c r="AD460" s="553"/>
      <c r="AE460" s="553"/>
      <c r="AF460" s="553"/>
      <c r="AG460" s="553"/>
      <c r="AH460" s="553"/>
      <c r="AI460" s="553"/>
      <c r="AJ460" s="553"/>
      <c r="AK460" s="553"/>
      <c r="AL460" s="553"/>
      <c r="AM460" s="553"/>
      <c r="AN460" s="553"/>
      <c r="AO460" s="553"/>
      <c r="AP460" s="553"/>
      <c r="AQ460" s="553"/>
      <c r="AR460" s="553"/>
      <c r="AS460" s="553"/>
      <c r="AT460" s="553"/>
      <c r="AU460" s="553"/>
      <c r="AV460" s="553"/>
      <c r="AW460" s="553"/>
      <c r="AX460" s="553"/>
    </row>
    <row r="461" spans="1:50" hidden="1" x14ac:dyDescent="0.5">
      <c r="A461" s="551"/>
      <c r="B461" s="552"/>
      <c r="C461" s="554" t="s">
        <v>124</v>
      </c>
      <c r="D461" s="555"/>
      <c r="E461" s="556"/>
      <c r="F461" s="554" t="s">
        <v>133</v>
      </c>
      <c r="G461" s="555"/>
      <c r="H461" s="556"/>
      <c r="I461" s="554" t="s">
        <v>132</v>
      </c>
      <c r="J461" s="555"/>
      <c r="K461" s="556"/>
      <c r="L461" s="554" t="s">
        <v>131</v>
      </c>
      <c r="M461" s="555"/>
      <c r="N461" s="556"/>
      <c r="O461" s="554" t="s">
        <v>130</v>
      </c>
      <c r="P461" s="555"/>
      <c r="Q461" s="556"/>
      <c r="R461" s="554" t="s">
        <v>129</v>
      </c>
      <c r="S461" s="555"/>
      <c r="T461" s="556"/>
      <c r="U461" s="554" t="s">
        <v>128</v>
      </c>
      <c r="V461" s="555"/>
      <c r="W461" s="556"/>
      <c r="X461" s="554" t="s">
        <v>127</v>
      </c>
      <c r="Y461" s="555"/>
      <c r="Z461" s="556"/>
      <c r="AA461" s="554" t="s">
        <v>126</v>
      </c>
      <c r="AB461" s="555"/>
      <c r="AC461" s="556"/>
      <c r="AD461" s="211"/>
      <c r="AE461" s="211"/>
      <c r="AF461" s="211"/>
      <c r="AG461" s="554" t="s">
        <v>125</v>
      </c>
      <c r="AH461" s="555"/>
      <c r="AI461" s="556"/>
      <c r="AJ461" s="554" t="s">
        <v>124</v>
      </c>
      <c r="AK461" s="555"/>
      <c r="AL461" s="556"/>
      <c r="AM461" s="554" t="s">
        <v>123</v>
      </c>
      <c r="AN461" s="555"/>
      <c r="AO461" s="556"/>
      <c r="AP461" s="554" t="s">
        <v>367</v>
      </c>
      <c r="AQ461" s="555"/>
      <c r="AR461" s="556"/>
      <c r="AS461" s="554" t="s">
        <v>368</v>
      </c>
      <c r="AT461" s="555"/>
      <c r="AU461" s="556"/>
      <c r="AV461" s="554" t="s">
        <v>122</v>
      </c>
      <c r="AW461" s="555"/>
      <c r="AX461" s="556"/>
    </row>
    <row r="462" spans="1:50" hidden="1" x14ac:dyDescent="0.5">
      <c r="A462" s="551"/>
      <c r="B462" s="552"/>
      <c r="C462" s="17" t="s">
        <v>109</v>
      </c>
      <c r="D462" s="17" t="s">
        <v>108</v>
      </c>
      <c r="E462" s="17" t="s">
        <v>348</v>
      </c>
      <c r="F462" s="17" t="s">
        <v>109</v>
      </c>
      <c r="G462" s="17" t="s">
        <v>108</v>
      </c>
      <c r="H462" s="17" t="s">
        <v>348</v>
      </c>
      <c r="I462" s="17" t="s">
        <v>109</v>
      </c>
      <c r="J462" s="17" t="s">
        <v>108</v>
      </c>
      <c r="K462" s="17" t="s">
        <v>348</v>
      </c>
      <c r="L462" s="17" t="s">
        <v>109</v>
      </c>
      <c r="M462" s="17" t="s">
        <v>108</v>
      </c>
      <c r="N462" s="17" t="s">
        <v>348</v>
      </c>
      <c r="O462" s="17" t="s">
        <v>109</v>
      </c>
      <c r="P462" s="17" t="s">
        <v>108</v>
      </c>
      <c r="Q462" s="17" t="s">
        <v>348</v>
      </c>
      <c r="R462" s="17" t="s">
        <v>109</v>
      </c>
      <c r="S462" s="17" t="s">
        <v>108</v>
      </c>
      <c r="T462" s="17" t="s">
        <v>348</v>
      </c>
      <c r="U462" s="17" t="s">
        <v>109</v>
      </c>
      <c r="V462" s="17" t="s">
        <v>108</v>
      </c>
      <c r="W462" s="17" t="s">
        <v>348</v>
      </c>
      <c r="X462" s="17" t="s">
        <v>109</v>
      </c>
      <c r="Y462" s="17" t="s">
        <v>108</v>
      </c>
      <c r="Z462" s="17" t="s">
        <v>348</v>
      </c>
      <c r="AA462" s="17" t="s">
        <v>109</v>
      </c>
      <c r="AB462" s="17" t="s">
        <v>108</v>
      </c>
      <c r="AC462" s="17" t="s">
        <v>348</v>
      </c>
      <c r="AD462" s="17"/>
      <c r="AE462" s="17"/>
      <c r="AF462" s="17"/>
      <c r="AG462" s="17" t="s">
        <v>109</v>
      </c>
      <c r="AH462" s="17" t="s">
        <v>108</v>
      </c>
      <c r="AI462" s="17" t="s">
        <v>348</v>
      </c>
      <c r="AJ462" s="17" t="s">
        <v>109</v>
      </c>
      <c r="AK462" s="17" t="s">
        <v>108</v>
      </c>
      <c r="AL462" s="17" t="s">
        <v>348</v>
      </c>
      <c r="AM462" s="17" t="s">
        <v>109</v>
      </c>
      <c r="AN462" s="17" t="s">
        <v>108</v>
      </c>
      <c r="AO462" s="17" t="s">
        <v>348</v>
      </c>
      <c r="AP462" s="17" t="s">
        <v>109</v>
      </c>
      <c r="AQ462" s="17" t="s">
        <v>108</v>
      </c>
      <c r="AR462" s="17" t="s">
        <v>348</v>
      </c>
      <c r="AS462" s="17" t="s">
        <v>109</v>
      </c>
      <c r="AT462" s="17" t="s">
        <v>108</v>
      </c>
      <c r="AU462" s="17" t="s">
        <v>348</v>
      </c>
      <c r="AV462" s="17" t="s">
        <v>109</v>
      </c>
      <c r="AW462" s="17" t="s">
        <v>108</v>
      </c>
      <c r="AX462" s="17" t="s">
        <v>348</v>
      </c>
    </row>
    <row r="463" spans="1:50" hidden="1" x14ac:dyDescent="0.5">
      <c r="A463" s="16">
        <v>1</v>
      </c>
      <c r="B463" s="15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  <c r="AS463" s="19"/>
      <c r="AT463" s="19"/>
      <c r="AU463" s="19"/>
      <c r="AV463" s="19">
        <f>C463+F463+I463+L463+O463+R463+U463+X463+AA463+AG463+AJ463+AM463+AP463+AS463</f>
        <v>0</v>
      </c>
      <c r="AW463" s="19">
        <f>D463+G463+J463+M463+P463+S463+V463+Y463+AB463+AH463+AK463+AN463+AQ463+AT463</f>
        <v>0</v>
      </c>
      <c r="AX463" s="19">
        <f>E463+H463+K463+N463+Q463+T463+W463+Z463+AC463+AI463+AL463+AO463+AR463+AU463</f>
        <v>0</v>
      </c>
    </row>
    <row r="464" spans="1:50" hidden="1" x14ac:dyDescent="0.5">
      <c r="A464" s="16">
        <v>2</v>
      </c>
      <c r="B464" s="15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21"/>
      <c r="P464" s="178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  <c r="AS464" s="19"/>
      <c r="AT464" s="19"/>
      <c r="AU464" s="19"/>
      <c r="AV464" s="19">
        <f t="shared" ref="AV464:AV486" si="99">C464+F464+I464+L464+O464+R464+U464+X464+AA464+AG464+AJ464+AM464</f>
        <v>0</v>
      </c>
      <c r="AW464" s="19">
        <f t="shared" ref="AW464:AW486" si="100">D464+G464+J464+M464+P464+S464+V464+Y464+AB464+AH464+AK464+AN464</f>
        <v>0</v>
      </c>
      <c r="AX464" s="19">
        <f t="shared" ref="AX464:AX486" si="101">E464+H464+K464+N464+Q464+T464+W464+Z464+AC464+AI464+AL464+AN464</f>
        <v>0</v>
      </c>
    </row>
    <row r="465" spans="1:50" hidden="1" x14ac:dyDescent="0.5">
      <c r="A465" s="16">
        <v>3</v>
      </c>
      <c r="B465" s="15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  <c r="AS465" s="19"/>
      <c r="AT465" s="19"/>
      <c r="AU465" s="19"/>
      <c r="AV465" s="19">
        <f t="shared" si="99"/>
        <v>0</v>
      </c>
      <c r="AW465" s="19">
        <f t="shared" si="100"/>
        <v>0</v>
      </c>
      <c r="AX465" s="19">
        <f t="shared" si="101"/>
        <v>0</v>
      </c>
    </row>
    <row r="466" spans="1:50" hidden="1" x14ac:dyDescent="0.5">
      <c r="A466" s="16">
        <v>4</v>
      </c>
      <c r="B466" s="15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  <c r="AS466" s="19"/>
      <c r="AT466" s="19"/>
      <c r="AU466" s="19"/>
      <c r="AV466" s="19">
        <f t="shared" si="99"/>
        <v>0</v>
      </c>
      <c r="AW466" s="19">
        <f t="shared" si="100"/>
        <v>0</v>
      </c>
      <c r="AX466" s="19">
        <f t="shared" si="101"/>
        <v>0</v>
      </c>
    </row>
    <row r="467" spans="1:50" hidden="1" x14ac:dyDescent="0.5">
      <c r="A467" s="16">
        <v>5</v>
      </c>
      <c r="B467" s="15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  <c r="AS467" s="19"/>
      <c r="AT467" s="19"/>
      <c r="AU467" s="19"/>
      <c r="AV467" s="19">
        <f t="shared" si="99"/>
        <v>0</v>
      </c>
      <c r="AW467" s="19">
        <f t="shared" si="100"/>
        <v>0</v>
      </c>
      <c r="AX467" s="19">
        <f t="shared" si="101"/>
        <v>0</v>
      </c>
    </row>
    <row r="468" spans="1:50" hidden="1" x14ac:dyDescent="0.5">
      <c r="A468" s="16">
        <v>6</v>
      </c>
      <c r="B468" s="15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  <c r="AS468" s="19"/>
      <c r="AT468" s="19"/>
      <c r="AU468" s="19"/>
      <c r="AV468" s="19">
        <f t="shared" si="99"/>
        <v>0</v>
      </c>
      <c r="AW468" s="19">
        <f t="shared" si="100"/>
        <v>0</v>
      </c>
      <c r="AX468" s="19">
        <f t="shared" si="101"/>
        <v>0</v>
      </c>
    </row>
    <row r="469" spans="1:50" hidden="1" x14ac:dyDescent="0.5">
      <c r="A469" s="16">
        <v>7</v>
      </c>
      <c r="B469" s="15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  <c r="AS469" s="19"/>
      <c r="AT469" s="19"/>
      <c r="AU469" s="19"/>
      <c r="AV469" s="19">
        <f t="shared" si="99"/>
        <v>0</v>
      </c>
      <c r="AW469" s="19">
        <f t="shared" si="100"/>
        <v>0</v>
      </c>
      <c r="AX469" s="19">
        <f t="shared" si="101"/>
        <v>0</v>
      </c>
    </row>
    <row r="470" spans="1:50" hidden="1" x14ac:dyDescent="0.5">
      <c r="A470" s="16">
        <v>8</v>
      </c>
      <c r="B470" s="15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  <c r="AS470" s="19"/>
      <c r="AT470" s="19"/>
      <c r="AU470" s="19"/>
      <c r="AV470" s="19">
        <f t="shared" si="99"/>
        <v>0</v>
      </c>
      <c r="AW470" s="19">
        <f t="shared" si="100"/>
        <v>0</v>
      </c>
      <c r="AX470" s="19">
        <f t="shared" si="101"/>
        <v>0</v>
      </c>
    </row>
    <row r="471" spans="1:50" hidden="1" x14ac:dyDescent="0.5">
      <c r="A471" s="16">
        <v>9</v>
      </c>
      <c r="B471" s="15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  <c r="AS471" s="19"/>
      <c r="AT471" s="19"/>
      <c r="AU471" s="19"/>
      <c r="AV471" s="19">
        <f t="shared" si="99"/>
        <v>0</v>
      </c>
      <c r="AW471" s="19">
        <f t="shared" si="100"/>
        <v>0</v>
      </c>
      <c r="AX471" s="19">
        <f t="shared" si="101"/>
        <v>0</v>
      </c>
    </row>
    <row r="472" spans="1:50" hidden="1" x14ac:dyDescent="0.5">
      <c r="A472" s="16">
        <v>8</v>
      </c>
      <c r="B472" s="15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  <c r="AS472" s="19"/>
      <c r="AT472" s="19"/>
      <c r="AU472" s="19"/>
      <c r="AV472" s="19">
        <f t="shared" si="99"/>
        <v>0</v>
      </c>
      <c r="AW472" s="19">
        <f t="shared" si="100"/>
        <v>0</v>
      </c>
      <c r="AX472" s="19">
        <f t="shared" si="101"/>
        <v>0</v>
      </c>
    </row>
    <row r="473" spans="1:50" hidden="1" x14ac:dyDescent="0.5">
      <c r="A473" s="16">
        <v>7</v>
      </c>
      <c r="B473" s="15"/>
      <c r="C473" s="20"/>
      <c r="D473" s="20"/>
      <c r="E473" s="19"/>
      <c r="F473" s="20"/>
      <c r="G473" s="20"/>
      <c r="H473" s="19"/>
      <c r="I473" s="20"/>
      <c r="J473" s="20"/>
      <c r="K473" s="20"/>
      <c r="L473" s="20"/>
      <c r="M473" s="20"/>
      <c r="N473" s="20"/>
      <c r="O473" s="20"/>
      <c r="P473" s="20"/>
      <c r="Q473" s="19"/>
      <c r="R473" s="20"/>
      <c r="S473" s="20"/>
      <c r="T473" s="19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  <c r="AS473" s="19"/>
      <c r="AT473" s="19"/>
      <c r="AU473" s="19"/>
      <c r="AV473" s="19">
        <f t="shared" si="99"/>
        <v>0</v>
      </c>
      <c r="AW473" s="19">
        <f t="shared" si="100"/>
        <v>0</v>
      </c>
      <c r="AX473" s="19">
        <f t="shared" si="101"/>
        <v>0</v>
      </c>
    </row>
    <row r="474" spans="1:50" hidden="1" x14ac:dyDescent="0.5">
      <c r="A474" s="16">
        <v>8</v>
      </c>
      <c r="B474" s="15"/>
      <c r="C474" s="20"/>
      <c r="D474" s="20"/>
      <c r="E474" s="19"/>
      <c r="F474" s="20"/>
      <c r="G474" s="20"/>
      <c r="H474" s="19"/>
      <c r="I474" s="20"/>
      <c r="J474" s="20"/>
      <c r="K474" s="20"/>
      <c r="L474" s="20"/>
      <c r="M474" s="20"/>
      <c r="N474" s="20"/>
      <c r="O474" s="20"/>
      <c r="P474" s="20"/>
      <c r="Q474" s="19"/>
      <c r="R474" s="20"/>
      <c r="S474" s="20"/>
      <c r="T474" s="19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  <c r="AS474" s="19"/>
      <c r="AT474" s="19"/>
      <c r="AU474" s="19"/>
      <c r="AV474" s="19">
        <f t="shared" si="99"/>
        <v>0</v>
      </c>
      <c r="AW474" s="19">
        <f t="shared" si="100"/>
        <v>0</v>
      </c>
      <c r="AX474" s="19">
        <f t="shared" si="101"/>
        <v>0</v>
      </c>
    </row>
    <row r="475" spans="1:50" hidden="1" x14ac:dyDescent="0.5">
      <c r="A475" s="16">
        <v>9</v>
      </c>
      <c r="B475" s="15"/>
      <c r="C475" s="20"/>
      <c r="D475" s="20"/>
      <c r="E475" s="19"/>
      <c r="F475" s="20"/>
      <c r="G475" s="20"/>
      <c r="H475" s="19"/>
      <c r="I475" s="20"/>
      <c r="J475" s="20"/>
      <c r="K475" s="20"/>
      <c r="L475" s="20"/>
      <c r="M475" s="20"/>
      <c r="N475" s="20"/>
      <c r="O475" s="20"/>
      <c r="P475" s="20"/>
      <c r="Q475" s="19"/>
      <c r="R475" s="20"/>
      <c r="S475" s="20"/>
      <c r="T475" s="19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  <c r="AS475" s="19"/>
      <c r="AT475" s="19"/>
      <c r="AU475" s="19"/>
      <c r="AV475" s="19">
        <f t="shared" si="99"/>
        <v>0</v>
      </c>
      <c r="AW475" s="19">
        <f t="shared" si="100"/>
        <v>0</v>
      </c>
      <c r="AX475" s="19">
        <f t="shared" si="101"/>
        <v>0</v>
      </c>
    </row>
    <row r="476" spans="1:50" hidden="1" x14ac:dyDescent="0.5">
      <c r="A476" s="16">
        <v>10</v>
      </c>
      <c r="B476" s="15"/>
      <c r="C476" s="20"/>
      <c r="D476" s="20"/>
      <c r="E476" s="19"/>
      <c r="F476" s="20"/>
      <c r="G476" s="20"/>
      <c r="H476" s="19"/>
      <c r="I476" s="20"/>
      <c r="J476" s="20"/>
      <c r="K476" s="20"/>
      <c r="L476" s="20"/>
      <c r="M476" s="20"/>
      <c r="N476" s="20"/>
      <c r="O476" s="20"/>
      <c r="P476" s="20"/>
      <c r="Q476" s="19"/>
      <c r="R476" s="20"/>
      <c r="S476" s="20"/>
      <c r="T476" s="19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  <c r="AS476" s="19"/>
      <c r="AT476" s="19"/>
      <c r="AU476" s="19"/>
      <c r="AV476" s="19">
        <f t="shared" si="99"/>
        <v>0</v>
      </c>
      <c r="AW476" s="19">
        <f t="shared" si="100"/>
        <v>0</v>
      </c>
      <c r="AX476" s="19">
        <f t="shared" si="101"/>
        <v>0</v>
      </c>
    </row>
    <row r="477" spans="1:50" hidden="1" x14ac:dyDescent="0.5">
      <c r="A477" s="16">
        <v>11</v>
      </c>
      <c r="B477" s="15"/>
      <c r="C477" s="20"/>
      <c r="D477" s="20"/>
      <c r="E477" s="19"/>
      <c r="F477" s="20"/>
      <c r="G477" s="20"/>
      <c r="H477" s="19"/>
      <c r="I477" s="20"/>
      <c r="J477" s="20"/>
      <c r="K477" s="20"/>
      <c r="L477" s="20"/>
      <c r="M477" s="20"/>
      <c r="N477" s="20"/>
      <c r="O477" s="20"/>
      <c r="P477" s="20"/>
      <c r="Q477" s="19"/>
      <c r="R477" s="20"/>
      <c r="S477" s="20"/>
      <c r="T477" s="19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  <c r="AS477" s="19"/>
      <c r="AT477" s="19"/>
      <c r="AU477" s="19"/>
      <c r="AV477" s="19">
        <f t="shared" si="99"/>
        <v>0</v>
      </c>
      <c r="AW477" s="19">
        <f t="shared" si="100"/>
        <v>0</v>
      </c>
      <c r="AX477" s="19">
        <f t="shared" si="101"/>
        <v>0</v>
      </c>
    </row>
    <row r="478" spans="1:50" hidden="1" x14ac:dyDescent="0.5">
      <c r="A478" s="16">
        <v>12</v>
      </c>
      <c r="B478" s="15"/>
      <c r="C478" s="20"/>
      <c r="D478" s="20"/>
      <c r="E478" s="19"/>
      <c r="F478" s="20"/>
      <c r="G478" s="20"/>
      <c r="H478" s="19"/>
      <c r="I478" s="20"/>
      <c r="J478" s="20"/>
      <c r="K478" s="20"/>
      <c r="L478" s="20"/>
      <c r="M478" s="20"/>
      <c r="N478" s="20"/>
      <c r="O478" s="20"/>
      <c r="P478" s="20"/>
      <c r="Q478" s="19"/>
      <c r="R478" s="20"/>
      <c r="S478" s="20"/>
      <c r="T478" s="19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  <c r="AS478" s="19"/>
      <c r="AT478" s="19"/>
      <c r="AU478" s="19"/>
      <c r="AV478" s="19">
        <f t="shared" si="99"/>
        <v>0</v>
      </c>
      <c r="AW478" s="19">
        <f t="shared" si="100"/>
        <v>0</v>
      </c>
      <c r="AX478" s="19">
        <f t="shared" si="101"/>
        <v>0</v>
      </c>
    </row>
    <row r="479" spans="1:50" hidden="1" x14ac:dyDescent="0.5">
      <c r="A479" s="16">
        <v>13</v>
      </c>
      <c r="B479" s="15"/>
      <c r="C479" s="20"/>
      <c r="D479" s="20"/>
      <c r="E479" s="19"/>
      <c r="F479" s="20"/>
      <c r="G479" s="20"/>
      <c r="H479" s="19"/>
      <c r="I479" s="20"/>
      <c r="J479" s="20"/>
      <c r="K479" s="20"/>
      <c r="L479" s="20"/>
      <c r="M479" s="20"/>
      <c r="N479" s="20"/>
      <c r="O479" s="20"/>
      <c r="P479" s="20"/>
      <c r="Q479" s="19"/>
      <c r="R479" s="20"/>
      <c r="S479" s="20"/>
      <c r="T479" s="19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  <c r="AS479" s="19"/>
      <c r="AT479" s="19"/>
      <c r="AU479" s="19"/>
      <c r="AV479" s="19">
        <f t="shared" si="99"/>
        <v>0</v>
      </c>
      <c r="AW479" s="19">
        <f t="shared" si="100"/>
        <v>0</v>
      </c>
      <c r="AX479" s="19">
        <f t="shared" si="101"/>
        <v>0</v>
      </c>
    </row>
    <row r="480" spans="1:50" hidden="1" x14ac:dyDescent="0.5">
      <c r="A480" s="16">
        <v>14</v>
      </c>
      <c r="B480" s="15"/>
      <c r="C480" s="20"/>
      <c r="D480" s="20"/>
      <c r="E480" s="19"/>
      <c r="F480" s="20"/>
      <c r="G480" s="20"/>
      <c r="H480" s="19"/>
      <c r="I480" s="20"/>
      <c r="J480" s="20"/>
      <c r="K480" s="20"/>
      <c r="L480" s="20"/>
      <c r="M480" s="20"/>
      <c r="N480" s="20"/>
      <c r="O480" s="20"/>
      <c r="P480" s="20"/>
      <c r="Q480" s="19"/>
      <c r="R480" s="20"/>
      <c r="S480" s="20"/>
      <c r="T480" s="19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  <c r="AS480" s="19"/>
      <c r="AT480" s="19"/>
      <c r="AU480" s="19"/>
      <c r="AV480" s="19">
        <f t="shared" si="99"/>
        <v>0</v>
      </c>
      <c r="AW480" s="19">
        <f t="shared" si="100"/>
        <v>0</v>
      </c>
      <c r="AX480" s="19">
        <f t="shared" si="101"/>
        <v>0</v>
      </c>
    </row>
    <row r="481" spans="1:50" hidden="1" x14ac:dyDescent="0.5">
      <c r="A481" s="16">
        <v>15</v>
      </c>
      <c r="B481" s="15"/>
      <c r="C481" s="20"/>
      <c r="D481" s="20"/>
      <c r="E481" s="19"/>
      <c r="F481" s="20"/>
      <c r="G481" s="20"/>
      <c r="H481" s="19"/>
      <c r="I481" s="20"/>
      <c r="J481" s="20"/>
      <c r="K481" s="20"/>
      <c r="L481" s="20"/>
      <c r="M481" s="20"/>
      <c r="N481" s="20"/>
      <c r="O481" s="20"/>
      <c r="P481" s="20"/>
      <c r="Q481" s="19"/>
      <c r="R481" s="20"/>
      <c r="S481" s="20"/>
      <c r="T481" s="19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  <c r="AS481" s="19"/>
      <c r="AT481" s="19"/>
      <c r="AU481" s="19"/>
      <c r="AV481" s="19">
        <f t="shared" si="99"/>
        <v>0</v>
      </c>
      <c r="AW481" s="19">
        <f t="shared" si="100"/>
        <v>0</v>
      </c>
      <c r="AX481" s="19">
        <f t="shared" si="101"/>
        <v>0</v>
      </c>
    </row>
    <row r="482" spans="1:50" hidden="1" x14ac:dyDescent="0.5">
      <c r="A482" s="16">
        <v>16</v>
      </c>
      <c r="B482" s="15"/>
      <c r="C482" s="20"/>
      <c r="D482" s="20"/>
      <c r="E482" s="19"/>
      <c r="F482" s="20"/>
      <c r="G482" s="20"/>
      <c r="H482" s="19"/>
      <c r="I482" s="20"/>
      <c r="J482" s="20"/>
      <c r="K482" s="20"/>
      <c r="L482" s="20"/>
      <c r="M482" s="20"/>
      <c r="N482" s="20"/>
      <c r="O482" s="20"/>
      <c r="P482" s="20"/>
      <c r="Q482" s="19"/>
      <c r="R482" s="20"/>
      <c r="S482" s="20"/>
      <c r="T482" s="19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  <c r="AS482" s="19"/>
      <c r="AT482" s="19"/>
      <c r="AU482" s="19"/>
      <c r="AV482" s="19">
        <f t="shared" si="99"/>
        <v>0</v>
      </c>
      <c r="AW482" s="19">
        <f t="shared" si="100"/>
        <v>0</v>
      </c>
      <c r="AX482" s="19">
        <f t="shared" si="101"/>
        <v>0</v>
      </c>
    </row>
    <row r="483" spans="1:50" hidden="1" x14ac:dyDescent="0.5">
      <c r="A483" s="16">
        <v>17</v>
      </c>
      <c r="B483" s="15"/>
      <c r="C483" s="20"/>
      <c r="D483" s="20"/>
      <c r="E483" s="19"/>
      <c r="F483" s="20"/>
      <c r="G483" s="20"/>
      <c r="H483" s="19"/>
      <c r="I483" s="20"/>
      <c r="J483" s="20"/>
      <c r="K483" s="20"/>
      <c r="L483" s="20"/>
      <c r="M483" s="20"/>
      <c r="N483" s="20"/>
      <c r="O483" s="20"/>
      <c r="P483" s="20"/>
      <c r="Q483" s="19"/>
      <c r="R483" s="20"/>
      <c r="S483" s="20"/>
      <c r="T483" s="19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  <c r="AS483" s="19"/>
      <c r="AT483" s="19"/>
      <c r="AU483" s="19"/>
      <c r="AV483" s="19">
        <f t="shared" si="99"/>
        <v>0</v>
      </c>
      <c r="AW483" s="19">
        <f t="shared" si="100"/>
        <v>0</v>
      </c>
      <c r="AX483" s="19">
        <f t="shared" si="101"/>
        <v>0</v>
      </c>
    </row>
    <row r="484" spans="1:50" hidden="1" x14ac:dyDescent="0.5">
      <c r="A484" s="16">
        <v>18</v>
      </c>
      <c r="B484" s="15"/>
      <c r="C484" s="20"/>
      <c r="D484" s="20"/>
      <c r="E484" s="19"/>
      <c r="F484" s="20"/>
      <c r="G484" s="20"/>
      <c r="H484" s="19"/>
      <c r="I484" s="20"/>
      <c r="J484" s="20"/>
      <c r="K484" s="20"/>
      <c r="L484" s="20"/>
      <c r="M484" s="20"/>
      <c r="N484" s="20"/>
      <c r="O484" s="20"/>
      <c r="P484" s="20"/>
      <c r="Q484" s="19"/>
      <c r="R484" s="20"/>
      <c r="S484" s="20"/>
      <c r="T484" s="19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  <c r="AS484" s="19"/>
      <c r="AT484" s="19"/>
      <c r="AU484" s="19"/>
      <c r="AV484" s="19">
        <f t="shared" si="99"/>
        <v>0</v>
      </c>
      <c r="AW484" s="19">
        <f t="shared" si="100"/>
        <v>0</v>
      </c>
      <c r="AX484" s="19">
        <f t="shared" si="101"/>
        <v>0</v>
      </c>
    </row>
    <row r="485" spans="1:50" hidden="1" x14ac:dyDescent="0.5">
      <c r="A485" s="16">
        <v>19</v>
      </c>
      <c r="B485" s="15"/>
      <c r="C485" s="20"/>
      <c r="D485" s="20"/>
      <c r="E485" s="19"/>
      <c r="F485" s="20"/>
      <c r="G485" s="20"/>
      <c r="H485" s="19"/>
      <c r="I485" s="20"/>
      <c r="J485" s="20"/>
      <c r="K485" s="20"/>
      <c r="L485" s="20"/>
      <c r="M485" s="20"/>
      <c r="N485" s="20"/>
      <c r="O485" s="20"/>
      <c r="P485" s="20"/>
      <c r="Q485" s="19"/>
      <c r="R485" s="20"/>
      <c r="S485" s="20"/>
      <c r="T485" s="19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  <c r="AS485" s="19"/>
      <c r="AT485" s="19"/>
      <c r="AU485" s="19"/>
      <c r="AV485" s="19">
        <f t="shared" si="99"/>
        <v>0</v>
      </c>
      <c r="AW485" s="19">
        <f t="shared" si="100"/>
        <v>0</v>
      </c>
      <c r="AX485" s="19">
        <f t="shared" si="101"/>
        <v>0</v>
      </c>
    </row>
    <row r="486" spans="1:50" hidden="1" x14ac:dyDescent="0.5">
      <c r="A486" s="16">
        <v>20</v>
      </c>
      <c r="B486" s="15"/>
      <c r="C486" s="20"/>
      <c r="D486" s="20"/>
      <c r="E486" s="19"/>
      <c r="F486" s="20"/>
      <c r="G486" s="20"/>
      <c r="H486" s="19"/>
      <c r="I486" s="20"/>
      <c r="J486" s="20"/>
      <c r="K486" s="20"/>
      <c r="L486" s="20"/>
      <c r="M486" s="20"/>
      <c r="N486" s="20"/>
      <c r="O486" s="20"/>
      <c r="P486" s="20"/>
      <c r="Q486" s="19"/>
      <c r="R486" s="20"/>
      <c r="S486" s="20"/>
      <c r="T486" s="19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  <c r="AS486" s="19"/>
      <c r="AT486" s="19"/>
      <c r="AU486" s="19"/>
      <c r="AV486" s="19">
        <f t="shared" si="99"/>
        <v>0</v>
      </c>
      <c r="AW486" s="19">
        <f t="shared" si="100"/>
        <v>0</v>
      </c>
      <c r="AX486" s="19">
        <f t="shared" si="101"/>
        <v>0</v>
      </c>
    </row>
    <row r="487" spans="1:50" hidden="1" x14ac:dyDescent="0.5">
      <c r="A487" s="16">
        <v>21</v>
      </c>
      <c r="B487" s="15"/>
      <c r="C487" s="20"/>
      <c r="D487" s="20"/>
      <c r="E487" s="19"/>
      <c r="F487" s="20"/>
      <c r="G487" s="20"/>
      <c r="H487" s="19"/>
      <c r="I487" s="20"/>
      <c r="J487" s="20"/>
      <c r="K487" s="20"/>
      <c r="L487" s="20"/>
      <c r="M487" s="20"/>
      <c r="N487" s="20"/>
      <c r="O487" s="20"/>
      <c r="P487" s="20"/>
      <c r="Q487" s="19"/>
      <c r="R487" s="20"/>
      <c r="S487" s="20"/>
      <c r="T487" s="19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  <c r="AS487" s="19"/>
      <c r="AT487" s="19"/>
      <c r="AU487" s="19"/>
      <c r="AV487" s="19">
        <f>C487+F487+I487+L487+O487+R487+U487+X487+AA487+AG487+AJ487+AM487+AP487+AS487</f>
        <v>0</v>
      </c>
      <c r="AW487" s="19">
        <f>D487+G487+J487+M487+P487+S487+V487+Y487+AB487+AH487+AK487+AN487+AQ487+AT487</f>
        <v>0</v>
      </c>
      <c r="AX487" s="19">
        <f>E487+H487+K487+N487+Q487+T487+W487+Z487+AC487+AI487+AL487+AO487+AR487+AU487</f>
        <v>0</v>
      </c>
    </row>
    <row r="488" spans="1:50" hidden="1" x14ac:dyDescent="0.5">
      <c r="A488" s="16">
        <v>22</v>
      </c>
      <c r="B488" s="15"/>
      <c r="C488" s="20"/>
      <c r="D488" s="20"/>
      <c r="E488" s="19"/>
      <c r="F488" s="20"/>
      <c r="G488" s="20"/>
      <c r="H488" s="19"/>
      <c r="I488" s="20"/>
      <c r="J488" s="20"/>
      <c r="K488" s="20"/>
      <c r="L488" s="20"/>
      <c r="M488" s="20"/>
      <c r="N488" s="20"/>
      <c r="O488" s="20"/>
      <c r="P488" s="20"/>
      <c r="Q488" s="19"/>
      <c r="R488" s="20"/>
      <c r="S488" s="20"/>
      <c r="T488" s="19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  <c r="AS488" s="19"/>
      <c r="AT488" s="19"/>
      <c r="AU488" s="19"/>
      <c r="AV488" s="19">
        <f t="shared" ref="AV488:AV489" si="102">C488+F488+I488+L488+O488+R488+U488+X488+AA488+AG488+AJ488+AM488+AP488+AS488</f>
        <v>0</v>
      </c>
      <c r="AW488" s="19">
        <f t="shared" ref="AW488:AW489" si="103">D488+G488+J488+M488+P488+S488+V488+Y488+AB488+AH488+AK488+AN488+AQ488+AT488</f>
        <v>0</v>
      </c>
      <c r="AX488" s="19">
        <f t="shared" ref="AX488:AX489" si="104">E488+H488+K488+N488+Q488+T488+W488+Z488+AC488+AI488+AL488+AO488+AR488+AU488</f>
        <v>0</v>
      </c>
    </row>
    <row r="489" spans="1:50" hidden="1" x14ac:dyDescent="0.5">
      <c r="A489" s="16">
        <v>23</v>
      </c>
      <c r="B489" s="15"/>
      <c r="C489" s="20"/>
      <c r="D489" s="20"/>
      <c r="E489" s="19"/>
      <c r="F489" s="20"/>
      <c r="G489" s="20"/>
      <c r="H489" s="19"/>
      <c r="I489" s="20"/>
      <c r="J489" s="20"/>
      <c r="K489" s="20"/>
      <c r="L489" s="20"/>
      <c r="M489" s="20"/>
      <c r="N489" s="20"/>
      <c r="O489" s="20"/>
      <c r="P489" s="20"/>
      <c r="Q489" s="19"/>
      <c r="R489" s="20"/>
      <c r="S489" s="20"/>
      <c r="T489" s="19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  <c r="AS489" s="19"/>
      <c r="AT489" s="19"/>
      <c r="AU489" s="19"/>
      <c r="AV489" s="19">
        <f t="shared" si="102"/>
        <v>0</v>
      </c>
      <c r="AW489" s="19">
        <f t="shared" si="103"/>
        <v>0</v>
      </c>
      <c r="AX489" s="19">
        <f t="shared" si="104"/>
        <v>0</v>
      </c>
    </row>
    <row r="490" spans="1:50" hidden="1" x14ac:dyDescent="0.5">
      <c r="A490" s="14"/>
      <c r="B490" s="13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8">
        <f>SUM(AA463:AA474)</f>
        <v>0</v>
      </c>
      <c r="AB490" s="18">
        <f>SUM(AB463:AB474)</f>
        <v>0</v>
      </c>
      <c r="AV490" s="182">
        <f>SUM(AV463:AV489)</f>
        <v>0</v>
      </c>
      <c r="AW490" s="182">
        <f>SUM(AW463:AW489)</f>
        <v>0</v>
      </c>
      <c r="AX490" s="182">
        <f t="shared" ref="AX490" si="105">SUM(AX463:AX489)</f>
        <v>0</v>
      </c>
    </row>
    <row r="491" spans="1:50" hidden="1" x14ac:dyDescent="0.5"/>
    <row r="492" spans="1:50" hidden="1" x14ac:dyDescent="0.5"/>
    <row r="493" spans="1:50" hidden="1" x14ac:dyDescent="0.5">
      <c r="A493" s="561" t="s">
        <v>377</v>
      </c>
      <c r="B493" s="561"/>
      <c r="C493" s="561"/>
      <c r="D493" s="561"/>
      <c r="E493" s="561"/>
      <c r="F493" s="561"/>
    </row>
    <row r="494" spans="1:50" hidden="1" x14ac:dyDescent="0.5">
      <c r="A494" s="561"/>
      <c r="B494" s="561"/>
      <c r="C494" s="561"/>
      <c r="D494" s="561"/>
      <c r="E494" s="561"/>
      <c r="F494" s="561"/>
    </row>
    <row r="495" spans="1:50" hidden="1" x14ac:dyDescent="0.5">
      <c r="A495" s="551" t="s">
        <v>118</v>
      </c>
      <c r="B495" s="552" t="s">
        <v>135</v>
      </c>
      <c r="C495" s="553"/>
      <c r="D495" s="553"/>
      <c r="E495" s="553"/>
      <c r="F495" s="553"/>
      <c r="G495" s="553"/>
      <c r="H495" s="553"/>
      <c r="I495" s="553"/>
      <c r="J495" s="553"/>
      <c r="K495" s="553"/>
      <c r="L495" s="553"/>
      <c r="M495" s="553"/>
      <c r="N495" s="553"/>
      <c r="O495" s="553"/>
      <c r="P495" s="553"/>
      <c r="Q495" s="553"/>
      <c r="R495" s="553"/>
      <c r="S495" s="553"/>
      <c r="T495" s="553"/>
      <c r="U495" s="553"/>
      <c r="V495" s="553"/>
      <c r="W495" s="553"/>
      <c r="X495" s="553"/>
      <c r="Y495" s="553"/>
      <c r="Z495" s="553"/>
      <c r="AA495" s="553"/>
      <c r="AB495" s="553"/>
      <c r="AC495" s="553"/>
      <c r="AD495" s="553"/>
      <c r="AE495" s="553"/>
      <c r="AF495" s="553"/>
      <c r="AG495" s="553"/>
      <c r="AH495" s="553"/>
      <c r="AI495" s="553"/>
      <c r="AJ495" s="553"/>
      <c r="AK495" s="553"/>
      <c r="AL495" s="553"/>
      <c r="AM495" s="553"/>
      <c r="AN495" s="553"/>
      <c r="AO495" s="553"/>
      <c r="AP495" s="553"/>
      <c r="AQ495" s="553"/>
      <c r="AR495" s="553"/>
      <c r="AS495" s="553"/>
      <c r="AT495" s="553"/>
      <c r="AU495" s="553"/>
      <c r="AV495" s="553"/>
      <c r="AW495" s="553"/>
      <c r="AX495" s="553"/>
    </row>
    <row r="496" spans="1:50" hidden="1" x14ac:dyDescent="0.5">
      <c r="A496" s="551"/>
      <c r="B496" s="552"/>
      <c r="C496" s="554" t="s">
        <v>124</v>
      </c>
      <c r="D496" s="555"/>
      <c r="E496" s="556"/>
      <c r="F496" s="554" t="s">
        <v>133</v>
      </c>
      <c r="G496" s="555"/>
      <c r="H496" s="556"/>
      <c r="I496" s="554" t="s">
        <v>132</v>
      </c>
      <c r="J496" s="555"/>
      <c r="K496" s="556"/>
      <c r="L496" s="554" t="s">
        <v>131</v>
      </c>
      <c r="M496" s="555"/>
      <c r="N496" s="556"/>
      <c r="O496" s="554" t="s">
        <v>130</v>
      </c>
      <c r="P496" s="555"/>
      <c r="Q496" s="556"/>
      <c r="R496" s="554" t="s">
        <v>129</v>
      </c>
      <c r="S496" s="555"/>
      <c r="T496" s="556"/>
      <c r="U496" s="554" t="s">
        <v>128</v>
      </c>
      <c r="V496" s="555"/>
      <c r="W496" s="556"/>
      <c r="X496" s="554" t="s">
        <v>127</v>
      </c>
      <c r="Y496" s="555"/>
      <c r="Z496" s="556"/>
      <c r="AA496" s="554" t="s">
        <v>126</v>
      </c>
      <c r="AB496" s="555"/>
      <c r="AC496" s="556"/>
      <c r="AD496" s="554" t="s">
        <v>378</v>
      </c>
      <c r="AE496" s="555"/>
      <c r="AF496" s="556"/>
      <c r="AG496" s="554" t="s">
        <v>125</v>
      </c>
      <c r="AH496" s="555"/>
      <c r="AI496" s="556"/>
      <c r="AJ496" s="554" t="s">
        <v>124</v>
      </c>
      <c r="AK496" s="555"/>
      <c r="AL496" s="556"/>
      <c r="AM496" s="554" t="s">
        <v>123</v>
      </c>
      <c r="AN496" s="555"/>
      <c r="AO496" s="556"/>
      <c r="AP496" s="554" t="s">
        <v>367</v>
      </c>
      <c r="AQ496" s="555"/>
      <c r="AR496" s="556"/>
      <c r="AS496" s="554" t="s">
        <v>368</v>
      </c>
      <c r="AT496" s="555"/>
      <c r="AU496" s="556"/>
      <c r="AV496" s="554" t="s">
        <v>122</v>
      </c>
      <c r="AW496" s="555"/>
      <c r="AX496" s="556"/>
    </row>
    <row r="497" spans="1:50" hidden="1" x14ac:dyDescent="0.5">
      <c r="A497" s="551"/>
      <c r="B497" s="552"/>
      <c r="C497" s="17" t="s">
        <v>109</v>
      </c>
      <c r="D497" s="17" t="s">
        <v>108</v>
      </c>
      <c r="E497" s="17" t="s">
        <v>348</v>
      </c>
      <c r="F497" s="17" t="s">
        <v>109</v>
      </c>
      <c r="G497" s="17" t="s">
        <v>108</v>
      </c>
      <c r="H497" s="17" t="s">
        <v>348</v>
      </c>
      <c r="I497" s="17" t="s">
        <v>109</v>
      </c>
      <c r="J497" s="17" t="s">
        <v>108</v>
      </c>
      <c r="K497" s="17" t="s">
        <v>348</v>
      </c>
      <c r="L497" s="17" t="s">
        <v>109</v>
      </c>
      <c r="M497" s="17" t="s">
        <v>108</v>
      </c>
      <c r="N497" s="17" t="s">
        <v>348</v>
      </c>
      <c r="O497" s="17" t="s">
        <v>109</v>
      </c>
      <c r="P497" s="17" t="s">
        <v>108</v>
      </c>
      <c r="Q497" s="17" t="s">
        <v>348</v>
      </c>
      <c r="R497" s="17" t="s">
        <v>109</v>
      </c>
      <c r="S497" s="17" t="s">
        <v>108</v>
      </c>
      <c r="T497" s="17" t="s">
        <v>348</v>
      </c>
      <c r="U497" s="17" t="s">
        <v>109</v>
      </c>
      <c r="V497" s="17" t="s">
        <v>108</v>
      </c>
      <c r="W497" s="17" t="s">
        <v>348</v>
      </c>
      <c r="X497" s="17" t="s">
        <v>109</v>
      </c>
      <c r="Y497" s="17" t="s">
        <v>108</v>
      </c>
      <c r="Z497" s="17" t="s">
        <v>348</v>
      </c>
      <c r="AA497" s="17" t="s">
        <v>109</v>
      </c>
      <c r="AB497" s="17" t="s">
        <v>108</v>
      </c>
      <c r="AC497" s="17" t="s">
        <v>348</v>
      </c>
      <c r="AD497" s="17"/>
      <c r="AE497" s="17"/>
      <c r="AF497" s="17"/>
      <c r="AG497" s="17" t="s">
        <v>109</v>
      </c>
      <c r="AH497" s="17" t="s">
        <v>108</v>
      </c>
      <c r="AI497" s="17" t="s">
        <v>348</v>
      </c>
      <c r="AJ497" s="17" t="s">
        <v>109</v>
      </c>
      <c r="AK497" s="17" t="s">
        <v>108</v>
      </c>
      <c r="AL497" s="17" t="s">
        <v>348</v>
      </c>
      <c r="AM497" s="17" t="s">
        <v>109</v>
      </c>
      <c r="AN497" s="17" t="s">
        <v>108</v>
      </c>
      <c r="AO497" s="17" t="s">
        <v>348</v>
      </c>
      <c r="AP497" s="17" t="s">
        <v>109</v>
      </c>
      <c r="AQ497" s="17" t="s">
        <v>108</v>
      </c>
      <c r="AR497" s="17" t="s">
        <v>348</v>
      </c>
      <c r="AS497" s="17" t="s">
        <v>109</v>
      </c>
      <c r="AT497" s="17" t="s">
        <v>108</v>
      </c>
      <c r="AU497" s="17" t="s">
        <v>348</v>
      </c>
      <c r="AV497" s="17" t="s">
        <v>109</v>
      </c>
      <c r="AW497" s="17" t="s">
        <v>108</v>
      </c>
      <c r="AX497" s="17" t="s">
        <v>348</v>
      </c>
    </row>
    <row r="498" spans="1:50" hidden="1" x14ac:dyDescent="0.5">
      <c r="A498" s="16">
        <v>1</v>
      </c>
      <c r="B498" s="15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  <c r="AS498" s="19"/>
      <c r="AT498" s="19"/>
      <c r="AU498" s="19"/>
      <c r="AV498" s="19">
        <f>C498+F498+I498+L498+O498+R498+U498+X498+AA498+AG498+AJ498+AM498+AP498+AS498</f>
        <v>0</v>
      </c>
      <c r="AW498" s="19">
        <f>D498+G498+J498+M498+P498+S498+V498+Y498+AB498+AH498+AK498+AN498+AQ498+AT498</f>
        <v>0</v>
      </c>
      <c r="AX498" s="19">
        <f>E498+H498+K498+N498+Q498+T498+W498+Z498+AC498+AI498+AL498+AO498+AR498+AU498</f>
        <v>0</v>
      </c>
    </row>
    <row r="499" spans="1:50" hidden="1" x14ac:dyDescent="0.5">
      <c r="A499" s="16">
        <v>2</v>
      </c>
      <c r="B499" s="15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21"/>
      <c r="P499" s="178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  <c r="AR499" s="19"/>
      <c r="AS499" s="19"/>
      <c r="AT499" s="19"/>
      <c r="AU499" s="19"/>
      <c r="AV499" s="19">
        <f t="shared" ref="AV499:AV521" si="106">C499+F499+I499+L499+O499+R499+U499+X499+AA499+AG499+AJ499+AM499</f>
        <v>0</v>
      </c>
      <c r="AW499" s="19">
        <f>D499+G499+J499+M499+P499+S499+V499+Y499+AB499+AH499+AK499+AN499+AE499</f>
        <v>0</v>
      </c>
      <c r="AX499" s="19">
        <f>E499+H499+K499+N499+Q499+T499+W499+Z499+AC499+AI499+AL499+AN499+AF499</f>
        <v>0</v>
      </c>
    </row>
    <row r="500" spans="1:50" hidden="1" x14ac:dyDescent="0.5">
      <c r="A500" s="16">
        <v>3</v>
      </c>
      <c r="B500" s="15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  <c r="AS500" s="19"/>
      <c r="AT500" s="19"/>
      <c r="AU500" s="19"/>
      <c r="AV500" s="19">
        <f t="shared" si="106"/>
        <v>0</v>
      </c>
      <c r="AW500" s="19">
        <f t="shared" ref="AW500:AW521" si="107">D500+G500+J500+M500+P500+S500+V500+Y500+AB500+AH500+AK500+AN500</f>
        <v>0</v>
      </c>
      <c r="AX500" s="19">
        <f t="shared" ref="AX500:AX521" si="108">E500+H500+K500+N500+Q500+T500+W500+Z500+AC500+AI500+AL500+AN500</f>
        <v>0</v>
      </c>
    </row>
    <row r="501" spans="1:50" hidden="1" x14ac:dyDescent="0.5">
      <c r="A501" s="16">
        <v>4</v>
      </c>
      <c r="B501" s="15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  <c r="AS501" s="19"/>
      <c r="AT501" s="19"/>
      <c r="AU501" s="19"/>
      <c r="AV501" s="19">
        <f t="shared" si="106"/>
        <v>0</v>
      </c>
      <c r="AW501" s="19">
        <f t="shared" si="107"/>
        <v>0</v>
      </c>
      <c r="AX501" s="19">
        <f t="shared" si="108"/>
        <v>0</v>
      </c>
    </row>
    <row r="502" spans="1:50" hidden="1" x14ac:dyDescent="0.5">
      <c r="A502" s="16">
        <v>5</v>
      </c>
      <c r="B502" s="15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  <c r="AS502" s="19"/>
      <c r="AT502" s="19"/>
      <c r="AU502" s="19"/>
      <c r="AV502" s="19">
        <f t="shared" si="106"/>
        <v>0</v>
      </c>
      <c r="AW502" s="19">
        <f t="shared" si="107"/>
        <v>0</v>
      </c>
      <c r="AX502" s="19">
        <f t="shared" si="108"/>
        <v>0</v>
      </c>
    </row>
    <row r="503" spans="1:50" hidden="1" x14ac:dyDescent="0.5">
      <c r="A503" s="16">
        <v>6</v>
      </c>
      <c r="B503" s="15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  <c r="AS503" s="19"/>
      <c r="AT503" s="19"/>
      <c r="AU503" s="19"/>
      <c r="AV503" s="19">
        <f t="shared" si="106"/>
        <v>0</v>
      </c>
      <c r="AW503" s="19">
        <f t="shared" si="107"/>
        <v>0</v>
      </c>
      <c r="AX503" s="19">
        <f t="shared" si="108"/>
        <v>0</v>
      </c>
    </row>
    <row r="504" spans="1:50" hidden="1" x14ac:dyDescent="0.5">
      <c r="A504" s="16">
        <v>7</v>
      </c>
      <c r="B504" s="15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  <c r="AS504" s="19"/>
      <c r="AT504" s="19"/>
      <c r="AU504" s="19"/>
      <c r="AV504" s="19">
        <f t="shared" si="106"/>
        <v>0</v>
      </c>
      <c r="AW504" s="19">
        <f t="shared" si="107"/>
        <v>0</v>
      </c>
      <c r="AX504" s="19">
        <f t="shared" si="108"/>
        <v>0</v>
      </c>
    </row>
    <row r="505" spans="1:50" hidden="1" x14ac:dyDescent="0.5">
      <c r="A505" s="16">
        <v>8</v>
      </c>
      <c r="B505" s="15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  <c r="AS505" s="19"/>
      <c r="AT505" s="19"/>
      <c r="AU505" s="19"/>
      <c r="AV505" s="19">
        <f t="shared" si="106"/>
        <v>0</v>
      </c>
      <c r="AW505" s="19">
        <f t="shared" si="107"/>
        <v>0</v>
      </c>
      <c r="AX505" s="19">
        <f t="shared" si="108"/>
        <v>0</v>
      </c>
    </row>
    <row r="506" spans="1:50" hidden="1" x14ac:dyDescent="0.5">
      <c r="A506" s="16">
        <v>9</v>
      </c>
      <c r="B506" s="15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  <c r="AS506" s="19"/>
      <c r="AT506" s="19"/>
      <c r="AU506" s="19"/>
      <c r="AV506" s="19">
        <f t="shared" si="106"/>
        <v>0</v>
      </c>
      <c r="AW506" s="19">
        <f t="shared" si="107"/>
        <v>0</v>
      </c>
      <c r="AX506" s="19">
        <f t="shared" si="108"/>
        <v>0</v>
      </c>
    </row>
    <row r="507" spans="1:50" hidden="1" x14ac:dyDescent="0.5">
      <c r="A507" s="16">
        <v>8</v>
      </c>
      <c r="B507" s="15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  <c r="AQ507" s="19"/>
      <c r="AR507" s="19"/>
      <c r="AS507" s="19"/>
      <c r="AT507" s="19"/>
      <c r="AU507" s="19"/>
      <c r="AV507" s="19">
        <f t="shared" si="106"/>
        <v>0</v>
      </c>
      <c r="AW507" s="19">
        <f t="shared" si="107"/>
        <v>0</v>
      </c>
      <c r="AX507" s="19">
        <f t="shared" si="108"/>
        <v>0</v>
      </c>
    </row>
    <row r="508" spans="1:50" hidden="1" x14ac:dyDescent="0.5">
      <c r="A508" s="16">
        <v>7</v>
      </c>
      <c r="B508" s="15"/>
      <c r="C508" s="20"/>
      <c r="D508" s="20"/>
      <c r="E508" s="19"/>
      <c r="F508" s="20"/>
      <c r="G508" s="20"/>
      <c r="H508" s="19"/>
      <c r="I508" s="20"/>
      <c r="J508" s="20"/>
      <c r="K508" s="20"/>
      <c r="L508" s="20"/>
      <c r="M508" s="20"/>
      <c r="N508" s="20"/>
      <c r="O508" s="20"/>
      <c r="P508" s="20"/>
      <c r="Q508" s="19"/>
      <c r="R508" s="20"/>
      <c r="S508" s="20"/>
      <c r="T508" s="19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19"/>
      <c r="AJ508" s="19"/>
      <c r="AK508" s="19"/>
      <c r="AL508" s="19"/>
      <c r="AM508" s="19"/>
      <c r="AN508" s="19"/>
      <c r="AO508" s="19"/>
      <c r="AP508" s="19"/>
      <c r="AQ508" s="19"/>
      <c r="AR508" s="19"/>
      <c r="AS508" s="19"/>
      <c r="AT508" s="19"/>
      <c r="AU508" s="19"/>
      <c r="AV508" s="19">
        <f t="shared" si="106"/>
        <v>0</v>
      </c>
      <c r="AW508" s="19">
        <f t="shared" si="107"/>
        <v>0</v>
      </c>
      <c r="AX508" s="19">
        <f t="shared" si="108"/>
        <v>0</v>
      </c>
    </row>
    <row r="509" spans="1:50" hidden="1" x14ac:dyDescent="0.5">
      <c r="A509" s="16">
        <v>8</v>
      </c>
      <c r="B509" s="15"/>
      <c r="C509" s="20"/>
      <c r="D509" s="20"/>
      <c r="E509" s="19"/>
      <c r="F509" s="20"/>
      <c r="G509" s="20"/>
      <c r="H509" s="19"/>
      <c r="I509" s="20"/>
      <c r="J509" s="20"/>
      <c r="K509" s="20"/>
      <c r="L509" s="20"/>
      <c r="M509" s="20"/>
      <c r="N509" s="20"/>
      <c r="O509" s="20"/>
      <c r="P509" s="20"/>
      <c r="Q509" s="19"/>
      <c r="R509" s="20"/>
      <c r="S509" s="20"/>
      <c r="T509" s="19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  <c r="AS509" s="19"/>
      <c r="AT509" s="19"/>
      <c r="AU509" s="19"/>
      <c r="AV509" s="19">
        <f t="shared" si="106"/>
        <v>0</v>
      </c>
      <c r="AW509" s="19">
        <f t="shared" si="107"/>
        <v>0</v>
      </c>
      <c r="AX509" s="19">
        <f t="shared" si="108"/>
        <v>0</v>
      </c>
    </row>
    <row r="510" spans="1:50" hidden="1" x14ac:dyDescent="0.5">
      <c r="A510" s="16">
        <v>9</v>
      </c>
      <c r="B510" s="15"/>
      <c r="C510" s="20"/>
      <c r="D510" s="20"/>
      <c r="E510" s="19"/>
      <c r="F510" s="20"/>
      <c r="G510" s="20"/>
      <c r="H510" s="19"/>
      <c r="I510" s="20"/>
      <c r="J510" s="20"/>
      <c r="K510" s="20"/>
      <c r="L510" s="20"/>
      <c r="M510" s="20"/>
      <c r="N510" s="20"/>
      <c r="O510" s="20"/>
      <c r="P510" s="20"/>
      <c r="Q510" s="19"/>
      <c r="R510" s="20"/>
      <c r="S510" s="20"/>
      <c r="T510" s="19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19"/>
      <c r="AJ510" s="19"/>
      <c r="AK510" s="19"/>
      <c r="AL510" s="19"/>
      <c r="AM510" s="19"/>
      <c r="AN510" s="19"/>
      <c r="AO510" s="19"/>
      <c r="AP510" s="19"/>
      <c r="AQ510" s="19"/>
      <c r="AR510" s="19"/>
      <c r="AS510" s="19"/>
      <c r="AT510" s="19"/>
      <c r="AU510" s="19"/>
      <c r="AV510" s="19">
        <f t="shared" si="106"/>
        <v>0</v>
      </c>
      <c r="AW510" s="19">
        <f t="shared" si="107"/>
        <v>0</v>
      </c>
      <c r="AX510" s="19">
        <f t="shared" si="108"/>
        <v>0</v>
      </c>
    </row>
    <row r="511" spans="1:50" hidden="1" x14ac:dyDescent="0.5">
      <c r="A511" s="16">
        <v>10</v>
      </c>
      <c r="B511" s="15"/>
      <c r="C511" s="20"/>
      <c r="D511" s="20"/>
      <c r="E511" s="19"/>
      <c r="F511" s="20"/>
      <c r="G511" s="20"/>
      <c r="H511" s="19"/>
      <c r="I511" s="20"/>
      <c r="J511" s="20"/>
      <c r="K511" s="20"/>
      <c r="L511" s="20"/>
      <c r="M511" s="20"/>
      <c r="N511" s="20"/>
      <c r="O511" s="20"/>
      <c r="P511" s="20"/>
      <c r="Q511" s="19"/>
      <c r="R511" s="20"/>
      <c r="S511" s="20"/>
      <c r="T511" s="19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  <c r="AI511" s="19"/>
      <c r="AJ511" s="19"/>
      <c r="AK511" s="19"/>
      <c r="AL511" s="19"/>
      <c r="AM511" s="19"/>
      <c r="AN511" s="19"/>
      <c r="AO511" s="19"/>
      <c r="AP511" s="19"/>
      <c r="AQ511" s="19"/>
      <c r="AR511" s="19"/>
      <c r="AS511" s="19"/>
      <c r="AT511" s="19"/>
      <c r="AU511" s="19"/>
      <c r="AV511" s="19">
        <f t="shared" si="106"/>
        <v>0</v>
      </c>
      <c r="AW511" s="19">
        <f t="shared" si="107"/>
        <v>0</v>
      </c>
      <c r="AX511" s="19">
        <f t="shared" si="108"/>
        <v>0</v>
      </c>
    </row>
    <row r="512" spans="1:50" hidden="1" x14ac:dyDescent="0.5">
      <c r="A512" s="16">
        <v>11</v>
      </c>
      <c r="B512" s="15"/>
      <c r="C512" s="20"/>
      <c r="D512" s="20"/>
      <c r="E512" s="19"/>
      <c r="F512" s="20"/>
      <c r="G512" s="20"/>
      <c r="H512" s="19"/>
      <c r="I512" s="20"/>
      <c r="J512" s="20"/>
      <c r="K512" s="20"/>
      <c r="L512" s="20"/>
      <c r="M512" s="20"/>
      <c r="N512" s="20"/>
      <c r="O512" s="20"/>
      <c r="P512" s="20"/>
      <c r="Q512" s="19"/>
      <c r="R512" s="20"/>
      <c r="S512" s="20"/>
      <c r="T512" s="19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19"/>
      <c r="AJ512" s="19"/>
      <c r="AK512" s="19"/>
      <c r="AL512" s="19"/>
      <c r="AM512" s="19"/>
      <c r="AN512" s="19"/>
      <c r="AO512" s="19"/>
      <c r="AP512" s="19"/>
      <c r="AQ512" s="19"/>
      <c r="AR512" s="19"/>
      <c r="AS512" s="19"/>
      <c r="AT512" s="19"/>
      <c r="AU512" s="19"/>
      <c r="AV512" s="19">
        <f t="shared" si="106"/>
        <v>0</v>
      </c>
      <c r="AW512" s="19">
        <f t="shared" si="107"/>
        <v>0</v>
      </c>
      <c r="AX512" s="19">
        <f t="shared" si="108"/>
        <v>0</v>
      </c>
    </row>
    <row r="513" spans="1:50" hidden="1" x14ac:dyDescent="0.5">
      <c r="A513" s="16">
        <v>12</v>
      </c>
      <c r="B513" s="15"/>
      <c r="C513" s="20"/>
      <c r="D513" s="20"/>
      <c r="E513" s="19"/>
      <c r="F513" s="20"/>
      <c r="G513" s="20"/>
      <c r="H513" s="19"/>
      <c r="I513" s="20"/>
      <c r="J513" s="20"/>
      <c r="K513" s="20"/>
      <c r="L513" s="20"/>
      <c r="M513" s="20"/>
      <c r="N513" s="20"/>
      <c r="O513" s="20"/>
      <c r="P513" s="20"/>
      <c r="Q513" s="19"/>
      <c r="R513" s="20"/>
      <c r="S513" s="20"/>
      <c r="T513" s="19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19"/>
      <c r="AJ513" s="19"/>
      <c r="AK513" s="19"/>
      <c r="AL513" s="19"/>
      <c r="AM513" s="19"/>
      <c r="AN513" s="19"/>
      <c r="AO513" s="19"/>
      <c r="AP513" s="19"/>
      <c r="AQ513" s="19"/>
      <c r="AR513" s="19"/>
      <c r="AS513" s="19"/>
      <c r="AT513" s="19"/>
      <c r="AU513" s="19"/>
      <c r="AV513" s="19">
        <f t="shared" si="106"/>
        <v>0</v>
      </c>
      <c r="AW513" s="19">
        <f t="shared" si="107"/>
        <v>0</v>
      </c>
      <c r="AX513" s="19">
        <f t="shared" si="108"/>
        <v>0</v>
      </c>
    </row>
    <row r="514" spans="1:50" hidden="1" x14ac:dyDescent="0.5">
      <c r="A514" s="16">
        <v>13</v>
      </c>
      <c r="B514" s="15"/>
      <c r="C514" s="20"/>
      <c r="D514" s="20"/>
      <c r="E514" s="19"/>
      <c r="F514" s="20"/>
      <c r="G514" s="20"/>
      <c r="H514" s="19"/>
      <c r="I514" s="20"/>
      <c r="J514" s="20"/>
      <c r="K514" s="20"/>
      <c r="L514" s="20"/>
      <c r="M514" s="20"/>
      <c r="N514" s="20"/>
      <c r="O514" s="20"/>
      <c r="P514" s="20"/>
      <c r="Q514" s="19"/>
      <c r="R514" s="20"/>
      <c r="S514" s="20"/>
      <c r="T514" s="19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  <c r="AS514" s="19"/>
      <c r="AT514" s="19"/>
      <c r="AU514" s="19"/>
      <c r="AV514" s="19">
        <f t="shared" si="106"/>
        <v>0</v>
      </c>
      <c r="AW514" s="19">
        <f t="shared" si="107"/>
        <v>0</v>
      </c>
      <c r="AX514" s="19">
        <f t="shared" si="108"/>
        <v>0</v>
      </c>
    </row>
    <row r="515" spans="1:50" hidden="1" x14ac:dyDescent="0.5">
      <c r="A515" s="16">
        <v>14</v>
      </c>
      <c r="B515" s="15"/>
      <c r="C515" s="20"/>
      <c r="D515" s="20"/>
      <c r="E515" s="19"/>
      <c r="F515" s="20"/>
      <c r="G515" s="20"/>
      <c r="H515" s="19"/>
      <c r="I515" s="20"/>
      <c r="J515" s="20"/>
      <c r="K515" s="20"/>
      <c r="L515" s="20"/>
      <c r="M515" s="20"/>
      <c r="N515" s="20"/>
      <c r="O515" s="20"/>
      <c r="P515" s="20"/>
      <c r="Q515" s="19"/>
      <c r="R515" s="20"/>
      <c r="S515" s="20"/>
      <c r="T515" s="19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19"/>
      <c r="AJ515" s="19"/>
      <c r="AK515" s="19"/>
      <c r="AL515" s="19"/>
      <c r="AM515" s="19"/>
      <c r="AN515" s="19"/>
      <c r="AO515" s="19"/>
      <c r="AP515" s="19"/>
      <c r="AQ515" s="19"/>
      <c r="AR515" s="19"/>
      <c r="AS515" s="19"/>
      <c r="AT515" s="19"/>
      <c r="AU515" s="19"/>
      <c r="AV515" s="19">
        <f t="shared" si="106"/>
        <v>0</v>
      </c>
      <c r="AW515" s="19">
        <f t="shared" si="107"/>
        <v>0</v>
      </c>
      <c r="AX515" s="19">
        <f t="shared" si="108"/>
        <v>0</v>
      </c>
    </row>
    <row r="516" spans="1:50" hidden="1" x14ac:dyDescent="0.5">
      <c r="A516" s="16">
        <v>15</v>
      </c>
      <c r="B516" s="15"/>
      <c r="C516" s="20"/>
      <c r="D516" s="20"/>
      <c r="E516" s="19"/>
      <c r="F516" s="20"/>
      <c r="G516" s="20"/>
      <c r="H516" s="19"/>
      <c r="I516" s="20"/>
      <c r="J516" s="20"/>
      <c r="K516" s="20"/>
      <c r="L516" s="20"/>
      <c r="M516" s="20"/>
      <c r="N516" s="20"/>
      <c r="O516" s="20"/>
      <c r="P516" s="20"/>
      <c r="Q516" s="19"/>
      <c r="R516" s="20"/>
      <c r="S516" s="20"/>
      <c r="T516" s="19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  <c r="AS516" s="19"/>
      <c r="AT516" s="19"/>
      <c r="AU516" s="19"/>
      <c r="AV516" s="19">
        <f t="shared" si="106"/>
        <v>0</v>
      </c>
      <c r="AW516" s="19">
        <f t="shared" si="107"/>
        <v>0</v>
      </c>
      <c r="AX516" s="19">
        <f t="shared" si="108"/>
        <v>0</v>
      </c>
    </row>
    <row r="517" spans="1:50" hidden="1" x14ac:dyDescent="0.5">
      <c r="A517" s="16">
        <v>16</v>
      </c>
      <c r="B517" s="15"/>
      <c r="C517" s="20"/>
      <c r="D517" s="20"/>
      <c r="E517" s="19"/>
      <c r="F517" s="20"/>
      <c r="G517" s="20"/>
      <c r="H517" s="19"/>
      <c r="I517" s="20"/>
      <c r="J517" s="20"/>
      <c r="K517" s="20"/>
      <c r="L517" s="20"/>
      <c r="M517" s="20"/>
      <c r="N517" s="20"/>
      <c r="O517" s="20"/>
      <c r="P517" s="20"/>
      <c r="Q517" s="19"/>
      <c r="R517" s="20"/>
      <c r="S517" s="20"/>
      <c r="T517" s="19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19"/>
      <c r="AJ517" s="19"/>
      <c r="AK517" s="19"/>
      <c r="AL517" s="19"/>
      <c r="AM517" s="19"/>
      <c r="AN517" s="19"/>
      <c r="AO517" s="19"/>
      <c r="AP517" s="19"/>
      <c r="AQ517" s="19"/>
      <c r="AR517" s="19"/>
      <c r="AS517" s="19"/>
      <c r="AT517" s="19"/>
      <c r="AU517" s="19"/>
      <c r="AV517" s="19">
        <f t="shared" si="106"/>
        <v>0</v>
      </c>
      <c r="AW517" s="19">
        <f t="shared" si="107"/>
        <v>0</v>
      </c>
      <c r="AX517" s="19">
        <f t="shared" si="108"/>
        <v>0</v>
      </c>
    </row>
    <row r="518" spans="1:50" hidden="1" x14ac:dyDescent="0.5">
      <c r="A518" s="16">
        <v>17</v>
      </c>
      <c r="B518" s="15"/>
      <c r="C518" s="20"/>
      <c r="D518" s="20"/>
      <c r="E518" s="19"/>
      <c r="F518" s="20"/>
      <c r="G518" s="20"/>
      <c r="H518" s="19"/>
      <c r="I518" s="20"/>
      <c r="J518" s="20"/>
      <c r="K518" s="20"/>
      <c r="L518" s="20"/>
      <c r="M518" s="20"/>
      <c r="N518" s="20"/>
      <c r="O518" s="20"/>
      <c r="P518" s="20"/>
      <c r="Q518" s="19"/>
      <c r="R518" s="20"/>
      <c r="S518" s="20"/>
      <c r="T518" s="19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  <c r="AS518" s="19"/>
      <c r="AT518" s="19"/>
      <c r="AU518" s="19"/>
      <c r="AV518" s="19">
        <f t="shared" si="106"/>
        <v>0</v>
      </c>
      <c r="AW518" s="19">
        <f t="shared" si="107"/>
        <v>0</v>
      </c>
      <c r="AX518" s="19">
        <f t="shared" si="108"/>
        <v>0</v>
      </c>
    </row>
    <row r="519" spans="1:50" hidden="1" x14ac:dyDescent="0.5">
      <c r="A519" s="16">
        <v>18</v>
      </c>
      <c r="B519" s="15"/>
      <c r="C519" s="20"/>
      <c r="D519" s="20"/>
      <c r="E519" s="19"/>
      <c r="F519" s="20"/>
      <c r="G519" s="20"/>
      <c r="H519" s="19"/>
      <c r="I519" s="20"/>
      <c r="J519" s="20"/>
      <c r="K519" s="20"/>
      <c r="L519" s="20"/>
      <c r="M519" s="20"/>
      <c r="N519" s="20"/>
      <c r="O519" s="20"/>
      <c r="P519" s="20"/>
      <c r="Q519" s="19"/>
      <c r="R519" s="20"/>
      <c r="S519" s="20"/>
      <c r="T519" s="19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19"/>
      <c r="AJ519" s="19"/>
      <c r="AK519" s="19"/>
      <c r="AL519" s="19"/>
      <c r="AM519" s="19"/>
      <c r="AN519" s="19"/>
      <c r="AO519" s="19"/>
      <c r="AP519" s="19"/>
      <c r="AQ519" s="19"/>
      <c r="AR519" s="19"/>
      <c r="AS519" s="19"/>
      <c r="AT519" s="19"/>
      <c r="AU519" s="19"/>
      <c r="AV519" s="19">
        <f t="shared" si="106"/>
        <v>0</v>
      </c>
      <c r="AW519" s="19">
        <f t="shared" si="107"/>
        <v>0</v>
      </c>
      <c r="AX519" s="19">
        <f t="shared" si="108"/>
        <v>0</v>
      </c>
    </row>
    <row r="520" spans="1:50" hidden="1" x14ac:dyDescent="0.5">
      <c r="A520" s="16">
        <v>19</v>
      </c>
      <c r="B520" s="15"/>
      <c r="C520" s="20"/>
      <c r="D520" s="20"/>
      <c r="E520" s="19"/>
      <c r="F520" s="20"/>
      <c r="G520" s="20"/>
      <c r="H520" s="19"/>
      <c r="I520" s="20"/>
      <c r="J520" s="20"/>
      <c r="K520" s="20"/>
      <c r="L520" s="20"/>
      <c r="M520" s="20"/>
      <c r="N520" s="20"/>
      <c r="O520" s="20"/>
      <c r="P520" s="20"/>
      <c r="Q520" s="19"/>
      <c r="R520" s="20"/>
      <c r="S520" s="20"/>
      <c r="T520" s="19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  <c r="AS520" s="19"/>
      <c r="AT520" s="19"/>
      <c r="AU520" s="19"/>
      <c r="AV520" s="19">
        <f t="shared" si="106"/>
        <v>0</v>
      </c>
      <c r="AW520" s="19">
        <f t="shared" si="107"/>
        <v>0</v>
      </c>
      <c r="AX520" s="19">
        <f t="shared" si="108"/>
        <v>0</v>
      </c>
    </row>
    <row r="521" spans="1:50" hidden="1" x14ac:dyDescent="0.5">
      <c r="A521" s="16">
        <v>20</v>
      </c>
      <c r="B521" s="15"/>
      <c r="C521" s="20"/>
      <c r="D521" s="20"/>
      <c r="E521" s="19"/>
      <c r="F521" s="20"/>
      <c r="G521" s="20"/>
      <c r="H521" s="19"/>
      <c r="I521" s="20"/>
      <c r="J521" s="20"/>
      <c r="K521" s="20"/>
      <c r="L521" s="20"/>
      <c r="M521" s="20"/>
      <c r="N521" s="20"/>
      <c r="O521" s="20"/>
      <c r="P521" s="20"/>
      <c r="Q521" s="19"/>
      <c r="R521" s="20"/>
      <c r="S521" s="20"/>
      <c r="T521" s="19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19"/>
      <c r="AJ521" s="19"/>
      <c r="AK521" s="19"/>
      <c r="AL521" s="19"/>
      <c r="AM521" s="19"/>
      <c r="AN521" s="19"/>
      <c r="AO521" s="19"/>
      <c r="AP521" s="19"/>
      <c r="AQ521" s="19"/>
      <c r="AR521" s="19"/>
      <c r="AS521" s="19"/>
      <c r="AT521" s="19"/>
      <c r="AU521" s="19"/>
      <c r="AV521" s="19">
        <f t="shared" si="106"/>
        <v>0</v>
      </c>
      <c r="AW521" s="19">
        <f t="shared" si="107"/>
        <v>0</v>
      </c>
      <c r="AX521" s="19">
        <f t="shared" si="108"/>
        <v>0</v>
      </c>
    </row>
    <row r="522" spans="1:50" hidden="1" x14ac:dyDescent="0.5">
      <c r="A522" s="16">
        <v>21</v>
      </c>
      <c r="B522" s="15"/>
      <c r="C522" s="20"/>
      <c r="D522" s="20"/>
      <c r="E522" s="19"/>
      <c r="F522" s="20"/>
      <c r="G522" s="20"/>
      <c r="H522" s="19"/>
      <c r="I522" s="20"/>
      <c r="J522" s="20"/>
      <c r="K522" s="20"/>
      <c r="L522" s="20"/>
      <c r="M522" s="20"/>
      <c r="N522" s="20"/>
      <c r="O522" s="20"/>
      <c r="P522" s="20"/>
      <c r="Q522" s="19"/>
      <c r="R522" s="20"/>
      <c r="S522" s="20"/>
      <c r="T522" s="19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  <c r="AS522" s="19"/>
      <c r="AT522" s="19"/>
      <c r="AU522" s="19"/>
      <c r="AV522" s="19">
        <f>C522+F522+I522+L522+O522+R522+U522+X522+AA522+AG522+AJ522+AM522+AP522+AS522</f>
        <v>0</v>
      </c>
      <c r="AW522" s="19">
        <f>D522+G522+J522+M522+P522+S522+V522+Y522+AB522+AH522+AK522+AN522+AQ522+AT522</f>
        <v>0</v>
      </c>
      <c r="AX522" s="19">
        <f>E522+H522+K522+N522+Q522+T522+W522+Z522+AC522+AI522+AL522+AO522+AR522+AU522</f>
        <v>0</v>
      </c>
    </row>
    <row r="523" spans="1:50" hidden="1" x14ac:dyDescent="0.5">
      <c r="A523" s="16">
        <v>22</v>
      </c>
      <c r="B523" s="15"/>
      <c r="C523" s="20"/>
      <c r="D523" s="20"/>
      <c r="E523" s="19"/>
      <c r="F523" s="20"/>
      <c r="G523" s="20"/>
      <c r="H523" s="19"/>
      <c r="I523" s="20"/>
      <c r="J523" s="20"/>
      <c r="K523" s="20"/>
      <c r="L523" s="20"/>
      <c r="M523" s="20"/>
      <c r="N523" s="20"/>
      <c r="O523" s="20"/>
      <c r="P523" s="20"/>
      <c r="Q523" s="19"/>
      <c r="R523" s="20"/>
      <c r="S523" s="20"/>
      <c r="T523" s="19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  <c r="AS523" s="19"/>
      <c r="AT523" s="19"/>
      <c r="AU523" s="19"/>
      <c r="AV523" s="19">
        <f t="shared" ref="AV523:AV524" si="109">C523+F523+I523+L523+O523+R523+U523+X523+AA523+AG523+AJ523+AM523+AP523+AS523</f>
        <v>0</v>
      </c>
      <c r="AW523" s="19">
        <f t="shared" ref="AW523:AW524" si="110">D523+G523+J523+M523+P523+S523+V523+Y523+AB523+AH523+AK523+AN523+AQ523+AT523</f>
        <v>0</v>
      </c>
      <c r="AX523" s="19">
        <f t="shared" ref="AX523:AX524" si="111">E523+H523+K523+N523+Q523+T523+W523+Z523+AC523+AI523+AL523+AO523+AR523+AU523</f>
        <v>0</v>
      </c>
    </row>
    <row r="524" spans="1:50" hidden="1" x14ac:dyDescent="0.5">
      <c r="A524" s="16">
        <v>23</v>
      </c>
      <c r="B524" s="15"/>
      <c r="C524" s="20"/>
      <c r="D524" s="20"/>
      <c r="E524" s="19"/>
      <c r="F524" s="20"/>
      <c r="G524" s="20"/>
      <c r="H524" s="19"/>
      <c r="I524" s="20"/>
      <c r="J524" s="20"/>
      <c r="K524" s="20"/>
      <c r="L524" s="20"/>
      <c r="M524" s="20"/>
      <c r="N524" s="20"/>
      <c r="O524" s="20"/>
      <c r="P524" s="20"/>
      <c r="Q524" s="19"/>
      <c r="R524" s="20"/>
      <c r="S524" s="20"/>
      <c r="T524" s="19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  <c r="AS524" s="19"/>
      <c r="AT524" s="19"/>
      <c r="AU524" s="19"/>
      <c r="AV524" s="19">
        <f t="shared" si="109"/>
        <v>0</v>
      </c>
      <c r="AW524" s="19">
        <f t="shared" si="110"/>
        <v>0</v>
      </c>
      <c r="AX524" s="19">
        <f t="shared" si="111"/>
        <v>0</v>
      </c>
    </row>
    <row r="525" spans="1:50" hidden="1" x14ac:dyDescent="0.5">
      <c r="A525" s="14"/>
      <c r="B525" s="13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8">
        <f>SUM(AA498:AA509)</f>
        <v>0</v>
      </c>
      <c r="AB525" s="18">
        <f>SUM(AB498:AB509)</f>
        <v>0</v>
      </c>
      <c r="AV525" s="182">
        <f>SUM(AV498:AV524)</f>
        <v>0</v>
      </c>
      <c r="AW525" s="182">
        <f>SUM(AW498:AW524)</f>
        <v>0</v>
      </c>
      <c r="AX525" s="182">
        <f t="shared" ref="AX525" si="112">SUM(AX498:AX524)</f>
        <v>0</v>
      </c>
    </row>
    <row r="526" spans="1:50" hidden="1" x14ac:dyDescent="0.5"/>
    <row r="527" spans="1:50" hidden="1" x14ac:dyDescent="0.5">
      <c r="A527" s="561" t="s">
        <v>380</v>
      </c>
      <c r="B527" s="561"/>
      <c r="C527" s="561"/>
      <c r="D527" s="561"/>
      <c r="E527" s="561"/>
      <c r="F527" s="561"/>
    </row>
    <row r="528" spans="1:50" hidden="1" x14ac:dyDescent="0.5">
      <c r="A528" s="561"/>
      <c r="B528" s="561"/>
      <c r="C528" s="561"/>
      <c r="D528" s="561"/>
      <c r="E528" s="561"/>
      <c r="F528" s="561"/>
    </row>
    <row r="529" spans="1:50" hidden="1" x14ac:dyDescent="0.5">
      <c r="A529" s="551" t="s">
        <v>118</v>
      </c>
      <c r="B529" s="552" t="s">
        <v>135</v>
      </c>
      <c r="C529" s="553"/>
      <c r="D529" s="553"/>
      <c r="E529" s="553"/>
      <c r="F529" s="553"/>
      <c r="G529" s="553"/>
      <c r="H529" s="553"/>
      <c r="I529" s="553"/>
      <c r="J529" s="553"/>
      <c r="K529" s="553"/>
      <c r="L529" s="553"/>
      <c r="M529" s="553"/>
      <c r="N529" s="553"/>
      <c r="O529" s="553"/>
      <c r="P529" s="553"/>
      <c r="Q529" s="553"/>
      <c r="R529" s="553"/>
      <c r="S529" s="553"/>
      <c r="T529" s="553"/>
      <c r="U529" s="553"/>
      <c r="V529" s="553"/>
      <c r="W529" s="553"/>
      <c r="X529" s="553"/>
      <c r="Y529" s="553"/>
      <c r="Z529" s="553"/>
      <c r="AA529" s="553"/>
      <c r="AB529" s="553"/>
      <c r="AC529" s="553"/>
      <c r="AD529" s="553"/>
      <c r="AE529" s="553"/>
      <c r="AF529" s="553"/>
      <c r="AG529" s="553"/>
      <c r="AH529" s="553"/>
      <c r="AI529" s="553"/>
      <c r="AJ529" s="553"/>
      <c r="AK529" s="553"/>
      <c r="AL529" s="553"/>
      <c r="AM529" s="553"/>
      <c r="AN529" s="553"/>
      <c r="AO529" s="553"/>
      <c r="AP529" s="553"/>
      <c r="AQ529" s="553"/>
      <c r="AR529" s="553"/>
      <c r="AS529" s="553"/>
      <c r="AT529" s="553"/>
      <c r="AU529" s="553"/>
      <c r="AV529" s="553"/>
      <c r="AW529" s="553"/>
      <c r="AX529" s="553"/>
    </row>
    <row r="530" spans="1:50" hidden="1" x14ac:dyDescent="0.5">
      <c r="A530" s="551"/>
      <c r="B530" s="552"/>
      <c r="C530" s="554" t="s">
        <v>124</v>
      </c>
      <c r="D530" s="555"/>
      <c r="E530" s="556"/>
      <c r="F530" s="554" t="s">
        <v>133</v>
      </c>
      <c r="G530" s="555"/>
      <c r="H530" s="556"/>
      <c r="I530" s="554" t="s">
        <v>132</v>
      </c>
      <c r="J530" s="555"/>
      <c r="K530" s="556"/>
      <c r="L530" s="554" t="s">
        <v>131</v>
      </c>
      <c r="M530" s="555"/>
      <c r="N530" s="556"/>
      <c r="O530" s="554" t="s">
        <v>130</v>
      </c>
      <c r="P530" s="555"/>
      <c r="Q530" s="556"/>
      <c r="R530" s="554" t="s">
        <v>129</v>
      </c>
      <c r="S530" s="555"/>
      <c r="T530" s="556"/>
      <c r="U530" s="554" t="s">
        <v>128</v>
      </c>
      <c r="V530" s="555"/>
      <c r="W530" s="556"/>
      <c r="X530" s="554" t="s">
        <v>127</v>
      </c>
      <c r="Y530" s="555"/>
      <c r="Z530" s="556"/>
      <c r="AA530" s="554" t="s">
        <v>126</v>
      </c>
      <c r="AB530" s="555"/>
      <c r="AC530" s="556"/>
      <c r="AD530" s="554" t="s">
        <v>378</v>
      </c>
      <c r="AE530" s="555"/>
      <c r="AF530" s="556"/>
      <c r="AG530" s="554" t="s">
        <v>125</v>
      </c>
      <c r="AH530" s="555"/>
      <c r="AI530" s="556"/>
      <c r="AJ530" s="554" t="s">
        <v>124</v>
      </c>
      <c r="AK530" s="555"/>
      <c r="AL530" s="556"/>
      <c r="AM530" s="554" t="s">
        <v>123</v>
      </c>
      <c r="AN530" s="555"/>
      <c r="AO530" s="556"/>
      <c r="AP530" s="554" t="s">
        <v>367</v>
      </c>
      <c r="AQ530" s="555"/>
      <c r="AR530" s="556"/>
      <c r="AS530" s="554" t="s">
        <v>368</v>
      </c>
      <c r="AT530" s="555"/>
      <c r="AU530" s="556"/>
      <c r="AV530" s="554" t="s">
        <v>122</v>
      </c>
      <c r="AW530" s="555"/>
      <c r="AX530" s="556"/>
    </row>
    <row r="531" spans="1:50" hidden="1" x14ac:dyDescent="0.5">
      <c r="A531" s="551"/>
      <c r="B531" s="552"/>
      <c r="C531" s="17" t="s">
        <v>109</v>
      </c>
      <c r="D531" s="17" t="s">
        <v>108</v>
      </c>
      <c r="E531" s="17" t="s">
        <v>348</v>
      </c>
      <c r="F531" s="17" t="s">
        <v>109</v>
      </c>
      <c r="G531" s="17" t="s">
        <v>108</v>
      </c>
      <c r="H531" s="17" t="s">
        <v>348</v>
      </c>
      <c r="I531" s="17" t="s">
        <v>109</v>
      </c>
      <c r="J531" s="17" t="s">
        <v>108</v>
      </c>
      <c r="K531" s="17" t="s">
        <v>348</v>
      </c>
      <c r="L531" s="17" t="s">
        <v>109</v>
      </c>
      <c r="M531" s="17" t="s">
        <v>108</v>
      </c>
      <c r="N531" s="17" t="s">
        <v>348</v>
      </c>
      <c r="O531" s="17" t="s">
        <v>109</v>
      </c>
      <c r="P531" s="17" t="s">
        <v>108</v>
      </c>
      <c r="Q531" s="17" t="s">
        <v>348</v>
      </c>
      <c r="R531" s="17" t="s">
        <v>109</v>
      </c>
      <c r="S531" s="17" t="s">
        <v>108</v>
      </c>
      <c r="T531" s="17" t="s">
        <v>348</v>
      </c>
      <c r="U531" s="17" t="s">
        <v>109</v>
      </c>
      <c r="V531" s="17" t="s">
        <v>108</v>
      </c>
      <c r="W531" s="17" t="s">
        <v>348</v>
      </c>
      <c r="X531" s="17" t="s">
        <v>109</v>
      </c>
      <c r="Y531" s="17" t="s">
        <v>108</v>
      </c>
      <c r="Z531" s="17" t="s">
        <v>348</v>
      </c>
      <c r="AA531" s="17" t="s">
        <v>109</v>
      </c>
      <c r="AB531" s="17" t="s">
        <v>108</v>
      </c>
      <c r="AC531" s="17" t="s">
        <v>348</v>
      </c>
      <c r="AD531" s="17"/>
      <c r="AE531" s="17"/>
      <c r="AF531" s="17"/>
      <c r="AG531" s="17" t="s">
        <v>109</v>
      </c>
      <c r="AH531" s="17" t="s">
        <v>108</v>
      </c>
      <c r="AI531" s="17" t="s">
        <v>348</v>
      </c>
      <c r="AJ531" s="17" t="s">
        <v>109</v>
      </c>
      <c r="AK531" s="17" t="s">
        <v>108</v>
      </c>
      <c r="AL531" s="17" t="s">
        <v>348</v>
      </c>
      <c r="AM531" s="17" t="s">
        <v>109</v>
      </c>
      <c r="AN531" s="17" t="s">
        <v>108</v>
      </c>
      <c r="AO531" s="17" t="s">
        <v>348</v>
      </c>
      <c r="AP531" s="17" t="s">
        <v>109</v>
      </c>
      <c r="AQ531" s="17" t="s">
        <v>108</v>
      </c>
      <c r="AR531" s="17" t="s">
        <v>348</v>
      </c>
      <c r="AS531" s="17" t="s">
        <v>109</v>
      </c>
      <c r="AT531" s="17" t="s">
        <v>108</v>
      </c>
      <c r="AU531" s="17" t="s">
        <v>348</v>
      </c>
      <c r="AV531" s="17" t="s">
        <v>109</v>
      </c>
      <c r="AW531" s="17" t="s">
        <v>108</v>
      </c>
      <c r="AX531" s="17" t="s">
        <v>348</v>
      </c>
    </row>
    <row r="532" spans="1:50" hidden="1" x14ac:dyDescent="0.5">
      <c r="A532" s="16">
        <v>1</v>
      </c>
      <c r="B532" s="15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  <c r="AS532" s="19"/>
      <c r="AT532" s="19"/>
      <c r="AU532" s="19"/>
      <c r="AV532" s="19">
        <f>C532+F532+I532+L532+O532+R532+U532+X532+AA532+AG532+AJ532+AM532+AP532+AS532</f>
        <v>0</v>
      </c>
      <c r="AW532" s="19">
        <f>D532+G532+J532+M532+P532+S532+V532+Y532+AB532+AH532+AK532+AN532+AQ532+AT532</f>
        <v>0</v>
      </c>
      <c r="AX532" s="19">
        <f>E532+H532+K532+N532+Q532+T532+W532+Z532+AC532+AI532+AL532+AO532+AR532+AU532</f>
        <v>0</v>
      </c>
    </row>
    <row r="533" spans="1:50" hidden="1" x14ac:dyDescent="0.5">
      <c r="A533" s="16">
        <v>2</v>
      </c>
      <c r="B533" s="15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21"/>
      <c r="P533" s="178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  <c r="AQ533" s="19"/>
      <c r="AR533" s="19"/>
      <c r="AS533" s="19"/>
      <c r="AT533" s="19"/>
      <c r="AU533" s="19"/>
      <c r="AV533" s="19">
        <f t="shared" ref="AV533:AV556" si="113">C533+F533+I533+L533+O533+R533+U533+X533+AA533+AG533+AJ533+AM533</f>
        <v>0</v>
      </c>
      <c r="AW533" s="19">
        <f>D533+G533+J533+M533+P533+S533+V533+Y533+AB533+AH533+AK533+AN533+AE533</f>
        <v>0</v>
      </c>
      <c r="AX533" s="19">
        <f>E533+H533+K533+N533+Q533+T533+W533+Z533+AC533+AI533+AL533+AN533+AF533</f>
        <v>0</v>
      </c>
    </row>
    <row r="534" spans="1:50" hidden="1" x14ac:dyDescent="0.5">
      <c r="A534" s="16">
        <v>3</v>
      </c>
      <c r="B534" s="15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  <c r="AQ534" s="19"/>
      <c r="AR534" s="19"/>
      <c r="AS534" s="19"/>
      <c r="AT534" s="19"/>
      <c r="AU534" s="19"/>
      <c r="AV534" s="19">
        <f t="shared" si="113"/>
        <v>0</v>
      </c>
      <c r="AW534" s="19">
        <f t="shared" ref="AW534:AW556" si="114">D534+G534+J534+M534+P534+S534+V534+Y534+AB534+AH534+AK534+AN534</f>
        <v>0</v>
      </c>
      <c r="AX534" s="19">
        <f t="shared" ref="AX534:AX556" si="115">E534+H534+K534+N534+Q534+T534+W534+Z534+AC534+AI534+AL534+AN534</f>
        <v>0</v>
      </c>
    </row>
    <row r="535" spans="1:50" hidden="1" x14ac:dyDescent="0.5">
      <c r="A535" s="16">
        <v>4</v>
      </c>
      <c r="B535" s="15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  <c r="AQ535" s="19"/>
      <c r="AR535" s="19"/>
      <c r="AS535" s="19"/>
      <c r="AT535" s="19"/>
      <c r="AU535" s="19"/>
      <c r="AV535" s="19">
        <f t="shared" si="113"/>
        <v>0</v>
      </c>
      <c r="AW535" s="19">
        <f t="shared" si="114"/>
        <v>0</v>
      </c>
      <c r="AX535" s="19">
        <f t="shared" si="115"/>
        <v>0</v>
      </c>
    </row>
    <row r="536" spans="1:50" hidden="1" x14ac:dyDescent="0.5">
      <c r="A536" s="16">
        <v>5</v>
      </c>
      <c r="B536" s="15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  <c r="AR536" s="19"/>
      <c r="AS536" s="19"/>
      <c r="AT536" s="19"/>
      <c r="AU536" s="19"/>
      <c r="AV536" s="19">
        <f t="shared" si="113"/>
        <v>0</v>
      </c>
      <c r="AW536" s="19">
        <f t="shared" si="114"/>
        <v>0</v>
      </c>
      <c r="AX536" s="19">
        <f t="shared" si="115"/>
        <v>0</v>
      </c>
    </row>
    <row r="537" spans="1:50" hidden="1" x14ac:dyDescent="0.5">
      <c r="A537" s="16">
        <v>6</v>
      </c>
      <c r="B537" s="15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  <c r="AS537" s="19"/>
      <c r="AT537" s="19"/>
      <c r="AU537" s="19"/>
      <c r="AV537" s="19">
        <f t="shared" si="113"/>
        <v>0</v>
      </c>
      <c r="AW537" s="19">
        <f t="shared" si="114"/>
        <v>0</v>
      </c>
      <c r="AX537" s="19">
        <f t="shared" si="115"/>
        <v>0</v>
      </c>
    </row>
    <row r="538" spans="1:50" hidden="1" x14ac:dyDescent="0.5">
      <c r="A538" s="16">
        <v>7</v>
      </c>
      <c r="B538" s="15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  <c r="AQ538" s="19"/>
      <c r="AR538" s="19"/>
      <c r="AS538" s="19"/>
      <c r="AT538" s="19"/>
      <c r="AU538" s="19"/>
      <c r="AV538" s="19">
        <f t="shared" si="113"/>
        <v>0</v>
      </c>
      <c r="AW538" s="19">
        <f t="shared" si="114"/>
        <v>0</v>
      </c>
      <c r="AX538" s="19">
        <f t="shared" si="115"/>
        <v>0</v>
      </c>
    </row>
    <row r="539" spans="1:50" hidden="1" x14ac:dyDescent="0.5">
      <c r="A539" s="16">
        <v>8</v>
      </c>
      <c r="B539" s="15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  <c r="AQ539" s="19"/>
      <c r="AR539" s="19"/>
      <c r="AS539" s="19"/>
      <c r="AT539" s="19"/>
      <c r="AU539" s="19"/>
      <c r="AV539" s="19">
        <f t="shared" si="113"/>
        <v>0</v>
      </c>
      <c r="AW539" s="19">
        <f t="shared" si="114"/>
        <v>0</v>
      </c>
      <c r="AX539" s="19">
        <f t="shared" si="115"/>
        <v>0</v>
      </c>
    </row>
    <row r="540" spans="1:50" hidden="1" x14ac:dyDescent="0.5">
      <c r="A540" s="16">
        <v>9</v>
      </c>
      <c r="B540" s="15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  <c r="AR540" s="19"/>
      <c r="AS540" s="19"/>
      <c r="AT540" s="19"/>
      <c r="AU540" s="19"/>
      <c r="AV540" s="19">
        <f t="shared" si="113"/>
        <v>0</v>
      </c>
      <c r="AW540" s="19">
        <f t="shared" si="114"/>
        <v>0</v>
      </c>
      <c r="AX540" s="19">
        <f t="shared" si="115"/>
        <v>0</v>
      </c>
    </row>
    <row r="541" spans="1:50" hidden="1" x14ac:dyDescent="0.5">
      <c r="A541" s="16">
        <v>8</v>
      </c>
      <c r="B541" s="15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  <c r="AQ541" s="19"/>
      <c r="AR541" s="19"/>
      <c r="AS541" s="19"/>
      <c r="AT541" s="19"/>
      <c r="AU541" s="19"/>
      <c r="AV541" s="19">
        <f t="shared" si="113"/>
        <v>0</v>
      </c>
      <c r="AW541" s="19">
        <f t="shared" si="114"/>
        <v>0</v>
      </c>
      <c r="AX541" s="19">
        <f t="shared" si="115"/>
        <v>0</v>
      </c>
    </row>
    <row r="542" spans="1:50" hidden="1" x14ac:dyDescent="0.5">
      <c r="A542" s="16">
        <v>7</v>
      </c>
      <c r="B542" s="15"/>
      <c r="C542" s="20"/>
      <c r="D542" s="20"/>
      <c r="E542" s="19"/>
      <c r="F542" s="20"/>
      <c r="G542" s="20"/>
      <c r="H542" s="19"/>
      <c r="I542" s="20"/>
      <c r="J542" s="20"/>
      <c r="K542" s="20"/>
      <c r="L542" s="20"/>
      <c r="M542" s="20"/>
      <c r="N542" s="20"/>
      <c r="O542" s="20"/>
      <c r="P542" s="20"/>
      <c r="Q542" s="19"/>
      <c r="R542" s="20"/>
      <c r="S542" s="20"/>
      <c r="T542" s="19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19"/>
      <c r="AJ542" s="19"/>
      <c r="AK542" s="19"/>
      <c r="AL542" s="19"/>
      <c r="AM542" s="19"/>
      <c r="AN542" s="19"/>
      <c r="AO542" s="19"/>
      <c r="AP542" s="19"/>
      <c r="AQ542" s="19"/>
      <c r="AR542" s="19"/>
      <c r="AS542" s="19"/>
      <c r="AT542" s="19"/>
      <c r="AU542" s="19"/>
      <c r="AV542" s="19">
        <f t="shared" si="113"/>
        <v>0</v>
      </c>
      <c r="AW542" s="19">
        <f t="shared" si="114"/>
        <v>0</v>
      </c>
      <c r="AX542" s="19">
        <f t="shared" si="115"/>
        <v>0</v>
      </c>
    </row>
    <row r="543" spans="1:50" hidden="1" x14ac:dyDescent="0.5">
      <c r="A543" s="16">
        <v>8</v>
      </c>
      <c r="B543" s="15"/>
      <c r="C543" s="20"/>
      <c r="D543" s="20"/>
      <c r="E543" s="19"/>
      <c r="F543" s="20"/>
      <c r="G543" s="20"/>
      <c r="H543" s="19"/>
      <c r="I543" s="20"/>
      <c r="J543" s="20"/>
      <c r="K543" s="20"/>
      <c r="L543" s="20"/>
      <c r="M543" s="20"/>
      <c r="N543" s="20"/>
      <c r="O543" s="20"/>
      <c r="P543" s="20"/>
      <c r="Q543" s="19"/>
      <c r="R543" s="20"/>
      <c r="S543" s="20"/>
      <c r="T543" s="19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19"/>
      <c r="AJ543" s="19"/>
      <c r="AK543" s="19"/>
      <c r="AL543" s="19"/>
      <c r="AM543" s="19"/>
      <c r="AN543" s="19"/>
      <c r="AO543" s="19"/>
      <c r="AP543" s="19"/>
      <c r="AQ543" s="19"/>
      <c r="AR543" s="19"/>
      <c r="AS543" s="19"/>
      <c r="AT543" s="19"/>
      <c r="AU543" s="19"/>
      <c r="AV543" s="19">
        <f t="shared" si="113"/>
        <v>0</v>
      </c>
      <c r="AW543" s="19">
        <f t="shared" si="114"/>
        <v>0</v>
      </c>
      <c r="AX543" s="19">
        <f t="shared" si="115"/>
        <v>0</v>
      </c>
    </row>
    <row r="544" spans="1:50" hidden="1" x14ac:dyDescent="0.5">
      <c r="A544" s="16">
        <v>9</v>
      </c>
      <c r="B544" s="15"/>
      <c r="C544" s="20"/>
      <c r="D544" s="20"/>
      <c r="E544" s="19"/>
      <c r="F544" s="20"/>
      <c r="G544" s="20"/>
      <c r="H544" s="19"/>
      <c r="I544" s="20"/>
      <c r="J544" s="20"/>
      <c r="K544" s="20"/>
      <c r="L544" s="20"/>
      <c r="M544" s="20"/>
      <c r="N544" s="20"/>
      <c r="O544" s="20"/>
      <c r="P544" s="20"/>
      <c r="Q544" s="19"/>
      <c r="R544" s="20"/>
      <c r="S544" s="20"/>
      <c r="T544" s="19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19"/>
      <c r="AJ544" s="19"/>
      <c r="AK544" s="19"/>
      <c r="AL544" s="19"/>
      <c r="AM544" s="19"/>
      <c r="AN544" s="19"/>
      <c r="AO544" s="19"/>
      <c r="AP544" s="19"/>
      <c r="AQ544" s="19"/>
      <c r="AR544" s="19"/>
      <c r="AS544" s="19"/>
      <c r="AT544" s="19"/>
      <c r="AU544" s="19"/>
      <c r="AV544" s="19">
        <f t="shared" si="113"/>
        <v>0</v>
      </c>
      <c r="AW544" s="19">
        <f t="shared" si="114"/>
        <v>0</v>
      </c>
      <c r="AX544" s="19">
        <f t="shared" si="115"/>
        <v>0</v>
      </c>
    </row>
    <row r="545" spans="1:50" hidden="1" x14ac:dyDescent="0.5">
      <c r="A545" s="16">
        <v>11</v>
      </c>
      <c r="B545" s="15"/>
      <c r="C545" s="20"/>
      <c r="D545" s="20"/>
      <c r="E545" s="19"/>
      <c r="F545" s="20"/>
      <c r="G545" s="20"/>
      <c r="H545" s="19"/>
      <c r="I545" s="20"/>
      <c r="J545" s="20"/>
      <c r="K545" s="20"/>
      <c r="L545" s="20"/>
      <c r="M545" s="20"/>
      <c r="N545" s="20"/>
      <c r="O545" s="20"/>
      <c r="P545" s="20"/>
      <c r="Q545" s="19"/>
      <c r="R545" s="20"/>
      <c r="S545" s="20"/>
      <c r="T545" s="19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19"/>
      <c r="AJ545" s="19"/>
      <c r="AK545" s="19"/>
      <c r="AL545" s="19"/>
      <c r="AM545" s="19"/>
      <c r="AN545" s="19"/>
      <c r="AO545" s="19"/>
      <c r="AP545" s="19"/>
      <c r="AQ545" s="19"/>
      <c r="AR545" s="19"/>
      <c r="AS545" s="19"/>
      <c r="AT545" s="19"/>
      <c r="AU545" s="19"/>
      <c r="AV545" s="19">
        <f t="shared" si="113"/>
        <v>0</v>
      </c>
      <c r="AW545" s="19">
        <f t="shared" si="114"/>
        <v>0</v>
      </c>
      <c r="AX545" s="19">
        <f t="shared" si="115"/>
        <v>0</v>
      </c>
    </row>
    <row r="546" spans="1:50" hidden="1" x14ac:dyDescent="0.5">
      <c r="A546" s="16">
        <v>10</v>
      </c>
      <c r="B546" s="15"/>
      <c r="C546" s="20"/>
      <c r="D546" s="20"/>
      <c r="E546" s="19"/>
      <c r="F546" s="20"/>
      <c r="G546" s="20"/>
      <c r="H546" s="19"/>
      <c r="I546" s="20"/>
      <c r="J546" s="20"/>
      <c r="K546" s="20"/>
      <c r="L546" s="20"/>
      <c r="M546" s="20"/>
      <c r="N546" s="20"/>
      <c r="O546" s="20"/>
      <c r="P546" s="20"/>
      <c r="Q546" s="19"/>
      <c r="R546" s="20"/>
      <c r="S546" s="20"/>
      <c r="T546" s="19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19"/>
      <c r="AJ546" s="19"/>
      <c r="AK546" s="19"/>
      <c r="AL546" s="19"/>
      <c r="AM546" s="19"/>
      <c r="AN546" s="19"/>
      <c r="AO546" s="19"/>
      <c r="AP546" s="19"/>
      <c r="AQ546" s="19"/>
      <c r="AR546" s="19"/>
      <c r="AS546" s="19"/>
      <c r="AT546" s="19"/>
      <c r="AU546" s="19"/>
      <c r="AV546" s="19">
        <f t="shared" si="113"/>
        <v>0</v>
      </c>
      <c r="AW546" s="19">
        <f t="shared" si="114"/>
        <v>0</v>
      </c>
      <c r="AX546" s="19">
        <f t="shared" si="115"/>
        <v>0</v>
      </c>
    </row>
    <row r="547" spans="1:50" hidden="1" x14ac:dyDescent="0.5">
      <c r="A547" s="16">
        <v>11</v>
      </c>
      <c r="B547" s="15"/>
      <c r="C547" s="20"/>
      <c r="D547" s="20"/>
      <c r="E547" s="19"/>
      <c r="F547" s="20"/>
      <c r="G547" s="20"/>
      <c r="H547" s="19"/>
      <c r="I547" s="20"/>
      <c r="J547" s="20"/>
      <c r="K547" s="20"/>
      <c r="L547" s="20"/>
      <c r="M547" s="20"/>
      <c r="N547" s="20"/>
      <c r="O547" s="20"/>
      <c r="P547" s="20"/>
      <c r="Q547" s="19"/>
      <c r="R547" s="20"/>
      <c r="S547" s="20"/>
      <c r="T547" s="19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19"/>
      <c r="AJ547" s="19"/>
      <c r="AK547" s="19"/>
      <c r="AL547" s="19"/>
      <c r="AM547" s="19"/>
      <c r="AN547" s="19"/>
      <c r="AO547" s="19"/>
      <c r="AP547" s="19"/>
      <c r="AQ547" s="19"/>
      <c r="AR547" s="19"/>
      <c r="AS547" s="19"/>
      <c r="AT547" s="19"/>
      <c r="AU547" s="19"/>
      <c r="AV547" s="19">
        <f t="shared" si="113"/>
        <v>0</v>
      </c>
      <c r="AW547" s="19">
        <f t="shared" si="114"/>
        <v>0</v>
      </c>
      <c r="AX547" s="19">
        <f t="shared" si="115"/>
        <v>0</v>
      </c>
    </row>
    <row r="548" spans="1:50" hidden="1" x14ac:dyDescent="0.5">
      <c r="A548" s="16">
        <v>12</v>
      </c>
      <c r="B548" s="15"/>
      <c r="C548" s="20"/>
      <c r="D548" s="20"/>
      <c r="E548" s="19"/>
      <c r="F548" s="20"/>
      <c r="G548" s="20"/>
      <c r="H548" s="19"/>
      <c r="I548" s="20"/>
      <c r="J548" s="20"/>
      <c r="K548" s="20"/>
      <c r="L548" s="20"/>
      <c r="M548" s="20"/>
      <c r="N548" s="20"/>
      <c r="O548" s="20"/>
      <c r="P548" s="20"/>
      <c r="Q548" s="19"/>
      <c r="R548" s="20"/>
      <c r="S548" s="20"/>
      <c r="T548" s="19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19"/>
      <c r="AJ548" s="19"/>
      <c r="AK548" s="19"/>
      <c r="AL548" s="19"/>
      <c r="AM548" s="19"/>
      <c r="AN548" s="19"/>
      <c r="AO548" s="19"/>
      <c r="AP548" s="19"/>
      <c r="AQ548" s="19"/>
      <c r="AR548" s="19"/>
      <c r="AS548" s="19"/>
      <c r="AT548" s="19"/>
      <c r="AU548" s="19"/>
      <c r="AV548" s="19">
        <f t="shared" si="113"/>
        <v>0</v>
      </c>
      <c r="AW548" s="19">
        <f t="shared" si="114"/>
        <v>0</v>
      </c>
      <c r="AX548" s="19">
        <f t="shared" si="115"/>
        <v>0</v>
      </c>
    </row>
    <row r="549" spans="1:50" hidden="1" x14ac:dyDescent="0.5">
      <c r="A549" s="16">
        <v>13</v>
      </c>
      <c r="B549" s="15"/>
      <c r="C549" s="20"/>
      <c r="D549" s="20"/>
      <c r="E549" s="19"/>
      <c r="F549" s="20"/>
      <c r="G549" s="20"/>
      <c r="H549" s="19"/>
      <c r="I549" s="20"/>
      <c r="J549" s="20"/>
      <c r="K549" s="20"/>
      <c r="L549" s="20"/>
      <c r="M549" s="20"/>
      <c r="N549" s="20"/>
      <c r="O549" s="20"/>
      <c r="P549" s="20"/>
      <c r="Q549" s="19"/>
      <c r="R549" s="20"/>
      <c r="S549" s="20"/>
      <c r="T549" s="19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19"/>
      <c r="AJ549" s="19"/>
      <c r="AK549" s="19"/>
      <c r="AL549" s="19"/>
      <c r="AM549" s="19"/>
      <c r="AN549" s="19"/>
      <c r="AO549" s="19"/>
      <c r="AP549" s="19"/>
      <c r="AQ549" s="19"/>
      <c r="AR549" s="19"/>
      <c r="AS549" s="19"/>
      <c r="AT549" s="19"/>
      <c r="AU549" s="19"/>
      <c r="AV549" s="19">
        <f t="shared" si="113"/>
        <v>0</v>
      </c>
      <c r="AW549" s="19">
        <f t="shared" si="114"/>
        <v>0</v>
      </c>
      <c r="AX549" s="19">
        <f t="shared" si="115"/>
        <v>0</v>
      </c>
    </row>
    <row r="550" spans="1:50" hidden="1" x14ac:dyDescent="0.5">
      <c r="A550" s="16">
        <v>14</v>
      </c>
      <c r="B550" s="15"/>
      <c r="C550" s="20"/>
      <c r="D550" s="20"/>
      <c r="E550" s="19"/>
      <c r="F550" s="20"/>
      <c r="G550" s="20"/>
      <c r="H550" s="19"/>
      <c r="I550" s="20"/>
      <c r="J550" s="20"/>
      <c r="K550" s="20"/>
      <c r="L550" s="20"/>
      <c r="M550" s="20"/>
      <c r="N550" s="20"/>
      <c r="O550" s="20"/>
      <c r="P550" s="20"/>
      <c r="Q550" s="19"/>
      <c r="R550" s="20"/>
      <c r="S550" s="20"/>
      <c r="T550" s="19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19"/>
      <c r="AJ550" s="19"/>
      <c r="AK550" s="19"/>
      <c r="AL550" s="19"/>
      <c r="AM550" s="19"/>
      <c r="AN550" s="19"/>
      <c r="AO550" s="19"/>
      <c r="AP550" s="19"/>
      <c r="AQ550" s="19"/>
      <c r="AR550" s="19"/>
      <c r="AS550" s="19"/>
      <c r="AT550" s="19"/>
      <c r="AU550" s="19"/>
      <c r="AV550" s="19">
        <f t="shared" si="113"/>
        <v>0</v>
      </c>
      <c r="AW550" s="19">
        <f t="shared" si="114"/>
        <v>0</v>
      </c>
      <c r="AX550" s="19">
        <f t="shared" si="115"/>
        <v>0</v>
      </c>
    </row>
    <row r="551" spans="1:50" hidden="1" x14ac:dyDescent="0.5">
      <c r="A551" s="16">
        <v>15</v>
      </c>
      <c r="B551" s="15"/>
      <c r="C551" s="20"/>
      <c r="D551" s="20"/>
      <c r="E551" s="19"/>
      <c r="F551" s="20"/>
      <c r="G551" s="20"/>
      <c r="H551" s="19"/>
      <c r="I551" s="20"/>
      <c r="J551" s="20"/>
      <c r="K551" s="20"/>
      <c r="L551" s="20"/>
      <c r="M551" s="20"/>
      <c r="N551" s="20"/>
      <c r="O551" s="20"/>
      <c r="P551" s="20"/>
      <c r="Q551" s="19"/>
      <c r="R551" s="20"/>
      <c r="S551" s="20"/>
      <c r="T551" s="19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19"/>
      <c r="AJ551" s="19"/>
      <c r="AK551" s="19"/>
      <c r="AL551" s="19"/>
      <c r="AM551" s="19"/>
      <c r="AN551" s="19"/>
      <c r="AO551" s="19"/>
      <c r="AP551" s="19"/>
      <c r="AQ551" s="19"/>
      <c r="AR551" s="19"/>
      <c r="AS551" s="19"/>
      <c r="AT551" s="19"/>
      <c r="AU551" s="19"/>
      <c r="AV551" s="19">
        <f t="shared" si="113"/>
        <v>0</v>
      </c>
      <c r="AW551" s="19">
        <f t="shared" si="114"/>
        <v>0</v>
      </c>
      <c r="AX551" s="19">
        <f t="shared" si="115"/>
        <v>0</v>
      </c>
    </row>
    <row r="552" spans="1:50" hidden="1" x14ac:dyDescent="0.5">
      <c r="A552" s="16">
        <v>16</v>
      </c>
      <c r="B552" s="15"/>
      <c r="C552" s="20"/>
      <c r="D552" s="20"/>
      <c r="E552" s="19"/>
      <c r="F552" s="20"/>
      <c r="G552" s="20"/>
      <c r="H552" s="19"/>
      <c r="I552" s="20"/>
      <c r="J552" s="20"/>
      <c r="K552" s="20"/>
      <c r="L552" s="20"/>
      <c r="M552" s="20"/>
      <c r="N552" s="20"/>
      <c r="O552" s="20"/>
      <c r="P552" s="20"/>
      <c r="Q552" s="19"/>
      <c r="R552" s="20"/>
      <c r="S552" s="20"/>
      <c r="T552" s="19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19"/>
      <c r="AJ552" s="19"/>
      <c r="AK552" s="19"/>
      <c r="AL552" s="19"/>
      <c r="AM552" s="19"/>
      <c r="AN552" s="19"/>
      <c r="AO552" s="19"/>
      <c r="AP552" s="19"/>
      <c r="AQ552" s="19"/>
      <c r="AR552" s="19"/>
      <c r="AS552" s="19"/>
      <c r="AT552" s="19"/>
      <c r="AU552" s="19"/>
      <c r="AV552" s="19">
        <f t="shared" si="113"/>
        <v>0</v>
      </c>
      <c r="AW552" s="19">
        <f t="shared" si="114"/>
        <v>0</v>
      </c>
      <c r="AX552" s="19">
        <f t="shared" si="115"/>
        <v>0</v>
      </c>
    </row>
    <row r="553" spans="1:50" hidden="1" x14ac:dyDescent="0.5">
      <c r="A553" s="16">
        <v>17</v>
      </c>
      <c r="B553" s="15"/>
      <c r="C553" s="20"/>
      <c r="D553" s="20"/>
      <c r="E553" s="19"/>
      <c r="F553" s="20"/>
      <c r="G553" s="20"/>
      <c r="H553" s="19"/>
      <c r="I553" s="20"/>
      <c r="J553" s="20"/>
      <c r="K553" s="20"/>
      <c r="L553" s="20"/>
      <c r="M553" s="20"/>
      <c r="N553" s="20"/>
      <c r="O553" s="20"/>
      <c r="P553" s="20"/>
      <c r="Q553" s="19"/>
      <c r="R553" s="20"/>
      <c r="S553" s="20"/>
      <c r="T553" s="19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19"/>
      <c r="AJ553" s="19"/>
      <c r="AK553" s="19"/>
      <c r="AL553" s="19"/>
      <c r="AM553" s="19"/>
      <c r="AN553" s="19"/>
      <c r="AO553" s="19"/>
      <c r="AP553" s="19"/>
      <c r="AQ553" s="19"/>
      <c r="AR553" s="19"/>
      <c r="AS553" s="19"/>
      <c r="AT553" s="19"/>
      <c r="AU553" s="19"/>
      <c r="AV553" s="19">
        <f t="shared" si="113"/>
        <v>0</v>
      </c>
      <c r="AW553" s="19">
        <f t="shared" si="114"/>
        <v>0</v>
      </c>
      <c r="AX553" s="19">
        <f t="shared" si="115"/>
        <v>0</v>
      </c>
    </row>
    <row r="554" spans="1:50" hidden="1" x14ac:dyDescent="0.5">
      <c r="A554" s="16">
        <v>18</v>
      </c>
      <c r="B554" s="15"/>
      <c r="C554" s="20"/>
      <c r="D554" s="20"/>
      <c r="E554" s="19"/>
      <c r="F554" s="20"/>
      <c r="G554" s="20"/>
      <c r="H554" s="19"/>
      <c r="I554" s="20"/>
      <c r="J554" s="20"/>
      <c r="K554" s="20"/>
      <c r="L554" s="20"/>
      <c r="M554" s="20"/>
      <c r="N554" s="20"/>
      <c r="O554" s="20"/>
      <c r="P554" s="20"/>
      <c r="Q554" s="19"/>
      <c r="R554" s="20"/>
      <c r="S554" s="20"/>
      <c r="T554" s="19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19"/>
      <c r="AJ554" s="19"/>
      <c r="AK554" s="19"/>
      <c r="AL554" s="19"/>
      <c r="AM554" s="19"/>
      <c r="AN554" s="19"/>
      <c r="AO554" s="19"/>
      <c r="AP554" s="19"/>
      <c r="AQ554" s="19"/>
      <c r="AR554" s="19"/>
      <c r="AS554" s="19"/>
      <c r="AT554" s="19"/>
      <c r="AU554" s="19"/>
      <c r="AV554" s="19">
        <f t="shared" si="113"/>
        <v>0</v>
      </c>
      <c r="AW554" s="19">
        <f t="shared" si="114"/>
        <v>0</v>
      </c>
      <c r="AX554" s="19">
        <f t="shared" si="115"/>
        <v>0</v>
      </c>
    </row>
    <row r="555" spans="1:50" hidden="1" x14ac:dyDescent="0.5">
      <c r="A555" s="16">
        <v>19</v>
      </c>
      <c r="B555" s="15"/>
      <c r="C555" s="20"/>
      <c r="D555" s="20"/>
      <c r="E555" s="19"/>
      <c r="F555" s="20"/>
      <c r="G555" s="20"/>
      <c r="H555" s="19"/>
      <c r="I555" s="20"/>
      <c r="J555" s="20"/>
      <c r="K555" s="20"/>
      <c r="L555" s="20"/>
      <c r="M555" s="20"/>
      <c r="N555" s="20"/>
      <c r="O555" s="20"/>
      <c r="P555" s="20"/>
      <c r="Q555" s="19"/>
      <c r="R555" s="20"/>
      <c r="S555" s="20"/>
      <c r="T555" s="19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19"/>
      <c r="AJ555" s="19"/>
      <c r="AK555" s="19"/>
      <c r="AL555" s="19"/>
      <c r="AM555" s="19"/>
      <c r="AN555" s="19"/>
      <c r="AO555" s="19"/>
      <c r="AP555" s="19"/>
      <c r="AQ555" s="19"/>
      <c r="AR555" s="19"/>
      <c r="AS555" s="19"/>
      <c r="AT555" s="19"/>
      <c r="AU555" s="19"/>
      <c r="AV555" s="19">
        <f t="shared" si="113"/>
        <v>0</v>
      </c>
      <c r="AW555" s="19">
        <f t="shared" si="114"/>
        <v>0</v>
      </c>
      <c r="AX555" s="19">
        <f t="shared" si="115"/>
        <v>0</v>
      </c>
    </row>
    <row r="556" spans="1:50" hidden="1" x14ac:dyDescent="0.5">
      <c r="A556" s="16">
        <v>20</v>
      </c>
      <c r="B556" s="15"/>
      <c r="C556" s="20"/>
      <c r="D556" s="20"/>
      <c r="E556" s="19"/>
      <c r="F556" s="20"/>
      <c r="G556" s="20"/>
      <c r="H556" s="19"/>
      <c r="I556" s="20"/>
      <c r="J556" s="20"/>
      <c r="K556" s="20"/>
      <c r="L556" s="20"/>
      <c r="M556" s="20"/>
      <c r="N556" s="20"/>
      <c r="O556" s="20"/>
      <c r="P556" s="20"/>
      <c r="Q556" s="19"/>
      <c r="R556" s="20"/>
      <c r="S556" s="20"/>
      <c r="T556" s="19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  <c r="AS556" s="19"/>
      <c r="AT556" s="19"/>
      <c r="AU556" s="19"/>
      <c r="AV556" s="19">
        <f t="shared" si="113"/>
        <v>0</v>
      </c>
      <c r="AW556" s="19">
        <f t="shared" si="114"/>
        <v>0</v>
      </c>
      <c r="AX556" s="19">
        <f t="shared" si="115"/>
        <v>0</v>
      </c>
    </row>
    <row r="557" spans="1:50" hidden="1" x14ac:dyDescent="0.5">
      <c r="A557" s="16">
        <v>21</v>
      </c>
      <c r="B557" s="15"/>
      <c r="C557" s="20"/>
      <c r="D557" s="20"/>
      <c r="E557" s="19"/>
      <c r="F557" s="20"/>
      <c r="G557" s="20"/>
      <c r="H557" s="19"/>
      <c r="I557" s="20"/>
      <c r="J557" s="20"/>
      <c r="K557" s="20"/>
      <c r="L557" s="20"/>
      <c r="M557" s="20"/>
      <c r="N557" s="20"/>
      <c r="O557" s="20"/>
      <c r="P557" s="20"/>
      <c r="Q557" s="19"/>
      <c r="R557" s="20"/>
      <c r="S557" s="20"/>
      <c r="T557" s="19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  <c r="AS557" s="19"/>
      <c r="AT557" s="19"/>
      <c r="AU557" s="19"/>
      <c r="AV557" s="19">
        <f>C557+F557+I557+L557+O557+R557+U557+X557+AA557+AG557+AJ557+AM557+AP557+AS557</f>
        <v>0</v>
      </c>
      <c r="AW557" s="19">
        <f>D557+G557+J557+M557+P557+S557+V557+Y557+AB557+AH557+AK557+AN557+AQ557+AT557</f>
        <v>0</v>
      </c>
      <c r="AX557" s="19">
        <f>E557+H557+K557+N557+Q557+T557+W557+Z557+AC557+AI557+AL557+AO557+AR557+AU557</f>
        <v>0</v>
      </c>
    </row>
    <row r="558" spans="1:50" hidden="1" x14ac:dyDescent="0.5">
      <c r="A558" s="16">
        <v>22</v>
      </c>
      <c r="B558" s="15"/>
      <c r="C558" s="20"/>
      <c r="D558" s="20"/>
      <c r="E558" s="19"/>
      <c r="F558" s="20"/>
      <c r="G558" s="20"/>
      <c r="H558" s="19"/>
      <c r="I558" s="20"/>
      <c r="J558" s="20"/>
      <c r="K558" s="20"/>
      <c r="L558" s="20"/>
      <c r="M558" s="20"/>
      <c r="N558" s="20"/>
      <c r="O558" s="20"/>
      <c r="P558" s="20"/>
      <c r="Q558" s="19"/>
      <c r="R558" s="20"/>
      <c r="S558" s="20"/>
      <c r="T558" s="19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  <c r="AS558" s="19"/>
      <c r="AT558" s="19"/>
      <c r="AU558" s="19"/>
      <c r="AV558" s="19">
        <f t="shared" ref="AV558:AV559" si="116">C558+F558+I558+L558+O558+R558+U558+X558+AA558+AG558+AJ558+AM558+AP558+AS558</f>
        <v>0</v>
      </c>
      <c r="AW558" s="19">
        <f t="shared" ref="AW558:AW559" si="117">D558+G558+J558+M558+P558+S558+V558+Y558+AB558+AH558+AK558+AN558+AQ558+AT558</f>
        <v>0</v>
      </c>
      <c r="AX558" s="19">
        <f t="shared" ref="AX558:AX559" si="118">E558+H558+K558+N558+Q558+T558+W558+Z558+AC558+AI558+AL558+AO558+AR558+AU558</f>
        <v>0</v>
      </c>
    </row>
    <row r="559" spans="1:50" hidden="1" x14ac:dyDescent="0.5">
      <c r="A559" s="16">
        <v>23</v>
      </c>
      <c r="B559" s="15"/>
      <c r="C559" s="20"/>
      <c r="D559" s="20"/>
      <c r="E559" s="19"/>
      <c r="F559" s="20"/>
      <c r="G559" s="20"/>
      <c r="H559" s="19"/>
      <c r="I559" s="20"/>
      <c r="J559" s="20"/>
      <c r="K559" s="20"/>
      <c r="L559" s="20"/>
      <c r="M559" s="20"/>
      <c r="N559" s="20"/>
      <c r="O559" s="20"/>
      <c r="P559" s="20"/>
      <c r="Q559" s="19"/>
      <c r="R559" s="20"/>
      <c r="S559" s="20"/>
      <c r="T559" s="19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19"/>
      <c r="AJ559" s="19"/>
      <c r="AK559" s="19"/>
      <c r="AL559" s="19"/>
      <c r="AM559" s="19"/>
      <c r="AN559" s="19"/>
      <c r="AO559" s="19"/>
      <c r="AP559" s="19"/>
      <c r="AQ559" s="19"/>
      <c r="AR559" s="19"/>
      <c r="AS559" s="19"/>
      <c r="AT559" s="19"/>
      <c r="AU559" s="19"/>
      <c r="AV559" s="19">
        <f t="shared" si="116"/>
        <v>0</v>
      </c>
      <c r="AW559" s="19">
        <f t="shared" si="117"/>
        <v>0</v>
      </c>
      <c r="AX559" s="19">
        <f t="shared" si="118"/>
        <v>0</v>
      </c>
    </row>
    <row r="560" spans="1:50" hidden="1" x14ac:dyDescent="0.5">
      <c r="A560" s="14"/>
      <c r="B560" s="13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8">
        <f>SUM(AA532:AA543)</f>
        <v>0</v>
      </c>
      <c r="AB560" s="18">
        <f>SUM(AB532:AB543)</f>
        <v>0</v>
      </c>
      <c r="AV560" s="182">
        <f>SUM(AV532:AV559)</f>
        <v>0</v>
      </c>
      <c r="AW560" s="182">
        <f>SUM(AW532:AW559)</f>
        <v>0</v>
      </c>
      <c r="AX560" s="182">
        <f t="shared" ref="AX560" si="119">SUM(AX532:AX559)</f>
        <v>0</v>
      </c>
    </row>
    <row r="561" spans="1:50" hidden="1" x14ac:dyDescent="0.5"/>
    <row r="562" spans="1:50" hidden="1" x14ac:dyDescent="0.5"/>
    <row r="563" spans="1:50" hidden="1" x14ac:dyDescent="0.5">
      <c r="A563" s="561" t="s">
        <v>381</v>
      </c>
      <c r="B563" s="561"/>
      <c r="C563" s="561"/>
      <c r="D563" s="561"/>
      <c r="E563" s="561"/>
      <c r="F563" s="561"/>
    </row>
    <row r="564" spans="1:50" hidden="1" x14ac:dyDescent="0.5">
      <c r="A564" s="561"/>
      <c r="B564" s="561"/>
      <c r="C564" s="561"/>
      <c r="D564" s="561"/>
      <c r="E564" s="561"/>
      <c r="F564" s="561"/>
    </row>
    <row r="565" spans="1:50" hidden="1" x14ac:dyDescent="0.5">
      <c r="A565" s="551" t="s">
        <v>118</v>
      </c>
      <c r="B565" s="552" t="s">
        <v>135</v>
      </c>
      <c r="C565" s="553"/>
      <c r="D565" s="553"/>
      <c r="E565" s="553"/>
      <c r="F565" s="553"/>
      <c r="G565" s="553"/>
      <c r="H565" s="553"/>
      <c r="I565" s="553"/>
      <c r="J565" s="553"/>
      <c r="K565" s="553"/>
      <c r="L565" s="553"/>
      <c r="M565" s="553"/>
      <c r="N565" s="553"/>
      <c r="O565" s="553"/>
      <c r="P565" s="553"/>
      <c r="Q565" s="553"/>
      <c r="R565" s="553"/>
      <c r="S565" s="553"/>
      <c r="T565" s="553"/>
      <c r="U565" s="553"/>
      <c r="V565" s="553"/>
      <c r="W565" s="553"/>
      <c r="X565" s="553"/>
      <c r="Y565" s="553"/>
      <c r="Z565" s="553"/>
      <c r="AA565" s="553"/>
      <c r="AB565" s="553"/>
      <c r="AC565" s="553"/>
      <c r="AD565" s="553"/>
      <c r="AE565" s="553"/>
      <c r="AF565" s="553"/>
      <c r="AG565" s="553"/>
      <c r="AH565" s="553"/>
      <c r="AI565" s="553"/>
      <c r="AJ565" s="553"/>
      <c r="AK565" s="553"/>
      <c r="AL565" s="553"/>
      <c r="AM565" s="553"/>
      <c r="AN565" s="553"/>
      <c r="AO565" s="553"/>
      <c r="AP565" s="553"/>
      <c r="AQ565" s="553"/>
      <c r="AR565" s="553"/>
      <c r="AS565" s="553"/>
      <c r="AT565" s="553"/>
      <c r="AU565" s="553"/>
      <c r="AV565" s="553"/>
      <c r="AW565" s="553"/>
      <c r="AX565" s="553"/>
    </row>
    <row r="566" spans="1:50" hidden="1" x14ac:dyDescent="0.5">
      <c r="A566" s="551"/>
      <c r="B566" s="552"/>
      <c r="C566" s="554" t="s">
        <v>124</v>
      </c>
      <c r="D566" s="555"/>
      <c r="E566" s="556"/>
      <c r="F566" s="554" t="s">
        <v>133</v>
      </c>
      <c r="G566" s="555"/>
      <c r="H566" s="556"/>
      <c r="I566" s="554" t="s">
        <v>132</v>
      </c>
      <c r="J566" s="555"/>
      <c r="K566" s="556"/>
      <c r="L566" s="554" t="s">
        <v>131</v>
      </c>
      <c r="M566" s="555"/>
      <c r="N566" s="556"/>
      <c r="O566" s="554" t="s">
        <v>130</v>
      </c>
      <c r="P566" s="555"/>
      <c r="Q566" s="556"/>
      <c r="R566" s="554" t="s">
        <v>129</v>
      </c>
      <c r="S566" s="555"/>
      <c r="T566" s="556"/>
      <c r="U566" s="554" t="s">
        <v>128</v>
      </c>
      <c r="V566" s="555"/>
      <c r="W566" s="556"/>
      <c r="X566" s="554" t="s">
        <v>127</v>
      </c>
      <c r="Y566" s="555"/>
      <c r="Z566" s="556"/>
      <c r="AA566" s="554" t="s">
        <v>126</v>
      </c>
      <c r="AB566" s="555"/>
      <c r="AC566" s="556"/>
      <c r="AD566" s="554" t="s">
        <v>378</v>
      </c>
      <c r="AE566" s="555"/>
      <c r="AF566" s="556"/>
      <c r="AG566" s="554" t="s">
        <v>125</v>
      </c>
      <c r="AH566" s="555"/>
      <c r="AI566" s="556"/>
      <c r="AJ566" s="554" t="s">
        <v>124</v>
      </c>
      <c r="AK566" s="555"/>
      <c r="AL566" s="556"/>
      <c r="AM566" s="554" t="s">
        <v>123</v>
      </c>
      <c r="AN566" s="555"/>
      <c r="AO566" s="556"/>
      <c r="AP566" s="554" t="s">
        <v>367</v>
      </c>
      <c r="AQ566" s="555"/>
      <c r="AR566" s="556"/>
      <c r="AS566" s="554" t="s">
        <v>368</v>
      </c>
      <c r="AT566" s="555"/>
      <c r="AU566" s="556"/>
      <c r="AV566" s="554" t="s">
        <v>122</v>
      </c>
      <c r="AW566" s="555"/>
      <c r="AX566" s="556"/>
    </row>
    <row r="567" spans="1:50" hidden="1" x14ac:dyDescent="0.5">
      <c r="A567" s="551"/>
      <c r="B567" s="552"/>
      <c r="C567" s="17" t="s">
        <v>109</v>
      </c>
      <c r="D567" s="17" t="s">
        <v>108</v>
      </c>
      <c r="E567" s="17" t="s">
        <v>348</v>
      </c>
      <c r="F567" s="17" t="s">
        <v>109</v>
      </c>
      <c r="G567" s="17" t="s">
        <v>108</v>
      </c>
      <c r="H567" s="17" t="s">
        <v>348</v>
      </c>
      <c r="I567" s="17" t="s">
        <v>109</v>
      </c>
      <c r="J567" s="17" t="s">
        <v>108</v>
      </c>
      <c r="K567" s="17" t="s">
        <v>348</v>
      </c>
      <c r="L567" s="17" t="s">
        <v>109</v>
      </c>
      <c r="M567" s="17" t="s">
        <v>108</v>
      </c>
      <c r="N567" s="17" t="s">
        <v>348</v>
      </c>
      <c r="O567" s="17" t="s">
        <v>109</v>
      </c>
      <c r="P567" s="17" t="s">
        <v>108</v>
      </c>
      <c r="Q567" s="17" t="s">
        <v>348</v>
      </c>
      <c r="R567" s="17" t="s">
        <v>109</v>
      </c>
      <c r="S567" s="17" t="s">
        <v>108</v>
      </c>
      <c r="T567" s="17" t="s">
        <v>348</v>
      </c>
      <c r="U567" s="17" t="s">
        <v>109</v>
      </c>
      <c r="V567" s="17" t="s">
        <v>108</v>
      </c>
      <c r="W567" s="17" t="s">
        <v>348</v>
      </c>
      <c r="X567" s="17" t="s">
        <v>109</v>
      </c>
      <c r="Y567" s="17" t="s">
        <v>108</v>
      </c>
      <c r="Z567" s="17" t="s">
        <v>348</v>
      </c>
      <c r="AA567" s="17" t="s">
        <v>109</v>
      </c>
      <c r="AB567" s="17" t="s">
        <v>108</v>
      </c>
      <c r="AC567" s="17" t="s">
        <v>348</v>
      </c>
      <c r="AD567" s="17"/>
      <c r="AE567" s="17"/>
      <c r="AF567" s="17"/>
      <c r="AG567" s="17" t="s">
        <v>109</v>
      </c>
      <c r="AH567" s="17" t="s">
        <v>108</v>
      </c>
      <c r="AI567" s="17" t="s">
        <v>348</v>
      </c>
      <c r="AJ567" s="17" t="s">
        <v>109</v>
      </c>
      <c r="AK567" s="17" t="s">
        <v>108</v>
      </c>
      <c r="AL567" s="17" t="s">
        <v>348</v>
      </c>
      <c r="AM567" s="17" t="s">
        <v>109</v>
      </c>
      <c r="AN567" s="17" t="s">
        <v>108</v>
      </c>
      <c r="AO567" s="17" t="s">
        <v>348</v>
      </c>
      <c r="AP567" s="17" t="s">
        <v>109</v>
      </c>
      <c r="AQ567" s="17" t="s">
        <v>108</v>
      </c>
      <c r="AR567" s="17" t="s">
        <v>348</v>
      </c>
      <c r="AS567" s="17" t="s">
        <v>109</v>
      </c>
      <c r="AT567" s="17" t="s">
        <v>108</v>
      </c>
      <c r="AU567" s="17" t="s">
        <v>348</v>
      </c>
      <c r="AV567" s="17" t="s">
        <v>109</v>
      </c>
      <c r="AW567" s="17" t="s">
        <v>108</v>
      </c>
      <c r="AX567" s="17" t="s">
        <v>348</v>
      </c>
    </row>
    <row r="568" spans="1:50" hidden="1" x14ac:dyDescent="0.5">
      <c r="A568" s="16">
        <v>1</v>
      </c>
      <c r="B568" s="15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  <c r="AR568" s="19"/>
      <c r="AS568" s="19"/>
      <c r="AT568" s="19"/>
      <c r="AU568" s="19"/>
      <c r="AV568" s="19">
        <f>C568+F568+I568+L568+O568+R568+U568+X568+AA568+AG568+AJ568+AM568+AP568+AS568</f>
        <v>0</v>
      </c>
      <c r="AW568" s="19">
        <f>D568+G568+J568+M568+P568+S568+V568+Y568+AB568+AH568+AK568+AN568+AQ568+AT568</f>
        <v>0</v>
      </c>
      <c r="AX568" s="19">
        <f>E568+H568+K568+N568+Q568+T568+W568+Z568+AC568+AI568+AL568+AO568+AR568+AU568</f>
        <v>0</v>
      </c>
    </row>
    <row r="569" spans="1:50" hidden="1" x14ac:dyDescent="0.5">
      <c r="A569" s="16">
        <v>2</v>
      </c>
      <c r="B569" s="15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21"/>
      <c r="P569" s="178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  <c r="AR569" s="19"/>
      <c r="AS569" s="19"/>
      <c r="AT569" s="19"/>
      <c r="AU569" s="19"/>
      <c r="AV569" s="19">
        <f t="shared" ref="AV569:AV592" si="120">C569+F569+I569+L569+O569+R569+U569+X569+AA569+AG569+AJ569+AM569</f>
        <v>0</v>
      </c>
      <c r="AW569" s="19">
        <f>D569+G569+J569+M569+P569+S569+V569+Y569+AB569+AH569+AK569+AN569+AE569</f>
        <v>0</v>
      </c>
      <c r="AX569" s="19">
        <f>E569+H569+K569+N569+Q569+T569+W569+Z569+AC569+AI569+AL569+AN569+AF569</f>
        <v>0</v>
      </c>
    </row>
    <row r="570" spans="1:50" hidden="1" x14ac:dyDescent="0.5">
      <c r="A570" s="16">
        <v>3</v>
      </c>
      <c r="B570" s="15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  <c r="AS570" s="19"/>
      <c r="AT570" s="19"/>
      <c r="AU570" s="19"/>
      <c r="AV570" s="19">
        <f t="shared" si="120"/>
        <v>0</v>
      </c>
      <c r="AW570" s="19">
        <f t="shared" ref="AW570:AW592" si="121">D570+G570+J570+M570+P570+S570+V570+Y570+AB570+AH570+AK570+AN570</f>
        <v>0</v>
      </c>
      <c r="AX570" s="19">
        <f t="shared" ref="AX570:AX592" si="122">E570+H570+K570+N570+Q570+T570+W570+Z570+AC570+AI570+AL570+AN570</f>
        <v>0</v>
      </c>
    </row>
    <row r="571" spans="1:50" hidden="1" x14ac:dyDescent="0.5">
      <c r="A571" s="16">
        <v>4</v>
      </c>
      <c r="B571" s="15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  <c r="AS571" s="19"/>
      <c r="AT571" s="19"/>
      <c r="AU571" s="19"/>
      <c r="AV571" s="19">
        <f t="shared" si="120"/>
        <v>0</v>
      </c>
      <c r="AW571" s="19">
        <f t="shared" si="121"/>
        <v>0</v>
      </c>
      <c r="AX571" s="19">
        <f t="shared" si="122"/>
        <v>0</v>
      </c>
    </row>
    <row r="572" spans="1:50" hidden="1" x14ac:dyDescent="0.5">
      <c r="A572" s="16">
        <v>5</v>
      </c>
      <c r="B572" s="15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  <c r="AR572" s="19"/>
      <c r="AS572" s="19"/>
      <c r="AT572" s="19"/>
      <c r="AU572" s="19"/>
      <c r="AV572" s="19">
        <f t="shared" si="120"/>
        <v>0</v>
      </c>
      <c r="AW572" s="19">
        <f t="shared" si="121"/>
        <v>0</v>
      </c>
      <c r="AX572" s="19">
        <f t="shared" si="122"/>
        <v>0</v>
      </c>
    </row>
    <row r="573" spans="1:50" hidden="1" x14ac:dyDescent="0.5">
      <c r="A573" s="16">
        <v>6</v>
      </c>
      <c r="B573" s="15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  <c r="AQ573" s="19"/>
      <c r="AR573" s="19"/>
      <c r="AS573" s="19"/>
      <c r="AT573" s="19"/>
      <c r="AU573" s="19"/>
      <c r="AV573" s="19">
        <f t="shared" si="120"/>
        <v>0</v>
      </c>
      <c r="AW573" s="19">
        <f t="shared" si="121"/>
        <v>0</v>
      </c>
      <c r="AX573" s="19">
        <f t="shared" si="122"/>
        <v>0</v>
      </c>
    </row>
    <row r="574" spans="1:50" hidden="1" x14ac:dyDescent="0.5">
      <c r="A574" s="16">
        <v>7</v>
      </c>
      <c r="B574" s="15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  <c r="AR574" s="19"/>
      <c r="AS574" s="19"/>
      <c r="AT574" s="19"/>
      <c r="AU574" s="19"/>
      <c r="AV574" s="19">
        <f t="shared" si="120"/>
        <v>0</v>
      </c>
      <c r="AW574" s="19">
        <f t="shared" si="121"/>
        <v>0</v>
      </c>
      <c r="AX574" s="19">
        <f t="shared" si="122"/>
        <v>0</v>
      </c>
    </row>
    <row r="575" spans="1:50" hidden="1" x14ac:dyDescent="0.5">
      <c r="A575" s="16">
        <v>8</v>
      </c>
      <c r="B575" s="15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  <c r="AR575" s="19"/>
      <c r="AS575" s="19"/>
      <c r="AT575" s="19"/>
      <c r="AU575" s="19"/>
      <c r="AV575" s="19">
        <f t="shared" si="120"/>
        <v>0</v>
      </c>
      <c r="AW575" s="19">
        <f t="shared" si="121"/>
        <v>0</v>
      </c>
      <c r="AX575" s="19">
        <f t="shared" si="122"/>
        <v>0</v>
      </c>
    </row>
    <row r="576" spans="1:50" hidden="1" x14ac:dyDescent="0.5">
      <c r="A576" s="16">
        <v>9</v>
      </c>
      <c r="B576" s="15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  <c r="AR576" s="19"/>
      <c r="AS576" s="19"/>
      <c r="AT576" s="19"/>
      <c r="AU576" s="19"/>
      <c r="AV576" s="19">
        <f t="shared" si="120"/>
        <v>0</v>
      </c>
      <c r="AW576" s="19">
        <f t="shared" si="121"/>
        <v>0</v>
      </c>
      <c r="AX576" s="19">
        <f t="shared" si="122"/>
        <v>0</v>
      </c>
    </row>
    <row r="577" spans="1:50" hidden="1" x14ac:dyDescent="0.5">
      <c r="A577" s="16">
        <v>8</v>
      </c>
      <c r="B577" s="15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  <c r="AR577" s="19"/>
      <c r="AS577" s="19"/>
      <c r="AT577" s="19"/>
      <c r="AU577" s="19"/>
      <c r="AV577" s="19">
        <f t="shared" si="120"/>
        <v>0</v>
      </c>
      <c r="AW577" s="19">
        <f t="shared" si="121"/>
        <v>0</v>
      </c>
      <c r="AX577" s="19">
        <f t="shared" si="122"/>
        <v>0</v>
      </c>
    </row>
    <row r="578" spans="1:50" hidden="1" x14ac:dyDescent="0.5">
      <c r="A578" s="16">
        <v>7</v>
      </c>
      <c r="B578" s="15"/>
      <c r="C578" s="20"/>
      <c r="D578" s="20"/>
      <c r="E578" s="19"/>
      <c r="F578" s="20"/>
      <c r="G578" s="20"/>
      <c r="H578" s="19"/>
      <c r="I578" s="20"/>
      <c r="J578" s="20"/>
      <c r="K578" s="20"/>
      <c r="L578" s="20"/>
      <c r="M578" s="20"/>
      <c r="N578" s="20"/>
      <c r="O578" s="20"/>
      <c r="P578" s="20"/>
      <c r="Q578" s="19"/>
      <c r="R578" s="20"/>
      <c r="S578" s="20"/>
      <c r="T578" s="19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  <c r="AS578" s="19"/>
      <c r="AT578" s="19"/>
      <c r="AU578" s="19"/>
      <c r="AV578" s="19">
        <f t="shared" si="120"/>
        <v>0</v>
      </c>
      <c r="AW578" s="19">
        <f t="shared" si="121"/>
        <v>0</v>
      </c>
      <c r="AX578" s="19">
        <f t="shared" si="122"/>
        <v>0</v>
      </c>
    </row>
    <row r="579" spans="1:50" hidden="1" x14ac:dyDescent="0.5">
      <c r="A579" s="16">
        <v>8</v>
      </c>
      <c r="B579" s="15"/>
      <c r="C579" s="20"/>
      <c r="D579" s="20"/>
      <c r="E579" s="19"/>
      <c r="F579" s="20"/>
      <c r="G579" s="20"/>
      <c r="H579" s="19"/>
      <c r="I579" s="20"/>
      <c r="J579" s="20"/>
      <c r="K579" s="20"/>
      <c r="L579" s="20"/>
      <c r="M579" s="20"/>
      <c r="N579" s="20"/>
      <c r="O579" s="20"/>
      <c r="P579" s="20"/>
      <c r="Q579" s="19"/>
      <c r="R579" s="20"/>
      <c r="S579" s="20"/>
      <c r="T579" s="19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19"/>
      <c r="AJ579" s="19"/>
      <c r="AK579" s="19"/>
      <c r="AL579" s="19"/>
      <c r="AM579" s="19"/>
      <c r="AN579" s="19"/>
      <c r="AO579" s="19"/>
      <c r="AP579" s="19"/>
      <c r="AQ579" s="19"/>
      <c r="AR579" s="19"/>
      <c r="AS579" s="19"/>
      <c r="AT579" s="19"/>
      <c r="AU579" s="19"/>
      <c r="AV579" s="19">
        <f t="shared" si="120"/>
        <v>0</v>
      </c>
      <c r="AW579" s="19">
        <f t="shared" si="121"/>
        <v>0</v>
      </c>
      <c r="AX579" s="19">
        <f t="shared" si="122"/>
        <v>0</v>
      </c>
    </row>
    <row r="580" spans="1:50" hidden="1" x14ac:dyDescent="0.5">
      <c r="A580" s="16">
        <v>9</v>
      </c>
      <c r="B580" s="15"/>
      <c r="C580" s="20"/>
      <c r="D580" s="20"/>
      <c r="E580" s="19"/>
      <c r="F580" s="20"/>
      <c r="G580" s="20"/>
      <c r="H580" s="19"/>
      <c r="I580" s="20"/>
      <c r="J580" s="20"/>
      <c r="K580" s="20"/>
      <c r="L580" s="20"/>
      <c r="M580" s="20"/>
      <c r="N580" s="20"/>
      <c r="O580" s="20"/>
      <c r="P580" s="20"/>
      <c r="Q580" s="19"/>
      <c r="R580" s="20"/>
      <c r="S580" s="20"/>
      <c r="T580" s="19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19"/>
      <c r="AJ580" s="19"/>
      <c r="AK580" s="19"/>
      <c r="AL580" s="19"/>
      <c r="AM580" s="19"/>
      <c r="AN580" s="19"/>
      <c r="AO580" s="19"/>
      <c r="AP580" s="19"/>
      <c r="AQ580" s="19"/>
      <c r="AR580" s="19"/>
      <c r="AS580" s="19"/>
      <c r="AT580" s="19"/>
      <c r="AU580" s="19"/>
      <c r="AV580" s="19">
        <f t="shared" si="120"/>
        <v>0</v>
      </c>
      <c r="AW580" s="19">
        <f t="shared" si="121"/>
        <v>0</v>
      </c>
      <c r="AX580" s="19">
        <f t="shared" si="122"/>
        <v>0</v>
      </c>
    </row>
    <row r="581" spans="1:50" hidden="1" x14ac:dyDescent="0.5">
      <c r="A581" s="16">
        <v>11</v>
      </c>
      <c r="B581" s="15"/>
      <c r="C581" s="20"/>
      <c r="D581" s="20"/>
      <c r="E581" s="19"/>
      <c r="F581" s="20"/>
      <c r="G581" s="20"/>
      <c r="H581" s="19"/>
      <c r="I581" s="20"/>
      <c r="J581" s="20"/>
      <c r="K581" s="20"/>
      <c r="L581" s="20"/>
      <c r="M581" s="20"/>
      <c r="N581" s="20"/>
      <c r="O581" s="20"/>
      <c r="P581" s="20"/>
      <c r="Q581" s="19"/>
      <c r="R581" s="20"/>
      <c r="S581" s="20"/>
      <c r="T581" s="19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19"/>
      <c r="AJ581" s="19"/>
      <c r="AK581" s="19"/>
      <c r="AL581" s="19"/>
      <c r="AM581" s="19"/>
      <c r="AN581" s="19"/>
      <c r="AO581" s="19"/>
      <c r="AP581" s="19"/>
      <c r="AQ581" s="19"/>
      <c r="AR581" s="19"/>
      <c r="AS581" s="19"/>
      <c r="AT581" s="19"/>
      <c r="AU581" s="19"/>
      <c r="AV581" s="19">
        <f t="shared" si="120"/>
        <v>0</v>
      </c>
      <c r="AW581" s="19">
        <f t="shared" si="121"/>
        <v>0</v>
      </c>
      <c r="AX581" s="19">
        <f t="shared" si="122"/>
        <v>0</v>
      </c>
    </row>
    <row r="582" spans="1:50" hidden="1" x14ac:dyDescent="0.5">
      <c r="A582" s="16">
        <v>10</v>
      </c>
      <c r="B582" s="15"/>
      <c r="C582" s="20"/>
      <c r="D582" s="20"/>
      <c r="E582" s="19"/>
      <c r="F582" s="20"/>
      <c r="G582" s="20"/>
      <c r="H582" s="19"/>
      <c r="I582" s="20"/>
      <c r="J582" s="20"/>
      <c r="K582" s="20"/>
      <c r="L582" s="20"/>
      <c r="M582" s="20"/>
      <c r="N582" s="20"/>
      <c r="O582" s="20"/>
      <c r="P582" s="20"/>
      <c r="Q582" s="19"/>
      <c r="R582" s="20"/>
      <c r="S582" s="20"/>
      <c r="T582" s="19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19"/>
      <c r="AJ582" s="19"/>
      <c r="AK582" s="19"/>
      <c r="AL582" s="19"/>
      <c r="AM582" s="19"/>
      <c r="AN582" s="19"/>
      <c r="AO582" s="19"/>
      <c r="AP582" s="19"/>
      <c r="AQ582" s="19"/>
      <c r="AR582" s="19"/>
      <c r="AS582" s="19"/>
      <c r="AT582" s="19"/>
      <c r="AU582" s="19"/>
      <c r="AV582" s="19">
        <f t="shared" si="120"/>
        <v>0</v>
      </c>
      <c r="AW582" s="19">
        <f t="shared" si="121"/>
        <v>0</v>
      </c>
      <c r="AX582" s="19">
        <f t="shared" si="122"/>
        <v>0</v>
      </c>
    </row>
    <row r="583" spans="1:50" hidden="1" x14ac:dyDescent="0.5">
      <c r="A583" s="16">
        <v>11</v>
      </c>
      <c r="B583" s="15"/>
      <c r="C583" s="20"/>
      <c r="D583" s="20"/>
      <c r="E583" s="19"/>
      <c r="F583" s="20"/>
      <c r="G583" s="20"/>
      <c r="H583" s="19"/>
      <c r="I583" s="20"/>
      <c r="J583" s="20"/>
      <c r="K583" s="20"/>
      <c r="L583" s="20"/>
      <c r="M583" s="20"/>
      <c r="N583" s="20"/>
      <c r="O583" s="20"/>
      <c r="P583" s="20"/>
      <c r="Q583" s="19"/>
      <c r="R583" s="20"/>
      <c r="S583" s="20"/>
      <c r="T583" s="19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  <c r="AI583" s="19"/>
      <c r="AJ583" s="19"/>
      <c r="AK583" s="19"/>
      <c r="AL583" s="19"/>
      <c r="AM583" s="19"/>
      <c r="AN583" s="19"/>
      <c r="AO583" s="19"/>
      <c r="AP583" s="19"/>
      <c r="AQ583" s="19"/>
      <c r="AR583" s="19"/>
      <c r="AS583" s="19"/>
      <c r="AT583" s="19"/>
      <c r="AU583" s="19"/>
      <c r="AV583" s="19">
        <f t="shared" si="120"/>
        <v>0</v>
      </c>
      <c r="AW583" s="19">
        <f t="shared" si="121"/>
        <v>0</v>
      </c>
      <c r="AX583" s="19">
        <f t="shared" si="122"/>
        <v>0</v>
      </c>
    </row>
    <row r="584" spans="1:50" hidden="1" x14ac:dyDescent="0.5">
      <c r="A584" s="16">
        <v>12</v>
      </c>
      <c r="B584" s="15"/>
      <c r="C584" s="20"/>
      <c r="D584" s="20"/>
      <c r="E584" s="19"/>
      <c r="F584" s="20"/>
      <c r="G584" s="20"/>
      <c r="H584" s="19"/>
      <c r="I584" s="20"/>
      <c r="J584" s="20"/>
      <c r="K584" s="20"/>
      <c r="L584" s="20"/>
      <c r="M584" s="20"/>
      <c r="N584" s="20"/>
      <c r="O584" s="20"/>
      <c r="P584" s="20"/>
      <c r="Q584" s="19"/>
      <c r="R584" s="20"/>
      <c r="S584" s="20"/>
      <c r="T584" s="19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19"/>
      <c r="AJ584" s="19"/>
      <c r="AK584" s="19"/>
      <c r="AL584" s="19"/>
      <c r="AM584" s="19"/>
      <c r="AN584" s="19"/>
      <c r="AO584" s="19"/>
      <c r="AP584" s="19"/>
      <c r="AQ584" s="19"/>
      <c r="AR584" s="19"/>
      <c r="AS584" s="19"/>
      <c r="AT584" s="19"/>
      <c r="AU584" s="19"/>
      <c r="AV584" s="19">
        <f t="shared" si="120"/>
        <v>0</v>
      </c>
      <c r="AW584" s="19">
        <f t="shared" si="121"/>
        <v>0</v>
      </c>
      <c r="AX584" s="19">
        <f t="shared" si="122"/>
        <v>0</v>
      </c>
    </row>
    <row r="585" spans="1:50" hidden="1" x14ac:dyDescent="0.5">
      <c r="A585" s="16">
        <v>13</v>
      </c>
      <c r="B585" s="15"/>
      <c r="C585" s="20"/>
      <c r="D585" s="20"/>
      <c r="E585" s="19"/>
      <c r="F585" s="20"/>
      <c r="G585" s="20"/>
      <c r="H585" s="19"/>
      <c r="I585" s="20"/>
      <c r="J585" s="20"/>
      <c r="K585" s="20"/>
      <c r="L585" s="20"/>
      <c r="M585" s="20"/>
      <c r="N585" s="20"/>
      <c r="O585" s="20"/>
      <c r="P585" s="20"/>
      <c r="Q585" s="19"/>
      <c r="R585" s="20"/>
      <c r="S585" s="20"/>
      <c r="T585" s="19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19"/>
      <c r="AJ585" s="19"/>
      <c r="AK585" s="19"/>
      <c r="AL585" s="19"/>
      <c r="AM585" s="19"/>
      <c r="AN585" s="19"/>
      <c r="AO585" s="19"/>
      <c r="AP585" s="19"/>
      <c r="AQ585" s="19"/>
      <c r="AR585" s="19"/>
      <c r="AS585" s="19"/>
      <c r="AT585" s="19"/>
      <c r="AU585" s="19"/>
      <c r="AV585" s="19">
        <f t="shared" si="120"/>
        <v>0</v>
      </c>
      <c r="AW585" s="19">
        <f t="shared" si="121"/>
        <v>0</v>
      </c>
      <c r="AX585" s="19">
        <f t="shared" si="122"/>
        <v>0</v>
      </c>
    </row>
    <row r="586" spans="1:50" hidden="1" x14ac:dyDescent="0.5">
      <c r="A586" s="16">
        <v>14</v>
      </c>
      <c r="B586" s="15"/>
      <c r="C586" s="20"/>
      <c r="D586" s="20"/>
      <c r="E586" s="19"/>
      <c r="F586" s="20"/>
      <c r="G586" s="20"/>
      <c r="H586" s="19"/>
      <c r="I586" s="20"/>
      <c r="J586" s="20"/>
      <c r="K586" s="20"/>
      <c r="L586" s="20"/>
      <c r="M586" s="20"/>
      <c r="N586" s="20"/>
      <c r="O586" s="20"/>
      <c r="P586" s="20"/>
      <c r="Q586" s="19"/>
      <c r="R586" s="20"/>
      <c r="S586" s="20"/>
      <c r="T586" s="19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19"/>
      <c r="AJ586" s="19"/>
      <c r="AK586" s="19"/>
      <c r="AL586" s="19"/>
      <c r="AM586" s="19"/>
      <c r="AN586" s="19"/>
      <c r="AO586" s="19"/>
      <c r="AP586" s="19"/>
      <c r="AQ586" s="19"/>
      <c r="AR586" s="19"/>
      <c r="AS586" s="19"/>
      <c r="AT586" s="19"/>
      <c r="AU586" s="19"/>
      <c r="AV586" s="19">
        <f t="shared" si="120"/>
        <v>0</v>
      </c>
      <c r="AW586" s="19">
        <f t="shared" si="121"/>
        <v>0</v>
      </c>
      <c r="AX586" s="19">
        <f t="shared" si="122"/>
        <v>0</v>
      </c>
    </row>
    <row r="587" spans="1:50" hidden="1" x14ac:dyDescent="0.5">
      <c r="A587" s="16">
        <v>15</v>
      </c>
      <c r="B587" s="15"/>
      <c r="C587" s="20"/>
      <c r="D587" s="20"/>
      <c r="E587" s="19"/>
      <c r="F587" s="20"/>
      <c r="G587" s="20"/>
      <c r="H587" s="19"/>
      <c r="I587" s="20"/>
      <c r="J587" s="20"/>
      <c r="K587" s="20"/>
      <c r="L587" s="20"/>
      <c r="M587" s="20"/>
      <c r="N587" s="20"/>
      <c r="O587" s="20"/>
      <c r="P587" s="20"/>
      <c r="Q587" s="19"/>
      <c r="R587" s="20"/>
      <c r="S587" s="20"/>
      <c r="T587" s="19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19"/>
      <c r="AJ587" s="19"/>
      <c r="AK587" s="19"/>
      <c r="AL587" s="19"/>
      <c r="AM587" s="19"/>
      <c r="AN587" s="19"/>
      <c r="AO587" s="19"/>
      <c r="AP587" s="19"/>
      <c r="AQ587" s="19"/>
      <c r="AR587" s="19"/>
      <c r="AS587" s="19"/>
      <c r="AT587" s="19"/>
      <c r="AU587" s="19"/>
      <c r="AV587" s="19">
        <f t="shared" si="120"/>
        <v>0</v>
      </c>
      <c r="AW587" s="19">
        <f t="shared" si="121"/>
        <v>0</v>
      </c>
      <c r="AX587" s="19">
        <f t="shared" si="122"/>
        <v>0</v>
      </c>
    </row>
    <row r="588" spans="1:50" hidden="1" x14ac:dyDescent="0.5">
      <c r="A588" s="16">
        <v>16</v>
      </c>
      <c r="B588" s="15"/>
      <c r="C588" s="20"/>
      <c r="D588" s="20"/>
      <c r="E588" s="19"/>
      <c r="F588" s="20"/>
      <c r="G588" s="20"/>
      <c r="H588" s="19"/>
      <c r="I588" s="20"/>
      <c r="J588" s="20"/>
      <c r="K588" s="20"/>
      <c r="L588" s="20"/>
      <c r="M588" s="20"/>
      <c r="N588" s="20"/>
      <c r="O588" s="20"/>
      <c r="P588" s="20"/>
      <c r="Q588" s="19"/>
      <c r="R588" s="20"/>
      <c r="S588" s="20"/>
      <c r="T588" s="19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19"/>
      <c r="AJ588" s="19"/>
      <c r="AK588" s="19"/>
      <c r="AL588" s="19"/>
      <c r="AM588" s="19"/>
      <c r="AN588" s="19"/>
      <c r="AO588" s="19"/>
      <c r="AP588" s="19"/>
      <c r="AQ588" s="19"/>
      <c r="AR588" s="19"/>
      <c r="AS588" s="19"/>
      <c r="AT588" s="19"/>
      <c r="AU588" s="19"/>
      <c r="AV588" s="19">
        <f t="shared" si="120"/>
        <v>0</v>
      </c>
      <c r="AW588" s="19">
        <f t="shared" si="121"/>
        <v>0</v>
      </c>
      <c r="AX588" s="19">
        <f t="shared" si="122"/>
        <v>0</v>
      </c>
    </row>
    <row r="589" spans="1:50" hidden="1" x14ac:dyDescent="0.5">
      <c r="A589" s="16">
        <v>17</v>
      </c>
      <c r="B589" s="15"/>
      <c r="C589" s="20"/>
      <c r="D589" s="20"/>
      <c r="E589" s="19"/>
      <c r="F589" s="20"/>
      <c r="G589" s="20"/>
      <c r="H589" s="19"/>
      <c r="I589" s="20"/>
      <c r="J589" s="20"/>
      <c r="K589" s="20"/>
      <c r="L589" s="20"/>
      <c r="M589" s="20"/>
      <c r="N589" s="20"/>
      <c r="O589" s="20"/>
      <c r="P589" s="20"/>
      <c r="Q589" s="19"/>
      <c r="R589" s="20"/>
      <c r="S589" s="20"/>
      <c r="T589" s="19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19"/>
      <c r="AJ589" s="19"/>
      <c r="AK589" s="19"/>
      <c r="AL589" s="19"/>
      <c r="AM589" s="19"/>
      <c r="AN589" s="19"/>
      <c r="AO589" s="19"/>
      <c r="AP589" s="19"/>
      <c r="AQ589" s="19"/>
      <c r="AR589" s="19"/>
      <c r="AS589" s="19"/>
      <c r="AT589" s="19"/>
      <c r="AU589" s="19"/>
      <c r="AV589" s="19">
        <f t="shared" si="120"/>
        <v>0</v>
      </c>
      <c r="AW589" s="19">
        <f t="shared" si="121"/>
        <v>0</v>
      </c>
      <c r="AX589" s="19">
        <f t="shared" si="122"/>
        <v>0</v>
      </c>
    </row>
    <row r="590" spans="1:50" hidden="1" x14ac:dyDescent="0.5">
      <c r="A590" s="16">
        <v>18</v>
      </c>
      <c r="B590" s="15"/>
      <c r="C590" s="20"/>
      <c r="D590" s="20"/>
      <c r="E590" s="19"/>
      <c r="F590" s="20"/>
      <c r="G590" s="20"/>
      <c r="H590" s="19"/>
      <c r="I590" s="20"/>
      <c r="J590" s="20"/>
      <c r="K590" s="20"/>
      <c r="L590" s="20"/>
      <c r="M590" s="20"/>
      <c r="N590" s="20"/>
      <c r="O590" s="20"/>
      <c r="P590" s="20"/>
      <c r="Q590" s="19"/>
      <c r="R590" s="20"/>
      <c r="S590" s="20"/>
      <c r="T590" s="19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19"/>
      <c r="AJ590" s="19"/>
      <c r="AK590" s="19"/>
      <c r="AL590" s="19"/>
      <c r="AM590" s="19"/>
      <c r="AN590" s="19"/>
      <c r="AO590" s="19"/>
      <c r="AP590" s="19"/>
      <c r="AQ590" s="19"/>
      <c r="AR590" s="19"/>
      <c r="AS590" s="19"/>
      <c r="AT590" s="19"/>
      <c r="AU590" s="19"/>
      <c r="AV590" s="19">
        <f t="shared" si="120"/>
        <v>0</v>
      </c>
      <c r="AW590" s="19">
        <f t="shared" si="121"/>
        <v>0</v>
      </c>
      <c r="AX590" s="19">
        <f t="shared" si="122"/>
        <v>0</v>
      </c>
    </row>
    <row r="591" spans="1:50" hidden="1" x14ac:dyDescent="0.5">
      <c r="A591" s="16">
        <v>19</v>
      </c>
      <c r="B591" s="15"/>
      <c r="C591" s="20"/>
      <c r="D591" s="20"/>
      <c r="E591" s="19"/>
      <c r="F591" s="20"/>
      <c r="G591" s="20"/>
      <c r="H591" s="19"/>
      <c r="I591" s="20"/>
      <c r="J591" s="20"/>
      <c r="K591" s="20"/>
      <c r="L591" s="20"/>
      <c r="M591" s="20"/>
      <c r="N591" s="20"/>
      <c r="O591" s="20"/>
      <c r="P591" s="20"/>
      <c r="Q591" s="19"/>
      <c r="R591" s="20"/>
      <c r="S591" s="20"/>
      <c r="T591" s="19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  <c r="AS591" s="19"/>
      <c r="AT591" s="19"/>
      <c r="AU591" s="19"/>
      <c r="AV591" s="19">
        <f t="shared" si="120"/>
        <v>0</v>
      </c>
      <c r="AW591" s="19">
        <f t="shared" si="121"/>
        <v>0</v>
      </c>
      <c r="AX591" s="19">
        <f t="shared" si="122"/>
        <v>0</v>
      </c>
    </row>
    <row r="592" spans="1:50" hidden="1" x14ac:dyDescent="0.5">
      <c r="A592" s="16">
        <v>20</v>
      </c>
      <c r="B592" s="15"/>
      <c r="C592" s="20"/>
      <c r="D592" s="20"/>
      <c r="E592" s="19"/>
      <c r="F592" s="20"/>
      <c r="G592" s="20"/>
      <c r="H592" s="19"/>
      <c r="I592" s="20"/>
      <c r="J592" s="20"/>
      <c r="K592" s="20"/>
      <c r="L592" s="20"/>
      <c r="M592" s="20"/>
      <c r="N592" s="20"/>
      <c r="O592" s="20"/>
      <c r="P592" s="20"/>
      <c r="Q592" s="19"/>
      <c r="R592" s="20"/>
      <c r="S592" s="20"/>
      <c r="T592" s="19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19"/>
      <c r="AJ592" s="19"/>
      <c r="AK592" s="19"/>
      <c r="AL592" s="19"/>
      <c r="AM592" s="19"/>
      <c r="AN592" s="19"/>
      <c r="AO592" s="19"/>
      <c r="AP592" s="19"/>
      <c r="AQ592" s="19"/>
      <c r="AR592" s="19"/>
      <c r="AS592" s="19"/>
      <c r="AT592" s="19"/>
      <c r="AU592" s="19"/>
      <c r="AV592" s="19">
        <f t="shared" si="120"/>
        <v>0</v>
      </c>
      <c r="AW592" s="19">
        <f t="shared" si="121"/>
        <v>0</v>
      </c>
      <c r="AX592" s="19">
        <f t="shared" si="122"/>
        <v>0</v>
      </c>
    </row>
    <row r="593" spans="1:50" hidden="1" x14ac:dyDescent="0.5">
      <c r="A593" s="16">
        <v>21</v>
      </c>
      <c r="B593" s="15"/>
      <c r="C593" s="20"/>
      <c r="D593" s="20"/>
      <c r="E593" s="19"/>
      <c r="F593" s="20"/>
      <c r="G593" s="20"/>
      <c r="H593" s="19"/>
      <c r="I593" s="20"/>
      <c r="J593" s="20"/>
      <c r="K593" s="20"/>
      <c r="L593" s="20"/>
      <c r="M593" s="20"/>
      <c r="N593" s="20"/>
      <c r="O593" s="20"/>
      <c r="P593" s="20"/>
      <c r="Q593" s="19"/>
      <c r="R593" s="20"/>
      <c r="S593" s="20"/>
      <c r="T593" s="19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19"/>
      <c r="AJ593" s="19"/>
      <c r="AK593" s="19"/>
      <c r="AL593" s="19"/>
      <c r="AM593" s="19"/>
      <c r="AN593" s="19"/>
      <c r="AO593" s="19"/>
      <c r="AP593" s="19"/>
      <c r="AQ593" s="19"/>
      <c r="AR593" s="19"/>
      <c r="AS593" s="19"/>
      <c r="AT593" s="19"/>
      <c r="AU593" s="19"/>
      <c r="AV593" s="19">
        <f>C593+F593+I593+L593+O593+R593+U593+X593+AA593+AG593+AJ593+AM593+AP593+AS593</f>
        <v>0</v>
      </c>
      <c r="AW593" s="19">
        <f>D593+G593+J593+M593+P593+S593+V593+Y593+AB593+AH593+AK593+AN593+AQ593+AT593</f>
        <v>0</v>
      </c>
      <c r="AX593" s="19">
        <f>E593+H593+K593+N593+Q593+T593+W593+Z593+AC593+AI593+AL593+AO593+AR593+AU593</f>
        <v>0</v>
      </c>
    </row>
    <row r="594" spans="1:50" hidden="1" x14ac:dyDescent="0.5">
      <c r="A594" s="16">
        <v>22</v>
      </c>
      <c r="B594" s="15"/>
      <c r="C594" s="20"/>
      <c r="D594" s="20"/>
      <c r="E594" s="19"/>
      <c r="F594" s="20"/>
      <c r="G594" s="20"/>
      <c r="H594" s="19"/>
      <c r="I594" s="20"/>
      <c r="J594" s="20"/>
      <c r="K594" s="20"/>
      <c r="L594" s="20"/>
      <c r="M594" s="20"/>
      <c r="N594" s="20"/>
      <c r="O594" s="20"/>
      <c r="P594" s="20"/>
      <c r="Q594" s="19"/>
      <c r="R594" s="20"/>
      <c r="S594" s="20"/>
      <c r="T594" s="19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  <c r="AS594" s="19"/>
      <c r="AT594" s="19"/>
      <c r="AU594" s="19"/>
      <c r="AV594" s="19">
        <f t="shared" ref="AV594:AV595" si="123">C594+F594+I594+L594+O594+R594+U594+X594+AA594+AG594+AJ594+AM594+AP594+AS594</f>
        <v>0</v>
      </c>
      <c r="AW594" s="19">
        <f t="shared" ref="AW594:AW595" si="124">D594+G594+J594+M594+P594+S594+V594+Y594+AB594+AH594+AK594+AN594+AQ594+AT594</f>
        <v>0</v>
      </c>
      <c r="AX594" s="19">
        <f t="shared" ref="AX594:AX595" si="125">E594+H594+K594+N594+Q594+T594+W594+Z594+AC594+AI594+AL594+AO594+AR594+AU594</f>
        <v>0</v>
      </c>
    </row>
    <row r="595" spans="1:50" hidden="1" x14ac:dyDescent="0.5">
      <c r="A595" s="16">
        <v>23</v>
      </c>
      <c r="B595" s="15"/>
      <c r="C595" s="20"/>
      <c r="D595" s="20"/>
      <c r="E595" s="19"/>
      <c r="F595" s="20"/>
      <c r="G595" s="20"/>
      <c r="H595" s="19"/>
      <c r="I595" s="20"/>
      <c r="J595" s="20"/>
      <c r="K595" s="20"/>
      <c r="L595" s="20"/>
      <c r="M595" s="20"/>
      <c r="N595" s="20"/>
      <c r="O595" s="20"/>
      <c r="P595" s="20"/>
      <c r="Q595" s="19"/>
      <c r="R595" s="20"/>
      <c r="S595" s="20"/>
      <c r="T595" s="19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  <c r="AI595" s="19"/>
      <c r="AJ595" s="19"/>
      <c r="AK595" s="19"/>
      <c r="AL595" s="19"/>
      <c r="AM595" s="19"/>
      <c r="AN595" s="19"/>
      <c r="AO595" s="19"/>
      <c r="AP595" s="19"/>
      <c r="AQ595" s="19"/>
      <c r="AR595" s="19"/>
      <c r="AS595" s="19"/>
      <c r="AT595" s="19"/>
      <c r="AU595" s="19"/>
      <c r="AV595" s="19">
        <f t="shared" si="123"/>
        <v>0</v>
      </c>
      <c r="AW595" s="19">
        <f t="shared" si="124"/>
        <v>0</v>
      </c>
      <c r="AX595" s="19">
        <f t="shared" si="125"/>
        <v>0</v>
      </c>
    </row>
    <row r="596" spans="1:50" hidden="1" x14ac:dyDescent="0.5">
      <c r="A596" s="14"/>
      <c r="B596" s="13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8">
        <f>SUM(AA568:AA579)</f>
        <v>0</v>
      </c>
      <c r="AB596" s="18">
        <f>SUM(AB568:AB579)</f>
        <v>0</v>
      </c>
      <c r="AV596" s="182">
        <f>SUM(AV568:AV595)</f>
        <v>0</v>
      </c>
      <c r="AW596" s="182">
        <f>SUM(AW568:AW595)</f>
        <v>0</v>
      </c>
      <c r="AX596" s="182">
        <f t="shared" ref="AX596" si="126">SUM(AX568:AX595)</f>
        <v>0</v>
      </c>
    </row>
    <row r="597" spans="1:50" hidden="1" x14ac:dyDescent="0.5"/>
    <row r="598" spans="1:50" hidden="1" x14ac:dyDescent="0.5"/>
    <row r="599" spans="1:50" hidden="1" x14ac:dyDescent="0.5">
      <c r="A599" s="550" t="s">
        <v>382</v>
      </c>
      <c r="B599" s="550"/>
    </row>
    <row r="600" spans="1:50" hidden="1" x14ac:dyDescent="0.5"/>
    <row r="601" spans="1:50" hidden="1" x14ac:dyDescent="0.5">
      <c r="A601" s="551" t="s">
        <v>118</v>
      </c>
      <c r="B601" s="552" t="s">
        <v>135</v>
      </c>
      <c r="C601" s="553"/>
      <c r="D601" s="553"/>
      <c r="E601" s="553"/>
      <c r="F601" s="553"/>
      <c r="G601" s="553"/>
      <c r="H601" s="553"/>
      <c r="I601" s="553"/>
      <c r="J601" s="553"/>
      <c r="K601" s="553"/>
      <c r="L601" s="553"/>
      <c r="M601" s="553"/>
      <c r="N601" s="553"/>
      <c r="O601" s="553"/>
      <c r="P601" s="553"/>
      <c r="Q601" s="553"/>
      <c r="R601" s="553"/>
      <c r="S601" s="553"/>
      <c r="T601" s="553"/>
      <c r="U601" s="553"/>
      <c r="V601" s="553"/>
      <c r="W601" s="553"/>
      <c r="X601" s="553"/>
      <c r="Y601" s="553"/>
      <c r="Z601" s="553"/>
      <c r="AA601" s="553"/>
      <c r="AB601" s="553"/>
      <c r="AC601" s="553"/>
      <c r="AD601" s="553"/>
      <c r="AE601" s="553"/>
      <c r="AF601" s="553"/>
      <c r="AG601" s="553"/>
      <c r="AH601" s="553"/>
      <c r="AI601" s="553"/>
      <c r="AJ601" s="553"/>
      <c r="AK601" s="553"/>
      <c r="AL601" s="553"/>
      <c r="AM601" s="553"/>
      <c r="AN601" s="553"/>
      <c r="AO601" s="553"/>
      <c r="AP601" s="553"/>
      <c r="AQ601" s="553"/>
      <c r="AR601" s="553"/>
      <c r="AS601" s="553"/>
      <c r="AT601" s="553"/>
      <c r="AU601" s="553"/>
      <c r="AV601" s="553"/>
      <c r="AW601" s="553"/>
      <c r="AX601" s="553"/>
    </row>
    <row r="602" spans="1:50" hidden="1" x14ac:dyDescent="0.5">
      <c r="A602" s="551"/>
      <c r="B602" s="552"/>
      <c r="C602" s="554" t="s">
        <v>124</v>
      </c>
      <c r="D602" s="555"/>
      <c r="E602" s="556"/>
      <c r="F602" s="554" t="s">
        <v>133</v>
      </c>
      <c r="G602" s="555"/>
      <c r="H602" s="556"/>
      <c r="I602" s="554" t="s">
        <v>132</v>
      </c>
      <c r="J602" s="555"/>
      <c r="K602" s="556"/>
      <c r="L602" s="554" t="s">
        <v>131</v>
      </c>
      <c r="M602" s="555"/>
      <c r="N602" s="556"/>
      <c r="O602" s="554" t="s">
        <v>130</v>
      </c>
      <c r="P602" s="555"/>
      <c r="Q602" s="556"/>
      <c r="R602" s="554" t="s">
        <v>129</v>
      </c>
      <c r="S602" s="555"/>
      <c r="T602" s="556"/>
      <c r="U602" s="554" t="s">
        <v>128</v>
      </c>
      <c r="V602" s="555"/>
      <c r="W602" s="556"/>
      <c r="X602" s="554" t="s">
        <v>127</v>
      </c>
      <c r="Y602" s="555"/>
      <c r="Z602" s="556"/>
      <c r="AA602" s="554" t="s">
        <v>126</v>
      </c>
      <c r="AB602" s="555"/>
      <c r="AC602" s="556"/>
      <c r="AD602" s="554" t="s">
        <v>378</v>
      </c>
      <c r="AE602" s="555"/>
      <c r="AF602" s="556"/>
      <c r="AG602" s="554" t="s">
        <v>125</v>
      </c>
      <c r="AH602" s="555"/>
      <c r="AI602" s="556"/>
      <c r="AJ602" s="554" t="s">
        <v>124</v>
      </c>
      <c r="AK602" s="555"/>
      <c r="AL602" s="556"/>
      <c r="AM602" s="554" t="s">
        <v>123</v>
      </c>
      <c r="AN602" s="555"/>
      <c r="AO602" s="556"/>
      <c r="AP602" s="554" t="s">
        <v>367</v>
      </c>
      <c r="AQ602" s="555"/>
      <c r="AR602" s="556"/>
      <c r="AS602" s="554" t="s">
        <v>368</v>
      </c>
      <c r="AT602" s="555"/>
      <c r="AU602" s="556"/>
      <c r="AV602" s="554" t="s">
        <v>122</v>
      </c>
      <c r="AW602" s="555"/>
      <c r="AX602" s="556"/>
    </row>
    <row r="603" spans="1:50" hidden="1" x14ac:dyDescent="0.5">
      <c r="A603" s="551"/>
      <c r="B603" s="552"/>
      <c r="C603" s="17" t="s">
        <v>109</v>
      </c>
      <c r="D603" s="17" t="s">
        <v>108</v>
      </c>
      <c r="E603" s="17" t="s">
        <v>348</v>
      </c>
      <c r="F603" s="17" t="s">
        <v>109</v>
      </c>
      <c r="G603" s="17" t="s">
        <v>108</v>
      </c>
      <c r="H603" s="17" t="s">
        <v>348</v>
      </c>
      <c r="I603" s="17" t="s">
        <v>109</v>
      </c>
      <c r="J603" s="17" t="s">
        <v>108</v>
      </c>
      <c r="K603" s="17" t="s">
        <v>348</v>
      </c>
      <c r="L603" s="17" t="s">
        <v>109</v>
      </c>
      <c r="M603" s="17" t="s">
        <v>108</v>
      </c>
      <c r="N603" s="17" t="s">
        <v>348</v>
      </c>
      <c r="O603" s="17" t="s">
        <v>109</v>
      </c>
      <c r="P603" s="17" t="s">
        <v>108</v>
      </c>
      <c r="Q603" s="17" t="s">
        <v>348</v>
      </c>
      <c r="R603" s="17" t="s">
        <v>109</v>
      </c>
      <c r="S603" s="17" t="s">
        <v>108</v>
      </c>
      <c r="T603" s="17" t="s">
        <v>348</v>
      </c>
      <c r="U603" s="17" t="s">
        <v>109</v>
      </c>
      <c r="V603" s="17" t="s">
        <v>108</v>
      </c>
      <c r="W603" s="17" t="s">
        <v>348</v>
      </c>
      <c r="X603" s="17" t="s">
        <v>109</v>
      </c>
      <c r="Y603" s="17" t="s">
        <v>108</v>
      </c>
      <c r="Z603" s="17" t="s">
        <v>348</v>
      </c>
      <c r="AA603" s="17" t="s">
        <v>109</v>
      </c>
      <c r="AB603" s="17" t="s">
        <v>108</v>
      </c>
      <c r="AC603" s="17" t="s">
        <v>348</v>
      </c>
      <c r="AD603" s="17"/>
      <c r="AE603" s="17"/>
      <c r="AF603" s="17"/>
      <c r="AG603" s="17" t="s">
        <v>109</v>
      </c>
      <c r="AH603" s="17" t="s">
        <v>108</v>
      </c>
      <c r="AI603" s="17" t="s">
        <v>348</v>
      </c>
      <c r="AJ603" s="17" t="s">
        <v>109</v>
      </c>
      <c r="AK603" s="17" t="s">
        <v>108</v>
      </c>
      <c r="AL603" s="17" t="s">
        <v>348</v>
      </c>
      <c r="AM603" s="17" t="s">
        <v>109</v>
      </c>
      <c r="AN603" s="17" t="s">
        <v>108</v>
      </c>
      <c r="AO603" s="17" t="s">
        <v>348</v>
      </c>
      <c r="AP603" s="17" t="s">
        <v>109</v>
      </c>
      <c r="AQ603" s="17" t="s">
        <v>108</v>
      </c>
      <c r="AR603" s="17" t="s">
        <v>348</v>
      </c>
      <c r="AS603" s="17" t="s">
        <v>109</v>
      </c>
      <c r="AT603" s="17" t="s">
        <v>108</v>
      </c>
      <c r="AU603" s="17" t="s">
        <v>348</v>
      </c>
      <c r="AV603" s="17" t="s">
        <v>109</v>
      </c>
      <c r="AW603" s="17" t="s">
        <v>108</v>
      </c>
      <c r="AX603" s="17" t="s">
        <v>348</v>
      </c>
    </row>
    <row r="604" spans="1:50" hidden="1" x14ac:dyDescent="0.5">
      <c r="A604" s="16"/>
      <c r="B604" s="15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  <c r="AR604" s="19"/>
      <c r="AS604" s="19"/>
      <c r="AT604" s="19"/>
      <c r="AU604" s="19"/>
      <c r="AV604" s="19">
        <f>C604+F604+I604+L604+O604+R604+U604+X604+AA604+AG604+AJ604+AM604+AP604+AS604</f>
        <v>0</v>
      </c>
      <c r="AW604" s="19">
        <f>D604+G604+J604+M604+P604+S604+V604+Y604+AB604+AH604+AK604+AN604+AQ604+AT604</f>
        <v>0</v>
      </c>
      <c r="AX604" s="19">
        <f>E604+H604+K604+N604+Q604+T604+W604+Z604+AC604+AI604+AL604+AO604+AR604+AU604</f>
        <v>0</v>
      </c>
    </row>
    <row r="605" spans="1:50" hidden="1" x14ac:dyDescent="0.5">
      <c r="A605" s="16"/>
      <c r="B605" s="15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21"/>
      <c r="P605" s="178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  <c r="AR605" s="19"/>
      <c r="AS605" s="19"/>
      <c r="AT605" s="19"/>
      <c r="AU605" s="19"/>
      <c r="AV605" s="19">
        <f t="shared" ref="AV605:AV628" si="127">C605+F605+I605+L605+O605+R605+U605+X605+AA605+AG605+AJ605+AM605</f>
        <v>0</v>
      </c>
      <c r="AW605" s="19">
        <f>D605+G605+J605+M605+P605+S605+V605+Y605+AB605+AH605+AK605+AN605+AE605</f>
        <v>0</v>
      </c>
      <c r="AX605" s="19">
        <f>E605+H605+K605+N605+Q605+T605+W605+Z605+AC605+AI605+AL605+AN605+AF605</f>
        <v>0</v>
      </c>
    </row>
    <row r="606" spans="1:50" hidden="1" x14ac:dyDescent="0.5">
      <c r="A606" s="16"/>
      <c r="B606" s="15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  <c r="AS606" s="19"/>
      <c r="AT606" s="19"/>
      <c r="AU606" s="19"/>
      <c r="AV606" s="19">
        <f t="shared" si="127"/>
        <v>0</v>
      </c>
      <c r="AW606" s="19">
        <f t="shared" ref="AW606:AW628" si="128">D606+G606+J606+M606+P606+S606+V606+Y606+AB606+AH606+AK606+AN606</f>
        <v>0</v>
      </c>
      <c r="AX606" s="19">
        <f t="shared" ref="AX606:AX628" si="129">E606+H606+K606+N606+Q606+T606+W606+Z606+AC606+AI606+AL606+AN606</f>
        <v>0</v>
      </c>
    </row>
    <row r="607" spans="1:50" hidden="1" x14ac:dyDescent="0.5">
      <c r="A607" s="16"/>
      <c r="B607" s="15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  <c r="AR607" s="19"/>
      <c r="AS607" s="19"/>
      <c r="AT607" s="19"/>
      <c r="AU607" s="19"/>
      <c r="AV607" s="19">
        <f t="shared" si="127"/>
        <v>0</v>
      </c>
      <c r="AW607" s="19">
        <f t="shared" si="128"/>
        <v>0</v>
      </c>
      <c r="AX607" s="19">
        <f t="shared" si="129"/>
        <v>0</v>
      </c>
    </row>
    <row r="608" spans="1:50" hidden="1" x14ac:dyDescent="0.5">
      <c r="A608" s="16"/>
      <c r="B608" s="15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  <c r="AS608" s="19"/>
      <c r="AT608" s="19"/>
      <c r="AU608" s="19"/>
      <c r="AV608" s="19">
        <f t="shared" si="127"/>
        <v>0</v>
      </c>
      <c r="AW608" s="19">
        <f t="shared" si="128"/>
        <v>0</v>
      </c>
      <c r="AX608" s="19">
        <f t="shared" si="129"/>
        <v>0</v>
      </c>
    </row>
    <row r="609" spans="1:50" hidden="1" x14ac:dyDescent="0.5">
      <c r="A609" s="16"/>
      <c r="B609" s="15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  <c r="AS609" s="19"/>
      <c r="AT609" s="19"/>
      <c r="AU609" s="19"/>
      <c r="AV609" s="19">
        <f t="shared" si="127"/>
        <v>0</v>
      </c>
      <c r="AW609" s="19">
        <f t="shared" si="128"/>
        <v>0</v>
      </c>
      <c r="AX609" s="19">
        <f t="shared" si="129"/>
        <v>0</v>
      </c>
    </row>
    <row r="610" spans="1:50" hidden="1" x14ac:dyDescent="0.5">
      <c r="A610" s="16"/>
      <c r="B610" s="15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  <c r="AS610" s="19"/>
      <c r="AT610" s="19"/>
      <c r="AU610" s="19"/>
      <c r="AV610" s="19">
        <f t="shared" si="127"/>
        <v>0</v>
      </c>
      <c r="AW610" s="19">
        <f t="shared" si="128"/>
        <v>0</v>
      </c>
      <c r="AX610" s="19">
        <f t="shared" si="129"/>
        <v>0</v>
      </c>
    </row>
    <row r="611" spans="1:50" hidden="1" x14ac:dyDescent="0.5">
      <c r="A611" s="16"/>
      <c r="B611" s="15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  <c r="AR611" s="19"/>
      <c r="AS611" s="19"/>
      <c r="AT611" s="19"/>
      <c r="AU611" s="19"/>
      <c r="AV611" s="19">
        <f t="shared" si="127"/>
        <v>0</v>
      </c>
      <c r="AW611" s="19">
        <f t="shared" si="128"/>
        <v>0</v>
      </c>
      <c r="AX611" s="19">
        <f t="shared" si="129"/>
        <v>0</v>
      </c>
    </row>
    <row r="612" spans="1:50" hidden="1" x14ac:dyDescent="0.5">
      <c r="A612" s="16"/>
      <c r="B612" s="15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  <c r="AS612" s="19"/>
      <c r="AT612" s="19"/>
      <c r="AU612" s="19"/>
      <c r="AV612" s="19">
        <f t="shared" si="127"/>
        <v>0</v>
      </c>
      <c r="AW612" s="19">
        <f t="shared" si="128"/>
        <v>0</v>
      </c>
      <c r="AX612" s="19">
        <f t="shared" si="129"/>
        <v>0</v>
      </c>
    </row>
    <row r="613" spans="1:50" hidden="1" x14ac:dyDescent="0.5">
      <c r="A613" s="16"/>
      <c r="B613" s="15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/>
      <c r="AR613" s="19"/>
      <c r="AS613" s="19"/>
      <c r="AT613" s="19"/>
      <c r="AU613" s="19"/>
      <c r="AV613" s="19">
        <f t="shared" si="127"/>
        <v>0</v>
      </c>
      <c r="AW613" s="19">
        <f t="shared" si="128"/>
        <v>0</v>
      </c>
      <c r="AX613" s="19">
        <f t="shared" si="129"/>
        <v>0</v>
      </c>
    </row>
    <row r="614" spans="1:50" hidden="1" x14ac:dyDescent="0.5">
      <c r="A614" s="16"/>
      <c r="B614" s="15"/>
      <c r="C614" s="20"/>
      <c r="D614" s="20"/>
      <c r="E614" s="19"/>
      <c r="F614" s="20"/>
      <c r="G614" s="20"/>
      <c r="H614" s="19"/>
      <c r="I614" s="20"/>
      <c r="J614" s="20"/>
      <c r="K614" s="20"/>
      <c r="L614" s="20"/>
      <c r="M614" s="20"/>
      <c r="N614" s="20"/>
      <c r="O614" s="20"/>
      <c r="P614" s="20"/>
      <c r="Q614" s="19"/>
      <c r="R614" s="20"/>
      <c r="S614" s="20"/>
      <c r="T614" s="19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19"/>
      <c r="AJ614" s="19"/>
      <c r="AK614" s="19"/>
      <c r="AL614" s="19"/>
      <c r="AM614" s="19"/>
      <c r="AN614" s="19"/>
      <c r="AO614" s="19"/>
      <c r="AP614" s="19"/>
      <c r="AQ614" s="19"/>
      <c r="AR614" s="19"/>
      <c r="AS614" s="19"/>
      <c r="AT614" s="19"/>
      <c r="AU614" s="19"/>
      <c r="AV614" s="19">
        <f t="shared" si="127"/>
        <v>0</v>
      </c>
      <c r="AW614" s="19">
        <f t="shared" si="128"/>
        <v>0</v>
      </c>
      <c r="AX614" s="19">
        <f t="shared" si="129"/>
        <v>0</v>
      </c>
    </row>
    <row r="615" spans="1:50" hidden="1" x14ac:dyDescent="0.5">
      <c r="A615" s="16"/>
      <c r="B615" s="15"/>
      <c r="C615" s="20"/>
      <c r="D615" s="20"/>
      <c r="E615" s="19"/>
      <c r="F615" s="20"/>
      <c r="G615" s="20"/>
      <c r="H615" s="19"/>
      <c r="I615" s="20"/>
      <c r="J615" s="20"/>
      <c r="K615" s="20"/>
      <c r="L615" s="20"/>
      <c r="M615" s="20"/>
      <c r="N615" s="20"/>
      <c r="O615" s="20"/>
      <c r="P615" s="20"/>
      <c r="Q615" s="19"/>
      <c r="R615" s="20"/>
      <c r="S615" s="20"/>
      <c r="T615" s="19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19"/>
      <c r="AJ615" s="19"/>
      <c r="AK615" s="19"/>
      <c r="AL615" s="19"/>
      <c r="AM615" s="19"/>
      <c r="AN615" s="19"/>
      <c r="AO615" s="19"/>
      <c r="AP615" s="19"/>
      <c r="AQ615" s="19"/>
      <c r="AR615" s="19"/>
      <c r="AS615" s="19"/>
      <c r="AT615" s="19"/>
      <c r="AU615" s="19"/>
      <c r="AV615" s="19">
        <f t="shared" si="127"/>
        <v>0</v>
      </c>
      <c r="AW615" s="19">
        <f t="shared" si="128"/>
        <v>0</v>
      </c>
      <c r="AX615" s="19">
        <f t="shared" si="129"/>
        <v>0</v>
      </c>
    </row>
    <row r="616" spans="1:50" hidden="1" x14ac:dyDescent="0.5">
      <c r="A616" s="16"/>
      <c r="B616" s="15"/>
      <c r="C616" s="20"/>
      <c r="D616" s="20"/>
      <c r="E616" s="19"/>
      <c r="F616" s="20"/>
      <c r="G616" s="20"/>
      <c r="H616" s="19"/>
      <c r="I616" s="20"/>
      <c r="J616" s="20"/>
      <c r="K616" s="20"/>
      <c r="L616" s="20"/>
      <c r="M616" s="20"/>
      <c r="N616" s="20"/>
      <c r="O616" s="20"/>
      <c r="P616" s="20"/>
      <c r="Q616" s="19"/>
      <c r="R616" s="20"/>
      <c r="S616" s="20"/>
      <c r="T616" s="19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19"/>
      <c r="AJ616" s="19"/>
      <c r="AK616" s="19"/>
      <c r="AL616" s="19"/>
      <c r="AM616" s="19"/>
      <c r="AN616" s="19"/>
      <c r="AO616" s="19"/>
      <c r="AP616" s="19"/>
      <c r="AQ616" s="19"/>
      <c r="AR616" s="19"/>
      <c r="AS616" s="19"/>
      <c r="AT616" s="19"/>
      <c r="AU616" s="19"/>
      <c r="AV616" s="19">
        <f t="shared" si="127"/>
        <v>0</v>
      </c>
      <c r="AW616" s="19">
        <f t="shared" si="128"/>
        <v>0</v>
      </c>
      <c r="AX616" s="19">
        <f t="shared" si="129"/>
        <v>0</v>
      </c>
    </row>
    <row r="617" spans="1:50" hidden="1" x14ac:dyDescent="0.5">
      <c r="A617" s="16"/>
      <c r="B617" s="15"/>
      <c r="C617" s="20"/>
      <c r="D617" s="20"/>
      <c r="E617" s="19"/>
      <c r="F617" s="20"/>
      <c r="G617" s="20"/>
      <c r="H617" s="19"/>
      <c r="I617" s="20"/>
      <c r="J617" s="20"/>
      <c r="K617" s="20"/>
      <c r="L617" s="20"/>
      <c r="M617" s="20"/>
      <c r="N617" s="20"/>
      <c r="O617" s="20"/>
      <c r="P617" s="20"/>
      <c r="Q617" s="19"/>
      <c r="R617" s="20"/>
      <c r="S617" s="20"/>
      <c r="T617" s="19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19"/>
      <c r="AJ617" s="19"/>
      <c r="AK617" s="19"/>
      <c r="AL617" s="19"/>
      <c r="AM617" s="19"/>
      <c r="AN617" s="19"/>
      <c r="AO617" s="19"/>
      <c r="AP617" s="19"/>
      <c r="AQ617" s="19"/>
      <c r="AR617" s="19"/>
      <c r="AS617" s="19"/>
      <c r="AT617" s="19"/>
      <c r="AU617" s="19"/>
      <c r="AV617" s="19">
        <f t="shared" si="127"/>
        <v>0</v>
      </c>
      <c r="AW617" s="19">
        <f t="shared" si="128"/>
        <v>0</v>
      </c>
      <c r="AX617" s="19">
        <f t="shared" si="129"/>
        <v>0</v>
      </c>
    </row>
    <row r="618" spans="1:50" hidden="1" x14ac:dyDescent="0.5">
      <c r="A618" s="16"/>
      <c r="B618" s="15"/>
      <c r="C618" s="20"/>
      <c r="D618" s="20"/>
      <c r="E618" s="19"/>
      <c r="F618" s="20"/>
      <c r="G618" s="20"/>
      <c r="H618" s="19"/>
      <c r="I618" s="20"/>
      <c r="J618" s="20"/>
      <c r="K618" s="20"/>
      <c r="L618" s="20"/>
      <c r="M618" s="20"/>
      <c r="N618" s="20"/>
      <c r="O618" s="20"/>
      <c r="P618" s="20"/>
      <c r="Q618" s="19"/>
      <c r="R618" s="20"/>
      <c r="S618" s="20"/>
      <c r="T618" s="19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  <c r="AI618" s="19"/>
      <c r="AJ618" s="19"/>
      <c r="AK618" s="19"/>
      <c r="AL618" s="19"/>
      <c r="AM618" s="19"/>
      <c r="AN618" s="19"/>
      <c r="AO618" s="19"/>
      <c r="AP618" s="19"/>
      <c r="AQ618" s="19"/>
      <c r="AR618" s="19"/>
      <c r="AS618" s="19"/>
      <c r="AT618" s="19"/>
      <c r="AU618" s="19"/>
      <c r="AV618" s="19">
        <f t="shared" si="127"/>
        <v>0</v>
      </c>
      <c r="AW618" s="19">
        <f t="shared" si="128"/>
        <v>0</v>
      </c>
      <c r="AX618" s="19">
        <f t="shared" si="129"/>
        <v>0</v>
      </c>
    </row>
    <row r="619" spans="1:50" hidden="1" x14ac:dyDescent="0.5">
      <c r="A619" s="16"/>
      <c r="B619" s="15"/>
      <c r="C619" s="20"/>
      <c r="D619" s="20"/>
      <c r="E619" s="19"/>
      <c r="F619" s="20"/>
      <c r="G619" s="20"/>
      <c r="H619" s="19"/>
      <c r="I619" s="20"/>
      <c r="J619" s="20"/>
      <c r="K619" s="20"/>
      <c r="L619" s="20"/>
      <c r="M619" s="20"/>
      <c r="N619" s="20"/>
      <c r="O619" s="20"/>
      <c r="P619" s="20"/>
      <c r="Q619" s="19"/>
      <c r="R619" s="20"/>
      <c r="S619" s="20"/>
      <c r="T619" s="19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  <c r="AI619" s="19"/>
      <c r="AJ619" s="19"/>
      <c r="AK619" s="19"/>
      <c r="AL619" s="19"/>
      <c r="AM619" s="19"/>
      <c r="AN619" s="19"/>
      <c r="AO619" s="19"/>
      <c r="AP619" s="19"/>
      <c r="AQ619" s="19"/>
      <c r="AR619" s="19"/>
      <c r="AS619" s="19"/>
      <c r="AT619" s="19"/>
      <c r="AU619" s="19"/>
      <c r="AV619" s="19">
        <f t="shared" si="127"/>
        <v>0</v>
      </c>
      <c r="AW619" s="19">
        <f t="shared" si="128"/>
        <v>0</v>
      </c>
      <c r="AX619" s="19">
        <f t="shared" si="129"/>
        <v>0</v>
      </c>
    </row>
    <row r="620" spans="1:50" hidden="1" x14ac:dyDescent="0.5">
      <c r="A620" s="16"/>
      <c r="B620" s="15"/>
      <c r="C620" s="20"/>
      <c r="D620" s="20"/>
      <c r="E620" s="19"/>
      <c r="F620" s="20"/>
      <c r="G620" s="20"/>
      <c r="H620" s="19"/>
      <c r="I620" s="20"/>
      <c r="J620" s="20"/>
      <c r="K620" s="20"/>
      <c r="L620" s="20"/>
      <c r="M620" s="20"/>
      <c r="N620" s="20"/>
      <c r="O620" s="20"/>
      <c r="P620" s="20"/>
      <c r="Q620" s="19"/>
      <c r="R620" s="20"/>
      <c r="S620" s="20"/>
      <c r="T620" s="19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19"/>
      <c r="AJ620" s="19"/>
      <c r="AK620" s="19"/>
      <c r="AL620" s="19"/>
      <c r="AM620" s="19"/>
      <c r="AN620" s="19"/>
      <c r="AO620" s="19"/>
      <c r="AP620" s="19"/>
      <c r="AQ620" s="19"/>
      <c r="AR620" s="19"/>
      <c r="AS620" s="19"/>
      <c r="AT620" s="19"/>
      <c r="AU620" s="19"/>
      <c r="AV620" s="19">
        <f t="shared" si="127"/>
        <v>0</v>
      </c>
      <c r="AW620" s="19">
        <f t="shared" si="128"/>
        <v>0</v>
      </c>
      <c r="AX620" s="19">
        <f t="shared" si="129"/>
        <v>0</v>
      </c>
    </row>
    <row r="621" spans="1:50" hidden="1" x14ac:dyDescent="0.5">
      <c r="A621" s="16"/>
      <c r="B621" s="15"/>
      <c r="C621" s="20"/>
      <c r="D621" s="20"/>
      <c r="E621" s="19"/>
      <c r="F621" s="20"/>
      <c r="G621" s="20"/>
      <c r="H621" s="19"/>
      <c r="I621" s="20"/>
      <c r="J621" s="20"/>
      <c r="K621" s="20"/>
      <c r="L621" s="20"/>
      <c r="M621" s="20"/>
      <c r="N621" s="20"/>
      <c r="O621" s="20"/>
      <c r="P621" s="20"/>
      <c r="Q621" s="19"/>
      <c r="R621" s="20"/>
      <c r="S621" s="20"/>
      <c r="T621" s="19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  <c r="AS621" s="19"/>
      <c r="AT621" s="19"/>
      <c r="AU621" s="19"/>
      <c r="AV621" s="19">
        <f t="shared" si="127"/>
        <v>0</v>
      </c>
      <c r="AW621" s="19">
        <f t="shared" si="128"/>
        <v>0</v>
      </c>
      <c r="AX621" s="19">
        <f t="shared" si="129"/>
        <v>0</v>
      </c>
    </row>
    <row r="622" spans="1:50" hidden="1" x14ac:dyDescent="0.5">
      <c r="A622" s="16"/>
      <c r="B622" s="15"/>
      <c r="C622" s="20"/>
      <c r="D622" s="20"/>
      <c r="E622" s="19"/>
      <c r="F622" s="20"/>
      <c r="G622" s="20"/>
      <c r="H622" s="19"/>
      <c r="I622" s="20"/>
      <c r="J622" s="20"/>
      <c r="K622" s="20"/>
      <c r="L622" s="20"/>
      <c r="M622" s="20"/>
      <c r="N622" s="20"/>
      <c r="O622" s="20"/>
      <c r="P622" s="20"/>
      <c r="Q622" s="19"/>
      <c r="R622" s="20"/>
      <c r="S622" s="20"/>
      <c r="T622" s="19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19"/>
      <c r="AJ622" s="19"/>
      <c r="AK622" s="19"/>
      <c r="AL622" s="19"/>
      <c r="AM622" s="19"/>
      <c r="AN622" s="19"/>
      <c r="AO622" s="19"/>
      <c r="AP622" s="19"/>
      <c r="AQ622" s="19"/>
      <c r="AR622" s="19"/>
      <c r="AS622" s="19"/>
      <c r="AT622" s="19"/>
      <c r="AU622" s="19"/>
      <c r="AV622" s="19">
        <f t="shared" si="127"/>
        <v>0</v>
      </c>
      <c r="AW622" s="19">
        <f t="shared" si="128"/>
        <v>0</v>
      </c>
      <c r="AX622" s="19">
        <f t="shared" si="129"/>
        <v>0</v>
      </c>
    </row>
    <row r="623" spans="1:50" hidden="1" x14ac:dyDescent="0.5">
      <c r="A623" s="16"/>
      <c r="B623" s="15"/>
      <c r="C623" s="20"/>
      <c r="D623" s="20"/>
      <c r="E623" s="19"/>
      <c r="F623" s="20"/>
      <c r="G623" s="20"/>
      <c r="H623" s="19"/>
      <c r="I623" s="20"/>
      <c r="J623" s="20"/>
      <c r="K623" s="20"/>
      <c r="L623" s="20"/>
      <c r="M623" s="20"/>
      <c r="N623" s="20"/>
      <c r="O623" s="20"/>
      <c r="P623" s="20"/>
      <c r="Q623" s="19"/>
      <c r="R623" s="20"/>
      <c r="S623" s="20"/>
      <c r="T623" s="19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  <c r="AS623" s="19"/>
      <c r="AT623" s="19"/>
      <c r="AU623" s="19"/>
      <c r="AV623" s="19">
        <f t="shared" si="127"/>
        <v>0</v>
      </c>
      <c r="AW623" s="19">
        <f t="shared" si="128"/>
        <v>0</v>
      </c>
      <c r="AX623" s="19">
        <f t="shared" si="129"/>
        <v>0</v>
      </c>
    </row>
    <row r="624" spans="1:50" hidden="1" x14ac:dyDescent="0.5">
      <c r="A624" s="16"/>
      <c r="B624" s="15"/>
      <c r="C624" s="20"/>
      <c r="D624" s="20"/>
      <c r="E624" s="19"/>
      <c r="F624" s="20"/>
      <c r="G624" s="20"/>
      <c r="H624" s="19"/>
      <c r="I624" s="20"/>
      <c r="J624" s="20"/>
      <c r="K624" s="20"/>
      <c r="L624" s="20"/>
      <c r="M624" s="20"/>
      <c r="N624" s="20"/>
      <c r="O624" s="20"/>
      <c r="P624" s="20"/>
      <c r="Q624" s="19"/>
      <c r="R624" s="20"/>
      <c r="S624" s="20"/>
      <c r="T624" s="19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19"/>
      <c r="AJ624" s="19"/>
      <c r="AK624" s="19"/>
      <c r="AL624" s="19"/>
      <c r="AM624" s="19"/>
      <c r="AN624" s="19"/>
      <c r="AO624" s="19"/>
      <c r="AP624" s="19"/>
      <c r="AQ624" s="19"/>
      <c r="AR624" s="19"/>
      <c r="AS624" s="19"/>
      <c r="AT624" s="19"/>
      <c r="AU624" s="19"/>
      <c r="AV624" s="19">
        <f t="shared" si="127"/>
        <v>0</v>
      </c>
      <c r="AW624" s="19">
        <f t="shared" si="128"/>
        <v>0</v>
      </c>
      <c r="AX624" s="19">
        <f t="shared" si="129"/>
        <v>0</v>
      </c>
    </row>
    <row r="625" spans="1:50" hidden="1" x14ac:dyDescent="0.5">
      <c r="A625" s="16"/>
      <c r="B625" s="15"/>
      <c r="C625" s="20"/>
      <c r="D625" s="20"/>
      <c r="E625" s="19"/>
      <c r="F625" s="20"/>
      <c r="G625" s="20"/>
      <c r="H625" s="19"/>
      <c r="I625" s="20"/>
      <c r="J625" s="20"/>
      <c r="K625" s="20"/>
      <c r="L625" s="20"/>
      <c r="M625" s="20"/>
      <c r="N625" s="20"/>
      <c r="O625" s="20"/>
      <c r="P625" s="20"/>
      <c r="Q625" s="19"/>
      <c r="R625" s="20"/>
      <c r="S625" s="20"/>
      <c r="T625" s="19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19"/>
      <c r="AJ625" s="19"/>
      <c r="AK625" s="19"/>
      <c r="AL625" s="19"/>
      <c r="AM625" s="19"/>
      <c r="AN625" s="19"/>
      <c r="AO625" s="19"/>
      <c r="AP625" s="19"/>
      <c r="AQ625" s="19"/>
      <c r="AR625" s="19"/>
      <c r="AS625" s="19"/>
      <c r="AT625" s="19"/>
      <c r="AU625" s="19"/>
      <c r="AV625" s="19">
        <f t="shared" si="127"/>
        <v>0</v>
      </c>
      <c r="AW625" s="19">
        <f t="shared" si="128"/>
        <v>0</v>
      </c>
      <c r="AX625" s="19">
        <f t="shared" si="129"/>
        <v>0</v>
      </c>
    </row>
    <row r="626" spans="1:50" hidden="1" x14ac:dyDescent="0.5">
      <c r="A626" s="16"/>
      <c r="B626" s="15"/>
      <c r="C626" s="20"/>
      <c r="D626" s="20"/>
      <c r="E626" s="19"/>
      <c r="F626" s="20"/>
      <c r="G626" s="20"/>
      <c r="H626" s="19"/>
      <c r="I626" s="20"/>
      <c r="J626" s="20"/>
      <c r="K626" s="20"/>
      <c r="L626" s="20"/>
      <c r="M626" s="20"/>
      <c r="N626" s="20"/>
      <c r="O626" s="20"/>
      <c r="P626" s="20"/>
      <c r="Q626" s="19"/>
      <c r="R626" s="20"/>
      <c r="S626" s="20"/>
      <c r="T626" s="19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  <c r="AS626" s="19"/>
      <c r="AT626" s="19"/>
      <c r="AU626" s="19"/>
      <c r="AV626" s="19">
        <f t="shared" si="127"/>
        <v>0</v>
      </c>
      <c r="AW626" s="19">
        <f t="shared" si="128"/>
        <v>0</v>
      </c>
      <c r="AX626" s="19">
        <f t="shared" si="129"/>
        <v>0</v>
      </c>
    </row>
    <row r="627" spans="1:50" hidden="1" x14ac:dyDescent="0.5">
      <c r="A627" s="16"/>
      <c r="B627" s="15"/>
      <c r="C627" s="20"/>
      <c r="D627" s="20"/>
      <c r="E627" s="19"/>
      <c r="F627" s="20"/>
      <c r="G627" s="20"/>
      <c r="H627" s="19"/>
      <c r="I627" s="20"/>
      <c r="J627" s="20"/>
      <c r="K627" s="20"/>
      <c r="L627" s="20"/>
      <c r="M627" s="20"/>
      <c r="N627" s="20"/>
      <c r="O627" s="20"/>
      <c r="P627" s="20"/>
      <c r="Q627" s="19"/>
      <c r="R627" s="20"/>
      <c r="S627" s="20"/>
      <c r="T627" s="19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  <c r="AS627" s="19"/>
      <c r="AT627" s="19"/>
      <c r="AU627" s="19"/>
      <c r="AV627" s="19">
        <f t="shared" si="127"/>
        <v>0</v>
      </c>
      <c r="AW627" s="19">
        <f t="shared" si="128"/>
        <v>0</v>
      </c>
      <c r="AX627" s="19">
        <f t="shared" si="129"/>
        <v>0</v>
      </c>
    </row>
    <row r="628" spans="1:50" hidden="1" x14ac:dyDescent="0.5">
      <c r="A628" s="16"/>
      <c r="B628" s="15"/>
      <c r="C628" s="20"/>
      <c r="D628" s="20"/>
      <c r="E628" s="19"/>
      <c r="F628" s="20"/>
      <c r="G628" s="20"/>
      <c r="H628" s="19"/>
      <c r="I628" s="20"/>
      <c r="J628" s="20"/>
      <c r="K628" s="20"/>
      <c r="L628" s="20"/>
      <c r="M628" s="20"/>
      <c r="N628" s="20"/>
      <c r="O628" s="20"/>
      <c r="P628" s="20"/>
      <c r="Q628" s="19"/>
      <c r="R628" s="20"/>
      <c r="S628" s="20"/>
      <c r="T628" s="19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19"/>
      <c r="AJ628" s="19"/>
      <c r="AK628" s="19"/>
      <c r="AL628" s="19"/>
      <c r="AM628" s="19"/>
      <c r="AN628" s="19"/>
      <c r="AO628" s="19"/>
      <c r="AP628" s="19"/>
      <c r="AQ628" s="19"/>
      <c r="AR628" s="19"/>
      <c r="AS628" s="19"/>
      <c r="AT628" s="19"/>
      <c r="AU628" s="19"/>
      <c r="AV628" s="19">
        <f t="shared" si="127"/>
        <v>0</v>
      </c>
      <c r="AW628" s="19">
        <f t="shared" si="128"/>
        <v>0</v>
      </c>
      <c r="AX628" s="19">
        <f t="shared" si="129"/>
        <v>0</v>
      </c>
    </row>
    <row r="629" spans="1:50" hidden="1" x14ac:dyDescent="0.5">
      <c r="A629" s="16"/>
      <c r="B629" s="15"/>
      <c r="C629" s="20"/>
      <c r="D629" s="20"/>
      <c r="E629" s="19"/>
      <c r="F629" s="20"/>
      <c r="G629" s="20"/>
      <c r="H629" s="19"/>
      <c r="I629" s="20"/>
      <c r="J629" s="20"/>
      <c r="K629" s="20"/>
      <c r="L629" s="20"/>
      <c r="M629" s="20"/>
      <c r="N629" s="20"/>
      <c r="O629" s="20"/>
      <c r="P629" s="20"/>
      <c r="Q629" s="19"/>
      <c r="R629" s="20"/>
      <c r="S629" s="20"/>
      <c r="T629" s="19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19"/>
      <c r="AJ629" s="19"/>
      <c r="AK629" s="19"/>
      <c r="AL629" s="19"/>
      <c r="AM629" s="19"/>
      <c r="AN629" s="19"/>
      <c r="AO629" s="19"/>
      <c r="AP629" s="19"/>
      <c r="AQ629" s="19"/>
      <c r="AR629" s="19"/>
      <c r="AS629" s="19"/>
      <c r="AT629" s="19"/>
      <c r="AU629" s="19"/>
      <c r="AV629" s="19">
        <f>C629+F629+I629+L629+O629+R629+U629+X629+AA629+AG629+AJ629+AM629+AP629+AS629</f>
        <v>0</v>
      </c>
      <c r="AW629" s="19">
        <f>D629+G629+J629+M629+P629+S629+V629+Y629+AB629+AH629+AK629+AN629+AQ629+AT629</f>
        <v>0</v>
      </c>
      <c r="AX629" s="19">
        <f>E629+H629+K629+N629+Q629+T629+W629+Z629+AC629+AI629+AL629+AO629+AR629+AU629</f>
        <v>0</v>
      </c>
    </row>
    <row r="630" spans="1:50" hidden="1" x14ac:dyDescent="0.5">
      <c r="A630" s="16"/>
      <c r="B630" s="15"/>
      <c r="C630" s="20"/>
      <c r="D630" s="20"/>
      <c r="E630" s="19"/>
      <c r="F630" s="20"/>
      <c r="G630" s="20"/>
      <c r="H630" s="19"/>
      <c r="I630" s="20"/>
      <c r="J630" s="20"/>
      <c r="K630" s="20"/>
      <c r="L630" s="20"/>
      <c r="M630" s="20"/>
      <c r="N630" s="20"/>
      <c r="O630" s="20"/>
      <c r="P630" s="20"/>
      <c r="Q630" s="19"/>
      <c r="R630" s="20"/>
      <c r="S630" s="20"/>
      <c r="T630" s="19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  <c r="AI630" s="19"/>
      <c r="AJ630" s="19"/>
      <c r="AK630" s="19"/>
      <c r="AL630" s="19"/>
      <c r="AM630" s="19"/>
      <c r="AN630" s="19"/>
      <c r="AO630" s="19"/>
      <c r="AP630" s="19"/>
      <c r="AQ630" s="19"/>
      <c r="AR630" s="19"/>
      <c r="AS630" s="19"/>
      <c r="AT630" s="19"/>
      <c r="AU630" s="19"/>
      <c r="AV630" s="19">
        <f t="shared" ref="AV630:AV631" si="130">C630+F630+I630+L630+O630+R630+U630+X630+AA630+AG630+AJ630+AM630+AP630+AS630</f>
        <v>0</v>
      </c>
      <c r="AW630" s="19">
        <f t="shared" ref="AW630:AW631" si="131">D630+G630+J630+M630+P630+S630+V630+Y630+AB630+AH630+AK630+AN630+AQ630+AT630</f>
        <v>0</v>
      </c>
      <c r="AX630" s="19">
        <f t="shared" ref="AX630:AX631" si="132">E630+H630+K630+N630+Q630+T630+W630+Z630+AC630+AI630+AL630+AO630+AR630+AU630</f>
        <v>0</v>
      </c>
    </row>
    <row r="631" spans="1:50" hidden="1" x14ac:dyDescent="0.5">
      <c r="A631" s="16"/>
      <c r="B631" s="15"/>
      <c r="C631" s="20"/>
      <c r="D631" s="20"/>
      <c r="E631" s="19"/>
      <c r="F631" s="20"/>
      <c r="G631" s="20"/>
      <c r="H631" s="19"/>
      <c r="I631" s="20"/>
      <c r="J631" s="20"/>
      <c r="K631" s="20"/>
      <c r="L631" s="20"/>
      <c r="M631" s="20"/>
      <c r="N631" s="20"/>
      <c r="O631" s="20"/>
      <c r="P631" s="20"/>
      <c r="Q631" s="19"/>
      <c r="R631" s="20"/>
      <c r="S631" s="20"/>
      <c r="T631" s="19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  <c r="AI631" s="19"/>
      <c r="AJ631" s="19"/>
      <c r="AK631" s="19"/>
      <c r="AL631" s="19"/>
      <c r="AM631" s="19"/>
      <c r="AN631" s="19"/>
      <c r="AO631" s="19"/>
      <c r="AP631" s="19"/>
      <c r="AQ631" s="19"/>
      <c r="AR631" s="19"/>
      <c r="AS631" s="19"/>
      <c r="AT631" s="19"/>
      <c r="AU631" s="19"/>
      <c r="AV631" s="19">
        <f t="shared" si="130"/>
        <v>0</v>
      </c>
      <c r="AW631" s="19">
        <f t="shared" si="131"/>
        <v>0</v>
      </c>
      <c r="AX631" s="19">
        <f t="shared" si="132"/>
        <v>0</v>
      </c>
    </row>
    <row r="632" spans="1:50" hidden="1" x14ac:dyDescent="0.5">
      <c r="A632" s="14"/>
      <c r="B632" s="13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8">
        <f>SUM(AA604:AA615)</f>
        <v>0</v>
      </c>
      <c r="AB632" s="18">
        <f>SUM(AB604:AB615)</f>
        <v>0</v>
      </c>
      <c r="AV632" s="182">
        <f>SUM(AV604:AV631)</f>
        <v>0</v>
      </c>
      <c r="AW632" s="182">
        <f>SUM(AW604:AW631)</f>
        <v>0</v>
      </c>
      <c r="AX632" s="182">
        <f t="shared" ref="AX632" si="133">SUM(AX604:AX631)</f>
        <v>0</v>
      </c>
    </row>
    <row r="633" spans="1:50" hidden="1" x14ac:dyDescent="0.5"/>
    <row r="634" spans="1:50" hidden="1" x14ac:dyDescent="0.5"/>
    <row r="635" spans="1:50" hidden="1" x14ac:dyDescent="0.5">
      <c r="A635" s="550" t="s">
        <v>384</v>
      </c>
      <c r="B635" s="550"/>
    </row>
    <row r="636" spans="1:50" hidden="1" x14ac:dyDescent="0.5"/>
    <row r="637" spans="1:50" hidden="1" x14ac:dyDescent="0.5">
      <c r="A637" s="551" t="s">
        <v>118</v>
      </c>
      <c r="B637" s="552" t="s">
        <v>135</v>
      </c>
      <c r="C637" s="553"/>
      <c r="D637" s="553"/>
      <c r="E637" s="553"/>
      <c r="F637" s="553"/>
      <c r="G637" s="553"/>
      <c r="H637" s="553"/>
      <c r="I637" s="553"/>
      <c r="J637" s="553"/>
      <c r="K637" s="553"/>
      <c r="L637" s="553"/>
      <c r="M637" s="553"/>
      <c r="N637" s="553"/>
      <c r="O637" s="553"/>
      <c r="P637" s="553"/>
      <c r="Q637" s="553"/>
      <c r="R637" s="553"/>
      <c r="S637" s="553"/>
      <c r="T637" s="553"/>
      <c r="U637" s="553"/>
      <c r="V637" s="553"/>
      <c r="W637" s="553"/>
      <c r="X637" s="553"/>
      <c r="Y637" s="553"/>
      <c r="Z637" s="553"/>
      <c r="AA637" s="553"/>
      <c r="AB637" s="553"/>
      <c r="AC637" s="553"/>
      <c r="AD637" s="553"/>
      <c r="AE637" s="553"/>
      <c r="AF637" s="553"/>
      <c r="AG637" s="553"/>
      <c r="AH637" s="553"/>
      <c r="AI637" s="553"/>
      <c r="AJ637" s="553"/>
      <c r="AK637" s="553"/>
      <c r="AL637" s="553"/>
      <c r="AM637" s="553"/>
      <c r="AN637" s="553"/>
      <c r="AO637" s="553"/>
      <c r="AP637" s="553"/>
      <c r="AQ637" s="553"/>
      <c r="AR637" s="553"/>
      <c r="AS637" s="553"/>
      <c r="AT637" s="553"/>
      <c r="AU637" s="553"/>
      <c r="AV637" s="553"/>
      <c r="AW637" s="553"/>
      <c r="AX637" s="553"/>
    </row>
    <row r="638" spans="1:50" hidden="1" x14ac:dyDescent="0.5">
      <c r="A638" s="551"/>
      <c r="B638" s="552"/>
      <c r="C638" s="554" t="s">
        <v>124</v>
      </c>
      <c r="D638" s="555"/>
      <c r="E638" s="556"/>
      <c r="F638" s="554" t="s">
        <v>133</v>
      </c>
      <c r="G638" s="555"/>
      <c r="H638" s="556"/>
      <c r="I638" s="554" t="s">
        <v>132</v>
      </c>
      <c r="J638" s="555"/>
      <c r="K638" s="556"/>
      <c r="L638" s="554" t="s">
        <v>131</v>
      </c>
      <c r="M638" s="555"/>
      <c r="N638" s="556"/>
      <c r="O638" s="554" t="s">
        <v>130</v>
      </c>
      <c r="P638" s="555"/>
      <c r="Q638" s="556"/>
      <c r="R638" s="554" t="s">
        <v>129</v>
      </c>
      <c r="S638" s="555"/>
      <c r="T638" s="556"/>
      <c r="U638" s="554" t="s">
        <v>128</v>
      </c>
      <c r="V638" s="555"/>
      <c r="W638" s="556"/>
      <c r="X638" s="554" t="s">
        <v>127</v>
      </c>
      <c r="Y638" s="555"/>
      <c r="Z638" s="556"/>
      <c r="AA638" s="554" t="s">
        <v>126</v>
      </c>
      <c r="AB638" s="555"/>
      <c r="AC638" s="556"/>
      <c r="AD638" s="554" t="s">
        <v>378</v>
      </c>
      <c r="AE638" s="555"/>
      <c r="AF638" s="556"/>
      <c r="AG638" s="554" t="s">
        <v>125</v>
      </c>
      <c r="AH638" s="555"/>
      <c r="AI638" s="556"/>
      <c r="AJ638" s="554" t="s">
        <v>124</v>
      </c>
      <c r="AK638" s="555"/>
      <c r="AL638" s="556"/>
      <c r="AM638" s="554" t="s">
        <v>123</v>
      </c>
      <c r="AN638" s="555"/>
      <c r="AO638" s="556"/>
      <c r="AP638" s="554" t="s">
        <v>367</v>
      </c>
      <c r="AQ638" s="555"/>
      <c r="AR638" s="556"/>
      <c r="AS638" s="554" t="s">
        <v>368</v>
      </c>
      <c r="AT638" s="555"/>
      <c r="AU638" s="556"/>
      <c r="AV638" s="554" t="s">
        <v>122</v>
      </c>
      <c r="AW638" s="555"/>
      <c r="AX638" s="556"/>
    </row>
    <row r="639" spans="1:50" hidden="1" x14ac:dyDescent="0.5">
      <c r="A639" s="551"/>
      <c r="B639" s="552"/>
      <c r="C639" s="17" t="s">
        <v>109</v>
      </c>
      <c r="D639" s="17" t="s">
        <v>108</v>
      </c>
      <c r="E639" s="17" t="s">
        <v>348</v>
      </c>
      <c r="F639" s="17" t="s">
        <v>109</v>
      </c>
      <c r="G639" s="17" t="s">
        <v>108</v>
      </c>
      <c r="H639" s="17" t="s">
        <v>348</v>
      </c>
      <c r="I639" s="17" t="s">
        <v>109</v>
      </c>
      <c r="J639" s="17" t="s">
        <v>108</v>
      </c>
      <c r="K639" s="17" t="s">
        <v>348</v>
      </c>
      <c r="L639" s="17" t="s">
        <v>109</v>
      </c>
      <c r="M639" s="17" t="s">
        <v>108</v>
      </c>
      <c r="N639" s="17" t="s">
        <v>348</v>
      </c>
      <c r="O639" s="17" t="s">
        <v>109</v>
      </c>
      <c r="P639" s="17" t="s">
        <v>108</v>
      </c>
      <c r="Q639" s="17" t="s">
        <v>348</v>
      </c>
      <c r="R639" s="17" t="s">
        <v>109</v>
      </c>
      <c r="S639" s="17" t="s">
        <v>108</v>
      </c>
      <c r="T639" s="17" t="s">
        <v>348</v>
      </c>
      <c r="U639" s="17" t="s">
        <v>109</v>
      </c>
      <c r="V639" s="17" t="s">
        <v>108</v>
      </c>
      <c r="W639" s="17" t="s">
        <v>348</v>
      </c>
      <c r="X639" s="17" t="s">
        <v>109</v>
      </c>
      <c r="Y639" s="17" t="s">
        <v>108</v>
      </c>
      <c r="Z639" s="17" t="s">
        <v>348</v>
      </c>
      <c r="AA639" s="17" t="s">
        <v>109</v>
      </c>
      <c r="AB639" s="17" t="s">
        <v>108</v>
      </c>
      <c r="AC639" s="17" t="s">
        <v>348</v>
      </c>
      <c r="AD639" s="17"/>
      <c r="AE639" s="17"/>
      <c r="AF639" s="17"/>
      <c r="AG639" s="17" t="s">
        <v>109</v>
      </c>
      <c r="AH639" s="17" t="s">
        <v>108</v>
      </c>
      <c r="AI639" s="17" t="s">
        <v>348</v>
      </c>
      <c r="AJ639" s="17" t="s">
        <v>109</v>
      </c>
      <c r="AK639" s="17" t="s">
        <v>108</v>
      </c>
      <c r="AL639" s="17" t="s">
        <v>348</v>
      </c>
      <c r="AM639" s="17" t="s">
        <v>109</v>
      </c>
      <c r="AN639" s="17" t="s">
        <v>108</v>
      </c>
      <c r="AO639" s="17" t="s">
        <v>348</v>
      </c>
      <c r="AP639" s="17" t="s">
        <v>109</v>
      </c>
      <c r="AQ639" s="17" t="s">
        <v>108</v>
      </c>
      <c r="AR639" s="17" t="s">
        <v>348</v>
      </c>
      <c r="AS639" s="17" t="s">
        <v>109</v>
      </c>
      <c r="AT639" s="17" t="s">
        <v>108</v>
      </c>
      <c r="AU639" s="17" t="s">
        <v>348</v>
      </c>
      <c r="AV639" s="17" t="s">
        <v>109</v>
      </c>
      <c r="AW639" s="17" t="s">
        <v>108</v>
      </c>
      <c r="AX639" s="17" t="s">
        <v>348</v>
      </c>
    </row>
    <row r="640" spans="1:50" hidden="1" x14ac:dyDescent="0.5">
      <c r="A640" s="16"/>
      <c r="B640" s="15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  <c r="AS640" s="19"/>
      <c r="AT640" s="19"/>
      <c r="AU640" s="19"/>
      <c r="AV640" s="19">
        <f>C640+F640+I640+L640+O640+R640+U640+X640+AA640+AG640+AJ640+AM640+AP640+AS640</f>
        <v>0</v>
      </c>
      <c r="AW640" s="19">
        <f>D640+G640+J640+M640+P640+S640+V640+Y640+AB640+AH640+AK640+AN640+AQ640+AT640</f>
        <v>0</v>
      </c>
      <c r="AX640" s="19">
        <f>E640+H640+K640+N640+Q640+T640+W640+Z640+AC640+AI640+AL640+AO640+AR640+AU640</f>
        <v>0</v>
      </c>
    </row>
    <row r="641" spans="1:50" hidden="1" x14ac:dyDescent="0.5">
      <c r="A641" s="16"/>
      <c r="B641" s="15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21"/>
      <c r="P641" s="178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  <c r="AQ641" s="19"/>
      <c r="AR641" s="19"/>
      <c r="AS641" s="19"/>
      <c r="AT641" s="19"/>
      <c r="AU641" s="19"/>
      <c r="AV641" s="19">
        <f t="shared" ref="AV641:AV665" si="134">C641+F641+I641+L641+O641+R641+U641+X641+AA641+AG641+AJ641+AM641</f>
        <v>0</v>
      </c>
      <c r="AW641" s="19">
        <f>D641+G641+J641+M641+P641+S641+V641+Y641+AB641+AH641+AK641+AN641+AE641</f>
        <v>0</v>
      </c>
      <c r="AX641" s="19">
        <f>E641+H641+K641+N641+Q641+T641+W641+Z641+AC641+AI641+AL641+AN641+AF641</f>
        <v>0</v>
      </c>
    </row>
    <row r="642" spans="1:50" hidden="1" x14ac:dyDescent="0.5">
      <c r="A642" s="16"/>
      <c r="B642" s="15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  <c r="AQ642" s="19"/>
      <c r="AR642" s="19"/>
      <c r="AS642" s="19"/>
      <c r="AT642" s="19"/>
      <c r="AU642" s="19"/>
      <c r="AV642" s="19">
        <f t="shared" si="134"/>
        <v>0</v>
      </c>
      <c r="AW642" s="19">
        <f t="shared" ref="AW642:AW665" si="135">D642+G642+J642+M642+P642+S642+V642+Y642+AB642+AH642+AK642+AN642</f>
        <v>0</v>
      </c>
      <c r="AX642" s="19">
        <f t="shared" ref="AX642:AX665" si="136">E642+H642+K642+N642+Q642+T642+W642+Z642+AC642+AI642+AL642+AN642</f>
        <v>0</v>
      </c>
    </row>
    <row r="643" spans="1:50" hidden="1" x14ac:dyDescent="0.5">
      <c r="A643" s="16"/>
      <c r="B643" s="15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  <c r="AQ643" s="19"/>
      <c r="AR643" s="19"/>
      <c r="AS643" s="19"/>
      <c r="AT643" s="19"/>
      <c r="AU643" s="19"/>
      <c r="AV643" s="19">
        <f t="shared" si="134"/>
        <v>0</v>
      </c>
      <c r="AW643" s="19">
        <f t="shared" si="135"/>
        <v>0</v>
      </c>
      <c r="AX643" s="19">
        <f t="shared" si="136"/>
        <v>0</v>
      </c>
    </row>
    <row r="644" spans="1:50" hidden="1" x14ac:dyDescent="0.5">
      <c r="A644" s="16"/>
      <c r="B644" s="15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  <c r="AQ644" s="19"/>
      <c r="AR644" s="19"/>
      <c r="AS644" s="19"/>
      <c r="AT644" s="19"/>
      <c r="AU644" s="19"/>
      <c r="AV644" s="19">
        <f t="shared" si="134"/>
        <v>0</v>
      </c>
      <c r="AW644" s="19">
        <f t="shared" si="135"/>
        <v>0</v>
      </c>
      <c r="AX644" s="19">
        <f t="shared" si="136"/>
        <v>0</v>
      </c>
    </row>
    <row r="645" spans="1:50" hidden="1" x14ac:dyDescent="0.5">
      <c r="A645" s="16"/>
      <c r="B645" s="15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  <c r="AQ645" s="19"/>
      <c r="AR645" s="19"/>
      <c r="AS645" s="19"/>
      <c r="AT645" s="19"/>
      <c r="AU645" s="19"/>
      <c r="AV645" s="19">
        <f t="shared" si="134"/>
        <v>0</v>
      </c>
      <c r="AW645" s="19">
        <f t="shared" si="135"/>
        <v>0</v>
      </c>
      <c r="AX645" s="19">
        <f t="shared" si="136"/>
        <v>0</v>
      </c>
    </row>
    <row r="646" spans="1:50" hidden="1" x14ac:dyDescent="0.5">
      <c r="A646" s="16"/>
      <c r="B646" s="15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  <c r="AR646" s="19"/>
      <c r="AS646" s="19"/>
      <c r="AT646" s="19"/>
      <c r="AU646" s="19"/>
      <c r="AV646" s="19">
        <f t="shared" si="134"/>
        <v>0</v>
      </c>
      <c r="AW646" s="19">
        <f t="shared" si="135"/>
        <v>0</v>
      </c>
      <c r="AX646" s="19">
        <f t="shared" si="136"/>
        <v>0</v>
      </c>
    </row>
    <row r="647" spans="1:50" hidden="1" x14ac:dyDescent="0.5">
      <c r="A647" s="16"/>
      <c r="B647" s="15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  <c r="AR647" s="19"/>
      <c r="AS647" s="19"/>
      <c r="AT647" s="19"/>
      <c r="AU647" s="19"/>
      <c r="AV647" s="19">
        <f t="shared" si="134"/>
        <v>0</v>
      </c>
      <c r="AW647" s="19">
        <f t="shared" si="135"/>
        <v>0</v>
      </c>
      <c r="AX647" s="19">
        <f t="shared" si="136"/>
        <v>0</v>
      </c>
    </row>
    <row r="648" spans="1:50" hidden="1" x14ac:dyDescent="0.5">
      <c r="A648" s="16"/>
      <c r="B648" s="15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  <c r="AR648" s="19"/>
      <c r="AS648" s="19"/>
      <c r="AT648" s="19"/>
      <c r="AU648" s="19"/>
      <c r="AV648" s="19">
        <f t="shared" si="134"/>
        <v>0</v>
      </c>
      <c r="AW648" s="19">
        <f t="shared" si="135"/>
        <v>0</v>
      </c>
      <c r="AX648" s="19">
        <f t="shared" si="136"/>
        <v>0</v>
      </c>
    </row>
    <row r="649" spans="1:50" hidden="1" x14ac:dyDescent="0.5">
      <c r="A649" s="16"/>
      <c r="B649" s="15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  <c r="AQ649" s="19"/>
      <c r="AR649" s="19"/>
      <c r="AS649" s="19"/>
      <c r="AT649" s="19"/>
      <c r="AU649" s="19"/>
      <c r="AV649" s="19">
        <f t="shared" si="134"/>
        <v>0</v>
      </c>
      <c r="AW649" s="19">
        <f t="shared" si="135"/>
        <v>0</v>
      </c>
      <c r="AX649" s="19">
        <f t="shared" si="136"/>
        <v>0</v>
      </c>
    </row>
    <row r="650" spans="1:50" hidden="1" x14ac:dyDescent="0.5">
      <c r="A650" s="16"/>
      <c r="B650" s="15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  <c r="AQ650" s="19"/>
      <c r="AR650" s="19"/>
      <c r="AS650" s="19"/>
      <c r="AT650" s="19"/>
      <c r="AU650" s="19"/>
      <c r="AV650" s="19">
        <f t="shared" si="134"/>
        <v>0</v>
      </c>
      <c r="AW650" s="19">
        <f t="shared" si="135"/>
        <v>0</v>
      </c>
      <c r="AX650" s="19">
        <f t="shared" si="136"/>
        <v>0</v>
      </c>
    </row>
    <row r="651" spans="1:50" hidden="1" x14ac:dyDescent="0.5">
      <c r="A651" s="16"/>
      <c r="B651" s="15"/>
      <c r="C651" s="20"/>
      <c r="D651" s="20"/>
      <c r="E651" s="19"/>
      <c r="F651" s="20"/>
      <c r="G651" s="20"/>
      <c r="H651" s="19"/>
      <c r="I651" s="20"/>
      <c r="J651" s="20"/>
      <c r="K651" s="20"/>
      <c r="L651" s="20"/>
      <c r="M651" s="20"/>
      <c r="N651" s="20"/>
      <c r="O651" s="20"/>
      <c r="P651" s="20"/>
      <c r="Q651" s="19"/>
      <c r="R651" s="20"/>
      <c r="S651" s="20"/>
      <c r="T651" s="19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19"/>
      <c r="AJ651" s="19"/>
      <c r="AK651" s="19"/>
      <c r="AL651" s="19"/>
      <c r="AM651" s="19"/>
      <c r="AN651" s="19"/>
      <c r="AO651" s="19"/>
      <c r="AP651" s="19"/>
      <c r="AQ651" s="19"/>
      <c r="AR651" s="19"/>
      <c r="AS651" s="19"/>
      <c r="AT651" s="19"/>
      <c r="AU651" s="19"/>
      <c r="AV651" s="19">
        <f t="shared" si="134"/>
        <v>0</v>
      </c>
      <c r="AW651" s="19">
        <f t="shared" si="135"/>
        <v>0</v>
      </c>
      <c r="AX651" s="19">
        <f t="shared" si="136"/>
        <v>0</v>
      </c>
    </row>
    <row r="652" spans="1:50" hidden="1" x14ac:dyDescent="0.5">
      <c r="A652" s="16"/>
      <c r="B652" s="15"/>
      <c r="C652" s="20"/>
      <c r="D652" s="20"/>
      <c r="E652" s="19"/>
      <c r="F652" s="20"/>
      <c r="G652" s="20"/>
      <c r="H652" s="19"/>
      <c r="I652" s="20"/>
      <c r="J652" s="20"/>
      <c r="K652" s="20"/>
      <c r="L652" s="20"/>
      <c r="M652" s="20"/>
      <c r="N652" s="20"/>
      <c r="O652" s="20"/>
      <c r="P652" s="20"/>
      <c r="Q652" s="19"/>
      <c r="R652" s="20"/>
      <c r="S652" s="20"/>
      <c r="T652" s="19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19"/>
      <c r="AJ652" s="19"/>
      <c r="AK652" s="19"/>
      <c r="AL652" s="19"/>
      <c r="AM652" s="19"/>
      <c r="AN652" s="19"/>
      <c r="AO652" s="19"/>
      <c r="AP652" s="19"/>
      <c r="AQ652" s="19"/>
      <c r="AR652" s="19"/>
      <c r="AS652" s="19"/>
      <c r="AT652" s="19"/>
      <c r="AU652" s="19"/>
      <c r="AV652" s="19">
        <f t="shared" si="134"/>
        <v>0</v>
      </c>
      <c r="AW652" s="19">
        <f t="shared" si="135"/>
        <v>0</v>
      </c>
      <c r="AX652" s="19">
        <f t="shared" si="136"/>
        <v>0</v>
      </c>
    </row>
    <row r="653" spans="1:50" hidden="1" x14ac:dyDescent="0.5">
      <c r="A653" s="16"/>
      <c r="B653" s="15"/>
      <c r="C653" s="20"/>
      <c r="D653" s="20"/>
      <c r="E653" s="19"/>
      <c r="F653" s="20"/>
      <c r="G653" s="20"/>
      <c r="H653" s="19"/>
      <c r="I653" s="20"/>
      <c r="J653" s="20"/>
      <c r="K653" s="20"/>
      <c r="L653" s="20"/>
      <c r="M653" s="20"/>
      <c r="N653" s="20"/>
      <c r="O653" s="20"/>
      <c r="P653" s="20"/>
      <c r="Q653" s="19"/>
      <c r="R653" s="20"/>
      <c r="S653" s="20"/>
      <c r="T653" s="19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19"/>
      <c r="AJ653" s="19"/>
      <c r="AK653" s="19"/>
      <c r="AL653" s="19"/>
      <c r="AM653" s="19"/>
      <c r="AN653" s="19"/>
      <c r="AO653" s="19"/>
      <c r="AP653" s="19"/>
      <c r="AQ653" s="19"/>
      <c r="AR653" s="19"/>
      <c r="AS653" s="19"/>
      <c r="AT653" s="19"/>
      <c r="AU653" s="19"/>
      <c r="AV653" s="19">
        <f t="shared" si="134"/>
        <v>0</v>
      </c>
      <c r="AW653" s="19">
        <f t="shared" si="135"/>
        <v>0</v>
      </c>
      <c r="AX653" s="19">
        <f t="shared" si="136"/>
        <v>0</v>
      </c>
    </row>
    <row r="654" spans="1:50" hidden="1" x14ac:dyDescent="0.5">
      <c r="A654" s="16"/>
      <c r="B654" s="15"/>
      <c r="C654" s="20"/>
      <c r="D654" s="20"/>
      <c r="E654" s="19"/>
      <c r="F654" s="20"/>
      <c r="G654" s="20"/>
      <c r="H654" s="19"/>
      <c r="I654" s="20"/>
      <c r="J654" s="20"/>
      <c r="K654" s="20"/>
      <c r="L654" s="20"/>
      <c r="M654" s="20"/>
      <c r="N654" s="20"/>
      <c r="O654" s="20"/>
      <c r="P654" s="20"/>
      <c r="Q654" s="19"/>
      <c r="R654" s="20"/>
      <c r="S654" s="20"/>
      <c r="T654" s="19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  <c r="AS654" s="19"/>
      <c r="AT654" s="19"/>
      <c r="AU654" s="19"/>
      <c r="AV654" s="19">
        <f t="shared" si="134"/>
        <v>0</v>
      </c>
      <c r="AW654" s="19">
        <f t="shared" si="135"/>
        <v>0</v>
      </c>
      <c r="AX654" s="19">
        <f t="shared" si="136"/>
        <v>0</v>
      </c>
    </row>
    <row r="655" spans="1:50" hidden="1" x14ac:dyDescent="0.5">
      <c r="A655" s="16"/>
      <c r="B655" s="15"/>
      <c r="C655" s="20"/>
      <c r="D655" s="20"/>
      <c r="E655" s="19"/>
      <c r="F655" s="20"/>
      <c r="G655" s="20"/>
      <c r="H655" s="19"/>
      <c r="I655" s="20"/>
      <c r="J655" s="20"/>
      <c r="K655" s="20"/>
      <c r="L655" s="20"/>
      <c r="M655" s="20"/>
      <c r="N655" s="20"/>
      <c r="O655" s="20"/>
      <c r="P655" s="20"/>
      <c r="Q655" s="19"/>
      <c r="R655" s="20"/>
      <c r="S655" s="20"/>
      <c r="T655" s="19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  <c r="AS655" s="19"/>
      <c r="AT655" s="19"/>
      <c r="AU655" s="19"/>
      <c r="AV655" s="19">
        <f t="shared" si="134"/>
        <v>0</v>
      </c>
      <c r="AW655" s="19">
        <f t="shared" si="135"/>
        <v>0</v>
      </c>
      <c r="AX655" s="19">
        <f t="shared" si="136"/>
        <v>0</v>
      </c>
    </row>
    <row r="656" spans="1:50" hidden="1" x14ac:dyDescent="0.5">
      <c r="A656" s="16"/>
      <c r="B656" s="15"/>
      <c r="C656" s="20"/>
      <c r="D656" s="20"/>
      <c r="E656" s="19"/>
      <c r="F656" s="20"/>
      <c r="G656" s="20"/>
      <c r="H656" s="19"/>
      <c r="I656" s="20"/>
      <c r="J656" s="20"/>
      <c r="K656" s="20"/>
      <c r="L656" s="20"/>
      <c r="M656" s="20"/>
      <c r="N656" s="20"/>
      <c r="O656" s="20"/>
      <c r="P656" s="20"/>
      <c r="Q656" s="19"/>
      <c r="R656" s="20"/>
      <c r="S656" s="20"/>
      <c r="T656" s="19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  <c r="AS656" s="19"/>
      <c r="AT656" s="19"/>
      <c r="AU656" s="19"/>
      <c r="AV656" s="19">
        <f t="shared" si="134"/>
        <v>0</v>
      </c>
      <c r="AW656" s="19">
        <f t="shared" si="135"/>
        <v>0</v>
      </c>
      <c r="AX656" s="19">
        <f t="shared" si="136"/>
        <v>0</v>
      </c>
    </row>
    <row r="657" spans="1:50" hidden="1" x14ac:dyDescent="0.5">
      <c r="A657" s="16"/>
      <c r="B657" s="15"/>
      <c r="C657" s="20"/>
      <c r="D657" s="20"/>
      <c r="E657" s="19"/>
      <c r="F657" s="20"/>
      <c r="G657" s="20"/>
      <c r="H657" s="19"/>
      <c r="I657" s="20"/>
      <c r="J657" s="20"/>
      <c r="K657" s="20"/>
      <c r="L657" s="20"/>
      <c r="M657" s="20"/>
      <c r="N657" s="20"/>
      <c r="O657" s="20"/>
      <c r="P657" s="20"/>
      <c r="Q657" s="19"/>
      <c r="R657" s="20"/>
      <c r="S657" s="20"/>
      <c r="T657" s="19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19"/>
      <c r="AJ657" s="19"/>
      <c r="AK657" s="19"/>
      <c r="AL657" s="19"/>
      <c r="AM657" s="19"/>
      <c r="AN657" s="19"/>
      <c r="AO657" s="19"/>
      <c r="AP657" s="19"/>
      <c r="AQ657" s="19"/>
      <c r="AR657" s="19"/>
      <c r="AS657" s="19"/>
      <c r="AT657" s="19"/>
      <c r="AU657" s="19"/>
      <c r="AV657" s="19">
        <f t="shared" si="134"/>
        <v>0</v>
      </c>
      <c r="AW657" s="19">
        <f t="shared" si="135"/>
        <v>0</v>
      </c>
      <c r="AX657" s="19">
        <f t="shared" si="136"/>
        <v>0</v>
      </c>
    </row>
    <row r="658" spans="1:50" hidden="1" x14ac:dyDescent="0.5">
      <c r="A658" s="16"/>
      <c r="B658" s="15"/>
      <c r="C658" s="20"/>
      <c r="D658" s="20"/>
      <c r="E658" s="19"/>
      <c r="F658" s="20"/>
      <c r="G658" s="20"/>
      <c r="H658" s="19"/>
      <c r="I658" s="20"/>
      <c r="J658" s="20"/>
      <c r="K658" s="20"/>
      <c r="L658" s="20"/>
      <c r="M658" s="20"/>
      <c r="N658" s="20"/>
      <c r="O658" s="20"/>
      <c r="P658" s="20"/>
      <c r="Q658" s="19"/>
      <c r="R658" s="20"/>
      <c r="S658" s="20"/>
      <c r="T658" s="19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  <c r="AS658" s="19"/>
      <c r="AT658" s="19"/>
      <c r="AU658" s="19"/>
      <c r="AV658" s="19">
        <f t="shared" si="134"/>
        <v>0</v>
      </c>
      <c r="AW658" s="19">
        <f t="shared" si="135"/>
        <v>0</v>
      </c>
      <c r="AX658" s="19">
        <f t="shared" si="136"/>
        <v>0</v>
      </c>
    </row>
    <row r="659" spans="1:50" hidden="1" x14ac:dyDescent="0.5">
      <c r="A659" s="16"/>
      <c r="B659" s="15"/>
      <c r="C659" s="20"/>
      <c r="D659" s="20"/>
      <c r="E659" s="19"/>
      <c r="F659" s="20"/>
      <c r="G659" s="20"/>
      <c r="H659" s="19"/>
      <c r="I659" s="20"/>
      <c r="J659" s="20"/>
      <c r="K659" s="20"/>
      <c r="L659" s="20"/>
      <c r="M659" s="20"/>
      <c r="N659" s="20"/>
      <c r="O659" s="20"/>
      <c r="P659" s="20"/>
      <c r="Q659" s="19"/>
      <c r="R659" s="20"/>
      <c r="S659" s="20"/>
      <c r="T659" s="19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  <c r="AS659" s="19"/>
      <c r="AT659" s="19"/>
      <c r="AU659" s="19"/>
      <c r="AV659" s="19">
        <f t="shared" si="134"/>
        <v>0</v>
      </c>
      <c r="AW659" s="19">
        <f t="shared" si="135"/>
        <v>0</v>
      </c>
      <c r="AX659" s="19">
        <f t="shared" si="136"/>
        <v>0</v>
      </c>
    </row>
    <row r="660" spans="1:50" hidden="1" x14ac:dyDescent="0.5">
      <c r="A660" s="16"/>
      <c r="B660" s="15"/>
      <c r="C660" s="20"/>
      <c r="D660" s="20"/>
      <c r="E660" s="19"/>
      <c r="F660" s="20"/>
      <c r="G660" s="20"/>
      <c r="H660" s="19"/>
      <c r="I660" s="20"/>
      <c r="J660" s="20"/>
      <c r="K660" s="20"/>
      <c r="L660" s="20"/>
      <c r="M660" s="20"/>
      <c r="N660" s="20"/>
      <c r="O660" s="20"/>
      <c r="P660" s="20"/>
      <c r="Q660" s="19"/>
      <c r="R660" s="20"/>
      <c r="S660" s="20"/>
      <c r="T660" s="19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  <c r="AS660" s="19"/>
      <c r="AT660" s="19"/>
      <c r="AU660" s="19"/>
      <c r="AV660" s="19">
        <f t="shared" si="134"/>
        <v>0</v>
      </c>
      <c r="AW660" s="19">
        <f t="shared" si="135"/>
        <v>0</v>
      </c>
      <c r="AX660" s="19">
        <f t="shared" si="136"/>
        <v>0</v>
      </c>
    </row>
    <row r="661" spans="1:50" hidden="1" x14ac:dyDescent="0.5">
      <c r="A661" s="16"/>
      <c r="B661" s="15"/>
      <c r="C661" s="20"/>
      <c r="D661" s="20"/>
      <c r="E661" s="19"/>
      <c r="F661" s="20"/>
      <c r="G661" s="20"/>
      <c r="H661" s="19"/>
      <c r="I661" s="20"/>
      <c r="J661" s="20"/>
      <c r="K661" s="20"/>
      <c r="L661" s="20"/>
      <c r="M661" s="20"/>
      <c r="N661" s="20"/>
      <c r="O661" s="20"/>
      <c r="P661" s="20"/>
      <c r="Q661" s="19"/>
      <c r="R661" s="20"/>
      <c r="S661" s="20"/>
      <c r="T661" s="19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19"/>
      <c r="AJ661" s="19"/>
      <c r="AK661" s="19"/>
      <c r="AL661" s="19"/>
      <c r="AM661" s="19"/>
      <c r="AN661" s="19"/>
      <c r="AO661" s="19"/>
      <c r="AP661" s="19"/>
      <c r="AQ661" s="19"/>
      <c r="AR661" s="19"/>
      <c r="AS661" s="19"/>
      <c r="AT661" s="19"/>
      <c r="AU661" s="19"/>
      <c r="AV661" s="19">
        <f t="shared" si="134"/>
        <v>0</v>
      </c>
      <c r="AW661" s="19">
        <f t="shared" si="135"/>
        <v>0</v>
      </c>
      <c r="AX661" s="19">
        <f t="shared" si="136"/>
        <v>0</v>
      </c>
    </row>
    <row r="662" spans="1:50" hidden="1" x14ac:dyDescent="0.5">
      <c r="A662" s="16"/>
      <c r="B662" s="15"/>
      <c r="C662" s="20"/>
      <c r="D662" s="20"/>
      <c r="E662" s="19"/>
      <c r="F662" s="20"/>
      <c r="G662" s="20"/>
      <c r="H662" s="19"/>
      <c r="I662" s="20"/>
      <c r="J662" s="20"/>
      <c r="K662" s="20"/>
      <c r="L662" s="20"/>
      <c r="M662" s="20"/>
      <c r="N662" s="20"/>
      <c r="O662" s="20"/>
      <c r="P662" s="20"/>
      <c r="Q662" s="19"/>
      <c r="R662" s="20"/>
      <c r="S662" s="20"/>
      <c r="T662" s="19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  <c r="AS662" s="19"/>
      <c r="AT662" s="19"/>
      <c r="AU662" s="19"/>
      <c r="AV662" s="19">
        <f t="shared" si="134"/>
        <v>0</v>
      </c>
      <c r="AW662" s="19">
        <f t="shared" si="135"/>
        <v>0</v>
      </c>
      <c r="AX662" s="19">
        <f t="shared" si="136"/>
        <v>0</v>
      </c>
    </row>
    <row r="663" spans="1:50" hidden="1" x14ac:dyDescent="0.5">
      <c r="A663" s="16"/>
      <c r="B663" s="15"/>
      <c r="C663" s="20"/>
      <c r="D663" s="20"/>
      <c r="E663" s="19"/>
      <c r="F663" s="20"/>
      <c r="G663" s="20"/>
      <c r="H663" s="19"/>
      <c r="I663" s="20"/>
      <c r="J663" s="20"/>
      <c r="K663" s="20"/>
      <c r="L663" s="20"/>
      <c r="M663" s="20"/>
      <c r="N663" s="20"/>
      <c r="O663" s="20"/>
      <c r="P663" s="20"/>
      <c r="Q663" s="19"/>
      <c r="R663" s="20"/>
      <c r="S663" s="20"/>
      <c r="T663" s="19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19"/>
      <c r="AJ663" s="19"/>
      <c r="AK663" s="19"/>
      <c r="AL663" s="19"/>
      <c r="AM663" s="19"/>
      <c r="AN663" s="19"/>
      <c r="AO663" s="19"/>
      <c r="AP663" s="19"/>
      <c r="AQ663" s="19"/>
      <c r="AR663" s="19"/>
      <c r="AS663" s="19"/>
      <c r="AT663" s="19"/>
      <c r="AU663" s="19"/>
      <c r="AV663" s="19">
        <f t="shared" si="134"/>
        <v>0</v>
      </c>
      <c r="AW663" s="19">
        <f t="shared" si="135"/>
        <v>0</v>
      </c>
      <c r="AX663" s="19">
        <f t="shared" si="136"/>
        <v>0</v>
      </c>
    </row>
    <row r="664" spans="1:50" hidden="1" x14ac:dyDescent="0.5">
      <c r="A664" s="16"/>
      <c r="B664" s="15"/>
      <c r="C664" s="20"/>
      <c r="D664" s="20"/>
      <c r="E664" s="19"/>
      <c r="F664" s="20"/>
      <c r="G664" s="20"/>
      <c r="H664" s="19"/>
      <c r="I664" s="20"/>
      <c r="J664" s="20"/>
      <c r="K664" s="20"/>
      <c r="L664" s="20"/>
      <c r="M664" s="20"/>
      <c r="N664" s="20"/>
      <c r="O664" s="20"/>
      <c r="P664" s="20"/>
      <c r="Q664" s="19"/>
      <c r="R664" s="20"/>
      <c r="S664" s="20"/>
      <c r="T664" s="19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19"/>
      <c r="AJ664" s="19"/>
      <c r="AK664" s="19"/>
      <c r="AL664" s="19"/>
      <c r="AM664" s="19"/>
      <c r="AN664" s="19"/>
      <c r="AO664" s="19"/>
      <c r="AP664" s="19"/>
      <c r="AQ664" s="19"/>
      <c r="AR664" s="19"/>
      <c r="AS664" s="19"/>
      <c r="AT664" s="19"/>
      <c r="AU664" s="19"/>
      <c r="AV664" s="19">
        <f t="shared" si="134"/>
        <v>0</v>
      </c>
      <c r="AW664" s="19">
        <f t="shared" si="135"/>
        <v>0</v>
      </c>
      <c r="AX664" s="19">
        <f t="shared" si="136"/>
        <v>0</v>
      </c>
    </row>
    <row r="665" spans="1:50" hidden="1" x14ac:dyDescent="0.5">
      <c r="A665" s="16"/>
      <c r="B665" s="15"/>
      <c r="C665" s="20"/>
      <c r="D665" s="20"/>
      <c r="E665" s="19"/>
      <c r="F665" s="20"/>
      <c r="G665" s="20"/>
      <c r="H665" s="19"/>
      <c r="I665" s="20"/>
      <c r="J665" s="20"/>
      <c r="K665" s="20"/>
      <c r="L665" s="20"/>
      <c r="M665" s="20"/>
      <c r="N665" s="20"/>
      <c r="O665" s="20"/>
      <c r="P665" s="20"/>
      <c r="Q665" s="19"/>
      <c r="R665" s="20"/>
      <c r="S665" s="20"/>
      <c r="T665" s="19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  <c r="AS665" s="19"/>
      <c r="AT665" s="19"/>
      <c r="AU665" s="19"/>
      <c r="AV665" s="19">
        <f t="shared" si="134"/>
        <v>0</v>
      </c>
      <c r="AW665" s="19">
        <f t="shared" si="135"/>
        <v>0</v>
      </c>
      <c r="AX665" s="19">
        <f t="shared" si="136"/>
        <v>0</v>
      </c>
    </row>
    <row r="666" spans="1:50" hidden="1" x14ac:dyDescent="0.5">
      <c r="A666" s="16"/>
      <c r="B666" s="15"/>
      <c r="C666" s="20"/>
      <c r="D666" s="20"/>
      <c r="E666" s="19"/>
      <c r="F666" s="20"/>
      <c r="G666" s="20"/>
      <c r="H666" s="19"/>
      <c r="I666" s="20"/>
      <c r="J666" s="20"/>
      <c r="K666" s="20"/>
      <c r="L666" s="20"/>
      <c r="M666" s="20"/>
      <c r="N666" s="20"/>
      <c r="O666" s="20"/>
      <c r="P666" s="20"/>
      <c r="Q666" s="19"/>
      <c r="R666" s="20"/>
      <c r="S666" s="20"/>
      <c r="T666" s="19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  <c r="AS666" s="19"/>
      <c r="AT666" s="19"/>
      <c r="AU666" s="19"/>
      <c r="AV666" s="19">
        <f>C666+F666+I666+L666+O666+R666+U666+X666+AA666+AG666+AJ666+AM666+AP666+AS666</f>
        <v>0</v>
      </c>
      <c r="AW666" s="19">
        <f>D666+G666+J666+M666+P666+S666+V666+Y666+AB666+AH666+AK666+AN666+AQ666+AT666</f>
        <v>0</v>
      </c>
      <c r="AX666" s="19">
        <f>E666+H666+K666+N666+Q666+T666+W666+Z666+AC666+AI666+AL666+AO666+AR666+AU666</f>
        <v>0</v>
      </c>
    </row>
    <row r="667" spans="1:50" hidden="1" x14ac:dyDescent="0.5">
      <c r="A667" s="16"/>
      <c r="B667" s="15"/>
      <c r="C667" s="20"/>
      <c r="D667" s="20"/>
      <c r="E667" s="19"/>
      <c r="F667" s="20"/>
      <c r="G667" s="20"/>
      <c r="H667" s="19"/>
      <c r="I667" s="20"/>
      <c r="J667" s="20"/>
      <c r="K667" s="20"/>
      <c r="L667" s="20"/>
      <c r="M667" s="20"/>
      <c r="N667" s="20"/>
      <c r="O667" s="20"/>
      <c r="P667" s="20"/>
      <c r="Q667" s="19"/>
      <c r="R667" s="20"/>
      <c r="S667" s="20"/>
      <c r="T667" s="19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  <c r="AI667" s="19"/>
      <c r="AJ667" s="19"/>
      <c r="AK667" s="19"/>
      <c r="AL667" s="19"/>
      <c r="AM667" s="19"/>
      <c r="AN667" s="19"/>
      <c r="AO667" s="19"/>
      <c r="AP667" s="19"/>
      <c r="AQ667" s="19"/>
      <c r="AR667" s="19"/>
      <c r="AS667" s="19"/>
      <c r="AT667" s="19"/>
      <c r="AU667" s="19"/>
      <c r="AV667" s="19">
        <f t="shared" ref="AV667:AV668" si="137">C667+F667+I667+L667+O667+R667+U667+X667+AA667+AG667+AJ667+AM667+AP667+AS667</f>
        <v>0</v>
      </c>
      <c r="AW667" s="19">
        <f t="shared" ref="AW667:AW668" si="138">D667+G667+J667+M667+P667+S667+V667+Y667+AB667+AH667+AK667+AN667+AQ667+AT667</f>
        <v>0</v>
      </c>
      <c r="AX667" s="19">
        <f t="shared" ref="AX667:AX668" si="139">E667+H667+K667+N667+Q667+T667+W667+Z667+AC667+AI667+AL667+AO667+AR667+AU667</f>
        <v>0</v>
      </c>
    </row>
    <row r="668" spans="1:50" hidden="1" x14ac:dyDescent="0.5">
      <c r="A668" s="16"/>
      <c r="B668" s="15"/>
      <c r="C668" s="20"/>
      <c r="D668" s="20"/>
      <c r="E668" s="19"/>
      <c r="F668" s="20"/>
      <c r="G668" s="20"/>
      <c r="H668" s="19"/>
      <c r="I668" s="20"/>
      <c r="J668" s="20"/>
      <c r="K668" s="20"/>
      <c r="L668" s="20"/>
      <c r="M668" s="20"/>
      <c r="N668" s="20"/>
      <c r="O668" s="20"/>
      <c r="P668" s="20"/>
      <c r="Q668" s="19"/>
      <c r="R668" s="20"/>
      <c r="S668" s="20"/>
      <c r="T668" s="19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19"/>
      <c r="AJ668" s="19"/>
      <c r="AK668" s="19"/>
      <c r="AL668" s="19"/>
      <c r="AM668" s="19"/>
      <c r="AN668" s="19"/>
      <c r="AO668" s="19"/>
      <c r="AP668" s="19"/>
      <c r="AQ668" s="19"/>
      <c r="AR668" s="19"/>
      <c r="AS668" s="19"/>
      <c r="AT668" s="19"/>
      <c r="AU668" s="19"/>
      <c r="AV668" s="19">
        <f t="shared" si="137"/>
        <v>0</v>
      </c>
      <c r="AW668" s="19">
        <f t="shared" si="138"/>
        <v>0</v>
      </c>
      <c r="AX668" s="19">
        <f t="shared" si="139"/>
        <v>0</v>
      </c>
    </row>
    <row r="669" spans="1:50" hidden="1" x14ac:dyDescent="0.5">
      <c r="A669" s="14"/>
      <c r="B669" s="13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8">
        <f>SUM(AA640:AA652)</f>
        <v>0</v>
      </c>
      <c r="AB669" s="18">
        <f>SUM(AB640:AB652)</f>
        <v>0</v>
      </c>
      <c r="AV669" s="182">
        <f>SUM(AV640:AV668)</f>
        <v>0</v>
      </c>
      <c r="AW669" s="182">
        <f>SUM(AW640:AW668)</f>
        <v>0</v>
      </c>
      <c r="AX669" s="182">
        <f t="shared" ref="AX669" si="140">SUM(AX640:AX668)</f>
        <v>0</v>
      </c>
    </row>
    <row r="670" spans="1:50" hidden="1" x14ac:dyDescent="0.5"/>
    <row r="671" spans="1:50" hidden="1" x14ac:dyDescent="0.5"/>
    <row r="672" spans="1:50" hidden="1" x14ac:dyDescent="0.5">
      <c r="A672" s="550" t="s">
        <v>388</v>
      </c>
      <c r="B672" s="550"/>
    </row>
    <row r="673" spans="1:50" hidden="1" x14ac:dyDescent="0.5"/>
    <row r="674" spans="1:50" hidden="1" x14ac:dyDescent="0.5">
      <c r="A674" s="551" t="s">
        <v>118</v>
      </c>
      <c r="B674" s="552" t="s">
        <v>135</v>
      </c>
      <c r="C674" s="553"/>
      <c r="D674" s="553"/>
      <c r="E674" s="553"/>
      <c r="F674" s="553"/>
      <c r="G674" s="553"/>
      <c r="H674" s="553"/>
      <c r="I674" s="553"/>
      <c r="J674" s="553"/>
      <c r="K674" s="553"/>
      <c r="L674" s="553"/>
      <c r="M674" s="553"/>
      <c r="N674" s="553"/>
      <c r="O674" s="553"/>
      <c r="P674" s="553"/>
      <c r="Q674" s="553"/>
      <c r="R674" s="553"/>
      <c r="S674" s="553"/>
      <c r="T674" s="553"/>
      <c r="U674" s="553"/>
      <c r="V674" s="553"/>
      <c r="W674" s="553"/>
      <c r="X674" s="553"/>
      <c r="Y674" s="553"/>
      <c r="Z674" s="553"/>
      <c r="AA674" s="553"/>
      <c r="AB674" s="553"/>
      <c r="AC674" s="553"/>
      <c r="AD674" s="553"/>
      <c r="AE674" s="553"/>
      <c r="AF674" s="553"/>
      <c r="AG674" s="553"/>
      <c r="AH674" s="553"/>
      <c r="AI674" s="553"/>
      <c r="AJ674" s="553"/>
      <c r="AK674" s="553"/>
      <c r="AL674" s="553"/>
      <c r="AM674" s="553"/>
      <c r="AN674" s="553"/>
      <c r="AO674" s="553"/>
      <c r="AP674" s="553"/>
      <c r="AQ674" s="553"/>
      <c r="AR674" s="553"/>
      <c r="AS674" s="553"/>
      <c r="AT674" s="553"/>
      <c r="AU674" s="553"/>
      <c r="AV674" s="553"/>
      <c r="AW674" s="553"/>
      <c r="AX674" s="553"/>
    </row>
    <row r="675" spans="1:50" hidden="1" x14ac:dyDescent="0.5">
      <c r="A675" s="551"/>
      <c r="B675" s="552"/>
      <c r="C675" s="554" t="s">
        <v>124</v>
      </c>
      <c r="D675" s="555"/>
      <c r="E675" s="556"/>
      <c r="F675" s="554" t="s">
        <v>133</v>
      </c>
      <c r="G675" s="555"/>
      <c r="H675" s="556"/>
      <c r="I675" s="554" t="s">
        <v>132</v>
      </c>
      <c r="J675" s="555"/>
      <c r="K675" s="556"/>
      <c r="L675" s="554" t="s">
        <v>131</v>
      </c>
      <c r="M675" s="555"/>
      <c r="N675" s="556"/>
      <c r="O675" s="554" t="s">
        <v>130</v>
      </c>
      <c r="P675" s="555"/>
      <c r="Q675" s="556"/>
      <c r="R675" s="554" t="s">
        <v>129</v>
      </c>
      <c r="S675" s="555"/>
      <c r="T675" s="556"/>
      <c r="U675" s="554" t="s">
        <v>128</v>
      </c>
      <c r="V675" s="555"/>
      <c r="W675" s="556"/>
      <c r="X675" s="554" t="s">
        <v>127</v>
      </c>
      <c r="Y675" s="555"/>
      <c r="Z675" s="556"/>
      <c r="AA675" s="554" t="s">
        <v>126</v>
      </c>
      <c r="AB675" s="555"/>
      <c r="AC675" s="556"/>
      <c r="AD675" s="554" t="s">
        <v>378</v>
      </c>
      <c r="AE675" s="555"/>
      <c r="AF675" s="556"/>
      <c r="AG675" s="554" t="s">
        <v>125</v>
      </c>
      <c r="AH675" s="555"/>
      <c r="AI675" s="556"/>
      <c r="AJ675" s="554" t="s">
        <v>124</v>
      </c>
      <c r="AK675" s="555"/>
      <c r="AL675" s="556"/>
      <c r="AM675" s="554" t="s">
        <v>123</v>
      </c>
      <c r="AN675" s="555"/>
      <c r="AO675" s="556"/>
      <c r="AP675" s="554" t="s">
        <v>367</v>
      </c>
      <c r="AQ675" s="555"/>
      <c r="AR675" s="556"/>
      <c r="AS675" s="554" t="s">
        <v>368</v>
      </c>
      <c r="AT675" s="555"/>
      <c r="AU675" s="556"/>
      <c r="AV675" s="554" t="s">
        <v>122</v>
      </c>
      <c r="AW675" s="555"/>
      <c r="AX675" s="556"/>
    </row>
    <row r="676" spans="1:50" hidden="1" x14ac:dyDescent="0.5">
      <c r="A676" s="551"/>
      <c r="B676" s="552"/>
      <c r="C676" s="17" t="s">
        <v>109</v>
      </c>
      <c r="D676" s="17" t="s">
        <v>108</v>
      </c>
      <c r="E676" s="17" t="s">
        <v>348</v>
      </c>
      <c r="F676" s="17" t="s">
        <v>109</v>
      </c>
      <c r="G676" s="17" t="s">
        <v>108</v>
      </c>
      <c r="H676" s="17" t="s">
        <v>348</v>
      </c>
      <c r="I676" s="17" t="s">
        <v>109</v>
      </c>
      <c r="J676" s="17" t="s">
        <v>108</v>
      </c>
      <c r="K676" s="17" t="s">
        <v>348</v>
      </c>
      <c r="L676" s="17" t="s">
        <v>109</v>
      </c>
      <c r="M676" s="17" t="s">
        <v>108</v>
      </c>
      <c r="N676" s="17" t="s">
        <v>348</v>
      </c>
      <c r="O676" s="17" t="s">
        <v>109</v>
      </c>
      <c r="P676" s="17" t="s">
        <v>108</v>
      </c>
      <c r="Q676" s="17" t="s">
        <v>348</v>
      </c>
      <c r="R676" s="17" t="s">
        <v>109</v>
      </c>
      <c r="S676" s="17" t="s">
        <v>108</v>
      </c>
      <c r="T676" s="17" t="s">
        <v>348</v>
      </c>
      <c r="U676" s="17" t="s">
        <v>109</v>
      </c>
      <c r="V676" s="17" t="s">
        <v>108</v>
      </c>
      <c r="W676" s="17" t="s">
        <v>348</v>
      </c>
      <c r="X676" s="17" t="s">
        <v>109</v>
      </c>
      <c r="Y676" s="17" t="s">
        <v>108</v>
      </c>
      <c r="Z676" s="17" t="s">
        <v>348</v>
      </c>
      <c r="AA676" s="17" t="s">
        <v>109</v>
      </c>
      <c r="AB676" s="17" t="s">
        <v>108</v>
      </c>
      <c r="AC676" s="17" t="s">
        <v>348</v>
      </c>
      <c r="AD676" s="17"/>
      <c r="AE676" s="17"/>
      <c r="AF676" s="17"/>
      <c r="AG676" s="17" t="s">
        <v>109</v>
      </c>
      <c r="AH676" s="17" t="s">
        <v>108</v>
      </c>
      <c r="AI676" s="17" t="s">
        <v>348</v>
      </c>
      <c r="AJ676" s="17" t="s">
        <v>109</v>
      </c>
      <c r="AK676" s="17" t="s">
        <v>108</v>
      </c>
      <c r="AL676" s="17" t="s">
        <v>348</v>
      </c>
      <c r="AM676" s="17" t="s">
        <v>109</v>
      </c>
      <c r="AN676" s="17" t="s">
        <v>108</v>
      </c>
      <c r="AO676" s="17" t="s">
        <v>348</v>
      </c>
      <c r="AP676" s="17" t="s">
        <v>109</v>
      </c>
      <c r="AQ676" s="17" t="s">
        <v>108</v>
      </c>
      <c r="AR676" s="17" t="s">
        <v>348</v>
      </c>
      <c r="AS676" s="17" t="s">
        <v>109</v>
      </c>
      <c r="AT676" s="17" t="s">
        <v>108</v>
      </c>
      <c r="AU676" s="17" t="s">
        <v>348</v>
      </c>
      <c r="AV676" s="17" t="s">
        <v>109</v>
      </c>
      <c r="AW676" s="17" t="s">
        <v>108</v>
      </c>
      <c r="AX676" s="17" t="s">
        <v>348</v>
      </c>
    </row>
    <row r="677" spans="1:50" hidden="1" x14ac:dyDescent="0.5">
      <c r="A677" s="16"/>
      <c r="B677" s="15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  <c r="AS677" s="19"/>
      <c r="AT677" s="19"/>
      <c r="AU677" s="19"/>
      <c r="AV677" s="19">
        <f>C677+F677+I677+L677+O677+R677+U677+X677+AA677+AG677+AJ677+AM677+AP677+AS677</f>
        <v>0</v>
      </c>
      <c r="AW677" s="19">
        <f>D677+G677+J677+M677+P677+S677+V677+Y677+AB677+AH677+AK677+AN677+AQ677+AT677</f>
        <v>0</v>
      </c>
      <c r="AX677" s="19">
        <f>E677+H677+K677+N677+Q677+T677+W677+Z677+AC677+AI677+AL677+AO677+AR677+AU677</f>
        <v>0</v>
      </c>
    </row>
    <row r="678" spans="1:50" hidden="1" x14ac:dyDescent="0.5">
      <c r="A678" s="16"/>
      <c r="B678" s="15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21"/>
      <c r="P678" s="178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  <c r="AS678" s="19"/>
      <c r="AT678" s="19"/>
      <c r="AU678" s="19"/>
      <c r="AV678" s="19">
        <f t="shared" ref="AV678:AV697" si="141">C678+F678+I678+L678+O678+R678+U678+X678+AA678+AG678+AJ678+AM678</f>
        <v>0</v>
      </c>
      <c r="AW678" s="19">
        <f>D678+G678+J678+M678+P678+S678+V678+Y678+AB678+AH678+AK678+AN678+AE678</f>
        <v>0</v>
      </c>
      <c r="AX678" s="19">
        <f>E678+H678+K678+N678+Q678+T678+W678+Z678+AC678+AI678+AL678+AN678+AF678</f>
        <v>0</v>
      </c>
    </row>
    <row r="679" spans="1:50" hidden="1" x14ac:dyDescent="0.5">
      <c r="A679" s="16"/>
      <c r="B679" s="15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  <c r="AS679" s="19"/>
      <c r="AT679" s="19"/>
      <c r="AU679" s="19"/>
      <c r="AV679" s="19">
        <f t="shared" si="141"/>
        <v>0</v>
      </c>
      <c r="AW679" s="19">
        <f t="shared" ref="AW679:AW697" si="142">D679+G679+J679+M679+P679+S679+V679+Y679+AB679+AH679+AK679+AN679</f>
        <v>0</v>
      </c>
      <c r="AX679" s="19">
        <f t="shared" ref="AX679:AX697" si="143">E679+H679+K679+N679+Q679+T679+W679+Z679+AC679+AI679+AL679+AN679</f>
        <v>0</v>
      </c>
    </row>
    <row r="680" spans="1:50" hidden="1" x14ac:dyDescent="0.5">
      <c r="A680" s="16"/>
      <c r="B680" s="15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  <c r="AR680" s="19"/>
      <c r="AS680" s="19"/>
      <c r="AT680" s="19"/>
      <c r="AU680" s="19"/>
      <c r="AV680" s="19">
        <f t="shared" si="141"/>
        <v>0</v>
      </c>
      <c r="AW680" s="19">
        <f t="shared" si="142"/>
        <v>0</v>
      </c>
      <c r="AX680" s="19">
        <f t="shared" si="143"/>
        <v>0</v>
      </c>
    </row>
    <row r="681" spans="1:50" hidden="1" x14ac:dyDescent="0.5">
      <c r="A681" s="16"/>
      <c r="B681" s="15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  <c r="AQ681" s="19"/>
      <c r="AR681" s="19"/>
      <c r="AS681" s="19"/>
      <c r="AT681" s="19"/>
      <c r="AU681" s="19"/>
      <c r="AV681" s="19">
        <f t="shared" si="141"/>
        <v>0</v>
      </c>
      <c r="AW681" s="19">
        <f t="shared" si="142"/>
        <v>0</v>
      </c>
      <c r="AX681" s="19">
        <f t="shared" si="143"/>
        <v>0</v>
      </c>
    </row>
    <row r="682" spans="1:50" hidden="1" x14ac:dyDescent="0.5">
      <c r="A682" s="16"/>
      <c r="B682" s="15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  <c r="AS682" s="19"/>
      <c r="AT682" s="19"/>
      <c r="AU682" s="19"/>
      <c r="AV682" s="19">
        <f t="shared" si="141"/>
        <v>0</v>
      </c>
      <c r="AW682" s="19">
        <f t="shared" si="142"/>
        <v>0</v>
      </c>
      <c r="AX682" s="19">
        <f t="shared" si="143"/>
        <v>0</v>
      </c>
    </row>
    <row r="683" spans="1:50" hidden="1" x14ac:dyDescent="0.5">
      <c r="A683" s="16"/>
      <c r="B683" s="15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  <c r="AQ683" s="19"/>
      <c r="AR683" s="19"/>
      <c r="AS683" s="19"/>
      <c r="AT683" s="19"/>
      <c r="AU683" s="19"/>
      <c r="AV683" s="19">
        <f t="shared" si="141"/>
        <v>0</v>
      </c>
      <c r="AW683" s="19">
        <f t="shared" si="142"/>
        <v>0</v>
      </c>
      <c r="AX683" s="19">
        <f t="shared" si="143"/>
        <v>0</v>
      </c>
    </row>
    <row r="684" spans="1:50" hidden="1" x14ac:dyDescent="0.5">
      <c r="A684" s="16"/>
      <c r="B684" s="15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  <c r="AR684" s="19"/>
      <c r="AS684" s="19"/>
      <c r="AT684" s="19"/>
      <c r="AU684" s="19"/>
      <c r="AV684" s="19">
        <f t="shared" si="141"/>
        <v>0</v>
      </c>
      <c r="AW684" s="19">
        <f t="shared" si="142"/>
        <v>0</v>
      </c>
      <c r="AX684" s="19">
        <f t="shared" si="143"/>
        <v>0</v>
      </c>
    </row>
    <row r="685" spans="1:50" hidden="1" x14ac:dyDescent="0.5">
      <c r="A685" s="16"/>
      <c r="B685" s="15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  <c r="AQ685" s="19"/>
      <c r="AR685" s="19"/>
      <c r="AS685" s="19"/>
      <c r="AT685" s="19"/>
      <c r="AU685" s="19"/>
      <c r="AV685" s="19">
        <f t="shared" si="141"/>
        <v>0</v>
      </c>
      <c r="AW685" s="19">
        <f t="shared" si="142"/>
        <v>0</v>
      </c>
      <c r="AX685" s="19">
        <f t="shared" si="143"/>
        <v>0</v>
      </c>
    </row>
    <row r="686" spans="1:50" hidden="1" x14ac:dyDescent="0.5">
      <c r="A686" s="16"/>
      <c r="B686" s="15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  <c r="AS686" s="19"/>
      <c r="AT686" s="19"/>
      <c r="AU686" s="19"/>
      <c r="AV686" s="19">
        <f t="shared" si="141"/>
        <v>0</v>
      </c>
      <c r="AW686" s="19">
        <f t="shared" si="142"/>
        <v>0</v>
      </c>
      <c r="AX686" s="19">
        <f t="shared" si="143"/>
        <v>0</v>
      </c>
    </row>
    <row r="687" spans="1:50" hidden="1" x14ac:dyDescent="0.5">
      <c r="A687" s="16"/>
      <c r="B687" s="15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  <c r="AS687" s="19"/>
      <c r="AT687" s="19"/>
      <c r="AU687" s="19"/>
      <c r="AV687" s="19">
        <f t="shared" si="141"/>
        <v>0</v>
      </c>
      <c r="AW687" s="19">
        <f t="shared" si="142"/>
        <v>0</v>
      </c>
      <c r="AX687" s="19">
        <f t="shared" si="143"/>
        <v>0</v>
      </c>
    </row>
    <row r="688" spans="1:50" hidden="1" x14ac:dyDescent="0.5">
      <c r="A688" s="16"/>
      <c r="B688" s="15"/>
      <c r="C688" s="20"/>
      <c r="D688" s="20"/>
      <c r="E688" s="19"/>
      <c r="F688" s="20"/>
      <c r="G688" s="20"/>
      <c r="H688" s="19"/>
      <c r="I688" s="20"/>
      <c r="J688" s="20"/>
      <c r="K688" s="20"/>
      <c r="L688" s="20"/>
      <c r="M688" s="20"/>
      <c r="N688" s="20"/>
      <c r="O688" s="20"/>
      <c r="P688" s="20"/>
      <c r="Q688" s="19"/>
      <c r="R688" s="20"/>
      <c r="S688" s="20"/>
      <c r="T688" s="19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0"/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  <c r="AS688" s="19"/>
      <c r="AT688" s="19"/>
      <c r="AU688" s="19"/>
      <c r="AV688" s="19">
        <f t="shared" si="141"/>
        <v>0</v>
      </c>
      <c r="AW688" s="19">
        <f t="shared" si="142"/>
        <v>0</v>
      </c>
      <c r="AX688" s="19">
        <f t="shared" si="143"/>
        <v>0</v>
      </c>
    </row>
    <row r="689" spans="1:50" hidden="1" x14ac:dyDescent="0.5">
      <c r="A689" s="16"/>
      <c r="B689" s="15"/>
      <c r="C689" s="20"/>
      <c r="D689" s="20"/>
      <c r="E689" s="19"/>
      <c r="F689" s="20"/>
      <c r="G689" s="20"/>
      <c r="H689" s="19"/>
      <c r="I689" s="20"/>
      <c r="J689" s="20"/>
      <c r="K689" s="20"/>
      <c r="L689" s="20"/>
      <c r="M689" s="20"/>
      <c r="N689" s="20"/>
      <c r="O689" s="20"/>
      <c r="P689" s="20"/>
      <c r="Q689" s="19"/>
      <c r="R689" s="20"/>
      <c r="S689" s="20"/>
      <c r="T689" s="19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  <c r="AH689" s="20"/>
      <c r="AI689" s="19"/>
      <c r="AJ689" s="19"/>
      <c r="AK689" s="19"/>
      <c r="AL689" s="19"/>
      <c r="AM689" s="19"/>
      <c r="AN689" s="19"/>
      <c r="AO689" s="19"/>
      <c r="AP689" s="19"/>
      <c r="AQ689" s="19"/>
      <c r="AR689" s="19"/>
      <c r="AS689" s="19"/>
      <c r="AT689" s="19"/>
      <c r="AU689" s="19"/>
      <c r="AV689" s="19">
        <f t="shared" si="141"/>
        <v>0</v>
      </c>
      <c r="AW689" s="19">
        <f t="shared" si="142"/>
        <v>0</v>
      </c>
      <c r="AX689" s="19">
        <f t="shared" si="143"/>
        <v>0</v>
      </c>
    </row>
    <row r="690" spans="1:50" hidden="1" x14ac:dyDescent="0.5">
      <c r="A690" s="16"/>
      <c r="B690" s="15"/>
      <c r="C690" s="20"/>
      <c r="D690" s="20"/>
      <c r="E690" s="19"/>
      <c r="F690" s="20"/>
      <c r="G690" s="20"/>
      <c r="H690" s="19"/>
      <c r="I690" s="20"/>
      <c r="J690" s="20"/>
      <c r="K690" s="20"/>
      <c r="L690" s="20"/>
      <c r="M690" s="20"/>
      <c r="N690" s="20"/>
      <c r="O690" s="20"/>
      <c r="P690" s="20"/>
      <c r="Q690" s="19"/>
      <c r="R690" s="20"/>
      <c r="S690" s="20"/>
      <c r="T690" s="19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  <c r="AH690" s="20"/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  <c r="AS690" s="19"/>
      <c r="AT690" s="19"/>
      <c r="AU690" s="19"/>
      <c r="AV690" s="19">
        <f t="shared" si="141"/>
        <v>0</v>
      </c>
      <c r="AW690" s="19">
        <f t="shared" si="142"/>
        <v>0</v>
      </c>
      <c r="AX690" s="19">
        <f t="shared" si="143"/>
        <v>0</v>
      </c>
    </row>
    <row r="691" spans="1:50" hidden="1" x14ac:dyDescent="0.5">
      <c r="A691" s="16"/>
      <c r="B691" s="15"/>
      <c r="C691" s="20"/>
      <c r="D691" s="20"/>
      <c r="E691" s="19"/>
      <c r="F691" s="20"/>
      <c r="G691" s="20"/>
      <c r="H691" s="19"/>
      <c r="I691" s="20"/>
      <c r="J691" s="20"/>
      <c r="K691" s="20"/>
      <c r="L691" s="20"/>
      <c r="M691" s="20"/>
      <c r="N691" s="20"/>
      <c r="O691" s="20"/>
      <c r="P691" s="20"/>
      <c r="Q691" s="19"/>
      <c r="R691" s="20"/>
      <c r="S691" s="20"/>
      <c r="T691" s="19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  <c r="AG691" s="20"/>
      <c r="AH691" s="20"/>
      <c r="AI691" s="19"/>
      <c r="AJ691" s="19"/>
      <c r="AK691" s="19"/>
      <c r="AL691" s="19"/>
      <c r="AM691" s="19"/>
      <c r="AN691" s="19"/>
      <c r="AO691" s="19"/>
      <c r="AP691" s="19"/>
      <c r="AQ691" s="19"/>
      <c r="AR691" s="19"/>
      <c r="AS691" s="19"/>
      <c r="AT691" s="19"/>
      <c r="AU691" s="19"/>
      <c r="AV691" s="19">
        <f t="shared" si="141"/>
        <v>0</v>
      </c>
      <c r="AW691" s="19">
        <f t="shared" si="142"/>
        <v>0</v>
      </c>
      <c r="AX691" s="19">
        <f t="shared" si="143"/>
        <v>0</v>
      </c>
    </row>
    <row r="692" spans="1:50" hidden="1" x14ac:dyDescent="0.5">
      <c r="A692" s="16"/>
      <c r="B692" s="15"/>
      <c r="C692" s="20"/>
      <c r="D692" s="20"/>
      <c r="E692" s="19"/>
      <c r="F692" s="20"/>
      <c r="G692" s="20"/>
      <c r="H692" s="19"/>
      <c r="I692" s="20"/>
      <c r="J692" s="20"/>
      <c r="K692" s="20"/>
      <c r="L692" s="20"/>
      <c r="M692" s="20"/>
      <c r="N692" s="20"/>
      <c r="O692" s="20"/>
      <c r="P692" s="20"/>
      <c r="Q692" s="19"/>
      <c r="R692" s="20"/>
      <c r="S692" s="20"/>
      <c r="T692" s="19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  <c r="AH692" s="20"/>
      <c r="AI692" s="19"/>
      <c r="AJ692" s="19"/>
      <c r="AK692" s="19"/>
      <c r="AL692" s="19"/>
      <c r="AM692" s="19"/>
      <c r="AN692" s="19"/>
      <c r="AO692" s="19"/>
      <c r="AP692" s="19"/>
      <c r="AQ692" s="19"/>
      <c r="AR692" s="19"/>
      <c r="AS692" s="19"/>
      <c r="AT692" s="19"/>
      <c r="AU692" s="19"/>
      <c r="AV692" s="19">
        <f t="shared" si="141"/>
        <v>0</v>
      </c>
      <c r="AW692" s="19">
        <f t="shared" si="142"/>
        <v>0</v>
      </c>
      <c r="AX692" s="19">
        <f t="shared" si="143"/>
        <v>0</v>
      </c>
    </row>
    <row r="693" spans="1:50" hidden="1" x14ac:dyDescent="0.5">
      <c r="A693" s="16"/>
      <c r="B693" s="15"/>
      <c r="C693" s="20"/>
      <c r="D693" s="20"/>
      <c r="E693" s="19"/>
      <c r="F693" s="20"/>
      <c r="G693" s="20"/>
      <c r="H693" s="19"/>
      <c r="I693" s="20"/>
      <c r="J693" s="20"/>
      <c r="K693" s="20"/>
      <c r="L693" s="20"/>
      <c r="M693" s="20"/>
      <c r="N693" s="20"/>
      <c r="O693" s="20"/>
      <c r="P693" s="20"/>
      <c r="Q693" s="19"/>
      <c r="R693" s="20"/>
      <c r="S693" s="20"/>
      <c r="T693" s="19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0"/>
      <c r="AI693" s="19"/>
      <c r="AJ693" s="19"/>
      <c r="AK693" s="19"/>
      <c r="AL693" s="19"/>
      <c r="AM693" s="19"/>
      <c r="AN693" s="19"/>
      <c r="AO693" s="19"/>
      <c r="AP693" s="19"/>
      <c r="AQ693" s="19"/>
      <c r="AR693" s="19"/>
      <c r="AS693" s="19"/>
      <c r="AT693" s="19"/>
      <c r="AU693" s="19"/>
      <c r="AV693" s="19">
        <f t="shared" si="141"/>
        <v>0</v>
      </c>
      <c r="AW693" s="19">
        <f t="shared" si="142"/>
        <v>0</v>
      </c>
      <c r="AX693" s="19">
        <f t="shared" si="143"/>
        <v>0</v>
      </c>
    </row>
    <row r="694" spans="1:50" hidden="1" x14ac:dyDescent="0.5">
      <c r="A694" s="16"/>
      <c r="B694" s="15"/>
      <c r="C694" s="20"/>
      <c r="D694" s="20"/>
      <c r="E694" s="19"/>
      <c r="F694" s="20"/>
      <c r="G694" s="20"/>
      <c r="H694" s="19"/>
      <c r="I694" s="20"/>
      <c r="J694" s="20"/>
      <c r="K694" s="20"/>
      <c r="L694" s="20"/>
      <c r="M694" s="20"/>
      <c r="N694" s="20"/>
      <c r="O694" s="20"/>
      <c r="P694" s="20"/>
      <c r="Q694" s="19"/>
      <c r="R694" s="20"/>
      <c r="S694" s="20"/>
      <c r="T694" s="19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  <c r="AH694" s="20"/>
      <c r="AI694" s="19"/>
      <c r="AJ694" s="19"/>
      <c r="AK694" s="19"/>
      <c r="AL694" s="19"/>
      <c r="AM694" s="19"/>
      <c r="AN694" s="19"/>
      <c r="AO694" s="19"/>
      <c r="AP694" s="19"/>
      <c r="AQ694" s="19"/>
      <c r="AR694" s="19"/>
      <c r="AS694" s="19"/>
      <c r="AT694" s="19"/>
      <c r="AU694" s="19"/>
      <c r="AV694" s="19">
        <f t="shared" si="141"/>
        <v>0</v>
      </c>
      <c r="AW694" s="19">
        <f t="shared" si="142"/>
        <v>0</v>
      </c>
      <c r="AX694" s="19">
        <f t="shared" si="143"/>
        <v>0</v>
      </c>
    </row>
    <row r="695" spans="1:50" hidden="1" x14ac:dyDescent="0.5">
      <c r="A695" s="16"/>
      <c r="B695" s="15"/>
      <c r="C695" s="20"/>
      <c r="D695" s="20"/>
      <c r="E695" s="19"/>
      <c r="F695" s="20"/>
      <c r="G695" s="20"/>
      <c r="H695" s="19"/>
      <c r="I695" s="20"/>
      <c r="J695" s="20"/>
      <c r="K695" s="20"/>
      <c r="L695" s="20"/>
      <c r="M695" s="20"/>
      <c r="N695" s="20"/>
      <c r="O695" s="20"/>
      <c r="P695" s="20"/>
      <c r="Q695" s="19"/>
      <c r="R695" s="20"/>
      <c r="S695" s="20"/>
      <c r="T695" s="19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  <c r="AH695" s="20"/>
      <c r="AI695" s="19"/>
      <c r="AJ695" s="19"/>
      <c r="AK695" s="19"/>
      <c r="AL695" s="19"/>
      <c r="AM695" s="19"/>
      <c r="AN695" s="19"/>
      <c r="AO695" s="19"/>
      <c r="AP695" s="19"/>
      <c r="AQ695" s="19"/>
      <c r="AR695" s="19"/>
      <c r="AS695" s="19"/>
      <c r="AT695" s="19"/>
      <c r="AU695" s="19"/>
      <c r="AV695" s="19">
        <f t="shared" si="141"/>
        <v>0</v>
      </c>
      <c r="AW695" s="19">
        <f t="shared" si="142"/>
        <v>0</v>
      </c>
      <c r="AX695" s="19">
        <f t="shared" si="143"/>
        <v>0</v>
      </c>
    </row>
    <row r="696" spans="1:50" hidden="1" x14ac:dyDescent="0.5">
      <c r="A696" s="16"/>
      <c r="B696" s="15"/>
      <c r="C696" s="20"/>
      <c r="D696" s="20"/>
      <c r="E696" s="19"/>
      <c r="F696" s="20"/>
      <c r="G696" s="20"/>
      <c r="H696" s="19"/>
      <c r="I696" s="20"/>
      <c r="J696" s="20"/>
      <c r="K696" s="20"/>
      <c r="L696" s="20"/>
      <c r="M696" s="20"/>
      <c r="N696" s="20"/>
      <c r="O696" s="20"/>
      <c r="P696" s="20"/>
      <c r="Q696" s="19"/>
      <c r="R696" s="20"/>
      <c r="S696" s="20"/>
      <c r="T696" s="19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  <c r="AH696" s="20"/>
      <c r="AI696" s="19"/>
      <c r="AJ696" s="19"/>
      <c r="AK696" s="19"/>
      <c r="AL696" s="19"/>
      <c r="AM696" s="19"/>
      <c r="AN696" s="19"/>
      <c r="AO696" s="19"/>
      <c r="AP696" s="19"/>
      <c r="AQ696" s="19"/>
      <c r="AR696" s="19"/>
      <c r="AS696" s="19"/>
      <c r="AT696" s="19"/>
      <c r="AU696" s="19"/>
      <c r="AV696" s="19">
        <f t="shared" si="141"/>
        <v>0</v>
      </c>
      <c r="AW696" s="19">
        <f t="shared" si="142"/>
        <v>0</v>
      </c>
      <c r="AX696" s="19">
        <f t="shared" si="143"/>
        <v>0</v>
      </c>
    </row>
    <row r="697" spans="1:50" hidden="1" x14ac:dyDescent="0.5">
      <c r="A697" s="16"/>
      <c r="B697" s="15"/>
      <c r="C697" s="20"/>
      <c r="D697" s="20"/>
      <c r="E697" s="19"/>
      <c r="F697" s="20"/>
      <c r="G697" s="20"/>
      <c r="H697" s="19"/>
      <c r="I697" s="20"/>
      <c r="J697" s="20"/>
      <c r="K697" s="20"/>
      <c r="L697" s="20"/>
      <c r="M697" s="20"/>
      <c r="N697" s="20"/>
      <c r="O697" s="20"/>
      <c r="P697" s="20"/>
      <c r="Q697" s="19"/>
      <c r="R697" s="20"/>
      <c r="S697" s="20"/>
      <c r="T697" s="19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  <c r="AH697" s="20"/>
      <c r="AI697" s="19"/>
      <c r="AJ697" s="19"/>
      <c r="AK697" s="19"/>
      <c r="AL697" s="19"/>
      <c r="AM697" s="19"/>
      <c r="AN697" s="19"/>
      <c r="AO697" s="19"/>
      <c r="AP697" s="19"/>
      <c r="AQ697" s="19"/>
      <c r="AR697" s="19"/>
      <c r="AS697" s="19"/>
      <c r="AT697" s="19"/>
      <c r="AU697" s="19"/>
      <c r="AV697" s="19">
        <f t="shared" si="141"/>
        <v>0</v>
      </c>
      <c r="AW697" s="19">
        <f t="shared" si="142"/>
        <v>0</v>
      </c>
      <c r="AX697" s="19">
        <f t="shared" si="143"/>
        <v>0</v>
      </c>
    </row>
    <row r="698" spans="1:50" hidden="1" x14ac:dyDescent="0.5">
      <c r="A698" s="14"/>
      <c r="B698" s="13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8">
        <f>SUM(AA677:AA689)</f>
        <v>0</v>
      </c>
      <c r="AB698" s="18">
        <f>SUM(AB677:AB689)</f>
        <v>0</v>
      </c>
      <c r="AV698" s="182">
        <f>SUM(AV677:AV697)</f>
        <v>0</v>
      </c>
      <c r="AW698" s="182">
        <f>SUM(AW677:AW697)</f>
        <v>0</v>
      </c>
      <c r="AX698" s="182">
        <f>SUM(AX677:AX697)</f>
        <v>0</v>
      </c>
    </row>
    <row r="699" spans="1:50" hidden="1" x14ac:dyDescent="0.5"/>
    <row r="700" spans="1:50" hidden="1" x14ac:dyDescent="0.5">
      <c r="A700" s="550" t="s">
        <v>390</v>
      </c>
      <c r="B700" s="550"/>
    </row>
    <row r="701" spans="1:50" hidden="1" x14ac:dyDescent="0.5"/>
    <row r="702" spans="1:50" hidden="1" x14ac:dyDescent="0.5">
      <c r="A702" s="551" t="s">
        <v>118</v>
      </c>
      <c r="B702" s="552" t="s">
        <v>135</v>
      </c>
      <c r="C702" s="553"/>
      <c r="D702" s="553"/>
      <c r="E702" s="553"/>
      <c r="F702" s="553"/>
      <c r="G702" s="553"/>
      <c r="H702" s="553"/>
      <c r="I702" s="553"/>
      <c r="J702" s="553"/>
      <c r="K702" s="553"/>
      <c r="L702" s="553"/>
      <c r="M702" s="553"/>
      <c r="N702" s="553"/>
      <c r="O702" s="553"/>
      <c r="P702" s="553"/>
      <c r="Q702" s="553"/>
      <c r="R702" s="553"/>
      <c r="S702" s="553"/>
      <c r="T702" s="553"/>
      <c r="U702" s="553"/>
      <c r="V702" s="553"/>
      <c r="W702" s="553"/>
      <c r="X702" s="553"/>
      <c r="Y702" s="553"/>
      <c r="Z702" s="553"/>
      <c r="AA702" s="553"/>
      <c r="AB702" s="553"/>
      <c r="AC702" s="553"/>
      <c r="AD702" s="553"/>
      <c r="AE702" s="553"/>
      <c r="AF702" s="553"/>
      <c r="AG702" s="553"/>
      <c r="AH702" s="553"/>
      <c r="AI702" s="553"/>
      <c r="AJ702" s="553"/>
      <c r="AK702" s="553"/>
      <c r="AL702" s="553"/>
      <c r="AM702" s="553"/>
      <c r="AN702" s="553"/>
      <c r="AO702" s="553"/>
      <c r="AP702" s="553"/>
      <c r="AQ702" s="553"/>
      <c r="AR702" s="553"/>
      <c r="AS702" s="553"/>
      <c r="AT702" s="553"/>
      <c r="AU702" s="553"/>
      <c r="AV702" s="553"/>
      <c r="AW702" s="553"/>
      <c r="AX702" s="553"/>
    </row>
    <row r="703" spans="1:50" hidden="1" x14ac:dyDescent="0.5">
      <c r="A703" s="551"/>
      <c r="B703" s="552"/>
      <c r="C703" s="554" t="s">
        <v>124</v>
      </c>
      <c r="D703" s="555"/>
      <c r="E703" s="556"/>
      <c r="F703" s="554" t="s">
        <v>133</v>
      </c>
      <c r="G703" s="555"/>
      <c r="H703" s="556"/>
      <c r="I703" s="554" t="s">
        <v>132</v>
      </c>
      <c r="J703" s="555"/>
      <c r="K703" s="556"/>
      <c r="L703" s="554" t="s">
        <v>131</v>
      </c>
      <c r="M703" s="555"/>
      <c r="N703" s="556"/>
      <c r="O703" s="554" t="s">
        <v>130</v>
      </c>
      <c r="P703" s="555"/>
      <c r="Q703" s="556"/>
      <c r="R703" s="554" t="s">
        <v>129</v>
      </c>
      <c r="S703" s="555"/>
      <c r="T703" s="556"/>
      <c r="U703" s="554" t="s">
        <v>128</v>
      </c>
      <c r="V703" s="555"/>
      <c r="W703" s="556"/>
      <c r="X703" s="554" t="s">
        <v>127</v>
      </c>
      <c r="Y703" s="555"/>
      <c r="Z703" s="556"/>
      <c r="AA703" s="554" t="s">
        <v>126</v>
      </c>
      <c r="AB703" s="555"/>
      <c r="AC703" s="556"/>
      <c r="AD703" s="554" t="s">
        <v>378</v>
      </c>
      <c r="AE703" s="555"/>
      <c r="AF703" s="556"/>
      <c r="AG703" s="554" t="s">
        <v>125</v>
      </c>
      <c r="AH703" s="555"/>
      <c r="AI703" s="556"/>
      <c r="AJ703" s="554" t="s">
        <v>124</v>
      </c>
      <c r="AK703" s="555"/>
      <c r="AL703" s="556"/>
      <c r="AM703" s="554" t="s">
        <v>123</v>
      </c>
      <c r="AN703" s="555"/>
      <c r="AO703" s="556"/>
      <c r="AP703" s="554" t="s">
        <v>367</v>
      </c>
      <c r="AQ703" s="555"/>
      <c r="AR703" s="556"/>
      <c r="AS703" s="554" t="s">
        <v>368</v>
      </c>
      <c r="AT703" s="555"/>
      <c r="AU703" s="556"/>
      <c r="AV703" s="554" t="s">
        <v>122</v>
      </c>
      <c r="AW703" s="555"/>
      <c r="AX703" s="556"/>
    </row>
    <row r="704" spans="1:50" hidden="1" x14ac:dyDescent="0.5">
      <c r="A704" s="551"/>
      <c r="B704" s="552"/>
      <c r="C704" s="17" t="s">
        <v>109</v>
      </c>
      <c r="D704" s="17" t="s">
        <v>108</v>
      </c>
      <c r="E704" s="17" t="s">
        <v>348</v>
      </c>
      <c r="F704" s="17" t="s">
        <v>109</v>
      </c>
      <c r="G704" s="17" t="s">
        <v>108</v>
      </c>
      <c r="H704" s="17" t="s">
        <v>348</v>
      </c>
      <c r="I704" s="17" t="s">
        <v>109</v>
      </c>
      <c r="J704" s="17" t="s">
        <v>108</v>
      </c>
      <c r="K704" s="17" t="s">
        <v>348</v>
      </c>
      <c r="L704" s="17" t="s">
        <v>109</v>
      </c>
      <c r="M704" s="17" t="s">
        <v>108</v>
      </c>
      <c r="N704" s="17" t="s">
        <v>348</v>
      </c>
      <c r="O704" s="17" t="s">
        <v>109</v>
      </c>
      <c r="P704" s="17" t="s">
        <v>108</v>
      </c>
      <c r="Q704" s="17" t="s">
        <v>348</v>
      </c>
      <c r="R704" s="17" t="s">
        <v>109</v>
      </c>
      <c r="S704" s="17" t="s">
        <v>108</v>
      </c>
      <c r="T704" s="17" t="s">
        <v>348</v>
      </c>
      <c r="U704" s="17" t="s">
        <v>109</v>
      </c>
      <c r="V704" s="17" t="s">
        <v>108</v>
      </c>
      <c r="W704" s="17" t="s">
        <v>348</v>
      </c>
      <c r="X704" s="17" t="s">
        <v>109</v>
      </c>
      <c r="Y704" s="17" t="s">
        <v>108</v>
      </c>
      <c r="Z704" s="17" t="s">
        <v>348</v>
      </c>
      <c r="AA704" s="17" t="s">
        <v>109</v>
      </c>
      <c r="AB704" s="17" t="s">
        <v>108</v>
      </c>
      <c r="AC704" s="17" t="s">
        <v>348</v>
      </c>
      <c r="AD704" s="17"/>
      <c r="AE704" s="17"/>
      <c r="AF704" s="17"/>
      <c r="AG704" s="17" t="s">
        <v>109</v>
      </c>
      <c r="AH704" s="17" t="s">
        <v>108</v>
      </c>
      <c r="AI704" s="17" t="s">
        <v>348</v>
      </c>
      <c r="AJ704" s="17" t="s">
        <v>109</v>
      </c>
      <c r="AK704" s="17" t="s">
        <v>108</v>
      </c>
      <c r="AL704" s="17" t="s">
        <v>348</v>
      </c>
      <c r="AM704" s="17" t="s">
        <v>109</v>
      </c>
      <c r="AN704" s="17" t="s">
        <v>108</v>
      </c>
      <c r="AO704" s="17" t="s">
        <v>348</v>
      </c>
      <c r="AP704" s="17" t="s">
        <v>109</v>
      </c>
      <c r="AQ704" s="17" t="s">
        <v>108</v>
      </c>
      <c r="AR704" s="17" t="s">
        <v>348</v>
      </c>
      <c r="AS704" s="17" t="s">
        <v>109</v>
      </c>
      <c r="AT704" s="17" t="s">
        <v>108</v>
      </c>
      <c r="AU704" s="17" t="s">
        <v>348</v>
      </c>
      <c r="AV704" s="17" t="s">
        <v>109</v>
      </c>
      <c r="AW704" s="17" t="s">
        <v>108</v>
      </c>
      <c r="AX704" s="17" t="s">
        <v>348</v>
      </c>
    </row>
    <row r="705" spans="1:50" hidden="1" x14ac:dyDescent="0.5">
      <c r="A705" s="16"/>
      <c r="B705" s="15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  <c r="AR705" s="19"/>
      <c r="AS705" s="19"/>
      <c r="AT705" s="19"/>
      <c r="AU705" s="19"/>
      <c r="AV705" s="19">
        <f>C705+F705+I705+L705+O705+R705+U705+X705+AA705+AG705+AJ705+AM705+AP705+AS705</f>
        <v>0</v>
      </c>
      <c r="AW705" s="19">
        <f>D705+G705+J705+M705+P705+S705+V705+Y705+AB705+AH705+AK705+AN705+AQ705+AT705</f>
        <v>0</v>
      </c>
      <c r="AX705" s="19">
        <f>E705+H705+K705+N705+Q705+T705+W705+Z705+AC705+AI705+AL705+AO705+AR705+AU705</f>
        <v>0</v>
      </c>
    </row>
    <row r="706" spans="1:50" hidden="1" x14ac:dyDescent="0.5">
      <c r="A706" s="16"/>
      <c r="B706" s="15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21"/>
      <c r="P706" s="178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19"/>
      <c r="AS706" s="19"/>
      <c r="AT706" s="19"/>
      <c r="AU706" s="19"/>
      <c r="AV706" s="19">
        <f t="shared" ref="AV706:AV724" si="144">C706+F706+I706+L706+O706+R706+U706+X706+AA706+AG706+AJ706+AM706</f>
        <v>0</v>
      </c>
      <c r="AW706" s="19">
        <f>D706+G706+J706+M706+P706+S706+V706+Y706+AB706+AH706+AK706+AN706+AE706</f>
        <v>0</v>
      </c>
      <c r="AX706" s="19">
        <f>E706+H706+K706+N706+Q706+T706+W706+Z706+AC706+AI706+AL706+AN706+AF706</f>
        <v>0</v>
      </c>
    </row>
    <row r="707" spans="1:50" hidden="1" x14ac:dyDescent="0.5">
      <c r="A707" s="16"/>
      <c r="B707" s="15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19"/>
      <c r="AS707" s="19"/>
      <c r="AT707" s="19"/>
      <c r="AU707" s="19"/>
      <c r="AV707" s="19">
        <f t="shared" si="144"/>
        <v>0</v>
      </c>
      <c r="AW707" s="19">
        <f t="shared" ref="AW707:AW725" si="145">D707+G707+J707+M707+P707+S707+V707+Y707+AB707+AH707+AK707+AN707</f>
        <v>0</v>
      </c>
      <c r="AX707" s="19">
        <f t="shared" ref="AX707:AX725" si="146">E707+H707+K707+N707+Q707+T707+W707+Z707+AC707+AI707+AL707+AN707</f>
        <v>0</v>
      </c>
    </row>
    <row r="708" spans="1:50" hidden="1" x14ac:dyDescent="0.5">
      <c r="A708" s="16"/>
      <c r="B708" s="15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19"/>
      <c r="AS708" s="19"/>
      <c r="AT708" s="19"/>
      <c r="AU708" s="19"/>
      <c r="AV708" s="19">
        <f t="shared" si="144"/>
        <v>0</v>
      </c>
      <c r="AW708" s="19">
        <f t="shared" si="145"/>
        <v>0</v>
      </c>
      <c r="AX708" s="19">
        <f t="shared" si="146"/>
        <v>0</v>
      </c>
    </row>
    <row r="709" spans="1:50" hidden="1" x14ac:dyDescent="0.5">
      <c r="A709" s="16"/>
      <c r="B709" s="15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  <c r="AS709" s="19"/>
      <c r="AT709" s="19"/>
      <c r="AU709" s="19"/>
      <c r="AV709" s="19">
        <f t="shared" si="144"/>
        <v>0</v>
      </c>
      <c r="AW709" s="19">
        <f t="shared" si="145"/>
        <v>0</v>
      </c>
      <c r="AX709" s="19">
        <f t="shared" si="146"/>
        <v>0</v>
      </c>
    </row>
    <row r="710" spans="1:50" hidden="1" x14ac:dyDescent="0.5">
      <c r="A710" s="16"/>
      <c r="B710" s="15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19"/>
      <c r="AS710" s="19"/>
      <c r="AT710" s="19"/>
      <c r="AU710" s="19"/>
      <c r="AV710" s="19">
        <f t="shared" si="144"/>
        <v>0</v>
      </c>
      <c r="AW710" s="19">
        <f t="shared" si="145"/>
        <v>0</v>
      </c>
      <c r="AX710" s="19">
        <f t="shared" si="146"/>
        <v>0</v>
      </c>
    </row>
    <row r="711" spans="1:50" hidden="1" x14ac:dyDescent="0.5">
      <c r="A711" s="16"/>
      <c r="B711" s="15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  <c r="AR711" s="19"/>
      <c r="AS711" s="19"/>
      <c r="AT711" s="19"/>
      <c r="AU711" s="19"/>
      <c r="AV711" s="19">
        <f t="shared" si="144"/>
        <v>0</v>
      </c>
      <c r="AW711" s="19">
        <f t="shared" si="145"/>
        <v>0</v>
      </c>
      <c r="AX711" s="19">
        <f t="shared" si="146"/>
        <v>0</v>
      </c>
    </row>
    <row r="712" spans="1:50" hidden="1" x14ac:dyDescent="0.5">
      <c r="A712" s="16"/>
      <c r="B712" s="15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  <c r="AP712" s="19"/>
      <c r="AQ712" s="19"/>
      <c r="AR712" s="19"/>
      <c r="AS712" s="19"/>
      <c r="AT712" s="19"/>
      <c r="AU712" s="19"/>
      <c r="AV712" s="19">
        <f t="shared" si="144"/>
        <v>0</v>
      </c>
      <c r="AW712" s="19">
        <f t="shared" si="145"/>
        <v>0</v>
      </c>
      <c r="AX712" s="19">
        <f t="shared" si="146"/>
        <v>0</v>
      </c>
    </row>
    <row r="713" spans="1:50" hidden="1" x14ac:dyDescent="0.5">
      <c r="A713" s="16"/>
      <c r="B713" s="15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  <c r="AP713" s="19"/>
      <c r="AQ713" s="19"/>
      <c r="AR713" s="19"/>
      <c r="AS713" s="19"/>
      <c r="AT713" s="19"/>
      <c r="AU713" s="19"/>
      <c r="AV713" s="19">
        <f t="shared" si="144"/>
        <v>0</v>
      </c>
      <c r="AW713" s="19">
        <f t="shared" si="145"/>
        <v>0</v>
      </c>
      <c r="AX713" s="19">
        <f t="shared" si="146"/>
        <v>0</v>
      </c>
    </row>
    <row r="714" spans="1:50" hidden="1" x14ac:dyDescent="0.5">
      <c r="A714" s="16"/>
      <c r="B714" s="15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9"/>
      <c r="AS714" s="19"/>
      <c r="AT714" s="19"/>
      <c r="AU714" s="19"/>
      <c r="AV714" s="19">
        <f t="shared" si="144"/>
        <v>0</v>
      </c>
      <c r="AW714" s="19">
        <f t="shared" si="145"/>
        <v>0</v>
      </c>
      <c r="AX714" s="19">
        <f t="shared" si="146"/>
        <v>0</v>
      </c>
    </row>
    <row r="715" spans="1:50" hidden="1" x14ac:dyDescent="0.5">
      <c r="A715" s="16"/>
      <c r="B715" s="15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  <c r="AO715" s="19"/>
      <c r="AP715" s="19"/>
      <c r="AQ715" s="19"/>
      <c r="AR715" s="19"/>
      <c r="AS715" s="19"/>
      <c r="AT715" s="19"/>
      <c r="AU715" s="19"/>
      <c r="AV715" s="19">
        <f t="shared" si="144"/>
        <v>0</v>
      </c>
      <c r="AW715" s="19">
        <f t="shared" si="145"/>
        <v>0</v>
      </c>
      <c r="AX715" s="19">
        <f t="shared" si="146"/>
        <v>0</v>
      </c>
    </row>
    <row r="716" spans="1:50" hidden="1" x14ac:dyDescent="0.5">
      <c r="A716" s="16"/>
      <c r="B716" s="15"/>
      <c r="C716" s="20"/>
      <c r="D716" s="20"/>
      <c r="E716" s="19"/>
      <c r="F716" s="20"/>
      <c r="G716" s="20"/>
      <c r="H716" s="19"/>
      <c r="I716" s="20"/>
      <c r="J716" s="20"/>
      <c r="K716" s="20"/>
      <c r="L716" s="20"/>
      <c r="M716" s="20"/>
      <c r="N716" s="20"/>
      <c r="O716" s="20"/>
      <c r="P716" s="20"/>
      <c r="Q716" s="19"/>
      <c r="R716" s="20"/>
      <c r="S716" s="20"/>
      <c r="T716" s="19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  <c r="AG716" s="20"/>
      <c r="AH716" s="20"/>
      <c r="AI716" s="19"/>
      <c r="AJ716" s="19"/>
      <c r="AK716" s="19"/>
      <c r="AL716" s="19"/>
      <c r="AM716" s="19"/>
      <c r="AN716" s="19"/>
      <c r="AO716" s="19"/>
      <c r="AP716" s="19"/>
      <c r="AQ716" s="19"/>
      <c r="AR716" s="19"/>
      <c r="AS716" s="19"/>
      <c r="AT716" s="19"/>
      <c r="AU716" s="19"/>
      <c r="AV716" s="19">
        <f t="shared" si="144"/>
        <v>0</v>
      </c>
      <c r="AW716" s="19">
        <f t="shared" si="145"/>
        <v>0</v>
      </c>
      <c r="AX716" s="19">
        <f t="shared" si="146"/>
        <v>0</v>
      </c>
    </row>
    <row r="717" spans="1:50" hidden="1" x14ac:dyDescent="0.5">
      <c r="A717" s="16"/>
      <c r="B717" s="15"/>
      <c r="C717" s="20"/>
      <c r="D717" s="20"/>
      <c r="E717" s="19"/>
      <c r="F717" s="20"/>
      <c r="G717" s="20"/>
      <c r="H717" s="19"/>
      <c r="I717" s="20"/>
      <c r="J717" s="20"/>
      <c r="K717" s="20"/>
      <c r="L717" s="20"/>
      <c r="M717" s="20"/>
      <c r="N717" s="20"/>
      <c r="O717" s="20"/>
      <c r="P717" s="20"/>
      <c r="Q717" s="19"/>
      <c r="R717" s="20"/>
      <c r="S717" s="20"/>
      <c r="T717" s="19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  <c r="AH717" s="20"/>
      <c r="AI717" s="19"/>
      <c r="AJ717" s="19"/>
      <c r="AK717" s="19"/>
      <c r="AL717" s="19"/>
      <c r="AM717" s="19"/>
      <c r="AN717" s="19"/>
      <c r="AO717" s="19"/>
      <c r="AP717" s="19"/>
      <c r="AQ717" s="19"/>
      <c r="AR717" s="19"/>
      <c r="AS717" s="19"/>
      <c r="AT717" s="19"/>
      <c r="AU717" s="19"/>
      <c r="AV717" s="19">
        <f t="shared" si="144"/>
        <v>0</v>
      </c>
      <c r="AW717" s="19">
        <f t="shared" si="145"/>
        <v>0</v>
      </c>
      <c r="AX717" s="19">
        <f t="shared" si="146"/>
        <v>0</v>
      </c>
    </row>
    <row r="718" spans="1:50" hidden="1" x14ac:dyDescent="0.5">
      <c r="A718" s="16"/>
      <c r="B718" s="15"/>
      <c r="C718" s="20"/>
      <c r="D718" s="20"/>
      <c r="E718" s="19"/>
      <c r="F718" s="20"/>
      <c r="G718" s="20"/>
      <c r="H718" s="19"/>
      <c r="I718" s="20"/>
      <c r="J718" s="20"/>
      <c r="K718" s="20"/>
      <c r="L718" s="20"/>
      <c r="M718" s="20"/>
      <c r="N718" s="20"/>
      <c r="O718" s="20"/>
      <c r="P718" s="20"/>
      <c r="Q718" s="19"/>
      <c r="R718" s="20"/>
      <c r="S718" s="20"/>
      <c r="T718" s="19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  <c r="AG718" s="20"/>
      <c r="AH718" s="20"/>
      <c r="AI718" s="19"/>
      <c r="AJ718" s="19"/>
      <c r="AK718" s="19"/>
      <c r="AL718" s="19"/>
      <c r="AM718" s="19"/>
      <c r="AN718" s="19"/>
      <c r="AO718" s="19"/>
      <c r="AP718" s="19"/>
      <c r="AQ718" s="19"/>
      <c r="AR718" s="19"/>
      <c r="AS718" s="19"/>
      <c r="AT718" s="19"/>
      <c r="AU718" s="19"/>
      <c r="AV718" s="19">
        <f t="shared" si="144"/>
        <v>0</v>
      </c>
      <c r="AW718" s="19">
        <f t="shared" si="145"/>
        <v>0</v>
      </c>
      <c r="AX718" s="19">
        <f t="shared" si="146"/>
        <v>0</v>
      </c>
    </row>
    <row r="719" spans="1:50" hidden="1" x14ac:dyDescent="0.5">
      <c r="A719" s="16"/>
      <c r="B719" s="15"/>
      <c r="C719" s="20"/>
      <c r="D719" s="20"/>
      <c r="E719" s="19"/>
      <c r="F719" s="20"/>
      <c r="G719" s="20"/>
      <c r="H719" s="19"/>
      <c r="I719" s="20"/>
      <c r="J719" s="20"/>
      <c r="K719" s="20"/>
      <c r="L719" s="20"/>
      <c r="M719" s="20"/>
      <c r="N719" s="20"/>
      <c r="O719" s="20"/>
      <c r="P719" s="20"/>
      <c r="Q719" s="19"/>
      <c r="R719" s="20"/>
      <c r="S719" s="20"/>
      <c r="T719" s="19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  <c r="AH719" s="20"/>
      <c r="AI719" s="19"/>
      <c r="AJ719" s="19"/>
      <c r="AK719" s="19"/>
      <c r="AL719" s="19"/>
      <c r="AM719" s="19"/>
      <c r="AN719" s="19"/>
      <c r="AO719" s="19"/>
      <c r="AP719" s="19"/>
      <c r="AQ719" s="19"/>
      <c r="AR719" s="19"/>
      <c r="AS719" s="19"/>
      <c r="AT719" s="19"/>
      <c r="AU719" s="19"/>
      <c r="AV719" s="19">
        <f t="shared" si="144"/>
        <v>0</v>
      </c>
      <c r="AW719" s="19">
        <f t="shared" si="145"/>
        <v>0</v>
      </c>
      <c r="AX719" s="19">
        <f t="shared" si="146"/>
        <v>0</v>
      </c>
    </row>
    <row r="720" spans="1:50" hidden="1" x14ac:dyDescent="0.5">
      <c r="A720" s="16"/>
      <c r="B720" s="15"/>
      <c r="C720" s="20"/>
      <c r="D720" s="20"/>
      <c r="E720" s="19"/>
      <c r="F720" s="20"/>
      <c r="G720" s="20"/>
      <c r="H720" s="19"/>
      <c r="I720" s="20"/>
      <c r="J720" s="20"/>
      <c r="K720" s="20"/>
      <c r="L720" s="20"/>
      <c r="M720" s="20"/>
      <c r="N720" s="20"/>
      <c r="O720" s="20"/>
      <c r="P720" s="20"/>
      <c r="Q720" s="19"/>
      <c r="R720" s="20"/>
      <c r="S720" s="20"/>
      <c r="T720" s="19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  <c r="AH720" s="20"/>
      <c r="AI720" s="19"/>
      <c r="AJ720" s="19"/>
      <c r="AK720" s="19"/>
      <c r="AL720" s="19"/>
      <c r="AM720" s="19"/>
      <c r="AN720" s="19"/>
      <c r="AO720" s="19"/>
      <c r="AP720" s="19"/>
      <c r="AQ720" s="19"/>
      <c r="AR720" s="19"/>
      <c r="AS720" s="19"/>
      <c r="AT720" s="19"/>
      <c r="AU720" s="19"/>
      <c r="AV720" s="19">
        <f t="shared" si="144"/>
        <v>0</v>
      </c>
      <c r="AW720" s="19">
        <f t="shared" si="145"/>
        <v>0</v>
      </c>
      <c r="AX720" s="19">
        <f t="shared" si="146"/>
        <v>0</v>
      </c>
    </row>
    <row r="721" spans="1:50" hidden="1" x14ac:dyDescent="0.5">
      <c r="A721" s="16"/>
      <c r="B721" s="15"/>
      <c r="C721" s="20"/>
      <c r="D721" s="20"/>
      <c r="E721" s="19"/>
      <c r="F721" s="20"/>
      <c r="G721" s="20"/>
      <c r="H721" s="19"/>
      <c r="I721" s="20"/>
      <c r="J721" s="20"/>
      <c r="K721" s="20"/>
      <c r="L721" s="20"/>
      <c r="M721" s="20"/>
      <c r="N721" s="20"/>
      <c r="O721" s="20"/>
      <c r="P721" s="20"/>
      <c r="Q721" s="19"/>
      <c r="R721" s="20"/>
      <c r="S721" s="20"/>
      <c r="T721" s="19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  <c r="AH721" s="20"/>
      <c r="AI721" s="19"/>
      <c r="AJ721" s="19"/>
      <c r="AK721" s="19"/>
      <c r="AL721" s="19"/>
      <c r="AM721" s="19"/>
      <c r="AN721" s="19"/>
      <c r="AO721" s="19"/>
      <c r="AP721" s="19"/>
      <c r="AQ721" s="19"/>
      <c r="AR721" s="19"/>
      <c r="AS721" s="19"/>
      <c r="AT721" s="19"/>
      <c r="AU721" s="19"/>
      <c r="AV721" s="19">
        <f t="shared" si="144"/>
        <v>0</v>
      </c>
      <c r="AW721" s="19">
        <f t="shared" si="145"/>
        <v>0</v>
      </c>
      <c r="AX721" s="19">
        <f t="shared" si="146"/>
        <v>0</v>
      </c>
    </row>
    <row r="722" spans="1:50" hidden="1" x14ac:dyDescent="0.5">
      <c r="A722" s="16"/>
      <c r="B722" s="15"/>
      <c r="C722" s="20"/>
      <c r="D722" s="20"/>
      <c r="E722" s="19"/>
      <c r="F722" s="20"/>
      <c r="G722" s="20"/>
      <c r="H722" s="19"/>
      <c r="I722" s="20"/>
      <c r="J722" s="20"/>
      <c r="K722" s="20"/>
      <c r="L722" s="20"/>
      <c r="M722" s="20"/>
      <c r="N722" s="20"/>
      <c r="O722" s="20"/>
      <c r="P722" s="20"/>
      <c r="Q722" s="19"/>
      <c r="R722" s="20"/>
      <c r="S722" s="20"/>
      <c r="T722" s="19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  <c r="AH722" s="20"/>
      <c r="AI722" s="19"/>
      <c r="AJ722" s="19"/>
      <c r="AK722" s="19"/>
      <c r="AL722" s="19"/>
      <c r="AM722" s="19"/>
      <c r="AN722" s="19"/>
      <c r="AO722" s="19"/>
      <c r="AP722" s="19"/>
      <c r="AQ722" s="19"/>
      <c r="AR722" s="19"/>
      <c r="AS722" s="19"/>
      <c r="AT722" s="19"/>
      <c r="AU722" s="19"/>
      <c r="AV722" s="19">
        <f t="shared" si="144"/>
        <v>0</v>
      </c>
      <c r="AW722" s="19">
        <f t="shared" si="145"/>
        <v>0</v>
      </c>
      <c r="AX722" s="19">
        <f t="shared" si="146"/>
        <v>0</v>
      </c>
    </row>
    <row r="723" spans="1:50" hidden="1" x14ac:dyDescent="0.5">
      <c r="A723" s="16"/>
      <c r="B723" s="15"/>
      <c r="C723" s="20"/>
      <c r="D723" s="20"/>
      <c r="E723" s="19"/>
      <c r="F723" s="20"/>
      <c r="G723" s="20"/>
      <c r="H723" s="19"/>
      <c r="I723" s="20"/>
      <c r="J723" s="20"/>
      <c r="K723" s="20"/>
      <c r="L723" s="20"/>
      <c r="M723" s="20"/>
      <c r="N723" s="20"/>
      <c r="O723" s="20"/>
      <c r="P723" s="20"/>
      <c r="Q723" s="19"/>
      <c r="R723" s="20"/>
      <c r="S723" s="20"/>
      <c r="T723" s="19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  <c r="AH723" s="20"/>
      <c r="AI723" s="19"/>
      <c r="AJ723" s="19"/>
      <c r="AK723" s="19"/>
      <c r="AL723" s="19"/>
      <c r="AM723" s="19"/>
      <c r="AN723" s="19"/>
      <c r="AO723" s="19"/>
      <c r="AP723" s="19"/>
      <c r="AQ723" s="19"/>
      <c r="AR723" s="19"/>
      <c r="AS723" s="19"/>
      <c r="AT723" s="19"/>
      <c r="AU723" s="19"/>
      <c r="AV723" s="19">
        <f t="shared" si="144"/>
        <v>0</v>
      </c>
      <c r="AW723" s="19">
        <f t="shared" si="145"/>
        <v>0</v>
      </c>
      <c r="AX723" s="19">
        <f t="shared" si="146"/>
        <v>0</v>
      </c>
    </row>
    <row r="724" spans="1:50" hidden="1" x14ac:dyDescent="0.5">
      <c r="A724" s="16"/>
      <c r="B724" s="15"/>
      <c r="C724" s="20"/>
      <c r="D724" s="20"/>
      <c r="E724" s="19"/>
      <c r="F724" s="20"/>
      <c r="G724" s="20"/>
      <c r="H724" s="19"/>
      <c r="I724" s="20"/>
      <c r="J724" s="20"/>
      <c r="K724" s="20"/>
      <c r="L724" s="20"/>
      <c r="M724" s="20"/>
      <c r="N724" s="20"/>
      <c r="O724" s="20"/>
      <c r="P724" s="20"/>
      <c r="Q724" s="19"/>
      <c r="R724" s="20"/>
      <c r="S724" s="20"/>
      <c r="T724" s="19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  <c r="AH724" s="20"/>
      <c r="AI724" s="19"/>
      <c r="AJ724" s="19"/>
      <c r="AK724" s="19"/>
      <c r="AL724" s="19"/>
      <c r="AM724" s="19"/>
      <c r="AN724" s="19"/>
      <c r="AO724" s="19"/>
      <c r="AP724" s="19"/>
      <c r="AQ724" s="19"/>
      <c r="AR724" s="19"/>
      <c r="AS724" s="19"/>
      <c r="AT724" s="19"/>
      <c r="AU724" s="19"/>
      <c r="AV724" s="19">
        <f t="shared" si="144"/>
        <v>0</v>
      </c>
      <c r="AW724" s="19">
        <f t="shared" si="145"/>
        <v>0</v>
      </c>
      <c r="AX724" s="19">
        <f t="shared" si="146"/>
        <v>0</v>
      </c>
    </row>
    <row r="725" spans="1:50" hidden="1" x14ac:dyDescent="0.5">
      <c r="A725" s="16"/>
      <c r="B725" s="15"/>
      <c r="C725" s="20"/>
      <c r="D725" s="20"/>
      <c r="E725" s="19"/>
      <c r="F725" s="20"/>
      <c r="G725" s="20"/>
      <c r="H725" s="19"/>
      <c r="I725" s="20"/>
      <c r="J725" s="20"/>
      <c r="K725" s="20"/>
      <c r="L725" s="20"/>
      <c r="M725" s="20"/>
      <c r="N725" s="20"/>
      <c r="O725" s="20"/>
      <c r="P725" s="20"/>
      <c r="Q725" s="19"/>
      <c r="R725" s="20"/>
      <c r="S725" s="20"/>
      <c r="T725" s="19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  <c r="AH725" s="20"/>
      <c r="AI725" s="19"/>
      <c r="AJ725" s="19"/>
      <c r="AK725" s="19"/>
      <c r="AL725" s="19"/>
      <c r="AM725" s="19"/>
      <c r="AN725" s="19"/>
      <c r="AO725" s="19"/>
      <c r="AP725" s="19"/>
      <c r="AQ725" s="19"/>
      <c r="AR725" s="19"/>
      <c r="AS725" s="19"/>
      <c r="AT725" s="19"/>
      <c r="AU725" s="19"/>
      <c r="AV725" s="19">
        <f>C725+F725+I725+L725+O725+R725+U725+X725+AA725+AG725+AJ725+AM725</f>
        <v>0</v>
      </c>
      <c r="AW725" s="19">
        <f t="shared" si="145"/>
        <v>0</v>
      </c>
      <c r="AX725" s="19">
        <f t="shared" si="146"/>
        <v>0</v>
      </c>
    </row>
    <row r="726" spans="1:50" hidden="1" x14ac:dyDescent="0.5">
      <c r="A726" s="14"/>
      <c r="B726" s="13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8">
        <f>SUM(AA705:AA717)</f>
        <v>0</v>
      </c>
      <c r="AB726" s="18">
        <f>SUM(AB705:AB717)</f>
        <v>0</v>
      </c>
      <c r="AV726" s="182">
        <f>SUM(AV705:AV725)</f>
        <v>0</v>
      </c>
      <c r="AW726" s="182">
        <f>SUM(AW705:AW725)</f>
        <v>0</v>
      </c>
      <c r="AX726" s="182">
        <f>SUM(AX705:AX725)</f>
        <v>0</v>
      </c>
    </row>
    <row r="727" spans="1:50" hidden="1" x14ac:dyDescent="0.5"/>
    <row r="728" spans="1:50" hidden="1" x14ac:dyDescent="0.5">
      <c r="A728" s="550" t="s">
        <v>395</v>
      </c>
      <c r="B728" s="550"/>
    </row>
    <row r="729" spans="1:50" hidden="1" x14ac:dyDescent="0.5"/>
    <row r="730" spans="1:50" hidden="1" x14ac:dyDescent="0.5">
      <c r="A730" s="551" t="s">
        <v>118</v>
      </c>
      <c r="B730" s="552" t="s">
        <v>135</v>
      </c>
      <c r="C730" s="553"/>
      <c r="D730" s="553"/>
      <c r="E730" s="553"/>
      <c r="F730" s="553"/>
      <c r="G730" s="553"/>
      <c r="H730" s="553"/>
      <c r="I730" s="553"/>
      <c r="J730" s="553"/>
      <c r="K730" s="553"/>
      <c r="L730" s="553"/>
      <c r="M730" s="553"/>
      <c r="N730" s="553"/>
      <c r="O730" s="553"/>
      <c r="P730" s="553"/>
      <c r="Q730" s="553"/>
      <c r="R730" s="553"/>
      <c r="S730" s="553"/>
      <c r="T730" s="553"/>
      <c r="U730" s="553"/>
      <c r="V730" s="553"/>
      <c r="W730" s="553"/>
      <c r="X730" s="553"/>
      <c r="Y730" s="553"/>
      <c r="Z730" s="553"/>
      <c r="AA730" s="553"/>
      <c r="AB730" s="553"/>
      <c r="AC730" s="553"/>
      <c r="AD730" s="553"/>
      <c r="AE730" s="553"/>
      <c r="AF730" s="553"/>
      <c r="AG730" s="553"/>
      <c r="AH730" s="553"/>
      <c r="AI730" s="553"/>
      <c r="AJ730" s="553"/>
      <c r="AK730" s="553"/>
      <c r="AL730" s="553"/>
      <c r="AM730" s="553"/>
      <c r="AN730" s="553"/>
      <c r="AO730" s="553"/>
      <c r="AP730" s="553"/>
      <c r="AQ730" s="553"/>
      <c r="AR730" s="553"/>
      <c r="AS730" s="553"/>
      <c r="AT730" s="553"/>
      <c r="AU730" s="553"/>
      <c r="AV730" s="553"/>
      <c r="AW730" s="553"/>
      <c r="AX730" s="553"/>
    </row>
    <row r="731" spans="1:50" hidden="1" x14ac:dyDescent="0.5">
      <c r="A731" s="551"/>
      <c r="B731" s="552"/>
      <c r="C731" s="554" t="s">
        <v>124</v>
      </c>
      <c r="D731" s="555"/>
      <c r="E731" s="556"/>
      <c r="F731" s="554" t="s">
        <v>133</v>
      </c>
      <c r="G731" s="555"/>
      <c r="H731" s="556"/>
      <c r="I731" s="554" t="s">
        <v>132</v>
      </c>
      <c r="J731" s="555"/>
      <c r="K731" s="556"/>
      <c r="L731" s="554" t="s">
        <v>131</v>
      </c>
      <c r="M731" s="555"/>
      <c r="N731" s="556"/>
      <c r="O731" s="554" t="s">
        <v>130</v>
      </c>
      <c r="P731" s="555"/>
      <c r="Q731" s="556"/>
      <c r="R731" s="554" t="s">
        <v>129</v>
      </c>
      <c r="S731" s="555"/>
      <c r="T731" s="556"/>
      <c r="U731" s="554" t="s">
        <v>128</v>
      </c>
      <c r="V731" s="555"/>
      <c r="W731" s="556"/>
      <c r="X731" s="554" t="s">
        <v>127</v>
      </c>
      <c r="Y731" s="555"/>
      <c r="Z731" s="556"/>
      <c r="AA731" s="554" t="s">
        <v>126</v>
      </c>
      <c r="AB731" s="555"/>
      <c r="AC731" s="556"/>
      <c r="AD731" s="554" t="s">
        <v>378</v>
      </c>
      <c r="AE731" s="555"/>
      <c r="AF731" s="556"/>
      <c r="AG731" s="554" t="s">
        <v>125</v>
      </c>
      <c r="AH731" s="555"/>
      <c r="AI731" s="556"/>
      <c r="AJ731" s="554" t="s">
        <v>124</v>
      </c>
      <c r="AK731" s="555"/>
      <c r="AL731" s="556"/>
      <c r="AM731" s="554" t="s">
        <v>123</v>
      </c>
      <c r="AN731" s="555"/>
      <c r="AO731" s="556"/>
      <c r="AP731" s="554" t="s">
        <v>367</v>
      </c>
      <c r="AQ731" s="555"/>
      <c r="AR731" s="556"/>
      <c r="AS731" s="554" t="s">
        <v>368</v>
      </c>
      <c r="AT731" s="555"/>
      <c r="AU731" s="556"/>
      <c r="AV731" s="554" t="s">
        <v>122</v>
      </c>
      <c r="AW731" s="555"/>
      <c r="AX731" s="556"/>
    </row>
    <row r="732" spans="1:50" hidden="1" x14ac:dyDescent="0.5">
      <c r="A732" s="551"/>
      <c r="B732" s="552"/>
      <c r="C732" s="17" t="s">
        <v>109</v>
      </c>
      <c r="D732" s="17" t="s">
        <v>108</v>
      </c>
      <c r="E732" s="17" t="s">
        <v>348</v>
      </c>
      <c r="F732" s="17" t="s">
        <v>109</v>
      </c>
      <c r="G732" s="17" t="s">
        <v>108</v>
      </c>
      <c r="H732" s="17" t="s">
        <v>348</v>
      </c>
      <c r="I732" s="17" t="s">
        <v>109</v>
      </c>
      <c r="J732" s="17" t="s">
        <v>108</v>
      </c>
      <c r="K732" s="17" t="s">
        <v>348</v>
      </c>
      <c r="L732" s="17" t="s">
        <v>109</v>
      </c>
      <c r="M732" s="17" t="s">
        <v>108</v>
      </c>
      <c r="N732" s="17" t="s">
        <v>348</v>
      </c>
      <c r="O732" s="17" t="s">
        <v>109</v>
      </c>
      <c r="P732" s="17" t="s">
        <v>108</v>
      </c>
      <c r="Q732" s="17" t="s">
        <v>348</v>
      </c>
      <c r="R732" s="17" t="s">
        <v>109</v>
      </c>
      <c r="S732" s="17" t="s">
        <v>108</v>
      </c>
      <c r="T732" s="17" t="s">
        <v>348</v>
      </c>
      <c r="U732" s="17" t="s">
        <v>109</v>
      </c>
      <c r="V732" s="17" t="s">
        <v>108</v>
      </c>
      <c r="W732" s="17" t="s">
        <v>348</v>
      </c>
      <c r="X732" s="17" t="s">
        <v>109</v>
      </c>
      <c r="Y732" s="17" t="s">
        <v>108</v>
      </c>
      <c r="Z732" s="17" t="s">
        <v>348</v>
      </c>
      <c r="AA732" s="17" t="s">
        <v>109</v>
      </c>
      <c r="AB732" s="17" t="s">
        <v>108</v>
      </c>
      <c r="AC732" s="17" t="s">
        <v>348</v>
      </c>
      <c r="AD732" s="17"/>
      <c r="AE732" s="17"/>
      <c r="AF732" s="17"/>
      <c r="AG732" s="17" t="s">
        <v>109</v>
      </c>
      <c r="AH732" s="17" t="s">
        <v>108</v>
      </c>
      <c r="AI732" s="17" t="s">
        <v>348</v>
      </c>
      <c r="AJ732" s="17" t="s">
        <v>109</v>
      </c>
      <c r="AK732" s="17" t="s">
        <v>108</v>
      </c>
      <c r="AL732" s="17" t="s">
        <v>348</v>
      </c>
      <c r="AM732" s="17" t="s">
        <v>109</v>
      </c>
      <c r="AN732" s="17" t="s">
        <v>108</v>
      </c>
      <c r="AO732" s="17" t="s">
        <v>348</v>
      </c>
      <c r="AP732" s="17" t="s">
        <v>109</v>
      </c>
      <c r="AQ732" s="17" t="s">
        <v>108</v>
      </c>
      <c r="AR732" s="17" t="s">
        <v>348</v>
      </c>
      <c r="AS732" s="17" t="s">
        <v>109</v>
      </c>
      <c r="AT732" s="17" t="s">
        <v>108</v>
      </c>
      <c r="AU732" s="17" t="s">
        <v>348</v>
      </c>
      <c r="AV732" s="17" t="s">
        <v>109</v>
      </c>
      <c r="AW732" s="17" t="s">
        <v>108</v>
      </c>
      <c r="AX732" s="17" t="s">
        <v>348</v>
      </c>
    </row>
    <row r="733" spans="1:50" hidden="1" x14ac:dyDescent="0.5">
      <c r="A733" s="16"/>
      <c r="B733" s="15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  <c r="AO733" s="19"/>
      <c r="AP733" s="19"/>
      <c r="AQ733" s="19"/>
      <c r="AR733" s="19"/>
      <c r="AS733" s="19"/>
      <c r="AT733" s="19"/>
      <c r="AU733" s="19"/>
      <c r="AV733" s="19">
        <f>F733+X733</f>
        <v>0</v>
      </c>
      <c r="AW733" s="19">
        <f>G733+Y733</f>
        <v>0</v>
      </c>
      <c r="AX733" s="19">
        <f>H733+Z733</f>
        <v>0</v>
      </c>
    </row>
    <row r="734" spans="1:50" hidden="1" x14ac:dyDescent="0.5">
      <c r="A734" s="16"/>
      <c r="B734" s="15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21"/>
      <c r="P734" s="178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  <c r="AO734" s="19"/>
      <c r="AP734" s="19"/>
      <c r="AQ734" s="19"/>
      <c r="AR734" s="19"/>
      <c r="AS734" s="19"/>
      <c r="AT734" s="19"/>
      <c r="AU734" s="19"/>
      <c r="AV734" s="19">
        <f t="shared" ref="AV734:AV753" si="147">F734+X734</f>
        <v>0</v>
      </c>
      <c r="AW734" s="19">
        <f t="shared" ref="AW734:AW753" si="148">G734+Y734</f>
        <v>0</v>
      </c>
      <c r="AX734" s="19">
        <f t="shared" ref="AX734:AX753" si="149">H734+Z734</f>
        <v>0</v>
      </c>
    </row>
    <row r="735" spans="1:50" hidden="1" x14ac:dyDescent="0.5">
      <c r="A735" s="16"/>
      <c r="B735" s="15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  <c r="AO735" s="19"/>
      <c r="AP735" s="19"/>
      <c r="AQ735" s="19"/>
      <c r="AR735" s="19"/>
      <c r="AS735" s="19"/>
      <c r="AT735" s="19"/>
      <c r="AU735" s="19"/>
      <c r="AV735" s="19">
        <f t="shared" si="147"/>
        <v>0</v>
      </c>
      <c r="AW735" s="19">
        <f t="shared" si="148"/>
        <v>0</v>
      </c>
      <c r="AX735" s="19">
        <f t="shared" si="149"/>
        <v>0</v>
      </c>
    </row>
    <row r="736" spans="1:50" hidden="1" x14ac:dyDescent="0.5">
      <c r="A736" s="16"/>
      <c r="B736" s="15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  <c r="AO736" s="19"/>
      <c r="AP736" s="19"/>
      <c r="AQ736" s="19"/>
      <c r="AR736" s="19"/>
      <c r="AS736" s="19"/>
      <c r="AT736" s="19"/>
      <c r="AU736" s="19"/>
      <c r="AV736" s="19">
        <f t="shared" si="147"/>
        <v>0</v>
      </c>
      <c r="AW736" s="19">
        <f t="shared" si="148"/>
        <v>0</v>
      </c>
      <c r="AX736" s="19">
        <f t="shared" si="149"/>
        <v>0</v>
      </c>
    </row>
    <row r="737" spans="1:50" hidden="1" x14ac:dyDescent="0.5">
      <c r="A737" s="16"/>
      <c r="B737" s="15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  <c r="AM737" s="19"/>
      <c r="AN737" s="19"/>
      <c r="AO737" s="19"/>
      <c r="AP737" s="19"/>
      <c r="AQ737" s="19"/>
      <c r="AR737" s="19"/>
      <c r="AS737" s="19"/>
      <c r="AT737" s="19"/>
      <c r="AU737" s="19"/>
      <c r="AV737" s="19">
        <f t="shared" si="147"/>
        <v>0</v>
      </c>
      <c r="AW737" s="19">
        <f t="shared" si="148"/>
        <v>0</v>
      </c>
      <c r="AX737" s="19">
        <f t="shared" si="149"/>
        <v>0</v>
      </c>
    </row>
    <row r="738" spans="1:50" hidden="1" x14ac:dyDescent="0.5">
      <c r="A738" s="16"/>
      <c r="B738" s="15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  <c r="AR738" s="19"/>
      <c r="AS738" s="19"/>
      <c r="AT738" s="19"/>
      <c r="AU738" s="19"/>
      <c r="AV738" s="19">
        <f t="shared" si="147"/>
        <v>0</v>
      </c>
      <c r="AW738" s="19">
        <f t="shared" si="148"/>
        <v>0</v>
      </c>
      <c r="AX738" s="19">
        <f t="shared" si="149"/>
        <v>0</v>
      </c>
    </row>
    <row r="739" spans="1:50" hidden="1" x14ac:dyDescent="0.5">
      <c r="A739" s="16"/>
      <c r="B739" s="15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9"/>
      <c r="AS739" s="19"/>
      <c r="AT739" s="19"/>
      <c r="AU739" s="19"/>
      <c r="AV739" s="19">
        <f t="shared" si="147"/>
        <v>0</v>
      </c>
      <c r="AW739" s="19">
        <f t="shared" si="148"/>
        <v>0</v>
      </c>
      <c r="AX739" s="19">
        <f t="shared" si="149"/>
        <v>0</v>
      </c>
    </row>
    <row r="740" spans="1:50" hidden="1" x14ac:dyDescent="0.5">
      <c r="A740" s="16"/>
      <c r="B740" s="15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  <c r="AM740" s="19"/>
      <c r="AN740" s="19"/>
      <c r="AO740" s="19"/>
      <c r="AP740" s="19"/>
      <c r="AQ740" s="19"/>
      <c r="AR740" s="19"/>
      <c r="AS740" s="19"/>
      <c r="AT740" s="19"/>
      <c r="AU740" s="19"/>
      <c r="AV740" s="19">
        <f t="shared" si="147"/>
        <v>0</v>
      </c>
      <c r="AW740" s="19">
        <f t="shared" si="148"/>
        <v>0</v>
      </c>
      <c r="AX740" s="19">
        <f t="shared" si="149"/>
        <v>0</v>
      </c>
    </row>
    <row r="741" spans="1:50" hidden="1" x14ac:dyDescent="0.5">
      <c r="A741" s="16"/>
      <c r="B741" s="15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  <c r="AO741" s="19"/>
      <c r="AP741" s="19"/>
      <c r="AQ741" s="19"/>
      <c r="AR741" s="19"/>
      <c r="AS741" s="19"/>
      <c r="AT741" s="19"/>
      <c r="AU741" s="19"/>
      <c r="AV741" s="19">
        <f t="shared" si="147"/>
        <v>0</v>
      </c>
      <c r="AW741" s="19">
        <f t="shared" si="148"/>
        <v>0</v>
      </c>
      <c r="AX741" s="19">
        <f t="shared" si="149"/>
        <v>0</v>
      </c>
    </row>
    <row r="742" spans="1:50" hidden="1" x14ac:dyDescent="0.5">
      <c r="A742" s="16"/>
      <c r="B742" s="15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  <c r="AM742" s="19"/>
      <c r="AN742" s="19"/>
      <c r="AO742" s="19"/>
      <c r="AP742" s="19"/>
      <c r="AQ742" s="19"/>
      <c r="AR742" s="19"/>
      <c r="AS742" s="19"/>
      <c r="AT742" s="19"/>
      <c r="AU742" s="19"/>
      <c r="AV742" s="19">
        <f t="shared" si="147"/>
        <v>0</v>
      </c>
      <c r="AW742" s="19">
        <f t="shared" si="148"/>
        <v>0</v>
      </c>
      <c r="AX742" s="19">
        <f t="shared" si="149"/>
        <v>0</v>
      </c>
    </row>
    <row r="743" spans="1:50" hidden="1" x14ac:dyDescent="0.5">
      <c r="A743" s="16"/>
      <c r="B743" s="15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/>
      <c r="AO743" s="19"/>
      <c r="AP743" s="19"/>
      <c r="AQ743" s="19"/>
      <c r="AR743" s="19"/>
      <c r="AS743" s="19"/>
      <c r="AT743" s="19"/>
      <c r="AU743" s="19"/>
      <c r="AV743" s="19">
        <f t="shared" si="147"/>
        <v>0</v>
      </c>
      <c r="AW743" s="19">
        <f t="shared" si="148"/>
        <v>0</v>
      </c>
      <c r="AX743" s="19">
        <f t="shared" si="149"/>
        <v>0</v>
      </c>
    </row>
    <row r="744" spans="1:50" hidden="1" x14ac:dyDescent="0.5">
      <c r="A744" s="16"/>
      <c r="B744" s="15"/>
      <c r="C744" s="20"/>
      <c r="D744" s="20"/>
      <c r="E744" s="19"/>
      <c r="F744" s="20"/>
      <c r="G744" s="20"/>
      <c r="H744" s="19"/>
      <c r="I744" s="20"/>
      <c r="J744" s="20"/>
      <c r="K744" s="20"/>
      <c r="L744" s="20"/>
      <c r="M744" s="20"/>
      <c r="N744" s="20"/>
      <c r="O744" s="20"/>
      <c r="P744" s="20"/>
      <c r="Q744" s="19"/>
      <c r="R744" s="20"/>
      <c r="S744" s="20"/>
      <c r="T744" s="19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  <c r="AG744" s="20"/>
      <c r="AH744" s="20"/>
      <c r="AI744" s="19"/>
      <c r="AJ744" s="19"/>
      <c r="AK744" s="19"/>
      <c r="AL744" s="19"/>
      <c r="AM744" s="19"/>
      <c r="AN744" s="19"/>
      <c r="AO744" s="19"/>
      <c r="AP744" s="19"/>
      <c r="AQ744" s="19"/>
      <c r="AR744" s="19"/>
      <c r="AS744" s="19"/>
      <c r="AT744" s="19"/>
      <c r="AU744" s="19"/>
      <c r="AV744" s="19">
        <f t="shared" si="147"/>
        <v>0</v>
      </c>
      <c r="AW744" s="19">
        <f t="shared" si="148"/>
        <v>0</v>
      </c>
      <c r="AX744" s="19">
        <f t="shared" si="149"/>
        <v>0</v>
      </c>
    </row>
    <row r="745" spans="1:50" hidden="1" x14ac:dyDescent="0.5">
      <c r="A745" s="16"/>
      <c r="B745" s="15"/>
      <c r="C745" s="20"/>
      <c r="D745" s="20"/>
      <c r="E745" s="19"/>
      <c r="F745" s="20"/>
      <c r="G745" s="20"/>
      <c r="H745" s="19"/>
      <c r="I745" s="20"/>
      <c r="J745" s="20"/>
      <c r="K745" s="20"/>
      <c r="L745" s="20"/>
      <c r="M745" s="20"/>
      <c r="N745" s="20"/>
      <c r="O745" s="20"/>
      <c r="P745" s="20"/>
      <c r="Q745" s="19"/>
      <c r="R745" s="20"/>
      <c r="S745" s="20"/>
      <c r="T745" s="19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  <c r="AG745" s="20"/>
      <c r="AH745" s="20"/>
      <c r="AI745" s="19"/>
      <c r="AJ745" s="19"/>
      <c r="AK745" s="19"/>
      <c r="AL745" s="19"/>
      <c r="AM745" s="19"/>
      <c r="AN745" s="19"/>
      <c r="AO745" s="19"/>
      <c r="AP745" s="19"/>
      <c r="AQ745" s="19"/>
      <c r="AR745" s="19"/>
      <c r="AS745" s="19"/>
      <c r="AT745" s="19"/>
      <c r="AU745" s="19"/>
      <c r="AV745" s="19">
        <f t="shared" si="147"/>
        <v>0</v>
      </c>
      <c r="AW745" s="19">
        <f t="shared" si="148"/>
        <v>0</v>
      </c>
      <c r="AX745" s="19">
        <f t="shared" si="149"/>
        <v>0</v>
      </c>
    </row>
    <row r="746" spans="1:50" hidden="1" x14ac:dyDescent="0.5">
      <c r="A746" s="16"/>
      <c r="B746" s="15"/>
      <c r="C746" s="20"/>
      <c r="D746" s="20"/>
      <c r="E746" s="19"/>
      <c r="F746" s="20"/>
      <c r="G746" s="20"/>
      <c r="H746" s="19"/>
      <c r="I746" s="20"/>
      <c r="J746" s="20"/>
      <c r="K746" s="20"/>
      <c r="L746" s="20"/>
      <c r="M746" s="20"/>
      <c r="N746" s="20"/>
      <c r="O746" s="20"/>
      <c r="P746" s="20"/>
      <c r="Q746" s="19"/>
      <c r="R746" s="20"/>
      <c r="S746" s="20"/>
      <c r="T746" s="19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  <c r="AG746" s="20"/>
      <c r="AH746" s="20"/>
      <c r="AI746" s="19"/>
      <c r="AJ746" s="19"/>
      <c r="AK746" s="19"/>
      <c r="AL746" s="19"/>
      <c r="AM746" s="19"/>
      <c r="AN746" s="19"/>
      <c r="AO746" s="19"/>
      <c r="AP746" s="19"/>
      <c r="AQ746" s="19"/>
      <c r="AR746" s="19"/>
      <c r="AS746" s="19"/>
      <c r="AT746" s="19"/>
      <c r="AU746" s="19"/>
      <c r="AV746" s="19">
        <f t="shared" si="147"/>
        <v>0</v>
      </c>
      <c r="AW746" s="19">
        <f t="shared" si="148"/>
        <v>0</v>
      </c>
      <c r="AX746" s="19">
        <f t="shared" si="149"/>
        <v>0</v>
      </c>
    </row>
    <row r="747" spans="1:50" hidden="1" x14ac:dyDescent="0.5">
      <c r="A747" s="16"/>
      <c r="B747" s="15"/>
      <c r="C747" s="20"/>
      <c r="D747" s="20"/>
      <c r="E747" s="19"/>
      <c r="F747" s="20"/>
      <c r="G747" s="20"/>
      <c r="H747" s="19"/>
      <c r="I747" s="20"/>
      <c r="J747" s="20"/>
      <c r="K747" s="20"/>
      <c r="L747" s="20"/>
      <c r="M747" s="20"/>
      <c r="N747" s="20"/>
      <c r="O747" s="20"/>
      <c r="P747" s="20"/>
      <c r="Q747" s="19"/>
      <c r="R747" s="20"/>
      <c r="S747" s="20"/>
      <c r="T747" s="19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  <c r="AG747" s="20"/>
      <c r="AH747" s="20"/>
      <c r="AI747" s="19"/>
      <c r="AJ747" s="19"/>
      <c r="AK747" s="19"/>
      <c r="AL747" s="19"/>
      <c r="AM747" s="19"/>
      <c r="AN747" s="19"/>
      <c r="AO747" s="19"/>
      <c r="AP747" s="19"/>
      <c r="AQ747" s="19"/>
      <c r="AR747" s="19"/>
      <c r="AS747" s="19"/>
      <c r="AT747" s="19"/>
      <c r="AU747" s="19"/>
      <c r="AV747" s="19">
        <f t="shared" si="147"/>
        <v>0</v>
      </c>
      <c r="AW747" s="19">
        <f t="shared" si="148"/>
        <v>0</v>
      </c>
      <c r="AX747" s="19">
        <f t="shared" si="149"/>
        <v>0</v>
      </c>
    </row>
    <row r="748" spans="1:50" hidden="1" x14ac:dyDescent="0.5">
      <c r="A748" s="16"/>
      <c r="B748" s="15"/>
      <c r="C748" s="20"/>
      <c r="D748" s="20"/>
      <c r="E748" s="19"/>
      <c r="F748" s="20"/>
      <c r="G748" s="20"/>
      <c r="H748" s="19"/>
      <c r="I748" s="20"/>
      <c r="J748" s="20"/>
      <c r="K748" s="20"/>
      <c r="L748" s="20"/>
      <c r="M748" s="20"/>
      <c r="N748" s="20"/>
      <c r="O748" s="20"/>
      <c r="P748" s="20"/>
      <c r="Q748" s="19"/>
      <c r="R748" s="20"/>
      <c r="S748" s="20"/>
      <c r="T748" s="19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  <c r="AG748" s="20"/>
      <c r="AH748" s="20"/>
      <c r="AI748" s="19"/>
      <c r="AJ748" s="19"/>
      <c r="AK748" s="19"/>
      <c r="AL748" s="19"/>
      <c r="AM748" s="19"/>
      <c r="AN748" s="19"/>
      <c r="AO748" s="19"/>
      <c r="AP748" s="19"/>
      <c r="AQ748" s="19"/>
      <c r="AR748" s="19"/>
      <c r="AS748" s="19"/>
      <c r="AT748" s="19"/>
      <c r="AU748" s="19"/>
      <c r="AV748" s="19">
        <f t="shared" si="147"/>
        <v>0</v>
      </c>
      <c r="AW748" s="19">
        <f t="shared" si="148"/>
        <v>0</v>
      </c>
      <c r="AX748" s="19">
        <f t="shared" si="149"/>
        <v>0</v>
      </c>
    </row>
    <row r="749" spans="1:50" hidden="1" x14ac:dyDescent="0.5">
      <c r="A749" s="16"/>
      <c r="B749" s="15"/>
      <c r="C749" s="20"/>
      <c r="D749" s="20"/>
      <c r="E749" s="19"/>
      <c r="F749" s="20"/>
      <c r="G749" s="20"/>
      <c r="H749" s="19"/>
      <c r="I749" s="20"/>
      <c r="J749" s="20"/>
      <c r="K749" s="20"/>
      <c r="L749" s="20"/>
      <c r="M749" s="20"/>
      <c r="N749" s="20"/>
      <c r="O749" s="20"/>
      <c r="P749" s="20"/>
      <c r="Q749" s="19"/>
      <c r="R749" s="20"/>
      <c r="S749" s="20"/>
      <c r="T749" s="19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  <c r="AG749" s="20"/>
      <c r="AH749" s="20"/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  <c r="AS749" s="19"/>
      <c r="AT749" s="19"/>
      <c r="AU749" s="19"/>
      <c r="AV749" s="19">
        <f t="shared" si="147"/>
        <v>0</v>
      </c>
      <c r="AW749" s="19">
        <f t="shared" si="148"/>
        <v>0</v>
      </c>
      <c r="AX749" s="19">
        <f t="shared" si="149"/>
        <v>0</v>
      </c>
    </row>
    <row r="750" spans="1:50" hidden="1" x14ac:dyDescent="0.5">
      <c r="A750" s="16"/>
      <c r="B750" s="15"/>
      <c r="C750" s="20"/>
      <c r="D750" s="20"/>
      <c r="E750" s="19"/>
      <c r="F750" s="20"/>
      <c r="G750" s="20"/>
      <c r="H750" s="19"/>
      <c r="I750" s="20"/>
      <c r="J750" s="20"/>
      <c r="K750" s="20"/>
      <c r="L750" s="20"/>
      <c r="M750" s="20"/>
      <c r="N750" s="20"/>
      <c r="O750" s="20"/>
      <c r="P750" s="20"/>
      <c r="Q750" s="19"/>
      <c r="R750" s="20"/>
      <c r="S750" s="20"/>
      <c r="T750" s="19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  <c r="AG750" s="20"/>
      <c r="AH750" s="20"/>
      <c r="AI750" s="19"/>
      <c r="AJ750" s="19"/>
      <c r="AK750" s="19"/>
      <c r="AL750" s="19"/>
      <c r="AM750" s="19"/>
      <c r="AN750" s="19"/>
      <c r="AO750" s="19"/>
      <c r="AP750" s="19"/>
      <c r="AQ750" s="19"/>
      <c r="AR750" s="19"/>
      <c r="AS750" s="19"/>
      <c r="AT750" s="19"/>
      <c r="AU750" s="19"/>
      <c r="AV750" s="19">
        <f t="shared" si="147"/>
        <v>0</v>
      </c>
      <c r="AW750" s="19">
        <f t="shared" si="148"/>
        <v>0</v>
      </c>
      <c r="AX750" s="19">
        <f t="shared" si="149"/>
        <v>0</v>
      </c>
    </row>
    <row r="751" spans="1:50" hidden="1" x14ac:dyDescent="0.5">
      <c r="A751" s="16"/>
      <c r="B751" s="15"/>
      <c r="C751" s="20"/>
      <c r="D751" s="20"/>
      <c r="E751" s="19"/>
      <c r="F751" s="20"/>
      <c r="G751" s="20"/>
      <c r="H751" s="19"/>
      <c r="I751" s="20"/>
      <c r="J751" s="20"/>
      <c r="K751" s="20"/>
      <c r="L751" s="20"/>
      <c r="M751" s="20"/>
      <c r="N751" s="20"/>
      <c r="O751" s="20"/>
      <c r="P751" s="20"/>
      <c r="Q751" s="19"/>
      <c r="R751" s="20"/>
      <c r="S751" s="20"/>
      <c r="T751" s="19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  <c r="AG751" s="20"/>
      <c r="AH751" s="20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  <c r="AS751" s="19"/>
      <c r="AT751" s="19"/>
      <c r="AU751" s="19"/>
      <c r="AV751" s="19">
        <f t="shared" si="147"/>
        <v>0</v>
      </c>
      <c r="AW751" s="19">
        <f t="shared" si="148"/>
        <v>0</v>
      </c>
      <c r="AX751" s="19">
        <f t="shared" si="149"/>
        <v>0</v>
      </c>
    </row>
    <row r="752" spans="1:50" hidden="1" x14ac:dyDescent="0.5">
      <c r="A752" s="16"/>
      <c r="B752" s="15"/>
      <c r="C752" s="20"/>
      <c r="D752" s="20"/>
      <c r="E752" s="19"/>
      <c r="F752" s="20"/>
      <c r="G752" s="20"/>
      <c r="H752" s="19"/>
      <c r="I752" s="20"/>
      <c r="J752" s="20"/>
      <c r="K752" s="20"/>
      <c r="L752" s="20"/>
      <c r="M752" s="20"/>
      <c r="N752" s="20"/>
      <c r="O752" s="20"/>
      <c r="P752" s="20"/>
      <c r="Q752" s="19"/>
      <c r="R752" s="20"/>
      <c r="S752" s="20"/>
      <c r="T752" s="19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  <c r="AG752" s="20"/>
      <c r="AH752" s="20"/>
      <c r="AI752" s="19"/>
      <c r="AJ752" s="19"/>
      <c r="AK752" s="19"/>
      <c r="AL752" s="19"/>
      <c r="AM752" s="19"/>
      <c r="AN752" s="19"/>
      <c r="AO752" s="19"/>
      <c r="AP752" s="19"/>
      <c r="AQ752" s="19"/>
      <c r="AR752" s="19"/>
      <c r="AS752" s="19"/>
      <c r="AT752" s="19"/>
      <c r="AU752" s="19"/>
      <c r="AV752" s="19">
        <f t="shared" si="147"/>
        <v>0</v>
      </c>
      <c r="AW752" s="19">
        <f t="shared" si="148"/>
        <v>0</v>
      </c>
      <c r="AX752" s="19">
        <f t="shared" si="149"/>
        <v>0</v>
      </c>
    </row>
    <row r="753" spans="1:50" hidden="1" x14ac:dyDescent="0.5">
      <c r="A753" s="16"/>
      <c r="B753" s="15"/>
      <c r="C753" s="20"/>
      <c r="D753" s="20"/>
      <c r="E753" s="19"/>
      <c r="F753" s="20"/>
      <c r="G753" s="20"/>
      <c r="H753" s="19"/>
      <c r="I753" s="20"/>
      <c r="J753" s="20"/>
      <c r="K753" s="20"/>
      <c r="L753" s="20"/>
      <c r="M753" s="20"/>
      <c r="N753" s="20"/>
      <c r="O753" s="20"/>
      <c r="P753" s="20"/>
      <c r="Q753" s="19"/>
      <c r="R753" s="20"/>
      <c r="S753" s="20"/>
      <c r="T753" s="19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  <c r="AG753" s="20"/>
      <c r="AH753" s="20"/>
      <c r="AI753" s="19"/>
      <c r="AJ753" s="19"/>
      <c r="AK753" s="19"/>
      <c r="AL753" s="19"/>
      <c r="AM753" s="19"/>
      <c r="AN753" s="19"/>
      <c r="AO753" s="19"/>
      <c r="AP753" s="19"/>
      <c r="AQ753" s="19"/>
      <c r="AR753" s="19"/>
      <c r="AS753" s="19"/>
      <c r="AT753" s="19"/>
      <c r="AU753" s="19"/>
      <c r="AV753" s="19">
        <f t="shared" si="147"/>
        <v>0</v>
      </c>
      <c r="AW753" s="19">
        <f t="shared" si="148"/>
        <v>0</v>
      </c>
      <c r="AX753" s="19">
        <f t="shared" si="149"/>
        <v>0</v>
      </c>
    </row>
    <row r="754" spans="1:50" hidden="1" x14ac:dyDescent="0.5">
      <c r="A754" s="14"/>
      <c r="B754" s="13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8">
        <f>SUM(AA733:AA745)</f>
        <v>0</v>
      </c>
      <c r="AB754" s="18">
        <f>SUM(AB733:AB745)</f>
        <v>0</v>
      </c>
      <c r="AV754" s="182">
        <f>SUM(AV733:AV753)</f>
        <v>0</v>
      </c>
      <c r="AW754" s="182">
        <f>SUM(AW733:AW753)</f>
        <v>0</v>
      </c>
      <c r="AX754" s="182">
        <f>SUM(AX733:AX753)</f>
        <v>0</v>
      </c>
    </row>
    <row r="755" spans="1:50" hidden="1" x14ac:dyDescent="0.5"/>
    <row r="756" spans="1:50" hidden="1" x14ac:dyDescent="0.5"/>
    <row r="757" spans="1:50" hidden="1" x14ac:dyDescent="0.5">
      <c r="A757" s="550" t="s">
        <v>396</v>
      </c>
      <c r="B757" s="550"/>
    </row>
    <row r="758" spans="1:50" hidden="1" x14ac:dyDescent="0.5"/>
    <row r="759" spans="1:50" hidden="1" x14ac:dyDescent="0.5">
      <c r="A759" s="551" t="s">
        <v>118</v>
      </c>
      <c r="B759" s="552" t="s">
        <v>135</v>
      </c>
      <c r="C759" s="553"/>
      <c r="D759" s="553"/>
      <c r="E759" s="553"/>
      <c r="F759" s="553"/>
      <c r="G759" s="553"/>
      <c r="H759" s="553"/>
      <c r="I759" s="553"/>
      <c r="J759" s="553"/>
      <c r="K759" s="553"/>
      <c r="L759" s="553"/>
      <c r="M759" s="553"/>
      <c r="N759" s="553"/>
      <c r="O759" s="553"/>
      <c r="P759" s="553"/>
      <c r="Q759" s="553"/>
      <c r="R759" s="553"/>
      <c r="S759" s="553"/>
      <c r="T759" s="553"/>
      <c r="U759" s="553"/>
      <c r="V759" s="553"/>
      <c r="W759" s="553"/>
      <c r="X759" s="553"/>
      <c r="Y759" s="553"/>
      <c r="Z759" s="553"/>
      <c r="AA759" s="553"/>
      <c r="AB759" s="553"/>
      <c r="AC759" s="553"/>
      <c r="AD759" s="553"/>
      <c r="AE759" s="553"/>
      <c r="AF759" s="553"/>
      <c r="AG759" s="553"/>
      <c r="AH759" s="553"/>
      <c r="AI759" s="553"/>
      <c r="AJ759" s="553"/>
      <c r="AK759" s="553"/>
      <c r="AL759" s="553"/>
      <c r="AM759" s="553"/>
      <c r="AN759" s="553"/>
      <c r="AO759" s="553"/>
      <c r="AP759" s="553"/>
      <c r="AQ759" s="553"/>
      <c r="AR759" s="553"/>
      <c r="AS759" s="553"/>
      <c r="AT759" s="553"/>
      <c r="AU759" s="553"/>
      <c r="AV759" s="553"/>
      <c r="AW759" s="553"/>
      <c r="AX759" s="553"/>
    </row>
    <row r="760" spans="1:50" hidden="1" x14ac:dyDescent="0.5">
      <c r="A760" s="551"/>
      <c r="B760" s="552"/>
      <c r="C760" s="554" t="s">
        <v>124</v>
      </c>
      <c r="D760" s="555"/>
      <c r="E760" s="556"/>
      <c r="F760" s="554" t="s">
        <v>133</v>
      </c>
      <c r="G760" s="555"/>
      <c r="H760" s="556"/>
      <c r="I760" s="554" t="s">
        <v>132</v>
      </c>
      <c r="J760" s="555"/>
      <c r="K760" s="556"/>
      <c r="L760" s="554" t="s">
        <v>131</v>
      </c>
      <c r="M760" s="555"/>
      <c r="N760" s="556"/>
      <c r="O760" s="554" t="s">
        <v>130</v>
      </c>
      <c r="P760" s="555"/>
      <c r="Q760" s="556"/>
      <c r="R760" s="554" t="s">
        <v>129</v>
      </c>
      <c r="S760" s="555"/>
      <c r="T760" s="556"/>
      <c r="U760" s="554" t="s">
        <v>128</v>
      </c>
      <c r="V760" s="555"/>
      <c r="W760" s="556"/>
      <c r="X760" s="554" t="s">
        <v>127</v>
      </c>
      <c r="Y760" s="555"/>
      <c r="Z760" s="556"/>
      <c r="AA760" s="554" t="s">
        <v>126</v>
      </c>
      <c r="AB760" s="555"/>
      <c r="AC760" s="556"/>
      <c r="AD760" s="554" t="s">
        <v>378</v>
      </c>
      <c r="AE760" s="555"/>
      <c r="AF760" s="556"/>
      <c r="AG760" s="554" t="s">
        <v>125</v>
      </c>
      <c r="AH760" s="555"/>
      <c r="AI760" s="556"/>
      <c r="AJ760" s="554" t="s">
        <v>124</v>
      </c>
      <c r="AK760" s="555"/>
      <c r="AL760" s="556"/>
      <c r="AM760" s="554" t="s">
        <v>123</v>
      </c>
      <c r="AN760" s="555"/>
      <c r="AO760" s="556"/>
      <c r="AP760" s="554" t="s">
        <v>367</v>
      </c>
      <c r="AQ760" s="555"/>
      <c r="AR760" s="556"/>
      <c r="AS760" s="554" t="s">
        <v>368</v>
      </c>
      <c r="AT760" s="555"/>
      <c r="AU760" s="556"/>
      <c r="AV760" s="554" t="s">
        <v>122</v>
      </c>
      <c r="AW760" s="555"/>
      <c r="AX760" s="556"/>
    </row>
    <row r="761" spans="1:50" hidden="1" x14ac:dyDescent="0.5">
      <c r="A761" s="551"/>
      <c r="B761" s="552"/>
      <c r="C761" s="17" t="s">
        <v>109</v>
      </c>
      <c r="D761" s="17" t="s">
        <v>108</v>
      </c>
      <c r="E761" s="17" t="s">
        <v>348</v>
      </c>
      <c r="F761" s="17" t="s">
        <v>109</v>
      </c>
      <c r="G761" s="17" t="s">
        <v>108</v>
      </c>
      <c r="H761" s="17" t="s">
        <v>348</v>
      </c>
      <c r="I761" s="17" t="s">
        <v>109</v>
      </c>
      <c r="J761" s="17" t="s">
        <v>108</v>
      </c>
      <c r="K761" s="17" t="s">
        <v>348</v>
      </c>
      <c r="L761" s="17" t="s">
        <v>109</v>
      </c>
      <c r="M761" s="17" t="s">
        <v>108</v>
      </c>
      <c r="N761" s="17" t="s">
        <v>348</v>
      </c>
      <c r="O761" s="17" t="s">
        <v>109</v>
      </c>
      <c r="P761" s="17" t="s">
        <v>108</v>
      </c>
      <c r="Q761" s="17" t="s">
        <v>348</v>
      </c>
      <c r="R761" s="17" t="s">
        <v>109</v>
      </c>
      <c r="S761" s="17" t="s">
        <v>108</v>
      </c>
      <c r="T761" s="17" t="s">
        <v>348</v>
      </c>
      <c r="U761" s="17" t="s">
        <v>109</v>
      </c>
      <c r="V761" s="17" t="s">
        <v>108</v>
      </c>
      <c r="W761" s="17" t="s">
        <v>348</v>
      </c>
      <c r="X761" s="17" t="s">
        <v>109</v>
      </c>
      <c r="Y761" s="17" t="s">
        <v>108</v>
      </c>
      <c r="Z761" s="17" t="s">
        <v>348</v>
      </c>
      <c r="AA761" s="17" t="s">
        <v>109</v>
      </c>
      <c r="AB761" s="17" t="s">
        <v>108</v>
      </c>
      <c r="AC761" s="17" t="s">
        <v>348</v>
      </c>
      <c r="AD761" s="17"/>
      <c r="AE761" s="17"/>
      <c r="AF761" s="17"/>
      <c r="AG761" s="17" t="s">
        <v>109</v>
      </c>
      <c r="AH761" s="17" t="s">
        <v>108</v>
      </c>
      <c r="AI761" s="17" t="s">
        <v>348</v>
      </c>
      <c r="AJ761" s="17" t="s">
        <v>109</v>
      </c>
      <c r="AK761" s="17" t="s">
        <v>108</v>
      </c>
      <c r="AL761" s="17" t="s">
        <v>348</v>
      </c>
      <c r="AM761" s="17" t="s">
        <v>109</v>
      </c>
      <c r="AN761" s="17" t="s">
        <v>108</v>
      </c>
      <c r="AO761" s="17" t="s">
        <v>348</v>
      </c>
      <c r="AP761" s="17" t="s">
        <v>109</v>
      </c>
      <c r="AQ761" s="17" t="s">
        <v>108</v>
      </c>
      <c r="AR761" s="17" t="s">
        <v>348</v>
      </c>
      <c r="AS761" s="17" t="s">
        <v>109</v>
      </c>
      <c r="AT761" s="17" t="s">
        <v>108</v>
      </c>
      <c r="AU761" s="17" t="s">
        <v>348</v>
      </c>
      <c r="AV761" s="17" t="s">
        <v>109</v>
      </c>
      <c r="AW761" s="17" t="s">
        <v>108</v>
      </c>
      <c r="AX761" s="17" t="s">
        <v>348</v>
      </c>
    </row>
    <row r="762" spans="1:50" hidden="1" x14ac:dyDescent="0.5">
      <c r="A762" s="16"/>
      <c r="B762" s="15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  <c r="AS762" s="19"/>
      <c r="AT762" s="19"/>
      <c r="AU762" s="19"/>
      <c r="AV762" s="19">
        <f>F762+X762</f>
        <v>0</v>
      </c>
      <c r="AW762" s="19">
        <f>G762+Y762</f>
        <v>0</v>
      </c>
      <c r="AX762" s="19">
        <f>H762+Z762</f>
        <v>0</v>
      </c>
    </row>
    <row r="763" spans="1:50" hidden="1" x14ac:dyDescent="0.5">
      <c r="A763" s="16"/>
      <c r="B763" s="15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21"/>
      <c r="P763" s="178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  <c r="AR763" s="19"/>
      <c r="AS763" s="19"/>
      <c r="AT763" s="19"/>
      <c r="AU763" s="19"/>
      <c r="AV763" s="19">
        <f t="shared" ref="AV763:AV783" si="150">F763+X763</f>
        <v>0</v>
      </c>
      <c r="AW763" s="19">
        <f t="shared" ref="AW763:AW783" si="151">G763+Y763</f>
        <v>0</v>
      </c>
      <c r="AX763" s="19">
        <f t="shared" ref="AX763:AX783" si="152">H763+Z763</f>
        <v>0</v>
      </c>
    </row>
    <row r="764" spans="1:50" hidden="1" x14ac:dyDescent="0.5">
      <c r="A764" s="16"/>
      <c r="B764" s="15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19"/>
      <c r="AN764" s="19"/>
      <c r="AO764" s="19"/>
      <c r="AP764" s="19"/>
      <c r="AQ764" s="19"/>
      <c r="AR764" s="19"/>
      <c r="AS764" s="19"/>
      <c r="AT764" s="19"/>
      <c r="AU764" s="19"/>
      <c r="AV764" s="19">
        <f t="shared" si="150"/>
        <v>0</v>
      </c>
      <c r="AW764" s="19">
        <f t="shared" si="151"/>
        <v>0</v>
      </c>
      <c r="AX764" s="19">
        <f t="shared" si="152"/>
        <v>0</v>
      </c>
    </row>
    <row r="765" spans="1:50" hidden="1" x14ac:dyDescent="0.5">
      <c r="A765" s="16"/>
      <c r="B765" s="15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9"/>
      <c r="AS765" s="19"/>
      <c r="AT765" s="19"/>
      <c r="AU765" s="19"/>
      <c r="AV765" s="19">
        <f t="shared" si="150"/>
        <v>0</v>
      </c>
      <c r="AW765" s="19">
        <f t="shared" si="151"/>
        <v>0</v>
      </c>
      <c r="AX765" s="19">
        <f t="shared" si="152"/>
        <v>0</v>
      </c>
    </row>
    <row r="766" spans="1:50" hidden="1" x14ac:dyDescent="0.5">
      <c r="A766" s="16"/>
      <c r="B766" s="15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  <c r="AS766" s="19"/>
      <c r="AT766" s="19"/>
      <c r="AU766" s="19"/>
      <c r="AV766" s="19">
        <f t="shared" si="150"/>
        <v>0</v>
      </c>
      <c r="AW766" s="19">
        <f t="shared" si="151"/>
        <v>0</v>
      </c>
      <c r="AX766" s="19">
        <f t="shared" si="152"/>
        <v>0</v>
      </c>
    </row>
    <row r="767" spans="1:50" hidden="1" x14ac:dyDescent="0.5">
      <c r="A767" s="16"/>
      <c r="B767" s="15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  <c r="AR767" s="19"/>
      <c r="AS767" s="19"/>
      <c r="AT767" s="19"/>
      <c r="AU767" s="19"/>
      <c r="AV767" s="19">
        <f t="shared" si="150"/>
        <v>0</v>
      </c>
      <c r="AW767" s="19">
        <f t="shared" si="151"/>
        <v>0</v>
      </c>
      <c r="AX767" s="19">
        <f t="shared" si="152"/>
        <v>0</v>
      </c>
    </row>
    <row r="768" spans="1:50" hidden="1" x14ac:dyDescent="0.5">
      <c r="A768" s="16"/>
      <c r="B768" s="15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  <c r="AR768" s="19"/>
      <c r="AS768" s="19"/>
      <c r="AT768" s="19"/>
      <c r="AU768" s="19"/>
      <c r="AV768" s="19">
        <f t="shared" si="150"/>
        <v>0</v>
      </c>
      <c r="AW768" s="19">
        <f t="shared" si="151"/>
        <v>0</v>
      </c>
      <c r="AX768" s="19">
        <f t="shared" si="152"/>
        <v>0</v>
      </c>
    </row>
    <row r="769" spans="1:50" hidden="1" x14ac:dyDescent="0.5">
      <c r="A769" s="16"/>
      <c r="B769" s="15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9"/>
      <c r="AS769" s="19"/>
      <c r="AT769" s="19"/>
      <c r="AU769" s="19"/>
      <c r="AV769" s="19">
        <f t="shared" si="150"/>
        <v>0</v>
      </c>
      <c r="AW769" s="19">
        <f t="shared" si="151"/>
        <v>0</v>
      </c>
      <c r="AX769" s="19">
        <f t="shared" si="152"/>
        <v>0</v>
      </c>
    </row>
    <row r="770" spans="1:50" hidden="1" x14ac:dyDescent="0.5">
      <c r="A770" s="16"/>
      <c r="B770" s="15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9"/>
      <c r="AS770" s="19"/>
      <c r="AT770" s="19"/>
      <c r="AU770" s="19"/>
      <c r="AV770" s="19">
        <f t="shared" si="150"/>
        <v>0</v>
      </c>
      <c r="AW770" s="19">
        <f t="shared" si="151"/>
        <v>0</v>
      </c>
      <c r="AX770" s="19">
        <f t="shared" si="152"/>
        <v>0</v>
      </c>
    </row>
    <row r="771" spans="1:50" hidden="1" x14ac:dyDescent="0.5">
      <c r="A771" s="16"/>
      <c r="B771" s="15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  <c r="AM771" s="19"/>
      <c r="AN771" s="19"/>
      <c r="AO771" s="19"/>
      <c r="AP771" s="19"/>
      <c r="AQ771" s="19"/>
      <c r="AR771" s="19"/>
      <c r="AS771" s="19"/>
      <c r="AT771" s="19"/>
      <c r="AU771" s="19"/>
      <c r="AV771" s="19">
        <f t="shared" si="150"/>
        <v>0</v>
      </c>
      <c r="AW771" s="19">
        <f t="shared" si="151"/>
        <v>0</v>
      </c>
      <c r="AX771" s="19">
        <f t="shared" si="152"/>
        <v>0</v>
      </c>
    </row>
    <row r="772" spans="1:50" hidden="1" x14ac:dyDescent="0.5">
      <c r="A772" s="16"/>
      <c r="B772" s="15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9"/>
      <c r="AS772" s="19"/>
      <c r="AT772" s="19"/>
      <c r="AU772" s="19"/>
      <c r="AV772" s="19">
        <f t="shared" si="150"/>
        <v>0</v>
      </c>
      <c r="AW772" s="19">
        <f t="shared" si="151"/>
        <v>0</v>
      </c>
      <c r="AX772" s="19">
        <f t="shared" si="152"/>
        <v>0</v>
      </c>
    </row>
    <row r="773" spans="1:50" hidden="1" x14ac:dyDescent="0.5">
      <c r="A773" s="16"/>
      <c r="B773" s="15"/>
      <c r="C773" s="20"/>
      <c r="D773" s="20"/>
      <c r="E773" s="19"/>
      <c r="F773" s="20"/>
      <c r="G773" s="20"/>
      <c r="H773" s="19"/>
      <c r="I773" s="20"/>
      <c r="J773" s="20"/>
      <c r="K773" s="20"/>
      <c r="L773" s="20"/>
      <c r="M773" s="20"/>
      <c r="N773" s="20"/>
      <c r="O773" s="20"/>
      <c r="P773" s="20"/>
      <c r="Q773" s="19"/>
      <c r="R773" s="20"/>
      <c r="S773" s="20"/>
      <c r="T773" s="19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  <c r="AH773" s="20"/>
      <c r="AI773" s="19"/>
      <c r="AJ773" s="19"/>
      <c r="AK773" s="19"/>
      <c r="AL773" s="19"/>
      <c r="AM773" s="19"/>
      <c r="AN773" s="19"/>
      <c r="AO773" s="19"/>
      <c r="AP773" s="19"/>
      <c r="AQ773" s="19"/>
      <c r="AR773" s="19"/>
      <c r="AS773" s="19"/>
      <c r="AT773" s="19"/>
      <c r="AU773" s="19"/>
      <c r="AV773" s="19">
        <f t="shared" si="150"/>
        <v>0</v>
      </c>
      <c r="AW773" s="19">
        <f t="shared" si="151"/>
        <v>0</v>
      </c>
      <c r="AX773" s="19">
        <f t="shared" si="152"/>
        <v>0</v>
      </c>
    </row>
    <row r="774" spans="1:50" hidden="1" x14ac:dyDescent="0.5">
      <c r="A774" s="16"/>
      <c r="B774" s="15"/>
      <c r="C774" s="20"/>
      <c r="D774" s="20"/>
      <c r="E774" s="19"/>
      <c r="F774" s="20"/>
      <c r="G774" s="20"/>
      <c r="H774" s="19"/>
      <c r="I774" s="20"/>
      <c r="J774" s="20"/>
      <c r="K774" s="20"/>
      <c r="L774" s="20"/>
      <c r="M774" s="20"/>
      <c r="N774" s="20"/>
      <c r="O774" s="20"/>
      <c r="P774" s="20"/>
      <c r="Q774" s="19"/>
      <c r="R774" s="20"/>
      <c r="S774" s="20"/>
      <c r="T774" s="19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  <c r="AH774" s="20"/>
      <c r="AI774" s="19"/>
      <c r="AJ774" s="19"/>
      <c r="AK774" s="19"/>
      <c r="AL774" s="19"/>
      <c r="AM774" s="19"/>
      <c r="AN774" s="19"/>
      <c r="AO774" s="19"/>
      <c r="AP774" s="19"/>
      <c r="AQ774" s="19"/>
      <c r="AR774" s="19"/>
      <c r="AS774" s="19"/>
      <c r="AT774" s="19"/>
      <c r="AU774" s="19"/>
      <c r="AV774" s="19">
        <f t="shared" si="150"/>
        <v>0</v>
      </c>
      <c r="AW774" s="19">
        <f t="shared" si="151"/>
        <v>0</v>
      </c>
      <c r="AX774" s="19">
        <f t="shared" si="152"/>
        <v>0</v>
      </c>
    </row>
    <row r="775" spans="1:50" hidden="1" x14ac:dyDescent="0.5">
      <c r="A775" s="16"/>
      <c r="B775" s="15"/>
      <c r="C775" s="20"/>
      <c r="D775" s="20"/>
      <c r="E775" s="19"/>
      <c r="F775" s="20"/>
      <c r="G775" s="20"/>
      <c r="H775" s="19"/>
      <c r="I775" s="20"/>
      <c r="J775" s="20"/>
      <c r="K775" s="20"/>
      <c r="L775" s="20"/>
      <c r="M775" s="20"/>
      <c r="N775" s="20"/>
      <c r="O775" s="20"/>
      <c r="P775" s="20"/>
      <c r="Q775" s="19"/>
      <c r="R775" s="20"/>
      <c r="S775" s="20"/>
      <c r="T775" s="19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  <c r="AG775" s="20"/>
      <c r="AH775" s="20"/>
      <c r="AI775" s="19"/>
      <c r="AJ775" s="19"/>
      <c r="AK775" s="19"/>
      <c r="AL775" s="19"/>
      <c r="AM775" s="19"/>
      <c r="AN775" s="19"/>
      <c r="AO775" s="19"/>
      <c r="AP775" s="19"/>
      <c r="AQ775" s="19"/>
      <c r="AR775" s="19"/>
      <c r="AS775" s="19"/>
      <c r="AT775" s="19"/>
      <c r="AU775" s="19"/>
      <c r="AV775" s="19">
        <f t="shared" si="150"/>
        <v>0</v>
      </c>
      <c r="AW775" s="19">
        <f t="shared" si="151"/>
        <v>0</v>
      </c>
      <c r="AX775" s="19">
        <f t="shared" si="152"/>
        <v>0</v>
      </c>
    </row>
    <row r="776" spans="1:50" hidden="1" x14ac:dyDescent="0.5">
      <c r="A776" s="16"/>
      <c r="B776" s="15"/>
      <c r="C776" s="20"/>
      <c r="D776" s="20"/>
      <c r="E776" s="19"/>
      <c r="F776" s="20"/>
      <c r="G776" s="20"/>
      <c r="H776" s="19"/>
      <c r="I776" s="20"/>
      <c r="J776" s="20"/>
      <c r="K776" s="20"/>
      <c r="L776" s="20"/>
      <c r="M776" s="20"/>
      <c r="N776" s="20"/>
      <c r="O776" s="20"/>
      <c r="P776" s="20"/>
      <c r="Q776" s="19"/>
      <c r="R776" s="20"/>
      <c r="S776" s="20"/>
      <c r="T776" s="19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  <c r="AG776" s="20"/>
      <c r="AH776" s="20"/>
      <c r="AI776" s="19"/>
      <c r="AJ776" s="19"/>
      <c r="AK776" s="19"/>
      <c r="AL776" s="19"/>
      <c r="AM776" s="19"/>
      <c r="AN776" s="19"/>
      <c r="AO776" s="19"/>
      <c r="AP776" s="19"/>
      <c r="AQ776" s="19"/>
      <c r="AR776" s="19"/>
      <c r="AS776" s="19"/>
      <c r="AT776" s="19"/>
      <c r="AU776" s="19"/>
      <c r="AV776" s="19">
        <f t="shared" si="150"/>
        <v>0</v>
      </c>
      <c r="AW776" s="19">
        <f t="shared" si="151"/>
        <v>0</v>
      </c>
      <c r="AX776" s="19">
        <f t="shared" si="152"/>
        <v>0</v>
      </c>
    </row>
    <row r="777" spans="1:50" hidden="1" x14ac:dyDescent="0.5">
      <c r="A777" s="16"/>
      <c r="B777" s="15"/>
      <c r="C777" s="20"/>
      <c r="D777" s="20"/>
      <c r="E777" s="19"/>
      <c r="F777" s="20"/>
      <c r="G777" s="20"/>
      <c r="H777" s="19"/>
      <c r="I777" s="20"/>
      <c r="J777" s="20"/>
      <c r="K777" s="20"/>
      <c r="L777" s="20"/>
      <c r="M777" s="20"/>
      <c r="N777" s="20"/>
      <c r="O777" s="20"/>
      <c r="P777" s="20"/>
      <c r="Q777" s="19"/>
      <c r="R777" s="20"/>
      <c r="S777" s="20"/>
      <c r="T777" s="19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  <c r="AH777" s="20"/>
      <c r="AI777" s="19"/>
      <c r="AJ777" s="19"/>
      <c r="AK777" s="19"/>
      <c r="AL777" s="19"/>
      <c r="AM777" s="19"/>
      <c r="AN777" s="19"/>
      <c r="AO777" s="19"/>
      <c r="AP777" s="19"/>
      <c r="AQ777" s="19"/>
      <c r="AR777" s="19"/>
      <c r="AS777" s="19"/>
      <c r="AT777" s="19"/>
      <c r="AU777" s="19"/>
      <c r="AV777" s="19">
        <f t="shared" si="150"/>
        <v>0</v>
      </c>
      <c r="AW777" s="19">
        <f t="shared" si="151"/>
        <v>0</v>
      </c>
      <c r="AX777" s="19">
        <f t="shared" si="152"/>
        <v>0</v>
      </c>
    </row>
    <row r="778" spans="1:50" hidden="1" x14ac:dyDescent="0.5">
      <c r="A778" s="16"/>
      <c r="B778" s="15"/>
      <c r="C778" s="20"/>
      <c r="D778" s="20"/>
      <c r="E778" s="19"/>
      <c r="F778" s="20"/>
      <c r="G778" s="20"/>
      <c r="H778" s="19"/>
      <c r="I778" s="20"/>
      <c r="J778" s="20"/>
      <c r="K778" s="20"/>
      <c r="L778" s="20"/>
      <c r="M778" s="20"/>
      <c r="N778" s="20"/>
      <c r="O778" s="20"/>
      <c r="P778" s="20"/>
      <c r="Q778" s="19"/>
      <c r="R778" s="20"/>
      <c r="S778" s="20"/>
      <c r="T778" s="19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  <c r="AG778" s="20"/>
      <c r="AH778" s="20"/>
      <c r="AI778" s="19"/>
      <c r="AJ778" s="19"/>
      <c r="AK778" s="19"/>
      <c r="AL778" s="19"/>
      <c r="AM778" s="19"/>
      <c r="AN778" s="19"/>
      <c r="AO778" s="19"/>
      <c r="AP778" s="19"/>
      <c r="AQ778" s="19"/>
      <c r="AR778" s="19"/>
      <c r="AS778" s="19"/>
      <c r="AT778" s="19"/>
      <c r="AU778" s="19"/>
      <c r="AV778" s="19">
        <f t="shared" si="150"/>
        <v>0</v>
      </c>
      <c r="AW778" s="19">
        <f t="shared" si="151"/>
        <v>0</v>
      </c>
      <c r="AX778" s="19">
        <f t="shared" si="152"/>
        <v>0</v>
      </c>
    </row>
    <row r="779" spans="1:50" hidden="1" x14ac:dyDescent="0.5">
      <c r="A779" s="16"/>
      <c r="B779" s="15"/>
      <c r="C779" s="20"/>
      <c r="D779" s="20"/>
      <c r="E779" s="19"/>
      <c r="F779" s="20"/>
      <c r="G779" s="20"/>
      <c r="H779" s="19"/>
      <c r="I779" s="20"/>
      <c r="J779" s="20"/>
      <c r="K779" s="20"/>
      <c r="L779" s="20"/>
      <c r="M779" s="20"/>
      <c r="N779" s="20"/>
      <c r="O779" s="20"/>
      <c r="P779" s="20"/>
      <c r="Q779" s="19"/>
      <c r="R779" s="20"/>
      <c r="S779" s="20"/>
      <c r="T779" s="19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  <c r="AG779" s="20"/>
      <c r="AH779" s="20"/>
      <c r="AI779" s="19"/>
      <c r="AJ779" s="19"/>
      <c r="AK779" s="19"/>
      <c r="AL779" s="19"/>
      <c r="AM779" s="19"/>
      <c r="AN779" s="19"/>
      <c r="AO779" s="19"/>
      <c r="AP779" s="19"/>
      <c r="AQ779" s="19"/>
      <c r="AR779" s="19"/>
      <c r="AS779" s="19"/>
      <c r="AT779" s="19"/>
      <c r="AU779" s="19"/>
      <c r="AV779" s="19">
        <f t="shared" si="150"/>
        <v>0</v>
      </c>
      <c r="AW779" s="19">
        <f t="shared" si="151"/>
        <v>0</v>
      </c>
      <c r="AX779" s="19">
        <f t="shared" si="152"/>
        <v>0</v>
      </c>
    </row>
    <row r="780" spans="1:50" hidden="1" x14ac:dyDescent="0.5">
      <c r="A780" s="16"/>
      <c r="B780" s="15"/>
      <c r="C780" s="20"/>
      <c r="D780" s="20"/>
      <c r="E780" s="19"/>
      <c r="F780" s="20"/>
      <c r="G780" s="20"/>
      <c r="H780" s="19"/>
      <c r="I780" s="20"/>
      <c r="J780" s="20"/>
      <c r="K780" s="20"/>
      <c r="L780" s="20"/>
      <c r="M780" s="20"/>
      <c r="N780" s="20"/>
      <c r="O780" s="20"/>
      <c r="P780" s="20"/>
      <c r="Q780" s="19"/>
      <c r="R780" s="20"/>
      <c r="S780" s="20"/>
      <c r="T780" s="19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  <c r="AG780" s="20"/>
      <c r="AH780" s="20"/>
      <c r="AI780" s="19"/>
      <c r="AJ780" s="19"/>
      <c r="AK780" s="19"/>
      <c r="AL780" s="19"/>
      <c r="AM780" s="19"/>
      <c r="AN780" s="19"/>
      <c r="AO780" s="19"/>
      <c r="AP780" s="19"/>
      <c r="AQ780" s="19"/>
      <c r="AR780" s="19"/>
      <c r="AS780" s="19"/>
      <c r="AT780" s="19"/>
      <c r="AU780" s="19"/>
      <c r="AV780" s="19">
        <f t="shared" si="150"/>
        <v>0</v>
      </c>
      <c r="AW780" s="19">
        <f t="shared" si="151"/>
        <v>0</v>
      </c>
      <c r="AX780" s="19">
        <f t="shared" si="152"/>
        <v>0</v>
      </c>
    </row>
    <row r="781" spans="1:50" hidden="1" x14ac:dyDescent="0.5">
      <c r="A781" s="16"/>
      <c r="B781" s="15"/>
      <c r="C781" s="20"/>
      <c r="D781" s="20"/>
      <c r="E781" s="19"/>
      <c r="F781" s="20"/>
      <c r="G781" s="20"/>
      <c r="H781" s="19"/>
      <c r="I781" s="20"/>
      <c r="J781" s="20"/>
      <c r="K781" s="20"/>
      <c r="L781" s="20"/>
      <c r="M781" s="20"/>
      <c r="N781" s="20"/>
      <c r="O781" s="20"/>
      <c r="P781" s="20"/>
      <c r="Q781" s="19"/>
      <c r="R781" s="20"/>
      <c r="S781" s="20"/>
      <c r="T781" s="19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  <c r="AG781" s="20"/>
      <c r="AH781" s="20"/>
      <c r="AI781" s="19"/>
      <c r="AJ781" s="19"/>
      <c r="AK781" s="19"/>
      <c r="AL781" s="19"/>
      <c r="AM781" s="19"/>
      <c r="AN781" s="19"/>
      <c r="AO781" s="19"/>
      <c r="AP781" s="19"/>
      <c r="AQ781" s="19"/>
      <c r="AR781" s="19"/>
      <c r="AS781" s="19"/>
      <c r="AT781" s="19"/>
      <c r="AU781" s="19"/>
      <c r="AV781" s="19">
        <f t="shared" si="150"/>
        <v>0</v>
      </c>
      <c r="AW781" s="19">
        <f t="shared" si="151"/>
        <v>0</v>
      </c>
      <c r="AX781" s="19">
        <f t="shared" si="152"/>
        <v>0</v>
      </c>
    </row>
    <row r="782" spans="1:50" hidden="1" x14ac:dyDescent="0.5">
      <c r="A782" s="16"/>
      <c r="B782" s="15"/>
      <c r="C782" s="20"/>
      <c r="D782" s="20"/>
      <c r="E782" s="19"/>
      <c r="F782" s="20"/>
      <c r="G782" s="20"/>
      <c r="H782" s="19"/>
      <c r="I782" s="20"/>
      <c r="J782" s="20"/>
      <c r="K782" s="20"/>
      <c r="L782" s="20"/>
      <c r="M782" s="20"/>
      <c r="N782" s="20"/>
      <c r="O782" s="20"/>
      <c r="P782" s="20"/>
      <c r="Q782" s="19"/>
      <c r="R782" s="20"/>
      <c r="S782" s="20"/>
      <c r="T782" s="19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  <c r="AG782" s="20"/>
      <c r="AH782" s="20"/>
      <c r="AI782" s="19"/>
      <c r="AJ782" s="19"/>
      <c r="AK782" s="19"/>
      <c r="AL782" s="19"/>
      <c r="AM782" s="19"/>
      <c r="AN782" s="19"/>
      <c r="AO782" s="19"/>
      <c r="AP782" s="19"/>
      <c r="AQ782" s="19"/>
      <c r="AR782" s="19"/>
      <c r="AS782" s="19"/>
      <c r="AT782" s="19"/>
      <c r="AU782" s="19"/>
      <c r="AV782" s="19">
        <f t="shared" si="150"/>
        <v>0</v>
      </c>
      <c r="AW782" s="19">
        <f t="shared" si="151"/>
        <v>0</v>
      </c>
      <c r="AX782" s="19">
        <f t="shared" si="152"/>
        <v>0</v>
      </c>
    </row>
    <row r="783" spans="1:50" hidden="1" x14ac:dyDescent="0.5">
      <c r="A783" s="16"/>
      <c r="B783" s="15"/>
      <c r="C783" s="20"/>
      <c r="D783" s="20"/>
      <c r="E783" s="19"/>
      <c r="F783" s="20"/>
      <c r="G783" s="20"/>
      <c r="H783" s="19"/>
      <c r="I783" s="20"/>
      <c r="J783" s="20"/>
      <c r="K783" s="20"/>
      <c r="L783" s="20"/>
      <c r="M783" s="20"/>
      <c r="N783" s="20"/>
      <c r="O783" s="20"/>
      <c r="P783" s="20"/>
      <c r="Q783" s="19"/>
      <c r="R783" s="20"/>
      <c r="S783" s="20"/>
      <c r="T783" s="19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  <c r="AG783" s="20"/>
      <c r="AH783" s="20"/>
      <c r="AI783" s="19"/>
      <c r="AJ783" s="19"/>
      <c r="AK783" s="19"/>
      <c r="AL783" s="19"/>
      <c r="AM783" s="19"/>
      <c r="AN783" s="19"/>
      <c r="AO783" s="19"/>
      <c r="AP783" s="19"/>
      <c r="AQ783" s="19"/>
      <c r="AR783" s="19"/>
      <c r="AS783" s="19"/>
      <c r="AT783" s="19"/>
      <c r="AU783" s="19"/>
      <c r="AV783" s="19">
        <f t="shared" si="150"/>
        <v>0</v>
      </c>
      <c r="AW783" s="19">
        <f t="shared" si="151"/>
        <v>0</v>
      </c>
      <c r="AX783" s="19">
        <f t="shared" si="152"/>
        <v>0</v>
      </c>
    </row>
    <row r="784" spans="1:50" hidden="1" x14ac:dyDescent="0.5">
      <c r="A784" s="14"/>
      <c r="B784" s="13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8">
        <f>SUM(AA762:AA774)</f>
        <v>0</v>
      </c>
      <c r="AB784" s="18">
        <f>SUM(AB762:AB774)</f>
        <v>0</v>
      </c>
      <c r="AV784" s="182">
        <f>SUM(AV762:AV783)</f>
        <v>0</v>
      </c>
      <c r="AW784" s="182">
        <f>SUM(AW762:AW783)</f>
        <v>0</v>
      </c>
      <c r="AX784" s="182">
        <f>SUM(AX762:AX783)</f>
        <v>0</v>
      </c>
    </row>
    <row r="785" spans="48:50" hidden="1" x14ac:dyDescent="0.5"/>
    <row r="786" spans="48:50" hidden="1" x14ac:dyDescent="0.5"/>
    <row r="787" spans="48:50" hidden="1" x14ac:dyDescent="0.5">
      <c r="AV787" s="182">
        <f>SUM(AV38:AV44)</f>
        <v>2050</v>
      </c>
      <c r="AW787" s="182">
        <f t="shared" ref="AW787:AX787" si="153">SUM(AW38:AW44)</f>
        <v>26880</v>
      </c>
      <c r="AX787" s="182">
        <f t="shared" si="153"/>
        <v>21134.400000000001</v>
      </c>
    </row>
    <row r="788" spans="48:50" hidden="1" x14ac:dyDescent="0.5"/>
  </sheetData>
  <mergeCells count="473">
    <mergeCell ref="A757:B757"/>
    <mergeCell ref="A759:A761"/>
    <mergeCell ref="B759:B761"/>
    <mergeCell ref="C759:AX759"/>
    <mergeCell ref="C760:E760"/>
    <mergeCell ref="F760:H760"/>
    <mergeCell ref="I760:K760"/>
    <mergeCell ref="L760:N760"/>
    <mergeCell ref="O760:Q760"/>
    <mergeCell ref="R760:T760"/>
    <mergeCell ref="U760:W760"/>
    <mergeCell ref="X760:Z760"/>
    <mergeCell ref="AA760:AC760"/>
    <mergeCell ref="AD760:AF760"/>
    <mergeCell ref="AG760:AI760"/>
    <mergeCell ref="AJ760:AL760"/>
    <mergeCell ref="AM760:AO760"/>
    <mergeCell ref="AP760:AR760"/>
    <mergeCell ref="AS760:AU760"/>
    <mergeCell ref="AV760:AX760"/>
    <mergeCell ref="A728:B728"/>
    <mergeCell ref="A730:A732"/>
    <mergeCell ref="B730:B732"/>
    <mergeCell ref="C730:AX730"/>
    <mergeCell ref="C731:E731"/>
    <mergeCell ref="F731:H731"/>
    <mergeCell ref="I731:K731"/>
    <mergeCell ref="L731:N731"/>
    <mergeCell ref="O731:Q731"/>
    <mergeCell ref="R731:T731"/>
    <mergeCell ref="U731:W731"/>
    <mergeCell ref="X731:Z731"/>
    <mergeCell ref="AA731:AC731"/>
    <mergeCell ref="AD731:AF731"/>
    <mergeCell ref="AG731:AI731"/>
    <mergeCell ref="AJ731:AL731"/>
    <mergeCell ref="AM731:AO731"/>
    <mergeCell ref="AP731:AR731"/>
    <mergeCell ref="AS731:AU731"/>
    <mergeCell ref="AV731:AX731"/>
    <mergeCell ref="A700:B700"/>
    <mergeCell ref="A702:A704"/>
    <mergeCell ref="B702:B704"/>
    <mergeCell ref="C702:AX702"/>
    <mergeCell ref="C703:E703"/>
    <mergeCell ref="F703:H703"/>
    <mergeCell ref="I703:K703"/>
    <mergeCell ref="L703:N703"/>
    <mergeCell ref="O703:Q703"/>
    <mergeCell ref="R703:T703"/>
    <mergeCell ref="U703:W703"/>
    <mergeCell ref="X703:Z703"/>
    <mergeCell ref="AA703:AC703"/>
    <mergeCell ref="AD703:AF703"/>
    <mergeCell ref="AG703:AI703"/>
    <mergeCell ref="AJ703:AL703"/>
    <mergeCell ref="AM703:AO703"/>
    <mergeCell ref="AP703:AR703"/>
    <mergeCell ref="AS703:AU703"/>
    <mergeCell ref="AV703:AX703"/>
    <mergeCell ref="A672:B672"/>
    <mergeCell ref="A674:A676"/>
    <mergeCell ref="B674:B676"/>
    <mergeCell ref="C674:AX674"/>
    <mergeCell ref="C675:E675"/>
    <mergeCell ref="F675:H675"/>
    <mergeCell ref="I675:K675"/>
    <mergeCell ref="L675:N675"/>
    <mergeCell ref="O675:Q675"/>
    <mergeCell ref="R675:T675"/>
    <mergeCell ref="U675:W675"/>
    <mergeCell ref="X675:Z675"/>
    <mergeCell ref="AA675:AC675"/>
    <mergeCell ref="AD675:AF675"/>
    <mergeCell ref="AG675:AI675"/>
    <mergeCell ref="AJ675:AL675"/>
    <mergeCell ref="AM675:AO675"/>
    <mergeCell ref="AP675:AR675"/>
    <mergeCell ref="AS675:AU675"/>
    <mergeCell ref="AV675:AX675"/>
    <mergeCell ref="A635:B635"/>
    <mergeCell ref="A637:A639"/>
    <mergeCell ref="B637:B639"/>
    <mergeCell ref="C637:AX637"/>
    <mergeCell ref="C638:E638"/>
    <mergeCell ref="F638:H638"/>
    <mergeCell ref="I638:K638"/>
    <mergeCell ref="L638:N638"/>
    <mergeCell ref="O638:Q638"/>
    <mergeCell ref="R638:T638"/>
    <mergeCell ref="U638:W638"/>
    <mergeCell ref="X638:Z638"/>
    <mergeCell ref="AA638:AC638"/>
    <mergeCell ref="AD638:AF638"/>
    <mergeCell ref="AG638:AI638"/>
    <mergeCell ref="AJ638:AL638"/>
    <mergeCell ref="AM638:AO638"/>
    <mergeCell ref="AP638:AR638"/>
    <mergeCell ref="AS638:AU638"/>
    <mergeCell ref="AV638:AX638"/>
    <mergeCell ref="A599:B599"/>
    <mergeCell ref="A601:A603"/>
    <mergeCell ref="B601:B603"/>
    <mergeCell ref="C601:AX601"/>
    <mergeCell ref="C602:E602"/>
    <mergeCell ref="F602:H602"/>
    <mergeCell ref="I602:K602"/>
    <mergeCell ref="L602:N602"/>
    <mergeCell ref="O602:Q602"/>
    <mergeCell ref="R602:T602"/>
    <mergeCell ref="U602:W602"/>
    <mergeCell ref="X602:Z602"/>
    <mergeCell ref="AA602:AC602"/>
    <mergeCell ref="AD602:AF602"/>
    <mergeCell ref="AG602:AI602"/>
    <mergeCell ref="AJ602:AL602"/>
    <mergeCell ref="AM602:AO602"/>
    <mergeCell ref="AP602:AR602"/>
    <mergeCell ref="AS602:AU602"/>
    <mergeCell ref="AV602:AX602"/>
    <mergeCell ref="A563:F564"/>
    <mergeCell ref="A565:A567"/>
    <mergeCell ref="B565:B567"/>
    <mergeCell ref="C565:AX565"/>
    <mergeCell ref="C566:E566"/>
    <mergeCell ref="F566:H566"/>
    <mergeCell ref="I566:K566"/>
    <mergeCell ref="L566:N566"/>
    <mergeCell ref="O566:Q566"/>
    <mergeCell ref="R566:T566"/>
    <mergeCell ref="U566:W566"/>
    <mergeCell ref="X566:Z566"/>
    <mergeCell ref="AA566:AC566"/>
    <mergeCell ref="AD566:AF566"/>
    <mergeCell ref="AG566:AI566"/>
    <mergeCell ref="AJ566:AL566"/>
    <mergeCell ref="AM566:AO566"/>
    <mergeCell ref="AP566:AR566"/>
    <mergeCell ref="AS566:AU566"/>
    <mergeCell ref="AV566:AX566"/>
    <mergeCell ref="A527:F528"/>
    <mergeCell ref="A529:A531"/>
    <mergeCell ref="B529:B531"/>
    <mergeCell ref="C529:AX529"/>
    <mergeCell ref="C530:E530"/>
    <mergeCell ref="F530:H530"/>
    <mergeCell ref="I530:K530"/>
    <mergeCell ref="L530:N530"/>
    <mergeCell ref="O530:Q530"/>
    <mergeCell ref="R530:T530"/>
    <mergeCell ref="U530:W530"/>
    <mergeCell ref="X530:Z530"/>
    <mergeCell ref="AA530:AC530"/>
    <mergeCell ref="AD530:AF530"/>
    <mergeCell ref="AG530:AI530"/>
    <mergeCell ref="AJ530:AL530"/>
    <mergeCell ref="AM530:AO530"/>
    <mergeCell ref="AP530:AR530"/>
    <mergeCell ref="AS530:AU530"/>
    <mergeCell ref="AV530:AX530"/>
    <mergeCell ref="A493:F494"/>
    <mergeCell ref="A495:A497"/>
    <mergeCell ref="B495:B497"/>
    <mergeCell ref="C495:AX495"/>
    <mergeCell ref="C496:E496"/>
    <mergeCell ref="F496:H496"/>
    <mergeCell ref="I496:K496"/>
    <mergeCell ref="L496:N496"/>
    <mergeCell ref="O496:Q496"/>
    <mergeCell ref="R496:T496"/>
    <mergeCell ref="U496:W496"/>
    <mergeCell ref="X496:Z496"/>
    <mergeCell ref="AA496:AC496"/>
    <mergeCell ref="AD496:AF496"/>
    <mergeCell ref="AG496:AI496"/>
    <mergeCell ref="AJ496:AL496"/>
    <mergeCell ref="AM496:AO496"/>
    <mergeCell ref="AP496:AR496"/>
    <mergeCell ref="AS496:AU496"/>
    <mergeCell ref="AV496:AX496"/>
    <mergeCell ref="A458:F459"/>
    <mergeCell ref="A460:A462"/>
    <mergeCell ref="B460:B462"/>
    <mergeCell ref="C460:AX460"/>
    <mergeCell ref="C461:E461"/>
    <mergeCell ref="F461:H461"/>
    <mergeCell ref="I461:K461"/>
    <mergeCell ref="L461:N461"/>
    <mergeCell ref="O461:Q461"/>
    <mergeCell ref="R461:T461"/>
    <mergeCell ref="U461:W461"/>
    <mergeCell ref="X461:Z461"/>
    <mergeCell ref="AA461:AC461"/>
    <mergeCell ref="AG461:AI461"/>
    <mergeCell ref="AJ461:AL461"/>
    <mergeCell ref="AM461:AO461"/>
    <mergeCell ref="AP461:AR461"/>
    <mergeCell ref="AS461:AU461"/>
    <mergeCell ref="AV461:AX461"/>
    <mergeCell ref="A423:F424"/>
    <mergeCell ref="A425:A427"/>
    <mergeCell ref="B425:B427"/>
    <mergeCell ref="C425:AX425"/>
    <mergeCell ref="C426:E426"/>
    <mergeCell ref="F426:H426"/>
    <mergeCell ref="I426:K426"/>
    <mergeCell ref="L426:N426"/>
    <mergeCell ref="O426:Q426"/>
    <mergeCell ref="R426:T426"/>
    <mergeCell ref="U426:W426"/>
    <mergeCell ref="X426:Z426"/>
    <mergeCell ref="AA426:AC426"/>
    <mergeCell ref="AG426:AI426"/>
    <mergeCell ref="AJ426:AL426"/>
    <mergeCell ref="AM426:AN426"/>
    <mergeCell ref="AP426:AQ426"/>
    <mergeCell ref="AS426:AT426"/>
    <mergeCell ref="AV426:AX426"/>
    <mergeCell ref="A391:F392"/>
    <mergeCell ref="A393:A395"/>
    <mergeCell ref="B393:B395"/>
    <mergeCell ref="C393:AX393"/>
    <mergeCell ref="C394:E394"/>
    <mergeCell ref="F394:H394"/>
    <mergeCell ref="I394:K394"/>
    <mergeCell ref="L394:N394"/>
    <mergeCell ref="O394:Q394"/>
    <mergeCell ref="R394:T394"/>
    <mergeCell ref="U394:W394"/>
    <mergeCell ref="X394:Z394"/>
    <mergeCell ref="AA394:AC394"/>
    <mergeCell ref="AG394:AI394"/>
    <mergeCell ref="AJ394:AL394"/>
    <mergeCell ref="AM394:AN394"/>
    <mergeCell ref="AP394:AQ394"/>
    <mergeCell ref="AS394:AT394"/>
    <mergeCell ref="AV394:AX394"/>
    <mergeCell ref="A274:B274"/>
    <mergeCell ref="A276:A278"/>
    <mergeCell ref="B276:B278"/>
    <mergeCell ref="C276:AX276"/>
    <mergeCell ref="C277:E277"/>
    <mergeCell ref="F277:H277"/>
    <mergeCell ref="I277:K277"/>
    <mergeCell ref="L277:N277"/>
    <mergeCell ref="O277:Q277"/>
    <mergeCell ref="R277:T277"/>
    <mergeCell ref="U277:W277"/>
    <mergeCell ref="X277:Z277"/>
    <mergeCell ref="AA277:AC277"/>
    <mergeCell ref="AD277:AF277"/>
    <mergeCell ref="AG277:AI277"/>
    <mergeCell ref="AJ277:AL277"/>
    <mergeCell ref="AM277:AO277"/>
    <mergeCell ref="AP277:AR277"/>
    <mergeCell ref="AS277:AU277"/>
    <mergeCell ref="AV277:AX277"/>
    <mergeCell ref="A201:B201"/>
    <mergeCell ref="A203:A205"/>
    <mergeCell ref="B203:B205"/>
    <mergeCell ref="C203:AX203"/>
    <mergeCell ref="C204:E204"/>
    <mergeCell ref="F204:H204"/>
    <mergeCell ref="I204:K204"/>
    <mergeCell ref="L204:N204"/>
    <mergeCell ref="O204:Q204"/>
    <mergeCell ref="R204:T204"/>
    <mergeCell ref="U204:W204"/>
    <mergeCell ref="X204:Z204"/>
    <mergeCell ref="AA204:AC204"/>
    <mergeCell ref="AD204:AF204"/>
    <mergeCell ref="AG204:AI204"/>
    <mergeCell ref="AJ204:AL204"/>
    <mergeCell ref="AM204:AO204"/>
    <mergeCell ref="AP204:AR204"/>
    <mergeCell ref="AS204:AU204"/>
    <mergeCell ref="AV204:AX204"/>
    <mergeCell ref="AM168:AO168"/>
    <mergeCell ref="AP168:AR168"/>
    <mergeCell ref="AS168:AU168"/>
    <mergeCell ref="AV168:AX168"/>
    <mergeCell ref="A165:F166"/>
    <mergeCell ref="A167:A169"/>
    <mergeCell ref="B167:B169"/>
    <mergeCell ref="C167:AX167"/>
    <mergeCell ref="C168:E168"/>
    <mergeCell ref="F168:H168"/>
    <mergeCell ref="I168:K168"/>
    <mergeCell ref="L168:N168"/>
    <mergeCell ref="O168:Q168"/>
    <mergeCell ref="R168:T168"/>
    <mergeCell ref="U168:W168"/>
    <mergeCell ref="X168:Z168"/>
    <mergeCell ref="AA168:AC168"/>
    <mergeCell ref="AD168:AF168"/>
    <mergeCell ref="AG168:AI168"/>
    <mergeCell ref="AJ168:AL168"/>
    <mergeCell ref="A33:F34"/>
    <mergeCell ref="AM132:AO132"/>
    <mergeCell ref="AP132:AR132"/>
    <mergeCell ref="AS132:AU132"/>
    <mergeCell ref="AV132:AX132"/>
    <mergeCell ref="A129:F130"/>
    <mergeCell ref="A131:A133"/>
    <mergeCell ref="B131:B133"/>
    <mergeCell ref="C131:AX131"/>
    <mergeCell ref="C132:E132"/>
    <mergeCell ref="F132:H132"/>
    <mergeCell ref="I132:K132"/>
    <mergeCell ref="L132:N132"/>
    <mergeCell ref="O132:Q132"/>
    <mergeCell ref="R132:T132"/>
    <mergeCell ref="U132:W132"/>
    <mergeCell ref="X132:Z132"/>
    <mergeCell ref="AA132:AC132"/>
    <mergeCell ref="AD132:AF132"/>
    <mergeCell ref="AG132:AI132"/>
    <mergeCell ref="AJ132:AL132"/>
    <mergeCell ref="A35:A37"/>
    <mergeCell ref="B35:B37"/>
    <mergeCell ref="C35:AX35"/>
    <mergeCell ref="AV4:AX4"/>
    <mergeCell ref="A3:A5"/>
    <mergeCell ref="B3:B5"/>
    <mergeCell ref="A1:F2"/>
    <mergeCell ref="C3:AX3"/>
    <mergeCell ref="C4:E4"/>
    <mergeCell ref="F4:H4"/>
    <mergeCell ref="I4:K4"/>
    <mergeCell ref="L4:N4"/>
    <mergeCell ref="O4:Q4"/>
    <mergeCell ref="R4:T4"/>
    <mergeCell ref="U4:W4"/>
    <mergeCell ref="X4:Z4"/>
    <mergeCell ref="AA4:AC4"/>
    <mergeCell ref="AG4:AI4"/>
    <mergeCell ref="AJ4:AL4"/>
    <mergeCell ref="AP4:AQ4"/>
    <mergeCell ref="AS4:AT4"/>
    <mergeCell ref="AM4:AN4"/>
    <mergeCell ref="I36:K36"/>
    <mergeCell ref="L36:N36"/>
    <mergeCell ref="O36:Q36"/>
    <mergeCell ref="R36:T36"/>
    <mergeCell ref="U36:W36"/>
    <mergeCell ref="X36:Z36"/>
    <mergeCell ref="AV36:AX36"/>
    <mergeCell ref="AP36:AQ36"/>
    <mergeCell ref="AS36:AT36"/>
    <mergeCell ref="AM36:AN36"/>
    <mergeCell ref="AS63:AU63"/>
    <mergeCell ref="AA36:AC36"/>
    <mergeCell ref="AG36:AI36"/>
    <mergeCell ref="AJ36:AL36"/>
    <mergeCell ref="AG63:AI63"/>
    <mergeCell ref="AJ63:AL63"/>
    <mergeCell ref="AV63:AX63"/>
    <mergeCell ref="A60:F61"/>
    <mergeCell ref="A62:A64"/>
    <mergeCell ref="B62:B64"/>
    <mergeCell ref="C62:AX62"/>
    <mergeCell ref="C63:E63"/>
    <mergeCell ref="F63:H63"/>
    <mergeCell ref="I63:K63"/>
    <mergeCell ref="L63:N63"/>
    <mergeCell ref="O63:Q63"/>
    <mergeCell ref="R63:T63"/>
    <mergeCell ref="U63:W63"/>
    <mergeCell ref="X63:Z63"/>
    <mergeCell ref="AA63:AC63"/>
    <mergeCell ref="AM63:AO63"/>
    <mergeCell ref="AP63:AR63"/>
    <mergeCell ref="C36:E36"/>
    <mergeCell ref="F36:H36"/>
    <mergeCell ref="A237:B237"/>
    <mergeCell ref="A239:A241"/>
    <mergeCell ref="B239:B241"/>
    <mergeCell ref="C239:AX239"/>
    <mergeCell ref="C240:E240"/>
    <mergeCell ref="F240:H240"/>
    <mergeCell ref="I240:K240"/>
    <mergeCell ref="L240:N240"/>
    <mergeCell ref="O240:Q240"/>
    <mergeCell ref="R240:T240"/>
    <mergeCell ref="U240:W240"/>
    <mergeCell ref="X240:Z240"/>
    <mergeCell ref="AA240:AC240"/>
    <mergeCell ref="AD240:AF240"/>
    <mergeCell ref="AG240:AI240"/>
    <mergeCell ref="AJ240:AL240"/>
    <mergeCell ref="AM240:AO240"/>
    <mergeCell ref="AP240:AR240"/>
    <mergeCell ref="AS240:AU240"/>
    <mergeCell ref="AV240:AX240"/>
    <mergeCell ref="A302:B302"/>
    <mergeCell ref="A304:A306"/>
    <mergeCell ref="B304:B306"/>
    <mergeCell ref="C304:AX304"/>
    <mergeCell ref="C305:E305"/>
    <mergeCell ref="F305:H305"/>
    <mergeCell ref="I305:K305"/>
    <mergeCell ref="L305:N305"/>
    <mergeCell ref="O305:Q305"/>
    <mergeCell ref="R305:T305"/>
    <mergeCell ref="U305:W305"/>
    <mergeCell ref="X305:Z305"/>
    <mergeCell ref="AA305:AC305"/>
    <mergeCell ref="AD305:AF305"/>
    <mergeCell ref="AG305:AI305"/>
    <mergeCell ref="AJ305:AL305"/>
    <mergeCell ref="AM305:AO305"/>
    <mergeCell ref="AP305:AR305"/>
    <mergeCell ref="AS305:AU305"/>
    <mergeCell ref="AV305:AX305"/>
    <mergeCell ref="A330:B330"/>
    <mergeCell ref="A332:A334"/>
    <mergeCell ref="B332:B334"/>
    <mergeCell ref="C332:AX332"/>
    <mergeCell ref="C333:E333"/>
    <mergeCell ref="F333:H333"/>
    <mergeCell ref="I333:K333"/>
    <mergeCell ref="L333:N333"/>
    <mergeCell ref="O333:Q333"/>
    <mergeCell ref="R333:T333"/>
    <mergeCell ref="U333:W333"/>
    <mergeCell ref="X333:Z333"/>
    <mergeCell ref="AA333:AC333"/>
    <mergeCell ref="AD333:AF333"/>
    <mergeCell ref="AG333:AI333"/>
    <mergeCell ref="AJ333:AL333"/>
    <mergeCell ref="AM333:AO333"/>
    <mergeCell ref="AP333:AR333"/>
    <mergeCell ref="AS333:AU333"/>
    <mergeCell ref="AV333:AX333"/>
    <mergeCell ref="A359:B359"/>
    <mergeCell ref="A361:A363"/>
    <mergeCell ref="B361:B363"/>
    <mergeCell ref="C361:AX361"/>
    <mergeCell ref="C362:E362"/>
    <mergeCell ref="F362:H362"/>
    <mergeCell ref="I362:K362"/>
    <mergeCell ref="L362:N362"/>
    <mergeCell ref="O362:Q362"/>
    <mergeCell ref="R362:T362"/>
    <mergeCell ref="U362:W362"/>
    <mergeCell ref="X362:Z362"/>
    <mergeCell ref="AA362:AC362"/>
    <mergeCell ref="AD362:AF362"/>
    <mergeCell ref="AG362:AI362"/>
    <mergeCell ref="AJ362:AL362"/>
    <mergeCell ref="AM362:AO362"/>
    <mergeCell ref="AP362:AR362"/>
    <mergeCell ref="AS362:AU362"/>
    <mergeCell ref="AV362:AX362"/>
    <mergeCell ref="A93:F94"/>
    <mergeCell ref="A95:A97"/>
    <mergeCell ref="B95:B97"/>
    <mergeCell ref="C95:AX95"/>
    <mergeCell ref="C96:E96"/>
    <mergeCell ref="F96:H96"/>
    <mergeCell ref="I96:K96"/>
    <mergeCell ref="L96:N96"/>
    <mergeCell ref="O96:Q96"/>
    <mergeCell ref="R96:T96"/>
    <mergeCell ref="U96:W96"/>
    <mergeCell ref="X96:Z96"/>
    <mergeCell ref="AA96:AC96"/>
    <mergeCell ref="AG96:AI96"/>
    <mergeCell ref="AJ96:AL96"/>
    <mergeCell ref="AM96:AN96"/>
    <mergeCell ref="AP96:AQ96"/>
    <mergeCell ref="AS96:AT96"/>
    <mergeCell ref="AV96:AX96"/>
  </mergeCells>
  <hyperlinks>
    <hyperlink ref="BA103" location="'MLM-FUS'!A1" display="'MLM-FUS'!A1" xr:uid="{42F4895B-8701-4962-9606-FEECCDF5DFFB}"/>
  </hyperlink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984D4-39D8-4785-803C-942F998D2D34}">
  <dimension ref="A1:AO55"/>
  <sheetViews>
    <sheetView topLeftCell="A20" workbookViewId="0">
      <selection activeCell="A51" sqref="A51:XFD54"/>
    </sheetView>
  </sheetViews>
  <sheetFormatPr defaultColWidth="9.140625" defaultRowHeight="18" x14ac:dyDescent="0.5"/>
  <cols>
    <col min="1" max="1" width="11.7109375" style="22" bestFit="1" customWidth="1"/>
    <col min="2" max="2" width="9.42578125" style="22" bestFit="1" customWidth="1"/>
    <col min="3" max="5" width="9.140625" style="22" hidden="1" customWidth="1"/>
    <col min="6" max="8" width="9.140625" style="22" customWidth="1"/>
    <col min="9" max="23" width="9.140625" style="22" hidden="1" customWidth="1"/>
    <col min="24" max="26" width="9.140625" style="22" customWidth="1"/>
    <col min="27" max="38" width="9.140625" style="22" hidden="1" customWidth="1"/>
    <col min="39" max="16384" width="9.140625" style="22"/>
  </cols>
  <sheetData>
    <row r="1" spans="1:41" hidden="1" x14ac:dyDescent="0.5"/>
    <row r="2" spans="1:41" hidden="1" x14ac:dyDescent="0.5">
      <c r="A2" s="561" t="s">
        <v>434</v>
      </c>
      <c r="B2" s="561"/>
      <c r="C2" s="561"/>
      <c r="D2" s="561"/>
      <c r="E2" s="561"/>
      <c r="F2" s="561"/>
    </row>
    <row r="3" spans="1:41" hidden="1" x14ac:dyDescent="0.5">
      <c r="A3" s="561"/>
      <c r="B3" s="561"/>
      <c r="C3" s="561"/>
      <c r="D3" s="561"/>
      <c r="E3" s="561"/>
      <c r="F3" s="561"/>
    </row>
    <row r="4" spans="1:41" hidden="1" x14ac:dyDescent="0.5"/>
    <row r="5" spans="1:41" ht="21" hidden="1" x14ac:dyDescent="0.5">
      <c r="A5" s="563" t="s">
        <v>118</v>
      </c>
      <c r="B5" s="564" t="s">
        <v>135</v>
      </c>
      <c r="C5" s="565"/>
      <c r="D5" s="565"/>
      <c r="E5" s="565"/>
      <c r="F5" s="565"/>
      <c r="G5" s="565"/>
      <c r="H5" s="565"/>
      <c r="I5" s="565"/>
      <c r="J5" s="565"/>
      <c r="K5" s="565"/>
      <c r="L5" s="565"/>
      <c r="M5" s="565"/>
      <c r="N5" s="565"/>
      <c r="O5" s="565"/>
      <c r="P5" s="565"/>
      <c r="Q5" s="565"/>
      <c r="R5" s="565"/>
      <c r="S5" s="565"/>
      <c r="T5" s="565"/>
      <c r="U5" s="565"/>
      <c r="V5" s="565"/>
      <c r="W5" s="565"/>
      <c r="X5" s="565"/>
      <c r="Y5" s="565"/>
      <c r="Z5" s="565"/>
      <c r="AA5" s="565"/>
      <c r="AB5" s="565"/>
      <c r="AC5" s="565"/>
      <c r="AD5" s="565"/>
      <c r="AE5" s="565"/>
      <c r="AF5" s="565"/>
      <c r="AG5" s="565"/>
      <c r="AH5" s="565"/>
      <c r="AI5" s="565"/>
      <c r="AJ5" s="565"/>
      <c r="AK5" s="565"/>
      <c r="AL5" s="565"/>
      <c r="AM5" s="565"/>
      <c r="AN5" s="565"/>
      <c r="AO5" s="565"/>
    </row>
    <row r="6" spans="1:41" ht="21" hidden="1" x14ac:dyDescent="0.5">
      <c r="A6" s="563"/>
      <c r="B6" s="564"/>
      <c r="C6" s="566" t="s">
        <v>134</v>
      </c>
      <c r="D6" s="566"/>
      <c r="E6" s="567"/>
      <c r="F6" s="562" t="s">
        <v>133</v>
      </c>
      <c r="G6" s="562"/>
      <c r="H6" s="562"/>
      <c r="I6" s="562" t="s">
        <v>132</v>
      </c>
      <c r="J6" s="562"/>
      <c r="K6" s="562"/>
      <c r="L6" s="562" t="s">
        <v>131</v>
      </c>
      <c r="M6" s="562"/>
      <c r="N6" s="562"/>
      <c r="O6" s="562" t="s">
        <v>130</v>
      </c>
      <c r="P6" s="562"/>
      <c r="Q6" s="562"/>
      <c r="R6" s="562" t="s">
        <v>129</v>
      </c>
      <c r="S6" s="562"/>
      <c r="T6" s="562"/>
      <c r="U6" s="568" t="s">
        <v>128</v>
      </c>
      <c r="V6" s="566"/>
      <c r="W6" s="567"/>
      <c r="X6" s="562" t="s">
        <v>127</v>
      </c>
      <c r="Y6" s="562"/>
      <c r="Z6" s="562"/>
      <c r="AA6" s="562" t="s">
        <v>126</v>
      </c>
      <c r="AB6" s="562"/>
      <c r="AC6" s="562"/>
      <c r="AD6" s="562" t="s">
        <v>125</v>
      </c>
      <c r="AE6" s="562"/>
      <c r="AF6" s="562"/>
      <c r="AG6" s="562" t="s">
        <v>124</v>
      </c>
      <c r="AH6" s="562"/>
      <c r="AI6" s="562"/>
      <c r="AJ6" s="562" t="s">
        <v>123</v>
      </c>
      <c r="AK6" s="562"/>
      <c r="AL6" s="206"/>
      <c r="AM6" s="562" t="s">
        <v>122</v>
      </c>
      <c r="AN6" s="562"/>
      <c r="AO6" s="562"/>
    </row>
    <row r="7" spans="1:41" ht="21" hidden="1" x14ac:dyDescent="0.5">
      <c r="A7" s="563"/>
      <c r="B7" s="564"/>
      <c r="C7" s="207" t="s">
        <v>109</v>
      </c>
      <c r="D7" s="208" t="s">
        <v>108</v>
      </c>
      <c r="E7" s="208" t="s">
        <v>348</v>
      </c>
      <c r="F7" s="208" t="s">
        <v>109</v>
      </c>
      <c r="G7" s="208" t="s">
        <v>108</v>
      </c>
      <c r="H7" s="208" t="s">
        <v>348</v>
      </c>
      <c r="I7" s="208" t="s">
        <v>109</v>
      </c>
      <c r="J7" s="208" t="s">
        <v>108</v>
      </c>
      <c r="K7" s="208" t="s">
        <v>348</v>
      </c>
      <c r="L7" s="208" t="s">
        <v>109</v>
      </c>
      <c r="M7" s="208" t="s">
        <v>108</v>
      </c>
      <c r="N7" s="208" t="s">
        <v>348</v>
      </c>
      <c r="O7" s="208" t="s">
        <v>109</v>
      </c>
      <c r="P7" s="208" t="s">
        <v>108</v>
      </c>
      <c r="Q7" s="208" t="s">
        <v>348</v>
      </c>
      <c r="R7" s="208" t="s">
        <v>109</v>
      </c>
      <c r="S7" s="208" t="s">
        <v>108</v>
      </c>
      <c r="T7" s="208" t="s">
        <v>348</v>
      </c>
      <c r="U7" s="208" t="s">
        <v>109</v>
      </c>
      <c r="V7" s="208" t="s">
        <v>108</v>
      </c>
      <c r="W7" s="208" t="s">
        <v>348</v>
      </c>
      <c r="X7" s="208" t="s">
        <v>109</v>
      </c>
      <c r="Y7" s="208" t="s">
        <v>108</v>
      </c>
      <c r="Z7" s="208" t="s">
        <v>348</v>
      </c>
      <c r="AA7" s="208" t="s">
        <v>109</v>
      </c>
      <c r="AB7" s="208" t="s">
        <v>108</v>
      </c>
      <c r="AC7" s="208" t="s">
        <v>348</v>
      </c>
      <c r="AD7" s="208" t="s">
        <v>109</v>
      </c>
      <c r="AE7" s="208" t="s">
        <v>108</v>
      </c>
      <c r="AF7" s="208" t="s">
        <v>348</v>
      </c>
      <c r="AG7" s="208" t="s">
        <v>109</v>
      </c>
      <c r="AH7" s="208" t="s">
        <v>108</v>
      </c>
      <c r="AI7" s="208" t="s">
        <v>348</v>
      </c>
      <c r="AJ7" s="208" t="s">
        <v>109</v>
      </c>
      <c r="AK7" s="208" t="s">
        <v>108</v>
      </c>
      <c r="AL7" s="208" t="s">
        <v>348</v>
      </c>
      <c r="AM7" s="208" t="s">
        <v>109</v>
      </c>
      <c r="AN7" s="208" t="s">
        <v>108</v>
      </c>
      <c r="AO7" s="208" t="s">
        <v>348</v>
      </c>
    </row>
    <row r="8" spans="1:41" hidden="1" x14ac:dyDescent="0.5">
      <c r="A8" s="16">
        <v>1</v>
      </c>
      <c r="B8" s="15">
        <v>46027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>
        <v>100</v>
      </c>
      <c r="Y8" s="19">
        <v>1200</v>
      </c>
      <c r="Z8" s="19">
        <v>1200</v>
      </c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>
        <f>F8+X8</f>
        <v>100</v>
      </c>
      <c r="AN8" s="19">
        <f>G8+Y8</f>
        <v>1200</v>
      </c>
      <c r="AO8" s="19">
        <f>H8+Z8</f>
        <v>1200</v>
      </c>
    </row>
    <row r="9" spans="1:41" hidden="1" x14ac:dyDescent="0.5">
      <c r="A9" s="16">
        <v>2</v>
      </c>
      <c r="B9" s="15">
        <v>46031</v>
      </c>
      <c r="C9" s="19"/>
      <c r="D9" s="19"/>
      <c r="E9" s="19"/>
      <c r="F9" s="19">
        <v>200</v>
      </c>
      <c r="G9" s="19">
        <v>2800</v>
      </c>
      <c r="H9" s="19">
        <v>1792</v>
      </c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>
        <v>200</v>
      </c>
      <c r="Y9" s="19">
        <v>2400</v>
      </c>
      <c r="Z9" s="19">
        <v>2400</v>
      </c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>
        <f t="shared" ref="AM9:AM18" si="0">F9+X9</f>
        <v>400</v>
      </c>
      <c r="AN9" s="19">
        <f t="shared" ref="AN9:AN18" si="1">G9+Y9</f>
        <v>5200</v>
      </c>
      <c r="AO9" s="19">
        <f t="shared" ref="AO9:AO18" si="2">H9+Z9</f>
        <v>4192</v>
      </c>
    </row>
    <row r="10" spans="1:41" hidden="1" x14ac:dyDescent="0.5">
      <c r="A10" s="16">
        <v>3</v>
      </c>
      <c r="B10" s="15">
        <v>46034</v>
      </c>
      <c r="C10" s="19"/>
      <c r="D10" s="19"/>
      <c r="E10" s="19"/>
      <c r="F10" s="19">
        <v>300</v>
      </c>
      <c r="G10" s="19">
        <v>4200</v>
      </c>
      <c r="H10" s="19">
        <v>2688</v>
      </c>
      <c r="I10" s="19"/>
      <c r="J10" s="19"/>
      <c r="K10" s="19"/>
      <c r="L10" s="19"/>
      <c r="M10" s="19"/>
      <c r="N10" s="19"/>
      <c r="O10" s="183"/>
      <c r="P10" s="183"/>
      <c r="Q10" s="19"/>
      <c r="R10" s="19"/>
      <c r="S10" s="19"/>
      <c r="T10" s="19"/>
      <c r="U10" s="19"/>
      <c r="V10" s="19"/>
      <c r="W10" s="19"/>
      <c r="X10" s="19">
        <v>100</v>
      </c>
      <c r="Y10" s="19">
        <v>1200</v>
      </c>
      <c r="Z10" s="19">
        <v>1200</v>
      </c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>
        <f t="shared" si="0"/>
        <v>400</v>
      </c>
      <c r="AN10" s="19">
        <f t="shared" si="1"/>
        <v>5400</v>
      </c>
      <c r="AO10" s="19">
        <f t="shared" si="2"/>
        <v>3888</v>
      </c>
    </row>
    <row r="11" spans="1:41" hidden="1" x14ac:dyDescent="0.5">
      <c r="A11" s="16">
        <v>4</v>
      </c>
      <c r="B11" s="15">
        <v>46037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21"/>
      <c r="P11" s="178"/>
      <c r="Q11" s="19"/>
      <c r="R11" s="19"/>
      <c r="S11" s="19"/>
      <c r="T11" s="19"/>
      <c r="U11" s="19"/>
      <c r="V11" s="19"/>
      <c r="W11" s="19"/>
      <c r="X11" s="19">
        <v>100</v>
      </c>
      <c r="Y11" s="19">
        <v>1200</v>
      </c>
      <c r="Z11" s="19">
        <v>1200</v>
      </c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>
        <f t="shared" si="0"/>
        <v>100</v>
      </c>
      <c r="AN11" s="19">
        <f t="shared" si="1"/>
        <v>1200</v>
      </c>
      <c r="AO11" s="19">
        <f t="shared" si="2"/>
        <v>1200</v>
      </c>
    </row>
    <row r="12" spans="1:41" hidden="1" x14ac:dyDescent="0.5">
      <c r="A12" s="16">
        <v>5</v>
      </c>
      <c r="B12" s="15">
        <v>46039</v>
      </c>
      <c r="C12" s="19"/>
      <c r="D12" s="19"/>
      <c r="E12" s="19"/>
      <c r="F12" s="19">
        <v>500</v>
      </c>
      <c r="G12" s="19">
        <v>7000</v>
      </c>
      <c r="H12" s="19">
        <v>4480</v>
      </c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>
        <v>100</v>
      </c>
      <c r="Y12" s="19">
        <v>1200</v>
      </c>
      <c r="Z12" s="19">
        <v>1200</v>
      </c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>
        <f t="shared" si="0"/>
        <v>600</v>
      </c>
      <c r="AN12" s="19">
        <f t="shared" si="1"/>
        <v>8200</v>
      </c>
      <c r="AO12" s="19">
        <f t="shared" si="2"/>
        <v>5680</v>
      </c>
    </row>
    <row r="13" spans="1:41" hidden="1" x14ac:dyDescent="0.5">
      <c r="A13" s="16">
        <v>6</v>
      </c>
      <c r="B13" s="15">
        <v>46044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>
        <v>200</v>
      </c>
      <c r="Y13" s="19">
        <v>2400</v>
      </c>
      <c r="Z13" s="19">
        <v>2400</v>
      </c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>
        <f t="shared" si="0"/>
        <v>200</v>
      </c>
      <c r="AN13" s="19">
        <f t="shared" si="1"/>
        <v>2400</v>
      </c>
      <c r="AO13" s="19">
        <f t="shared" si="2"/>
        <v>2400</v>
      </c>
    </row>
    <row r="14" spans="1:41" hidden="1" x14ac:dyDescent="0.5">
      <c r="A14" s="16">
        <v>7</v>
      </c>
      <c r="B14" s="15">
        <v>46046</v>
      </c>
      <c r="C14" s="19"/>
      <c r="D14" s="19"/>
      <c r="E14" s="19"/>
      <c r="F14" s="19">
        <v>200</v>
      </c>
      <c r="G14" s="19">
        <v>2800</v>
      </c>
      <c r="H14" s="19">
        <v>1792</v>
      </c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>
        <f t="shared" si="0"/>
        <v>200</v>
      </c>
      <c r="AN14" s="19">
        <f t="shared" si="1"/>
        <v>2800</v>
      </c>
      <c r="AO14" s="19">
        <f t="shared" si="2"/>
        <v>1792</v>
      </c>
    </row>
    <row r="15" spans="1:41" hidden="1" x14ac:dyDescent="0.5">
      <c r="A15" s="16">
        <v>8</v>
      </c>
      <c r="B15" s="15">
        <v>46050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>
        <v>100</v>
      </c>
      <c r="Y15" s="19">
        <v>1200</v>
      </c>
      <c r="Z15" s="19">
        <v>1200</v>
      </c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>
        <f t="shared" si="0"/>
        <v>100</v>
      </c>
      <c r="AN15" s="19">
        <f t="shared" si="1"/>
        <v>1200</v>
      </c>
      <c r="AO15" s="19">
        <f t="shared" si="2"/>
        <v>1200</v>
      </c>
    </row>
    <row r="16" spans="1:41" hidden="1" x14ac:dyDescent="0.5">
      <c r="A16" s="16">
        <v>9</v>
      </c>
      <c r="B16" s="15">
        <v>46051</v>
      </c>
      <c r="C16" s="20"/>
      <c r="D16" s="20"/>
      <c r="E16" s="19"/>
      <c r="F16" s="20">
        <v>300</v>
      </c>
      <c r="G16" s="20">
        <v>4200</v>
      </c>
      <c r="H16" s="19">
        <v>2688</v>
      </c>
      <c r="I16" s="20"/>
      <c r="J16" s="20"/>
      <c r="K16" s="20"/>
      <c r="L16" s="20"/>
      <c r="M16" s="20"/>
      <c r="N16" s="20"/>
      <c r="O16" s="20"/>
      <c r="P16" s="20"/>
      <c r="Q16" s="19"/>
      <c r="R16" s="20"/>
      <c r="S16" s="20"/>
      <c r="T16" s="19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19"/>
      <c r="AG16" s="19"/>
      <c r="AH16" s="19"/>
      <c r="AI16" s="19"/>
      <c r="AJ16" s="19"/>
      <c r="AK16" s="19"/>
      <c r="AL16" s="19"/>
      <c r="AM16" s="19">
        <f t="shared" si="0"/>
        <v>300</v>
      </c>
      <c r="AN16" s="19">
        <f t="shared" si="1"/>
        <v>4200</v>
      </c>
      <c r="AO16" s="19">
        <f t="shared" si="2"/>
        <v>2688</v>
      </c>
    </row>
    <row r="17" spans="1:41" hidden="1" x14ac:dyDescent="0.5">
      <c r="A17" s="16">
        <v>10</v>
      </c>
      <c r="B17" s="15">
        <v>46053</v>
      </c>
      <c r="C17" s="20"/>
      <c r="D17" s="20"/>
      <c r="E17" s="19"/>
      <c r="F17" s="20">
        <v>500</v>
      </c>
      <c r="G17" s="20">
        <v>7000</v>
      </c>
      <c r="H17" s="19">
        <v>4480</v>
      </c>
      <c r="I17" s="20"/>
      <c r="J17" s="20"/>
      <c r="K17" s="20"/>
      <c r="L17" s="20"/>
      <c r="M17" s="20"/>
      <c r="N17" s="20"/>
      <c r="O17" s="20"/>
      <c r="P17" s="20"/>
      <c r="Q17" s="19"/>
      <c r="R17" s="20"/>
      <c r="S17" s="20"/>
      <c r="T17" s="19"/>
      <c r="U17" s="20"/>
      <c r="V17" s="20"/>
      <c r="W17" s="20"/>
      <c r="X17" s="20">
        <v>200</v>
      </c>
      <c r="Y17" s="20">
        <v>2400</v>
      </c>
      <c r="Z17" s="20">
        <v>2400</v>
      </c>
      <c r="AA17" s="20"/>
      <c r="AB17" s="20"/>
      <c r="AC17" s="20"/>
      <c r="AD17" s="20"/>
      <c r="AE17" s="20"/>
      <c r="AF17" s="19"/>
      <c r="AG17" s="19"/>
      <c r="AH17" s="19"/>
      <c r="AI17" s="19"/>
      <c r="AJ17" s="19"/>
      <c r="AK17" s="19"/>
      <c r="AL17" s="19"/>
      <c r="AM17" s="19">
        <f t="shared" si="0"/>
        <v>700</v>
      </c>
      <c r="AN17" s="19">
        <f t="shared" si="1"/>
        <v>9400</v>
      </c>
      <c r="AO17" s="19">
        <f t="shared" si="2"/>
        <v>6880</v>
      </c>
    </row>
    <row r="18" spans="1:41" hidden="1" x14ac:dyDescent="0.5">
      <c r="A18" s="16">
        <v>11</v>
      </c>
      <c r="B18" s="15"/>
      <c r="C18" s="20"/>
      <c r="D18" s="20"/>
      <c r="E18" s="19"/>
      <c r="F18" s="20"/>
      <c r="G18" s="20"/>
      <c r="H18" s="19"/>
      <c r="I18" s="20"/>
      <c r="J18" s="20"/>
      <c r="K18" s="20"/>
      <c r="L18" s="20"/>
      <c r="M18" s="20"/>
      <c r="N18" s="20"/>
      <c r="O18" s="20"/>
      <c r="P18" s="20"/>
      <c r="Q18" s="19"/>
      <c r="R18" s="20"/>
      <c r="S18" s="20"/>
      <c r="T18" s="19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19"/>
      <c r="AG18" s="19"/>
      <c r="AH18" s="19"/>
      <c r="AI18" s="19"/>
      <c r="AJ18" s="19"/>
      <c r="AK18" s="19"/>
      <c r="AL18" s="19"/>
      <c r="AM18" s="19">
        <f t="shared" si="0"/>
        <v>0</v>
      </c>
      <c r="AN18" s="19">
        <f t="shared" si="1"/>
        <v>0</v>
      </c>
      <c r="AO18" s="19">
        <f t="shared" si="2"/>
        <v>0</v>
      </c>
    </row>
    <row r="19" spans="1:41" hidden="1" x14ac:dyDescent="0.5">
      <c r="AM19" s="182">
        <f>SUM(AM8:AM18)</f>
        <v>3100</v>
      </c>
      <c r="AN19" s="182">
        <f>SUM(AN8:AN18)</f>
        <v>41200</v>
      </c>
      <c r="AO19" s="182">
        <f>SUM(AO8:AO18)</f>
        <v>31120</v>
      </c>
    </row>
    <row r="21" spans="1:41" hidden="1" x14ac:dyDescent="0.5">
      <c r="A21" s="561" t="s">
        <v>434</v>
      </c>
      <c r="B21" s="561"/>
      <c r="C21" s="561"/>
      <c r="D21" s="561"/>
      <c r="E21" s="561"/>
      <c r="F21" s="561"/>
    </row>
    <row r="22" spans="1:41" hidden="1" x14ac:dyDescent="0.5">
      <c r="A22" s="561"/>
      <c r="B22" s="561"/>
      <c r="C22" s="561"/>
      <c r="D22" s="561"/>
      <c r="E22" s="561"/>
      <c r="F22" s="561"/>
    </row>
    <row r="23" spans="1:41" hidden="1" x14ac:dyDescent="0.5"/>
    <row r="24" spans="1:41" ht="21" hidden="1" x14ac:dyDescent="0.5">
      <c r="A24" s="563" t="s">
        <v>118</v>
      </c>
      <c r="B24" s="564" t="s">
        <v>135</v>
      </c>
      <c r="C24" s="565"/>
      <c r="D24" s="565"/>
      <c r="E24" s="565"/>
      <c r="F24" s="565"/>
      <c r="G24" s="565"/>
      <c r="H24" s="565"/>
      <c r="I24" s="565"/>
      <c r="J24" s="565"/>
      <c r="K24" s="565"/>
      <c r="L24" s="565"/>
      <c r="M24" s="565"/>
      <c r="N24" s="565"/>
      <c r="O24" s="565"/>
      <c r="P24" s="565"/>
      <c r="Q24" s="565"/>
      <c r="R24" s="565"/>
      <c r="S24" s="565"/>
      <c r="T24" s="565"/>
      <c r="U24" s="565"/>
      <c r="V24" s="565"/>
      <c r="W24" s="565"/>
      <c r="X24" s="565"/>
      <c r="Y24" s="565"/>
      <c r="Z24" s="565"/>
      <c r="AA24" s="565"/>
      <c r="AB24" s="565"/>
      <c r="AC24" s="565"/>
      <c r="AD24" s="565"/>
      <c r="AE24" s="565"/>
      <c r="AF24" s="565"/>
      <c r="AG24" s="565"/>
      <c r="AH24" s="565"/>
      <c r="AI24" s="565"/>
      <c r="AJ24" s="565"/>
      <c r="AK24" s="565"/>
      <c r="AL24" s="565"/>
      <c r="AM24" s="565"/>
      <c r="AN24" s="565"/>
      <c r="AO24" s="565"/>
    </row>
    <row r="25" spans="1:41" ht="21" hidden="1" x14ac:dyDescent="0.5">
      <c r="A25" s="563"/>
      <c r="B25" s="564"/>
      <c r="C25" s="566" t="s">
        <v>134</v>
      </c>
      <c r="D25" s="566"/>
      <c r="E25" s="567"/>
      <c r="F25" s="562" t="s">
        <v>133</v>
      </c>
      <c r="G25" s="562"/>
      <c r="H25" s="562"/>
      <c r="I25" s="562" t="s">
        <v>132</v>
      </c>
      <c r="J25" s="562"/>
      <c r="K25" s="562"/>
      <c r="L25" s="562" t="s">
        <v>131</v>
      </c>
      <c r="M25" s="562"/>
      <c r="N25" s="562"/>
      <c r="O25" s="562" t="s">
        <v>130</v>
      </c>
      <c r="P25" s="562"/>
      <c r="Q25" s="562"/>
      <c r="R25" s="562" t="s">
        <v>129</v>
      </c>
      <c r="S25" s="562"/>
      <c r="T25" s="562"/>
      <c r="U25" s="568" t="s">
        <v>128</v>
      </c>
      <c r="V25" s="566"/>
      <c r="W25" s="567"/>
      <c r="X25" s="562" t="s">
        <v>127</v>
      </c>
      <c r="Y25" s="562"/>
      <c r="Z25" s="562"/>
      <c r="AA25" s="562" t="s">
        <v>126</v>
      </c>
      <c r="AB25" s="562"/>
      <c r="AC25" s="562"/>
      <c r="AD25" s="562" t="s">
        <v>125</v>
      </c>
      <c r="AE25" s="562"/>
      <c r="AF25" s="562"/>
      <c r="AG25" s="562" t="s">
        <v>124</v>
      </c>
      <c r="AH25" s="562"/>
      <c r="AI25" s="562"/>
      <c r="AJ25" s="562" t="s">
        <v>123</v>
      </c>
      <c r="AK25" s="562"/>
      <c r="AL25" s="206"/>
      <c r="AM25" s="562" t="s">
        <v>122</v>
      </c>
      <c r="AN25" s="562"/>
      <c r="AO25" s="562"/>
    </row>
    <row r="26" spans="1:41" ht="21" hidden="1" x14ac:dyDescent="0.5">
      <c r="A26" s="563"/>
      <c r="B26" s="564"/>
      <c r="C26" s="207" t="s">
        <v>109</v>
      </c>
      <c r="D26" s="208" t="s">
        <v>108</v>
      </c>
      <c r="E26" s="208" t="s">
        <v>348</v>
      </c>
      <c r="F26" s="208" t="s">
        <v>109</v>
      </c>
      <c r="G26" s="208" t="s">
        <v>108</v>
      </c>
      <c r="H26" s="208" t="s">
        <v>348</v>
      </c>
      <c r="I26" s="208" t="s">
        <v>109</v>
      </c>
      <c r="J26" s="208" t="s">
        <v>108</v>
      </c>
      <c r="K26" s="208" t="s">
        <v>348</v>
      </c>
      <c r="L26" s="208" t="s">
        <v>109</v>
      </c>
      <c r="M26" s="208" t="s">
        <v>108</v>
      </c>
      <c r="N26" s="208" t="s">
        <v>348</v>
      </c>
      <c r="O26" s="208" t="s">
        <v>109</v>
      </c>
      <c r="P26" s="208" t="s">
        <v>108</v>
      </c>
      <c r="Q26" s="208" t="s">
        <v>348</v>
      </c>
      <c r="R26" s="208" t="s">
        <v>109</v>
      </c>
      <c r="S26" s="208" t="s">
        <v>108</v>
      </c>
      <c r="T26" s="208" t="s">
        <v>348</v>
      </c>
      <c r="U26" s="208" t="s">
        <v>109</v>
      </c>
      <c r="V26" s="208" t="s">
        <v>108</v>
      </c>
      <c r="W26" s="208" t="s">
        <v>348</v>
      </c>
      <c r="X26" s="208" t="s">
        <v>109</v>
      </c>
      <c r="Y26" s="208" t="s">
        <v>108</v>
      </c>
      <c r="Z26" s="208" t="s">
        <v>348</v>
      </c>
      <c r="AA26" s="208" t="s">
        <v>109</v>
      </c>
      <c r="AB26" s="208" t="s">
        <v>108</v>
      </c>
      <c r="AC26" s="208" t="s">
        <v>348</v>
      </c>
      <c r="AD26" s="208" t="s">
        <v>109</v>
      </c>
      <c r="AE26" s="208" t="s">
        <v>108</v>
      </c>
      <c r="AF26" s="208" t="s">
        <v>348</v>
      </c>
      <c r="AG26" s="208" t="s">
        <v>109</v>
      </c>
      <c r="AH26" s="208" t="s">
        <v>108</v>
      </c>
      <c r="AI26" s="208" t="s">
        <v>348</v>
      </c>
      <c r="AJ26" s="208" t="s">
        <v>109</v>
      </c>
      <c r="AK26" s="208" t="s">
        <v>108</v>
      </c>
      <c r="AL26" s="208" t="s">
        <v>348</v>
      </c>
      <c r="AM26" s="208" t="s">
        <v>109</v>
      </c>
      <c r="AN26" s="208" t="s">
        <v>108</v>
      </c>
      <c r="AO26" s="208" t="s">
        <v>348</v>
      </c>
    </row>
    <row r="27" spans="1:41" hidden="1" x14ac:dyDescent="0.5">
      <c r="A27" s="16">
        <v>1</v>
      </c>
      <c r="B27" s="15">
        <v>46057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>
        <v>200</v>
      </c>
      <c r="Y27" s="19">
        <v>2400</v>
      </c>
      <c r="Z27" s="19">
        <v>2400</v>
      </c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>
        <f>F27+X27</f>
        <v>200</v>
      </c>
      <c r="AN27" s="19">
        <f>G27+Y27</f>
        <v>2400</v>
      </c>
      <c r="AO27" s="19">
        <f>H27+Z27</f>
        <v>2400</v>
      </c>
    </row>
    <row r="28" spans="1:41" hidden="1" x14ac:dyDescent="0.5">
      <c r="A28" s="16">
        <v>2</v>
      </c>
      <c r="B28" s="15">
        <v>46062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>
        <v>300</v>
      </c>
      <c r="Y28" s="19">
        <v>3600</v>
      </c>
      <c r="Z28" s="19">
        <v>3600</v>
      </c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>
        <f t="shared" ref="AM28:AM36" si="3">F28+X28</f>
        <v>300</v>
      </c>
      <c r="AN28" s="19">
        <f t="shared" ref="AN28:AN36" si="4">G28+Y28</f>
        <v>3600</v>
      </c>
      <c r="AO28" s="19">
        <f t="shared" ref="AO28:AO36" si="5">H28+Z28</f>
        <v>3600</v>
      </c>
    </row>
    <row r="29" spans="1:41" hidden="1" x14ac:dyDescent="0.5">
      <c r="A29" s="16">
        <v>3</v>
      </c>
      <c r="B29" s="15">
        <v>46064</v>
      </c>
      <c r="C29" s="19"/>
      <c r="D29" s="19"/>
      <c r="E29" s="19"/>
      <c r="F29" s="19">
        <v>500</v>
      </c>
      <c r="G29" s="19">
        <v>7000</v>
      </c>
      <c r="H29" s="19">
        <v>4480</v>
      </c>
      <c r="I29" s="19"/>
      <c r="J29" s="19"/>
      <c r="K29" s="19"/>
      <c r="L29" s="19"/>
      <c r="M29" s="19"/>
      <c r="N29" s="19"/>
      <c r="O29" s="183"/>
      <c r="P29" s="183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>
        <f t="shared" si="3"/>
        <v>500</v>
      </c>
      <c r="AN29" s="19">
        <f t="shared" si="4"/>
        <v>7000</v>
      </c>
      <c r="AO29" s="19">
        <f t="shared" si="5"/>
        <v>4480</v>
      </c>
    </row>
    <row r="30" spans="1:41" hidden="1" x14ac:dyDescent="0.5">
      <c r="A30" s="16">
        <v>4</v>
      </c>
      <c r="B30" s="15">
        <v>46072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21"/>
      <c r="P30" s="178"/>
      <c r="Q30" s="19"/>
      <c r="R30" s="19"/>
      <c r="S30" s="19"/>
      <c r="T30" s="19"/>
      <c r="U30" s="19"/>
      <c r="V30" s="19"/>
      <c r="W30" s="19"/>
      <c r="X30" s="19">
        <v>100</v>
      </c>
      <c r="Y30" s="19">
        <v>1200</v>
      </c>
      <c r="Z30" s="19">
        <v>1200</v>
      </c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>
        <f t="shared" si="3"/>
        <v>100</v>
      </c>
      <c r="AN30" s="19">
        <f t="shared" si="4"/>
        <v>1200</v>
      </c>
      <c r="AO30" s="19">
        <f t="shared" si="5"/>
        <v>1200</v>
      </c>
    </row>
    <row r="31" spans="1:41" hidden="1" x14ac:dyDescent="0.5">
      <c r="A31" s="16">
        <v>5</v>
      </c>
      <c r="B31" s="15">
        <v>46073</v>
      </c>
      <c r="C31" s="19"/>
      <c r="D31" s="19"/>
      <c r="E31" s="19"/>
      <c r="F31" s="19">
        <v>200</v>
      </c>
      <c r="G31" s="19">
        <v>2800</v>
      </c>
      <c r="H31" s="19">
        <v>1792</v>
      </c>
      <c r="I31" s="19"/>
      <c r="J31" s="19"/>
      <c r="K31" s="19"/>
      <c r="L31" s="19"/>
      <c r="M31" s="19"/>
      <c r="N31" s="19"/>
      <c r="O31" s="178"/>
      <c r="P31" s="178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>
        <f t="shared" ref="AM31" si="6">F31+X31</f>
        <v>200</v>
      </c>
      <c r="AN31" s="19">
        <f t="shared" ref="AN31" si="7">G31+Y31</f>
        <v>2800</v>
      </c>
      <c r="AO31" s="19">
        <f t="shared" ref="AO31" si="8">H31+Z31</f>
        <v>1792</v>
      </c>
    </row>
    <row r="32" spans="1:41" hidden="1" x14ac:dyDescent="0.5">
      <c r="A32" s="16">
        <v>6</v>
      </c>
      <c r="B32" s="15">
        <v>46074</v>
      </c>
      <c r="C32" s="19"/>
      <c r="D32" s="19"/>
      <c r="E32" s="19"/>
      <c r="F32" s="19">
        <v>300</v>
      </c>
      <c r="G32" s="19">
        <v>4200</v>
      </c>
      <c r="H32" s="19">
        <v>2688</v>
      </c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>
        <f t="shared" si="3"/>
        <v>300</v>
      </c>
      <c r="AN32" s="19">
        <f t="shared" si="4"/>
        <v>4200</v>
      </c>
      <c r="AO32" s="19">
        <f t="shared" si="5"/>
        <v>2688</v>
      </c>
    </row>
    <row r="33" spans="1:41" hidden="1" x14ac:dyDescent="0.5">
      <c r="A33" s="16">
        <v>6</v>
      </c>
      <c r="B33" s="15">
        <v>46076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>
        <v>100</v>
      </c>
      <c r="Y33" s="19">
        <v>1200</v>
      </c>
      <c r="Z33" s="19">
        <v>1200</v>
      </c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>
        <f t="shared" si="3"/>
        <v>100</v>
      </c>
      <c r="AN33" s="19">
        <f t="shared" si="4"/>
        <v>1200</v>
      </c>
      <c r="AO33" s="19">
        <f t="shared" si="5"/>
        <v>1200</v>
      </c>
    </row>
    <row r="34" spans="1:41" hidden="1" x14ac:dyDescent="0.5">
      <c r="A34" s="16">
        <v>7</v>
      </c>
      <c r="B34" s="15">
        <v>46079</v>
      </c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>
        <v>100</v>
      </c>
      <c r="Y34" s="19">
        <v>1200</v>
      </c>
      <c r="Z34" s="19">
        <v>1200</v>
      </c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>
        <f t="shared" si="3"/>
        <v>100</v>
      </c>
      <c r="AN34" s="19">
        <f t="shared" si="4"/>
        <v>1200</v>
      </c>
      <c r="AO34" s="19">
        <f t="shared" si="5"/>
        <v>1200</v>
      </c>
    </row>
    <row r="35" spans="1:41" hidden="1" x14ac:dyDescent="0.5">
      <c r="A35" s="16">
        <v>8</v>
      </c>
      <c r="B35" s="15">
        <v>46080</v>
      </c>
      <c r="C35" s="19"/>
      <c r="D35" s="19"/>
      <c r="E35" s="19"/>
      <c r="F35" s="19">
        <v>100</v>
      </c>
      <c r="G35" s="19">
        <v>1400</v>
      </c>
      <c r="H35" s="19">
        <v>896</v>
      </c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>
        <f t="shared" si="3"/>
        <v>100</v>
      </c>
      <c r="AN35" s="19">
        <f t="shared" si="4"/>
        <v>1400</v>
      </c>
      <c r="AO35" s="19">
        <f t="shared" si="5"/>
        <v>896</v>
      </c>
    </row>
    <row r="36" spans="1:41" hidden="1" x14ac:dyDescent="0.5">
      <c r="A36" s="16">
        <v>9</v>
      </c>
      <c r="B36" s="15">
        <v>46081</v>
      </c>
      <c r="C36" s="20"/>
      <c r="D36" s="20"/>
      <c r="E36" s="19"/>
      <c r="F36" s="20">
        <v>400</v>
      </c>
      <c r="G36" s="20">
        <v>5600</v>
      </c>
      <c r="H36" s="19">
        <v>3584</v>
      </c>
      <c r="I36" s="20"/>
      <c r="J36" s="20"/>
      <c r="K36" s="20"/>
      <c r="L36" s="20"/>
      <c r="M36" s="20"/>
      <c r="N36" s="20"/>
      <c r="O36" s="20"/>
      <c r="P36" s="20"/>
      <c r="Q36" s="19"/>
      <c r="R36" s="20"/>
      <c r="S36" s="20"/>
      <c r="T36" s="19"/>
      <c r="U36" s="20"/>
      <c r="V36" s="20"/>
      <c r="W36" s="20"/>
      <c r="X36" s="20">
        <v>200</v>
      </c>
      <c r="Y36" s="20">
        <v>2400</v>
      </c>
      <c r="Z36" s="20">
        <v>2400</v>
      </c>
      <c r="AA36" s="20"/>
      <c r="AB36" s="20"/>
      <c r="AC36" s="20"/>
      <c r="AD36" s="20"/>
      <c r="AE36" s="20"/>
      <c r="AF36" s="19"/>
      <c r="AG36" s="19"/>
      <c r="AH36" s="19"/>
      <c r="AI36" s="19"/>
      <c r="AJ36" s="19"/>
      <c r="AK36" s="19"/>
      <c r="AL36" s="19"/>
      <c r="AM36" s="19">
        <f t="shared" si="3"/>
        <v>600</v>
      </c>
      <c r="AN36" s="19">
        <f t="shared" si="4"/>
        <v>8000</v>
      </c>
      <c r="AO36" s="19">
        <f t="shared" si="5"/>
        <v>5984</v>
      </c>
    </row>
    <row r="37" spans="1:41" hidden="1" x14ac:dyDescent="0.5">
      <c r="AM37" s="182">
        <f>SUM(AM27:AM36)</f>
        <v>2500</v>
      </c>
      <c r="AN37" s="182">
        <f>SUM(AN27:AN36)</f>
        <v>33000</v>
      </c>
      <c r="AO37" s="182">
        <f>SUM(AO27:AO36)</f>
        <v>25440</v>
      </c>
    </row>
    <row r="39" spans="1:41" x14ac:dyDescent="0.5">
      <c r="A39" s="561" t="s">
        <v>541</v>
      </c>
      <c r="B39" s="561"/>
      <c r="C39" s="561"/>
      <c r="D39" s="561"/>
      <c r="E39" s="561"/>
      <c r="F39" s="561"/>
    </row>
    <row r="40" spans="1:41" x14ac:dyDescent="0.5">
      <c r="A40" s="561"/>
      <c r="B40" s="561"/>
      <c r="C40" s="561"/>
      <c r="D40" s="561"/>
      <c r="E40" s="561"/>
      <c r="F40" s="561"/>
    </row>
    <row r="42" spans="1:41" ht="21" x14ac:dyDescent="0.5">
      <c r="A42" s="563" t="s">
        <v>118</v>
      </c>
      <c r="B42" s="564" t="s">
        <v>135</v>
      </c>
      <c r="C42" s="565"/>
      <c r="D42" s="565"/>
      <c r="E42" s="565"/>
      <c r="F42" s="565"/>
      <c r="G42" s="565"/>
      <c r="H42" s="565"/>
      <c r="I42" s="565"/>
      <c r="J42" s="565"/>
      <c r="K42" s="565"/>
      <c r="L42" s="565"/>
      <c r="M42" s="565"/>
      <c r="N42" s="565"/>
      <c r="O42" s="565"/>
      <c r="P42" s="565"/>
      <c r="Q42" s="565"/>
      <c r="R42" s="565"/>
      <c r="S42" s="565"/>
      <c r="T42" s="565"/>
      <c r="U42" s="565"/>
      <c r="V42" s="565"/>
      <c r="W42" s="565"/>
      <c r="X42" s="565"/>
      <c r="Y42" s="565"/>
      <c r="Z42" s="565"/>
      <c r="AA42" s="565"/>
      <c r="AB42" s="565"/>
      <c r="AC42" s="565"/>
      <c r="AD42" s="565"/>
      <c r="AE42" s="565"/>
      <c r="AF42" s="565"/>
      <c r="AG42" s="565"/>
      <c r="AH42" s="565"/>
      <c r="AI42" s="565"/>
      <c r="AJ42" s="565"/>
      <c r="AK42" s="565"/>
      <c r="AL42" s="565"/>
      <c r="AM42" s="565"/>
      <c r="AN42" s="565"/>
      <c r="AO42" s="565"/>
    </row>
    <row r="43" spans="1:41" ht="21" x14ac:dyDescent="0.5">
      <c r="A43" s="563"/>
      <c r="B43" s="564"/>
      <c r="C43" s="566" t="s">
        <v>134</v>
      </c>
      <c r="D43" s="566"/>
      <c r="E43" s="567"/>
      <c r="F43" s="562" t="s">
        <v>133</v>
      </c>
      <c r="G43" s="562"/>
      <c r="H43" s="562"/>
      <c r="I43" s="562" t="s">
        <v>132</v>
      </c>
      <c r="J43" s="562"/>
      <c r="K43" s="562"/>
      <c r="L43" s="562" t="s">
        <v>131</v>
      </c>
      <c r="M43" s="562"/>
      <c r="N43" s="562"/>
      <c r="O43" s="562" t="s">
        <v>130</v>
      </c>
      <c r="P43" s="562"/>
      <c r="Q43" s="562"/>
      <c r="R43" s="562" t="s">
        <v>129</v>
      </c>
      <c r="S43" s="562"/>
      <c r="T43" s="562"/>
      <c r="U43" s="568" t="s">
        <v>128</v>
      </c>
      <c r="V43" s="566"/>
      <c r="W43" s="567"/>
      <c r="X43" s="562" t="s">
        <v>127</v>
      </c>
      <c r="Y43" s="562"/>
      <c r="Z43" s="562"/>
      <c r="AA43" s="562" t="s">
        <v>126</v>
      </c>
      <c r="AB43" s="562"/>
      <c r="AC43" s="562"/>
      <c r="AD43" s="562" t="s">
        <v>125</v>
      </c>
      <c r="AE43" s="562"/>
      <c r="AF43" s="562"/>
      <c r="AG43" s="562" t="s">
        <v>124</v>
      </c>
      <c r="AH43" s="562"/>
      <c r="AI43" s="562"/>
      <c r="AJ43" s="562" t="s">
        <v>123</v>
      </c>
      <c r="AK43" s="562"/>
      <c r="AL43" s="206"/>
      <c r="AM43" s="562" t="s">
        <v>122</v>
      </c>
      <c r="AN43" s="562"/>
      <c r="AO43" s="562"/>
    </row>
    <row r="44" spans="1:41" ht="21" x14ac:dyDescent="0.5">
      <c r="A44" s="563"/>
      <c r="B44" s="564"/>
      <c r="C44" s="207" t="s">
        <v>109</v>
      </c>
      <c r="D44" s="208" t="s">
        <v>108</v>
      </c>
      <c r="E44" s="208" t="s">
        <v>348</v>
      </c>
      <c r="F44" s="208" t="s">
        <v>109</v>
      </c>
      <c r="G44" s="208" t="s">
        <v>108</v>
      </c>
      <c r="H44" s="208" t="s">
        <v>348</v>
      </c>
      <c r="I44" s="208" t="s">
        <v>109</v>
      </c>
      <c r="J44" s="208" t="s">
        <v>108</v>
      </c>
      <c r="K44" s="208" t="s">
        <v>348</v>
      </c>
      <c r="L44" s="208" t="s">
        <v>109</v>
      </c>
      <c r="M44" s="208" t="s">
        <v>108</v>
      </c>
      <c r="N44" s="208" t="s">
        <v>348</v>
      </c>
      <c r="O44" s="208" t="s">
        <v>109</v>
      </c>
      <c r="P44" s="208" t="s">
        <v>108</v>
      </c>
      <c r="Q44" s="208" t="s">
        <v>348</v>
      </c>
      <c r="R44" s="208" t="s">
        <v>109</v>
      </c>
      <c r="S44" s="208" t="s">
        <v>108</v>
      </c>
      <c r="T44" s="208" t="s">
        <v>348</v>
      </c>
      <c r="U44" s="208" t="s">
        <v>109</v>
      </c>
      <c r="V44" s="208" t="s">
        <v>108</v>
      </c>
      <c r="W44" s="208" t="s">
        <v>348</v>
      </c>
      <c r="X44" s="208" t="s">
        <v>109</v>
      </c>
      <c r="Y44" s="208" t="s">
        <v>108</v>
      </c>
      <c r="Z44" s="208" t="s">
        <v>348</v>
      </c>
      <c r="AA44" s="208" t="s">
        <v>109</v>
      </c>
      <c r="AB44" s="208" t="s">
        <v>108</v>
      </c>
      <c r="AC44" s="208" t="s">
        <v>348</v>
      </c>
      <c r="AD44" s="208" t="s">
        <v>109</v>
      </c>
      <c r="AE44" s="208" t="s">
        <v>108</v>
      </c>
      <c r="AF44" s="208" t="s">
        <v>348</v>
      </c>
      <c r="AG44" s="208" t="s">
        <v>109</v>
      </c>
      <c r="AH44" s="208" t="s">
        <v>108</v>
      </c>
      <c r="AI44" s="208" t="s">
        <v>348</v>
      </c>
      <c r="AJ44" s="208" t="s">
        <v>109</v>
      </c>
      <c r="AK44" s="208" t="s">
        <v>108</v>
      </c>
      <c r="AL44" s="208" t="s">
        <v>348</v>
      </c>
      <c r="AM44" s="208" t="s">
        <v>109</v>
      </c>
      <c r="AN44" s="208" t="s">
        <v>108</v>
      </c>
      <c r="AO44" s="208" t="s">
        <v>348</v>
      </c>
    </row>
    <row r="45" spans="1:41" x14ac:dyDescent="0.5">
      <c r="A45" s="16">
        <v>1</v>
      </c>
      <c r="B45" s="15">
        <v>46084</v>
      </c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>
        <v>200</v>
      </c>
      <c r="Y45" s="19">
        <v>2400</v>
      </c>
      <c r="Z45" s="19">
        <v>2400</v>
      </c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>
        <f>F45+X45</f>
        <v>200</v>
      </c>
      <c r="AN45" s="19">
        <f>G45+Y45</f>
        <v>2400</v>
      </c>
      <c r="AO45" s="19">
        <f>H45+Z45</f>
        <v>2400</v>
      </c>
    </row>
    <row r="46" spans="1:41" x14ac:dyDescent="0.5">
      <c r="A46" s="16">
        <v>2</v>
      </c>
      <c r="B46" s="15">
        <v>46087</v>
      </c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>
        <v>100</v>
      </c>
      <c r="Y46" s="19">
        <v>1200</v>
      </c>
      <c r="Z46" s="19">
        <v>1200</v>
      </c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>
        <f t="shared" ref="AM46:AM54" si="9">F46+X46</f>
        <v>100</v>
      </c>
      <c r="AN46" s="19">
        <f t="shared" ref="AN46:AN54" si="10">G46+Y46</f>
        <v>1200</v>
      </c>
      <c r="AO46" s="19">
        <f t="shared" ref="AO46:AO54" si="11">H46+Z46</f>
        <v>1200</v>
      </c>
    </row>
    <row r="47" spans="1:41" x14ac:dyDescent="0.5">
      <c r="A47" s="16">
        <v>3</v>
      </c>
      <c r="B47" s="15">
        <v>46088</v>
      </c>
      <c r="C47" s="19"/>
      <c r="D47" s="19"/>
      <c r="E47" s="19"/>
      <c r="F47" s="19">
        <v>500</v>
      </c>
      <c r="G47" s="19">
        <v>7000</v>
      </c>
      <c r="H47" s="19">
        <v>4480</v>
      </c>
      <c r="I47" s="19"/>
      <c r="J47" s="19"/>
      <c r="K47" s="19"/>
      <c r="L47" s="19"/>
      <c r="M47" s="19"/>
      <c r="N47" s="19"/>
      <c r="O47" s="183"/>
      <c r="P47" s="183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>
        <f t="shared" si="9"/>
        <v>500</v>
      </c>
      <c r="AN47" s="19">
        <f t="shared" si="10"/>
        <v>7000</v>
      </c>
      <c r="AO47" s="19">
        <f t="shared" si="11"/>
        <v>4480</v>
      </c>
    </row>
    <row r="48" spans="1:41" x14ac:dyDescent="0.5">
      <c r="A48" s="16">
        <v>4</v>
      </c>
      <c r="B48" s="15">
        <v>46092</v>
      </c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21"/>
      <c r="P48" s="178"/>
      <c r="Q48" s="19"/>
      <c r="R48" s="19"/>
      <c r="S48" s="19"/>
      <c r="T48" s="19"/>
      <c r="U48" s="19"/>
      <c r="V48" s="19"/>
      <c r="W48" s="19"/>
      <c r="X48" s="19">
        <v>200</v>
      </c>
      <c r="Y48" s="19">
        <v>2400</v>
      </c>
      <c r="Z48" s="19">
        <v>2400</v>
      </c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>
        <f t="shared" si="9"/>
        <v>200</v>
      </c>
      <c r="AN48" s="19">
        <f t="shared" si="10"/>
        <v>2400</v>
      </c>
      <c r="AO48" s="19">
        <f t="shared" si="11"/>
        <v>2400</v>
      </c>
    </row>
    <row r="49" spans="1:41" x14ac:dyDescent="0.5">
      <c r="A49" s="16">
        <v>5</v>
      </c>
      <c r="B49" s="15">
        <v>46095</v>
      </c>
      <c r="C49" s="19"/>
      <c r="D49" s="19"/>
      <c r="E49" s="19"/>
      <c r="F49" s="19">
        <v>500</v>
      </c>
      <c r="G49" s="19">
        <v>7000</v>
      </c>
      <c r="H49" s="19">
        <v>4480</v>
      </c>
      <c r="I49" s="19"/>
      <c r="J49" s="19"/>
      <c r="K49" s="19"/>
      <c r="L49" s="19"/>
      <c r="M49" s="19"/>
      <c r="N49" s="19"/>
      <c r="O49" s="178"/>
      <c r="P49" s="178"/>
      <c r="Q49" s="19"/>
      <c r="R49" s="19"/>
      <c r="S49" s="19"/>
      <c r="T49" s="19"/>
      <c r="U49" s="19"/>
      <c r="V49" s="19"/>
      <c r="W49" s="19"/>
      <c r="X49" s="19">
        <v>200</v>
      </c>
      <c r="Y49" s="19">
        <v>2400</v>
      </c>
      <c r="Z49" s="19">
        <v>2400</v>
      </c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>
        <f t="shared" si="9"/>
        <v>700</v>
      </c>
      <c r="AN49" s="19">
        <f t="shared" si="10"/>
        <v>9400</v>
      </c>
      <c r="AO49" s="19">
        <f t="shared" si="11"/>
        <v>6880</v>
      </c>
    </row>
    <row r="50" spans="1:41" x14ac:dyDescent="0.5">
      <c r="A50" s="16">
        <v>6</v>
      </c>
      <c r="B50" s="15">
        <v>46100</v>
      </c>
      <c r="C50" s="19"/>
      <c r="D50" s="19"/>
      <c r="E50" s="19"/>
      <c r="F50" s="19">
        <v>500</v>
      </c>
      <c r="G50" s="19">
        <v>7000</v>
      </c>
      <c r="H50" s="19">
        <v>4480</v>
      </c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>
        <v>100</v>
      </c>
      <c r="Y50" s="19">
        <v>1200</v>
      </c>
      <c r="Z50" s="19">
        <v>1200</v>
      </c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>
        <f t="shared" si="9"/>
        <v>600</v>
      </c>
      <c r="AN50" s="19">
        <f t="shared" si="10"/>
        <v>8200</v>
      </c>
      <c r="AO50" s="19">
        <f t="shared" si="11"/>
        <v>5680</v>
      </c>
    </row>
    <row r="51" spans="1:41" hidden="1" x14ac:dyDescent="0.5">
      <c r="A51" s="16">
        <v>7</v>
      </c>
      <c r="B51" s="15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>
        <f t="shared" si="9"/>
        <v>0</v>
      </c>
      <c r="AN51" s="19">
        <f t="shared" si="10"/>
        <v>0</v>
      </c>
      <c r="AO51" s="19">
        <f t="shared" si="11"/>
        <v>0</v>
      </c>
    </row>
    <row r="52" spans="1:41" hidden="1" x14ac:dyDescent="0.5">
      <c r="A52" s="16">
        <v>8</v>
      </c>
      <c r="B52" s="15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>
        <f t="shared" si="9"/>
        <v>0</v>
      </c>
      <c r="AN52" s="19">
        <f t="shared" si="10"/>
        <v>0</v>
      </c>
      <c r="AO52" s="19">
        <f t="shared" si="11"/>
        <v>0</v>
      </c>
    </row>
    <row r="53" spans="1:41" hidden="1" x14ac:dyDescent="0.5">
      <c r="A53" s="16">
        <v>9</v>
      </c>
      <c r="B53" s="15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>
        <f t="shared" si="9"/>
        <v>0</v>
      </c>
      <c r="AN53" s="19">
        <f t="shared" si="10"/>
        <v>0</v>
      </c>
      <c r="AO53" s="19">
        <f t="shared" si="11"/>
        <v>0</v>
      </c>
    </row>
    <row r="54" spans="1:41" hidden="1" x14ac:dyDescent="0.5">
      <c r="A54" s="16">
        <v>10</v>
      </c>
      <c r="B54" s="15"/>
      <c r="C54" s="20"/>
      <c r="D54" s="20"/>
      <c r="E54" s="19"/>
      <c r="F54" s="20"/>
      <c r="G54" s="20"/>
      <c r="H54" s="19"/>
      <c r="I54" s="20"/>
      <c r="J54" s="20"/>
      <c r="K54" s="20"/>
      <c r="L54" s="20"/>
      <c r="M54" s="20"/>
      <c r="N54" s="20"/>
      <c r="O54" s="20"/>
      <c r="P54" s="20"/>
      <c r="Q54" s="19"/>
      <c r="R54" s="20"/>
      <c r="S54" s="20"/>
      <c r="T54" s="19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19"/>
      <c r="AG54" s="19"/>
      <c r="AH54" s="19"/>
      <c r="AI54" s="19"/>
      <c r="AJ54" s="19"/>
      <c r="AK54" s="19"/>
      <c r="AL54" s="19"/>
      <c r="AM54" s="19">
        <f t="shared" si="9"/>
        <v>0</v>
      </c>
      <c r="AN54" s="19">
        <f t="shared" si="10"/>
        <v>0</v>
      </c>
      <c r="AO54" s="19">
        <f t="shared" si="11"/>
        <v>0</v>
      </c>
    </row>
    <row r="55" spans="1:41" x14ac:dyDescent="0.5">
      <c r="AM55" s="182">
        <f>SUM(AM45:AM54)</f>
        <v>2300</v>
      </c>
      <c r="AN55" s="182">
        <f>SUM(AN45:AN54)</f>
        <v>30600</v>
      </c>
      <c r="AO55" s="182">
        <f>SUM(AO45:AO54)</f>
        <v>23040</v>
      </c>
    </row>
  </sheetData>
  <mergeCells count="51">
    <mergeCell ref="AA25:AC25"/>
    <mergeCell ref="AD25:AF25"/>
    <mergeCell ref="A21:F22"/>
    <mergeCell ref="A24:A26"/>
    <mergeCell ref="B24:B26"/>
    <mergeCell ref="C24:AO24"/>
    <mergeCell ref="C25:E25"/>
    <mergeCell ref="F25:H25"/>
    <mergeCell ref="I25:K25"/>
    <mergeCell ref="L25:N25"/>
    <mergeCell ref="O25:Q25"/>
    <mergeCell ref="R25:T25"/>
    <mergeCell ref="U25:W25"/>
    <mergeCell ref="X25:Z25"/>
    <mergeCell ref="AD6:AF6"/>
    <mergeCell ref="AJ6:AK6"/>
    <mergeCell ref="AM6:AO6"/>
    <mergeCell ref="AG25:AI25"/>
    <mergeCell ref="AJ25:AK25"/>
    <mergeCell ref="AJ43:AK43"/>
    <mergeCell ref="A2:F3"/>
    <mergeCell ref="A5:A7"/>
    <mergeCell ref="B5:B7"/>
    <mergeCell ref="C5:AO5"/>
    <mergeCell ref="C6:E6"/>
    <mergeCell ref="F6:H6"/>
    <mergeCell ref="I6:K6"/>
    <mergeCell ref="L6:N6"/>
    <mergeCell ref="O6:Q6"/>
    <mergeCell ref="R6:T6"/>
    <mergeCell ref="U6:W6"/>
    <mergeCell ref="X6:Z6"/>
    <mergeCell ref="AA6:AC6"/>
    <mergeCell ref="AG6:AI6"/>
    <mergeCell ref="AM25:AO25"/>
    <mergeCell ref="AM43:AO43"/>
    <mergeCell ref="A39:F40"/>
    <mergeCell ref="A42:A44"/>
    <mergeCell ref="B42:B44"/>
    <mergeCell ref="C42:AO42"/>
    <mergeCell ref="C43:E43"/>
    <mergeCell ref="F43:H43"/>
    <mergeCell ref="I43:K43"/>
    <mergeCell ref="L43:N43"/>
    <mergeCell ref="O43:Q43"/>
    <mergeCell ref="R43:T43"/>
    <mergeCell ref="U43:W43"/>
    <mergeCell ref="X43:Z43"/>
    <mergeCell ref="AA43:AC43"/>
    <mergeCell ref="AD43:AF43"/>
    <mergeCell ref="AG43:AI4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1CD73-0CB5-4912-A601-9E56AFBF5E1B}">
  <dimension ref="A1:AO41"/>
  <sheetViews>
    <sheetView workbookViewId="0">
      <selection activeCell="A40" sqref="A40:XFD40"/>
    </sheetView>
  </sheetViews>
  <sheetFormatPr defaultColWidth="9.140625" defaultRowHeight="18" x14ac:dyDescent="0.5"/>
  <cols>
    <col min="1" max="2" width="9.140625" style="22"/>
    <col min="3" max="3" width="4.85546875" style="22" customWidth="1"/>
    <col min="4" max="5" width="6.140625" style="22" customWidth="1"/>
    <col min="6" max="6" width="4.85546875" style="22" customWidth="1"/>
    <col min="7" max="8" width="6.140625" style="22" customWidth="1"/>
    <col min="9" max="9" width="4.7109375" style="22" hidden="1" customWidth="1"/>
    <col min="10" max="10" width="4.85546875" style="22" hidden="1" customWidth="1"/>
    <col min="11" max="11" width="5" style="22" hidden="1" customWidth="1"/>
    <col min="12" max="12" width="4.7109375" style="22" hidden="1" customWidth="1"/>
    <col min="13" max="13" width="4.85546875" style="22" hidden="1" customWidth="1"/>
    <col min="14" max="14" width="5" style="22" hidden="1" customWidth="1"/>
    <col min="15" max="15" width="4.7109375" style="22" hidden="1" customWidth="1"/>
    <col min="16" max="16" width="4.85546875" style="22" hidden="1" customWidth="1"/>
    <col min="17" max="17" width="5" style="22" hidden="1" customWidth="1"/>
    <col min="18" max="18" width="4.7109375" style="22" hidden="1" customWidth="1"/>
    <col min="19" max="19" width="4.85546875" style="22" hidden="1" customWidth="1"/>
    <col min="20" max="20" width="5" style="22" hidden="1" customWidth="1"/>
    <col min="21" max="21" width="4.7109375" style="22" customWidth="1"/>
    <col min="22" max="23" width="6.28515625" style="22" customWidth="1"/>
    <col min="24" max="24" width="6.140625" style="22" bestFit="1" customWidth="1"/>
    <col min="25" max="25" width="7" style="22" bestFit="1" customWidth="1"/>
    <col min="26" max="26" width="9.5703125" style="22" customWidth="1"/>
    <col min="27" max="38" width="9.140625" style="22" hidden="1" customWidth="1"/>
    <col min="39" max="16384" width="9.140625" style="22"/>
  </cols>
  <sheetData>
    <row r="1" spans="1:41" ht="20.100000000000001" customHeight="1" x14ac:dyDescent="0.5"/>
    <row r="2" spans="1:41" hidden="1" x14ac:dyDescent="0.5"/>
    <row r="3" spans="1:41" hidden="1" x14ac:dyDescent="0.5">
      <c r="A3" s="561" t="s">
        <v>435</v>
      </c>
      <c r="B3" s="561"/>
      <c r="C3" s="561"/>
      <c r="D3" s="561"/>
      <c r="E3" s="561"/>
      <c r="F3" s="561"/>
    </row>
    <row r="4" spans="1:41" hidden="1" x14ac:dyDescent="0.5">
      <c r="A4" s="561"/>
      <c r="B4" s="561"/>
      <c r="C4" s="561"/>
      <c r="D4" s="561"/>
      <c r="E4" s="561"/>
      <c r="F4" s="561"/>
    </row>
    <row r="5" spans="1:41" hidden="1" x14ac:dyDescent="0.5">
      <c r="A5" s="551" t="s">
        <v>118</v>
      </c>
      <c r="B5" s="552" t="s">
        <v>135</v>
      </c>
      <c r="C5" s="553"/>
      <c r="D5" s="553"/>
      <c r="E5" s="553"/>
      <c r="F5" s="553"/>
      <c r="G5" s="553"/>
      <c r="H5" s="553"/>
      <c r="I5" s="553"/>
      <c r="J5" s="553"/>
      <c r="K5" s="553"/>
      <c r="L5" s="553"/>
      <c r="M5" s="553"/>
      <c r="N5" s="553"/>
      <c r="O5" s="553"/>
      <c r="P5" s="553"/>
      <c r="Q5" s="553"/>
      <c r="R5" s="553"/>
      <c r="S5" s="553"/>
      <c r="T5" s="553"/>
      <c r="U5" s="553"/>
      <c r="V5" s="553"/>
      <c r="W5" s="553"/>
      <c r="X5" s="553"/>
      <c r="Y5" s="553"/>
      <c r="Z5" s="553"/>
      <c r="AA5" s="553"/>
      <c r="AB5" s="553"/>
      <c r="AC5" s="553"/>
      <c r="AD5" s="553"/>
      <c r="AE5" s="553"/>
      <c r="AF5" s="553"/>
      <c r="AG5" s="553"/>
      <c r="AH5" s="553"/>
      <c r="AI5" s="553"/>
      <c r="AJ5" s="553"/>
      <c r="AK5" s="553"/>
      <c r="AL5" s="553"/>
      <c r="AM5" s="553"/>
      <c r="AN5" s="553"/>
      <c r="AO5" s="553"/>
    </row>
    <row r="6" spans="1:41" ht="21" hidden="1" x14ac:dyDescent="0.5">
      <c r="A6" s="551"/>
      <c r="B6" s="552"/>
      <c r="C6" s="568" t="s">
        <v>124</v>
      </c>
      <c r="D6" s="566"/>
      <c r="E6" s="567"/>
      <c r="F6" s="562" t="s">
        <v>133</v>
      </c>
      <c r="G6" s="562"/>
      <c r="H6" s="562"/>
      <c r="I6" s="562" t="s">
        <v>132</v>
      </c>
      <c r="J6" s="562"/>
      <c r="K6" s="562"/>
      <c r="L6" s="562" t="s">
        <v>131</v>
      </c>
      <c r="M6" s="562"/>
      <c r="N6" s="562"/>
      <c r="O6" s="562" t="s">
        <v>130</v>
      </c>
      <c r="P6" s="562"/>
      <c r="Q6" s="562"/>
      <c r="R6" s="562" t="s">
        <v>129</v>
      </c>
      <c r="S6" s="562"/>
      <c r="T6" s="562"/>
      <c r="U6" s="568" t="s">
        <v>128</v>
      </c>
      <c r="V6" s="566"/>
      <c r="W6" s="567"/>
      <c r="X6" s="562" t="s">
        <v>127</v>
      </c>
      <c r="Y6" s="562"/>
      <c r="Z6" s="562"/>
      <c r="AA6" s="562" t="s">
        <v>394</v>
      </c>
      <c r="AB6" s="562"/>
      <c r="AC6" s="562"/>
      <c r="AD6" s="562" t="s">
        <v>125</v>
      </c>
      <c r="AE6" s="562"/>
      <c r="AF6" s="562"/>
      <c r="AG6" s="562" t="s">
        <v>124</v>
      </c>
      <c r="AH6" s="562"/>
      <c r="AI6" s="562"/>
      <c r="AJ6" s="562" t="s">
        <v>123</v>
      </c>
      <c r="AK6" s="562"/>
      <c r="AL6" s="206"/>
      <c r="AM6" s="562" t="s">
        <v>122</v>
      </c>
      <c r="AN6" s="562"/>
      <c r="AO6" s="562"/>
    </row>
    <row r="7" spans="1:41" ht="21" hidden="1" x14ac:dyDescent="0.5">
      <c r="A7" s="551"/>
      <c r="B7" s="552"/>
      <c r="C7" s="208" t="s">
        <v>109</v>
      </c>
      <c r="D7" s="208" t="s">
        <v>108</v>
      </c>
      <c r="E7" s="208" t="s">
        <v>348</v>
      </c>
      <c r="F7" s="208" t="s">
        <v>109</v>
      </c>
      <c r="G7" s="208" t="s">
        <v>108</v>
      </c>
      <c r="H7" s="208" t="s">
        <v>348</v>
      </c>
      <c r="I7" s="208" t="s">
        <v>109</v>
      </c>
      <c r="J7" s="208" t="s">
        <v>108</v>
      </c>
      <c r="K7" s="208" t="s">
        <v>348</v>
      </c>
      <c r="L7" s="208" t="s">
        <v>109</v>
      </c>
      <c r="M7" s="208" t="s">
        <v>108</v>
      </c>
      <c r="N7" s="208" t="s">
        <v>348</v>
      </c>
      <c r="O7" s="208" t="s">
        <v>109</v>
      </c>
      <c r="P7" s="208" t="s">
        <v>108</v>
      </c>
      <c r="Q7" s="208" t="s">
        <v>348</v>
      </c>
      <c r="R7" s="208" t="s">
        <v>109</v>
      </c>
      <c r="S7" s="208" t="s">
        <v>108</v>
      </c>
      <c r="T7" s="208" t="s">
        <v>348</v>
      </c>
      <c r="U7" s="208" t="s">
        <v>109</v>
      </c>
      <c r="V7" s="208" t="s">
        <v>108</v>
      </c>
      <c r="W7" s="208" t="s">
        <v>348</v>
      </c>
      <c r="X7" s="208" t="s">
        <v>109</v>
      </c>
      <c r="Y7" s="208" t="s">
        <v>108</v>
      </c>
      <c r="Z7" s="208" t="s">
        <v>348</v>
      </c>
      <c r="AA7" s="208" t="s">
        <v>109</v>
      </c>
      <c r="AB7" s="208" t="s">
        <v>108</v>
      </c>
      <c r="AC7" s="208" t="s">
        <v>348</v>
      </c>
      <c r="AD7" s="208" t="s">
        <v>109</v>
      </c>
      <c r="AE7" s="208" t="s">
        <v>108</v>
      </c>
      <c r="AF7" s="208" t="s">
        <v>348</v>
      </c>
      <c r="AG7" s="208" t="s">
        <v>109</v>
      </c>
      <c r="AH7" s="208" t="s">
        <v>108</v>
      </c>
      <c r="AI7" s="208" t="s">
        <v>348</v>
      </c>
      <c r="AJ7" s="208" t="s">
        <v>109</v>
      </c>
      <c r="AK7" s="208" t="s">
        <v>108</v>
      </c>
      <c r="AL7" s="208" t="s">
        <v>348</v>
      </c>
      <c r="AM7" s="208" t="s">
        <v>109</v>
      </c>
      <c r="AN7" s="208" t="s">
        <v>108</v>
      </c>
      <c r="AO7" s="208" t="s">
        <v>348</v>
      </c>
    </row>
    <row r="8" spans="1:41" ht="18.75" hidden="1" customHeight="1" x14ac:dyDescent="0.5">
      <c r="A8" s="16">
        <v>1</v>
      </c>
      <c r="B8" s="280"/>
      <c r="C8" s="19">
        <v>100</v>
      </c>
      <c r="D8" s="19">
        <v>1400</v>
      </c>
      <c r="E8" s="19">
        <v>896</v>
      </c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>
        <v>200</v>
      </c>
      <c r="Y8" s="19">
        <v>2400</v>
      </c>
      <c r="Z8" s="19">
        <v>2400</v>
      </c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>
        <f>C8+F8+AA8+U8+X8</f>
        <v>300</v>
      </c>
      <c r="AN8" s="19">
        <f t="shared" ref="AN8:AO8" si="0">D8+G8+AB8+V8+Y8</f>
        <v>3800</v>
      </c>
      <c r="AO8" s="19">
        <f t="shared" si="0"/>
        <v>3296</v>
      </c>
    </row>
    <row r="9" spans="1:41" ht="21.75" hidden="1" customHeight="1" x14ac:dyDescent="0.5">
      <c r="A9" s="16">
        <v>2</v>
      </c>
      <c r="B9" s="15">
        <v>46035</v>
      </c>
      <c r="C9" s="19">
        <v>100</v>
      </c>
      <c r="D9" s="19">
        <v>1400</v>
      </c>
      <c r="E9" s="19">
        <v>896</v>
      </c>
      <c r="F9" s="19"/>
      <c r="G9" s="19"/>
      <c r="H9" s="19"/>
      <c r="I9" s="19"/>
      <c r="J9" s="19"/>
      <c r="K9" s="19"/>
      <c r="L9" s="19"/>
      <c r="M9" s="19"/>
      <c r="N9" s="19"/>
      <c r="O9" s="21"/>
      <c r="P9" s="178"/>
      <c r="Q9" s="19"/>
      <c r="R9" s="19"/>
      <c r="S9" s="19"/>
      <c r="T9" s="19"/>
      <c r="U9" s="19"/>
      <c r="V9" s="19"/>
      <c r="W9" s="19"/>
      <c r="X9" s="19">
        <v>100</v>
      </c>
      <c r="Y9" s="19">
        <v>1200</v>
      </c>
      <c r="Z9" s="19">
        <v>1200</v>
      </c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>
        <f>C9+F9+X9+AA9+U9</f>
        <v>200</v>
      </c>
      <c r="AN9" s="19">
        <f>D9+G9+AB9+Y9</f>
        <v>2600</v>
      </c>
      <c r="AO9" s="19">
        <f>E9+H9+AC9+Z9</f>
        <v>2096</v>
      </c>
    </row>
    <row r="10" spans="1:41" hidden="1" x14ac:dyDescent="0.5">
      <c r="A10" s="16">
        <v>3</v>
      </c>
      <c r="B10" s="15">
        <v>46045</v>
      </c>
      <c r="C10" s="19">
        <v>300</v>
      </c>
      <c r="D10" s="19">
        <v>4200</v>
      </c>
      <c r="E10" s="19">
        <v>2688</v>
      </c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>
        <v>200</v>
      </c>
      <c r="Y10" s="19">
        <v>2400</v>
      </c>
      <c r="Z10" s="19">
        <v>2400</v>
      </c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>
        <f>C10+F10+X10+AA10+U10</f>
        <v>500</v>
      </c>
      <c r="AN10" s="19">
        <f t="shared" ref="AN10:AN14" si="1">D10+G10+Y10+AB10</f>
        <v>6600</v>
      </c>
      <c r="AO10" s="19">
        <f t="shared" ref="AO10:AO14" si="2">E10+H10+K10+N10+Q10+T10+W10+Z10+AC10+AF10+AI10+AL10</f>
        <v>5088</v>
      </c>
    </row>
    <row r="11" spans="1:41" hidden="1" x14ac:dyDescent="0.5">
      <c r="A11" s="16">
        <v>4</v>
      </c>
      <c r="B11" s="15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>
        <f t="shared" ref="AM11:AM14" si="3">C11+F11+X11+AA11+U11</f>
        <v>0</v>
      </c>
      <c r="AN11" s="19">
        <f>D11+G11+Y11+AB11</f>
        <v>0</v>
      </c>
      <c r="AO11" s="19">
        <f t="shared" si="2"/>
        <v>0</v>
      </c>
    </row>
    <row r="12" spans="1:41" hidden="1" x14ac:dyDescent="0.5">
      <c r="A12" s="16">
        <v>5</v>
      </c>
      <c r="B12" s="15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>
        <f t="shared" si="3"/>
        <v>0</v>
      </c>
      <c r="AN12" s="19">
        <f t="shared" si="1"/>
        <v>0</v>
      </c>
      <c r="AO12" s="19">
        <f t="shared" si="2"/>
        <v>0</v>
      </c>
    </row>
    <row r="13" spans="1:41" ht="20.25" hidden="1" customHeight="1" x14ac:dyDescent="0.5">
      <c r="A13" s="16">
        <v>6</v>
      </c>
      <c r="B13" s="15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>
        <f t="shared" si="3"/>
        <v>0</v>
      </c>
      <c r="AN13" s="19">
        <f>D13+G13+Y13+AB13+V13</f>
        <v>0</v>
      </c>
      <c r="AO13" s="19">
        <f t="shared" si="2"/>
        <v>0</v>
      </c>
    </row>
    <row r="14" spans="1:41" hidden="1" x14ac:dyDescent="0.5">
      <c r="A14" s="16">
        <v>7</v>
      </c>
      <c r="B14" s="15"/>
      <c r="C14" s="20"/>
      <c r="D14" s="20"/>
      <c r="E14" s="19"/>
      <c r="F14" s="20"/>
      <c r="G14" s="20"/>
      <c r="H14" s="19"/>
      <c r="I14" s="20"/>
      <c r="J14" s="20"/>
      <c r="K14" s="20"/>
      <c r="L14" s="20"/>
      <c r="M14" s="20"/>
      <c r="N14" s="20"/>
      <c r="O14" s="20"/>
      <c r="P14" s="20"/>
      <c r="Q14" s="19"/>
      <c r="R14" s="20"/>
      <c r="S14" s="20"/>
      <c r="T14" s="19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19"/>
      <c r="AG14" s="19"/>
      <c r="AH14" s="19"/>
      <c r="AI14" s="19"/>
      <c r="AJ14" s="19"/>
      <c r="AK14" s="19"/>
      <c r="AL14" s="19"/>
      <c r="AM14" s="19">
        <f t="shared" si="3"/>
        <v>0</v>
      </c>
      <c r="AN14" s="19">
        <f t="shared" si="1"/>
        <v>0</v>
      </c>
      <c r="AO14" s="19">
        <f t="shared" si="2"/>
        <v>0</v>
      </c>
    </row>
    <row r="15" spans="1:41" hidden="1" x14ac:dyDescent="0.5">
      <c r="AM15" s="182">
        <f>SUM(AM8:AM14)</f>
        <v>1000</v>
      </c>
      <c r="AN15" s="182">
        <f>SUM(AN8:AN14)</f>
        <v>13000</v>
      </c>
      <c r="AO15" s="182">
        <f>SUM(AO8:AO14)</f>
        <v>10480</v>
      </c>
    </row>
    <row r="16" spans="1:41" hidden="1" x14ac:dyDescent="0.5"/>
    <row r="17" spans="1:41" hidden="1" x14ac:dyDescent="0.5">
      <c r="A17" s="561" t="s">
        <v>497</v>
      </c>
      <c r="B17" s="561"/>
      <c r="C17" s="561"/>
      <c r="D17" s="561"/>
      <c r="E17" s="561"/>
      <c r="F17" s="561"/>
    </row>
    <row r="18" spans="1:41" hidden="1" x14ac:dyDescent="0.5">
      <c r="A18" s="561"/>
      <c r="B18" s="561"/>
      <c r="C18" s="561"/>
      <c r="D18" s="561"/>
      <c r="E18" s="561"/>
      <c r="F18" s="561"/>
    </row>
    <row r="19" spans="1:41" hidden="1" x14ac:dyDescent="0.5">
      <c r="A19" s="551" t="s">
        <v>118</v>
      </c>
      <c r="B19" s="552" t="s">
        <v>135</v>
      </c>
      <c r="C19" s="553"/>
      <c r="D19" s="553"/>
      <c r="E19" s="553"/>
      <c r="F19" s="553"/>
      <c r="G19" s="553"/>
      <c r="H19" s="553"/>
      <c r="I19" s="553"/>
      <c r="J19" s="553"/>
      <c r="K19" s="553"/>
      <c r="L19" s="553"/>
      <c r="M19" s="553"/>
      <c r="N19" s="553"/>
      <c r="O19" s="553"/>
      <c r="P19" s="553"/>
      <c r="Q19" s="553"/>
      <c r="R19" s="553"/>
      <c r="S19" s="553"/>
      <c r="T19" s="553"/>
      <c r="U19" s="553"/>
      <c r="V19" s="553"/>
      <c r="W19" s="553"/>
      <c r="X19" s="553"/>
      <c r="Y19" s="553"/>
      <c r="Z19" s="553"/>
      <c r="AA19" s="553"/>
      <c r="AB19" s="553"/>
      <c r="AC19" s="553"/>
      <c r="AD19" s="553"/>
      <c r="AE19" s="553"/>
      <c r="AF19" s="553"/>
      <c r="AG19" s="553"/>
      <c r="AH19" s="553"/>
      <c r="AI19" s="553"/>
      <c r="AJ19" s="553"/>
      <c r="AK19" s="553"/>
      <c r="AL19" s="553"/>
      <c r="AM19" s="553"/>
      <c r="AN19" s="553"/>
      <c r="AO19" s="553"/>
    </row>
    <row r="20" spans="1:41" ht="21" hidden="1" x14ac:dyDescent="0.5">
      <c r="A20" s="551"/>
      <c r="B20" s="552"/>
      <c r="C20" s="568" t="s">
        <v>124</v>
      </c>
      <c r="D20" s="566"/>
      <c r="E20" s="567"/>
      <c r="F20" s="562" t="s">
        <v>133</v>
      </c>
      <c r="G20" s="562"/>
      <c r="H20" s="562"/>
      <c r="I20" s="562" t="s">
        <v>132</v>
      </c>
      <c r="J20" s="562"/>
      <c r="K20" s="562"/>
      <c r="L20" s="562" t="s">
        <v>131</v>
      </c>
      <c r="M20" s="562"/>
      <c r="N20" s="562"/>
      <c r="O20" s="562" t="s">
        <v>130</v>
      </c>
      <c r="P20" s="562"/>
      <c r="Q20" s="562"/>
      <c r="R20" s="562" t="s">
        <v>129</v>
      </c>
      <c r="S20" s="562"/>
      <c r="T20" s="562"/>
      <c r="U20" s="568" t="s">
        <v>128</v>
      </c>
      <c r="V20" s="566"/>
      <c r="W20" s="567"/>
      <c r="X20" s="562" t="s">
        <v>127</v>
      </c>
      <c r="Y20" s="562"/>
      <c r="Z20" s="562"/>
      <c r="AA20" s="562" t="s">
        <v>394</v>
      </c>
      <c r="AB20" s="562"/>
      <c r="AC20" s="562"/>
      <c r="AD20" s="562" t="s">
        <v>125</v>
      </c>
      <c r="AE20" s="562"/>
      <c r="AF20" s="562"/>
      <c r="AG20" s="562" t="s">
        <v>124</v>
      </c>
      <c r="AH20" s="562"/>
      <c r="AI20" s="562"/>
      <c r="AJ20" s="562" t="s">
        <v>123</v>
      </c>
      <c r="AK20" s="562"/>
      <c r="AL20" s="206"/>
      <c r="AM20" s="562" t="s">
        <v>122</v>
      </c>
      <c r="AN20" s="562"/>
      <c r="AO20" s="562"/>
    </row>
    <row r="21" spans="1:41" ht="21" hidden="1" x14ac:dyDescent="0.5">
      <c r="A21" s="551"/>
      <c r="B21" s="552"/>
      <c r="C21" s="208" t="s">
        <v>109</v>
      </c>
      <c r="D21" s="208" t="s">
        <v>108</v>
      </c>
      <c r="E21" s="208" t="s">
        <v>348</v>
      </c>
      <c r="F21" s="208" t="s">
        <v>109</v>
      </c>
      <c r="G21" s="208" t="s">
        <v>108</v>
      </c>
      <c r="H21" s="208" t="s">
        <v>348</v>
      </c>
      <c r="I21" s="208" t="s">
        <v>109</v>
      </c>
      <c r="J21" s="208" t="s">
        <v>108</v>
      </c>
      <c r="K21" s="208" t="s">
        <v>348</v>
      </c>
      <c r="L21" s="208" t="s">
        <v>109</v>
      </c>
      <c r="M21" s="208" t="s">
        <v>108</v>
      </c>
      <c r="N21" s="208" t="s">
        <v>348</v>
      </c>
      <c r="O21" s="208" t="s">
        <v>109</v>
      </c>
      <c r="P21" s="208" t="s">
        <v>108</v>
      </c>
      <c r="Q21" s="208" t="s">
        <v>348</v>
      </c>
      <c r="R21" s="208" t="s">
        <v>109</v>
      </c>
      <c r="S21" s="208" t="s">
        <v>108</v>
      </c>
      <c r="T21" s="208" t="s">
        <v>348</v>
      </c>
      <c r="U21" s="208" t="s">
        <v>109</v>
      </c>
      <c r="V21" s="208" t="s">
        <v>108</v>
      </c>
      <c r="W21" s="208" t="s">
        <v>348</v>
      </c>
      <c r="X21" s="208" t="s">
        <v>109</v>
      </c>
      <c r="Y21" s="208" t="s">
        <v>108</v>
      </c>
      <c r="Z21" s="208" t="s">
        <v>348</v>
      </c>
      <c r="AA21" s="208" t="s">
        <v>109</v>
      </c>
      <c r="AB21" s="208" t="s">
        <v>108</v>
      </c>
      <c r="AC21" s="208" t="s">
        <v>348</v>
      </c>
      <c r="AD21" s="208" t="s">
        <v>109</v>
      </c>
      <c r="AE21" s="208" t="s">
        <v>108</v>
      </c>
      <c r="AF21" s="208" t="s">
        <v>348</v>
      </c>
      <c r="AG21" s="208" t="s">
        <v>109</v>
      </c>
      <c r="AH21" s="208" t="s">
        <v>108</v>
      </c>
      <c r="AI21" s="208" t="s">
        <v>348</v>
      </c>
      <c r="AJ21" s="208" t="s">
        <v>109</v>
      </c>
      <c r="AK21" s="208" t="s">
        <v>108</v>
      </c>
      <c r="AL21" s="208" t="s">
        <v>348</v>
      </c>
      <c r="AM21" s="208" t="s">
        <v>109</v>
      </c>
      <c r="AN21" s="208" t="s">
        <v>108</v>
      </c>
      <c r="AO21" s="208" t="s">
        <v>348</v>
      </c>
    </row>
    <row r="22" spans="1:41" hidden="1" x14ac:dyDescent="0.5">
      <c r="A22" s="16">
        <v>1</v>
      </c>
      <c r="B22" s="280">
        <v>46055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>
        <v>200</v>
      </c>
      <c r="Y22" s="19">
        <v>2400</v>
      </c>
      <c r="Z22" s="19">
        <v>2400</v>
      </c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>
        <f>C22+F22+AA22+U22+X22</f>
        <v>200</v>
      </c>
      <c r="AN22" s="19">
        <f t="shared" ref="AN22" si="4">D22+G22+AB22+V22+Y22</f>
        <v>2400</v>
      </c>
      <c r="AO22" s="19">
        <f t="shared" ref="AO22" si="5">E22+H22+AC22+W22+Z22</f>
        <v>2400</v>
      </c>
    </row>
    <row r="23" spans="1:41" hidden="1" x14ac:dyDescent="0.5">
      <c r="A23" s="16">
        <v>2</v>
      </c>
      <c r="B23" s="15">
        <v>46058</v>
      </c>
      <c r="C23" s="19">
        <v>120</v>
      </c>
      <c r="D23" s="19">
        <v>1680</v>
      </c>
      <c r="E23" s="19">
        <v>1075.2</v>
      </c>
      <c r="F23" s="19"/>
      <c r="G23" s="19"/>
      <c r="H23" s="19"/>
      <c r="I23" s="19"/>
      <c r="J23" s="19"/>
      <c r="K23" s="19"/>
      <c r="L23" s="19"/>
      <c r="M23" s="19"/>
      <c r="N23" s="19"/>
      <c r="O23" s="21"/>
      <c r="P23" s="178"/>
      <c r="Q23" s="19"/>
      <c r="R23" s="19"/>
      <c r="S23" s="19"/>
      <c r="T23" s="19"/>
      <c r="U23" s="19">
        <v>30</v>
      </c>
      <c r="V23" s="19">
        <v>360</v>
      </c>
      <c r="W23" s="19">
        <v>360</v>
      </c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>
        <f>C23+F23+X23+AA23+U23</f>
        <v>150</v>
      </c>
      <c r="AN23" s="19">
        <f>D23+G23+AB23+Y23+V23</f>
        <v>2040</v>
      </c>
      <c r="AO23" s="19">
        <f>E23+H23+AC23+Z23+W23</f>
        <v>1435.2</v>
      </c>
    </row>
    <row r="24" spans="1:41" hidden="1" x14ac:dyDescent="0.5">
      <c r="A24" s="16">
        <v>3</v>
      </c>
      <c r="B24" s="15">
        <v>46064</v>
      </c>
      <c r="C24" s="19">
        <v>100</v>
      </c>
      <c r="D24" s="19">
        <v>1400</v>
      </c>
      <c r="E24" s="19">
        <v>896</v>
      </c>
      <c r="F24" s="19">
        <v>100</v>
      </c>
      <c r="G24" s="19">
        <v>1400</v>
      </c>
      <c r="H24" s="19">
        <v>896</v>
      </c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>
        <v>100</v>
      </c>
      <c r="Y24" s="19">
        <v>1200</v>
      </c>
      <c r="Z24" s="19">
        <v>1200</v>
      </c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>
        <f>C24+F24+X24+AA24+U24</f>
        <v>300</v>
      </c>
      <c r="AN24" s="19">
        <f t="shared" ref="AN24" si="6">D24+G24+Y24+AB24</f>
        <v>4000</v>
      </c>
      <c r="AO24" s="19">
        <f t="shared" ref="AO24:AO27" si="7">E24+H24+K24+N24+Q24+T24+W24+Z24+AC24+AF24+AI24+AL24</f>
        <v>2992</v>
      </c>
    </row>
    <row r="25" spans="1:41" hidden="1" x14ac:dyDescent="0.5">
      <c r="A25" s="16">
        <v>4</v>
      </c>
      <c r="B25" s="15">
        <v>46067</v>
      </c>
      <c r="C25" s="19">
        <v>100</v>
      </c>
      <c r="D25" s="19">
        <v>1400</v>
      </c>
      <c r="E25" s="19">
        <v>896</v>
      </c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>
        <v>50</v>
      </c>
      <c r="V25" s="19">
        <v>600</v>
      </c>
      <c r="W25" s="19">
        <v>600</v>
      </c>
      <c r="X25" s="19">
        <v>100</v>
      </c>
      <c r="Y25" s="19">
        <v>1200</v>
      </c>
      <c r="Z25" s="19">
        <v>1200</v>
      </c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>
        <f t="shared" ref="AM25:AM27" si="8">C25+F25+X25+AA25+U25</f>
        <v>250</v>
      </c>
      <c r="AN25" s="19">
        <f t="shared" ref="AN25" si="9">D25+G25+Y25+AB25+V25</f>
        <v>3200</v>
      </c>
      <c r="AO25" s="19">
        <f t="shared" ref="AO25" si="10">E25+H25+Z25+AC25+W25</f>
        <v>2696</v>
      </c>
    </row>
    <row r="26" spans="1:41" hidden="1" x14ac:dyDescent="0.5">
      <c r="A26" s="16">
        <v>5</v>
      </c>
      <c r="B26" s="15">
        <v>46069</v>
      </c>
      <c r="C26" s="19">
        <v>100</v>
      </c>
      <c r="D26" s="19">
        <v>1400</v>
      </c>
      <c r="E26" s="19">
        <v>896</v>
      </c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>
        <v>200</v>
      </c>
      <c r="Y26" s="19">
        <v>2400</v>
      </c>
      <c r="Z26" s="19">
        <v>2400</v>
      </c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>
        <f t="shared" si="8"/>
        <v>300</v>
      </c>
      <c r="AN26" s="19">
        <f t="shared" ref="AN26" si="11">D26+G26+Y26+AB26</f>
        <v>3800</v>
      </c>
      <c r="AO26" s="19">
        <f t="shared" si="7"/>
        <v>3296</v>
      </c>
    </row>
    <row r="27" spans="1:41" hidden="1" x14ac:dyDescent="0.5">
      <c r="A27" s="16">
        <v>6</v>
      </c>
      <c r="B27" s="15">
        <v>46076</v>
      </c>
      <c r="C27" s="19">
        <v>100</v>
      </c>
      <c r="D27" s="19">
        <v>1400</v>
      </c>
      <c r="E27" s="19">
        <v>896</v>
      </c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>
        <v>100</v>
      </c>
      <c r="Y27" s="19">
        <v>1200</v>
      </c>
      <c r="Z27" s="19">
        <v>1200</v>
      </c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>
        <f t="shared" si="8"/>
        <v>200</v>
      </c>
      <c r="AN27" s="19">
        <f>D27+G27+Y27+AB27+V27</f>
        <v>2600</v>
      </c>
      <c r="AO27" s="19">
        <f t="shared" si="7"/>
        <v>2096</v>
      </c>
    </row>
    <row r="28" spans="1:41" hidden="1" x14ac:dyDescent="0.5">
      <c r="AM28" s="182">
        <f>SUM(AM22:AM27)</f>
        <v>1400</v>
      </c>
      <c r="AN28" s="182">
        <f>SUM(AN22:AN27)</f>
        <v>18040</v>
      </c>
      <c r="AO28" s="182">
        <f>SUM(AO22:AO27)</f>
        <v>14915.2</v>
      </c>
    </row>
    <row r="29" spans="1:41" hidden="1" x14ac:dyDescent="0.5"/>
    <row r="30" spans="1:41" x14ac:dyDescent="0.5">
      <c r="A30" s="561" t="s">
        <v>542</v>
      </c>
      <c r="B30" s="561"/>
      <c r="C30" s="561"/>
      <c r="D30" s="561"/>
      <c r="E30" s="561"/>
      <c r="F30" s="561"/>
    </row>
    <row r="31" spans="1:41" x14ac:dyDescent="0.5">
      <c r="A31" s="561"/>
      <c r="B31" s="561"/>
      <c r="C31" s="561"/>
      <c r="D31" s="561"/>
      <c r="E31" s="561"/>
      <c r="F31" s="561"/>
    </row>
    <row r="32" spans="1:41" x14ac:dyDescent="0.5">
      <c r="A32" s="551" t="s">
        <v>118</v>
      </c>
      <c r="B32" s="552" t="s">
        <v>135</v>
      </c>
      <c r="C32" s="553"/>
      <c r="D32" s="553"/>
      <c r="E32" s="553"/>
      <c r="F32" s="553"/>
      <c r="G32" s="553"/>
      <c r="H32" s="553"/>
      <c r="I32" s="553"/>
      <c r="J32" s="553"/>
      <c r="K32" s="553"/>
      <c r="L32" s="553"/>
      <c r="M32" s="553"/>
      <c r="N32" s="553"/>
      <c r="O32" s="553"/>
      <c r="P32" s="553"/>
      <c r="Q32" s="553"/>
      <c r="R32" s="553"/>
      <c r="S32" s="553"/>
      <c r="T32" s="553"/>
      <c r="U32" s="553"/>
      <c r="V32" s="553"/>
      <c r="W32" s="553"/>
      <c r="X32" s="553"/>
      <c r="Y32" s="553"/>
      <c r="Z32" s="553"/>
      <c r="AA32" s="553"/>
      <c r="AB32" s="553"/>
      <c r="AC32" s="553"/>
      <c r="AD32" s="553"/>
      <c r="AE32" s="553"/>
      <c r="AF32" s="553"/>
      <c r="AG32" s="553"/>
      <c r="AH32" s="553"/>
      <c r="AI32" s="553"/>
      <c r="AJ32" s="553"/>
      <c r="AK32" s="553"/>
      <c r="AL32" s="553"/>
      <c r="AM32" s="553"/>
      <c r="AN32" s="553"/>
      <c r="AO32" s="553"/>
    </row>
    <row r="33" spans="1:41" ht="21" x14ac:dyDescent="0.5">
      <c r="A33" s="551"/>
      <c r="B33" s="552"/>
      <c r="C33" s="568" t="s">
        <v>124</v>
      </c>
      <c r="D33" s="566"/>
      <c r="E33" s="567"/>
      <c r="F33" s="562" t="s">
        <v>133</v>
      </c>
      <c r="G33" s="562"/>
      <c r="H33" s="562"/>
      <c r="I33" s="562" t="s">
        <v>132</v>
      </c>
      <c r="J33" s="562"/>
      <c r="K33" s="562"/>
      <c r="L33" s="562" t="s">
        <v>131</v>
      </c>
      <c r="M33" s="562"/>
      <c r="N33" s="562"/>
      <c r="O33" s="562" t="s">
        <v>130</v>
      </c>
      <c r="P33" s="562"/>
      <c r="Q33" s="562"/>
      <c r="R33" s="562" t="s">
        <v>129</v>
      </c>
      <c r="S33" s="562"/>
      <c r="T33" s="562"/>
      <c r="U33" s="568" t="s">
        <v>128</v>
      </c>
      <c r="V33" s="566"/>
      <c r="W33" s="567"/>
      <c r="X33" s="562" t="s">
        <v>127</v>
      </c>
      <c r="Y33" s="562"/>
      <c r="Z33" s="562"/>
      <c r="AA33" s="562" t="s">
        <v>394</v>
      </c>
      <c r="AB33" s="562"/>
      <c r="AC33" s="562"/>
      <c r="AD33" s="562" t="s">
        <v>125</v>
      </c>
      <c r="AE33" s="562"/>
      <c r="AF33" s="562"/>
      <c r="AG33" s="562" t="s">
        <v>124</v>
      </c>
      <c r="AH33" s="562"/>
      <c r="AI33" s="562"/>
      <c r="AJ33" s="562" t="s">
        <v>123</v>
      </c>
      <c r="AK33" s="562"/>
      <c r="AL33" s="206"/>
      <c r="AM33" s="562" t="s">
        <v>122</v>
      </c>
      <c r="AN33" s="562"/>
      <c r="AO33" s="562"/>
    </row>
    <row r="34" spans="1:41" ht="21" x14ac:dyDescent="0.5">
      <c r="A34" s="551"/>
      <c r="B34" s="552"/>
      <c r="C34" s="208" t="s">
        <v>109</v>
      </c>
      <c r="D34" s="208" t="s">
        <v>108</v>
      </c>
      <c r="E34" s="208" t="s">
        <v>348</v>
      </c>
      <c r="F34" s="208" t="s">
        <v>109</v>
      </c>
      <c r="G34" s="208" t="s">
        <v>108</v>
      </c>
      <c r="H34" s="208" t="s">
        <v>348</v>
      </c>
      <c r="I34" s="208" t="s">
        <v>109</v>
      </c>
      <c r="J34" s="208" t="s">
        <v>108</v>
      </c>
      <c r="K34" s="208" t="s">
        <v>348</v>
      </c>
      <c r="L34" s="208" t="s">
        <v>109</v>
      </c>
      <c r="M34" s="208" t="s">
        <v>108</v>
      </c>
      <c r="N34" s="208" t="s">
        <v>348</v>
      </c>
      <c r="O34" s="208" t="s">
        <v>109</v>
      </c>
      <c r="P34" s="208" t="s">
        <v>108</v>
      </c>
      <c r="Q34" s="208" t="s">
        <v>348</v>
      </c>
      <c r="R34" s="208" t="s">
        <v>109</v>
      </c>
      <c r="S34" s="208" t="s">
        <v>108</v>
      </c>
      <c r="T34" s="208" t="s">
        <v>348</v>
      </c>
      <c r="U34" s="208" t="s">
        <v>109</v>
      </c>
      <c r="V34" s="208" t="s">
        <v>108</v>
      </c>
      <c r="W34" s="208" t="s">
        <v>348</v>
      </c>
      <c r="X34" s="208" t="s">
        <v>109</v>
      </c>
      <c r="Y34" s="208" t="s">
        <v>108</v>
      </c>
      <c r="Z34" s="208" t="s">
        <v>348</v>
      </c>
      <c r="AA34" s="208" t="s">
        <v>109</v>
      </c>
      <c r="AB34" s="208" t="s">
        <v>108</v>
      </c>
      <c r="AC34" s="208" t="s">
        <v>348</v>
      </c>
      <c r="AD34" s="208" t="s">
        <v>109</v>
      </c>
      <c r="AE34" s="208" t="s">
        <v>108</v>
      </c>
      <c r="AF34" s="208" t="s">
        <v>348</v>
      </c>
      <c r="AG34" s="208" t="s">
        <v>109</v>
      </c>
      <c r="AH34" s="208" t="s">
        <v>108</v>
      </c>
      <c r="AI34" s="208" t="s">
        <v>348</v>
      </c>
      <c r="AJ34" s="208" t="s">
        <v>109</v>
      </c>
      <c r="AK34" s="208" t="s">
        <v>108</v>
      </c>
      <c r="AL34" s="208" t="s">
        <v>348</v>
      </c>
      <c r="AM34" s="208" t="s">
        <v>109</v>
      </c>
      <c r="AN34" s="208" t="s">
        <v>108</v>
      </c>
      <c r="AO34" s="208" t="s">
        <v>348</v>
      </c>
    </row>
    <row r="35" spans="1:41" x14ac:dyDescent="0.5">
      <c r="A35" s="16">
        <v>1</v>
      </c>
      <c r="B35" s="280">
        <v>46085</v>
      </c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>
        <v>200</v>
      </c>
      <c r="Y35" s="19">
        <v>2400</v>
      </c>
      <c r="Z35" s="19">
        <v>2400</v>
      </c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>
        <f>C35+F35+AA35+U35+X35</f>
        <v>200</v>
      </c>
      <c r="AN35" s="19">
        <f t="shared" ref="AN35" si="12">D35+G35+AB35+V35+Y35</f>
        <v>2400</v>
      </c>
      <c r="AO35" s="19">
        <f t="shared" ref="AO35" si="13">E35+H35+AC35+W35+Z35</f>
        <v>2400</v>
      </c>
    </row>
    <row r="36" spans="1:41" x14ac:dyDescent="0.5">
      <c r="A36" s="16">
        <v>2</v>
      </c>
      <c r="B36" s="15">
        <v>46093</v>
      </c>
      <c r="C36" s="19">
        <v>100</v>
      </c>
      <c r="D36" s="19">
        <v>1400</v>
      </c>
      <c r="E36" s="19">
        <v>896</v>
      </c>
      <c r="F36" s="19">
        <v>100</v>
      </c>
      <c r="G36" s="19">
        <v>1400</v>
      </c>
      <c r="H36" s="19">
        <v>896</v>
      </c>
      <c r="I36" s="19"/>
      <c r="J36" s="19"/>
      <c r="K36" s="19"/>
      <c r="L36" s="19"/>
      <c r="M36" s="19"/>
      <c r="N36" s="19"/>
      <c r="O36" s="21"/>
      <c r="P36" s="178"/>
      <c r="Q36" s="19"/>
      <c r="R36" s="19"/>
      <c r="S36" s="19"/>
      <c r="T36" s="19"/>
      <c r="U36" s="19"/>
      <c r="V36" s="19"/>
      <c r="W36" s="19"/>
      <c r="X36" s="19">
        <v>100</v>
      </c>
      <c r="Y36" s="19">
        <v>1200</v>
      </c>
      <c r="Z36" s="19">
        <v>1200</v>
      </c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>
        <f>C36+F36+X36+AA36+U36</f>
        <v>300</v>
      </c>
      <c r="AN36" s="19">
        <f t="shared" ref="AN36:AO36" si="14">D36+G36+Y36+AB36+V36</f>
        <v>4000</v>
      </c>
      <c r="AO36" s="19">
        <f t="shared" si="14"/>
        <v>2992</v>
      </c>
    </row>
    <row r="37" spans="1:41" x14ac:dyDescent="0.5">
      <c r="A37" s="16">
        <v>3</v>
      </c>
      <c r="B37" s="15">
        <v>46099</v>
      </c>
      <c r="C37" s="19">
        <v>50</v>
      </c>
      <c r="D37" s="19">
        <v>700</v>
      </c>
      <c r="E37" s="19">
        <v>448</v>
      </c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>
        <v>150</v>
      </c>
      <c r="Y37" s="19">
        <v>1800</v>
      </c>
      <c r="Z37" s="19">
        <v>1800</v>
      </c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>
        <f>C37+F37+X37+AA37+U37</f>
        <v>200</v>
      </c>
      <c r="AN37" s="19">
        <f t="shared" ref="AN37" si="15">D37+G37+Y37+AB37</f>
        <v>2500</v>
      </c>
      <c r="AO37" s="19">
        <f t="shared" ref="AO37" si="16">E37+H37+K37+N37+Q37+T37+W37+Z37+AC37+AF37+AI37+AL37</f>
        <v>2248</v>
      </c>
    </row>
    <row r="38" spans="1:41" x14ac:dyDescent="0.5">
      <c r="A38" s="16">
        <v>4</v>
      </c>
      <c r="B38" s="15">
        <v>46100</v>
      </c>
      <c r="C38" s="19">
        <v>100</v>
      </c>
      <c r="D38" s="19">
        <v>1400</v>
      </c>
      <c r="E38" s="19">
        <v>896</v>
      </c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>
        <f t="shared" ref="AM38:AM40" si="17">C38+F38+X38+AA38+U38</f>
        <v>100</v>
      </c>
      <c r="AN38" s="19">
        <f t="shared" ref="AN38:AN39" si="18">D38+G38+Y38+AB38+V38</f>
        <v>1400</v>
      </c>
      <c r="AO38" s="19">
        <f t="shared" ref="AO38:AO39" si="19">E38+H38+Z38+AC38+W38</f>
        <v>896</v>
      </c>
    </row>
    <row r="39" spans="1:41" x14ac:dyDescent="0.5">
      <c r="A39" s="16">
        <v>5</v>
      </c>
      <c r="B39" s="15">
        <v>46101</v>
      </c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>
        <v>50</v>
      </c>
      <c r="V39" s="19">
        <v>600</v>
      </c>
      <c r="W39" s="19">
        <v>600</v>
      </c>
      <c r="X39" s="19">
        <v>150</v>
      </c>
      <c r="Y39" s="19">
        <v>1800</v>
      </c>
      <c r="Z39" s="19">
        <v>1800</v>
      </c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>
        <f t="shared" si="17"/>
        <v>200</v>
      </c>
      <c r="AN39" s="19">
        <f t="shared" si="18"/>
        <v>2400</v>
      </c>
      <c r="AO39" s="19">
        <f t="shared" si="19"/>
        <v>2400</v>
      </c>
    </row>
    <row r="40" spans="1:41" hidden="1" x14ac:dyDescent="0.5">
      <c r="A40" s="16"/>
      <c r="B40" s="15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>
        <f t="shared" si="17"/>
        <v>0</v>
      </c>
      <c r="AN40" s="19">
        <f>D40+G40+Y40+AB40+V40</f>
        <v>0</v>
      </c>
      <c r="AO40" s="19">
        <f t="shared" ref="AO40" si="20">E40+H40+K40+N40+Q40+T40+W40+Z40+AC40+AF40+AI40+AL40</f>
        <v>0</v>
      </c>
    </row>
    <row r="41" spans="1:41" x14ac:dyDescent="0.5">
      <c r="AM41" s="182">
        <f>SUM(AM35:AM40)</f>
        <v>1000</v>
      </c>
      <c r="AN41" s="182">
        <f>SUM(AN35:AN40)</f>
        <v>12700</v>
      </c>
      <c r="AO41" s="182">
        <f>SUM(AO35:AO40)</f>
        <v>10936</v>
      </c>
    </row>
  </sheetData>
  <mergeCells count="51">
    <mergeCell ref="AA20:AC20"/>
    <mergeCell ref="AD20:AF20"/>
    <mergeCell ref="A17:F18"/>
    <mergeCell ref="A19:A21"/>
    <mergeCell ref="B19:B21"/>
    <mergeCell ref="C19:AO19"/>
    <mergeCell ref="C20:E20"/>
    <mergeCell ref="F20:H20"/>
    <mergeCell ref="I20:K20"/>
    <mergeCell ref="L20:N20"/>
    <mergeCell ref="O20:Q20"/>
    <mergeCell ref="R20:T20"/>
    <mergeCell ref="U20:W20"/>
    <mergeCell ref="X20:Z20"/>
    <mergeCell ref="AD6:AF6"/>
    <mergeCell ref="AJ6:AK6"/>
    <mergeCell ref="AM6:AO6"/>
    <mergeCell ref="AG20:AI20"/>
    <mergeCell ref="AJ20:AK20"/>
    <mergeCell ref="AJ33:AK33"/>
    <mergeCell ref="A3:F4"/>
    <mergeCell ref="A5:A7"/>
    <mergeCell ref="B5:B7"/>
    <mergeCell ref="C5:AO5"/>
    <mergeCell ref="C6:E6"/>
    <mergeCell ref="F6:H6"/>
    <mergeCell ref="I6:K6"/>
    <mergeCell ref="L6:N6"/>
    <mergeCell ref="O6:Q6"/>
    <mergeCell ref="R6:T6"/>
    <mergeCell ref="U6:W6"/>
    <mergeCell ref="X6:Z6"/>
    <mergeCell ref="AA6:AC6"/>
    <mergeCell ref="AG6:AI6"/>
    <mergeCell ref="AM20:AO20"/>
    <mergeCell ref="AM33:AO33"/>
    <mergeCell ref="A30:F31"/>
    <mergeCell ref="A32:A34"/>
    <mergeCell ref="B32:B34"/>
    <mergeCell ref="C32:AO32"/>
    <mergeCell ref="C33:E33"/>
    <mergeCell ref="F33:H33"/>
    <mergeCell ref="I33:K33"/>
    <mergeCell ref="L33:N33"/>
    <mergeCell ref="O33:Q33"/>
    <mergeCell ref="R33:T33"/>
    <mergeCell ref="U33:W33"/>
    <mergeCell ref="X33:Z33"/>
    <mergeCell ref="AA33:AC33"/>
    <mergeCell ref="AD33:AF33"/>
    <mergeCell ref="AG33:AI33"/>
  </mergeCells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932C1-9F34-4C9F-9E17-5B65A63C08CC}">
  <dimension ref="A1:AR49"/>
  <sheetViews>
    <sheetView topLeftCell="A35" workbookViewId="0">
      <selection activeCell="AV59" sqref="AV59"/>
    </sheetView>
  </sheetViews>
  <sheetFormatPr defaultColWidth="9.140625" defaultRowHeight="18" x14ac:dyDescent="0.5"/>
  <cols>
    <col min="1" max="5" width="9.140625" style="22"/>
    <col min="6" max="8" width="9.140625" style="22" customWidth="1"/>
    <col min="9" max="20" width="9.140625" style="22" hidden="1" customWidth="1"/>
    <col min="21" max="23" width="9.140625" style="22" customWidth="1"/>
    <col min="24" max="26" width="9.140625" style="22" hidden="1" customWidth="1"/>
    <col min="27" max="29" width="9.140625" style="22" customWidth="1"/>
    <col min="30" max="41" width="9.140625" style="22" hidden="1" customWidth="1"/>
    <col min="42" max="16384" width="9.140625" style="22"/>
  </cols>
  <sheetData>
    <row r="1" spans="1:44" hidden="1" x14ac:dyDescent="0.5"/>
    <row r="2" spans="1:44" hidden="1" x14ac:dyDescent="0.5">
      <c r="A2" s="550" t="s">
        <v>438</v>
      </c>
      <c r="B2" s="550"/>
    </row>
    <row r="3" spans="1:44" hidden="1" x14ac:dyDescent="0.5">
      <c r="A3" s="550"/>
      <c r="B3" s="550"/>
    </row>
    <row r="4" spans="1:44" hidden="1" x14ac:dyDescent="0.5">
      <c r="A4" s="551" t="s">
        <v>118</v>
      </c>
      <c r="B4" s="552" t="s">
        <v>135</v>
      </c>
      <c r="C4" s="553"/>
      <c r="D4" s="553"/>
      <c r="E4" s="553"/>
      <c r="F4" s="553"/>
      <c r="G4" s="553"/>
      <c r="H4" s="553"/>
      <c r="I4" s="553"/>
      <c r="J4" s="553"/>
      <c r="K4" s="553"/>
      <c r="L4" s="553"/>
      <c r="M4" s="553"/>
      <c r="N4" s="553"/>
      <c r="O4" s="553"/>
      <c r="P4" s="553"/>
      <c r="Q4" s="553"/>
      <c r="R4" s="553"/>
      <c r="S4" s="553"/>
      <c r="T4" s="553"/>
      <c r="U4" s="553"/>
      <c r="V4" s="553"/>
      <c r="W4" s="553"/>
      <c r="X4" s="553"/>
      <c r="Y4" s="553"/>
      <c r="Z4" s="553"/>
      <c r="AA4" s="553"/>
      <c r="AB4" s="553"/>
      <c r="AC4" s="553"/>
      <c r="AD4" s="553"/>
      <c r="AE4" s="553"/>
      <c r="AF4" s="553"/>
      <c r="AG4" s="553"/>
      <c r="AH4" s="553"/>
      <c r="AI4" s="553"/>
      <c r="AJ4" s="553"/>
      <c r="AK4" s="553"/>
      <c r="AL4" s="553"/>
      <c r="AM4" s="553"/>
      <c r="AN4" s="553"/>
      <c r="AO4" s="553"/>
      <c r="AP4" s="553"/>
      <c r="AQ4" s="553"/>
      <c r="AR4" s="553"/>
    </row>
    <row r="5" spans="1:44" ht="21" hidden="1" x14ac:dyDescent="0.5">
      <c r="A5" s="551"/>
      <c r="B5" s="552"/>
      <c r="C5" s="568" t="s">
        <v>389</v>
      </c>
      <c r="D5" s="566"/>
      <c r="E5" s="567"/>
      <c r="F5" s="562" t="s">
        <v>133</v>
      </c>
      <c r="G5" s="562"/>
      <c r="H5" s="562"/>
      <c r="I5" s="562" t="s">
        <v>387</v>
      </c>
      <c r="J5" s="562"/>
      <c r="K5" s="562"/>
      <c r="L5" s="562" t="s">
        <v>132</v>
      </c>
      <c r="M5" s="562"/>
      <c r="N5" s="562"/>
      <c r="O5" s="562" t="s">
        <v>131</v>
      </c>
      <c r="P5" s="562"/>
      <c r="Q5" s="562"/>
      <c r="R5" s="562" t="s">
        <v>130</v>
      </c>
      <c r="S5" s="562"/>
      <c r="T5" s="562"/>
      <c r="U5" s="562" t="s">
        <v>129</v>
      </c>
      <c r="V5" s="562"/>
      <c r="W5" s="562"/>
      <c r="X5" s="568" t="s">
        <v>128</v>
      </c>
      <c r="Y5" s="566"/>
      <c r="Z5" s="567"/>
      <c r="AA5" s="562" t="s">
        <v>127</v>
      </c>
      <c r="AB5" s="562"/>
      <c r="AC5" s="562"/>
      <c r="AD5" s="562" t="s">
        <v>126</v>
      </c>
      <c r="AE5" s="562"/>
      <c r="AF5" s="562"/>
      <c r="AG5" s="562" t="s">
        <v>125</v>
      </c>
      <c r="AH5" s="562"/>
      <c r="AI5" s="562"/>
      <c r="AJ5" s="562" t="s">
        <v>124</v>
      </c>
      <c r="AK5" s="562"/>
      <c r="AL5" s="562"/>
      <c r="AM5" s="562" t="s">
        <v>383</v>
      </c>
      <c r="AN5" s="562"/>
      <c r="AO5" s="206"/>
      <c r="AP5" s="562" t="s">
        <v>122</v>
      </c>
      <c r="AQ5" s="562"/>
      <c r="AR5" s="562"/>
    </row>
    <row r="6" spans="1:44" ht="21" hidden="1" x14ac:dyDescent="0.5">
      <c r="A6" s="551"/>
      <c r="B6" s="552"/>
      <c r="C6" s="208" t="s">
        <v>109</v>
      </c>
      <c r="D6" s="208" t="s">
        <v>108</v>
      </c>
      <c r="E6" s="208" t="s">
        <v>348</v>
      </c>
      <c r="F6" s="208" t="s">
        <v>109</v>
      </c>
      <c r="G6" s="208" t="s">
        <v>108</v>
      </c>
      <c r="H6" s="208" t="s">
        <v>348</v>
      </c>
      <c r="I6" s="208"/>
      <c r="J6" s="208"/>
      <c r="K6" s="208"/>
      <c r="L6" s="208" t="s">
        <v>109</v>
      </c>
      <c r="M6" s="208" t="s">
        <v>108</v>
      </c>
      <c r="N6" s="208" t="s">
        <v>348</v>
      </c>
      <c r="O6" s="208" t="s">
        <v>109</v>
      </c>
      <c r="P6" s="208" t="s">
        <v>108</v>
      </c>
      <c r="Q6" s="208" t="s">
        <v>348</v>
      </c>
      <c r="R6" s="208" t="s">
        <v>109</v>
      </c>
      <c r="S6" s="208" t="s">
        <v>108</v>
      </c>
      <c r="T6" s="208" t="s">
        <v>348</v>
      </c>
      <c r="U6" s="208" t="s">
        <v>109</v>
      </c>
      <c r="V6" s="208" t="s">
        <v>108</v>
      </c>
      <c r="W6" s="208" t="s">
        <v>348</v>
      </c>
      <c r="X6" s="208" t="s">
        <v>109</v>
      </c>
      <c r="Y6" s="208" t="s">
        <v>108</v>
      </c>
      <c r="Z6" s="208" t="s">
        <v>348</v>
      </c>
      <c r="AA6" s="208" t="s">
        <v>109</v>
      </c>
      <c r="AB6" s="208" t="s">
        <v>108</v>
      </c>
      <c r="AC6" s="208" t="s">
        <v>348</v>
      </c>
      <c r="AD6" s="208" t="s">
        <v>109</v>
      </c>
      <c r="AE6" s="208" t="s">
        <v>108</v>
      </c>
      <c r="AF6" s="208" t="s">
        <v>348</v>
      </c>
      <c r="AG6" s="208" t="s">
        <v>109</v>
      </c>
      <c r="AH6" s="208" t="s">
        <v>108</v>
      </c>
      <c r="AI6" s="208" t="s">
        <v>348</v>
      </c>
      <c r="AJ6" s="208" t="s">
        <v>109</v>
      </c>
      <c r="AK6" s="208" t="s">
        <v>108</v>
      </c>
      <c r="AL6" s="208" t="s">
        <v>348</v>
      </c>
      <c r="AM6" s="208" t="s">
        <v>109</v>
      </c>
      <c r="AN6" s="208" t="s">
        <v>108</v>
      </c>
      <c r="AO6" s="208" t="s">
        <v>348</v>
      </c>
      <c r="AP6" s="208" t="s">
        <v>109</v>
      </c>
      <c r="AQ6" s="208" t="s">
        <v>108</v>
      </c>
      <c r="AR6" s="208" t="s">
        <v>348</v>
      </c>
    </row>
    <row r="7" spans="1:44" hidden="1" x14ac:dyDescent="0.5">
      <c r="A7" s="16">
        <v>1</v>
      </c>
      <c r="B7" s="15">
        <v>46027</v>
      </c>
      <c r="C7" s="19">
        <v>20</v>
      </c>
      <c r="D7" s="19">
        <v>280</v>
      </c>
      <c r="E7" s="19">
        <v>179.20000000000002</v>
      </c>
      <c r="F7" s="19">
        <v>20</v>
      </c>
      <c r="G7" s="19">
        <v>280</v>
      </c>
      <c r="H7" s="19">
        <v>179.20000000000002</v>
      </c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>
        <f>C7+F7+U7+AA7</f>
        <v>40</v>
      </c>
      <c r="AQ7" s="19">
        <f>D7+G7+V7+AB7</f>
        <v>560</v>
      </c>
      <c r="AR7" s="19">
        <f>E7+H7+W7+AC7</f>
        <v>358.40000000000003</v>
      </c>
    </row>
    <row r="8" spans="1:44" hidden="1" x14ac:dyDescent="0.5">
      <c r="A8" s="16">
        <v>2</v>
      </c>
      <c r="B8" s="15">
        <v>46028</v>
      </c>
      <c r="C8" s="19">
        <v>20</v>
      </c>
      <c r="D8" s="19">
        <v>280</v>
      </c>
      <c r="E8" s="19">
        <v>179.20000000000002</v>
      </c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21"/>
      <c r="S8" s="178"/>
      <c r="T8" s="19"/>
      <c r="U8" s="19">
        <v>20</v>
      </c>
      <c r="V8" s="19">
        <v>280</v>
      </c>
      <c r="W8" s="19">
        <v>179.20000000000002</v>
      </c>
      <c r="X8" s="19"/>
      <c r="Y8" s="19"/>
      <c r="Z8" s="19"/>
      <c r="AA8" s="19">
        <v>20</v>
      </c>
      <c r="AB8" s="19">
        <v>240</v>
      </c>
      <c r="AC8" s="19">
        <v>240</v>
      </c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>
        <f t="shared" ref="AP8:AP16" si="0">C8+F8+U8+AA8</f>
        <v>60</v>
      </c>
      <c r="AQ8" s="19">
        <f t="shared" ref="AQ8:AQ16" si="1">D8+G8+V8+AB8</f>
        <v>800</v>
      </c>
      <c r="AR8" s="19">
        <f t="shared" ref="AR8:AR16" si="2">E8+H8+W8+AC8</f>
        <v>598.40000000000009</v>
      </c>
    </row>
    <row r="9" spans="1:44" hidden="1" x14ac:dyDescent="0.5">
      <c r="A9" s="16">
        <v>3</v>
      </c>
      <c r="B9" s="15">
        <v>46030</v>
      </c>
      <c r="C9" s="19">
        <v>20</v>
      </c>
      <c r="D9" s="19">
        <v>280</v>
      </c>
      <c r="E9" s="19">
        <v>179.20000000000002</v>
      </c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>
        <f t="shared" si="0"/>
        <v>20</v>
      </c>
      <c r="AQ9" s="19">
        <f t="shared" si="1"/>
        <v>280</v>
      </c>
      <c r="AR9" s="19">
        <f t="shared" si="2"/>
        <v>179.20000000000002</v>
      </c>
    </row>
    <row r="10" spans="1:44" hidden="1" x14ac:dyDescent="0.5">
      <c r="A10" s="16">
        <v>4</v>
      </c>
      <c r="B10" s="15">
        <v>46034</v>
      </c>
      <c r="C10" s="19">
        <v>20</v>
      </c>
      <c r="D10" s="19">
        <v>280</v>
      </c>
      <c r="E10" s="19">
        <v>179.20000000000002</v>
      </c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>
        <v>30</v>
      </c>
      <c r="AB10" s="19">
        <v>360</v>
      </c>
      <c r="AC10" s="19">
        <v>360</v>
      </c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>
        <f t="shared" si="0"/>
        <v>50</v>
      </c>
      <c r="AQ10" s="19">
        <f t="shared" si="1"/>
        <v>640</v>
      </c>
      <c r="AR10" s="19">
        <f t="shared" si="2"/>
        <v>539.20000000000005</v>
      </c>
    </row>
    <row r="11" spans="1:44" hidden="1" x14ac:dyDescent="0.5">
      <c r="A11" s="16">
        <v>5</v>
      </c>
      <c r="B11" s="15">
        <v>46038</v>
      </c>
      <c r="C11" s="19">
        <v>35</v>
      </c>
      <c r="D11" s="19">
        <v>490</v>
      </c>
      <c r="E11" s="19">
        <v>313.60000000000002</v>
      </c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>
        <v>20</v>
      </c>
      <c r="V11" s="19">
        <v>280</v>
      </c>
      <c r="W11" s="19">
        <v>179.20000000000002</v>
      </c>
      <c r="X11" s="19"/>
      <c r="Y11" s="19"/>
      <c r="Z11" s="19"/>
      <c r="AA11" s="19">
        <v>30</v>
      </c>
      <c r="AB11" s="19">
        <v>360</v>
      </c>
      <c r="AC11" s="19">
        <v>360</v>
      </c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>
        <f t="shared" si="0"/>
        <v>85</v>
      </c>
      <c r="AQ11" s="19">
        <f t="shared" si="1"/>
        <v>1130</v>
      </c>
      <c r="AR11" s="19">
        <f t="shared" si="2"/>
        <v>852.80000000000007</v>
      </c>
    </row>
    <row r="12" spans="1:44" hidden="1" x14ac:dyDescent="0.5">
      <c r="A12" s="16">
        <v>6</v>
      </c>
      <c r="B12" s="15">
        <v>46046</v>
      </c>
      <c r="C12" s="20"/>
      <c r="D12" s="20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>
        <v>50</v>
      </c>
      <c r="AB12" s="19">
        <v>600</v>
      </c>
      <c r="AC12" s="19">
        <v>600</v>
      </c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>
        <f t="shared" si="0"/>
        <v>50</v>
      </c>
      <c r="AQ12" s="19">
        <f t="shared" si="1"/>
        <v>600</v>
      </c>
      <c r="AR12" s="19">
        <f t="shared" si="2"/>
        <v>600</v>
      </c>
    </row>
    <row r="13" spans="1:44" hidden="1" x14ac:dyDescent="0.5">
      <c r="A13" s="16">
        <v>7</v>
      </c>
      <c r="B13" s="15">
        <v>46048</v>
      </c>
      <c r="C13" s="20">
        <v>10</v>
      </c>
      <c r="D13" s="20">
        <v>140</v>
      </c>
      <c r="E13" s="19">
        <v>89.600000000000009</v>
      </c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>
        <v>20</v>
      </c>
      <c r="V13" s="19">
        <v>280</v>
      </c>
      <c r="W13" s="19">
        <v>179.20000000000002</v>
      </c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>
        <f t="shared" si="0"/>
        <v>30</v>
      </c>
      <c r="AQ13" s="19">
        <f t="shared" si="1"/>
        <v>420</v>
      </c>
      <c r="AR13" s="19">
        <f t="shared" si="2"/>
        <v>268.8</v>
      </c>
    </row>
    <row r="14" spans="1:44" hidden="1" x14ac:dyDescent="0.5">
      <c r="A14" s="16">
        <v>8</v>
      </c>
      <c r="B14" s="15">
        <v>46052</v>
      </c>
      <c r="C14" s="20">
        <v>20</v>
      </c>
      <c r="D14" s="20">
        <v>280</v>
      </c>
      <c r="E14" s="19">
        <v>179.20000000000002</v>
      </c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>
        <v>50</v>
      </c>
      <c r="AB14" s="19">
        <v>600</v>
      </c>
      <c r="AC14" s="19">
        <v>600</v>
      </c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>
        <f t="shared" si="0"/>
        <v>70</v>
      </c>
      <c r="AQ14" s="19">
        <f t="shared" si="1"/>
        <v>880</v>
      </c>
      <c r="AR14" s="19">
        <f t="shared" si="2"/>
        <v>779.2</v>
      </c>
    </row>
    <row r="15" spans="1:44" hidden="1" x14ac:dyDescent="0.5">
      <c r="A15" s="16">
        <v>9</v>
      </c>
      <c r="B15" s="15"/>
      <c r="C15" s="20"/>
      <c r="D15" s="20"/>
      <c r="E15" s="19"/>
      <c r="F15" s="20"/>
      <c r="G15" s="20"/>
      <c r="H15" s="19"/>
      <c r="I15" s="19"/>
      <c r="J15" s="19"/>
      <c r="K15" s="19"/>
      <c r="L15" s="20"/>
      <c r="M15" s="20"/>
      <c r="N15" s="20"/>
      <c r="O15" s="20"/>
      <c r="P15" s="20"/>
      <c r="Q15" s="20"/>
      <c r="R15" s="20"/>
      <c r="S15" s="20"/>
      <c r="T15" s="19"/>
      <c r="U15" s="20"/>
      <c r="V15" s="20"/>
      <c r="W15" s="19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19"/>
      <c r="AJ15" s="19"/>
      <c r="AK15" s="19"/>
      <c r="AL15" s="19"/>
      <c r="AM15" s="19"/>
      <c r="AN15" s="19"/>
      <c r="AO15" s="19"/>
      <c r="AP15" s="19">
        <f t="shared" si="0"/>
        <v>0</v>
      </c>
      <c r="AQ15" s="19">
        <f t="shared" si="1"/>
        <v>0</v>
      </c>
      <c r="AR15" s="19">
        <f t="shared" si="2"/>
        <v>0</v>
      </c>
    </row>
    <row r="16" spans="1:44" hidden="1" x14ac:dyDescent="0.5">
      <c r="A16" s="16">
        <v>10</v>
      </c>
      <c r="B16" s="15"/>
      <c r="C16" s="20"/>
      <c r="D16" s="20"/>
      <c r="E16" s="19"/>
      <c r="F16" s="20"/>
      <c r="G16" s="20"/>
      <c r="H16" s="19"/>
      <c r="I16" s="19"/>
      <c r="J16" s="19"/>
      <c r="K16" s="19"/>
      <c r="L16" s="20"/>
      <c r="M16" s="20"/>
      <c r="N16" s="20"/>
      <c r="O16" s="20"/>
      <c r="P16" s="20"/>
      <c r="Q16" s="20"/>
      <c r="R16" s="20"/>
      <c r="S16" s="20"/>
      <c r="T16" s="19"/>
      <c r="U16" s="20"/>
      <c r="V16" s="20"/>
      <c r="W16" s="19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19"/>
      <c r="AJ16" s="19"/>
      <c r="AK16" s="19"/>
      <c r="AL16" s="19"/>
      <c r="AM16" s="19"/>
      <c r="AN16" s="19"/>
      <c r="AO16" s="19"/>
      <c r="AP16" s="19">
        <f t="shared" si="0"/>
        <v>0</v>
      </c>
      <c r="AQ16" s="19">
        <f t="shared" si="1"/>
        <v>0</v>
      </c>
      <c r="AR16" s="19">
        <f t="shared" si="2"/>
        <v>0</v>
      </c>
    </row>
    <row r="17" spans="1:44" hidden="1" x14ac:dyDescent="0.5">
      <c r="AP17" s="182">
        <f>SUM(AP7:AP16)</f>
        <v>405</v>
      </c>
      <c r="AQ17" s="182">
        <f>SUM(AQ7:AQ16)</f>
        <v>5310</v>
      </c>
      <c r="AR17" s="182">
        <f>SUM(AR7:AR16)</f>
        <v>4176.0000000000009</v>
      </c>
    </row>
    <row r="18" spans="1:44" hidden="1" x14ac:dyDescent="0.5"/>
    <row r="19" spans="1:44" hidden="1" x14ac:dyDescent="0.5">
      <c r="A19" s="550" t="s">
        <v>498</v>
      </c>
      <c r="B19" s="550"/>
    </row>
    <row r="20" spans="1:44" hidden="1" x14ac:dyDescent="0.5">
      <c r="A20" s="550"/>
      <c r="B20" s="550"/>
    </row>
    <row r="21" spans="1:44" hidden="1" x14ac:dyDescent="0.5">
      <c r="A21" s="551" t="s">
        <v>118</v>
      </c>
      <c r="B21" s="552" t="s">
        <v>135</v>
      </c>
      <c r="C21" s="553"/>
      <c r="D21" s="553"/>
      <c r="E21" s="553"/>
      <c r="F21" s="553"/>
      <c r="G21" s="553"/>
      <c r="H21" s="553"/>
      <c r="I21" s="553"/>
      <c r="J21" s="553"/>
      <c r="K21" s="553"/>
      <c r="L21" s="553"/>
      <c r="M21" s="553"/>
      <c r="N21" s="553"/>
      <c r="O21" s="553"/>
      <c r="P21" s="553"/>
      <c r="Q21" s="553"/>
      <c r="R21" s="553"/>
      <c r="S21" s="553"/>
      <c r="T21" s="553"/>
      <c r="U21" s="553"/>
      <c r="V21" s="553"/>
      <c r="W21" s="553"/>
      <c r="X21" s="553"/>
      <c r="Y21" s="553"/>
      <c r="Z21" s="553"/>
      <c r="AA21" s="553"/>
      <c r="AB21" s="553"/>
      <c r="AC21" s="553"/>
      <c r="AD21" s="553"/>
      <c r="AE21" s="553"/>
      <c r="AF21" s="553"/>
      <c r="AG21" s="553"/>
      <c r="AH21" s="553"/>
      <c r="AI21" s="553"/>
      <c r="AJ21" s="553"/>
      <c r="AK21" s="553"/>
      <c r="AL21" s="553"/>
      <c r="AM21" s="553"/>
      <c r="AN21" s="553"/>
      <c r="AO21" s="553"/>
      <c r="AP21" s="553"/>
      <c r="AQ21" s="553"/>
      <c r="AR21" s="553"/>
    </row>
    <row r="22" spans="1:44" ht="21" hidden="1" x14ac:dyDescent="0.5">
      <c r="A22" s="551"/>
      <c r="B22" s="552"/>
      <c r="C22" s="568" t="s">
        <v>389</v>
      </c>
      <c r="D22" s="566"/>
      <c r="E22" s="567"/>
      <c r="F22" s="562" t="s">
        <v>133</v>
      </c>
      <c r="G22" s="562"/>
      <c r="H22" s="562"/>
      <c r="I22" s="562" t="s">
        <v>387</v>
      </c>
      <c r="J22" s="562"/>
      <c r="K22" s="562"/>
      <c r="L22" s="562" t="s">
        <v>132</v>
      </c>
      <c r="M22" s="562"/>
      <c r="N22" s="562"/>
      <c r="O22" s="562" t="s">
        <v>504</v>
      </c>
      <c r="P22" s="562"/>
      <c r="Q22" s="562"/>
      <c r="R22" s="562" t="s">
        <v>130</v>
      </c>
      <c r="S22" s="562"/>
      <c r="T22" s="562"/>
      <c r="U22" s="562" t="s">
        <v>129</v>
      </c>
      <c r="V22" s="562"/>
      <c r="W22" s="562"/>
      <c r="X22" s="568" t="s">
        <v>128</v>
      </c>
      <c r="Y22" s="566"/>
      <c r="Z22" s="567"/>
      <c r="AA22" s="562" t="s">
        <v>127</v>
      </c>
      <c r="AB22" s="562"/>
      <c r="AC22" s="562"/>
      <c r="AD22" s="562" t="s">
        <v>505</v>
      </c>
      <c r="AE22" s="562"/>
      <c r="AF22" s="562"/>
      <c r="AG22" s="562" t="s">
        <v>125</v>
      </c>
      <c r="AH22" s="562"/>
      <c r="AI22" s="562"/>
      <c r="AJ22" s="562" t="s">
        <v>124</v>
      </c>
      <c r="AK22" s="562"/>
      <c r="AL22" s="562"/>
      <c r="AM22" s="562" t="s">
        <v>506</v>
      </c>
      <c r="AN22" s="562"/>
      <c r="AO22" s="206"/>
      <c r="AP22" s="562" t="s">
        <v>122</v>
      </c>
      <c r="AQ22" s="562"/>
      <c r="AR22" s="562"/>
    </row>
    <row r="23" spans="1:44" ht="21" hidden="1" x14ac:dyDescent="0.5">
      <c r="A23" s="551"/>
      <c r="B23" s="552"/>
      <c r="C23" s="208" t="s">
        <v>109</v>
      </c>
      <c r="D23" s="208" t="s">
        <v>108</v>
      </c>
      <c r="E23" s="208" t="s">
        <v>348</v>
      </c>
      <c r="F23" s="208" t="s">
        <v>109</v>
      </c>
      <c r="G23" s="208" t="s">
        <v>108</v>
      </c>
      <c r="H23" s="208" t="s">
        <v>348</v>
      </c>
      <c r="I23" s="208"/>
      <c r="J23" s="208"/>
      <c r="K23" s="208"/>
      <c r="L23" s="208" t="s">
        <v>109</v>
      </c>
      <c r="M23" s="208" t="s">
        <v>108</v>
      </c>
      <c r="N23" s="208" t="s">
        <v>348</v>
      </c>
      <c r="O23" s="208" t="s">
        <v>109</v>
      </c>
      <c r="P23" s="208" t="s">
        <v>108</v>
      </c>
      <c r="Q23" s="208" t="s">
        <v>348</v>
      </c>
      <c r="R23" s="208" t="s">
        <v>109</v>
      </c>
      <c r="S23" s="208" t="s">
        <v>108</v>
      </c>
      <c r="T23" s="208" t="s">
        <v>348</v>
      </c>
      <c r="U23" s="208" t="s">
        <v>109</v>
      </c>
      <c r="V23" s="208" t="s">
        <v>108</v>
      </c>
      <c r="W23" s="208" t="s">
        <v>348</v>
      </c>
      <c r="X23" s="208" t="s">
        <v>109</v>
      </c>
      <c r="Y23" s="208" t="s">
        <v>108</v>
      </c>
      <c r="Z23" s="208" t="s">
        <v>348</v>
      </c>
      <c r="AA23" s="208" t="s">
        <v>109</v>
      </c>
      <c r="AB23" s="208" t="s">
        <v>108</v>
      </c>
      <c r="AC23" s="208" t="s">
        <v>348</v>
      </c>
      <c r="AD23" s="208" t="s">
        <v>109</v>
      </c>
      <c r="AE23" s="208" t="s">
        <v>108</v>
      </c>
      <c r="AF23" s="208" t="s">
        <v>348</v>
      </c>
      <c r="AG23" s="208" t="s">
        <v>109</v>
      </c>
      <c r="AH23" s="208" t="s">
        <v>108</v>
      </c>
      <c r="AI23" s="208" t="s">
        <v>348</v>
      </c>
      <c r="AJ23" s="208" t="s">
        <v>109</v>
      </c>
      <c r="AK23" s="208" t="s">
        <v>108</v>
      </c>
      <c r="AL23" s="208" t="s">
        <v>348</v>
      </c>
      <c r="AM23" s="208" t="s">
        <v>109</v>
      </c>
      <c r="AN23" s="208" t="s">
        <v>108</v>
      </c>
      <c r="AO23" s="208" t="s">
        <v>348</v>
      </c>
      <c r="AP23" s="208" t="s">
        <v>109</v>
      </c>
      <c r="AQ23" s="208" t="s">
        <v>108</v>
      </c>
      <c r="AR23" s="208" t="s">
        <v>348</v>
      </c>
    </row>
    <row r="24" spans="1:44" hidden="1" x14ac:dyDescent="0.5">
      <c r="A24" s="16">
        <v>1</v>
      </c>
      <c r="B24" s="15">
        <v>46056</v>
      </c>
      <c r="C24" s="19">
        <v>20</v>
      </c>
      <c r="D24" s="19">
        <v>280</v>
      </c>
      <c r="E24" s="19">
        <v>179.20000000000002</v>
      </c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>
        <f>C24+F24+U24+AA24</f>
        <v>20</v>
      </c>
      <c r="AQ24" s="19">
        <f>D24+G24+V24+AB24</f>
        <v>280</v>
      </c>
      <c r="AR24" s="19">
        <f>E24+H24+W24+AC24</f>
        <v>179.20000000000002</v>
      </c>
    </row>
    <row r="25" spans="1:44" hidden="1" x14ac:dyDescent="0.5">
      <c r="A25" s="16">
        <v>2</v>
      </c>
      <c r="B25" s="15">
        <v>46057</v>
      </c>
      <c r="C25" s="19">
        <v>15</v>
      </c>
      <c r="D25" s="19">
        <v>210</v>
      </c>
      <c r="E25" s="19">
        <v>134.4</v>
      </c>
      <c r="F25" s="19">
        <v>10</v>
      </c>
      <c r="G25" s="19">
        <v>140</v>
      </c>
      <c r="H25" s="19">
        <v>89.600000000000009</v>
      </c>
      <c r="I25" s="19"/>
      <c r="J25" s="19"/>
      <c r="K25" s="19"/>
      <c r="L25" s="19"/>
      <c r="M25" s="19"/>
      <c r="N25" s="19"/>
      <c r="O25" s="19"/>
      <c r="P25" s="19"/>
      <c r="Q25" s="19"/>
      <c r="R25" s="21"/>
      <c r="S25" s="178"/>
      <c r="T25" s="19"/>
      <c r="U25" s="19">
        <v>10</v>
      </c>
      <c r="V25" s="19">
        <v>140</v>
      </c>
      <c r="W25" s="19">
        <v>89.600000000000009</v>
      </c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>
        <f t="shared" ref="AP25:AP32" si="3">C25+F25+U25+AA25</f>
        <v>35</v>
      </c>
      <c r="AQ25" s="19">
        <f t="shared" ref="AQ25:AQ32" si="4">D25+G25+V25+AB25</f>
        <v>490</v>
      </c>
      <c r="AR25" s="19">
        <f t="shared" ref="AR25:AR32" si="5">E25+H25+W25+AC25</f>
        <v>313.60000000000002</v>
      </c>
    </row>
    <row r="26" spans="1:44" hidden="1" x14ac:dyDescent="0.5">
      <c r="A26" s="16">
        <v>3</v>
      </c>
      <c r="B26" s="15">
        <v>46060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>
        <v>20</v>
      </c>
      <c r="AB26" s="19">
        <v>240</v>
      </c>
      <c r="AC26" s="19">
        <v>240</v>
      </c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>
        <f t="shared" si="3"/>
        <v>20</v>
      </c>
      <c r="AQ26" s="19">
        <f t="shared" si="4"/>
        <v>240</v>
      </c>
      <c r="AR26" s="19">
        <f t="shared" si="5"/>
        <v>240</v>
      </c>
    </row>
    <row r="27" spans="1:44" hidden="1" x14ac:dyDescent="0.5">
      <c r="A27" s="16">
        <v>5</v>
      </c>
      <c r="B27" s="15">
        <v>46066</v>
      </c>
      <c r="C27" s="19">
        <v>30</v>
      </c>
      <c r="D27" s="19">
        <v>420</v>
      </c>
      <c r="E27" s="19">
        <v>268.8</v>
      </c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>
        <v>30</v>
      </c>
      <c r="AB27" s="19">
        <v>360</v>
      </c>
      <c r="AC27" s="19">
        <v>360</v>
      </c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>
        <f t="shared" si="3"/>
        <v>60</v>
      </c>
      <c r="AQ27" s="19">
        <f t="shared" si="4"/>
        <v>780</v>
      </c>
      <c r="AR27" s="19">
        <f t="shared" si="5"/>
        <v>628.79999999999995</v>
      </c>
    </row>
    <row r="28" spans="1:44" hidden="1" x14ac:dyDescent="0.5">
      <c r="A28" s="16">
        <v>6</v>
      </c>
      <c r="B28" s="15">
        <v>46067</v>
      </c>
      <c r="C28" s="20">
        <v>15</v>
      </c>
      <c r="D28" s="20">
        <v>210</v>
      </c>
      <c r="E28" s="19">
        <v>134.4</v>
      </c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>
        <v>30</v>
      </c>
      <c r="V28" s="19">
        <v>420</v>
      </c>
      <c r="W28" s="19">
        <v>268.8</v>
      </c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>
        <f t="shared" si="3"/>
        <v>45</v>
      </c>
      <c r="AQ28" s="19">
        <f>D28+G28+V28+AB28</f>
        <v>630</v>
      </c>
      <c r="AR28" s="19">
        <f t="shared" si="5"/>
        <v>403.20000000000005</v>
      </c>
    </row>
    <row r="29" spans="1:44" hidden="1" x14ac:dyDescent="0.5">
      <c r="A29" s="16">
        <v>7</v>
      </c>
      <c r="B29" s="15">
        <v>46069</v>
      </c>
      <c r="C29" s="20"/>
      <c r="D29" s="20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>
        <v>20</v>
      </c>
      <c r="AB29" s="19">
        <v>240</v>
      </c>
      <c r="AC29" s="19">
        <v>240</v>
      </c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>
        <f t="shared" si="3"/>
        <v>20</v>
      </c>
      <c r="AQ29" s="19">
        <f t="shared" si="4"/>
        <v>240</v>
      </c>
      <c r="AR29" s="19">
        <f t="shared" si="5"/>
        <v>240</v>
      </c>
    </row>
    <row r="30" spans="1:44" hidden="1" x14ac:dyDescent="0.5">
      <c r="A30" s="16">
        <v>8</v>
      </c>
      <c r="B30" s="15">
        <v>46072</v>
      </c>
      <c r="C30" s="20">
        <v>30</v>
      </c>
      <c r="D30" s="20">
        <v>420</v>
      </c>
      <c r="E30" s="19">
        <v>268.8</v>
      </c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>
        <v>20</v>
      </c>
      <c r="V30" s="19">
        <v>280</v>
      </c>
      <c r="W30" s="19">
        <v>179.20000000000002</v>
      </c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>
        <f t="shared" si="3"/>
        <v>50</v>
      </c>
      <c r="AQ30" s="19">
        <f t="shared" si="4"/>
        <v>700</v>
      </c>
      <c r="AR30" s="19">
        <f t="shared" si="5"/>
        <v>448</v>
      </c>
    </row>
    <row r="31" spans="1:44" hidden="1" x14ac:dyDescent="0.5">
      <c r="A31" s="16">
        <v>9</v>
      </c>
      <c r="B31" s="15">
        <v>46074</v>
      </c>
      <c r="C31" s="20"/>
      <c r="D31" s="20"/>
      <c r="E31" s="19"/>
      <c r="F31" s="20"/>
      <c r="G31" s="20"/>
      <c r="H31" s="19"/>
      <c r="I31" s="19"/>
      <c r="J31" s="19"/>
      <c r="K31" s="19"/>
      <c r="L31" s="20"/>
      <c r="M31" s="20"/>
      <c r="N31" s="20"/>
      <c r="O31" s="20"/>
      <c r="P31" s="20"/>
      <c r="Q31" s="20"/>
      <c r="R31" s="20"/>
      <c r="S31" s="20"/>
      <c r="T31" s="19"/>
      <c r="U31" s="20"/>
      <c r="V31" s="20"/>
      <c r="W31" s="19"/>
      <c r="X31" s="20"/>
      <c r="Y31" s="20"/>
      <c r="Z31" s="20"/>
      <c r="AA31" s="20">
        <v>30</v>
      </c>
      <c r="AB31" s="20">
        <v>360</v>
      </c>
      <c r="AC31" s="20">
        <v>360</v>
      </c>
      <c r="AD31" s="20"/>
      <c r="AE31" s="20"/>
      <c r="AF31" s="20"/>
      <c r="AG31" s="20"/>
      <c r="AH31" s="20"/>
      <c r="AI31" s="19"/>
      <c r="AJ31" s="19"/>
      <c r="AK31" s="19"/>
      <c r="AL31" s="19"/>
      <c r="AM31" s="19"/>
      <c r="AN31" s="19"/>
      <c r="AO31" s="19"/>
      <c r="AP31" s="19">
        <f t="shared" si="3"/>
        <v>30</v>
      </c>
      <c r="AQ31" s="19">
        <f t="shared" si="4"/>
        <v>360</v>
      </c>
      <c r="AR31" s="19">
        <f t="shared" si="5"/>
        <v>360</v>
      </c>
    </row>
    <row r="32" spans="1:44" hidden="1" x14ac:dyDescent="0.5">
      <c r="A32" s="16">
        <v>10</v>
      </c>
      <c r="B32" s="15">
        <v>46080</v>
      </c>
      <c r="C32" s="20">
        <v>35</v>
      </c>
      <c r="D32" s="20">
        <v>490</v>
      </c>
      <c r="E32" s="19">
        <v>313.60000000000002</v>
      </c>
      <c r="F32" s="20">
        <v>30</v>
      </c>
      <c r="G32" s="20">
        <v>420</v>
      </c>
      <c r="H32" s="19">
        <v>268.8</v>
      </c>
      <c r="I32" s="19"/>
      <c r="J32" s="19"/>
      <c r="K32" s="19"/>
      <c r="L32" s="20"/>
      <c r="M32" s="20"/>
      <c r="N32" s="20"/>
      <c r="O32" s="20"/>
      <c r="P32" s="20"/>
      <c r="Q32" s="20"/>
      <c r="R32" s="20"/>
      <c r="S32" s="20"/>
      <c r="T32" s="19"/>
      <c r="U32" s="20">
        <v>10</v>
      </c>
      <c r="V32" s="20">
        <v>140</v>
      </c>
      <c r="W32" s="19">
        <v>89.600000000000009</v>
      </c>
      <c r="X32" s="20"/>
      <c r="Y32" s="20"/>
      <c r="Z32" s="20"/>
      <c r="AA32" s="20">
        <v>30</v>
      </c>
      <c r="AB32" s="20">
        <v>360</v>
      </c>
      <c r="AC32" s="20">
        <v>360</v>
      </c>
      <c r="AD32" s="20"/>
      <c r="AE32" s="20"/>
      <c r="AF32" s="20"/>
      <c r="AG32" s="20"/>
      <c r="AH32" s="20"/>
      <c r="AI32" s="19"/>
      <c r="AJ32" s="19"/>
      <c r="AK32" s="19"/>
      <c r="AL32" s="19"/>
      <c r="AM32" s="19"/>
      <c r="AN32" s="19"/>
      <c r="AO32" s="19"/>
      <c r="AP32" s="19">
        <f t="shared" si="3"/>
        <v>105</v>
      </c>
      <c r="AQ32" s="19">
        <f t="shared" si="4"/>
        <v>1410</v>
      </c>
      <c r="AR32" s="19">
        <f t="shared" si="5"/>
        <v>1032</v>
      </c>
    </row>
    <row r="33" spans="1:44" hidden="1" x14ac:dyDescent="0.5">
      <c r="AP33" s="182">
        <f>SUM(AP24:AP32)</f>
        <v>385</v>
      </c>
      <c r="AQ33" s="182">
        <f>SUM(AQ24:AQ32)</f>
        <v>5130</v>
      </c>
      <c r="AR33" s="182">
        <f>SUM(AR24:AR32)</f>
        <v>3844.8</v>
      </c>
    </row>
    <row r="34" spans="1:44" hidden="1" x14ac:dyDescent="0.5"/>
    <row r="35" spans="1:44" x14ac:dyDescent="0.5">
      <c r="A35" s="550" t="s">
        <v>543</v>
      </c>
      <c r="B35" s="550"/>
    </row>
    <row r="36" spans="1:44" x14ac:dyDescent="0.5">
      <c r="A36" s="550"/>
      <c r="B36" s="550"/>
    </row>
    <row r="37" spans="1:44" x14ac:dyDescent="0.5">
      <c r="A37" s="551" t="s">
        <v>118</v>
      </c>
      <c r="B37" s="552" t="s">
        <v>135</v>
      </c>
      <c r="C37" s="553"/>
      <c r="D37" s="553"/>
      <c r="E37" s="553"/>
      <c r="F37" s="553"/>
      <c r="G37" s="553"/>
      <c r="H37" s="553"/>
      <c r="I37" s="553"/>
      <c r="J37" s="553"/>
      <c r="K37" s="553"/>
      <c r="L37" s="553"/>
      <c r="M37" s="553"/>
      <c r="N37" s="553"/>
      <c r="O37" s="553"/>
      <c r="P37" s="553"/>
      <c r="Q37" s="553"/>
      <c r="R37" s="553"/>
      <c r="S37" s="553"/>
      <c r="T37" s="553"/>
      <c r="U37" s="553"/>
      <c r="V37" s="553"/>
      <c r="W37" s="553"/>
      <c r="X37" s="553"/>
      <c r="Y37" s="553"/>
      <c r="Z37" s="553"/>
      <c r="AA37" s="553"/>
      <c r="AB37" s="553"/>
      <c r="AC37" s="553"/>
      <c r="AD37" s="553"/>
      <c r="AE37" s="553"/>
      <c r="AF37" s="553"/>
      <c r="AG37" s="553"/>
      <c r="AH37" s="553"/>
      <c r="AI37" s="553"/>
      <c r="AJ37" s="553"/>
      <c r="AK37" s="553"/>
      <c r="AL37" s="553"/>
      <c r="AM37" s="553"/>
      <c r="AN37" s="553"/>
      <c r="AO37" s="553"/>
      <c r="AP37" s="553"/>
      <c r="AQ37" s="553"/>
      <c r="AR37" s="553"/>
    </row>
    <row r="38" spans="1:44" ht="21" x14ac:dyDescent="0.5">
      <c r="A38" s="551"/>
      <c r="B38" s="552"/>
      <c r="C38" s="568" t="s">
        <v>389</v>
      </c>
      <c r="D38" s="566"/>
      <c r="E38" s="567"/>
      <c r="F38" s="562" t="s">
        <v>133</v>
      </c>
      <c r="G38" s="562"/>
      <c r="H38" s="562"/>
      <c r="I38" s="562" t="s">
        <v>387</v>
      </c>
      <c r="J38" s="562"/>
      <c r="K38" s="562"/>
      <c r="L38" s="562" t="s">
        <v>132</v>
      </c>
      <c r="M38" s="562"/>
      <c r="N38" s="562"/>
      <c r="O38" s="562" t="s">
        <v>504</v>
      </c>
      <c r="P38" s="562"/>
      <c r="Q38" s="562"/>
      <c r="R38" s="562" t="s">
        <v>130</v>
      </c>
      <c r="S38" s="562"/>
      <c r="T38" s="562"/>
      <c r="U38" s="562" t="s">
        <v>129</v>
      </c>
      <c r="V38" s="562"/>
      <c r="W38" s="562"/>
      <c r="X38" s="568" t="s">
        <v>128</v>
      </c>
      <c r="Y38" s="566"/>
      <c r="Z38" s="567"/>
      <c r="AA38" s="562" t="s">
        <v>127</v>
      </c>
      <c r="AB38" s="562"/>
      <c r="AC38" s="562"/>
      <c r="AD38" s="562" t="s">
        <v>505</v>
      </c>
      <c r="AE38" s="562"/>
      <c r="AF38" s="562"/>
      <c r="AG38" s="562" t="s">
        <v>125</v>
      </c>
      <c r="AH38" s="562"/>
      <c r="AI38" s="562"/>
      <c r="AJ38" s="562" t="s">
        <v>378</v>
      </c>
      <c r="AK38" s="562"/>
      <c r="AL38" s="562"/>
      <c r="AM38" s="562" t="s">
        <v>506</v>
      </c>
      <c r="AN38" s="562"/>
      <c r="AO38" s="206"/>
      <c r="AP38" s="562" t="s">
        <v>122</v>
      </c>
      <c r="AQ38" s="562"/>
      <c r="AR38" s="562"/>
    </row>
    <row r="39" spans="1:44" ht="21" x14ac:dyDescent="0.5">
      <c r="A39" s="551"/>
      <c r="B39" s="552"/>
      <c r="C39" s="208" t="s">
        <v>109</v>
      </c>
      <c r="D39" s="208" t="s">
        <v>108</v>
      </c>
      <c r="E39" s="208" t="s">
        <v>348</v>
      </c>
      <c r="F39" s="208" t="s">
        <v>109</v>
      </c>
      <c r="G39" s="208" t="s">
        <v>108</v>
      </c>
      <c r="H39" s="208" t="s">
        <v>348</v>
      </c>
      <c r="I39" s="208"/>
      <c r="J39" s="208"/>
      <c r="K39" s="208"/>
      <c r="L39" s="208" t="s">
        <v>109</v>
      </c>
      <c r="M39" s="208" t="s">
        <v>108</v>
      </c>
      <c r="N39" s="208" t="s">
        <v>348</v>
      </c>
      <c r="O39" s="208" t="s">
        <v>109</v>
      </c>
      <c r="P39" s="208" t="s">
        <v>108</v>
      </c>
      <c r="Q39" s="208" t="s">
        <v>348</v>
      </c>
      <c r="R39" s="208" t="s">
        <v>109</v>
      </c>
      <c r="S39" s="208" t="s">
        <v>108</v>
      </c>
      <c r="T39" s="208" t="s">
        <v>348</v>
      </c>
      <c r="U39" s="208" t="s">
        <v>109</v>
      </c>
      <c r="V39" s="208" t="s">
        <v>108</v>
      </c>
      <c r="W39" s="208" t="s">
        <v>348</v>
      </c>
      <c r="X39" s="208" t="s">
        <v>109</v>
      </c>
      <c r="Y39" s="208" t="s">
        <v>108</v>
      </c>
      <c r="Z39" s="208" t="s">
        <v>348</v>
      </c>
      <c r="AA39" s="208" t="s">
        <v>109</v>
      </c>
      <c r="AB39" s="208" t="s">
        <v>108</v>
      </c>
      <c r="AC39" s="208" t="s">
        <v>348</v>
      </c>
      <c r="AD39" s="208" t="s">
        <v>109</v>
      </c>
      <c r="AE39" s="208" t="s">
        <v>108</v>
      </c>
      <c r="AF39" s="208" t="s">
        <v>348</v>
      </c>
      <c r="AG39" s="208" t="s">
        <v>109</v>
      </c>
      <c r="AH39" s="208" t="s">
        <v>108</v>
      </c>
      <c r="AI39" s="208" t="s">
        <v>348</v>
      </c>
      <c r="AJ39" s="208" t="s">
        <v>109</v>
      </c>
      <c r="AK39" s="208" t="s">
        <v>108</v>
      </c>
      <c r="AL39" s="208" t="s">
        <v>348</v>
      </c>
      <c r="AM39" s="208" t="s">
        <v>109</v>
      </c>
      <c r="AN39" s="208" t="s">
        <v>108</v>
      </c>
      <c r="AO39" s="208" t="s">
        <v>348</v>
      </c>
      <c r="AP39" s="208" t="s">
        <v>109</v>
      </c>
      <c r="AQ39" s="208" t="s">
        <v>108</v>
      </c>
      <c r="AR39" s="208" t="s">
        <v>348</v>
      </c>
    </row>
    <row r="40" spans="1:44" x14ac:dyDescent="0.5">
      <c r="A40" s="16">
        <v>1</v>
      </c>
      <c r="B40" s="15">
        <v>46086</v>
      </c>
      <c r="C40" s="19">
        <v>80</v>
      </c>
      <c r="D40" s="19">
        <v>1120</v>
      </c>
      <c r="E40" s="19">
        <v>716.8</v>
      </c>
      <c r="F40" s="19">
        <v>15</v>
      </c>
      <c r="G40" s="19">
        <v>210</v>
      </c>
      <c r="H40" s="19">
        <v>134.4</v>
      </c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>
        <v>49</v>
      </c>
      <c r="V40" s="19">
        <v>686</v>
      </c>
      <c r="W40" s="19">
        <v>439.04</v>
      </c>
      <c r="X40" s="19"/>
      <c r="Y40" s="19"/>
      <c r="Z40" s="19"/>
      <c r="AA40" s="19">
        <v>50</v>
      </c>
      <c r="AB40" s="19">
        <v>600</v>
      </c>
      <c r="AC40" s="19">
        <v>600</v>
      </c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>
        <f>C40+F40+U40+AA40</f>
        <v>194</v>
      </c>
      <c r="AQ40" s="19">
        <f>D40+G40+V40+AB40</f>
        <v>2616</v>
      </c>
      <c r="AR40" s="19">
        <f>E40+H40+W40+AC40</f>
        <v>1890.24</v>
      </c>
    </row>
    <row r="41" spans="1:44" hidden="1" x14ac:dyDescent="0.5">
      <c r="A41" s="16">
        <v>2</v>
      </c>
      <c r="B41" s="15">
        <v>46092</v>
      </c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21"/>
      <c r="S41" s="178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>
        <f>C41+F41+U41+AA41+X41</f>
        <v>0</v>
      </c>
      <c r="AQ41" s="19">
        <f t="shared" ref="AQ41:AR41" si="6">D41+G41+V41+AB41+Y41</f>
        <v>0</v>
      </c>
      <c r="AR41" s="19">
        <f t="shared" si="6"/>
        <v>0</v>
      </c>
    </row>
    <row r="42" spans="1:44" x14ac:dyDescent="0.5">
      <c r="A42" s="16">
        <v>3</v>
      </c>
      <c r="B42" s="15">
        <v>46097</v>
      </c>
      <c r="C42" s="19">
        <v>50</v>
      </c>
      <c r="D42" s="19">
        <v>700</v>
      </c>
      <c r="E42" s="19">
        <v>448</v>
      </c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>
        <v>20</v>
      </c>
      <c r="V42" s="19">
        <v>280</v>
      </c>
      <c r="W42" s="19">
        <v>179.20000000000002</v>
      </c>
      <c r="X42" s="19"/>
      <c r="Y42" s="19"/>
      <c r="Z42" s="19"/>
      <c r="AA42" s="19">
        <v>30</v>
      </c>
      <c r="AB42" s="19">
        <v>360</v>
      </c>
      <c r="AC42" s="19">
        <v>360</v>
      </c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>
        <f>C42+F42+U42+AA42+AJ42</f>
        <v>100</v>
      </c>
      <c r="AQ42" s="19">
        <f t="shared" ref="AQ42:AR42" si="7">D42+G42+V42+AB42+AK42</f>
        <v>1340</v>
      </c>
      <c r="AR42" s="19">
        <f t="shared" si="7"/>
        <v>987.2</v>
      </c>
    </row>
    <row r="43" spans="1:44" hidden="1" x14ac:dyDescent="0.5">
      <c r="A43" s="16">
        <v>4</v>
      </c>
      <c r="B43" s="15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>
        <f t="shared" ref="AP43:AP48" si="8">C43+F43+U43+AA43</f>
        <v>0</v>
      </c>
      <c r="AQ43" s="19">
        <f t="shared" ref="AQ43" si="9">D43+G43+V43+AB43</f>
        <v>0</v>
      </c>
      <c r="AR43" s="19">
        <f t="shared" ref="AR43:AR48" si="10">E43+H43+W43+AC43</f>
        <v>0</v>
      </c>
    </row>
    <row r="44" spans="1:44" hidden="1" x14ac:dyDescent="0.5">
      <c r="A44" s="16">
        <v>5</v>
      </c>
      <c r="B44" s="15"/>
      <c r="C44" s="20"/>
      <c r="D44" s="20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>
        <f t="shared" si="8"/>
        <v>0</v>
      </c>
      <c r="AQ44" s="19">
        <f>D44+G44+V44+AB44</f>
        <v>0</v>
      </c>
      <c r="AR44" s="19">
        <f t="shared" si="10"/>
        <v>0</v>
      </c>
    </row>
    <row r="45" spans="1:44" hidden="1" x14ac:dyDescent="0.5">
      <c r="A45" s="16">
        <v>6</v>
      </c>
      <c r="B45" s="15"/>
      <c r="C45" s="20"/>
      <c r="D45" s="20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>
        <f t="shared" si="8"/>
        <v>0</v>
      </c>
      <c r="AQ45" s="19">
        <f t="shared" ref="AQ45:AQ48" si="11">D45+G45+V45+AB45</f>
        <v>0</v>
      </c>
      <c r="AR45" s="19">
        <f t="shared" si="10"/>
        <v>0</v>
      </c>
    </row>
    <row r="46" spans="1:44" hidden="1" x14ac:dyDescent="0.5">
      <c r="A46" s="16">
        <v>7</v>
      </c>
      <c r="B46" s="15"/>
      <c r="C46" s="20"/>
      <c r="D46" s="20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>
        <f t="shared" si="8"/>
        <v>0</v>
      </c>
      <c r="AQ46" s="19">
        <f t="shared" si="11"/>
        <v>0</v>
      </c>
      <c r="AR46" s="19">
        <f t="shared" si="10"/>
        <v>0</v>
      </c>
    </row>
    <row r="47" spans="1:44" hidden="1" x14ac:dyDescent="0.5">
      <c r="A47" s="16">
        <v>8</v>
      </c>
      <c r="B47" s="15"/>
      <c r="C47" s="20"/>
      <c r="D47" s="20"/>
      <c r="E47" s="19"/>
      <c r="F47" s="20"/>
      <c r="G47" s="20"/>
      <c r="H47" s="19"/>
      <c r="I47" s="19"/>
      <c r="J47" s="19"/>
      <c r="K47" s="19"/>
      <c r="L47" s="20"/>
      <c r="M47" s="20"/>
      <c r="N47" s="20"/>
      <c r="O47" s="20"/>
      <c r="P47" s="20"/>
      <c r="Q47" s="20"/>
      <c r="R47" s="20"/>
      <c r="S47" s="20"/>
      <c r="T47" s="19"/>
      <c r="U47" s="20"/>
      <c r="V47" s="20"/>
      <c r="W47" s="19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19"/>
      <c r="AJ47" s="19"/>
      <c r="AK47" s="19"/>
      <c r="AL47" s="19"/>
      <c r="AM47" s="19"/>
      <c r="AN47" s="19"/>
      <c r="AO47" s="19"/>
      <c r="AP47" s="19">
        <f t="shared" si="8"/>
        <v>0</v>
      </c>
      <c r="AQ47" s="19">
        <f t="shared" si="11"/>
        <v>0</v>
      </c>
      <c r="AR47" s="19">
        <f t="shared" si="10"/>
        <v>0</v>
      </c>
    </row>
    <row r="48" spans="1:44" hidden="1" x14ac:dyDescent="0.5">
      <c r="A48" s="16">
        <v>9</v>
      </c>
      <c r="B48" s="15"/>
      <c r="C48" s="20"/>
      <c r="D48" s="20"/>
      <c r="E48" s="19"/>
      <c r="F48" s="20"/>
      <c r="G48" s="20"/>
      <c r="H48" s="19"/>
      <c r="I48" s="19"/>
      <c r="J48" s="19"/>
      <c r="K48" s="19"/>
      <c r="L48" s="20"/>
      <c r="M48" s="20"/>
      <c r="N48" s="20"/>
      <c r="O48" s="20"/>
      <c r="P48" s="20"/>
      <c r="Q48" s="20"/>
      <c r="R48" s="20"/>
      <c r="S48" s="20"/>
      <c r="T48" s="19"/>
      <c r="U48" s="20"/>
      <c r="V48" s="20"/>
      <c r="W48" s="19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19"/>
      <c r="AJ48" s="19"/>
      <c r="AK48" s="19"/>
      <c r="AL48" s="19"/>
      <c r="AM48" s="19"/>
      <c r="AN48" s="19"/>
      <c r="AO48" s="19"/>
      <c r="AP48" s="19">
        <f t="shared" si="8"/>
        <v>0</v>
      </c>
      <c r="AQ48" s="19">
        <f t="shared" si="11"/>
        <v>0</v>
      </c>
      <c r="AR48" s="19">
        <f t="shared" si="10"/>
        <v>0</v>
      </c>
    </row>
    <row r="49" spans="42:44" x14ac:dyDescent="0.5">
      <c r="AP49" s="182">
        <f>SUM(AP40:AP48)</f>
        <v>294</v>
      </c>
      <c r="AQ49" s="182">
        <f>SUM(AQ40:AQ48)</f>
        <v>3956</v>
      </c>
      <c r="AR49" s="182">
        <f>SUM(AR40:AR48)</f>
        <v>2877.44</v>
      </c>
    </row>
  </sheetData>
  <mergeCells count="54">
    <mergeCell ref="AP5:AR5"/>
    <mergeCell ref="AA5:AC5"/>
    <mergeCell ref="AD5:AF5"/>
    <mergeCell ref="AG5:AI5"/>
    <mergeCell ref="AJ5:AL5"/>
    <mergeCell ref="AM5:AN5"/>
    <mergeCell ref="B21:B23"/>
    <mergeCell ref="C21:AR21"/>
    <mergeCell ref="C22:E22"/>
    <mergeCell ref="F22:H22"/>
    <mergeCell ref="I22:K22"/>
    <mergeCell ref="L22:N22"/>
    <mergeCell ref="O22:Q22"/>
    <mergeCell ref="R22:T22"/>
    <mergeCell ref="U22:W22"/>
    <mergeCell ref="X22:Z22"/>
    <mergeCell ref="AA22:AC22"/>
    <mergeCell ref="AD22:AF22"/>
    <mergeCell ref="AG22:AI22"/>
    <mergeCell ref="AJ22:AL22"/>
    <mergeCell ref="AM22:AN22"/>
    <mergeCell ref="AP22:AR22"/>
    <mergeCell ref="AG38:AI38"/>
    <mergeCell ref="AJ38:AL38"/>
    <mergeCell ref="A2:B3"/>
    <mergeCell ref="A4:A6"/>
    <mergeCell ref="B4:B6"/>
    <mergeCell ref="C4:AR4"/>
    <mergeCell ref="C5:E5"/>
    <mergeCell ref="F5:H5"/>
    <mergeCell ref="I5:K5"/>
    <mergeCell ref="L5:N5"/>
    <mergeCell ref="O5:Q5"/>
    <mergeCell ref="R5:T5"/>
    <mergeCell ref="U5:W5"/>
    <mergeCell ref="X5:Z5"/>
    <mergeCell ref="A19:B20"/>
    <mergeCell ref="A21:A23"/>
    <mergeCell ref="AM38:AN38"/>
    <mergeCell ref="AP38:AR38"/>
    <mergeCell ref="A35:B36"/>
    <mergeCell ref="A37:A39"/>
    <mergeCell ref="B37:B39"/>
    <mergeCell ref="C37:AR37"/>
    <mergeCell ref="C38:E38"/>
    <mergeCell ref="F38:H38"/>
    <mergeCell ref="I38:K38"/>
    <mergeCell ref="L38:N38"/>
    <mergeCell ref="O38:Q38"/>
    <mergeCell ref="R38:T38"/>
    <mergeCell ref="U38:W38"/>
    <mergeCell ref="X38:Z38"/>
    <mergeCell ref="AA38:AC38"/>
    <mergeCell ref="AD38:AF3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9B9F8-6815-46D2-AC45-32CD11C103C1}">
  <dimension ref="A1:BA410"/>
  <sheetViews>
    <sheetView topLeftCell="A404" workbookViewId="0">
      <selection activeCell="A409" sqref="A409:Z409"/>
    </sheetView>
  </sheetViews>
  <sheetFormatPr defaultColWidth="9.140625" defaultRowHeight="18" x14ac:dyDescent="0.5"/>
  <cols>
    <col min="1" max="2" width="9.140625" style="22"/>
    <col min="3" max="5" width="9.140625" style="22" hidden="1" customWidth="1"/>
    <col min="6" max="8" width="9.140625" style="22"/>
    <col min="9" max="23" width="0" style="22" hidden="1" customWidth="1"/>
    <col min="24" max="26" width="9.140625" style="22"/>
    <col min="27" max="47" width="0" style="22" hidden="1" customWidth="1"/>
    <col min="48" max="16384" width="9.140625" style="22"/>
  </cols>
  <sheetData>
    <row r="1" spans="1:50" hidden="1" x14ac:dyDescent="0.5">
      <c r="A1" s="550" t="s">
        <v>356</v>
      </c>
      <c r="B1" s="550"/>
      <c r="C1" s="550"/>
      <c r="D1" s="550"/>
      <c r="E1" s="550"/>
      <c r="F1" s="550"/>
    </row>
    <row r="2" spans="1:50" hidden="1" x14ac:dyDescent="0.5">
      <c r="A2" s="550"/>
      <c r="B2" s="550"/>
      <c r="C2" s="550"/>
      <c r="D2" s="550"/>
      <c r="E2" s="550"/>
      <c r="F2" s="550"/>
    </row>
    <row r="3" spans="1:50" hidden="1" x14ac:dyDescent="0.5">
      <c r="A3" s="551" t="s">
        <v>118</v>
      </c>
      <c r="B3" s="552" t="s">
        <v>135</v>
      </c>
      <c r="C3" s="553"/>
      <c r="D3" s="553"/>
      <c r="E3" s="553"/>
      <c r="F3" s="553"/>
      <c r="G3" s="553"/>
      <c r="H3" s="553"/>
      <c r="I3" s="553"/>
      <c r="J3" s="553"/>
      <c r="K3" s="553"/>
      <c r="L3" s="553"/>
      <c r="M3" s="553"/>
      <c r="N3" s="553"/>
      <c r="O3" s="553"/>
      <c r="P3" s="553"/>
      <c r="Q3" s="553"/>
      <c r="R3" s="553"/>
      <c r="S3" s="553"/>
      <c r="T3" s="553"/>
      <c r="U3" s="553"/>
      <c r="V3" s="553"/>
      <c r="W3" s="553"/>
      <c r="X3" s="553"/>
      <c r="Y3" s="553"/>
      <c r="Z3" s="553"/>
      <c r="AA3" s="553"/>
      <c r="AB3" s="553"/>
      <c r="AC3" s="553"/>
      <c r="AD3" s="553"/>
      <c r="AE3" s="553"/>
      <c r="AF3" s="553"/>
      <c r="AG3" s="553"/>
      <c r="AH3" s="553"/>
      <c r="AI3" s="553"/>
      <c r="AJ3" s="553"/>
      <c r="AK3" s="553"/>
      <c r="AL3" s="553"/>
      <c r="AM3" s="553"/>
      <c r="AN3" s="553"/>
      <c r="AO3" s="553"/>
      <c r="AP3" s="553"/>
      <c r="AQ3" s="553"/>
      <c r="AR3" s="553"/>
      <c r="AS3" s="553"/>
      <c r="AT3" s="553"/>
      <c r="AU3" s="553"/>
      <c r="AV3" s="553"/>
      <c r="AW3" s="553"/>
      <c r="AX3" s="553"/>
    </row>
    <row r="4" spans="1:50" ht="18" hidden="1" customHeight="1" x14ac:dyDescent="0.5">
      <c r="A4" s="551"/>
      <c r="B4" s="552"/>
      <c r="C4" s="554" t="s">
        <v>134</v>
      </c>
      <c r="D4" s="555"/>
      <c r="E4" s="556"/>
      <c r="F4" s="557" t="s">
        <v>133</v>
      </c>
      <c r="G4" s="557"/>
      <c r="H4" s="557"/>
      <c r="I4" s="557" t="s">
        <v>132</v>
      </c>
      <c r="J4" s="557"/>
      <c r="K4" s="557"/>
      <c r="L4" s="557" t="s">
        <v>131</v>
      </c>
      <c r="M4" s="557"/>
      <c r="N4" s="557"/>
      <c r="O4" s="557" t="s">
        <v>130</v>
      </c>
      <c r="P4" s="557"/>
      <c r="Q4" s="557"/>
      <c r="R4" s="557" t="s">
        <v>129</v>
      </c>
      <c r="S4" s="557"/>
      <c r="T4" s="557"/>
      <c r="U4" s="558" t="s">
        <v>128</v>
      </c>
      <c r="V4" s="559"/>
      <c r="W4" s="560"/>
      <c r="X4" s="557" t="s">
        <v>127</v>
      </c>
      <c r="Y4" s="557"/>
      <c r="Z4" s="557"/>
      <c r="AA4" s="557" t="s">
        <v>126</v>
      </c>
      <c r="AB4" s="557"/>
      <c r="AC4" s="557"/>
      <c r="AD4" s="177"/>
      <c r="AE4" s="177"/>
      <c r="AF4" s="177"/>
      <c r="AG4" s="557" t="s">
        <v>125</v>
      </c>
      <c r="AH4" s="557"/>
      <c r="AI4" s="557"/>
      <c r="AJ4" s="557" t="s">
        <v>124</v>
      </c>
      <c r="AK4" s="557"/>
      <c r="AL4" s="557"/>
      <c r="AM4" s="557" t="s">
        <v>123</v>
      </c>
      <c r="AN4" s="557"/>
      <c r="AO4" s="177"/>
      <c r="AP4" s="557" t="s">
        <v>367</v>
      </c>
      <c r="AQ4" s="557"/>
      <c r="AR4" s="177"/>
      <c r="AS4" s="557" t="s">
        <v>368</v>
      </c>
      <c r="AT4" s="557"/>
      <c r="AU4" s="177"/>
      <c r="AV4" s="557" t="s">
        <v>122</v>
      </c>
      <c r="AW4" s="557"/>
      <c r="AX4" s="557"/>
    </row>
    <row r="5" spans="1:50" hidden="1" x14ac:dyDescent="0.5">
      <c r="A5" s="551"/>
      <c r="B5" s="552"/>
      <c r="C5" s="17" t="s">
        <v>109</v>
      </c>
      <c r="D5" s="17" t="s">
        <v>108</v>
      </c>
      <c r="E5" s="17" t="s">
        <v>348</v>
      </c>
      <c r="F5" s="17" t="s">
        <v>109</v>
      </c>
      <c r="G5" s="17" t="s">
        <v>108</v>
      </c>
      <c r="H5" s="17" t="s">
        <v>348</v>
      </c>
      <c r="I5" s="17" t="s">
        <v>109</v>
      </c>
      <c r="J5" s="17" t="s">
        <v>108</v>
      </c>
      <c r="K5" s="17" t="s">
        <v>348</v>
      </c>
      <c r="L5" s="17" t="s">
        <v>109</v>
      </c>
      <c r="M5" s="17" t="s">
        <v>108</v>
      </c>
      <c r="N5" s="17" t="s">
        <v>348</v>
      </c>
      <c r="O5" s="17" t="s">
        <v>109</v>
      </c>
      <c r="P5" s="17" t="s">
        <v>108</v>
      </c>
      <c r="Q5" s="17" t="s">
        <v>348</v>
      </c>
      <c r="R5" s="17" t="s">
        <v>109</v>
      </c>
      <c r="S5" s="17" t="s">
        <v>108</v>
      </c>
      <c r="T5" s="17" t="s">
        <v>348</v>
      </c>
      <c r="U5" s="17" t="s">
        <v>109</v>
      </c>
      <c r="V5" s="17" t="s">
        <v>108</v>
      </c>
      <c r="W5" s="17" t="s">
        <v>348</v>
      </c>
      <c r="X5" s="17" t="s">
        <v>109</v>
      </c>
      <c r="Y5" s="17" t="s">
        <v>108</v>
      </c>
      <c r="Z5" s="17" t="s">
        <v>348</v>
      </c>
      <c r="AA5" s="17" t="s">
        <v>109</v>
      </c>
      <c r="AB5" s="17" t="s">
        <v>108</v>
      </c>
      <c r="AC5" s="17" t="s">
        <v>348</v>
      </c>
      <c r="AD5" s="17"/>
      <c r="AE5" s="17"/>
      <c r="AF5" s="17"/>
      <c r="AG5" s="17" t="s">
        <v>109</v>
      </c>
      <c r="AH5" s="17" t="s">
        <v>108</v>
      </c>
      <c r="AI5" s="17" t="s">
        <v>348</v>
      </c>
      <c r="AJ5" s="17" t="s">
        <v>109</v>
      </c>
      <c r="AK5" s="17" t="s">
        <v>108</v>
      </c>
      <c r="AL5" s="17" t="s">
        <v>348</v>
      </c>
      <c r="AM5" s="17" t="s">
        <v>109</v>
      </c>
      <c r="AN5" s="17" t="s">
        <v>108</v>
      </c>
      <c r="AO5" s="17" t="s">
        <v>348</v>
      </c>
      <c r="AP5" s="17" t="s">
        <v>109</v>
      </c>
      <c r="AQ5" s="17" t="s">
        <v>108</v>
      </c>
      <c r="AR5" s="17" t="s">
        <v>348</v>
      </c>
      <c r="AS5" s="17" t="s">
        <v>109</v>
      </c>
      <c r="AT5" s="17" t="s">
        <v>108</v>
      </c>
      <c r="AU5" s="17" t="s">
        <v>348</v>
      </c>
      <c r="AV5" s="17" t="s">
        <v>109</v>
      </c>
      <c r="AW5" s="17" t="s">
        <v>108</v>
      </c>
      <c r="AX5" s="17" t="s">
        <v>348</v>
      </c>
    </row>
    <row r="6" spans="1:50" hidden="1" x14ac:dyDescent="0.5">
      <c r="A6" s="16">
        <v>1</v>
      </c>
      <c r="B6" s="15">
        <v>46044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>
        <v>100</v>
      </c>
      <c r="Y6" s="19">
        <v>1200</v>
      </c>
      <c r="Z6" s="19">
        <v>1200</v>
      </c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>
        <f t="shared" ref="AV6:AW7" si="0">C6+F6+I6+L6+O6+R6+U6+X6+AA6+AG6+AJ6+AM6+AP6+AS6</f>
        <v>100</v>
      </c>
      <c r="AW6" s="19">
        <f t="shared" si="0"/>
        <v>1200</v>
      </c>
      <c r="AX6" s="19">
        <f>E6+H6+K6+N6+Q6+T6+W6+Z6+AC6+AI6+AL6+AO6+AR6+AU6</f>
        <v>1200</v>
      </c>
    </row>
    <row r="7" spans="1:50" hidden="1" x14ac:dyDescent="0.5">
      <c r="A7" s="16">
        <v>2</v>
      </c>
      <c r="B7" s="15">
        <v>46053</v>
      </c>
      <c r="C7" s="19"/>
      <c r="D7" s="19"/>
      <c r="E7" s="19"/>
      <c r="F7" s="19">
        <v>100</v>
      </c>
      <c r="G7" s="19">
        <v>1400</v>
      </c>
      <c r="H7" s="19">
        <v>896</v>
      </c>
      <c r="I7" s="19"/>
      <c r="J7" s="19"/>
      <c r="K7" s="19"/>
      <c r="L7" s="19"/>
      <c r="M7" s="19"/>
      <c r="N7" s="19"/>
      <c r="O7" s="21"/>
      <c r="P7" s="178"/>
      <c r="Q7" s="19"/>
      <c r="R7" s="19"/>
      <c r="S7" s="19"/>
      <c r="T7" s="19"/>
      <c r="U7" s="19"/>
      <c r="V7" s="19"/>
      <c r="W7" s="19"/>
      <c r="X7" s="19">
        <v>400</v>
      </c>
      <c r="Y7" s="19">
        <v>4800</v>
      </c>
      <c r="Z7" s="19">
        <v>4800</v>
      </c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>
        <f t="shared" si="0"/>
        <v>500</v>
      </c>
      <c r="AW7" s="19">
        <f t="shared" si="0"/>
        <v>6200</v>
      </c>
      <c r="AX7" s="19">
        <f t="shared" ref="AX7:AX24" si="1">E7+H7+K7+N7+Q7+T7+W7+Z7+AC7+AI7+AL7+AN7</f>
        <v>5696</v>
      </c>
    </row>
    <row r="8" spans="1:50" hidden="1" x14ac:dyDescent="0.5">
      <c r="A8" s="16">
        <v>3</v>
      </c>
      <c r="B8" s="15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>
        <f t="shared" si="1"/>
        <v>0</v>
      </c>
    </row>
    <row r="9" spans="1:50" hidden="1" x14ac:dyDescent="0.5">
      <c r="A9" s="16">
        <v>4</v>
      </c>
      <c r="B9" s="15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>
        <f t="shared" si="1"/>
        <v>0</v>
      </c>
    </row>
    <row r="10" spans="1:50" hidden="1" x14ac:dyDescent="0.5">
      <c r="A10" s="16">
        <v>5</v>
      </c>
      <c r="B10" s="15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>
        <f t="shared" si="1"/>
        <v>0</v>
      </c>
    </row>
    <row r="11" spans="1:50" hidden="1" x14ac:dyDescent="0.5">
      <c r="A11" s="16">
        <v>6</v>
      </c>
      <c r="B11" s="15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>
        <f t="shared" si="1"/>
        <v>0</v>
      </c>
    </row>
    <row r="12" spans="1:50" hidden="1" x14ac:dyDescent="0.5">
      <c r="A12" s="16">
        <v>7</v>
      </c>
      <c r="B12" s="15"/>
      <c r="C12" s="20"/>
      <c r="D12" s="20"/>
      <c r="E12" s="19"/>
      <c r="F12" s="20"/>
      <c r="G12" s="20"/>
      <c r="H12" s="19"/>
      <c r="I12" s="20"/>
      <c r="J12" s="20"/>
      <c r="K12" s="20"/>
      <c r="L12" s="20"/>
      <c r="M12" s="20"/>
      <c r="N12" s="20"/>
      <c r="O12" s="20"/>
      <c r="P12" s="20"/>
      <c r="Q12" s="19"/>
      <c r="R12" s="20"/>
      <c r="S12" s="20"/>
      <c r="T12" s="19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>
        <f t="shared" si="1"/>
        <v>0</v>
      </c>
    </row>
    <row r="13" spans="1:50" hidden="1" x14ac:dyDescent="0.5">
      <c r="A13" s="16">
        <v>8</v>
      </c>
      <c r="B13" s="15"/>
      <c r="C13" s="20"/>
      <c r="D13" s="20"/>
      <c r="E13" s="19"/>
      <c r="F13" s="20"/>
      <c r="G13" s="20"/>
      <c r="H13" s="19"/>
      <c r="I13" s="20"/>
      <c r="J13" s="20"/>
      <c r="K13" s="20"/>
      <c r="L13" s="20"/>
      <c r="M13" s="20"/>
      <c r="N13" s="20"/>
      <c r="O13" s="20"/>
      <c r="P13" s="20"/>
      <c r="Q13" s="19"/>
      <c r="R13" s="20"/>
      <c r="S13" s="20"/>
      <c r="T13" s="19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>
        <f t="shared" si="1"/>
        <v>0</v>
      </c>
    </row>
    <row r="14" spans="1:50" hidden="1" x14ac:dyDescent="0.5">
      <c r="A14" s="16">
        <v>9</v>
      </c>
      <c r="B14" s="15"/>
      <c r="C14" s="20"/>
      <c r="D14" s="20"/>
      <c r="E14" s="19"/>
      <c r="F14" s="20"/>
      <c r="G14" s="20"/>
      <c r="H14" s="19"/>
      <c r="I14" s="20"/>
      <c r="J14" s="20"/>
      <c r="K14" s="20"/>
      <c r="L14" s="20"/>
      <c r="M14" s="20"/>
      <c r="N14" s="20"/>
      <c r="O14" s="20"/>
      <c r="P14" s="20"/>
      <c r="Q14" s="19"/>
      <c r="R14" s="20"/>
      <c r="S14" s="20"/>
      <c r="T14" s="19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>
        <f t="shared" si="1"/>
        <v>0</v>
      </c>
    </row>
    <row r="15" spans="1:50" hidden="1" x14ac:dyDescent="0.5">
      <c r="A15" s="16">
        <v>10</v>
      </c>
      <c r="B15" s="15"/>
      <c r="C15" s="20"/>
      <c r="D15" s="20"/>
      <c r="E15" s="19"/>
      <c r="F15" s="20"/>
      <c r="G15" s="20"/>
      <c r="H15" s="19"/>
      <c r="I15" s="20"/>
      <c r="J15" s="20"/>
      <c r="K15" s="20"/>
      <c r="L15" s="20"/>
      <c r="M15" s="20"/>
      <c r="N15" s="20"/>
      <c r="O15" s="20"/>
      <c r="P15" s="20"/>
      <c r="Q15" s="19"/>
      <c r="R15" s="20"/>
      <c r="S15" s="20"/>
      <c r="T15" s="19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>
        <f t="shared" si="1"/>
        <v>0</v>
      </c>
    </row>
    <row r="16" spans="1:50" hidden="1" x14ac:dyDescent="0.5">
      <c r="A16" s="16">
        <v>11</v>
      </c>
      <c r="B16" s="15"/>
      <c r="C16" s="20"/>
      <c r="D16" s="20"/>
      <c r="E16" s="19"/>
      <c r="F16" s="20"/>
      <c r="G16" s="20"/>
      <c r="H16" s="19"/>
      <c r="I16" s="20"/>
      <c r="J16" s="20"/>
      <c r="K16" s="20"/>
      <c r="L16" s="20"/>
      <c r="M16" s="20"/>
      <c r="N16" s="20"/>
      <c r="O16" s="20"/>
      <c r="P16" s="20"/>
      <c r="Q16" s="19"/>
      <c r="R16" s="20"/>
      <c r="S16" s="20"/>
      <c r="T16" s="19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>
        <f t="shared" si="1"/>
        <v>0</v>
      </c>
    </row>
    <row r="17" spans="1:50" hidden="1" x14ac:dyDescent="0.5">
      <c r="A17" s="16">
        <v>12</v>
      </c>
      <c r="B17" s="15"/>
      <c r="C17" s="20"/>
      <c r="D17" s="20"/>
      <c r="E17" s="19"/>
      <c r="F17" s="20"/>
      <c r="G17" s="20"/>
      <c r="H17" s="19"/>
      <c r="I17" s="20"/>
      <c r="J17" s="20"/>
      <c r="K17" s="20"/>
      <c r="L17" s="20"/>
      <c r="M17" s="20"/>
      <c r="N17" s="20"/>
      <c r="O17" s="20"/>
      <c r="P17" s="20"/>
      <c r="Q17" s="19"/>
      <c r="R17" s="20"/>
      <c r="S17" s="20"/>
      <c r="T17" s="19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>
        <f t="shared" si="1"/>
        <v>0</v>
      </c>
    </row>
    <row r="18" spans="1:50" hidden="1" x14ac:dyDescent="0.5">
      <c r="A18" s="16">
        <v>13</v>
      </c>
      <c r="B18" s="15"/>
      <c r="C18" s="20"/>
      <c r="D18" s="20"/>
      <c r="E18" s="19"/>
      <c r="F18" s="20"/>
      <c r="G18" s="20"/>
      <c r="H18" s="19"/>
      <c r="I18" s="20"/>
      <c r="J18" s="20"/>
      <c r="K18" s="20"/>
      <c r="L18" s="20"/>
      <c r="M18" s="20"/>
      <c r="N18" s="20"/>
      <c r="O18" s="20"/>
      <c r="P18" s="20"/>
      <c r="Q18" s="19"/>
      <c r="R18" s="20"/>
      <c r="S18" s="20"/>
      <c r="T18" s="19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>
        <f t="shared" si="1"/>
        <v>0</v>
      </c>
    </row>
    <row r="19" spans="1:50" hidden="1" x14ac:dyDescent="0.5">
      <c r="A19" s="16">
        <v>14</v>
      </c>
      <c r="B19" s="15"/>
      <c r="C19" s="20"/>
      <c r="D19" s="20"/>
      <c r="E19" s="19"/>
      <c r="F19" s="20"/>
      <c r="G19" s="20"/>
      <c r="H19" s="19"/>
      <c r="I19" s="20"/>
      <c r="J19" s="20"/>
      <c r="K19" s="20"/>
      <c r="L19" s="20"/>
      <c r="M19" s="20"/>
      <c r="N19" s="20"/>
      <c r="O19" s="20"/>
      <c r="P19" s="20"/>
      <c r="Q19" s="19"/>
      <c r="R19" s="20"/>
      <c r="S19" s="20"/>
      <c r="T19" s="19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>
        <f t="shared" si="1"/>
        <v>0</v>
      </c>
    </row>
    <row r="20" spans="1:50" hidden="1" x14ac:dyDescent="0.5">
      <c r="A20" s="16">
        <v>15</v>
      </c>
      <c r="B20" s="15"/>
      <c r="C20" s="20"/>
      <c r="D20" s="20"/>
      <c r="E20" s="19"/>
      <c r="F20" s="20"/>
      <c r="G20" s="20"/>
      <c r="H20" s="19"/>
      <c r="I20" s="20"/>
      <c r="J20" s="20"/>
      <c r="K20" s="20"/>
      <c r="L20" s="20"/>
      <c r="M20" s="20"/>
      <c r="N20" s="20"/>
      <c r="O20" s="20"/>
      <c r="P20" s="20"/>
      <c r="Q20" s="19"/>
      <c r="R20" s="20"/>
      <c r="S20" s="20"/>
      <c r="T20" s="19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>
        <f t="shared" si="1"/>
        <v>0</v>
      </c>
    </row>
    <row r="21" spans="1:50" hidden="1" x14ac:dyDescent="0.5">
      <c r="A21" s="16">
        <v>16</v>
      </c>
      <c r="B21" s="15"/>
      <c r="C21" s="20"/>
      <c r="D21" s="20"/>
      <c r="E21" s="19"/>
      <c r="F21" s="20"/>
      <c r="G21" s="20"/>
      <c r="H21" s="19"/>
      <c r="I21" s="20"/>
      <c r="J21" s="20"/>
      <c r="K21" s="20"/>
      <c r="L21" s="20"/>
      <c r="M21" s="20"/>
      <c r="N21" s="20"/>
      <c r="O21" s="20"/>
      <c r="P21" s="20"/>
      <c r="Q21" s="19"/>
      <c r="R21" s="20"/>
      <c r="S21" s="20"/>
      <c r="T21" s="19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>
        <f t="shared" si="1"/>
        <v>0</v>
      </c>
    </row>
    <row r="22" spans="1:50" hidden="1" x14ac:dyDescent="0.5">
      <c r="A22" s="16">
        <v>17</v>
      </c>
      <c r="B22" s="15"/>
      <c r="C22" s="20"/>
      <c r="D22" s="20"/>
      <c r="E22" s="19"/>
      <c r="F22" s="20"/>
      <c r="G22" s="20"/>
      <c r="H22" s="19"/>
      <c r="I22" s="20"/>
      <c r="J22" s="20"/>
      <c r="K22" s="20"/>
      <c r="L22" s="20"/>
      <c r="M22" s="20"/>
      <c r="N22" s="20"/>
      <c r="O22" s="20"/>
      <c r="P22" s="20"/>
      <c r="Q22" s="19"/>
      <c r="R22" s="20"/>
      <c r="S22" s="20"/>
      <c r="T22" s="19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>
        <f t="shared" si="1"/>
        <v>0</v>
      </c>
    </row>
    <row r="23" spans="1:50" hidden="1" x14ac:dyDescent="0.5">
      <c r="A23" s="16">
        <v>18</v>
      </c>
      <c r="B23" s="15"/>
      <c r="C23" s="20"/>
      <c r="D23" s="20"/>
      <c r="E23" s="19"/>
      <c r="F23" s="20"/>
      <c r="G23" s="20"/>
      <c r="H23" s="19"/>
      <c r="I23" s="20"/>
      <c r="J23" s="20"/>
      <c r="K23" s="20"/>
      <c r="L23" s="20"/>
      <c r="M23" s="20"/>
      <c r="N23" s="20"/>
      <c r="O23" s="20"/>
      <c r="P23" s="20"/>
      <c r="Q23" s="19"/>
      <c r="R23" s="20"/>
      <c r="S23" s="20"/>
      <c r="T23" s="19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>
        <f t="shared" si="1"/>
        <v>0</v>
      </c>
    </row>
    <row r="24" spans="1:50" hidden="1" x14ac:dyDescent="0.5">
      <c r="A24" s="16">
        <v>19</v>
      </c>
      <c r="B24" s="15"/>
      <c r="C24" s="20"/>
      <c r="D24" s="20"/>
      <c r="E24" s="19"/>
      <c r="F24" s="20"/>
      <c r="G24" s="20"/>
      <c r="H24" s="19"/>
      <c r="I24" s="20"/>
      <c r="J24" s="20"/>
      <c r="K24" s="20"/>
      <c r="L24" s="20"/>
      <c r="M24" s="20"/>
      <c r="N24" s="20"/>
      <c r="O24" s="20"/>
      <c r="P24" s="20"/>
      <c r="Q24" s="19"/>
      <c r="R24" s="20"/>
      <c r="S24" s="20"/>
      <c r="T24" s="19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>
        <f t="shared" si="1"/>
        <v>0</v>
      </c>
    </row>
    <row r="25" spans="1:50" hidden="1" x14ac:dyDescent="0.5">
      <c r="A25" s="388">
        <v>20</v>
      </c>
      <c r="B25" s="389"/>
      <c r="C25" s="390"/>
      <c r="D25" s="390"/>
      <c r="E25" s="391"/>
      <c r="F25" s="390"/>
      <c r="G25" s="390"/>
      <c r="H25" s="391"/>
      <c r="I25" s="390"/>
      <c r="J25" s="390"/>
      <c r="K25" s="390"/>
      <c r="L25" s="390"/>
      <c r="M25" s="390"/>
      <c r="N25" s="390"/>
      <c r="O25" s="390"/>
      <c r="P25" s="390"/>
      <c r="Q25" s="391"/>
      <c r="R25" s="390"/>
      <c r="S25" s="390"/>
      <c r="T25" s="391"/>
      <c r="U25" s="390"/>
      <c r="V25" s="390"/>
      <c r="W25" s="390"/>
      <c r="X25" s="390"/>
      <c r="Y25" s="390"/>
      <c r="Z25" s="390"/>
      <c r="AA25" s="20"/>
      <c r="AB25" s="20"/>
      <c r="AC25" s="20"/>
      <c r="AD25" s="20"/>
      <c r="AE25" s="20"/>
      <c r="AF25" s="20"/>
      <c r="AG25" s="20"/>
      <c r="AH25" s="20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>
        <f>E25+H25+K25+N25+Q25+T25+W25+Z25+AC25+AI25+AL25+AO25+AR25+AU25</f>
        <v>0</v>
      </c>
    </row>
    <row r="26" spans="1:50" hidden="1" x14ac:dyDescent="0.5">
      <c r="A26" s="14"/>
      <c r="B26" s="13"/>
      <c r="C26" s="394"/>
      <c r="D26" s="394"/>
      <c r="E26" s="183"/>
      <c r="F26" s="394"/>
      <c r="G26" s="394"/>
      <c r="H26" s="183"/>
      <c r="I26" s="394"/>
      <c r="J26" s="394"/>
      <c r="K26" s="394"/>
      <c r="L26" s="394"/>
      <c r="M26" s="394"/>
      <c r="N26" s="394"/>
      <c r="O26" s="394"/>
      <c r="P26" s="394"/>
      <c r="Q26" s="183"/>
      <c r="R26" s="394"/>
      <c r="S26" s="394"/>
      <c r="T26" s="183"/>
      <c r="U26" s="394"/>
      <c r="V26" s="394"/>
      <c r="W26" s="394"/>
      <c r="X26" s="394"/>
      <c r="Y26" s="394"/>
      <c r="Z26" s="395"/>
      <c r="AA26" s="20"/>
      <c r="AB26" s="20"/>
      <c r="AC26" s="20"/>
      <c r="AD26" s="20"/>
      <c r="AE26" s="20"/>
      <c r="AF26" s="20"/>
      <c r="AG26" s="20"/>
      <c r="AH26" s="20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387">
        <f>SUM(AV6:AV25)</f>
        <v>600</v>
      </c>
      <c r="AW26" s="387">
        <f t="shared" ref="AW26:AX26" si="2">SUM(AW6:AW25)</f>
        <v>7400</v>
      </c>
      <c r="AX26" s="387">
        <f t="shared" si="2"/>
        <v>6896</v>
      </c>
    </row>
    <row r="27" spans="1:50" hidden="1" x14ac:dyDescent="0.5">
      <c r="A27" s="277">
        <v>22</v>
      </c>
      <c r="B27" s="278"/>
      <c r="C27" s="392"/>
      <c r="D27" s="392"/>
      <c r="E27" s="393"/>
      <c r="F27" s="392"/>
      <c r="G27" s="392"/>
      <c r="H27" s="393"/>
      <c r="I27" s="392"/>
      <c r="J27" s="392"/>
      <c r="K27" s="392"/>
      <c r="L27" s="392"/>
      <c r="M27" s="392"/>
      <c r="N27" s="392"/>
      <c r="O27" s="392"/>
      <c r="P27" s="392"/>
      <c r="Q27" s="393"/>
      <c r="R27" s="392"/>
      <c r="S27" s="392"/>
      <c r="T27" s="393"/>
      <c r="U27" s="392"/>
      <c r="V27" s="392"/>
      <c r="W27" s="392"/>
      <c r="X27" s="392"/>
      <c r="Y27" s="392"/>
      <c r="Z27" s="392"/>
      <c r="AA27" s="20"/>
      <c r="AB27" s="20"/>
      <c r="AC27" s="20"/>
      <c r="AD27" s="20"/>
      <c r="AE27" s="20"/>
      <c r="AF27" s="20"/>
      <c r="AG27" s="20"/>
      <c r="AH27" s="20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>
        <f>C27+F27+I27+L27+O27+R27+U27+X27+AA27+AG27+AJ27+AM27</f>
        <v>0</v>
      </c>
      <c r="AW27" s="19">
        <f>D27+G27+J27+M27+P27+S27+V27+Y27+AB27+AH27+AK27+AN27</f>
        <v>0</v>
      </c>
      <c r="AX27" s="19">
        <f>E27+H27+K27+N27+Q27+T27+W27+Z27+AC27+AI27+AL27+AN27</f>
        <v>0</v>
      </c>
    </row>
    <row r="28" spans="1:50" hidden="1" x14ac:dyDescent="0.5">
      <c r="A28" s="14"/>
      <c r="B28" s="13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8">
        <f>SUM(AA6:AA13)</f>
        <v>0</v>
      </c>
      <c r="AB28" s="18">
        <f>SUM(AB6:AB13)</f>
        <v>0</v>
      </c>
      <c r="AV28" s="182">
        <f>SUM(AV6:AV27)</f>
        <v>1200</v>
      </c>
      <c r="AW28" s="182">
        <f>SUM(AW6:AW27)</f>
        <v>14800</v>
      </c>
      <c r="AX28" s="182">
        <f t="shared" ref="AX28" si="3">SUM(AX6:AX27)</f>
        <v>13792</v>
      </c>
    </row>
    <row r="29" spans="1:50" hidden="1" x14ac:dyDescent="0.5"/>
    <row r="30" spans="1:50" hidden="1" x14ac:dyDescent="0.5"/>
    <row r="31" spans="1:50" hidden="1" x14ac:dyDescent="0.5">
      <c r="A31" s="550" t="s">
        <v>369</v>
      </c>
      <c r="B31" s="550"/>
      <c r="C31" s="550"/>
      <c r="D31" s="550"/>
      <c r="E31" s="550"/>
      <c r="F31" s="550"/>
    </row>
    <row r="32" spans="1:50" hidden="1" x14ac:dyDescent="0.5">
      <c r="A32" s="550"/>
      <c r="B32" s="550"/>
      <c r="C32" s="550"/>
      <c r="D32" s="550"/>
      <c r="E32" s="550"/>
      <c r="F32" s="550"/>
    </row>
    <row r="33" spans="1:50" hidden="1" x14ac:dyDescent="0.5">
      <c r="A33" s="551" t="s">
        <v>118</v>
      </c>
      <c r="B33" s="552" t="s">
        <v>135</v>
      </c>
      <c r="C33" s="553"/>
      <c r="D33" s="553"/>
      <c r="E33" s="553"/>
      <c r="F33" s="553"/>
      <c r="G33" s="553"/>
      <c r="H33" s="553"/>
      <c r="I33" s="553"/>
      <c r="J33" s="553"/>
      <c r="K33" s="553"/>
      <c r="L33" s="553"/>
      <c r="M33" s="553"/>
      <c r="N33" s="553"/>
      <c r="O33" s="553"/>
      <c r="P33" s="553"/>
      <c r="Q33" s="553"/>
      <c r="R33" s="553"/>
      <c r="S33" s="553"/>
      <c r="T33" s="553"/>
      <c r="U33" s="553"/>
      <c r="V33" s="553"/>
      <c r="W33" s="553"/>
      <c r="X33" s="553"/>
      <c r="Y33" s="553"/>
      <c r="Z33" s="553"/>
      <c r="AA33" s="553"/>
      <c r="AB33" s="553"/>
      <c r="AC33" s="553"/>
      <c r="AD33" s="553"/>
      <c r="AE33" s="553"/>
      <c r="AF33" s="553"/>
      <c r="AG33" s="553"/>
      <c r="AH33" s="553"/>
      <c r="AI33" s="553"/>
      <c r="AJ33" s="553"/>
      <c r="AK33" s="553"/>
      <c r="AL33" s="553"/>
      <c r="AM33" s="553"/>
      <c r="AN33" s="553"/>
      <c r="AO33" s="553"/>
      <c r="AP33" s="553"/>
      <c r="AQ33" s="553"/>
      <c r="AR33" s="553"/>
      <c r="AS33" s="553"/>
      <c r="AT33" s="553"/>
      <c r="AU33" s="553"/>
      <c r="AV33" s="553"/>
      <c r="AW33" s="553"/>
      <c r="AX33" s="553"/>
    </row>
    <row r="34" spans="1:50" hidden="1" x14ac:dyDescent="0.5">
      <c r="A34" s="551"/>
      <c r="B34" s="552"/>
      <c r="C34" s="554" t="s">
        <v>134</v>
      </c>
      <c r="D34" s="555"/>
      <c r="E34" s="556"/>
      <c r="F34" s="557" t="s">
        <v>133</v>
      </c>
      <c r="G34" s="557"/>
      <c r="H34" s="557"/>
      <c r="I34" s="557" t="s">
        <v>132</v>
      </c>
      <c r="J34" s="557"/>
      <c r="K34" s="557"/>
      <c r="L34" s="557" t="s">
        <v>131</v>
      </c>
      <c r="M34" s="557"/>
      <c r="N34" s="557"/>
      <c r="O34" s="557" t="s">
        <v>130</v>
      </c>
      <c r="P34" s="557"/>
      <c r="Q34" s="557"/>
      <c r="R34" s="557" t="s">
        <v>129</v>
      </c>
      <c r="S34" s="557"/>
      <c r="T34" s="557"/>
      <c r="U34" s="558" t="s">
        <v>128</v>
      </c>
      <c r="V34" s="559"/>
      <c r="W34" s="560"/>
      <c r="X34" s="557" t="s">
        <v>127</v>
      </c>
      <c r="Y34" s="557"/>
      <c r="Z34" s="557"/>
      <c r="AA34" s="557" t="s">
        <v>126</v>
      </c>
      <c r="AB34" s="557"/>
      <c r="AC34" s="557"/>
      <c r="AD34" s="177"/>
      <c r="AE34" s="177"/>
      <c r="AF34" s="177"/>
      <c r="AG34" s="557" t="s">
        <v>125</v>
      </c>
      <c r="AH34" s="557"/>
      <c r="AI34" s="557"/>
      <c r="AJ34" s="557" t="s">
        <v>124</v>
      </c>
      <c r="AK34" s="557"/>
      <c r="AL34" s="557"/>
      <c r="AM34" s="557" t="s">
        <v>123</v>
      </c>
      <c r="AN34" s="557"/>
      <c r="AO34" s="177"/>
      <c r="AP34" s="557" t="s">
        <v>367</v>
      </c>
      <c r="AQ34" s="557"/>
      <c r="AR34" s="177"/>
      <c r="AS34" s="557" t="s">
        <v>368</v>
      </c>
      <c r="AT34" s="557"/>
      <c r="AU34" s="177"/>
      <c r="AV34" s="557" t="s">
        <v>122</v>
      </c>
      <c r="AW34" s="557"/>
      <c r="AX34" s="557"/>
    </row>
    <row r="35" spans="1:50" hidden="1" x14ac:dyDescent="0.5">
      <c r="A35" s="551"/>
      <c r="B35" s="552"/>
      <c r="C35" s="17" t="s">
        <v>109</v>
      </c>
      <c r="D35" s="17" t="s">
        <v>108</v>
      </c>
      <c r="E35" s="17" t="s">
        <v>348</v>
      </c>
      <c r="F35" s="17" t="s">
        <v>109</v>
      </c>
      <c r="G35" s="17" t="s">
        <v>108</v>
      </c>
      <c r="H35" s="17" t="s">
        <v>348</v>
      </c>
      <c r="I35" s="17" t="s">
        <v>109</v>
      </c>
      <c r="J35" s="17" t="s">
        <v>108</v>
      </c>
      <c r="K35" s="17" t="s">
        <v>348</v>
      </c>
      <c r="L35" s="17" t="s">
        <v>109</v>
      </c>
      <c r="M35" s="17" t="s">
        <v>108</v>
      </c>
      <c r="N35" s="17" t="s">
        <v>348</v>
      </c>
      <c r="O35" s="17" t="s">
        <v>109</v>
      </c>
      <c r="P35" s="17" t="s">
        <v>108</v>
      </c>
      <c r="Q35" s="17" t="s">
        <v>348</v>
      </c>
      <c r="R35" s="17" t="s">
        <v>109</v>
      </c>
      <c r="S35" s="17" t="s">
        <v>108</v>
      </c>
      <c r="T35" s="17" t="s">
        <v>348</v>
      </c>
      <c r="U35" s="17" t="s">
        <v>109</v>
      </c>
      <c r="V35" s="17" t="s">
        <v>108</v>
      </c>
      <c r="W35" s="17" t="s">
        <v>348</v>
      </c>
      <c r="X35" s="17" t="s">
        <v>109</v>
      </c>
      <c r="Y35" s="17" t="s">
        <v>108</v>
      </c>
      <c r="Z35" s="17" t="s">
        <v>348</v>
      </c>
      <c r="AA35" s="17" t="s">
        <v>109</v>
      </c>
      <c r="AB35" s="17" t="s">
        <v>108</v>
      </c>
      <c r="AC35" s="17" t="s">
        <v>348</v>
      </c>
      <c r="AD35" s="17"/>
      <c r="AE35" s="17"/>
      <c r="AF35" s="17"/>
      <c r="AG35" s="17" t="s">
        <v>109</v>
      </c>
      <c r="AH35" s="17" t="s">
        <v>108</v>
      </c>
      <c r="AI35" s="17" t="s">
        <v>348</v>
      </c>
      <c r="AJ35" s="17" t="s">
        <v>109</v>
      </c>
      <c r="AK35" s="17" t="s">
        <v>108</v>
      </c>
      <c r="AL35" s="17" t="s">
        <v>348</v>
      </c>
      <c r="AM35" s="17" t="s">
        <v>109</v>
      </c>
      <c r="AN35" s="17" t="s">
        <v>108</v>
      </c>
      <c r="AO35" s="17" t="s">
        <v>348</v>
      </c>
      <c r="AP35" s="17" t="s">
        <v>109</v>
      </c>
      <c r="AQ35" s="17" t="s">
        <v>108</v>
      </c>
      <c r="AR35" s="17" t="s">
        <v>348</v>
      </c>
      <c r="AS35" s="17" t="s">
        <v>109</v>
      </c>
      <c r="AT35" s="17" t="s">
        <v>108</v>
      </c>
      <c r="AU35" s="17" t="s">
        <v>348</v>
      </c>
      <c r="AV35" s="17" t="s">
        <v>109</v>
      </c>
      <c r="AW35" s="17" t="s">
        <v>108</v>
      </c>
      <c r="AX35" s="17" t="s">
        <v>348</v>
      </c>
    </row>
    <row r="36" spans="1:50" ht="20.100000000000001" hidden="1" customHeight="1" x14ac:dyDescent="0.5">
      <c r="A36" s="16">
        <v>1</v>
      </c>
      <c r="B36" s="15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>
        <f>E36+H36+K36+N36+Q36+T36+W36+Z36+AC36+AI36+AL36+AO36+AR36+AU36</f>
        <v>0</v>
      </c>
    </row>
    <row r="37" spans="1:50" ht="20.100000000000001" hidden="1" customHeight="1" x14ac:dyDescent="0.5">
      <c r="A37" s="16">
        <v>2</v>
      </c>
      <c r="B37" s="15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21"/>
      <c r="P37" s="178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>
        <f t="shared" ref="AX37:AX42" si="4">E37+H37+K37+N37+Q37+T37+W37+Z37+AC37+AI37+AL37+AN37</f>
        <v>0</v>
      </c>
    </row>
    <row r="38" spans="1:50" ht="20.100000000000001" hidden="1" customHeight="1" x14ac:dyDescent="0.5">
      <c r="A38" s="16">
        <v>3</v>
      </c>
      <c r="B38" s="15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>
        <f t="shared" si="4"/>
        <v>0</v>
      </c>
    </row>
    <row r="39" spans="1:50" ht="20.100000000000001" hidden="1" customHeight="1" x14ac:dyDescent="0.5">
      <c r="A39" s="16">
        <v>4</v>
      </c>
      <c r="B39" s="15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>
        <f t="shared" si="4"/>
        <v>0</v>
      </c>
    </row>
    <row r="40" spans="1:50" ht="20.100000000000001" hidden="1" customHeight="1" x14ac:dyDescent="0.5">
      <c r="A40" s="16">
        <v>5</v>
      </c>
      <c r="B40" s="15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>
        <f t="shared" si="4"/>
        <v>0</v>
      </c>
    </row>
    <row r="41" spans="1:50" ht="20.100000000000001" hidden="1" customHeight="1" x14ac:dyDescent="0.5">
      <c r="A41" s="16">
        <v>6</v>
      </c>
      <c r="B41" s="15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>
        <f t="shared" si="4"/>
        <v>0</v>
      </c>
    </row>
    <row r="42" spans="1:50" ht="20.100000000000001" hidden="1" customHeight="1" x14ac:dyDescent="0.5">
      <c r="A42" s="16">
        <v>7</v>
      </c>
      <c r="B42" s="15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>
        <f t="shared" si="4"/>
        <v>0</v>
      </c>
    </row>
    <row r="43" spans="1:50" ht="20.100000000000001" hidden="1" customHeight="1" x14ac:dyDescent="0.5">
      <c r="A43" s="16">
        <v>8</v>
      </c>
      <c r="B43" s="15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</row>
    <row r="44" spans="1:50" ht="20.100000000000001" hidden="1" customHeight="1" x14ac:dyDescent="0.5">
      <c r="A44" s="16">
        <v>9</v>
      </c>
      <c r="B44" s="15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</row>
    <row r="45" spans="1:50" ht="20.100000000000001" hidden="1" customHeight="1" x14ac:dyDescent="0.5">
      <c r="A45" s="16">
        <v>8</v>
      </c>
      <c r="B45" s="15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>
        <f t="shared" ref="AX45:AX59" si="5">E45+H45+K45+N45+Q45+T45+W45+Z45+AC45+AI45+AL45+AN45</f>
        <v>0</v>
      </c>
    </row>
    <row r="46" spans="1:50" ht="20.100000000000001" hidden="1" customHeight="1" x14ac:dyDescent="0.5">
      <c r="A46" s="16">
        <v>7</v>
      </c>
      <c r="B46" s="15"/>
      <c r="C46" s="20"/>
      <c r="D46" s="20"/>
      <c r="E46" s="19"/>
      <c r="F46" s="20"/>
      <c r="G46" s="20"/>
      <c r="H46" s="19"/>
      <c r="I46" s="20"/>
      <c r="J46" s="20"/>
      <c r="K46" s="20"/>
      <c r="L46" s="20"/>
      <c r="M46" s="20"/>
      <c r="N46" s="20"/>
      <c r="O46" s="20"/>
      <c r="P46" s="20"/>
      <c r="Q46" s="19"/>
      <c r="R46" s="20"/>
      <c r="S46" s="20"/>
      <c r="T46" s="19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>
        <f t="shared" si="5"/>
        <v>0</v>
      </c>
    </row>
    <row r="47" spans="1:50" ht="20.100000000000001" hidden="1" customHeight="1" x14ac:dyDescent="0.5">
      <c r="A47" s="16">
        <v>8</v>
      </c>
      <c r="B47" s="15"/>
      <c r="C47" s="20"/>
      <c r="D47" s="20"/>
      <c r="E47" s="19"/>
      <c r="F47" s="20"/>
      <c r="G47" s="20"/>
      <c r="H47" s="19"/>
      <c r="I47" s="20"/>
      <c r="J47" s="20"/>
      <c r="K47" s="20"/>
      <c r="L47" s="20"/>
      <c r="M47" s="20"/>
      <c r="N47" s="20"/>
      <c r="O47" s="20"/>
      <c r="P47" s="20"/>
      <c r="Q47" s="19"/>
      <c r="R47" s="20"/>
      <c r="S47" s="20"/>
      <c r="T47" s="19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>
        <f t="shared" si="5"/>
        <v>0</v>
      </c>
    </row>
    <row r="48" spans="1:50" ht="20.100000000000001" hidden="1" customHeight="1" x14ac:dyDescent="0.5">
      <c r="A48" s="16">
        <v>9</v>
      </c>
      <c r="B48" s="15"/>
      <c r="C48" s="20"/>
      <c r="D48" s="20"/>
      <c r="E48" s="19"/>
      <c r="F48" s="20"/>
      <c r="G48" s="20"/>
      <c r="H48" s="19"/>
      <c r="I48" s="20"/>
      <c r="J48" s="20"/>
      <c r="K48" s="20"/>
      <c r="L48" s="20"/>
      <c r="M48" s="20"/>
      <c r="N48" s="20"/>
      <c r="O48" s="20"/>
      <c r="P48" s="20"/>
      <c r="Q48" s="19"/>
      <c r="R48" s="20"/>
      <c r="S48" s="20"/>
      <c r="T48" s="19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>
        <f t="shared" si="5"/>
        <v>0</v>
      </c>
    </row>
    <row r="49" spans="1:50" ht="20.100000000000001" hidden="1" customHeight="1" x14ac:dyDescent="0.5">
      <c r="A49" s="16">
        <v>10</v>
      </c>
      <c r="B49" s="15"/>
      <c r="C49" s="20"/>
      <c r="D49" s="20"/>
      <c r="E49" s="19"/>
      <c r="F49" s="20"/>
      <c r="G49" s="20"/>
      <c r="H49" s="19"/>
      <c r="I49" s="20"/>
      <c r="J49" s="20"/>
      <c r="K49" s="20"/>
      <c r="L49" s="20"/>
      <c r="M49" s="20"/>
      <c r="N49" s="20"/>
      <c r="O49" s="20"/>
      <c r="P49" s="20"/>
      <c r="Q49" s="19"/>
      <c r="R49" s="20"/>
      <c r="S49" s="20"/>
      <c r="T49" s="19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>
        <f t="shared" si="5"/>
        <v>0</v>
      </c>
    </row>
    <row r="50" spans="1:50" ht="20.100000000000001" hidden="1" customHeight="1" x14ac:dyDescent="0.5">
      <c r="A50" s="16">
        <v>11</v>
      </c>
      <c r="B50" s="15"/>
      <c r="C50" s="20"/>
      <c r="D50" s="20"/>
      <c r="E50" s="19"/>
      <c r="F50" s="20"/>
      <c r="G50" s="20"/>
      <c r="H50" s="19"/>
      <c r="I50" s="20"/>
      <c r="J50" s="20"/>
      <c r="K50" s="20"/>
      <c r="L50" s="20"/>
      <c r="M50" s="20"/>
      <c r="N50" s="20"/>
      <c r="O50" s="20"/>
      <c r="P50" s="20"/>
      <c r="Q50" s="19"/>
      <c r="R50" s="20"/>
      <c r="S50" s="20"/>
      <c r="T50" s="19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>
        <f t="shared" si="5"/>
        <v>0</v>
      </c>
    </row>
    <row r="51" spans="1:50" ht="20.100000000000001" hidden="1" customHeight="1" x14ac:dyDescent="0.5">
      <c r="A51" s="16">
        <v>12</v>
      </c>
      <c r="B51" s="15"/>
      <c r="C51" s="20"/>
      <c r="D51" s="20"/>
      <c r="E51" s="19"/>
      <c r="F51" s="20"/>
      <c r="G51" s="20"/>
      <c r="H51" s="19"/>
      <c r="I51" s="20"/>
      <c r="J51" s="20"/>
      <c r="K51" s="20"/>
      <c r="L51" s="20"/>
      <c r="M51" s="20"/>
      <c r="N51" s="20"/>
      <c r="O51" s="20"/>
      <c r="P51" s="20"/>
      <c r="Q51" s="19"/>
      <c r="R51" s="20"/>
      <c r="S51" s="20"/>
      <c r="T51" s="19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>
        <f t="shared" si="5"/>
        <v>0</v>
      </c>
    </row>
    <row r="52" spans="1:50" ht="20.100000000000001" hidden="1" customHeight="1" x14ac:dyDescent="0.5">
      <c r="A52" s="16">
        <v>13</v>
      </c>
      <c r="B52" s="15"/>
      <c r="C52" s="20"/>
      <c r="D52" s="20"/>
      <c r="E52" s="19"/>
      <c r="F52" s="20"/>
      <c r="G52" s="20"/>
      <c r="H52" s="19"/>
      <c r="I52" s="20"/>
      <c r="J52" s="20"/>
      <c r="K52" s="20"/>
      <c r="L52" s="20"/>
      <c r="M52" s="20"/>
      <c r="N52" s="20"/>
      <c r="O52" s="20"/>
      <c r="P52" s="20"/>
      <c r="Q52" s="19"/>
      <c r="R52" s="20"/>
      <c r="S52" s="20"/>
      <c r="T52" s="19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>
        <f t="shared" si="5"/>
        <v>0</v>
      </c>
    </row>
    <row r="53" spans="1:50" ht="20.100000000000001" hidden="1" customHeight="1" x14ac:dyDescent="0.5">
      <c r="A53" s="16">
        <v>14</v>
      </c>
      <c r="B53" s="15"/>
      <c r="C53" s="20"/>
      <c r="D53" s="20"/>
      <c r="E53" s="19"/>
      <c r="F53" s="20"/>
      <c r="G53" s="20"/>
      <c r="H53" s="19"/>
      <c r="I53" s="20"/>
      <c r="J53" s="20"/>
      <c r="K53" s="20"/>
      <c r="L53" s="20"/>
      <c r="M53" s="20"/>
      <c r="N53" s="20"/>
      <c r="O53" s="20"/>
      <c r="P53" s="20"/>
      <c r="Q53" s="19"/>
      <c r="R53" s="20"/>
      <c r="S53" s="20"/>
      <c r="T53" s="19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>
        <f t="shared" si="5"/>
        <v>0</v>
      </c>
    </row>
    <row r="54" spans="1:50" ht="20.100000000000001" hidden="1" customHeight="1" x14ac:dyDescent="0.5">
      <c r="A54" s="16">
        <v>15</v>
      </c>
      <c r="B54" s="15"/>
      <c r="C54" s="20"/>
      <c r="D54" s="20"/>
      <c r="E54" s="19"/>
      <c r="F54" s="20"/>
      <c r="G54" s="20"/>
      <c r="H54" s="19"/>
      <c r="I54" s="20"/>
      <c r="J54" s="20"/>
      <c r="K54" s="20"/>
      <c r="L54" s="20"/>
      <c r="M54" s="20"/>
      <c r="N54" s="20"/>
      <c r="O54" s="20"/>
      <c r="P54" s="20"/>
      <c r="Q54" s="19"/>
      <c r="R54" s="20"/>
      <c r="S54" s="20"/>
      <c r="T54" s="19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>
        <f t="shared" si="5"/>
        <v>0</v>
      </c>
    </row>
    <row r="55" spans="1:50" hidden="1" x14ac:dyDescent="0.5">
      <c r="A55" s="16">
        <v>16</v>
      </c>
      <c r="B55" s="15"/>
      <c r="C55" s="20"/>
      <c r="D55" s="20"/>
      <c r="E55" s="19"/>
      <c r="F55" s="20"/>
      <c r="G55" s="20"/>
      <c r="H55" s="19"/>
      <c r="I55" s="20"/>
      <c r="J55" s="20"/>
      <c r="K55" s="20"/>
      <c r="L55" s="20"/>
      <c r="M55" s="20"/>
      <c r="N55" s="20"/>
      <c r="O55" s="20"/>
      <c r="P55" s="20"/>
      <c r="Q55" s="19"/>
      <c r="R55" s="20"/>
      <c r="S55" s="20"/>
      <c r="T55" s="19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>
        <f t="shared" si="5"/>
        <v>0</v>
      </c>
    </row>
    <row r="56" spans="1:50" hidden="1" x14ac:dyDescent="0.5">
      <c r="A56" s="16">
        <v>17</v>
      </c>
      <c r="B56" s="15"/>
      <c r="C56" s="20"/>
      <c r="D56" s="20"/>
      <c r="E56" s="19"/>
      <c r="F56" s="20"/>
      <c r="G56" s="20"/>
      <c r="H56" s="19"/>
      <c r="I56" s="20"/>
      <c r="J56" s="20"/>
      <c r="K56" s="20"/>
      <c r="L56" s="20"/>
      <c r="M56" s="20"/>
      <c r="N56" s="20"/>
      <c r="O56" s="20"/>
      <c r="P56" s="20"/>
      <c r="Q56" s="19"/>
      <c r="R56" s="20"/>
      <c r="S56" s="20"/>
      <c r="T56" s="19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>
        <f t="shared" si="5"/>
        <v>0</v>
      </c>
    </row>
    <row r="57" spans="1:50" hidden="1" x14ac:dyDescent="0.5">
      <c r="A57" s="16">
        <v>18</v>
      </c>
      <c r="B57" s="15"/>
      <c r="C57" s="20"/>
      <c r="D57" s="20"/>
      <c r="E57" s="19"/>
      <c r="F57" s="20"/>
      <c r="G57" s="20"/>
      <c r="H57" s="19"/>
      <c r="I57" s="20"/>
      <c r="J57" s="20"/>
      <c r="K57" s="20"/>
      <c r="L57" s="20"/>
      <c r="M57" s="20"/>
      <c r="N57" s="20"/>
      <c r="O57" s="20"/>
      <c r="P57" s="20"/>
      <c r="Q57" s="19"/>
      <c r="R57" s="20"/>
      <c r="S57" s="20"/>
      <c r="T57" s="19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>
        <f t="shared" si="5"/>
        <v>0</v>
      </c>
    </row>
    <row r="58" spans="1:50" hidden="1" x14ac:dyDescent="0.5">
      <c r="A58" s="16">
        <v>19</v>
      </c>
      <c r="B58" s="15"/>
      <c r="C58" s="20"/>
      <c r="D58" s="20"/>
      <c r="E58" s="19"/>
      <c r="F58" s="20"/>
      <c r="G58" s="20"/>
      <c r="H58" s="19"/>
      <c r="I58" s="20"/>
      <c r="J58" s="20"/>
      <c r="K58" s="20"/>
      <c r="L58" s="20"/>
      <c r="M58" s="20"/>
      <c r="N58" s="20"/>
      <c r="O58" s="20"/>
      <c r="P58" s="20"/>
      <c r="Q58" s="19"/>
      <c r="R58" s="20"/>
      <c r="S58" s="20"/>
      <c r="T58" s="19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>
        <f t="shared" si="5"/>
        <v>0</v>
      </c>
    </row>
    <row r="59" spans="1:50" hidden="1" x14ac:dyDescent="0.5">
      <c r="A59" s="16">
        <v>20</v>
      </c>
      <c r="B59" s="15"/>
      <c r="C59" s="20"/>
      <c r="D59" s="20"/>
      <c r="E59" s="19"/>
      <c r="F59" s="20"/>
      <c r="G59" s="20"/>
      <c r="H59" s="19"/>
      <c r="I59" s="20"/>
      <c r="J59" s="20"/>
      <c r="K59" s="20"/>
      <c r="L59" s="20"/>
      <c r="M59" s="20"/>
      <c r="N59" s="20"/>
      <c r="O59" s="20"/>
      <c r="P59" s="20"/>
      <c r="Q59" s="19"/>
      <c r="R59" s="20"/>
      <c r="S59" s="20"/>
      <c r="T59" s="19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>
        <f t="shared" si="5"/>
        <v>0</v>
      </c>
    </row>
    <row r="60" spans="1:50" hidden="1" x14ac:dyDescent="0.5">
      <c r="A60" s="16">
        <v>21</v>
      </c>
      <c r="B60" s="15"/>
      <c r="C60" s="20"/>
      <c r="D60" s="20"/>
      <c r="E60" s="19"/>
      <c r="F60" s="20"/>
      <c r="G60" s="20"/>
      <c r="H60" s="19"/>
      <c r="I60" s="20"/>
      <c r="J60" s="20"/>
      <c r="K60" s="20"/>
      <c r="L60" s="20"/>
      <c r="M60" s="20"/>
      <c r="N60" s="20"/>
      <c r="O60" s="20"/>
      <c r="P60" s="20"/>
      <c r="Q60" s="19"/>
      <c r="R60" s="20"/>
      <c r="S60" s="20"/>
      <c r="T60" s="19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>
        <f>E60+H60+K60+N60+Q60+T60+W60+Z60+AC60+AI60+AL60+AO60+AR60+AU60</f>
        <v>0</v>
      </c>
    </row>
    <row r="61" spans="1:50" hidden="1" x14ac:dyDescent="0.5">
      <c r="A61" s="16">
        <v>22</v>
      </c>
      <c r="B61" s="15"/>
      <c r="C61" s="20"/>
      <c r="D61" s="20"/>
      <c r="E61" s="19"/>
      <c r="F61" s="20"/>
      <c r="G61" s="20"/>
      <c r="H61" s="19"/>
      <c r="I61" s="20"/>
      <c r="J61" s="20"/>
      <c r="K61" s="20"/>
      <c r="L61" s="20"/>
      <c r="M61" s="20"/>
      <c r="N61" s="20"/>
      <c r="O61" s="20"/>
      <c r="P61" s="20"/>
      <c r="Q61" s="19"/>
      <c r="R61" s="20"/>
      <c r="S61" s="20"/>
      <c r="T61" s="19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>
        <f t="shared" ref="AV61:AX62" si="6">C61+F61+I61+L61+O61+R61+U61+X61+AA61+AG61+AJ61+AM61+AP61+AS61</f>
        <v>0</v>
      </c>
      <c r="AW61" s="19">
        <f t="shared" si="6"/>
        <v>0</v>
      </c>
      <c r="AX61" s="19">
        <f t="shared" si="6"/>
        <v>0</v>
      </c>
    </row>
    <row r="62" spans="1:50" hidden="1" x14ac:dyDescent="0.5">
      <c r="A62" s="16">
        <v>23</v>
      </c>
      <c r="B62" s="15"/>
      <c r="C62" s="20"/>
      <c r="D62" s="20"/>
      <c r="E62" s="19"/>
      <c r="F62" s="20"/>
      <c r="G62" s="20"/>
      <c r="H62" s="19"/>
      <c r="I62" s="20"/>
      <c r="J62" s="20"/>
      <c r="K62" s="20"/>
      <c r="L62" s="20"/>
      <c r="M62" s="20"/>
      <c r="N62" s="20"/>
      <c r="O62" s="20"/>
      <c r="P62" s="20"/>
      <c r="Q62" s="19"/>
      <c r="R62" s="20"/>
      <c r="S62" s="20"/>
      <c r="T62" s="19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>
        <f t="shared" si="6"/>
        <v>0</v>
      </c>
      <c r="AW62" s="19">
        <f t="shared" si="6"/>
        <v>0</v>
      </c>
      <c r="AX62" s="19">
        <f t="shared" si="6"/>
        <v>0</v>
      </c>
    </row>
    <row r="63" spans="1:50" hidden="1" x14ac:dyDescent="0.5">
      <c r="A63" s="14"/>
      <c r="B63" s="13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8">
        <f>SUM(AA36:AA47)</f>
        <v>0</v>
      </c>
      <c r="AB63" s="18">
        <f>SUM(AB36:AB47)</f>
        <v>0</v>
      </c>
      <c r="AV63" s="182">
        <f>SUM(AV36:AV62)</f>
        <v>0</v>
      </c>
      <c r="AW63" s="182">
        <f>SUM(AW36:AW62)</f>
        <v>0</v>
      </c>
      <c r="AX63" s="182">
        <f t="shared" ref="AX63" si="7">SUM(AX36:AX62)</f>
        <v>0</v>
      </c>
    </row>
    <row r="64" spans="1:50" hidden="1" x14ac:dyDescent="0.5"/>
    <row r="65" spans="1:50" hidden="1" x14ac:dyDescent="0.5"/>
    <row r="66" spans="1:50" hidden="1" x14ac:dyDescent="0.5">
      <c r="A66" s="561" t="s">
        <v>370</v>
      </c>
      <c r="B66" s="561"/>
      <c r="C66" s="561"/>
      <c r="D66" s="561"/>
      <c r="E66" s="561"/>
      <c r="F66" s="561"/>
    </row>
    <row r="67" spans="1:50" hidden="1" x14ac:dyDescent="0.5">
      <c r="A67" s="561"/>
      <c r="B67" s="561"/>
      <c r="C67" s="561"/>
      <c r="D67" s="561"/>
      <c r="E67" s="561"/>
      <c r="F67" s="561"/>
    </row>
    <row r="68" spans="1:50" hidden="1" x14ac:dyDescent="0.5">
      <c r="A68" s="551" t="s">
        <v>118</v>
      </c>
      <c r="B68" s="552" t="s">
        <v>135</v>
      </c>
      <c r="C68" s="553"/>
      <c r="D68" s="553"/>
      <c r="E68" s="553"/>
      <c r="F68" s="553"/>
      <c r="G68" s="553"/>
      <c r="H68" s="553"/>
      <c r="I68" s="553"/>
      <c r="J68" s="553"/>
      <c r="K68" s="553"/>
      <c r="L68" s="553"/>
      <c r="M68" s="553"/>
      <c r="N68" s="553"/>
      <c r="O68" s="553"/>
      <c r="P68" s="553"/>
      <c r="Q68" s="553"/>
      <c r="R68" s="553"/>
      <c r="S68" s="553"/>
      <c r="T68" s="553"/>
      <c r="U68" s="553"/>
      <c r="V68" s="553"/>
      <c r="W68" s="553"/>
      <c r="X68" s="553"/>
      <c r="Y68" s="553"/>
      <c r="Z68" s="553"/>
      <c r="AA68" s="553"/>
      <c r="AB68" s="553"/>
      <c r="AC68" s="553"/>
      <c r="AD68" s="553"/>
      <c r="AE68" s="553"/>
      <c r="AF68" s="553"/>
      <c r="AG68" s="553"/>
      <c r="AH68" s="553"/>
      <c r="AI68" s="553"/>
      <c r="AJ68" s="553"/>
      <c r="AK68" s="553"/>
      <c r="AL68" s="553"/>
      <c r="AM68" s="553"/>
      <c r="AN68" s="553"/>
      <c r="AO68" s="553"/>
      <c r="AP68" s="553"/>
      <c r="AQ68" s="553"/>
      <c r="AR68" s="553"/>
      <c r="AS68" s="553"/>
      <c r="AT68" s="553"/>
      <c r="AU68" s="553"/>
      <c r="AV68" s="553"/>
      <c r="AW68" s="553"/>
      <c r="AX68" s="553"/>
    </row>
    <row r="69" spans="1:50" ht="18" hidden="1" customHeight="1" x14ac:dyDescent="0.5">
      <c r="A69" s="551"/>
      <c r="B69" s="552"/>
      <c r="C69" s="554" t="s">
        <v>124</v>
      </c>
      <c r="D69" s="555"/>
      <c r="E69" s="556"/>
      <c r="F69" s="554" t="s">
        <v>133</v>
      </c>
      <c r="G69" s="555"/>
      <c r="H69" s="556"/>
      <c r="I69" s="554" t="s">
        <v>132</v>
      </c>
      <c r="J69" s="555"/>
      <c r="K69" s="556"/>
      <c r="L69" s="554" t="s">
        <v>131</v>
      </c>
      <c r="M69" s="555"/>
      <c r="N69" s="556"/>
      <c r="O69" s="554" t="s">
        <v>130</v>
      </c>
      <c r="P69" s="555"/>
      <c r="Q69" s="556"/>
      <c r="R69" s="554" t="s">
        <v>129</v>
      </c>
      <c r="S69" s="555"/>
      <c r="T69" s="556"/>
      <c r="U69" s="554" t="s">
        <v>128</v>
      </c>
      <c r="V69" s="555"/>
      <c r="W69" s="556"/>
      <c r="X69" s="554" t="s">
        <v>127</v>
      </c>
      <c r="Y69" s="555"/>
      <c r="Z69" s="556"/>
      <c r="AA69" s="554" t="s">
        <v>126</v>
      </c>
      <c r="AB69" s="555"/>
      <c r="AC69" s="556"/>
      <c r="AD69" s="211"/>
      <c r="AE69" s="211"/>
      <c r="AF69" s="211"/>
      <c r="AG69" s="554" t="s">
        <v>125</v>
      </c>
      <c r="AH69" s="555"/>
      <c r="AI69" s="556"/>
      <c r="AJ69" s="554" t="s">
        <v>124</v>
      </c>
      <c r="AK69" s="555"/>
      <c r="AL69" s="556"/>
      <c r="AM69" s="554" t="s">
        <v>123</v>
      </c>
      <c r="AN69" s="555"/>
      <c r="AO69" s="556"/>
      <c r="AP69" s="554" t="s">
        <v>367</v>
      </c>
      <c r="AQ69" s="555"/>
      <c r="AR69" s="556"/>
      <c r="AS69" s="554" t="s">
        <v>368</v>
      </c>
      <c r="AT69" s="555"/>
      <c r="AU69" s="556"/>
      <c r="AV69" s="554" t="s">
        <v>122</v>
      </c>
      <c r="AW69" s="555"/>
      <c r="AX69" s="556"/>
    </row>
    <row r="70" spans="1:50" hidden="1" x14ac:dyDescent="0.5">
      <c r="A70" s="551"/>
      <c r="B70" s="552"/>
      <c r="C70" s="17" t="s">
        <v>109</v>
      </c>
      <c r="D70" s="17" t="s">
        <v>108</v>
      </c>
      <c r="E70" s="17" t="s">
        <v>348</v>
      </c>
      <c r="F70" s="17" t="s">
        <v>109</v>
      </c>
      <c r="G70" s="17" t="s">
        <v>108</v>
      </c>
      <c r="H70" s="17" t="s">
        <v>348</v>
      </c>
      <c r="I70" s="17" t="s">
        <v>109</v>
      </c>
      <c r="J70" s="17" t="s">
        <v>108</v>
      </c>
      <c r="K70" s="17" t="s">
        <v>348</v>
      </c>
      <c r="L70" s="17" t="s">
        <v>109</v>
      </c>
      <c r="M70" s="17" t="s">
        <v>108</v>
      </c>
      <c r="N70" s="17" t="s">
        <v>348</v>
      </c>
      <c r="O70" s="17" t="s">
        <v>109</v>
      </c>
      <c r="P70" s="17" t="s">
        <v>108</v>
      </c>
      <c r="Q70" s="17" t="s">
        <v>348</v>
      </c>
      <c r="R70" s="17" t="s">
        <v>109</v>
      </c>
      <c r="S70" s="17" t="s">
        <v>108</v>
      </c>
      <c r="T70" s="17" t="s">
        <v>348</v>
      </c>
      <c r="U70" s="17" t="s">
        <v>109</v>
      </c>
      <c r="V70" s="17" t="s">
        <v>108</v>
      </c>
      <c r="W70" s="17" t="s">
        <v>348</v>
      </c>
      <c r="X70" s="17" t="s">
        <v>109</v>
      </c>
      <c r="Y70" s="17" t="s">
        <v>108</v>
      </c>
      <c r="Z70" s="17" t="s">
        <v>348</v>
      </c>
      <c r="AA70" s="17" t="s">
        <v>109</v>
      </c>
      <c r="AB70" s="17" t="s">
        <v>108</v>
      </c>
      <c r="AC70" s="17" t="s">
        <v>348</v>
      </c>
      <c r="AD70" s="17"/>
      <c r="AE70" s="17"/>
      <c r="AF70" s="17"/>
      <c r="AG70" s="17" t="s">
        <v>109</v>
      </c>
      <c r="AH70" s="17" t="s">
        <v>108</v>
      </c>
      <c r="AI70" s="17" t="s">
        <v>348</v>
      </c>
      <c r="AJ70" s="17" t="s">
        <v>109</v>
      </c>
      <c r="AK70" s="17" t="s">
        <v>108</v>
      </c>
      <c r="AL70" s="17" t="s">
        <v>348</v>
      </c>
      <c r="AM70" s="17" t="s">
        <v>109</v>
      </c>
      <c r="AN70" s="17" t="s">
        <v>108</v>
      </c>
      <c r="AO70" s="17" t="s">
        <v>348</v>
      </c>
      <c r="AP70" s="17" t="s">
        <v>109</v>
      </c>
      <c r="AQ70" s="17" t="s">
        <v>108</v>
      </c>
      <c r="AR70" s="17" t="s">
        <v>348</v>
      </c>
      <c r="AS70" s="17" t="s">
        <v>109</v>
      </c>
      <c r="AT70" s="17" t="s">
        <v>108</v>
      </c>
      <c r="AU70" s="17" t="s">
        <v>348</v>
      </c>
      <c r="AV70" s="17" t="s">
        <v>109</v>
      </c>
      <c r="AW70" s="17" t="s">
        <v>108</v>
      </c>
      <c r="AX70" s="17" t="s">
        <v>348</v>
      </c>
    </row>
    <row r="71" spans="1:50" ht="20.100000000000001" hidden="1" customHeight="1" x14ac:dyDescent="0.5">
      <c r="A71" s="16">
        <v>1</v>
      </c>
      <c r="B71" s="15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>
        <f>C71+F71+I71+L71+O71+R71+U71+X71+AA71+AG71+AJ71+AM71+AP71+AS71</f>
        <v>0</v>
      </c>
      <c r="AW71" s="19">
        <f>D71+G71+J71+M71+P71+S71+V71+Y71+AB71+AH71+AK71+AN71+AQ71+AT71</f>
        <v>0</v>
      </c>
      <c r="AX71" s="19">
        <f>E71+H71+K71+N71+Q71+T71+W71+Z71+AC71+AI71+AL71+AO71+AR71+AU71</f>
        <v>0</v>
      </c>
    </row>
    <row r="72" spans="1:50" ht="20.100000000000001" hidden="1" customHeight="1" x14ac:dyDescent="0.5">
      <c r="A72" s="16">
        <v>2</v>
      </c>
      <c r="B72" s="15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21"/>
      <c r="P72" s="178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>
        <f t="shared" ref="AV72:AW87" si="8">C72+F72+I72+L72+O72+R72+U72+X72+AA72+AG72+AJ72+AM72</f>
        <v>0</v>
      </c>
      <c r="AW72" s="19">
        <f t="shared" si="8"/>
        <v>0</v>
      </c>
      <c r="AX72" s="19">
        <f t="shared" ref="AX72:AX94" si="9">E72+H72+K72+N72+Q72+T72+W72+Z72+AC72+AI72+AL72+AN72</f>
        <v>0</v>
      </c>
    </row>
    <row r="73" spans="1:50" ht="20.100000000000001" hidden="1" customHeight="1" x14ac:dyDescent="0.5">
      <c r="A73" s="16">
        <v>3</v>
      </c>
      <c r="B73" s="15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>
        <f t="shared" si="8"/>
        <v>0</v>
      </c>
      <c r="AW73" s="19">
        <f t="shared" si="8"/>
        <v>0</v>
      </c>
      <c r="AX73" s="19">
        <f t="shared" si="9"/>
        <v>0</v>
      </c>
    </row>
    <row r="74" spans="1:50" ht="20.100000000000001" hidden="1" customHeight="1" x14ac:dyDescent="0.5">
      <c r="A74" s="16">
        <v>4</v>
      </c>
      <c r="B74" s="15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>
        <f t="shared" si="8"/>
        <v>0</v>
      </c>
      <c r="AW74" s="19">
        <f t="shared" si="8"/>
        <v>0</v>
      </c>
      <c r="AX74" s="19">
        <f t="shared" si="9"/>
        <v>0</v>
      </c>
    </row>
    <row r="75" spans="1:50" ht="20.100000000000001" hidden="1" customHeight="1" x14ac:dyDescent="0.5">
      <c r="A75" s="16">
        <v>5</v>
      </c>
      <c r="B75" s="15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>
        <f t="shared" si="8"/>
        <v>0</v>
      </c>
      <c r="AW75" s="19">
        <f t="shared" si="8"/>
        <v>0</v>
      </c>
      <c r="AX75" s="19">
        <f t="shared" si="9"/>
        <v>0</v>
      </c>
    </row>
    <row r="76" spans="1:50" ht="20.100000000000001" hidden="1" customHeight="1" x14ac:dyDescent="0.5">
      <c r="A76" s="16">
        <v>6</v>
      </c>
      <c r="B76" s="15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>
        <f t="shared" si="8"/>
        <v>0</v>
      </c>
      <c r="AW76" s="19">
        <f t="shared" si="8"/>
        <v>0</v>
      </c>
      <c r="AX76" s="19">
        <f t="shared" si="9"/>
        <v>0</v>
      </c>
    </row>
    <row r="77" spans="1:50" ht="20.100000000000001" hidden="1" customHeight="1" x14ac:dyDescent="0.5">
      <c r="A77" s="16">
        <v>7</v>
      </c>
      <c r="B77" s="15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>
        <f t="shared" si="8"/>
        <v>0</v>
      </c>
      <c r="AW77" s="19">
        <f t="shared" si="8"/>
        <v>0</v>
      </c>
      <c r="AX77" s="19">
        <f t="shared" si="9"/>
        <v>0</v>
      </c>
    </row>
    <row r="78" spans="1:50" ht="20.100000000000001" hidden="1" customHeight="1" x14ac:dyDescent="0.5">
      <c r="A78" s="16">
        <v>8</v>
      </c>
      <c r="B78" s="15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>
        <f t="shared" si="8"/>
        <v>0</v>
      </c>
      <c r="AW78" s="19">
        <f t="shared" si="8"/>
        <v>0</v>
      </c>
      <c r="AX78" s="19">
        <f t="shared" si="9"/>
        <v>0</v>
      </c>
    </row>
    <row r="79" spans="1:50" ht="20.100000000000001" hidden="1" customHeight="1" x14ac:dyDescent="0.5">
      <c r="A79" s="16">
        <v>9</v>
      </c>
      <c r="B79" s="15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>
        <f t="shared" si="8"/>
        <v>0</v>
      </c>
      <c r="AW79" s="19">
        <f t="shared" si="8"/>
        <v>0</v>
      </c>
      <c r="AX79" s="19">
        <f t="shared" si="9"/>
        <v>0</v>
      </c>
    </row>
    <row r="80" spans="1:50" ht="20.100000000000001" hidden="1" customHeight="1" x14ac:dyDescent="0.5">
      <c r="A80" s="16">
        <v>8</v>
      </c>
      <c r="B80" s="15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>
        <f t="shared" si="8"/>
        <v>0</v>
      </c>
      <c r="AW80" s="19">
        <f t="shared" si="8"/>
        <v>0</v>
      </c>
      <c r="AX80" s="19">
        <f t="shared" si="9"/>
        <v>0</v>
      </c>
    </row>
    <row r="81" spans="1:50" ht="20.100000000000001" hidden="1" customHeight="1" x14ac:dyDescent="0.5">
      <c r="A81" s="16">
        <v>7</v>
      </c>
      <c r="B81" s="15"/>
      <c r="C81" s="20"/>
      <c r="D81" s="20"/>
      <c r="E81" s="19"/>
      <c r="F81" s="20"/>
      <c r="G81" s="20"/>
      <c r="H81" s="19"/>
      <c r="I81" s="20"/>
      <c r="J81" s="20"/>
      <c r="K81" s="20"/>
      <c r="L81" s="20"/>
      <c r="M81" s="20"/>
      <c r="N81" s="20"/>
      <c r="O81" s="20"/>
      <c r="P81" s="20"/>
      <c r="Q81" s="19"/>
      <c r="R81" s="20"/>
      <c r="S81" s="20"/>
      <c r="T81" s="19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>
        <f t="shared" si="8"/>
        <v>0</v>
      </c>
      <c r="AW81" s="19">
        <f t="shared" si="8"/>
        <v>0</v>
      </c>
      <c r="AX81" s="19">
        <f t="shared" si="9"/>
        <v>0</v>
      </c>
    </row>
    <row r="82" spans="1:50" ht="20.100000000000001" hidden="1" customHeight="1" x14ac:dyDescent="0.5">
      <c r="A82" s="16">
        <v>8</v>
      </c>
      <c r="B82" s="15"/>
      <c r="C82" s="20"/>
      <c r="D82" s="20"/>
      <c r="E82" s="19"/>
      <c r="F82" s="20"/>
      <c r="G82" s="20"/>
      <c r="H82" s="19"/>
      <c r="I82" s="20"/>
      <c r="J82" s="20"/>
      <c r="K82" s="20"/>
      <c r="L82" s="20"/>
      <c r="M82" s="20"/>
      <c r="N82" s="20"/>
      <c r="O82" s="20"/>
      <c r="P82" s="20"/>
      <c r="Q82" s="19"/>
      <c r="R82" s="20"/>
      <c r="S82" s="20"/>
      <c r="T82" s="19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>
        <f t="shared" si="8"/>
        <v>0</v>
      </c>
      <c r="AW82" s="19">
        <f t="shared" si="8"/>
        <v>0</v>
      </c>
      <c r="AX82" s="19">
        <f t="shared" si="9"/>
        <v>0</v>
      </c>
    </row>
    <row r="83" spans="1:50" ht="20.100000000000001" hidden="1" customHeight="1" x14ac:dyDescent="0.5">
      <c r="A83" s="16">
        <v>9</v>
      </c>
      <c r="B83" s="15"/>
      <c r="C83" s="20"/>
      <c r="D83" s="20"/>
      <c r="E83" s="19"/>
      <c r="F83" s="20"/>
      <c r="G83" s="20"/>
      <c r="H83" s="19"/>
      <c r="I83" s="20"/>
      <c r="J83" s="20"/>
      <c r="K83" s="20"/>
      <c r="L83" s="20"/>
      <c r="M83" s="20"/>
      <c r="N83" s="20"/>
      <c r="O83" s="20"/>
      <c r="P83" s="20"/>
      <c r="Q83" s="19"/>
      <c r="R83" s="20"/>
      <c r="S83" s="20"/>
      <c r="T83" s="19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>
        <f t="shared" si="8"/>
        <v>0</v>
      </c>
      <c r="AW83" s="19">
        <f t="shared" si="8"/>
        <v>0</v>
      </c>
      <c r="AX83" s="19">
        <f t="shared" si="9"/>
        <v>0</v>
      </c>
    </row>
    <row r="84" spans="1:50" ht="20.100000000000001" hidden="1" customHeight="1" x14ac:dyDescent="0.5">
      <c r="A84" s="16">
        <v>10</v>
      </c>
      <c r="B84" s="15"/>
      <c r="C84" s="20"/>
      <c r="D84" s="20"/>
      <c r="E84" s="19"/>
      <c r="F84" s="20"/>
      <c r="G84" s="20"/>
      <c r="H84" s="19"/>
      <c r="I84" s="20"/>
      <c r="J84" s="20"/>
      <c r="K84" s="20"/>
      <c r="L84" s="20"/>
      <c r="M84" s="20"/>
      <c r="N84" s="20"/>
      <c r="O84" s="20"/>
      <c r="P84" s="20"/>
      <c r="Q84" s="19"/>
      <c r="R84" s="20"/>
      <c r="S84" s="20"/>
      <c r="T84" s="19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>
        <f t="shared" si="8"/>
        <v>0</v>
      </c>
      <c r="AW84" s="19">
        <f t="shared" si="8"/>
        <v>0</v>
      </c>
      <c r="AX84" s="19">
        <f t="shared" si="9"/>
        <v>0</v>
      </c>
    </row>
    <row r="85" spans="1:50" ht="20.100000000000001" hidden="1" customHeight="1" x14ac:dyDescent="0.5">
      <c r="A85" s="16">
        <v>11</v>
      </c>
      <c r="B85" s="15"/>
      <c r="C85" s="20"/>
      <c r="D85" s="20"/>
      <c r="E85" s="19"/>
      <c r="F85" s="20"/>
      <c r="G85" s="20"/>
      <c r="H85" s="19"/>
      <c r="I85" s="20"/>
      <c r="J85" s="20"/>
      <c r="K85" s="20"/>
      <c r="L85" s="20"/>
      <c r="M85" s="20"/>
      <c r="N85" s="20"/>
      <c r="O85" s="20"/>
      <c r="P85" s="20"/>
      <c r="Q85" s="19"/>
      <c r="R85" s="20"/>
      <c r="S85" s="20"/>
      <c r="T85" s="19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>
        <f t="shared" si="8"/>
        <v>0</v>
      </c>
      <c r="AW85" s="19">
        <f t="shared" si="8"/>
        <v>0</v>
      </c>
      <c r="AX85" s="19">
        <f t="shared" si="9"/>
        <v>0</v>
      </c>
    </row>
    <row r="86" spans="1:50" ht="20.100000000000001" hidden="1" customHeight="1" x14ac:dyDescent="0.5">
      <c r="A86" s="16">
        <v>12</v>
      </c>
      <c r="B86" s="15"/>
      <c r="C86" s="20"/>
      <c r="D86" s="20"/>
      <c r="E86" s="19"/>
      <c r="F86" s="20"/>
      <c r="G86" s="20"/>
      <c r="H86" s="19"/>
      <c r="I86" s="20"/>
      <c r="J86" s="20"/>
      <c r="K86" s="20"/>
      <c r="L86" s="20"/>
      <c r="M86" s="20"/>
      <c r="N86" s="20"/>
      <c r="O86" s="20"/>
      <c r="P86" s="20"/>
      <c r="Q86" s="19"/>
      <c r="R86" s="20"/>
      <c r="S86" s="20"/>
      <c r="T86" s="19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>
        <f t="shared" si="8"/>
        <v>0</v>
      </c>
      <c r="AW86" s="19">
        <f t="shared" si="8"/>
        <v>0</v>
      </c>
      <c r="AX86" s="19">
        <f t="shared" si="9"/>
        <v>0</v>
      </c>
    </row>
    <row r="87" spans="1:50" ht="20.100000000000001" hidden="1" customHeight="1" x14ac:dyDescent="0.5">
      <c r="A87" s="16">
        <v>13</v>
      </c>
      <c r="B87" s="15"/>
      <c r="C87" s="20"/>
      <c r="D87" s="20"/>
      <c r="E87" s="19"/>
      <c r="F87" s="20"/>
      <c r="G87" s="20"/>
      <c r="H87" s="19"/>
      <c r="I87" s="20"/>
      <c r="J87" s="20"/>
      <c r="K87" s="20"/>
      <c r="L87" s="20"/>
      <c r="M87" s="20"/>
      <c r="N87" s="20"/>
      <c r="O87" s="20"/>
      <c r="P87" s="20"/>
      <c r="Q87" s="19"/>
      <c r="R87" s="20"/>
      <c r="S87" s="20"/>
      <c r="T87" s="19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>
        <f t="shared" si="8"/>
        <v>0</v>
      </c>
      <c r="AW87" s="19">
        <f t="shared" si="8"/>
        <v>0</v>
      </c>
      <c r="AX87" s="19">
        <f t="shared" si="9"/>
        <v>0</v>
      </c>
    </row>
    <row r="88" spans="1:50" ht="20.100000000000001" hidden="1" customHeight="1" x14ac:dyDescent="0.5">
      <c r="A88" s="16">
        <v>14</v>
      </c>
      <c r="B88" s="15"/>
      <c r="C88" s="20"/>
      <c r="D88" s="20"/>
      <c r="E88" s="19"/>
      <c r="F88" s="20"/>
      <c r="G88" s="20"/>
      <c r="H88" s="19"/>
      <c r="I88" s="20"/>
      <c r="J88" s="20"/>
      <c r="K88" s="20"/>
      <c r="L88" s="20"/>
      <c r="M88" s="20"/>
      <c r="N88" s="20"/>
      <c r="O88" s="20"/>
      <c r="P88" s="20"/>
      <c r="Q88" s="19"/>
      <c r="R88" s="20"/>
      <c r="S88" s="20"/>
      <c r="T88" s="19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>
        <f t="shared" ref="AV88:AW94" si="10">C88+F88+I88+L88+O88+R88+U88+X88+AA88+AG88+AJ88+AM88</f>
        <v>0</v>
      </c>
      <c r="AW88" s="19">
        <f t="shared" si="10"/>
        <v>0</v>
      </c>
      <c r="AX88" s="19">
        <f t="shared" si="9"/>
        <v>0</v>
      </c>
    </row>
    <row r="89" spans="1:50" ht="20.100000000000001" hidden="1" customHeight="1" x14ac:dyDescent="0.5">
      <c r="A89" s="16">
        <v>15</v>
      </c>
      <c r="B89" s="15"/>
      <c r="C89" s="20"/>
      <c r="D89" s="20"/>
      <c r="E89" s="19"/>
      <c r="F89" s="20"/>
      <c r="G89" s="20"/>
      <c r="H89" s="19"/>
      <c r="I89" s="20"/>
      <c r="J89" s="20"/>
      <c r="K89" s="20"/>
      <c r="L89" s="20"/>
      <c r="M89" s="20"/>
      <c r="N89" s="20"/>
      <c r="O89" s="20"/>
      <c r="P89" s="20"/>
      <c r="Q89" s="19"/>
      <c r="R89" s="20"/>
      <c r="S89" s="20"/>
      <c r="T89" s="19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>
        <f t="shared" si="10"/>
        <v>0</v>
      </c>
      <c r="AW89" s="19">
        <f t="shared" si="10"/>
        <v>0</v>
      </c>
      <c r="AX89" s="19">
        <f t="shared" si="9"/>
        <v>0</v>
      </c>
    </row>
    <row r="90" spans="1:50" ht="20.100000000000001" hidden="1" customHeight="1" x14ac:dyDescent="0.5">
      <c r="A90" s="16">
        <v>16</v>
      </c>
      <c r="B90" s="15"/>
      <c r="C90" s="20"/>
      <c r="D90" s="20"/>
      <c r="E90" s="19"/>
      <c r="F90" s="20"/>
      <c r="G90" s="20"/>
      <c r="H90" s="19"/>
      <c r="I90" s="20"/>
      <c r="J90" s="20"/>
      <c r="K90" s="20"/>
      <c r="L90" s="20"/>
      <c r="M90" s="20"/>
      <c r="N90" s="20"/>
      <c r="O90" s="20"/>
      <c r="P90" s="20"/>
      <c r="Q90" s="19"/>
      <c r="R90" s="20"/>
      <c r="S90" s="20"/>
      <c r="T90" s="19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>
        <f t="shared" si="10"/>
        <v>0</v>
      </c>
      <c r="AW90" s="19">
        <f t="shared" si="10"/>
        <v>0</v>
      </c>
      <c r="AX90" s="19">
        <f t="shared" si="9"/>
        <v>0</v>
      </c>
    </row>
    <row r="91" spans="1:50" ht="20.100000000000001" hidden="1" customHeight="1" x14ac:dyDescent="0.5">
      <c r="A91" s="16">
        <v>17</v>
      </c>
      <c r="B91" s="15"/>
      <c r="C91" s="20"/>
      <c r="D91" s="20"/>
      <c r="E91" s="19"/>
      <c r="F91" s="20"/>
      <c r="G91" s="20"/>
      <c r="H91" s="19"/>
      <c r="I91" s="20"/>
      <c r="J91" s="20"/>
      <c r="K91" s="20"/>
      <c r="L91" s="20"/>
      <c r="M91" s="20"/>
      <c r="N91" s="20"/>
      <c r="O91" s="20"/>
      <c r="P91" s="20"/>
      <c r="Q91" s="19"/>
      <c r="R91" s="20"/>
      <c r="S91" s="20"/>
      <c r="T91" s="19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>
        <f t="shared" si="10"/>
        <v>0</v>
      </c>
      <c r="AW91" s="19">
        <f t="shared" si="10"/>
        <v>0</v>
      </c>
      <c r="AX91" s="19">
        <f t="shared" si="9"/>
        <v>0</v>
      </c>
    </row>
    <row r="92" spans="1:50" ht="20.100000000000001" hidden="1" customHeight="1" x14ac:dyDescent="0.5">
      <c r="A92" s="16">
        <v>18</v>
      </c>
      <c r="B92" s="15"/>
      <c r="C92" s="20"/>
      <c r="D92" s="20"/>
      <c r="E92" s="19"/>
      <c r="F92" s="20"/>
      <c r="G92" s="20"/>
      <c r="H92" s="19"/>
      <c r="I92" s="20"/>
      <c r="J92" s="20"/>
      <c r="K92" s="20"/>
      <c r="L92" s="20"/>
      <c r="M92" s="20"/>
      <c r="N92" s="20"/>
      <c r="O92" s="20"/>
      <c r="P92" s="20"/>
      <c r="Q92" s="19"/>
      <c r="R92" s="20"/>
      <c r="S92" s="20"/>
      <c r="T92" s="19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>
        <f t="shared" si="10"/>
        <v>0</v>
      </c>
      <c r="AW92" s="19">
        <f t="shared" si="10"/>
        <v>0</v>
      </c>
      <c r="AX92" s="19">
        <f t="shared" si="9"/>
        <v>0</v>
      </c>
    </row>
    <row r="93" spans="1:50" ht="20.100000000000001" hidden="1" customHeight="1" x14ac:dyDescent="0.5">
      <c r="A93" s="16">
        <v>19</v>
      </c>
      <c r="B93" s="15"/>
      <c r="C93" s="20"/>
      <c r="D93" s="20"/>
      <c r="E93" s="19"/>
      <c r="F93" s="20"/>
      <c r="G93" s="20"/>
      <c r="H93" s="19"/>
      <c r="I93" s="20"/>
      <c r="J93" s="20"/>
      <c r="K93" s="20"/>
      <c r="L93" s="20"/>
      <c r="M93" s="20"/>
      <c r="N93" s="20"/>
      <c r="O93" s="20"/>
      <c r="P93" s="20"/>
      <c r="Q93" s="19"/>
      <c r="R93" s="20"/>
      <c r="S93" s="20"/>
      <c r="T93" s="19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>
        <f t="shared" si="10"/>
        <v>0</v>
      </c>
      <c r="AW93" s="19">
        <f t="shared" si="10"/>
        <v>0</v>
      </c>
      <c r="AX93" s="19">
        <f t="shared" si="9"/>
        <v>0</v>
      </c>
    </row>
    <row r="94" spans="1:50" ht="20.100000000000001" hidden="1" customHeight="1" x14ac:dyDescent="0.5">
      <c r="A94" s="16">
        <v>20</v>
      </c>
      <c r="B94" s="15"/>
      <c r="C94" s="20"/>
      <c r="D94" s="20"/>
      <c r="E94" s="19"/>
      <c r="F94" s="20"/>
      <c r="G94" s="20"/>
      <c r="H94" s="19"/>
      <c r="I94" s="20"/>
      <c r="J94" s="20"/>
      <c r="K94" s="20"/>
      <c r="L94" s="20"/>
      <c r="M94" s="20"/>
      <c r="N94" s="20"/>
      <c r="O94" s="20"/>
      <c r="P94" s="20"/>
      <c r="Q94" s="19"/>
      <c r="R94" s="20"/>
      <c r="S94" s="20"/>
      <c r="T94" s="19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>
        <f t="shared" si="10"/>
        <v>0</v>
      </c>
      <c r="AW94" s="19">
        <f t="shared" si="10"/>
        <v>0</v>
      </c>
      <c r="AX94" s="19">
        <f t="shared" si="9"/>
        <v>0</v>
      </c>
    </row>
    <row r="95" spans="1:50" ht="20.100000000000001" hidden="1" customHeight="1" x14ac:dyDescent="0.5">
      <c r="A95" s="16">
        <v>21</v>
      </c>
      <c r="B95" s="15"/>
      <c r="C95" s="20"/>
      <c r="D95" s="20"/>
      <c r="E95" s="19"/>
      <c r="F95" s="20"/>
      <c r="G95" s="20"/>
      <c r="H95" s="19"/>
      <c r="I95" s="20"/>
      <c r="J95" s="20"/>
      <c r="K95" s="20"/>
      <c r="L95" s="20"/>
      <c r="M95" s="20"/>
      <c r="N95" s="20"/>
      <c r="O95" s="20"/>
      <c r="P95" s="20"/>
      <c r="Q95" s="19"/>
      <c r="R95" s="20"/>
      <c r="S95" s="20"/>
      <c r="T95" s="19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>
        <f>C95+F95+I95+L95+O95+R95+U95+X95+AA95+AG95+AJ95+AM95+AP95+AS95</f>
        <v>0</v>
      </c>
      <c r="AW95" s="19">
        <f>D95+G95+J95+M95+P95+S95+V95+Y95+AB95+AH95+AK95+AN95+AQ95+AT95</f>
        <v>0</v>
      </c>
      <c r="AX95" s="19">
        <f>E95+H95+K95+N95+Q95+T95+W95+Z95+AC95+AI95+AL95+AO95+AR95+AU95</f>
        <v>0</v>
      </c>
    </row>
    <row r="96" spans="1:50" ht="20.100000000000001" hidden="1" customHeight="1" x14ac:dyDescent="0.5">
      <c r="A96" s="16">
        <v>22</v>
      </c>
      <c r="B96" s="15"/>
      <c r="C96" s="20"/>
      <c r="D96" s="20"/>
      <c r="E96" s="19"/>
      <c r="F96" s="20"/>
      <c r="G96" s="20"/>
      <c r="H96" s="19"/>
      <c r="I96" s="20"/>
      <c r="J96" s="20"/>
      <c r="K96" s="20"/>
      <c r="L96" s="20"/>
      <c r="M96" s="20"/>
      <c r="N96" s="20"/>
      <c r="O96" s="20"/>
      <c r="P96" s="20"/>
      <c r="Q96" s="19"/>
      <c r="R96" s="20"/>
      <c r="S96" s="20"/>
      <c r="T96" s="19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>
        <f t="shared" ref="AV96:AX97" si="11">C96+F96+I96+L96+O96+R96+U96+X96+AA96+AG96+AJ96+AM96+AP96+AS96</f>
        <v>0</v>
      </c>
      <c r="AW96" s="19">
        <f t="shared" si="11"/>
        <v>0</v>
      </c>
      <c r="AX96" s="19">
        <f t="shared" si="11"/>
        <v>0</v>
      </c>
    </row>
    <row r="97" spans="1:53" ht="20.100000000000001" hidden="1" customHeight="1" x14ac:dyDescent="0.5">
      <c r="A97" s="16">
        <v>23</v>
      </c>
      <c r="B97" s="15"/>
      <c r="C97" s="20"/>
      <c r="D97" s="20"/>
      <c r="E97" s="19"/>
      <c r="F97" s="20"/>
      <c r="G97" s="20"/>
      <c r="H97" s="19"/>
      <c r="I97" s="20"/>
      <c r="J97" s="20"/>
      <c r="K97" s="20"/>
      <c r="L97" s="20"/>
      <c r="M97" s="20"/>
      <c r="N97" s="20"/>
      <c r="O97" s="20"/>
      <c r="P97" s="20"/>
      <c r="Q97" s="19"/>
      <c r="R97" s="20"/>
      <c r="S97" s="20"/>
      <c r="T97" s="19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>
        <f t="shared" si="11"/>
        <v>0</v>
      </c>
      <c r="AW97" s="19">
        <f t="shared" si="11"/>
        <v>0</v>
      </c>
      <c r="AX97" s="19">
        <f t="shared" si="11"/>
        <v>0</v>
      </c>
    </row>
    <row r="98" spans="1:53" ht="20.100000000000001" hidden="1" customHeight="1" x14ac:dyDescent="0.5">
      <c r="A98" s="14"/>
      <c r="B98" s="13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8">
        <f>SUM(AA71:AA82)</f>
        <v>0</v>
      </c>
      <c r="AB98" s="18">
        <f>SUM(AB71:AB82)</f>
        <v>0</v>
      </c>
      <c r="AV98" s="182">
        <f>SUM(AV71:AV97)</f>
        <v>0</v>
      </c>
      <c r="AW98" s="182">
        <f>SUM(AW71:AW97)</f>
        <v>0</v>
      </c>
      <c r="AX98" s="182">
        <f t="shared" ref="AX98" si="12">SUM(AX71:AX97)</f>
        <v>0</v>
      </c>
    </row>
    <row r="99" spans="1:53" hidden="1" x14ac:dyDescent="0.5"/>
    <row r="100" spans="1:53" hidden="1" x14ac:dyDescent="0.5"/>
    <row r="101" spans="1:53" hidden="1" x14ac:dyDescent="0.5">
      <c r="A101" s="561" t="s">
        <v>377</v>
      </c>
      <c r="B101" s="561"/>
      <c r="C101" s="561"/>
      <c r="D101" s="561"/>
      <c r="E101" s="561"/>
      <c r="F101" s="561"/>
    </row>
    <row r="102" spans="1:53" hidden="1" x14ac:dyDescent="0.5">
      <c r="A102" s="561"/>
      <c r="B102" s="561"/>
      <c r="C102" s="561"/>
      <c r="D102" s="561"/>
      <c r="E102" s="561"/>
      <c r="F102" s="561"/>
    </row>
    <row r="103" spans="1:53" hidden="1" x14ac:dyDescent="0.5">
      <c r="A103" s="551" t="s">
        <v>118</v>
      </c>
      <c r="B103" s="552" t="s">
        <v>135</v>
      </c>
      <c r="C103" s="553"/>
      <c r="D103" s="553"/>
      <c r="E103" s="553"/>
      <c r="F103" s="553"/>
      <c r="G103" s="553"/>
      <c r="H103" s="553"/>
      <c r="I103" s="553"/>
      <c r="J103" s="553"/>
      <c r="K103" s="553"/>
      <c r="L103" s="553"/>
      <c r="M103" s="553"/>
      <c r="N103" s="553"/>
      <c r="O103" s="553"/>
      <c r="P103" s="553"/>
      <c r="Q103" s="553"/>
      <c r="R103" s="553"/>
      <c r="S103" s="553"/>
      <c r="T103" s="553"/>
      <c r="U103" s="553"/>
      <c r="V103" s="553"/>
      <c r="W103" s="553"/>
      <c r="X103" s="553"/>
      <c r="Y103" s="553"/>
      <c r="Z103" s="553"/>
      <c r="AA103" s="553"/>
      <c r="AB103" s="553"/>
      <c r="AC103" s="553"/>
      <c r="AD103" s="553"/>
      <c r="AE103" s="553"/>
      <c r="AF103" s="553"/>
      <c r="AG103" s="553"/>
      <c r="AH103" s="553"/>
      <c r="AI103" s="553"/>
      <c r="AJ103" s="553"/>
      <c r="AK103" s="553"/>
      <c r="AL103" s="553"/>
      <c r="AM103" s="553"/>
      <c r="AN103" s="553"/>
      <c r="AO103" s="553"/>
      <c r="AP103" s="553"/>
      <c r="AQ103" s="553"/>
      <c r="AR103" s="553"/>
      <c r="AS103" s="553"/>
      <c r="AT103" s="553"/>
      <c r="AU103" s="553"/>
      <c r="AV103" s="553"/>
      <c r="AW103" s="553"/>
      <c r="AX103" s="553"/>
    </row>
    <row r="104" spans="1:53" hidden="1" x14ac:dyDescent="0.5">
      <c r="A104" s="551"/>
      <c r="B104" s="552"/>
      <c r="C104" s="554" t="s">
        <v>124</v>
      </c>
      <c r="D104" s="555"/>
      <c r="E104" s="556"/>
      <c r="F104" s="554" t="s">
        <v>133</v>
      </c>
      <c r="G104" s="555"/>
      <c r="H104" s="556"/>
      <c r="I104" s="554" t="s">
        <v>132</v>
      </c>
      <c r="J104" s="555"/>
      <c r="K104" s="556"/>
      <c r="L104" s="554" t="s">
        <v>131</v>
      </c>
      <c r="M104" s="555"/>
      <c r="N104" s="556"/>
      <c r="O104" s="554" t="s">
        <v>130</v>
      </c>
      <c r="P104" s="555"/>
      <c r="Q104" s="556"/>
      <c r="R104" s="554" t="s">
        <v>129</v>
      </c>
      <c r="S104" s="555"/>
      <c r="T104" s="556"/>
      <c r="U104" s="554" t="s">
        <v>128</v>
      </c>
      <c r="V104" s="555"/>
      <c r="W104" s="556"/>
      <c r="X104" s="554" t="s">
        <v>127</v>
      </c>
      <c r="Y104" s="555"/>
      <c r="Z104" s="556"/>
      <c r="AA104" s="554" t="s">
        <v>126</v>
      </c>
      <c r="AB104" s="555"/>
      <c r="AC104" s="556"/>
      <c r="AD104" s="554" t="s">
        <v>378</v>
      </c>
      <c r="AE104" s="555"/>
      <c r="AF104" s="556"/>
      <c r="AG104" s="554" t="s">
        <v>125</v>
      </c>
      <c r="AH104" s="555"/>
      <c r="AI104" s="556"/>
      <c r="AJ104" s="554" t="s">
        <v>124</v>
      </c>
      <c r="AK104" s="555"/>
      <c r="AL104" s="556"/>
      <c r="AM104" s="554" t="s">
        <v>123</v>
      </c>
      <c r="AN104" s="555"/>
      <c r="AO104" s="556"/>
      <c r="AP104" s="554" t="s">
        <v>367</v>
      </c>
      <c r="AQ104" s="555"/>
      <c r="AR104" s="556"/>
      <c r="AS104" s="554" t="s">
        <v>368</v>
      </c>
      <c r="AT104" s="555"/>
      <c r="AU104" s="556"/>
      <c r="AV104" s="554" t="s">
        <v>122</v>
      </c>
      <c r="AW104" s="555"/>
      <c r="AX104" s="556"/>
    </row>
    <row r="105" spans="1:53" hidden="1" x14ac:dyDescent="0.5">
      <c r="A105" s="551"/>
      <c r="B105" s="552"/>
      <c r="C105" s="17" t="s">
        <v>109</v>
      </c>
      <c r="D105" s="17" t="s">
        <v>108</v>
      </c>
      <c r="E105" s="17" t="s">
        <v>348</v>
      </c>
      <c r="F105" s="17" t="s">
        <v>109</v>
      </c>
      <c r="G105" s="17" t="s">
        <v>108</v>
      </c>
      <c r="H105" s="17" t="s">
        <v>348</v>
      </c>
      <c r="I105" s="17" t="s">
        <v>109</v>
      </c>
      <c r="J105" s="17" t="s">
        <v>108</v>
      </c>
      <c r="K105" s="17" t="s">
        <v>348</v>
      </c>
      <c r="L105" s="17" t="s">
        <v>109</v>
      </c>
      <c r="M105" s="17" t="s">
        <v>108</v>
      </c>
      <c r="N105" s="17" t="s">
        <v>348</v>
      </c>
      <c r="O105" s="17" t="s">
        <v>109</v>
      </c>
      <c r="P105" s="17" t="s">
        <v>108</v>
      </c>
      <c r="Q105" s="17" t="s">
        <v>348</v>
      </c>
      <c r="R105" s="17" t="s">
        <v>109</v>
      </c>
      <c r="S105" s="17" t="s">
        <v>108</v>
      </c>
      <c r="T105" s="17" t="s">
        <v>348</v>
      </c>
      <c r="U105" s="17" t="s">
        <v>109</v>
      </c>
      <c r="V105" s="17" t="s">
        <v>108</v>
      </c>
      <c r="W105" s="17" t="s">
        <v>348</v>
      </c>
      <c r="X105" s="17" t="s">
        <v>109</v>
      </c>
      <c r="Y105" s="17" t="s">
        <v>108</v>
      </c>
      <c r="Z105" s="17" t="s">
        <v>348</v>
      </c>
      <c r="AA105" s="17" t="s">
        <v>109</v>
      </c>
      <c r="AB105" s="17" t="s">
        <v>108</v>
      </c>
      <c r="AC105" s="17" t="s">
        <v>348</v>
      </c>
      <c r="AD105" s="17"/>
      <c r="AE105" s="17"/>
      <c r="AF105" s="17"/>
      <c r="AG105" s="17" t="s">
        <v>109</v>
      </c>
      <c r="AH105" s="17" t="s">
        <v>108</v>
      </c>
      <c r="AI105" s="17" t="s">
        <v>348</v>
      </c>
      <c r="AJ105" s="17" t="s">
        <v>109</v>
      </c>
      <c r="AK105" s="17" t="s">
        <v>108</v>
      </c>
      <c r="AL105" s="17" t="s">
        <v>348</v>
      </c>
      <c r="AM105" s="17" t="s">
        <v>109</v>
      </c>
      <c r="AN105" s="17" t="s">
        <v>108</v>
      </c>
      <c r="AO105" s="17" t="s">
        <v>348</v>
      </c>
      <c r="AP105" s="17" t="s">
        <v>109</v>
      </c>
      <c r="AQ105" s="17" t="s">
        <v>108</v>
      </c>
      <c r="AR105" s="17" t="s">
        <v>348</v>
      </c>
      <c r="AS105" s="17" t="s">
        <v>109</v>
      </c>
      <c r="AT105" s="17" t="s">
        <v>108</v>
      </c>
      <c r="AU105" s="17" t="s">
        <v>348</v>
      </c>
      <c r="AV105" s="17" t="s">
        <v>109</v>
      </c>
      <c r="AW105" s="17" t="s">
        <v>108</v>
      </c>
      <c r="AX105" s="17" t="s">
        <v>348</v>
      </c>
    </row>
    <row r="106" spans="1:53" hidden="1" x14ac:dyDescent="0.5">
      <c r="A106" s="16">
        <v>1</v>
      </c>
      <c r="B106" s="15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>
        <f>C106+F106+I106+L106+O106+R106+U106+X106+AA106+AG106+AJ106+AM106+AP106+AS106</f>
        <v>0</v>
      </c>
      <c r="AW106" s="19">
        <f>D106+G106+J106+M106+P106+S106+V106+Y106+AB106+AH106+AK106+AN106+AQ106+AT106</f>
        <v>0</v>
      </c>
      <c r="AX106" s="19">
        <f>E106+H106+K106+N106+Q106+T106+W106+Z106+AC106+AI106+AL106+AO106+AR106+AU106</f>
        <v>0</v>
      </c>
    </row>
    <row r="107" spans="1:53" hidden="1" x14ac:dyDescent="0.5">
      <c r="A107" s="16">
        <v>2</v>
      </c>
      <c r="B107" s="15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21"/>
      <c r="P107" s="178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>
        <f t="shared" ref="AV107:AW129" si="13">C107+F107+I107+L107+O107+R107+U107+X107+AA107+AG107+AJ107+AM107</f>
        <v>0</v>
      </c>
      <c r="AW107" s="19">
        <f>D107+G107+J107+M107+P107+S107+V107+Y107+AB107+AH107+AK107+AN107+AE107</f>
        <v>0</v>
      </c>
      <c r="AX107" s="19">
        <f>E107+H107+K107+N107+Q107+T107+W107+Z107+AC107+AI107+AL107+AN107+AF107</f>
        <v>0</v>
      </c>
    </row>
    <row r="108" spans="1:53" hidden="1" x14ac:dyDescent="0.5">
      <c r="A108" s="16">
        <v>3</v>
      </c>
      <c r="B108" s="15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>
        <f t="shared" si="13"/>
        <v>0</v>
      </c>
      <c r="AW108" s="19">
        <f t="shared" si="13"/>
        <v>0</v>
      </c>
      <c r="AX108" s="19">
        <f t="shared" ref="AX108:AX129" si="14">E108+H108+K108+N108+Q108+T108+W108+Z108+AC108+AI108+AL108+AN108</f>
        <v>0</v>
      </c>
    </row>
    <row r="109" spans="1:53" ht="18.75" hidden="1" x14ac:dyDescent="0.5">
      <c r="A109" s="16">
        <v>4</v>
      </c>
      <c r="B109" s="15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>
        <f t="shared" si="13"/>
        <v>0</v>
      </c>
      <c r="AW109" s="19">
        <f t="shared" si="13"/>
        <v>0</v>
      </c>
      <c r="AX109" s="19">
        <f t="shared" si="14"/>
        <v>0</v>
      </c>
      <c r="BA109" s="274" t="s">
        <v>379</v>
      </c>
    </row>
    <row r="110" spans="1:53" hidden="1" x14ac:dyDescent="0.5">
      <c r="A110" s="16">
        <v>5</v>
      </c>
      <c r="B110" s="15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>
        <f t="shared" si="13"/>
        <v>0</v>
      </c>
      <c r="AW110" s="19">
        <f t="shared" si="13"/>
        <v>0</v>
      </c>
      <c r="AX110" s="19">
        <f t="shared" si="14"/>
        <v>0</v>
      </c>
    </row>
    <row r="111" spans="1:53" hidden="1" x14ac:dyDescent="0.5">
      <c r="A111" s="16">
        <v>6</v>
      </c>
      <c r="B111" s="15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>
        <f t="shared" si="13"/>
        <v>0</v>
      </c>
      <c r="AW111" s="19">
        <f t="shared" si="13"/>
        <v>0</v>
      </c>
      <c r="AX111" s="19">
        <f t="shared" si="14"/>
        <v>0</v>
      </c>
    </row>
    <row r="112" spans="1:53" hidden="1" x14ac:dyDescent="0.5">
      <c r="A112" s="16">
        <v>7</v>
      </c>
      <c r="B112" s="15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>
        <f t="shared" si="13"/>
        <v>0</v>
      </c>
      <c r="AW112" s="19">
        <f t="shared" si="13"/>
        <v>0</v>
      </c>
      <c r="AX112" s="19">
        <f t="shared" si="14"/>
        <v>0</v>
      </c>
    </row>
    <row r="113" spans="1:50" hidden="1" x14ac:dyDescent="0.5">
      <c r="A113" s="16">
        <v>8</v>
      </c>
      <c r="B113" s="15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>
        <f t="shared" si="13"/>
        <v>0</v>
      </c>
      <c r="AW113" s="19">
        <f t="shared" si="13"/>
        <v>0</v>
      </c>
      <c r="AX113" s="19">
        <f t="shared" si="14"/>
        <v>0</v>
      </c>
    </row>
    <row r="114" spans="1:50" hidden="1" x14ac:dyDescent="0.5">
      <c r="A114" s="16">
        <v>9</v>
      </c>
      <c r="B114" s="15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>
        <f t="shared" si="13"/>
        <v>0</v>
      </c>
      <c r="AW114" s="19">
        <f t="shared" si="13"/>
        <v>0</v>
      </c>
      <c r="AX114" s="19">
        <f t="shared" si="14"/>
        <v>0</v>
      </c>
    </row>
    <row r="115" spans="1:50" hidden="1" x14ac:dyDescent="0.5">
      <c r="A115" s="16">
        <v>8</v>
      </c>
      <c r="B115" s="15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>
        <f t="shared" si="13"/>
        <v>0</v>
      </c>
      <c r="AW115" s="19">
        <f t="shared" si="13"/>
        <v>0</v>
      </c>
      <c r="AX115" s="19">
        <f t="shared" si="14"/>
        <v>0</v>
      </c>
    </row>
    <row r="116" spans="1:50" hidden="1" x14ac:dyDescent="0.5">
      <c r="A116" s="16">
        <v>7</v>
      </c>
      <c r="B116" s="15"/>
      <c r="C116" s="20"/>
      <c r="D116" s="20"/>
      <c r="E116" s="19"/>
      <c r="F116" s="20"/>
      <c r="G116" s="20"/>
      <c r="H116" s="19"/>
      <c r="I116" s="20"/>
      <c r="J116" s="20"/>
      <c r="K116" s="20"/>
      <c r="L116" s="20"/>
      <c r="M116" s="20"/>
      <c r="N116" s="20"/>
      <c r="O116" s="20"/>
      <c r="P116" s="20"/>
      <c r="Q116" s="19"/>
      <c r="R116" s="20"/>
      <c r="S116" s="20"/>
      <c r="T116" s="19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>
        <f t="shared" si="13"/>
        <v>0</v>
      </c>
      <c r="AW116" s="19">
        <f t="shared" si="13"/>
        <v>0</v>
      </c>
      <c r="AX116" s="19">
        <f t="shared" si="14"/>
        <v>0</v>
      </c>
    </row>
    <row r="117" spans="1:50" hidden="1" x14ac:dyDescent="0.5">
      <c r="A117" s="16">
        <v>8</v>
      </c>
      <c r="B117" s="15"/>
      <c r="C117" s="20"/>
      <c r="D117" s="20"/>
      <c r="E117" s="19"/>
      <c r="F117" s="20"/>
      <c r="G117" s="20"/>
      <c r="H117" s="19"/>
      <c r="I117" s="20"/>
      <c r="J117" s="20"/>
      <c r="K117" s="20"/>
      <c r="L117" s="20"/>
      <c r="M117" s="20"/>
      <c r="N117" s="20"/>
      <c r="O117" s="20"/>
      <c r="P117" s="20"/>
      <c r="Q117" s="19"/>
      <c r="R117" s="20"/>
      <c r="S117" s="20"/>
      <c r="T117" s="19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>
        <f t="shared" si="13"/>
        <v>0</v>
      </c>
      <c r="AW117" s="19">
        <f t="shared" si="13"/>
        <v>0</v>
      </c>
      <c r="AX117" s="19">
        <f t="shared" si="14"/>
        <v>0</v>
      </c>
    </row>
    <row r="118" spans="1:50" hidden="1" x14ac:dyDescent="0.5">
      <c r="A118" s="16">
        <v>9</v>
      </c>
      <c r="B118" s="15"/>
      <c r="C118" s="20"/>
      <c r="D118" s="20"/>
      <c r="E118" s="19"/>
      <c r="F118" s="20"/>
      <c r="G118" s="20"/>
      <c r="H118" s="19"/>
      <c r="I118" s="20"/>
      <c r="J118" s="20"/>
      <c r="K118" s="20"/>
      <c r="L118" s="20"/>
      <c r="M118" s="20"/>
      <c r="N118" s="20"/>
      <c r="O118" s="20"/>
      <c r="P118" s="20"/>
      <c r="Q118" s="19"/>
      <c r="R118" s="20"/>
      <c r="S118" s="20"/>
      <c r="T118" s="19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>
        <f t="shared" si="13"/>
        <v>0</v>
      </c>
      <c r="AW118" s="19">
        <f t="shared" si="13"/>
        <v>0</v>
      </c>
      <c r="AX118" s="19">
        <f t="shared" si="14"/>
        <v>0</v>
      </c>
    </row>
    <row r="119" spans="1:50" hidden="1" x14ac:dyDescent="0.5">
      <c r="A119" s="16">
        <v>10</v>
      </c>
      <c r="B119" s="15"/>
      <c r="C119" s="20"/>
      <c r="D119" s="20"/>
      <c r="E119" s="19"/>
      <c r="F119" s="20"/>
      <c r="G119" s="20"/>
      <c r="H119" s="19"/>
      <c r="I119" s="20"/>
      <c r="J119" s="20"/>
      <c r="K119" s="20"/>
      <c r="L119" s="20"/>
      <c r="M119" s="20"/>
      <c r="N119" s="20"/>
      <c r="O119" s="20"/>
      <c r="P119" s="20"/>
      <c r="Q119" s="19"/>
      <c r="R119" s="20"/>
      <c r="S119" s="20"/>
      <c r="T119" s="19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>
        <f t="shared" si="13"/>
        <v>0</v>
      </c>
      <c r="AW119" s="19">
        <f t="shared" si="13"/>
        <v>0</v>
      </c>
      <c r="AX119" s="19">
        <f t="shared" si="14"/>
        <v>0</v>
      </c>
    </row>
    <row r="120" spans="1:50" hidden="1" x14ac:dyDescent="0.5">
      <c r="A120" s="16">
        <v>11</v>
      </c>
      <c r="B120" s="15"/>
      <c r="C120" s="20"/>
      <c r="D120" s="20"/>
      <c r="E120" s="19"/>
      <c r="F120" s="20"/>
      <c r="G120" s="20"/>
      <c r="H120" s="19"/>
      <c r="I120" s="20"/>
      <c r="J120" s="20"/>
      <c r="K120" s="20"/>
      <c r="L120" s="20"/>
      <c r="M120" s="20"/>
      <c r="N120" s="20"/>
      <c r="O120" s="20"/>
      <c r="P120" s="20"/>
      <c r="Q120" s="19"/>
      <c r="R120" s="20"/>
      <c r="S120" s="20"/>
      <c r="T120" s="19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>
        <f t="shared" si="13"/>
        <v>0</v>
      </c>
      <c r="AW120" s="19">
        <f t="shared" si="13"/>
        <v>0</v>
      </c>
      <c r="AX120" s="19">
        <f t="shared" si="14"/>
        <v>0</v>
      </c>
    </row>
    <row r="121" spans="1:50" hidden="1" x14ac:dyDescent="0.5">
      <c r="A121" s="16">
        <v>12</v>
      </c>
      <c r="B121" s="15"/>
      <c r="C121" s="20"/>
      <c r="D121" s="20"/>
      <c r="E121" s="19"/>
      <c r="F121" s="20"/>
      <c r="G121" s="20"/>
      <c r="H121" s="19"/>
      <c r="I121" s="20"/>
      <c r="J121" s="20"/>
      <c r="K121" s="20"/>
      <c r="L121" s="20"/>
      <c r="M121" s="20"/>
      <c r="N121" s="20"/>
      <c r="O121" s="20"/>
      <c r="P121" s="20"/>
      <c r="Q121" s="19"/>
      <c r="R121" s="20"/>
      <c r="S121" s="20"/>
      <c r="T121" s="19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>
        <f t="shared" si="13"/>
        <v>0</v>
      </c>
      <c r="AW121" s="19">
        <f t="shared" si="13"/>
        <v>0</v>
      </c>
      <c r="AX121" s="19">
        <f t="shared" si="14"/>
        <v>0</v>
      </c>
    </row>
    <row r="122" spans="1:50" hidden="1" x14ac:dyDescent="0.5">
      <c r="A122" s="16">
        <v>13</v>
      </c>
      <c r="B122" s="15"/>
      <c r="C122" s="20"/>
      <c r="D122" s="20"/>
      <c r="E122" s="19"/>
      <c r="F122" s="20"/>
      <c r="G122" s="20"/>
      <c r="H122" s="19"/>
      <c r="I122" s="20"/>
      <c r="J122" s="20"/>
      <c r="K122" s="20"/>
      <c r="L122" s="20"/>
      <c r="M122" s="20"/>
      <c r="N122" s="20"/>
      <c r="O122" s="20"/>
      <c r="P122" s="20"/>
      <c r="Q122" s="19"/>
      <c r="R122" s="20"/>
      <c r="S122" s="20"/>
      <c r="T122" s="19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>
        <f t="shared" si="13"/>
        <v>0</v>
      </c>
      <c r="AW122" s="19">
        <f t="shared" si="13"/>
        <v>0</v>
      </c>
      <c r="AX122" s="19">
        <f t="shared" si="14"/>
        <v>0</v>
      </c>
    </row>
    <row r="123" spans="1:50" hidden="1" x14ac:dyDescent="0.5">
      <c r="A123" s="16">
        <v>14</v>
      </c>
      <c r="B123" s="15"/>
      <c r="C123" s="20"/>
      <c r="D123" s="20"/>
      <c r="E123" s="19"/>
      <c r="F123" s="20"/>
      <c r="G123" s="20"/>
      <c r="H123" s="19"/>
      <c r="I123" s="20"/>
      <c r="J123" s="20"/>
      <c r="K123" s="20"/>
      <c r="L123" s="20"/>
      <c r="M123" s="20"/>
      <c r="N123" s="20"/>
      <c r="O123" s="20"/>
      <c r="P123" s="20"/>
      <c r="Q123" s="19"/>
      <c r="R123" s="20"/>
      <c r="S123" s="20"/>
      <c r="T123" s="19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>
        <f t="shared" si="13"/>
        <v>0</v>
      </c>
      <c r="AW123" s="19">
        <f t="shared" si="13"/>
        <v>0</v>
      </c>
      <c r="AX123" s="19">
        <f t="shared" si="14"/>
        <v>0</v>
      </c>
    </row>
    <row r="124" spans="1:50" hidden="1" x14ac:dyDescent="0.5">
      <c r="A124" s="16">
        <v>15</v>
      </c>
      <c r="B124" s="15"/>
      <c r="C124" s="20"/>
      <c r="D124" s="20"/>
      <c r="E124" s="19"/>
      <c r="F124" s="20"/>
      <c r="G124" s="20"/>
      <c r="H124" s="19"/>
      <c r="I124" s="20"/>
      <c r="J124" s="20"/>
      <c r="K124" s="20"/>
      <c r="L124" s="20"/>
      <c r="M124" s="20"/>
      <c r="N124" s="20"/>
      <c r="O124" s="20"/>
      <c r="P124" s="20"/>
      <c r="Q124" s="19"/>
      <c r="R124" s="20"/>
      <c r="S124" s="20"/>
      <c r="T124" s="19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>
        <f t="shared" si="13"/>
        <v>0</v>
      </c>
      <c r="AW124" s="19">
        <f t="shared" si="13"/>
        <v>0</v>
      </c>
      <c r="AX124" s="19">
        <f t="shared" si="14"/>
        <v>0</v>
      </c>
    </row>
    <row r="125" spans="1:50" hidden="1" x14ac:dyDescent="0.5">
      <c r="A125" s="16">
        <v>16</v>
      </c>
      <c r="B125" s="15"/>
      <c r="C125" s="20"/>
      <c r="D125" s="20"/>
      <c r="E125" s="19"/>
      <c r="F125" s="20"/>
      <c r="G125" s="20"/>
      <c r="H125" s="19"/>
      <c r="I125" s="20"/>
      <c r="J125" s="20"/>
      <c r="K125" s="20"/>
      <c r="L125" s="20"/>
      <c r="M125" s="20"/>
      <c r="N125" s="20"/>
      <c r="O125" s="20"/>
      <c r="P125" s="20"/>
      <c r="Q125" s="19"/>
      <c r="R125" s="20"/>
      <c r="S125" s="20"/>
      <c r="T125" s="19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>
        <f t="shared" si="13"/>
        <v>0</v>
      </c>
      <c r="AW125" s="19">
        <f t="shared" si="13"/>
        <v>0</v>
      </c>
      <c r="AX125" s="19">
        <f t="shared" si="14"/>
        <v>0</v>
      </c>
    </row>
    <row r="126" spans="1:50" hidden="1" x14ac:dyDescent="0.5">
      <c r="A126" s="16">
        <v>17</v>
      </c>
      <c r="B126" s="15"/>
      <c r="C126" s="20"/>
      <c r="D126" s="20"/>
      <c r="E126" s="19"/>
      <c r="F126" s="20"/>
      <c r="G126" s="20"/>
      <c r="H126" s="19"/>
      <c r="I126" s="20"/>
      <c r="J126" s="20"/>
      <c r="K126" s="20"/>
      <c r="L126" s="20"/>
      <c r="M126" s="20"/>
      <c r="N126" s="20"/>
      <c r="O126" s="20"/>
      <c r="P126" s="20"/>
      <c r="Q126" s="19"/>
      <c r="R126" s="20"/>
      <c r="S126" s="20"/>
      <c r="T126" s="19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>
        <f t="shared" si="13"/>
        <v>0</v>
      </c>
      <c r="AW126" s="19">
        <f t="shared" si="13"/>
        <v>0</v>
      </c>
      <c r="AX126" s="19">
        <f t="shared" si="14"/>
        <v>0</v>
      </c>
    </row>
    <row r="127" spans="1:50" hidden="1" x14ac:dyDescent="0.5">
      <c r="A127" s="16">
        <v>18</v>
      </c>
      <c r="B127" s="15"/>
      <c r="C127" s="20"/>
      <c r="D127" s="20"/>
      <c r="E127" s="19"/>
      <c r="F127" s="20"/>
      <c r="G127" s="20"/>
      <c r="H127" s="19"/>
      <c r="I127" s="20"/>
      <c r="J127" s="20"/>
      <c r="K127" s="20"/>
      <c r="L127" s="20"/>
      <c r="M127" s="20"/>
      <c r="N127" s="20"/>
      <c r="O127" s="20"/>
      <c r="P127" s="20"/>
      <c r="Q127" s="19"/>
      <c r="R127" s="20"/>
      <c r="S127" s="20"/>
      <c r="T127" s="19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>
        <f t="shared" si="13"/>
        <v>0</v>
      </c>
      <c r="AW127" s="19">
        <f t="shared" si="13"/>
        <v>0</v>
      </c>
      <c r="AX127" s="19">
        <f t="shared" si="14"/>
        <v>0</v>
      </c>
    </row>
    <row r="128" spans="1:50" hidden="1" x14ac:dyDescent="0.5">
      <c r="A128" s="16">
        <v>19</v>
      </c>
      <c r="B128" s="15"/>
      <c r="C128" s="20"/>
      <c r="D128" s="20"/>
      <c r="E128" s="19"/>
      <c r="F128" s="20"/>
      <c r="G128" s="20"/>
      <c r="H128" s="19"/>
      <c r="I128" s="20"/>
      <c r="J128" s="20"/>
      <c r="K128" s="20"/>
      <c r="L128" s="20"/>
      <c r="M128" s="20"/>
      <c r="N128" s="20"/>
      <c r="O128" s="20"/>
      <c r="P128" s="20"/>
      <c r="Q128" s="19"/>
      <c r="R128" s="20"/>
      <c r="S128" s="20"/>
      <c r="T128" s="19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>
        <f t="shared" si="13"/>
        <v>0</v>
      </c>
      <c r="AW128" s="19">
        <f t="shared" si="13"/>
        <v>0</v>
      </c>
      <c r="AX128" s="19">
        <f t="shared" si="14"/>
        <v>0</v>
      </c>
    </row>
    <row r="129" spans="1:50" hidden="1" x14ac:dyDescent="0.5">
      <c r="A129" s="16">
        <v>20</v>
      </c>
      <c r="B129" s="15"/>
      <c r="C129" s="20"/>
      <c r="D129" s="20"/>
      <c r="E129" s="19"/>
      <c r="F129" s="20"/>
      <c r="G129" s="20"/>
      <c r="H129" s="19"/>
      <c r="I129" s="20"/>
      <c r="J129" s="20"/>
      <c r="K129" s="20"/>
      <c r="L129" s="20"/>
      <c r="M129" s="20"/>
      <c r="N129" s="20"/>
      <c r="O129" s="20"/>
      <c r="P129" s="20"/>
      <c r="Q129" s="19"/>
      <c r="R129" s="20"/>
      <c r="S129" s="20"/>
      <c r="T129" s="19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>
        <f t="shared" si="13"/>
        <v>0</v>
      </c>
      <c r="AW129" s="19">
        <f t="shared" si="13"/>
        <v>0</v>
      </c>
      <c r="AX129" s="19">
        <f t="shared" si="14"/>
        <v>0</v>
      </c>
    </row>
    <row r="130" spans="1:50" hidden="1" x14ac:dyDescent="0.5">
      <c r="A130" s="16">
        <v>21</v>
      </c>
      <c r="B130" s="15"/>
      <c r="C130" s="20"/>
      <c r="D130" s="20"/>
      <c r="E130" s="19"/>
      <c r="F130" s="20"/>
      <c r="G130" s="20"/>
      <c r="H130" s="19"/>
      <c r="I130" s="20"/>
      <c r="J130" s="20"/>
      <c r="K130" s="20"/>
      <c r="L130" s="20"/>
      <c r="M130" s="20"/>
      <c r="N130" s="20"/>
      <c r="O130" s="20"/>
      <c r="P130" s="20"/>
      <c r="Q130" s="19"/>
      <c r="R130" s="20"/>
      <c r="S130" s="20"/>
      <c r="T130" s="19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>
        <f>C130+F130+I130+L130+O130+R130+U130+X130+AA130+AG130+AJ130+AM130+AP130+AS130</f>
        <v>0</v>
      </c>
      <c r="AW130" s="19">
        <f>D130+G130+J130+M130+P130+S130+V130+Y130+AB130+AH130+AK130+AN130+AQ130+AT130</f>
        <v>0</v>
      </c>
      <c r="AX130" s="19">
        <f>E130+H130+K130+N130+Q130+T130+W130+Z130+AC130+AI130+AL130+AO130+AR130+AU130</f>
        <v>0</v>
      </c>
    </row>
    <row r="131" spans="1:50" hidden="1" x14ac:dyDescent="0.5">
      <c r="A131" s="16">
        <v>22</v>
      </c>
      <c r="B131" s="15"/>
      <c r="C131" s="20"/>
      <c r="D131" s="20"/>
      <c r="E131" s="19"/>
      <c r="F131" s="20"/>
      <c r="G131" s="20"/>
      <c r="H131" s="19"/>
      <c r="I131" s="20"/>
      <c r="J131" s="20"/>
      <c r="K131" s="20"/>
      <c r="L131" s="20"/>
      <c r="M131" s="20"/>
      <c r="N131" s="20"/>
      <c r="O131" s="20"/>
      <c r="P131" s="20"/>
      <c r="Q131" s="19"/>
      <c r="R131" s="20"/>
      <c r="S131" s="20"/>
      <c r="T131" s="19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>
        <f t="shared" ref="AV131:AX132" si="15">C131+F131+I131+L131+O131+R131+U131+X131+AA131+AG131+AJ131+AM131+AP131+AS131</f>
        <v>0</v>
      </c>
      <c r="AW131" s="19">
        <f t="shared" si="15"/>
        <v>0</v>
      </c>
      <c r="AX131" s="19">
        <f t="shared" si="15"/>
        <v>0</v>
      </c>
    </row>
    <row r="132" spans="1:50" hidden="1" x14ac:dyDescent="0.5">
      <c r="A132" s="16">
        <v>23</v>
      </c>
      <c r="B132" s="15"/>
      <c r="C132" s="20"/>
      <c r="D132" s="20"/>
      <c r="E132" s="19"/>
      <c r="F132" s="20"/>
      <c r="G132" s="20"/>
      <c r="H132" s="19"/>
      <c r="I132" s="20"/>
      <c r="J132" s="20"/>
      <c r="K132" s="20"/>
      <c r="L132" s="20"/>
      <c r="M132" s="20"/>
      <c r="N132" s="20"/>
      <c r="O132" s="20"/>
      <c r="P132" s="20"/>
      <c r="Q132" s="19"/>
      <c r="R132" s="20"/>
      <c r="S132" s="20"/>
      <c r="T132" s="19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>
        <f t="shared" si="15"/>
        <v>0</v>
      </c>
      <c r="AW132" s="19">
        <f t="shared" si="15"/>
        <v>0</v>
      </c>
      <c r="AX132" s="19">
        <f t="shared" si="15"/>
        <v>0</v>
      </c>
    </row>
    <row r="133" spans="1:50" hidden="1" x14ac:dyDescent="0.5">
      <c r="A133" s="14"/>
      <c r="B133" s="13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8">
        <f>SUM(AA106:AA117)</f>
        <v>0</v>
      </c>
      <c r="AB133" s="18">
        <f>SUM(AB106:AB117)</f>
        <v>0</v>
      </c>
      <c r="AV133" s="182">
        <f>SUM(AV106:AV132)</f>
        <v>0</v>
      </c>
      <c r="AW133" s="182">
        <f>SUM(AW106:AW132)</f>
        <v>0</v>
      </c>
      <c r="AX133" s="182">
        <f t="shared" ref="AX133" si="16">SUM(AX106:AX132)</f>
        <v>0</v>
      </c>
    </row>
    <row r="134" spans="1:50" hidden="1" x14ac:dyDescent="0.5"/>
    <row r="135" spans="1:50" hidden="1" x14ac:dyDescent="0.5">
      <c r="A135" s="561" t="s">
        <v>380</v>
      </c>
      <c r="B135" s="561"/>
      <c r="C135" s="561"/>
      <c r="D135" s="561"/>
      <c r="E135" s="561"/>
      <c r="F135" s="561"/>
    </row>
    <row r="136" spans="1:50" hidden="1" x14ac:dyDescent="0.5">
      <c r="A136" s="561"/>
      <c r="B136" s="561"/>
      <c r="C136" s="561"/>
      <c r="D136" s="561"/>
      <c r="E136" s="561"/>
      <c r="F136" s="561"/>
    </row>
    <row r="137" spans="1:50" hidden="1" x14ac:dyDescent="0.5">
      <c r="A137" s="551" t="s">
        <v>118</v>
      </c>
      <c r="B137" s="552" t="s">
        <v>135</v>
      </c>
      <c r="C137" s="553"/>
      <c r="D137" s="553"/>
      <c r="E137" s="553"/>
      <c r="F137" s="553"/>
      <c r="G137" s="553"/>
      <c r="H137" s="553"/>
      <c r="I137" s="553"/>
      <c r="J137" s="553"/>
      <c r="K137" s="553"/>
      <c r="L137" s="553"/>
      <c r="M137" s="553"/>
      <c r="N137" s="553"/>
      <c r="O137" s="553"/>
      <c r="P137" s="553"/>
      <c r="Q137" s="553"/>
      <c r="R137" s="553"/>
      <c r="S137" s="553"/>
      <c r="T137" s="553"/>
      <c r="U137" s="553"/>
      <c r="V137" s="553"/>
      <c r="W137" s="553"/>
      <c r="X137" s="553"/>
      <c r="Y137" s="553"/>
      <c r="Z137" s="553"/>
      <c r="AA137" s="553"/>
      <c r="AB137" s="553"/>
      <c r="AC137" s="553"/>
      <c r="AD137" s="553"/>
      <c r="AE137" s="553"/>
      <c r="AF137" s="553"/>
      <c r="AG137" s="553"/>
      <c r="AH137" s="553"/>
      <c r="AI137" s="553"/>
      <c r="AJ137" s="553"/>
      <c r="AK137" s="553"/>
      <c r="AL137" s="553"/>
      <c r="AM137" s="553"/>
      <c r="AN137" s="553"/>
      <c r="AO137" s="553"/>
      <c r="AP137" s="553"/>
      <c r="AQ137" s="553"/>
      <c r="AR137" s="553"/>
      <c r="AS137" s="553"/>
      <c r="AT137" s="553"/>
      <c r="AU137" s="553"/>
      <c r="AV137" s="553"/>
      <c r="AW137" s="553"/>
      <c r="AX137" s="553"/>
    </row>
    <row r="138" spans="1:50" hidden="1" x14ac:dyDescent="0.5">
      <c r="A138" s="551"/>
      <c r="B138" s="552"/>
      <c r="C138" s="554" t="s">
        <v>124</v>
      </c>
      <c r="D138" s="555"/>
      <c r="E138" s="556"/>
      <c r="F138" s="554" t="s">
        <v>133</v>
      </c>
      <c r="G138" s="555"/>
      <c r="H138" s="556"/>
      <c r="I138" s="554" t="s">
        <v>132</v>
      </c>
      <c r="J138" s="555"/>
      <c r="K138" s="556"/>
      <c r="L138" s="554" t="s">
        <v>131</v>
      </c>
      <c r="M138" s="555"/>
      <c r="N138" s="556"/>
      <c r="O138" s="554" t="s">
        <v>130</v>
      </c>
      <c r="P138" s="555"/>
      <c r="Q138" s="556"/>
      <c r="R138" s="554" t="s">
        <v>129</v>
      </c>
      <c r="S138" s="555"/>
      <c r="T138" s="556"/>
      <c r="U138" s="554" t="s">
        <v>128</v>
      </c>
      <c r="V138" s="555"/>
      <c r="W138" s="556"/>
      <c r="X138" s="554" t="s">
        <v>127</v>
      </c>
      <c r="Y138" s="555"/>
      <c r="Z138" s="556"/>
      <c r="AA138" s="554" t="s">
        <v>126</v>
      </c>
      <c r="AB138" s="555"/>
      <c r="AC138" s="556"/>
      <c r="AD138" s="554" t="s">
        <v>378</v>
      </c>
      <c r="AE138" s="555"/>
      <c r="AF138" s="556"/>
      <c r="AG138" s="554" t="s">
        <v>125</v>
      </c>
      <c r="AH138" s="555"/>
      <c r="AI138" s="556"/>
      <c r="AJ138" s="554" t="s">
        <v>124</v>
      </c>
      <c r="AK138" s="555"/>
      <c r="AL138" s="556"/>
      <c r="AM138" s="554" t="s">
        <v>123</v>
      </c>
      <c r="AN138" s="555"/>
      <c r="AO138" s="556"/>
      <c r="AP138" s="554" t="s">
        <v>367</v>
      </c>
      <c r="AQ138" s="555"/>
      <c r="AR138" s="556"/>
      <c r="AS138" s="554" t="s">
        <v>368</v>
      </c>
      <c r="AT138" s="555"/>
      <c r="AU138" s="556"/>
      <c r="AV138" s="554" t="s">
        <v>122</v>
      </c>
      <c r="AW138" s="555"/>
      <c r="AX138" s="556"/>
    </row>
    <row r="139" spans="1:50" hidden="1" x14ac:dyDescent="0.5">
      <c r="A139" s="551"/>
      <c r="B139" s="552"/>
      <c r="C139" s="17" t="s">
        <v>109</v>
      </c>
      <c r="D139" s="17" t="s">
        <v>108</v>
      </c>
      <c r="E139" s="17" t="s">
        <v>348</v>
      </c>
      <c r="F139" s="17" t="s">
        <v>109</v>
      </c>
      <c r="G139" s="17" t="s">
        <v>108</v>
      </c>
      <c r="H139" s="17" t="s">
        <v>348</v>
      </c>
      <c r="I139" s="17" t="s">
        <v>109</v>
      </c>
      <c r="J139" s="17" t="s">
        <v>108</v>
      </c>
      <c r="K139" s="17" t="s">
        <v>348</v>
      </c>
      <c r="L139" s="17" t="s">
        <v>109</v>
      </c>
      <c r="M139" s="17" t="s">
        <v>108</v>
      </c>
      <c r="N139" s="17" t="s">
        <v>348</v>
      </c>
      <c r="O139" s="17" t="s">
        <v>109</v>
      </c>
      <c r="P139" s="17" t="s">
        <v>108</v>
      </c>
      <c r="Q139" s="17" t="s">
        <v>348</v>
      </c>
      <c r="R139" s="17" t="s">
        <v>109</v>
      </c>
      <c r="S139" s="17" t="s">
        <v>108</v>
      </c>
      <c r="T139" s="17" t="s">
        <v>348</v>
      </c>
      <c r="U139" s="17" t="s">
        <v>109</v>
      </c>
      <c r="V139" s="17" t="s">
        <v>108</v>
      </c>
      <c r="W139" s="17" t="s">
        <v>348</v>
      </c>
      <c r="X139" s="17" t="s">
        <v>109</v>
      </c>
      <c r="Y139" s="17" t="s">
        <v>108</v>
      </c>
      <c r="Z139" s="17" t="s">
        <v>348</v>
      </c>
      <c r="AA139" s="17" t="s">
        <v>109</v>
      </c>
      <c r="AB139" s="17" t="s">
        <v>108</v>
      </c>
      <c r="AC139" s="17" t="s">
        <v>348</v>
      </c>
      <c r="AD139" s="17"/>
      <c r="AE139" s="17"/>
      <c r="AF139" s="17"/>
      <c r="AG139" s="17" t="s">
        <v>109</v>
      </c>
      <c r="AH139" s="17" t="s">
        <v>108</v>
      </c>
      <c r="AI139" s="17" t="s">
        <v>348</v>
      </c>
      <c r="AJ139" s="17" t="s">
        <v>109</v>
      </c>
      <c r="AK139" s="17" t="s">
        <v>108</v>
      </c>
      <c r="AL139" s="17" t="s">
        <v>348</v>
      </c>
      <c r="AM139" s="17" t="s">
        <v>109</v>
      </c>
      <c r="AN139" s="17" t="s">
        <v>108</v>
      </c>
      <c r="AO139" s="17" t="s">
        <v>348</v>
      </c>
      <c r="AP139" s="17" t="s">
        <v>109</v>
      </c>
      <c r="AQ139" s="17" t="s">
        <v>108</v>
      </c>
      <c r="AR139" s="17" t="s">
        <v>348</v>
      </c>
      <c r="AS139" s="17" t="s">
        <v>109</v>
      </c>
      <c r="AT139" s="17" t="s">
        <v>108</v>
      </c>
      <c r="AU139" s="17" t="s">
        <v>348</v>
      </c>
      <c r="AV139" s="17" t="s">
        <v>109</v>
      </c>
      <c r="AW139" s="17" t="s">
        <v>108</v>
      </c>
      <c r="AX139" s="17" t="s">
        <v>348</v>
      </c>
    </row>
    <row r="140" spans="1:50" hidden="1" x14ac:dyDescent="0.5">
      <c r="A140" s="16">
        <v>1</v>
      </c>
      <c r="B140" s="15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>
        <f>C140+F140+I140+L140+O140+R140+U140+X140+AA140+AG140+AJ140+AM140+AP140+AS140</f>
        <v>0</v>
      </c>
      <c r="AW140" s="19">
        <f>D140+G140+J140+M140+P140+S140+V140+Y140+AB140+AH140+AK140+AN140+AQ140+AT140</f>
        <v>0</v>
      </c>
      <c r="AX140" s="19">
        <f>E140+H140+K140+N140+Q140+T140+W140+Z140+AC140+AI140+AL140+AO140+AR140+AU140</f>
        <v>0</v>
      </c>
    </row>
    <row r="141" spans="1:50" hidden="1" x14ac:dyDescent="0.5">
      <c r="A141" s="16">
        <v>2</v>
      </c>
      <c r="B141" s="15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21"/>
      <c r="P141" s="178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>
        <f t="shared" ref="AV141:AW164" si="17">C141+F141+I141+L141+O141+R141+U141+X141+AA141+AG141+AJ141+AM141</f>
        <v>0</v>
      </c>
      <c r="AW141" s="19">
        <f>D141+G141+J141+M141+P141+S141+V141+Y141+AB141+AH141+AK141+AN141+AE141</f>
        <v>0</v>
      </c>
      <c r="AX141" s="19">
        <f>E141+H141+K141+N141+Q141+T141+W141+Z141+AC141+AI141+AL141+AN141+AF141</f>
        <v>0</v>
      </c>
    </row>
    <row r="142" spans="1:50" hidden="1" x14ac:dyDescent="0.5">
      <c r="A142" s="16">
        <v>3</v>
      </c>
      <c r="B142" s="15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>
        <f t="shared" si="17"/>
        <v>0</v>
      </c>
      <c r="AW142" s="19">
        <f t="shared" si="17"/>
        <v>0</v>
      </c>
      <c r="AX142" s="19">
        <f t="shared" ref="AX142:AX164" si="18">E142+H142+K142+N142+Q142+T142+W142+Z142+AC142+AI142+AL142+AN142</f>
        <v>0</v>
      </c>
    </row>
    <row r="143" spans="1:50" hidden="1" x14ac:dyDescent="0.5">
      <c r="A143" s="16">
        <v>4</v>
      </c>
      <c r="B143" s="15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>
        <f t="shared" si="17"/>
        <v>0</v>
      </c>
      <c r="AW143" s="19">
        <f t="shared" si="17"/>
        <v>0</v>
      </c>
      <c r="AX143" s="19">
        <f t="shared" si="18"/>
        <v>0</v>
      </c>
    </row>
    <row r="144" spans="1:50" hidden="1" x14ac:dyDescent="0.5">
      <c r="A144" s="16">
        <v>5</v>
      </c>
      <c r="B144" s="15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>
        <f t="shared" si="17"/>
        <v>0</v>
      </c>
      <c r="AW144" s="19">
        <f t="shared" si="17"/>
        <v>0</v>
      </c>
      <c r="AX144" s="19">
        <f t="shared" si="18"/>
        <v>0</v>
      </c>
    </row>
    <row r="145" spans="1:50" hidden="1" x14ac:dyDescent="0.5">
      <c r="A145" s="16">
        <v>6</v>
      </c>
      <c r="B145" s="15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>
        <f t="shared" si="17"/>
        <v>0</v>
      </c>
      <c r="AW145" s="19">
        <f t="shared" si="17"/>
        <v>0</v>
      </c>
      <c r="AX145" s="19">
        <f t="shared" si="18"/>
        <v>0</v>
      </c>
    </row>
    <row r="146" spans="1:50" hidden="1" x14ac:dyDescent="0.5">
      <c r="A146" s="16">
        <v>7</v>
      </c>
      <c r="B146" s="15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>
        <f t="shared" si="17"/>
        <v>0</v>
      </c>
      <c r="AW146" s="19">
        <f t="shared" si="17"/>
        <v>0</v>
      </c>
      <c r="AX146" s="19">
        <f t="shared" si="18"/>
        <v>0</v>
      </c>
    </row>
    <row r="147" spans="1:50" hidden="1" x14ac:dyDescent="0.5">
      <c r="A147" s="16">
        <v>8</v>
      </c>
      <c r="B147" s="15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>
        <f t="shared" si="17"/>
        <v>0</v>
      </c>
      <c r="AW147" s="19">
        <f t="shared" si="17"/>
        <v>0</v>
      </c>
      <c r="AX147" s="19">
        <f t="shared" si="18"/>
        <v>0</v>
      </c>
    </row>
    <row r="148" spans="1:50" hidden="1" x14ac:dyDescent="0.5">
      <c r="A148" s="16">
        <v>9</v>
      </c>
      <c r="B148" s="15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>
        <f t="shared" si="17"/>
        <v>0</v>
      </c>
      <c r="AW148" s="19">
        <f t="shared" si="17"/>
        <v>0</v>
      </c>
      <c r="AX148" s="19">
        <f t="shared" si="18"/>
        <v>0</v>
      </c>
    </row>
    <row r="149" spans="1:50" hidden="1" x14ac:dyDescent="0.5">
      <c r="A149" s="16">
        <v>8</v>
      </c>
      <c r="B149" s="15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>
        <f t="shared" si="17"/>
        <v>0</v>
      </c>
      <c r="AW149" s="19">
        <f t="shared" si="17"/>
        <v>0</v>
      </c>
      <c r="AX149" s="19">
        <f t="shared" si="18"/>
        <v>0</v>
      </c>
    </row>
    <row r="150" spans="1:50" hidden="1" x14ac:dyDescent="0.5">
      <c r="A150" s="16">
        <v>7</v>
      </c>
      <c r="B150" s="15"/>
      <c r="C150" s="20"/>
      <c r="D150" s="20"/>
      <c r="E150" s="19"/>
      <c r="F150" s="20"/>
      <c r="G150" s="20"/>
      <c r="H150" s="19"/>
      <c r="I150" s="20"/>
      <c r="J150" s="20"/>
      <c r="K150" s="20"/>
      <c r="L150" s="20"/>
      <c r="M150" s="20"/>
      <c r="N150" s="20"/>
      <c r="O150" s="20"/>
      <c r="P150" s="20"/>
      <c r="Q150" s="19"/>
      <c r="R150" s="20"/>
      <c r="S150" s="20"/>
      <c r="T150" s="19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>
        <f t="shared" si="17"/>
        <v>0</v>
      </c>
      <c r="AW150" s="19">
        <f t="shared" si="17"/>
        <v>0</v>
      </c>
      <c r="AX150" s="19">
        <f t="shared" si="18"/>
        <v>0</v>
      </c>
    </row>
    <row r="151" spans="1:50" hidden="1" x14ac:dyDescent="0.5">
      <c r="A151" s="16">
        <v>8</v>
      </c>
      <c r="B151" s="15"/>
      <c r="C151" s="20"/>
      <c r="D151" s="20"/>
      <c r="E151" s="19"/>
      <c r="F151" s="20"/>
      <c r="G151" s="20"/>
      <c r="H151" s="19"/>
      <c r="I151" s="20"/>
      <c r="J151" s="20"/>
      <c r="K151" s="20"/>
      <c r="L151" s="20"/>
      <c r="M151" s="20"/>
      <c r="N151" s="20"/>
      <c r="O151" s="20"/>
      <c r="P151" s="20"/>
      <c r="Q151" s="19"/>
      <c r="R151" s="20"/>
      <c r="S151" s="20"/>
      <c r="T151" s="19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>
        <f t="shared" si="17"/>
        <v>0</v>
      </c>
      <c r="AW151" s="19">
        <f t="shared" si="17"/>
        <v>0</v>
      </c>
      <c r="AX151" s="19">
        <f t="shared" si="18"/>
        <v>0</v>
      </c>
    </row>
    <row r="152" spans="1:50" hidden="1" x14ac:dyDescent="0.5">
      <c r="A152" s="16">
        <v>9</v>
      </c>
      <c r="B152" s="15"/>
      <c r="C152" s="20"/>
      <c r="D152" s="20"/>
      <c r="E152" s="19"/>
      <c r="F152" s="20"/>
      <c r="G152" s="20"/>
      <c r="H152" s="19"/>
      <c r="I152" s="20"/>
      <c r="J152" s="20"/>
      <c r="K152" s="20"/>
      <c r="L152" s="20"/>
      <c r="M152" s="20"/>
      <c r="N152" s="20"/>
      <c r="O152" s="20"/>
      <c r="P152" s="20"/>
      <c r="Q152" s="19"/>
      <c r="R152" s="20"/>
      <c r="S152" s="20"/>
      <c r="T152" s="19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>
        <f t="shared" si="17"/>
        <v>0</v>
      </c>
      <c r="AW152" s="19">
        <f t="shared" si="17"/>
        <v>0</v>
      </c>
      <c r="AX152" s="19">
        <f t="shared" si="18"/>
        <v>0</v>
      </c>
    </row>
    <row r="153" spans="1:50" hidden="1" x14ac:dyDescent="0.5">
      <c r="A153" s="16">
        <v>11</v>
      </c>
      <c r="B153" s="15"/>
      <c r="C153" s="20"/>
      <c r="D153" s="20"/>
      <c r="E153" s="19"/>
      <c r="F153" s="20"/>
      <c r="G153" s="20"/>
      <c r="H153" s="19"/>
      <c r="I153" s="20"/>
      <c r="J153" s="20"/>
      <c r="K153" s="20"/>
      <c r="L153" s="20"/>
      <c r="M153" s="20"/>
      <c r="N153" s="20"/>
      <c r="O153" s="20"/>
      <c r="P153" s="20"/>
      <c r="Q153" s="19"/>
      <c r="R153" s="20"/>
      <c r="S153" s="20"/>
      <c r="T153" s="19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>
        <f t="shared" si="17"/>
        <v>0</v>
      </c>
      <c r="AW153" s="19">
        <f t="shared" si="17"/>
        <v>0</v>
      </c>
      <c r="AX153" s="19">
        <f t="shared" si="18"/>
        <v>0</v>
      </c>
    </row>
    <row r="154" spans="1:50" hidden="1" x14ac:dyDescent="0.5">
      <c r="A154" s="16">
        <v>10</v>
      </c>
      <c r="B154" s="15"/>
      <c r="C154" s="20"/>
      <c r="D154" s="20"/>
      <c r="E154" s="19"/>
      <c r="F154" s="20"/>
      <c r="G154" s="20"/>
      <c r="H154" s="19"/>
      <c r="I154" s="20"/>
      <c r="J154" s="20"/>
      <c r="K154" s="20"/>
      <c r="L154" s="20"/>
      <c r="M154" s="20"/>
      <c r="N154" s="20"/>
      <c r="O154" s="20"/>
      <c r="P154" s="20"/>
      <c r="Q154" s="19"/>
      <c r="R154" s="20"/>
      <c r="S154" s="20"/>
      <c r="T154" s="19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>
        <f t="shared" si="17"/>
        <v>0</v>
      </c>
      <c r="AW154" s="19">
        <f t="shared" si="17"/>
        <v>0</v>
      </c>
      <c r="AX154" s="19">
        <f t="shared" si="18"/>
        <v>0</v>
      </c>
    </row>
    <row r="155" spans="1:50" hidden="1" x14ac:dyDescent="0.5">
      <c r="A155" s="16">
        <v>11</v>
      </c>
      <c r="B155" s="15"/>
      <c r="C155" s="20"/>
      <c r="D155" s="20"/>
      <c r="E155" s="19"/>
      <c r="F155" s="20"/>
      <c r="G155" s="20"/>
      <c r="H155" s="19"/>
      <c r="I155" s="20"/>
      <c r="J155" s="20"/>
      <c r="K155" s="20"/>
      <c r="L155" s="20"/>
      <c r="M155" s="20"/>
      <c r="N155" s="20"/>
      <c r="O155" s="20"/>
      <c r="P155" s="20"/>
      <c r="Q155" s="19"/>
      <c r="R155" s="20"/>
      <c r="S155" s="20"/>
      <c r="T155" s="19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>
        <f t="shared" si="17"/>
        <v>0</v>
      </c>
      <c r="AW155" s="19">
        <f t="shared" si="17"/>
        <v>0</v>
      </c>
      <c r="AX155" s="19">
        <f t="shared" si="18"/>
        <v>0</v>
      </c>
    </row>
    <row r="156" spans="1:50" hidden="1" x14ac:dyDescent="0.5">
      <c r="A156" s="16">
        <v>12</v>
      </c>
      <c r="B156" s="15"/>
      <c r="C156" s="20"/>
      <c r="D156" s="20"/>
      <c r="E156" s="19"/>
      <c r="F156" s="20"/>
      <c r="G156" s="20"/>
      <c r="H156" s="19"/>
      <c r="I156" s="20"/>
      <c r="J156" s="20"/>
      <c r="K156" s="20"/>
      <c r="L156" s="20"/>
      <c r="M156" s="20"/>
      <c r="N156" s="20"/>
      <c r="O156" s="20"/>
      <c r="P156" s="20"/>
      <c r="Q156" s="19"/>
      <c r="R156" s="20"/>
      <c r="S156" s="20"/>
      <c r="T156" s="19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>
        <f t="shared" si="17"/>
        <v>0</v>
      </c>
      <c r="AW156" s="19">
        <f t="shared" si="17"/>
        <v>0</v>
      </c>
      <c r="AX156" s="19">
        <f t="shared" si="18"/>
        <v>0</v>
      </c>
    </row>
    <row r="157" spans="1:50" hidden="1" x14ac:dyDescent="0.5">
      <c r="A157" s="16">
        <v>13</v>
      </c>
      <c r="B157" s="15"/>
      <c r="C157" s="20"/>
      <c r="D157" s="20"/>
      <c r="E157" s="19"/>
      <c r="F157" s="20"/>
      <c r="G157" s="20"/>
      <c r="H157" s="19"/>
      <c r="I157" s="20"/>
      <c r="J157" s="20"/>
      <c r="K157" s="20"/>
      <c r="L157" s="20"/>
      <c r="M157" s="20"/>
      <c r="N157" s="20"/>
      <c r="O157" s="20"/>
      <c r="P157" s="20"/>
      <c r="Q157" s="19"/>
      <c r="R157" s="20"/>
      <c r="S157" s="20"/>
      <c r="T157" s="19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>
        <f t="shared" si="17"/>
        <v>0</v>
      </c>
      <c r="AW157" s="19">
        <f t="shared" si="17"/>
        <v>0</v>
      </c>
      <c r="AX157" s="19">
        <f t="shared" si="18"/>
        <v>0</v>
      </c>
    </row>
    <row r="158" spans="1:50" hidden="1" x14ac:dyDescent="0.5">
      <c r="A158" s="16">
        <v>14</v>
      </c>
      <c r="B158" s="15"/>
      <c r="C158" s="20"/>
      <c r="D158" s="20"/>
      <c r="E158" s="19"/>
      <c r="F158" s="20"/>
      <c r="G158" s="20"/>
      <c r="H158" s="19"/>
      <c r="I158" s="20"/>
      <c r="J158" s="20"/>
      <c r="K158" s="20"/>
      <c r="L158" s="20"/>
      <c r="M158" s="20"/>
      <c r="N158" s="20"/>
      <c r="O158" s="20"/>
      <c r="P158" s="20"/>
      <c r="Q158" s="19"/>
      <c r="R158" s="20"/>
      <c r="S158" s="20"/>
      <c r="T158" s="19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>
        <f t="shared" si="17"/>
        <v>0</v>
      </c>
      <c r="AW158" s="19">
        <f t="shared" si="17"/>
        <v>0</v>
      </c>
      <c r="AX158" s="19">
        <f t="shared" si="18"/>
        <v>0</v>
      </c>
    </row>
    <row r="159" spans="1:50" hidden="1" x14ac:dyDescent="0.5">
      <c r="A159" s="16">
        <v>15</v>
      </c>
      <c r="B159" s="15"/>
      <c r="C159" s="20"/>
      <c r="D159" s="20"/>
      <c r="E159" s="19"/>
      <c r="F159" s="20"/>
      <c r="G159" s="20"/>
      <c r="H159" s="19"/>
      <c r="I159" s="20"/>
      <c r="J159" s="20"/>
      <c r="K159" s="20"/>
      <c r="L159" s="20"/>
      <c r="M159" s="20"/>
      <c r="N159" s="20"/>
      <c r="O159" s="20"/>
      <c r="P159" s="20"/>
      <c r="Q159" s="19"/>
      <c r="R159" s="20"/>
      <c r="S159" s="20"/>
      <c r="T159" s="19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>
        <f t="shared" si="17"/>
        <v>0</v>
      </c>
      <c r="AW159" s="19">
        <f t="shared" si="17"/>
        <v>0</v>
      </c>
      <c r="AX159" s="19">
        <f t="shared" si="18"/>
        <v>0</v>
      </c>
    </row>
    <row r="160" spans="1:50" hidden="1" x14ac:dyDescent="0.5">
      <c r="A160" s="16">
        <v>16</v>
      </c>
      <c r="B160" s="15"/>
      <c r="C160" s="20"/>
      <c r="D160" s="20"/>
      <c r="E160" s="19"/>
      <c r="F160" s="20"/>
      <c r="G160" s="20"/>
      <c r="H160" s="19"/>
      <c r="I160" s="20"/>
      <c r="J160" s="20"/>
      <c r="K160" s="20"/>
      <c r="L160" s="20"/>
      <c r="M160" s="20"/>
      <c r="N160" s="20"/>
      <c r="O160" s="20"/>
      <c r="P160" s="20"/>
      <c r="Q160" s="19"/>
      <c r="R160" s="20"/>
      <c r="S160" s="20"/>
      <c r="T160" s="19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>
        <f t="shared" si="17"/>
        <v>0</v>
      </c>
      <c r="AW160" s="19">
        <f t="shared" si="17"/>
        <v>0</v>
      </c>
      <c r="AX160" s="19">
        <f t="shared" si="18"/>
        <v>0</v>
      </c>
    </row>
    <row r="161" spans="1:50" hidden="1" x14ac:dyDescent="0.5">
      <c r="A161" s="16">
        <v>17</v>
      </c>
      <c r="B161" s="15"/>
      <c r="C161" s="20"/>
      <c r="D161" s="20"/>
      <c r="E161" s="19"/>
      <c r="F161" s="20"/>
      <c r="G161" s="20"/>
      <c r="H161" s="19"/>
      <c r="I161" s="20"/>
      <c r="J161" s="20"/>
      <c r="K161" s="20"/>
      <c r="L161" s="20"/>
      <c r="M161" s="20"/>
      <c r="N161" s="20"/>
      <c r="O161" s="20"/>
      <c r="P161" s="20"/>
      <c r="Q161" s="19"/>
      <c r="R161" s="20"/>
      <c r="S161" s="20"/>
      <c r="T161" s="19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>
        <f t="shared" si="17"/>
        <v>0</v>
      </c>
      <c r="AW161" s="19">
        <f t="shared" si="17"/>
        <v>0</v>
      </c>
      <c r="AX161" s="19">
        <f t="shared" si="18"/>
        <v>0</v>
      </c>
    </row>
    <row r="162" spans="1:50" hidden="1" x14ac:dyDescent="0.5">
      <c r="A162" s="16">
        <v>18</v>
      </c>
      <c r="B162" s="15"/>
      <c r="C162" s="20"/>
      <c r="D162" s="20"/>
      <c r="E162" s="19"/>
      <c r="F162" s="20"/>
      <c r="G162" s="20"/>
      <c r="H162" s="19"/>
      <c r="I162" s="20"/>
      <c r="J162" s="20"/>
      <c r="K162" s="20"/>
      <c r="L162" s="20"/>
      <c r="M162" s="20"/>
      <c r="N162" s="20"/>
      <c r="O162" s="20"/>
      <c r="P162" s="20"/>
      <c r="Q162" s="19"/>
      <c r="R162" s="20"/>
      <c r="S162" s="20"/>
      <c r="T162" s="19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>
        <f t="shared" si="17"/>
        <v>0</v>
      </c>
      <c r="AW162" s="19">
        <f t="shared" si="17"/>
        <v>0</v>
      </c>
      <c r="AX162" s="19">
        <f t="shared" si="18"/>
        <v>0</v>
      </c>
    </row>
    <row r="163" spans="1:50" hidden="1" x14ac:dyDescent="0.5">
      <c r="A163" s="16">
        <v>19</v>
      </c>
      <c r="B163" s="15"/>
      <c r="C163" s="20"/>
      <c r="D163" s="20"/>
      <c r="E163" s="19"/>
      <c r="F163" s="20"/>
      <c r="G163" s="20"/>
      <c r="H163" s="19"/>
      <c r="I163" s="20"/>
      <c r="J163" s="20"/>
      <c r="K163" s="20"/>
      <c r="L163" s="20"/>
      <c r="M163" s="20"/>
      <c r="N163" s="20"/>
      <c r="O163" s="20"/>
      <c r="P163" s="20"/>
      <c r="Q163" s="19"/>
      <c r="R163" s="20"/>
      <c r="S163" s="20"/>
      <c r="T163" s="19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>
        <f t="shared" si="17"/>
        <v>0</v>
      </c>
      <c r="AW163" s="19">
        <f t="shared" si="17"/>
        <v>0</v>
      </c>
      <c r="AX163" s="19">
        <f t="shared" si="18"/>
        <v>0</v>
      </c>
    </row>
    <row r="164" spans="1:50" hidden="1" x14ac:dyDescent="0.5">
      <c r="A164" s="16">
        <v>20</v>
      </c>
      <c r="B164" s="15"/>
      <c r="C164" s="20"/>
      <c r="D164" s="20"/>
      <c r="E164" s="19"/>
      <c r="F164" s="20"/>
      <c r="G164" s="20"/>
      <c r="H164" s="19"/>
      <c r="I164" s="20"/>
      <c r="J164" s="20"/>
      <c r="K164" s="20"/>
      <c r="L164" s="20"/>
      <c r="M164" s="20"/>
      <c r="N164" s="20"/>
      <c r="O164" s="20"/>
      <c r="P164" s="20"/>
      <c r="Q164" s="19"/>
      <c r="R164" s="20"/>
      <c r="S164" s="20"/>
      <c r="T164" s="19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>
        <f t="shared" si="17"/>
        <v>0</v>
      </c>
      <c r="AW164" s="19">
        <f t="shared" si="17"/>
        <v>0</v>
      </c>
      <c r="AX164" s="19">
        <f t="shared" si="18"/>
        <v>0</v>
      </c>
    </row>
    <row r="165" spans="1:50" hidden="1" x14ac:dyDescent="0.5">
      <c r="A165" s="16">
        <v>21</v>
      </c>
      <c r="B165" s="15"/>
      <c r="C165" s="20"/>
      <c r="D165" s="20"/>
      <c r="E165" s="19"/>
      <c r="F165" s="20"/>
      <c r="G165" s="20"/>
      <c r="H165" s="19"/>
      <c r="I165" s="20"/>
      <c r="J165" s="20"/>
      <c r="K165" s="20"/>
      <c r="L165" s="20"/>
      <c r="M165" s="20"/>
      <c r="N165" s="20"/>
      <c r="O165" s="20"/>
      <c r="P165" s="20"/>
      <c r="Q165" s="19"/>
      <c r="R165" s="20"/>
      <c r="S165" s="20"/>
      <c r="T165" s="19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>
        <f>C165+F165+I165+L165+O165+R165+U165+X165+AA165+AG165+AJ165+AM165+AP165+AS165</f>
        <v>0</v>
      </c>
      <c r="AW165" s="19">
        <f>D165+G165+J165+M165+P165+S165+V165+Y165+AB165+AH165+AK165+AN165+AQ165+AT165</f>
        <v>0</v>
      </c>
      <c r="AX165" s="19">
        <f>E165+H165+K165+N165+Q165+T165+W165+Z165+AC165+AI165+AL165+AO165+AR165+AU165</f>
        <v>0</v>
      </c>
    </row>
    <row r="166" spans="1:50" hidden="1" x14ac:dyDescent="0.5">
      <c r="A166" s="16">
        <v>22</v>
      </c>
      <c r="B166" s="15"/>
      <c r="C166" s="20"/>
      <c r="D166" s="20"/>
      <c r="E166" s="19"/>
      <c r="F166" s="20"/>
      <c r="G166" s="20"/>
      <c r="H166" s="19"/>
      <c r="I166" s="20"/>
      <c r="J166" s="20"/>
      <c r="K166" s="20"/>
      <c r="L166" s="20"/>
      <c r="M166" s="20"/>
      <c r="N166" s="20"/>
      <c r="O166" s="20"/>
      <c r="P166" s="20"/>
      <c r="Q166" s="19"/>
      <c r="R166" s="20"/>
      <c r="S166" s="20"/>
      <c r="T166" s="19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>
        <f t="shared" ref="AV166:AX167" si="19">C166+F166+I166+L166+O166+R166+U166+X166+AA166+AG166+AJ166+AM166+AP166+AS166</f>
        <v>0</v>
      </c>
      <c r="AW166" s="19">
        <f t="shared" si="19"/>
        <v>0</v>
      </c>
      <c r="AX166" s="19">
        <f t="shared" si="19"/>
        <v>0</v>
      </c>
    </row>
    <row r="167" spans="1:50" hidden="1" x14ac:dyDescent="0.5">
      <c r="A167" s="16">
        <v>23</v>
      </c>
      <c r="B167" s="15"/>
      <c r="C167" s="20"/>
      <c r="D167" s="20"/>
      <c r="E167" s="19"/>
      <c r="F167" s="20"/>
      <c r="G167" s="20"/>
      <c r="H167" s="19"/>
      <c r="I167" s="20"/>
      <c r="J167" s="20"/>
      <c r="K167" s="20"/>
      <c r="L167" s="20"/>
      <c r="M167" s="20"/>
      <c r="N167" s="20"/>
      <c r="O167" s="20"/>
      <c r="P167" s="20"/>
      <c r="Q167" s="19"/>
      <c r="R167" s="20"/>
      <c r="S167" s="20"/>
      <c r="T167" s="19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>
        <f t="shared" si="19"/>
        <v>0</v>
      </c>
      <c r="AW167" s="19">
        <f t="shared" si="19"/>
        <v>0</v>
      </c>
      <c r="AX167" s="19">
        <f t="shared" si="19"/>
        <v>0</v>
      </c>
    </row>
    <row r="168" spans="1:50" hidden="1" x14ac:dyDescent="0.5">
      <c r="A168" s="14"/>
      <c r="B168" s="13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8">
        <f>SUM(AA140:AA151)</f>
        <v>0</v>
      </c>
      <c r="AB168" s="18">
        <f>SUM(AB140:AB151)</f>
        <v>0</v>
      </c>
      <c r="AV168" s="182">
        <f>SUM(AV140:AV167)</f>
        <v>0</v>
      </c>
      <c r="AW168" s="182">
        <f>SUM(AW140:AW167)</f>
        <v>0</v>
      </c>
      <c r="AX168" s="182">
        <f t="shared" ref="AX168" si="20">SUM(AX140:AX167)</f>
        <v>0</v>
      </c>
    </row>
    <row r="169" spans="1:50" hidden="1" x14ac:dyDescent="0.5"/>
    <row r="170" spans="1:50" hidden="1" x14ac:dyDescent="0.5"/>
    <row r="171" spans="1:50" hidden="1" x14ac:dyDescent="0.5">
      <c r="A171" s="561" t="s">
        <v>381</v>
      </c>
      <c r="B171" s="561"/>
      <c r="C171" s="561"/>
      <c r="D171" s="561"/>
      <c r="E171" s="561"/>
      <c r="F171" s="561"/>
    </row>
    <row r="172" spans="1:50" hidden="1" x14ac:dyDescent="0.5">
      <c r="A172" s="561"/>
      <c r="B172" s="561"/>
      <c r="C172" s="561"/>
      <c r="D172" s="561"/>
      <c r="E172" s="561"/>
      <c r="F172" s="561"/>
    </row>
    <row r="173" spans="1:50" hidden="1" x14ac:dyDescent="0.5">
      <c r="A173" s="551" t="s">
        <v>118</v>
      </c>
      <c r="B173" s="552" t="s">
        <v>135</v>
      </c>
      <c r="C173" s="553"/>
      <c r="D173" s="553"/>
      <c r="E173" s="553"/>
      <c r="F173" s="553"/>
      <c r="G173" s="553"/>
      <c r="H173" s="553"/>
      <c r="I173" s="553"/>
      <c r="J173" s="553"/>
      <c r="K173" s="553"/>
      <c r="L173" s="553"/>
      <c r="M173" s="553"/>
      <c r="N173" s="553"/>
      <c r="O173" s="553"/>
      <c r="P173" s="553"/>
      <c r="Q173" s="553"/>
      <c r="R173" s="553"/>
      <c r="S173" s="553"/>
      <c r="T173" s="553"/>
      <c r="U173" s="553"/>
      <c r="V173" s="553"/>
      <c r="W173" s="553"/>
      <c r="X173" s="553"/>
      <c r="Y173" s="553"/>
      <c r="Z173" s="553"/>
      <c r="AA173" s="553"/>
      <c r="AB173" s="553"/>
      <c r="AC173" s="553"/>
      <c r="AD173" s="553"/>
      <c r="AE173" s="553"/>
      <c r="AF173" s="553"/>
      <c r="AG173" s="553"/>
      <c r="AH173" s="553"/>
      <c r="AI173" s="553"/>
      <c r="AJ173" s="553"/>
      <c r="AK173" s="553"/>
      <c r="AL173" s="553"/>
      <c r="AM173" s="553"/>
      <c r="AN173" s="553"/>
      <c r="AO173" s="553"/>
      <c r="AP173" s="553"/>
      <c r="AQ173" s="553"/>
      <c r="AR173" s="553"/>
      <c r="AS173" s="553"/>
      <c r="AT173" s="553"/>
      <c r="AU173" s="553"/>
      <c r="AV173" s="553"/>
      <c r="AW173" s="553"/>
      <c r="AX173" s="553"/>
    </row>
    <row r="174" spans="1:50" ht="20.100000000000001" hidden="1" customHeight="1" x14ac:dyDescent="0.5">
      <c r="A174" s="551"/>
      <c r="B174" s="552"/>
      <c r="C174" s="554" t="s">
        <v>124</v>
      </c>
      <c r="D174" s="555"/>
      <c r="E174" s="556"/>
      <c r="F174" s="554" t="s">
        <v>133</v>
      </c>
      <c r="G174" s="555"/>
      <c r="H174" s="556"/>
      <c r="I174" s="554" t="s">
        <v>132</v>
      </c>
      <c r="J174" s="555"/>
      <c r="K174" s="556"/>
      <c r="L174" s="554" t="s">
        <v>131</v>
      </c>
      <c r="M174" s="555"/>
      <c r="N174" s="556"/>
      <c r="O174" s="554" t="s">
        <v>130</v>
      </c>
      <c r="P174" s="555"/>
      <c r="Q174" s="556"/>
      <c r="R174" s="554" t="s">
        <v>129</v>
      </c>
      <c r="S174" s="555"/>
      <c r="T174" s="556"/>
      <c r="U174" s="554" t="s">
        <v>128</v>
      </c>
      <c r="V174" s="555"/>
      <c r="W174" s="556"/>
      <c r="X174" s="554" t="s">
        <v>127</v>
      </c>
      <c r="Y174" s="555"/>
      <c r="Z174" s="556"/>
      <c r="AA174" s="554" t="s">
        <v>126</v>
      </c>
      <c r="AB174" s="555"/>
      <c r="AC174" s="556"/>
      <c r="AD174" s="554" t="s">
        <v>378</v>
      </c>
      <c r="AE174" s="555"/>
      <c r="AF174" s="556"/>
      <c r="AG174" s="554" t="s">
        <v>125</v>
      </c>
      <c r="AH174" s="555"/>
      <c r="AI174" s="556"/>
      <c r="AJ174" s="554" t="s">
        <v>124</v>
      </c>
      <c r="AK174" s="555"/>
      <c r="AL174" s="556"/>
      <c r="AM174" s="554" t="s">
        <v>123</v>
      </c>
      <c r="AN174" s="555"/>
      <c r="AO174" s="556"/>
      <c r="AP174" s="554" t="s">
        <v>367</v>
      </c>
      <c r="AQ174" s="555"/>
      <c r="AR174" s="556"/>
      <c r="AS174" s="554" t="s">
        <v>368</v>
      </c>
      <c r="AT174" s="555"/>
      <c r="AU174" s="556"/>
      <c r="AV174" s="554" t="s">
        <v>122</v>
      </c>
      <c r="AW174" s="555"/>
      <c r="AX174" s="556"/>
    </row>
    <row r="175" spans="1:50" ht="20.100000000000001" hidden="1" customHeight="1" x14ac:dyDescent="0.5">
      <c r="A175" s="551"/>
      <c r="B175" s="552"/>
      <c r="C175" s="17" t="s">
        <v>109</v>
      </c>
      <c r="D175" s="17" t="s">
        <v>108</v>
      </c>
      <c r="E175" s="17" t="s">
        <v>348</v>
      </c>
      <c r="F175" s="17" t="s">
        <v>109</v>
      </c>
      <c r="G175" s="17" t="s">
        <v>108</v>
      </c>
      <c r="H175" s="17" t="s">
        <v>348</v>
      </c>
      <c r="I175" s="17" t="s">
        <v>109</v>
      </c>
      <c r="J175" s="17" t="s">
        <v>108</v>
      </c>
      <c r="K175" s="17" t="s">
        <v>348</v>
      </c>
      <c r="L175" s="17" t="s">
        <v>109</v>
      </c>
      <c r="M175" s="17" t="s">
        <v>108</v>
      </c>
      <c r="N175" s="17" t="s">
        <v>348</v>
      </c>
      <c r="O175" s="17" t="s">
        <v>109</v>
      </c>
      <c r="P175" s="17" t="s">
        <v>108</v>
      </c>
      <c r="Q175" s="17" t="s">
        <v>348</v>
      </c>
      <c r="R175" s="17" t="s">
        <v>109</v>
      </c>
      <c r="S175" s="17" t="s">
        <v>108</v>
      </c>
      <c r="T175" s="17" t="s">
        <v>348</v>
      </c>
      <c r="U175" s="17" t="s">
        <v>109</v>
      </c>
      <c r="V175" s="17" t="s">
        <v>108</v>
      </c>
      <c r="W175" s="17" t="s">
        <v>348</v>
      </c>
      <c r="X175" s="17" t="s">
        <v>109</v>
      </c>
      <c r="Y175" s="17" t="s">
        <v>108</v>
      </c>
      <c r="Z175" s="17" t="s">
        <v>348</v>
      </c>
      <c r="AA175" s="17" t="s">
        <v>109</v>
      </c>
      <c r="AB175" s="17" t="s">
        <v>108</v>
      </c>
      <c r="AC175" s="17" t="s">
        <v>348</v>
      </c>
      <c r="AD175" s="17"/>
      <c r="AE175" s="17"/>
      <c r="AF175" s="17"/>
      <c r="AG175" s="17" t="s">
        <v>109</v>
      </c>
      <c r="AH175" s="17" t="s">
        <v>108</v>
      </c>
      <c r="AI175" s="17" t="s">
        <v>348</v>
      </c>
      <c r="AJ175" s="17" t="s">
        <v>109</v>
      </c>
      <c r="AK175" s="17" t="s">
        <v>108</v>
      </c>
      <c r="AL175" s="17" t="s">
        <v>348</v>
      </c>
      <c r="AM175" s="17" t="s">
        <v>109</v>
      </c>
      <c r="AN175" s="17" t="s">
        <v>108</v>
      </c>
      <c r="AO175" s="17" t="s">
        <v>348</v>
      </c>
      <c r="AP175" s="17" t="s">
        <v>109</v>
      </c>
      <c r="AQ175" s="17" t="s">
        <v>108</v>
      </c>
      <c r="AR175" s="17" t="s">
        <v>348</v>
      </c>
      <c r="AS175" s="17" t="s">
        <v>109</v>
      </c>
      <c r="AT175" s="17" t="s">
        <v>108</v>
      </c>
      <c r="AU175" s="17" t="s">
        <v>348</v>
      </c>
      <c r="AV175" s="17" t="s">
        <v>109</v>
      </c>
      <c r="AW175" s="17" t="s">
        <v>108</v>
      </c>
      <c r="AX175" s="17" t="s">
        <v>348</v>
      </c>
    </row>
    <row r="176" spans="1:50" ht="20.100000000000001" hidden="1" customHeight="1" x14ac:dyDescent="0.5">
      <c r="A176" s="16">
        <v>1</v>
      </c>
      <c r="B176" s="15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>
        <f>C176+F176+I176+L176+O176+R176+U176+X176+AA176+AG176+AJ176+AM176+AP176+AS176</f>
        <v>0</v>
      </c>
      <c r="AW176" s="19">
        <f>D176+G176+J176+M176+P176+S176+V176+Y176+AB176+AH176+AK176+AN176+AQ176+AT176</f>
        <v>0</v>
      </c>
      <c r="AX176" s="19">
        <f>E176+H176+K176+N176+Q176+T176+W176+Z176+AC176+AI176+AL176+AO176+AR176+AU176</f>
        <v>0</v>
      </c>
    </row>
    <row r="177" spans="1:50" ht="20.100000000000001" hidden="1" customHeight="1" x14ac:dyDescent="0.5">
      <c r="A177" s="16">
        <v>2</v>
      </c>
      <c r="B177" s="15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21"/>
      <c r="P177" s="178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>
        <f t="shared" ref="AV177:AW200" si="21">C177+F177+I177+L177+O177+R177+U177+X177+AA177+AG177+AJ177+AM177</f>
        <v>0</v>
      </c>
      <c r="AW177" s="19">
        <f>D177+G177+J177+M177+P177+S177+V177+Y177+AB177+AH177+AK177+AN177+AE177</f>
        <v>0</v>
      </c>
      <c r="AX177" s="19">
        <f>E177+H177+K177+N177+Q177+T177+W177+Z177+AC177+AI177+AL177+AN177+AF177</f>
        <v>0</v>
      </c>
    </row>
    <row r="178" spans="1:50" ht="20.100000000000001" hidden="1" customHeight="1" x14ac:dyDescent="0.5">
      <c r="A178" s="16">
        <v>3</v>
      </c>
      <c r="B178" s="15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>
        <f t="shared" si="21"/>
        <v>0</v>
      </c>
      <c r="AW178" s="19">
        <f t="shared" si="21"/>
        <v>0</v>
      </c>
      <c r="AX178" s="19">
        <f t="shared" ref="AX178:AX200" si="22">E178+H178+K178+N178+Q178+T178+W178+Z178+AC178+AI178+AL178+AN178</f>
        <v>0</v>
      </c>
    </row>
    <row r="179" spans="1:50" ht="20.100000000000001" hidden="1" customHeight="1" x14ac:dyDescent="0.5">
      <c r="A179" s="16">
        <v>4</v>
      </c>
      <c r="B179" s="15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>
        <f t="shared" si="21"/>
        <v>0</v>
      </c>
      <c r="AW179" s="19">
        <f t="shared" si="21"/>
        <v>0</v>
      </c>
      <c r="AX179" s="19">
        <f t="shared" si="22"/>
        <v>0</v>
      </c>
    </row>
    <row r="180" spans="1:50" ht="20.100000000000001" hidden="1" customHeight="1" x14ac:dyDescent="0.5">
      <c r="A180" s="16">
        <v>5</v>
      </c>
      <c r="B180" s="15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>
        <f t="shared" si="21"/>
        <v>0</v>
      </c>
      <c r="AW180" s="19">
        <f t="shared" si="21"/>
        <v>0</v>
      </c>
      <c r="AX180" s="19">
        <f t="shared" si="22"/>
        <v>0</v>
      </c>
    </row>
    <row r="181" spans="1:50" ht="20.100000000000001" hidden="1" customHeight="1" x14ac:dyDescent="0.5">
      <c r="A181" s="16">
        <v>6</v>
      </c>
      <c r="B181" s="15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>
        <f t="shared" si="21"/>
        <v>0</v>
      </c>
      <c r="AW181" s="19">
        <f t="shared" si="21"/>
        <v>0</v>
      </c>
      <c r="AX181" s="19">
        <f t="shared" si="22"/>
        <v>0</v>
      </c>
    </row>
    <row r="182" spans="1:50" ht="20.100000000000001" hidden="1" customHeight="1" x14ac:dyDescent="0.5">
      <c r="A182" s="16">
        <v>7</v>
      </c>
      <c r="B182" s="15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>
        <f t="shared" si="21"/>
        <v>0</v>
      </c>
      <c r="AW182" s="19">
        <f t="shared" si="21"/>
        <v>0</v>
      </c>
      <c r="AX182" s="19">
        <f t="shared" si="22"/>
        <v>0</v>
      </c>
    </row>
    <row r="183" spans="1:50" ht="20.100000000000001" hidden="1" customHeight="1" x14ac:dyDescent="0.5">
      <c r="A183" s="16">
        <v>8</v>
      </c>
      <c r="B183" s="15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>
        <f t="shared" si="21"/>
        <v>0</v>
      </c>
      <c r="AW183" s="19">
        <f t="shared" si="21"/>
        <v>0</v>
      </c>
      <c r="AX183" s="19">
        <f t="shared" si="22"/>
        <v>0</v>
      </c>
    </row>
    <row r="184" spans="1:50" ht="20.100000000000001" hidden="1" customHeight="1" x14ac:dyDescent="0.5">
      <c r="A184" s="16">
        <v>9</v>
      </c>
      <c r="B184" s="15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>
        <f t="shared" si="21"/>
        <v>0</v>
      </c>
      <c r="AW184" s="19">
        <f t="shared" si="21"/>
        <v>0</v>
      </c>
      <c r="AX184" s="19">
        <f t="shared" si="22"/>
        <v>0</v>
      </c>
    </row>
    <row r="185" spans="1:50" ht="20.100000000000001" hidden="1" customHeight="1" x14ac:dyDescent="0.5">
      <c r="A185" s="16">
        <v>8</v>
      </c>
      <c r="B185" s="15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>
        <f t="shared" si="21"/>
        <v>0</v>
      </c>
      <c r="AW185" s="19">
        <f t="shared" si="21"/>
        <v>0</v>
      </c>
      <c r="AX185" s="19">
        <f t="shared" si="22"/>
        <v>0</v>
      </c>
    </row>
    <row r="186" spans="1:50" ht="20.100000000000001" hidden="1" customHeight="1" x14ac:dyDescent="0.5">
      <c r="A186" s="16">
        <v>7</v>
      </c>
      <c r="B186" s="15"/>
      <c r="C186" s="20"/>
      <c r="D186" s="20"/>
      <c r="E186" s="19"/>
      <c r="F186" s="20"/>
      <c r="G186" s="20"/>
      <c r="H186" s="19"/>
      <c r="I186" s="20"/>
      <c r="J186" s="20"/>
      <c r="K186" s="20"/>
      <c r="L186" s="20"/>
      <c r="M186" s="20"/>
      <c r="N186" s="20"/>
      <c r="O186" s="20"/>
      <c r="P186" s="20"/>
      <c r="Q186" s="19"/>
      <c r="R186" s="20"/>
      <c r="S186" s="20"/>
      <c r="T186" s="19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>
        <f t="shared" si="21"/>
        <v>0</v>
      </c>
      <c r="AW186" s="19">
        <f t="shared" si="21"/>
        <v>0</v>
      </c>
      <c r="AX186" s="19">
        <f t="shared" si="22"/>
        <v>0</v>
      </c>
    </row>
    <row r="187" spans="1:50" ht="20.100000000000001" hidden="1" customHeight="1" x14ac:dyDescent="0.5">
      <c r="A187" s="16">
        <v>8</v>
      </c>
      <c r="B187" s="15"/>
      <c r="C187" s="20"/>
      <c r="D187" s="20"/>
      <c r="E187" s="19"/>
      <c r="F187" s="20"/>
      <c r="G187" s="20"/>
      <c r="H187" s="19"/>
      <c r="I187" s="20"/>
      <c r="J187" s="20"/>
      <c r="K187" s="20"/>
      <c r="L187" s="20"/>
      <c r="M187" s="20"/>
      <c r="N187" s="20"/>
      <c r="O187" s="20"/>
      <c r="P187" s="20"/>
      <c r="Q187" s="19"/>
      <c r="R187" s="20"/>
      <c r="S187" s="20"/>
      <c r="T187" s="19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>
        <f t="shared" si="21"/>
        <v>0</v>
      </c>
      <c r="AW187" s="19">
        <f t="shared" si="21"/>
        <v>0</v>
      </c>
      <c r="AX187" s="19">
        <f t="shared" si="22"/>
        <v>0</v>
      </c>
    </row>
    <row r="188" spans="1:50" ht="20.100000000000001" hidden="1" customHeight="1" x14ac:dyDescent="0.5">
      <c r="A188" s="16">
        <v>9</v>
      </c>
      <c r="B188" s="15"/>
      <c r="C188" s="20"/>
      <c r="D188" s="20"/>
      <c r="E188" s="19"/>
      <c r="F188" s="20"/>
      <c r="G188" s="20"/>
      <c r="H188" s="19"/>
      <c r="I188" s="20"/>
      <c r="J188" s="20"/>
      <c r="K188" s="20"/>
      <c r="L188" s="20"/>
      <c r="M188" s="20"/>
      <c r="N188" s="20"/>
      <c r="O188" s="20"/>
      <c r="P188" s="20"/>
      <c r="Q188" s="19"/>
      <c r="R188" s="20"/>
      <c r="S188" s="20"/>
      <c r="T188" s="19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>
        <f t="shared" si="21"/>
        <v>0</v>
      </c>
      <c r="AW188" s="19">
        <f t="shared" si="21"/>
        <v>0</v>
      </c>
      <c r="AX188" s="19">
        <f t="shared" si="22"/>
        <v>0</v>
      </c>
    </row>
    <row r="189" spans="1:50" ht="20.100000000000001" hidden="1" customHeight="1" x14ac:dyDescent="0.5">
      <c r="A189" s="16">
        <v>11</v>
      </c>
      <c r="B189" s="15"/>
      <c r="C189" s="20"/>
      <c r="D189" s="20"/>
      <c r="E189" s="19"/>
      <c r="F189" s="20"/>
      <c r="G189" s="20"/>
      <c r="H189" s="19"/>
      <c r="I189" s="20"/>
      <c r="J189" s="20"/>
      <c r="K189" s="20"/>
      <c r="L189" s="20"/>
      <c r="M189" s="20"/>
      <c r="N189" s="20"/>
      <c r="O189" s="20"/>
      <c r="P189" s="20"/>
      <c r="Q189" s="19"/>
      <c r="R189" s="20"/>
      <c r="S189" s="20"/>
      <c r="T189" s="19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>
        <f t="shared" si="21"/>
        <v>0</v>
      </c>
      <c r="AW189" s="19">
        <f t="shared" si="21"/>
        <v>0</v>
      </c>
      <c r="AX189" s="19">
        <f t="shared" si="22"/>
        <v>0</v>
      </c>
    </row>
    <row r="190" spans="1:50" ht="20.100000000000001" hidden="1" customHeight="1" x14ac:dyDescent="0.5">
      <c r="A190" s="16">
        <v>10</v>
      </c>
      <c r="B190" s="15"/>
      <c r="C190" s="20"/>
      <c r="D190" s="20"/>
      <c r="E190" s="19"/>
      <c r="F190" s="20"/>
      <c r="G190" s="20"/>
      <c r="H190" s="19"/>
      <c r="I190" s="20"/>
      <c r="J190" s="20"/>
      <c r="K190" s="20"/>
      <c r="L190" s="20"/>
      <c r="M190" s="20"/>
      <c r="N190" s="20"/>
      <c r="O190" s="20"/>
      <c r="P190" s="20"/>
      <c r="Q190" s="19"/>
      <c r="R190" s="20"/>
      <c r="S190" s="20"/>
      <c r="T190" s="19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>
        <f t="shared" si="21"/>
        <v>0</v>
      </c>
      <c r="AW190" s="19">
        <f t="shared" si="21"/>
        <v>0</v>
      </c>
      <c r="AX190" s="19">
        <f t="shared" si="22"/>
        <v>0</v>
      </c>
    </row>
    <row r="191" spans="1:50" ht="20.100000000000001" hidden="1" customHeight="1" x14ac:dyDescent="0.5">
      <c r="A191" s="16">
        <v>11</v>
      </c>
      <c r="B191" s="15"/>
      <c r="C191" s="20"/>
      <c r="D191" s="20"/>
      <c r="E191" s="19"/>
      <c r="F191" s="20"/>
      <c r="G191" s="20"/>
      <c r="H191" s="19"/>
      <c r="I191" s="20"/>
      <c r="J191" s="20"/>
      <c r="K191" s="20"/>
      <c r="L191" s="20"/>
      <c r="M191" s="20"/>
      <c r="N191" s="20"/>
      <c r="O191" s="20"/>
      <c r="P191" s="20"/>
      <c r="Q191" s="19"/>
      <c r="R191" s="20"/>
      <c r="S191" s="20"/>
      <c r="T191" s="19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>
        <f t="shared" si="21"/>
        <v>0</v>
      </c>
      <c r="AW191" s="19">
        <f t="shared" si="21"/>
        <v>0</v>
      </c>
      <c r="AX191" s="19">
        <f t="shared" si="22"/>
        <v>0</v>
      </c>
    </row>
    <row r="192" spans="1:50" ht="20.100000000000001" hidden="1" customHeight="1" x14ac:dyDescent="0.5">
      <c r="A192" s="16">
        <v>12</v>
      </c>
      <c r="B192" s="15"/>
      <c r="C192" s="20"/>
      <c r="D192" s="20"/>
      <c r="E192" s="19"/>
      <c r="F192" s="20"/>
      <c r="G192" s="20"/>
      <c r="H192" s="19"/>
      <c r="I192" s="20"/>
      <c r="J192" s="20"/>
      <c r="K192" s="20"/>
      <c r="L192" s="20"/>
      <c r="M192" s="20"/>
      <c r="N192" s="20"/>
      <c r="O192" s="20"/>
      <c r="P192" s="20"/>
      <c r="Q192" s="19"/>
      <c r="R192" s="20"/>
      <c r="S192" s="20"/>
      <c r="T192" s="19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>
        <f t="shared" si="21"/>
        <v>0</v>
      </c>
      <c r="AW192" s="19">
        <f t="shared" si="21"/>
        <v>0</v>
      </c>
      <c r="AX192" s="19">
        <f t="shared" si="22"/>
        <v>0</v>
      </c>
    </row>
    <row r="193" spans="1:50" ht="20.100000000000001" hidden="1" customHeight="1" x14ac:dyDescent="0.5">
      <c r="A193" s="16">
        <v>13</v>
      </c>
      <c r="B193" s="15"/>
      <c r="C193" s="20"/>
      <c r="D193" s="20"/>
      <c r="E193" s="19"/>
      <c r="F193" s="20"/>
      <c r="G193" s="20"/>
      <c r="H193" s="19"/>
      <c r="I193" s="20"/>
      <c r="J193" s="20"/>
      <c r="K193" s="20"/>
      <c r="L193" s="20"/>
      <c r="M193" s="20"/>
      <c r="N193" s="20"/>
      <c r="O193" s="20"/>
      <c r="P193" s="20"/>
      <c r="Q193" s="19"/>
      <c r="R193" s="20"/>
      <c r="S193" s="20"/>
      <c r="T193" s="19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>
        <f t="shared" si="21"/>
        <v>0</v>
      </c>
      <c r="AW193" s="19">
        <f t="shared" si="21"/>
        <v>0</v>
      </c>
      <c r="AX193" s="19">
        <f t="shared" si="22"/>
        <v>0</v>
      </c>
    </row>
    <row r="194" spans="1:50" ht="20.100000000000001" hidden="1" customHeight="1" x14ac:dyDescent="0.5">
      <c r="A194" s="16">
        <v>14</v>
      </c>
      <c r="B194" s="15"/>
      <c r="C194" s="20"/>
      <c r="D194" s="20"/>
      <c r="E194" s="19"/>
      <c r="F194" s="20"/>
      <c r="G194" s="20"/>
      <c r="H194" s="19"/>
      <c r="I194" s="20"/>
      <c r="J194" s="20"/>
      <c r="K194" s="20"/>
      <c r="L194" s="20"/>
      <c r="M194" s="20"/>
      <c r="N194" s="20"/>
      <c r="O194" s="20"/>
      <c r="P194" s="20"/>
      <c r="Q194" s="19"/>
      <c r="R194" s="20"/>
      <c r="S194" s="20"/>
      <c r="T194" s="19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>
        <f t="shared" si="21"/>
        <v>0</v>
      </c>
      <c r="AW194" s="19">
        <f t="shared" si="21"/>
        <v>0</v>
      </c>
      <c r="AX194" s="19">
        <f t="shared" si="22"/>
        <v>0</v>
      </c>
    </row>
    <row r="195" spans="1:50" ht="20.100000000000001" hidden="1" customHeight="1" x14ac:dyDescent="0.5">
      <c r="A195" s="16">
        <v>15</v>
      </c>
      <c r="B195" s="15"/>
      <c r="C195" s="20"/>
      <c r="D195" s="20"/>
      <c r="E195" s="19"/>
      <c r="F195" s="20"/>
      <c r="G195" s="20"/>
      <c r="H195" s="19"/>
      <c r="I195" s="20"/>
      <c r="J195" s="20"/>
      <c r="K195" s="20"/>
      <c r="L195" s="20"/>
      <c r="M195" s="20"/>
      <c r="N195" s="20"/>
      <c r="O195" s="20"/>
      <c r="P195" s="20"/>
      <c r="Q195" s="19"/>
      <c r="R195" s="20"/>
      <c r="S195" s="20"/>
      <c r="T195" s="19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>
        <f t="shared" si="21"/>
        <v>0</v>
      </c>
      <c r="AW195" s="19">
        <f t="shared" si="21"/>
        <v>0</v>
      </c>
      <c r="AX195" s="19">
        <f t="shared" si="22"/>
        <v>0</v>
      </c>
    </row>
    <row r="196" spans="1:50" ht="20.100000000000001" hidden="1" customHeight="1" x14ac:dyDescent="0.5">
      <c r="A196" s="16">
        <v>16</v>
      </c>
      <c r="B196" s="15"/>
      <c r="C196" s="20"/>
      <c r="D196" s="20"/>
      <c r="E196" s="19"/>
      <c r="F196" s="20"/>
      <c r="G196" s="20"/>
      <c r="H196" s="19"/>
      <c r="I196" s="20"/>
      <c r="J196" s="20"/>
      <c r="K196" s="20"/>
      <c r="L196" s="20"/>
      <c r="M196" s="20"/>
      <c r="N196" s="20"/>
      <c r="O196" s="20"/>
      <c r="P196" s="20"/>
      <c r="Q196" s="19"/>
      <c r="R196" s="20"/>
      <c r="S196" s="20"/>
      <c r="T196" s="19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>
        <f t="shared" si="21"/>
        <v>0</v>
      </c>
      <c r="AW196" s="19">
        <f t="shared" si="21"/>
        <v>0</v>
      </c>
      <c r="AX196" s="19">
        <f t="shared" si="22"/>
        <v>0</v>
      </c>
    </row>
    <row r="197" spans="1:50" ht="20.100000000000001" hidden="1" customHeight="1" x14ac:dyDescent="0.5">
      <c r="A197" s="16">
        <v>17</v>
      </c>
      <c r="B197" s="15"/>
      <c r="C197" s="20"/>
      <c r="D197" s="20"/>
      <c r="E197" s="19"/>
      <c r="F197" s="20"/>
      <c r="G197" s="20"/>
      <c r="H197" s="19"/>
      <c r="I197" s="20"/>
      <c r="J197" s="20"/>
      <c r="K197" s="20"/>
      <c r="L197" s="20"/>
      <c r="M197" s="20"/>
      <c r="N197" s="20"/>
      <c r="O197" s="20"/>
      <c r="P197" s="20"/>
      <c r="Q197" s="19"/>
      <c r="R197" s="20"/>
      <c r="S197" s="20"/>
      <c r="T197" s="19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>
        <f t="shared" si="21"/>
        <v>0</v>
      </c>
      <c r="AW197" s="19">
        <f t="shared" si="21"/>
        <v>0</v>
      </c>
      <c r="AX197" s="19">
        <f t="shared" si="22"/>
        <v>0</v>
      </c>
    </row>
    <row r="198" spans="1:50" ht="20.100000000000001" hidden="1" customHeight="1" x14ac:dyDescent="0.5">
      <c r="A198" s="16">
        <v>18</v>
      </c>
      <c r="B198" s="15"/>
      <c r="C198" s="20"/>
      <c r="D198" s="20"/>
      <c r="E198" s="19"/>
      <c r="F198" s="20"/>
      <c r="G198" s="20"/>
      <c r="H198" s="19"/>
      <c r="I198" s="20"/>
      <c r="J198" s="20"/>
      <c r="K198" s="20"/>
      <c r="L198" s="20"/>
      <c r="M198" s="20"/>
      <c r="N198" s="20"/>
      <c r="O198" s="20"/>
      <c r="P198" s="20"/>
      <c r="Q198" s="19"/>
      <c r="R198" s="20"/>
      <c r="S198" s="20"/>
      <c r="T198" s="19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>
        <f t="shared" si="21"/>
        <v>0</v>
      </c>
      <c r="AW198" s="19">
        <f t="shared" si="21"/>
        <v>0</v>
      </c>
      <c r="AX198" s="19">
        <f t="shared" si="22"/>
        <v>0</v>
      </c>
    </row>
    <row r="199" spans="1:50" ht="20.100000000000001" hidden="1" customHeight="1" x14ac:dyDescent="0.5">
      <c r="A199" s="16">
        <v>19</v>
      </c>
      <c r="B199" s="15"/>
      <c r="C199" s="20"/>
      <c r="D199" s="20"/>
      <c r="E199" s="19"/>
      <c r="F199" s="20"/>
      <c r="G199" s="20"/>
      <c r="H199" s="19"/>
      <c r="I199" s="20"/>
      <c r="J199" s="20"/>
      <c r="K199" s="20"/>
      <c r="L199" s="20"/>
      <c r="M199" s="20"/>
      <c r="N199" s="20"/>
      <c r="O199" s="20"/>
      <c r="P199" s="20"/>
      <c r="Q199" s="19"/>
      <c r="R199" s="20"/>
      <c r="S199" s="20"/>
      <c r="T199" s="19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>
        <f t="shared" si="21"/>
        <v>0</v>
      </c>
      <c r="AW199" s="19">
        <f t="shared" si="21"/>
        <v>0</v>
      </c>
      <c r="AX199" s="19">
        <f t="shared" si="22"/>
        <v>0</v>
      </c>
    </row>
    <row r="200" spans="1:50" ht="20.100000000000001" hidden="1" customHeight="1" x14ac:dyDescent="0.5">
      <c r="A200" s="16">
        <v>20</v>
      </c>
      <c r="B200" s="15"/>
      <c r="C200" s="20"/>
      <c r="D200" s="20"/>
      <c r="E200" s="19"/>
      <c r="F200" s="20"/>
      <c r="G200" s="20"/>
      <c r="H200" s="19"/>
      <c r="I200" s="20"/>
      <c r="J200" s="20"/>
      <c r="K200" s="20"/>
      <c r="L200" s="20"/>
      <c r="M200" s="20"/>
      <c r="N200" s="20"/>
      <c r="O200" s="20"/>
      <c r="P200" s="20"/>
      <c r="Q200" s="19"/>
      <c r="R200" s="20"/>
      <c r="S200" s="20"/>
      <c r="T200" s="19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>
        <f t="shared" si="21"/>
        <v>0</v>
      </c>
      <c r="AW200" s="19">
        <f t="shared" si="21"/>
        <v>0</v>
      </c>
      <c r="AX200" s="19">
        <f t="shared" si="22"/>
        <v>0</v>
      </c>
    </row>
    <row r="201" spans="1:50" ht="20.100000000000001" hidden="1" customHeight="1" x14ac:dyDescent="0.5">
      <c r="A201" s="16">
        <v>21</v>
      </c>
      <c r="B201" s="15"/>
      <c r="C201" s="20"/>
      <c r="D201" s="20"/>
      <c r="E201" s="19"/>
      <c r="F201" s="20"/>
      <c r="G201" s="20"/>
      <c r="H201" s="19"/>
      <c r="I201" s="20"/>
      <c r="J201" s="20"/>
      <c r="K201" s="20"/>
      <c r="L201" s="20"/>
      <c r="M201" s="20"/>
      <c r="N201" s="20"/>
      <c r="O201" s="20"/>
      <c r="P201" s="20"/>
      <c r="Q201" s="19"/>
      <c r="R201" s="20"/>
      <c r="S201" s="20"/>
      <c r="T201" s="19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>
        <f>C201+F201+I201+L201+O201+R201+U201+X201+AA201+AG201+AJ201+AM201+AP201+AS201</f>
        <v>0</v>
      </c>
      <c r="AW201" s="19">
        <f>D201+G201+J201+M201+P201+S201+V201+Y201+AB201+AH201+AK201+AN201+AQ201+AT201</f>
        <v>0</v>
      </c>
      <c r="AX201" s="19">
        <f>E201+H201+K201+N201+Q201+T201+W201+Z201+AC201+AI201+AL201+AO201+AR201+AU201</f>
        <v>0</v>
      </c>
    </row>
    <row r="202" spans="1:50" ht="20.100000000000001" hidden="1" customHeight="1" x14ac:dyDescent="0.5">
      <c r="A202" s="16">
        <v>22</v>
      </c>
      <c r="B202" s="15"/>
      <c r="C202" s="20"/>
      <c r="D202" s="20"/>
      <c r="E202" s="19"/>
      <c r="F202" s="20"/>
      <c r="G202" s="20"/>
      <c r="H202" s="19"/>
      <c r="I202" s="20"/>
      <c r="J202" s="20"/>
      <c r="K202" s="20"/>
      <c r="L202" s="20"/>
      <c r="M202" s="20"/>
      <c r="N202" s="20"/>
      <c r="O202" s="20"/>
      <c r="P202" s="20"/>
      <c r="Q202" s="19"/>
      <c r="R202" s="20"/>
      <c r="S202" s="20"/>
      <c r="T202" s="19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>
        <f t="shared" ref="AV202:AX203" si="23">C202+F202+I202+L202+O202+R202+U202+X202+AA202+AG202+AJ202+AM202+AP202+AS202</f>
        <v>0</v>
      </c>
      <c r="AW202" s="19">
        <f t="shared" si="23"/>
        <v>0</v>
      </c>
      <c r="AX202" s="19">
        <f t="shared" si="23"/>
        <v>0</v>
      </c>
    </row>
    <row r="203" spans="1:50" ht="20.100000000000001" hidden="1" customHeight="1" x14ac:dyDescent="0.5">
      <c r="A203" s="16">
        <v>23</v>
      </c>
      <c r="B203" s="15"/>
      <c r="C203" s="20"/>
      <c r="D203" s="20"/>
      <c r="E203" s="19"/>
      <c r="F203" s="20"/>
      <c r="G203" s="20"/>
      <c r="H203" s="19"/>
      <c r="I203" s="20"/>
      <c r="J203" s="20"/>
      <c r="K203" s="20"/>
      <c r="L203" s="20"/>
      <c r="M203" s="20"/>
      <c r="N203" s="20"/>
      <c r="O203" s="20"/>
      <c r="P203" s="20"/>
      <c r="Q203" s="19"/>
      <c r="R203" s="20"/>
      <c r="S203" s="20"/>
      <c r="T203" s="19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>
        <f t="shared" si="23"/>
        <v>0</v>
      </c>
      <c r="AW203" s="19">
        <f t="shared" si="23"/>
        <v>0</v>
      </c>
      <c r="AX203" s="19">
        <f t="shared" si="23"/>
        <v>0</v>
      </c>
    </row>
    <row r="204" spans="1:50" ht="20.100000000000001" hidden="1" customHeight="1" x14ac:dyDescent="0.5">
      <c r="A204" s="14"/>
      <c r="B204" s="13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8">
        <f>SUM(AA176:AA187)</f>
        <v>0</v>
      </c>
      <c r="AB204" s="18">
        <f>SUM(AB176:AB187)</f>
        <v>0</v>
      </c>
      <c r="AV204" s="182">
        <f>SUM(AV176:AV203)</f>
        <v>0</v>
      </c>
      <c r="AW204" s="182">
        <f>SUM(AW176:AW203)</f>
        <v>0</v>
      </c>
      <c r="AX204" s="182">
        <f t="shared" ref="AX204" si="24">SUM(AX176:AX203)</f>
        <v>0</v>
      </c>
    </row>
    <row r="205" spans="1:50" hidden="1" x14ac:dyDescent="0.5"/>
    <row r="206" spans="1:50" hidden="1" x14ac:dyDescent="0.5"/>
    <row r="207" spans="1:50" hidden="1" x14ac:dyDescent="0.5">
      <c r="A207" s="550" t="s">
        <v>382</v>
      </c>
      <c r="B207" s="550"/>
    </row>
    <row r="208" spans="1:50" hidden="1" x14ac:dyDescent="0.5"/>
    <row r="209" spans="1:50" hidden="1" x14ac:dyDescent="0.5">
      <c r="A209" s="551" t="s">
        <v>118</v>
      </c>
      <c r="B209" s="552" t="s">
        <v>135</v>
      </c>
      <c r="C209" s="553"/>
      <c r="D209" s="553"/>
      <c r="E209" s="553"/>
      <c r="F209" s="553"/>
      <c r="G209" s="553"/>
      <c r="H209" s="553"/>
      <c r="I209" s="553"/>
      <c r="J209" s="553"/>
      <c r="K209" s="553"/>
      <c r="L209" s="553"/>
      <c r="M209" s="553"/>
      <c r="N209" s="553"/>
      <c r="O209" s="553"/>
      <c r="P209" s="553"/>
      <c r="Q209" s="553"/>
      <c r="R209" s="553"/>
      <c r="S209" s="553"/>
      <c r="T209" s="553"/>
      <c r="U209" s="553"/>
      <c r="V209" s="553"/>
      <c r="W209" s="553"/>
      <c r="X209" s="553"/>
      <c r="Y209" s="553"/>
      <c r="Z209" s="553"/>
      <c r="AA209" s="553"/>
      <c r="AB209" s="553"/>
      <c r="AC209" s="553"/>
      <c r="AD209" s="553"/>
      <c r="AE209" s="553"/>
      <c r="AF209" s="553"/>
      <c r="AG209" s="553"/>
      <c r="AH209" s="553"/>
      <c r="AI209" s="553"/>
      <c r="AJ209" s="553"/>
      <c r="AK209" s="553"/>
      <c r="AL209" s="553"/>
      <c r="AM209" s="553"/>
      <c r="AN209" s="553"/>
      <c r="AO209" s="553"/>
      <c r="AP209" s="553"/>
      <c r="AQ209" s="553"/>
      <c r="AR209" s="553"/>
      <c r="AS209" s="553"/>
      <c r="AT209" s="553"/>
      <c r="AU209" s="553"/>
      <c r="AV209" s="553"/>
      <c r="AW209" s="553"/>
      <c r="AX209" s="553"/>
    </row>
    <row r="210" spans="1:50" ht="20.100000000000001" hidden="1" customHeight="1" x14ac:dyDescent="0.5">
      <c r="A210" s="551"/>
      <c r="B210" s="552"/>
      <c r="C210" s="554" t="s">
        <v>124</v>
      </c>
      <c r="D210" s="555"/>
      <c r="E210" s="556"/>
      <c r="F210" s="554" t="s">
        <v>133</v>
      </c>
      <c r="G210" s="555"/>
      <c r="H210" s="556"/>
      <c r="I210" s="554" t="s">
        <v>132</v>
      </c>
      <c r="J210" s="555"/>
      <c r="K210" s="556"/>
      <c r="L210" s="554" t="s">
        <v>131</v>
      </c>
      <c r="M210" s="555"/>
      <c r="N210" s="556"/>
      <c r="O210" s="554" t="s">
        <v>130</v>
      </c>
      <c r="P210" s="555"/>
      <c r="Q210" s="556"/>
      <c r="R210" s="554" t="s">
        <v>129</v>
      </c>
      <c r="S210" s="555"/>
      <c r="T210" s="556"/>
      <c r="U210" s="554" t="s">
        <v>128</v>
      </c>
      <c r="V210" s="555"/>
      <c r="W210" s="556"/>
      <c r="X210" s="554" t="s">
        <v>127</v>
      </c>
      <c r="Y210" s="555"/>
      <c r="Z210" s="556"/>
      <c r="AA210" s="554" t="s">
        <v>126</v>
      </c>
      <c r="AB210" s="555"/>
      <c r="AC210" s="556"/>
      <c r="AD210" s="554" t="s">
        <v>378</v>
      </c>
      <c r="AE210" s="555"/>
      <c r="AF210" s="556"/>
      <c r="AG210" s="554" t="s">
        <v>125</v>
      </c>
      <c r="AH210" s="555"/>
      <c r="AI210" s="556"/>
      <c r="AJ210" s="554" t="s">
        <v>124</v>
      </c>
      <c r="AK210" s="555"/>
      <c r="AL210" s="556"/>
      <c r="AM210" s="554" t="s">
        <v>123</v>
      </c>
      <c r="AN210" s="555"/>
      <c r="AO210" s="556"/>
      <c r="AP210" s="554" t="s">
        <v>367</v>
      </c>
      <c r="AQ210" s="555"/>
      <c r="AR210" s="556"/>
      <c r="AS210" s="554" t="s">
        <v>368</v>
      </c>
      <c r="AT210" s="555"/>
      <c r="AU210" s="556"/>
      <c r="AV210" s="554" t="s">
        <v>122</v>
      </c>
      <c r="AW210" s="555"/>
      <c r="AX210" s="556"/>
    </row>
    <row r="211" spans="1:50" ht="20.100000000000001" hidden="1" customHeight="1" x14ac:dyDescent="0.5">
      <c r="A211" s="551"/>
      <c r="B211" s="552"/>
      <c r="C211" s="17" t="s">
        <v>109</v>
      </c>
      <c r="D211" s="17" t="s">
        <v>108</v>
      </c>
      <c r="E211" s="17" t="s">
        <v>348</v>
      </c>
      <c r="F211" s="17" t="s">
        <v>109</v>
      </c>
      <c r="G211" s="17" t="s">
        <v>108</v>
      </c>
      <c r="H211" s="17" t="s">
        <v>348</v>
      </c>
      <c r="I211" s="17" t="s">
        <v>109</v>
      </c>
      <c r="J211" s="17" t="s">
        <v>108</v>
      </c>
      <c r="K211" s="17" t="s">
        <v>348</v>
      </c>
      <c r="L211" s="17" t="s">
        <v>109</v>
      </c>
      <c r="M211" s="17" t="s">
        <v>108</v>
      </c>
      <c r="N211" s="17" t="s">
        <v>348</v>
      </c>
      <c r="O211" s="17" t="s">
        <v>109</v>
      </c>
      <c r="P211" s="17" t="s">
        <v>108</v>
      </c>
      <c r="Q211" s="17" t="s">
        <v>348</v>
      </c>
      <c r="R211" s="17" t="s">
        <v>109</v>
      </c>
      <c r="S211" s="17" t="s">
        <v>108</v>
      </c>
      <c r="T211" s="17" t="s">
        <v>348</v>
      </c>
      <c r="U211" s="17" t="s">
        <v>109</v>
      </c>
      <c r="V211" s="17" t="s">
        <v>108</v>
      </c>
      <c r="W211" s="17" t="s">
        <v>348</v>
      </c>
      <c r="X211" s="17" t="s">
        <v>109</v>
      </c>
      <c r="Y211" s="17" t="s">
        <v>108</v>
      </c>
      <c r="Z211" s="17" t="s">
        <v>348</v>
      </c>
      <c r="AA211" s="17" t="s">
        <v>109</v>
      </c>
      <c r="AB211" s="17" t="s">
        <v>108</v>
      </c>
      <c r="AC211" s="17" t="s">
        <v>348</v>
      </c>
      <c r="AD211" s="17"/>
      <c r="AE211" s="17"/>
      <c r="AF211" s="17"/>
      <c r="AG211" s="17" t="s">
        <v>109</v>
      </c>
      <c r="AH211" s="17" t="s">
        <v>108</v>
      </c>
      <c r="AI211" s="17" t="s">
        <v>348</v>
      </c>
      <c r="AJ211" s="17" t="s">
        <v>109</v>
      </c>
      <c r="AK211" s="17" t="s">
        <v>108</v>
      </c>
      <c r="AL211" s="17" t="s">
        <v>348</v>
      </c>
      <c r="AM211" s="17" t="s">
        <v>109</v>
      </c>
      <c r="AN211" s="17" t="s">
        <v>108</v>
      </c>
      <c r="AO211" s="17" t="s">
        <v>348</v>
      </c>
      <c r="AP211" s="17" t="s">
        <v>109</v>
      </c>
      <c r="AQ211" s="17" t="s">
        <v>108</v>
      </c>
      <c r="AR211" s="17" t="s">
        <v>348</v>
      </c>
      <c r="AS211" s="17" t="s">
        <v>109</v>
      </c>
      <c r="AT211" s="17" t="s">
        <v>108</v>
      </c>
      <c r="AU211" s="17" t="s">
        <v>348</v>
      </c>
      <c r="AV211" s="17" t="s">
        <v>109</v>
      </c>
      <c r="AW211" s="17" t="s">
        <v>108</v>
      </c>
      <c r="AX211" s="17" t="s">
        <v>348</v>
      </c>
    </row>
    <row r="212" spans="1:50" ht="20.100000000000001" hidden="1" customHeight="1" x14ac:dyDescent="0.5">
      <c r="A212" s="16"/>
      <c r="B212" s="15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>
        <f>C212+F212+I212+L212+O212+R212+U212+X212+AA212+AG212+AJ212+AM212+AP212+AS212</f>
        <v>0</v>
      </c>
      <c r="AW212" s="19">
        <f>D212+G212+J212+M212+P212+S212+V212+Y212+AB212+AH212+AK212+AN212+AQ212+AT212</f>
        <v>0</v>
      </c>
      <c r="AX212" s="19">
        <f>E212+H212+K212+N212+Q212+T212+W212+Z212+AC212+AI212+AL212+AO212+AR212+AU212</f>
        <v>0</v>
      </c>
    </row>
    <row r="213" spans="1:50" ht="20.100000000000001" hidden="1" customHeight="1" x14ac:dyDescent="0.5">
      <c r="A213" s="16"/>
      <c r="B213" s="15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21"/>
      <c r="P213" s="178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>
        <f t="shared" ref="AV213:AW236" si="25">C213+F213+I213+L213+O213+R213+U213+X213+AA213+AG213+AJ213+AM213</f>
        <v>0</v>
      </c>
      <c r="AW213" s="19">
        <f>D213+G213+J213+M213+P213+S213+V213+Y213+AB213+AH213+AK213+AN213+AE213</f>
        <v>0</v>
      </c>
      <c r="AX213" s="19">
        <f>E213+H213+K213+N213+Q213+T213+W213+Z213+AC213+AI213+AL213+AN213+AF213</f>
        <v>0</v>
      </c>
    </row>
    <row r="214" spans="1:50" ht="20.100000000000001" hidden="1" customHeight="1" x14ac:dyDescent="0.5">
      <c r="A214" s="16"/>
      <c r="B214" s="15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>
        <f t="shared" si="25"/>
        <v>0</v>
      </c>
      <c r="AW214" s="19">
        <f t="shared" si="25"/>
        <v>0</v>
      </c>
      <c r="AX214" s="19">
        <f t="shared" ref="AX214:AX236" si="26">E214+H214+K214+N214+Q214+T214+W214+Z214+AC214+AI214+AL214+AN214</f>
        <v>0</v>
      </c>
    </row>
    <row r="215" spans="1:50" ht="20.100000000000001" hidden="1" customHeight="1" x14ac:dyDescent="0.5">
      <c r="A215" s="16"/>
      <c r="B215" s="15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>
        <f t="shared" si="25"/>
        <v>0</v>
      </c>
      <c r="AW215" s="19">
        <f t="shared" si="25"/>
        <v>0</v>
      </c>
      <c r="AX215" s="19">
        <f t="shared" si="26"/>
        <v>0</v>
      </c>
    </row>
    <row r="216" spans="1:50" ht="20.100000000000001" hidden="1" customHeight="1" x14ac:dyDescent="0.5">
      <c r="A216" s="16"/>
      <c r="B216" s="15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>
        <f t="shared" si="25"/>
        <v>0</v>
      </c>
      <c r="AW216" s="19">
        <f t="shared" si="25"/>
        <v>0</v>
      </c>
      <c r="AX216" s="19">
        <f t="shared" si="26"/>
        <v>0</v>
      </c>
    </row>
    <row r="217" spans="1:50" ht="20.100000000000001" hidden="1" customHeight="1" x14ac:dyDescent="0.5">
      <c r="A217" s="16"/>
      <c r="B217" s="15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>
        <f t="shared" si="25"/>
        <v>0</v>
      </c>
      <c r="AW217" s="19">
        <f t="shared" si="25"/>
        <v>0</v>
      </c>
      <c r="AX217" s="19">
        <f t="shared" si="26"/>
        <v>0</v>
      </c>
    </row>
    <row r="218" spans="1:50" ht="20.100000000000001" hidden="1" customHeight="1" x14ac:dyDescent="0.5">
      <c r="A218" s="16"/>
      <c r="B218" s="15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>
        <f t="shared" si="25"/>
        <v>0</v>
      </c>
      <c r="AW218" s="19">
        <f t="shared" si="25"/>
        <v>0</v>
      </c>
      <c r="AX218" s="19">
        <f t="shared" si="26"/>
        <v>0</v>
      </c>
    </row>
    <row r="219" spans="1:50" ht="20.100000000000001" hidden="1" customHeight="1" x14ac:dyDescent="0.5">
      <c r="A219" s="16"/>
      <c r="B219" s="15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>
        <f t="shared" si="25"/>
        <v>0</v>
      </c>
      <c r="AW219" s="19">
        <f t="shared" si="25"/>
        <v>0</v>
      </c>
      <c r="AX219" s="19">
        <f t="shared" si="26"/>
        <v>0</v>
      </c>
    </row>
    <row r="220" spans="1:50" ht="20.100000000000001" hidden="1" customHeight="1" x14ac:dyDescent="0.5">
      <c r="A220" s="16"/>
      <c r="B220" s="15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>
        <f t="shared" si="25"/>
        <v>0</v>
      </c>
      <c r="AW220" s="19">
        <f t="shared" si="25"/>
        <v>0</v>
      </c>
      <c r="AX220" s="19">
        <f t="shared" si="26"/>
        <v>0</v>
      </c>
    </row>
    <row r="221" spans="1:50" ht="20.100000000000001" hidden="1" customHeight="1" x14ac:dyDescent="0.5">
      <c r="A221" s="16"/>
      <c r="B221" s="15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>
        <f t="shared" si="25"/>
        <v>0</v>
      </c>
      <c r="AW221" s="19">
        <f t="shared" si="25"/>
        <v>0</v>
      </c>
      <c r="AX221" s="19">
        <f t="shared" si="26"/>
        <v>0</v>
      </c>
    </row>
    <row r="222" spans="1:50" ht="20.100000000000001" hidden="1" customHeight="1" x14ac:dyDescent="0.5">
      <c r="A222" s="16"/>
      <c r="B222" s="15"/>
      <c r="C222" s="20"/>
      <c r="D222" s="20"/>
      <c r="E222" s="19"/>
      <c r="F222" s="20"/>
      <c r="G222" s="20"/>
      <c r="H222" s="19"/>
      <c r="I222" s="20"/>
      <c r="J222" s="20"/>
      <c r="K222" s="20"/>
      <c r="L222" s="20"/>
      <c r="M222" s="20"/>
      <c r="N222" s="20"/>
      <c r="O222" s="20"/>
      <c r="P222" s="20"/>
      <c r="Q222" s="19"/>
      <c r="R222" s="20"/>
      <c r="S222" s="20"/>
      <c r="T222" s="19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>
        <f t="shared" si="25"/>
        <v>0</v>
      </c>
      <c r="AW222" s="19">
        <f t="shared" si="25"/>
        <v>0</v>
      </c>
      <c r="AX222" s="19">
        <f t="shared" si="26"/>
        <v>0</v>
      </c>
    </row>
    <row r="223" spans="1:50" ht="20.100000000000001" hidden="1" customHeight="1" x14ac:dyDescent="0.5">
      <c r="A223" s="16"/>
      <c r="B223" s="15"/>
      <c r="C223" s="20"/>
      <c r="D223" s="20"/>
      <c r="E223" s="19"/>
      <c r="F223" s="20"/>
      <c r="G223" s="20"/>
      <c r="H223" s="19"/>
      <c r="I223" s="20"/>
      <c r="J223" s="20"/>
      <c r="K223" s="20"/>
      <c r="L223" s="20"/>
      <c r="M223" s="20"/>
      <c r="N223" s="20"/>
      <c r="O223" s="20"/>
      <c r="P223" s="20"/>
      <c r="Q223" s="19"/>
      <c r="R223" s="20"/>
      <c r="S223" s="20"/>
      <c r="T223" s="19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>
        <f t="shared" si="25"/>
        <v>0</v>
      </c>
      <c r="AW223" s="19">
        <f t="shared" si="25"/>
        <v>0</v>
      </c>
      <c r="AX223" s="19">
        <f t="shared" si="26"/>
        <v>0</v>
      </c>
    </row>
    <row r="224" spans="1:50" ht="20.100000000000001" hidden="1" customHeight="1" x14ac:dyDescent="0.5">
      <c r="A224" s="16"/>
      <c r="B224" s="15"/>
      <c r="C224" s="20"/>
      <c r="D224" s="20"/>
      <c r="E224" s="19"/>
      <c r="F224" s="20"/>
      <c r="G224" s="20"/>
      <c r="H224" s="19"/>
      <c r="I224" s="20"/>
      <c r="J224" s="20"/>
      <c r="K224" s="20"/>
      <c r="L224" s="20"/>
      <c r="M224" s="20"/>
      <c r="N224" s="20"/>
      <c r="O224" s="20"/>
      <c r="P224" s="20"/>
      <c r="Q224" s="19"/>
      <c r="R224" s="20"/>
      <c r="S224" s="20"/>
      <c r="T224" s="19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>
        <f t="shared" si="25"/>
        <v>0</v>
      </c>
      <c r="AW224" s="19">
        <f t="shared" si="25"/>
        <v>0</v>
      </c>
      <c r="AX224" s="19">
        <f t="shared" si="26"/>
        <v>0</v>
      </c>
    </row>
    <row r="225" spans="1:50" ht="20.100000000000001" hidden="1" customHeight="1" x14ac:dyDescent="0.5">
      <c r="A225" s="16"/>
      <c r="B225" s="15"/>
      <c r="C225" s="20"/>
      <c r="D225" s="20"/>
      <c r="E225" s="19"/>
      <c r="F225" s="20"/>
      <c r="G225" s="20"/>
      <c r="H225" s="19"/>
      <c r="I225" s="20"/>
      <c r="J225" s="20"/>
      <c r="K225" s="20"/>
      <c r="L225" s="20"/>
      <c r="M225" s="20"/>
      <c r="N225" s="20"/>
      <c r="O225" s="20"/>
      <c r="P225" s="20"/>
      <c r="Q225" s="19"/>
      <c r="R225" s="20"/>
      <c r="S225" s="20"/>
      <c r="T225" s="19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>
        <f t="shared" si="25"/>
        <v>0</v>
      </c>
      <c r="AW225" s="19">
        <f t="shared" si="25"/>
        <v>0</v>
      </c>
      <c r="AX225" s="19">
        <f t="shared" si="26"/>
        <v>0</v>
      </c>
    </row>
    <row r="226" spans="1:50" ht="20.100000000000001" hidden="1" customHeight="1" x14ac:dyDescent="0.5">
      <c r="A226" s="16"/>
      <c r="B226" s="15"/>
      <c r="C226" s="20"/>
      <c r="D226" s="20"/>
      <c r="E226" s="19"/>
      <c r="F226" s="20"/>
      <c r="G226" s="20"/>
      <c r="H226" s="19"/>
      <c r="I226" s="20"/>
      <c r="J226" s="20"/>
      <c r="K226" s="20"/>
      <c r="L226" s="20"/>
      <c r="M226" s="20"/>
      <c r="N226" s="20"/>
      <c r="O226" s="20"/>
      <c r="P226" s="20"/>
      <c r="Q226" s="19"/>
      <c r="R226" s="20"/>
      <c r="S226" s="20"/>
      <c r="T226" s="19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>
        <f t="shared" si="25"/>
        <v>0</v>
      </c>
      <c r="AW226" s="19">
        <f t="shared" si="25"/>
        <v>0</v>
      </c>
      <c r="AX226" s="19">
        <f t="shared" si="26"/>
        <v>0</v>
      </c>
    </row>
    <row r="227" spans="1:50" ht="20.100000000000001" hidden="1" customHeight="1" x14ac:dyDescent="0.5">
      <c r="A227" s="16"/>
      <c r="B227" s="15"/>
      <c r="C227" s="20"/>
      <c r="D227" s="20"/>
      <c r="E227" s="19"/>
      <c r="F227" s="20"/>
      <c r="G227" s="20"/>
      <c r="H227" s="19"/>
      <c r="I227" s="20"/>
      <c r="J227" s="20"/>
      <c r="K227" s="20"/>
      <c r="L227" s="20"/>
      <c r="M227" s="20"/>
      <c r="N227" s="20"/>
      <c r="O227" s="20"/>
      <c r="P227" s="20"/>
      <c r="Q227" s="19"/>
      <c r="R227" s="20"/>
      <c r="S227" s="20"/>
      <c r="T227" s="19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>
        <f t="shared" si="25"/>
        <v>0</v>
      </c>
      <c r="AW227" s="19">
        <f t="shared" si="25"/>
        <v>0</v>
      </c>
      <c r="AX227" s="19">
        <f t="shared" si="26"/>
        <v>0</v>
      </c>
    </row>
    <row r="228" spans="1:50" ht="20.100000000000001" hidden="1" customHeight="1" x14ac:dyDescent="0.5">
      <c r="A228" s="16"/>
      <c r="B228" s="15"/>
      <c r="C228" s="20"/>
      <c r="D228" s="20"/>
      <c r="E228" s="19"/>
      <c r="F228" s="20"/>
      <c r="G228" s="20"/>
      <c r="H228" s="19"/>
      <c r="I228" s="20"/>
      <c r="J228" s="20"/>
      <c r="K228" s="20"/>
      <c r="L228" s="20"/>
      <c r="M228" s="20"/>
      <c r="N228" s="20"/>
      <c r="O228" s="20"/>
      <c r="P228" s="20"/>
      <c r="Q228" s="19"/>
      <c r="R228" s="20"/>
      <c r="S228" s="20"/>
      <c r="T228" s="19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>
        <f t="shared" si="25"/>
        <v>0</v>
      </c>
      <c r="AW228" s="19">
        <f t="shared" si="25"/>
        <v>0</v>
      </c>
      <c r="AX228" s="19">
        <f t="shared" si="26"/>
        <v>0</v>
      </c>
    </row>
    <row r="229" spans="1:50" ht="20.100000000000001" hidden="1" customHeight="1" x14ac:dyDescent="0.5">
      <c r="A229" s="16"/>
      <c r="B229" s="15"/>
      <c r="C229" s="20"/>
      <c r="D229" s="20"/>
      <c r="E229" s="19"/>
      <c r="F229" s="20"/>
      <c r="G229" s="20"/>
      <c r="H229" s="19"/>
      <c r="I229" s="20"/>
      <c r="J229" s="20"/>
      <c r="K229" s="20"/>
      <c r="L229" s="20"/>
      <c r="M229" s="20"/>
      <c r="N229" s="20"/>
      <c r="O229" s="20"/>
      <c r="P229" s="20"/>
      <c r="Q229" s="19"/>
      <c r="R229" s="20"/>
      <c r="S229" s="20"/>
      <c r="T229" s="19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>
        <f t="shared" si="25"/>
        <v>0</v>
      </c>
      <c r="AW229" s="19">
        <f t="shared" si="25"/>
        <v>0</v>
      </c>
      <c r="AX229" s="19">
        <f t="shared" si="26"/>
        <v>0</v>
      </c>
    </row>
    <row r="230" spans="1:50" ht="20.100000000000001" hidden="1" customHeight="1" x14ac:dyDescent="0.5">
      <c r="A230" s="16"/>
      <c r="B230" s="15"/>
      <c r="C230" s="20"/>
      <c r="D230" s="20"/>
      <c r="E230" s="19"/>
      <c r="F230" s="20"/>
      <c r="G230" s="20"/>
      <c r="H230" s="19"/>
      <c r="I230" s="20"/>
      <c r="J230" s="20"/>
      <c r="K230" s="20"/>
      <c r="L230" s="20"/>
      <c r="M230" s="20"/>
      <c r="N230" s="20"/>
      <c r="O230" s="20"/>
      <c r="P230" s="20"/>
      <c r="Q230" s="19"/>
      <c r="R230" s="20"/>
      <c r="S230" s="20"/>
      <c r="T230" s="19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>
        <f t="shared" si="25"/>
        <v>0</v>
      </c>
      <c r="AW230" s="19">
        <f t="shared" si="25"/>
        <v>0</v>
      </c>
      <c r="AX230" s="19">
        <f t="shared" si="26"/>
        <v>0</v>
      </c>
    </row>
    <row r="231" spans="1:50" ht="20.100000000000001" hidden="1" customHeight="1" x14ac:dyDescent="0.5">
      <c r="A231" s="16"/>
      <c r="B231" s="15"/>
      <c r="C231" s="20"/>
      <c r="D231" s="20"/>
      <c r="E231" s="19"/>
      <c r="F231" s="20"/>
      <c r="G231" s="20"/>
      <c r="H231" s="19"/>
      <c r="I231" s="20"/>
      <c r="J231" s="20"/>
      <c r="K231" s="20"/>
      <c r="L231" s="20"/>
      <c r="M231" s="20"/>
      <c r="N231" s="20"/>
      <c r="O231" s="20"/>
      <c r="P231" s="20"/>
      <c r="Q231" s="19"/>
      <c r="R231" s="20"/>
      <c r="S231" s="20"/>
      <c r="T231" s="19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>
        <f t="shared" si="25"/>
        <v>0</v>
      </c>
      <c r="AW231" s="19">
        <f t="shared" si="25"/>
        <v>0</v>
      </c>
      <c r="AX231" s="19">
        <f t="shared" si="26"/>
        <v>0</v>
      </c>
    </row>
    <row r="232" spans="1:50" ht="20.100000000000001" hidden="1" customHeight="1" x14ac:dyDescent="0.5">
      <c r="A232" s="16"/>
      <c r="B232" s="15"/>
      <c r="C232" s="20"/>
      <c r="D232" s="20"/>
      <c r="E232" s="19"/>
      <c r="F232" s="20"/>
      <c r="G232" s="20"/>
      <c r="H232" s="19"/>
      <c r="I232" s="20"/>
      <c r="J232" s="20"/>
      <c r="K232" s="20"/>
      <c r="L232" s="20"/>
      <c r="M232" s="20"/>
      <c r="N232" s="20"/>
      <c r="O232" s="20"/>
      <c r="P232" s="20"/>
      <c r="Q232" s="19"/>
      <c r="R232" s="20"/>
      <c r="S232" s="20"/>
      <c r="T232" s="19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>
        <f t="shared" si="25"/>
        <v>0</v>
      </c>
      <c r="AW232" s="19">
        <f t="shared" si="25"/>
        <v>0</v>
      </c>
      <c r="AX232" s="19">
        <f t="shared" si="26"/>
        <v>0</v>
      </c>
    </row>
    <row r="233" spans="1:50" ht="20.100000000000001" hidden="1" customHeight="1" x14ac:dyDescent="0.5">
      <c r="A233" s="16"/>
      <c r="B233" s="15"/>
      <c r="C233" s="20"/>
      <c r="D233" s="20"/>
      <c r="E233" s="19"/>
      <c r="F233" s="20"/>
      <c r="G233" s="20"/>
      <c r="H233" s="19"/>
      <c r="I233" s="20"/>
      <c r="J233" s="20"/>
      <c r="K233" s="20"/>
      <c r="L233" s="20"/>
      <c r="M233" s="20"/>
      <c r="N233" s="20"/>
      <c r="O233" s="20"/>
      <c r="P233" s="20"/>
      <c r="Q233" s="19"/>
      <c r="R233" s="20"/>
      <c r="S233" s="20"/>
      <c r="T233" s="19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>
        <f t="shared" si="25"/>
        <v>0</v>
      </c>
      <c r="AW233" s="19">
        <f t="shared" si="25"/>
        <v>0</v>
      </c>
      <c r="AX233" s="19">
        <f t="shared" si="26"/>
        <v>0</v>
      </c>
    </row>
    <row r="234" spans="1:50" ht="20.100000000000001" hidden="1" customHeight="1" x14ac:dyDescent="0.5">
      <c r="A234" s="16"/>
      <c r="B234" s="15"/>
      <c r="C234" s="20"/>
      <c r="D234" s="20"/>
      <c r="E234" s="19"/>
      <c r="F234" s="20"/>
      <c r="G234" s="20"/>
      <c r="H234" s="19"/>
      <c r="I234" s="20"/>
      <c r="J234" s="20"/>
      <c r="K234" s="20"/>
      <c r="L234" s="20"/>
      <c r="M234" s="20"/>
      <c r="N234" s="20"/>
      <c r="O234" s="20"/>
      <c r="P234" s="20"/>
      <c r="Q234" s="19"/>
      <c r="R234" s="20"/>
      <c r="S234" s="20"/>
      <c r="T234" s="19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>
        <f t="shared" si="25"/>
        <v>0</v>
      </c>
      <c r="AW234" s="19">
        <f t="shared" si="25"/>
        <v>0</v>
      </c>
      <c r="AX234" s="19">
        <f t="shared" si="26"/>
        <v>0</v>
      </c>
    </row>
    <row r="235" spans="1:50" ht="20.100000000000001" hidden="1" customHeight="1" x14ac:dyDescent="0.5">
      <c r="A235" s="16"/>
      <c r="B235" s="15"/>
      <c r="C235" s="20"/>
      <c r="D235" s="20"/>
      <c r="E235" s="19"/>
      <c r="F235" s="20"/>
      <c r="G235" s="20"/>
      <c r="H235" s="19"/>
      <c r="I235" s="20"/>
      <c r="J235" s="20"/>
      <c r="K235" s="20"/>
      <c r="L235" s="20"/>
      <c r="M235" s="20"/>
      <c r="N235" s="20"/>
      <c r="O235" s="20"/>
      <c r="P235" s="20"/>
      <c r="Q235" s="19"/>
      <c r="R235" s="20"/>
      <c r="S235" s="20"/>
      <c r="T235" s="19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>
        <f t="shared" si="25"/>
        <v>0</v>
      </c>
      <c r="AW235" s="19">
        <f t="shared" si="25"/>
        <v>0</v>
      </c>
      <c r="AX235" s="19">
        <f t="shared" si="26"/>
        <v>0</v>
      </c>
    </row>
    <row r="236" spans="1:50" ht="20.100000000000001" hidden="1" customHeight="1" x14ac:dyDescent="0.5">
      <c r="A236" s="16"/>
      <c r="B236" s="15"/>
      <c r="C236" s="20"/>
      <c r="D236" s="20"/>
      <c r="E236" s="19"/>
      <c r="F236" s="20"/>
      <c r="G236" s="20"/>
      <c r="H236" s="19"/>
      <c r="I236" s="20"/>
      <c r="J236" s="20"/>
      <c r="K236" s="20"/>
      <c r="L236" s="20"/>
      <c r="M236" s="20"/>
      <c r="N236" s="20"/>
      <c r="O236" s="20"/>
      <c r="P236" s="20"/>
      <c r="Q236" s="19"/>
      <c r="R236" s="20"/>
      <c r="S236" s="20"/>
      <c r="T236" s="19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>
        <f t="shared" si="25"/>
        <v>0</v>
      </c>
      <c r="AW236" s="19">
        <f t="shared" si="25"/>
        <v>0</v>
      </c>
      <c r="AX236" s="19">
        <f t="shared" si="26"/>
        <v>0</v>
      </c>
    </row>
    <row r="237" spans="1:50" ht="20.100000000000001" hidden="1" customHeight="1" x14ac:dyDescent="0.5">
      <c r="A237" s="16"/>
      <c r="B237" s="15"/>
      <c r="C237" s="20"/>
      <c r="D237" s="20"/>
      <c r="E237" s="19"/>
      <c r="F237" s="20"/>
      <c r="G237" s="20"/>
      <c r="H237" s="19"/>
      <c r="I237" s="20"/>
      <c r="J237" s="20"/>
      <c r="K237" s="20"/>
      <c r="L237" s="20"/>
      <c r="M237" s="20"/>
      <c r="N237" s="20"/>
      <c r="O237" s="20"/>
      <c r="P237" s="20"/>
      <c r="Q237" s="19"/>
      <c r="R237" s="20"/>
      <c r="S237" s="20"/>
      <c r="T237" s="19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>
        <f>C237+F237+I237+L237+O237+R237+U237+X237+AA237+AG237+AJ237+AM237+AP237+AS237</f>
        <v>0</v>
      </c>
      <c r="AW237" s="19">
        <f>D237+G237+J237+M237+P237+S237+V237+Y237+AB237+AH237+AK237+AN237+AQ237+AT237</f>
        <v>0</v>
      </c>
      <c r="AX237" s="19">
        <f>E237+H237+K237+N237+Q237+T237+W237+Z237+AC237+AI237+AL237+AO237+AR237+AU237</f>
        <v>0</v>
      </c>
    </row>
    <row r="238" spans="1:50" ht="20.100000000000001" hidden="1" customHeight="1" x14ac:dyDescent="0.5">
      <c r="A238" s="16"/>
      <c r="B238" s="15"/>
      <c r="C238" s="20"/>
      <c r="D238" s="20"/>
      <c r="E238" s="19"/>
      <c r="F238" s="20"/>
      <c r="G238" s="20"/>
      <c r="H238" s="19"/>
      <c r="I238" s="20"/>
      <c r="J238" s="20"/>
      <c r="K238" s="20"/>
      <c r="L238" s="20"/>
      <c r="M238" s="20"/>
      <c r="N238" s="20"/>
      <c r="O238" s="20"/>
      <c r="P238" s="20"/>
      <c r="Q238" s="19"/>
      <c r="R238" s="20"/>
      <c r="S238" s="20"/>
      <c r="T238" s="19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>
        <f t="shared" ref="AV238:AX239" si="27">C238+F238+I238+L238+O238+R238+U238+X238+AA238+AG238+AJ238+AM238+AP238+AS238</f>
        <v>0</v>
      </c>
      <c r="AW238" s="19">
        <f t="shared" si="27"/>
        <v>0</v>
      </c>
      <c r="AX238" s="19">
        <f t="shared" si="27"/>
        <v>0</v>
      </c>
    </row>
    <row r="239" spans="1:50" ht="20.100000000000001" hidden="1" customHeight="1" x14ac:dyDescent="0.5">
      <c r="A239" s="16"/>
      <c r="B239" s="15"/>
      <c r="C239" s="20"/>
      <c r="D239" s="20"/>
      <c r="E239" s="19"/>
      <c r="F239" s="20"/>
      <c r="G239" s="20"/>
      <c r="H239" s="19"/>
      <c r="I239" s="20"/>
      <c r="J239" s="20"/>
      <c r="K239" s="20"/>
      <c r="L239" s="20"/>
      <c r="M239" s="20"/>
      <c r="N239" s="20"/>
      <c r="O239" s="20"/>
      <c r="P239" s="20"/>
      <c r="Q239" s="19"/>
      <c r="R239" s="20"/>
      <c r="S239" s="20"/>
      <c r="T239" s="19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>
        <f t="shared" si="27"/>
        <v>0</v>
      </c>
      <c r="AW239" s="19">
        <f t="shared" si="27"/>
        <v>0</v>
      </c>
      <c r="AX239" s="19">
        <f t="shared" si="27"/>
        <v>0</v>
      </c>
    </row>
    <row r="240" spans="1:50" ht="20.100000000000001" hidden="1" customHeight="1" x14ac:dyDescent="0.5">
      <c r="A240" s="14"/>
      <c r="B240" s="13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8">
        <f>SUM(AA212:AA223)</f>
        <v>0</v>
      </c>
      <c r="AB240" s="18">
        <f>SUM(AB212:AB223)</f>
        <v>0</v>
      </c>
      <c r="AV240" s="182">
        <f>SUM(AV212:AV239)</f>
        <v>0</v>
      </c>
      <c r="AW240" s="182">
        <f>SUM(AW212:AW239)</f>
        <v>0</v>
      </c>
      <c r="AX240" s="182">
        <f t="shared" ref="AX240" si="28">SUM(AX212:AX239)</f>
        <v>0</v>
      </c>
    </row>
    <row r="241" spans="1:50" hidden="1" x14ac:dyDescent="0.5"/>
    <row r="242" spans="1:50" hidden="1" x14ac:dyDescent="0.5"/>
    <row r="243" spans="1:50" hidden="1" x14ac:dyDescent="0.5">
      <c r="A243" s="550" t="s">
        <v>384</v>
      </c>
      <c r="B243" s="550"/>
    </row>
    <row r="244" spans="1:50" hidden="1" x14ac:dyDescent="0.5"/>
    <row r="245" spans="1:50" hidden="1" x14ac:dyDescent="0.5">
      <c r="A245" s="551" t="s">
        <v>118</v>
      </c>
      <c r="B245" s="552" t="s">
        <v>135</v>
      </c>
      <c r="C245" s="553"/>
      <c r="D245" s="553"/>
      <c r="E245" s="553"/>
      <c r="F245" s="553"/>
      <c r="G245" s="553"/>
      <c r="H245" s="553"/>
      <c r="I245" s="553"/>
      <c r="J245" s="553"/>
      <c r="K245" s="553"/>
      <c r="L245" s="553"/>
      <c r="M245" s="553"/>
      <c r="N245" s="553"/>
      <c r="O245" s="553"/>
      <c r="P245" s="553"/>
      <c r="Q245" s="553"/>
      <c r="R245" s="553"/>
      <c r="S245" s="553"/>
      <c r="T245" s="553"/>
      <c r="U245" s="553"/>
      <c r="V245" s="553"/>
      <c r="W245" s="553"/>
      <c r="X245" s="553"/>
      <c r="Y245" s="553"/>
      <c r="Z245" s="553"/>
      <c r="AA245" s="553"/>
      <c r="AB245" s="553"/>
      <c r="AC245" s="553"/>
      <c r="AD245" s="553"/>
      <c r="AE245" s="553"/>
      <c r="AF245" s="553"/>
      <c r="AG245" s="553"/>
      <c r="AH245" s="553"/>
      <c r="AI245" s="553"/>
      <c r="AJ245" s="553"/>
      <c r="AK245" s="553"/>
      <c r="AL245" s="553"/>
      <c r="AM245" s="553"/>
      <c r="AN245" s="553"/>
      <c r="AO245" s="553"/>
      <c r="AP245" s="553"/>
      <c r="AQ245" s="553"/>
      <c r="AR245" s="553"/>
      <c r="AS245" s="553"/>
      <c r="AT245" s="553"/>
      <c r="AU245" s="553"/>
      <c r="AV245" s="553"/>
      <c r="AW245" s="553"/>
      <c r="AX245" s="553"/>
    </row>
    <row r="246" spans="1:50" hidden="1" x14ac:dyDescent="0.5">
      <c r="A246" s="551"/>
      <c r="B246" s="552"/>
      <c r="C246" s="554" t="s">
        <v>124</v>
      </c>
      <c r="D246" s="555"/>
      <c r="E246" s="556"/>
      <c r="F246" s="554" t="s">
        <v>133</v>
      </c>
      <c r="G246" s="555"/>
      <c r="H246" s="556"/>
      <c r="I246" s="554" t="s">
        <v>132</v>
      </c>
      <c r="J246" s="555"/>
      <c r="K246" s="556"/>
      <c r="L246" s="554" t="s">
        <v>131</v>
      </c>
      <c r="M246" s="555"/>
      <c r="N246" s="556"/>
      <c r="O246" s="554" t="s">
        <v>130</v>
      </c>
      <c r="P246" s="555"/>
      <c r="Q246" s="556"/>
      <c r="R246" s="554" t="s">
        <v>129</v>
      </c>
      <c r="S246" s="555"/>
      <c r="T246" s="556"/>
      <c r="U246" s="554" t="s">
        <v>128</v>
      </c>
      <c r="V246" s="555"/>
      <c r="W246" s="556"/>
      <c r="X246" s="554" t="s">
        <v>127</v>
      </c>
      <c r="Y246" s="555"/>
      <c r="Z246" s="556"/>
      <c r="AA246" s="554" t="s">
        <v>126</v>
      </c>
      <c r="AB246" s="555"/>
      <c r="AC246" s="556"/>
      <c r="AD246" s="554" t="s">
        <v>378</v>
      </c>
      <c r="AE246" s="555"/>
      <c r="AF246" s="556"/>
      <c r="AG246" s="554" t="s">
        <v>125</v>
      </c>
      <c r="AH246" s="555"/>
      <c r="AI246" s="556"/>
      <c r="AJ246" s="554" t="s">
        <v>124</v>
      </c>
      <c r="AK246" s="555"/>
      <c r="AL246" s="556"/>
      <c r="AM246" s="554" t="s">
        <v>123</v>
      </c>
      <c r="AN246" s="555"/>
      <c r="AO246" s="556"/>
      <c r="AP246" s="554" t="s">
        <v>367</v>
      </c>
      <c r="AQ246" s="555"/>
      <c r="AR246" s="556"/>
      <c r="AS246" s="554" t="s">
        <v>368</v>
      </c>
      <c r="AT246" s="555"/>
      <c r="AU246" s="556"/>
      <c r="AV246" s="554" t="s">
        <v>122</v>
      </c>
      <c r="AW246" s="555"/>
      <c r="AX246" s="556"/>
    </row>
    <row r="247" spans="1:50" hidden="1" x14ac:dyDescent="0.5">
      <c r="A247" s="551"/>
      <c r="B247" s="552"/>
      <c r="C247" s="17" t="s">
        <v>109</v>
      </c>
      <c r="D247" s="17" t="s">
        <v>108</v>
      </c>
      <c r="E247" s="17" t="s">
        <v>348</v>
      </c>
      <c r="F247" s="17" t="s">
        <v>109</v>
      </c>
      <c r="G247" s="17" t="s">
        <v>108</v>
      </c>
      <c r="H247" s="17" t="s">
        <v>348</v>
      </c>
      <c r="I247" s="17" t="s">
        <v>109</v>
      </c>
      <c r="J247" s="17" t="s">
        <v>108</v>
      </c>
      <c r="K247" s="17" t="s">
        <v>348</v>
      </c>
      <c r="L247" s="17" t="s">
        <v>109</v>
      </c>
      <c r="M247" s="17" t="s">
        <v>108</v>
      </c>
      <c r="N247" s="17" t="s">
        <v>348</v>
      </c>
      <c r="O247" s="17" t="s">
        <v>109</v>
      </c>
      <c r="P247" s="17" t="s">
        <v>108</v>
      </c>
      <c r="Q247" s="17" t="s">
        <v>348</v>
      </c>
      <c r="R247" s="17" t="s">
        <v>109</v>
      </c>
      <c r="S247" s="17" t="s">
        <v>108</v>
      </c>
      <c r="T247" s="17" t="s">
        <v>348</v>
      </c>
      <c r="U247" s="17" t="s">
        <v>109</v>
      </c>
      <c r="V247" s="17" t="s">
        <v>108</v>
      </c>
      <c r="W247" s="17" t="s">
        <v>348</v>
      </c>
      <c r="X247" s="17" t="s">
        <v>109</v>
      </c>
      <c r="Y247" s="17" t="s">
        <v>108</v>
      </c>
      <c r="Z247" s="17" t="s">
        <v>348</v>
      </c>
      <c r="AA247" s="17" t="s">
        <v>109</v>
      </c>
      <c r="AB247" s="17" t="s">
        <v>108</v>
      </c>
      <c r="AC247" s="17" t="s">
        <v>348</v>
      </c>
      <c r="AD247" s="17"/>
      <c r="AE247" s="17"/>
      <c r="AF247" s="17"/>
      <c r="AG247" s="17" t="s">
        <v>109</v>
      </c>
      <c r="AH247" s="17" t="s">
        <v>108</v>
      </c>
      <c r="AI247" s="17" t="s">
        <v>348</v>
      </c>
      <c r="AJ247" s="17" t="s">
        <v>109</v>
      </c>
      <c r="AK247" s="17" t="s">
        <v>108</v>
      </c>
      <c r="AL247" s="17" t="s">
        <v>348</v>
      </c>
      <c r="AM247" s="17" t="s">
        <v>109</v>
      </c>
      <c r="AN247" s="17" t="s">
        <v>108</v>
      </c>
      <c r="AO247" s="17" t="s">
        <v>348</v>
      </c>
      <c r="AP247" s="17" t="s">
        <v>109</v>
      </c>
      <c r="AQ247" s="17" t="s">
        <v>108</v>
      </c>
      <c r="AR247" s="17" t="s">
        <v>348</v>
      </c>
      <c r="AS247" s="17" t="s">
        <v>109</v>
      </c>
      <c r="AT247" s="17" t="s">
        <v>108</v>
      </c>
      <c r="AU247" s="17" t="s">
        <v>348</v>
      </c>
      <c r="AV247" s="17" t="s">
        <v>109</v>
      </c>
      <c r="AW247" s="17" t="s">
        <v>108</v>
      </c>
      <c r="AX247" s="17" t="s">
        <v>348</v>
      </c>
    </row>
    <row r="248" spans="1:50" hidden="1" x14ac:dyDescent="0.5">
      <c r="A248" s="16"/>
      <c r="B248" s="15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>
        <f>C248+F248+I248+L248+O248+R248+U248+X248+AA248+AG248+AJ248+AM248+AP248+AS248</f>
        <v>0</v>
      </c>
      <c r="AW248" s="19">
        <f>D248+G248+J248+M248+P248+S248+V248+Y248+AB248+AH248+AK248+AN248+AQ248+AT248</f>
        <v>0</v>
      </c>
      <c r="AX248" s="19">
        <f>E248+H248+K248+N248+Q248+T248+W248+Z248+AC248+AI248+AL248+AO248+AR248+AU248</f>
        <v>0</v>
      </c>
    </row>
    <row r="249" spans="1:50" hidden="1" x14ac:dyDescent="0.5">
      <c r="A249" s="16"/>
      <c r="B249" s="15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21"/>
      <c r="P249" s="178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>
        <f t="shared" ref="AV249:AW273" si="29">C249+F249+I249+L249+O249+R249+U249+X249+AA249+AG249+AJ249+AM249</f>
        <v>0</v>
      </c>
      <c r="AW249" s="19">
        <f>D249+G249+J249+M249+P249+S249+V249+Y249+AB249+AH249+AK249+AN249+AE249</f>
        <v>0</v>
      </c>
      <c r="AX249" s="19">
        <f>E249+H249+K249+N249+Q249+T249+W249+Z249+AC249+AI249+AL249+AN249+AF249</f>
        <v>0</v>
      </c>
    </row>
    <row r="250" spans="1:50" hidden="1" x14ac:dyDescent="0.5">
      <c r="A250" s="16"/>
      <c r="B250" s="15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>
        <f t="shared" si="29"/>
        <v>0</v>
      </c>
      <c r="AW250" s="19">
        <f t="shared" si="29"/>
        <v>0</v>
      </c>
      <c r="AX250" s="19">
        <f t="shared" ref="AX250:AX273" si="30">E250+H250+K250+N250+Q250+T250+W250+Z250+AC250+AI250+AL250+AN250</f>
        <v>0</v>
      </c>
    </row>
    <row r="251" spans="1:50" hidden="1" x14ac:dyDescent="0.5">
      <c r="A251" s="16"/>
      <c r="B251" s="15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>
        <f t="shared" si="29"/>
        <v>0</v>
      </c>
      <c r="AW251" s="19">
        <f t="shared" si="29"/>
        <v>0</v>
      </c>
      <c r="AX251" s="19">
        <f t="shared" si="30"/>
        <v>0</v>
      </c>
    </row>
    <row r="252" spans="1:50" hidden="1" x14ac:dyDescent="0.5">
      <c r="A252" s="16"/>
      <c r="B252" s="15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>
        <f t="shared" si="29"/>
        <v>0</v>
      </c>
      <c r="AW252" s="19">
        <f t="shared" si="29"/>
        <v>0</v>
      </c>
      <c r="AX252" s="19">
        <f t="shared" si="30"/>
        <v>0</v>
      </c>
    </row>
    <row r="253" spans="1:50" hidden="1" x14ac:dyDescent="0.5">
      <c r="A253" s="16"/>
      <c r="B253" s="15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>
        <f t="shared" si="29"/>
        <v>0</v>
      </c>
      <c r="AW253" s="19">
        <f t="shared" si="29"/>
        <v>0</v>
      </c>
      <c r="AX253" s="19">
        <f t="shared" si="30"/>
        <v>0</v>
      </c>
    </row>
    <row r="254" spans="1:50" hidden="1" x14ac:dyDescent="0.5">
      <c r="A254" s="16"/>
      <c r="B254" s="15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>
        <f t="shared" si="29"/>
        <v>0</v>
      </c>
      <c r="AW254" s="19">
        <f t="shared" si="29"/>
        <v>0</v>
      </c>
      <c r="AX254" s="19">
        <f t="shared" si="30"/>
        <v>0</v>
      </c>
    </row>
    <row r="255" spans="1:50" hidden="1" x14ac:dyDescent="0.5">
      <c r="A255" s="16"/>
      <c r="B255" s="15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>
        <f t="shared" si="29"/>
        <v>0</v>
      </c>
      <c r="AW255" s="19">
        <f t="shared" si="29"/>
        <v>0</v>
      </c>
      <c r="AX255" s="19">
        <f t="shared" si="30"/>
        <v>0</v>
      </c>
    </row>
    <row r="256" spans="1:50" hidden="1" x14ac:dyDescent="0.5">
      <c r="A256" s="16"/>
      <c r="B256" s="15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>
        <f t="shared" si="29"/>
        <v>0</v>
      </c>
      <c r="AW256" s="19">
        <f t="shared" si="29"/>
        <v>0</v>
      </c>
      <c r="AX256" s="19">
        <f t="shared" si="30"/>
        <v>0</v>
      </c>
    </row>
    <row r="257" spans="1:50" hidden="1" x14ac:dyDescent="0.5">
      <c r="A257" s="16"/>
      <c r="B257" s="15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>
        <f t="shared" si="29"/>
        <v>0</v>
      </c>
      <c r="AW257" s="19">
        <f t="shared" si="29"/>
        <v>0</v>
      </c>
      <c r="AX257" s="19">
        <f t="shared" si="30"/>
        <v>0</v>
      </c>
    </row>
    <row r="258" spans="1:50" hidden="1" x14ac:dyDescent="0.5">
      <c r="A258" s="16"/>
      <c r="B258" s="15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>
        <f t="shared" si="29"/>
        <v>0</v>
      </c>
      <c r="AW258" s="19">
        <f t="shared" si="29"/>
        <v>0</v>
      </c>
      <c r="AX258" s="19">
        <f t="shared" si="30"/>
        <v>0</v>
      </c>
    </row>
    <row r="259" spans="1:50" hidden="1" x14ac:dyDescent="0.5">
      <c r="A259" s="16"/>
      <c r="B259" s="15"/>
      <c r="C259" s="20"/>
      <c r="D259" s="20"/>
      <c r="E259" s="19"/>
      <c r="F259" s="20"/>
      <c r="G259" s="20"/>
      <c r="H259" s="19"/>
      <c r="I259" s="20"/>
      <c r="J259" s="20"/>
      <c r="K259" s="20"/>
      <c r="L259" s="20"/>
      <c r="M259" s="20"/>
      <c r="N259" s="20"/>
      <c r="O259" s="20"/>
      <c r="P259" s="20"/>
      <c r="Q259" s="19"/>
      <c r="R259" s="20"/>
      <c r="S259" s="20"/>
      <c r="T259" s="19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>
        <f t="shared" si="29"/>
        <v>0</v>
      </c>
      <c r="AW259" s="19">
        <f t="shared" si="29"/>
        <v>0</v>
      </c>
      <c r="AX259" s="19">
        <f t="shared" si="30"/>
        <v>0</v>
      </c>
    </row>
    <row r="260" spans="1:50" hidden="1" x14ac:dyDescent="0.5">
      <c r="A260" s="16"/>
      <c r="B260" s="15"/>
      <c r="C260" s="20"/>
      <c r="D260" s="20"/>
      <c r="E260" s="19"/>
      <c r="F260" s="20"/>
      <c r="G260" s="20"/>
      <c r="H260" s="19"/>
      <c r="I260" s="20"/>
      <c r="J260" s="20"/>
      <c r="K260" s="20"/>
      <c r="L260" s="20"/>
      <c r="M260" s="20"/>
      <c r="N260" s="20"/>
      <c r="O260" s="20"/>
      <c r="P260" s="20"/>
      <c r="Q260" s="19"/>
      <c r="R260" s="20"/>
      <c r="S260" s="20"/>
      <c r="T260" s="19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>
        <f t="shared" si="29"/>
        <v>0</v>
      </c>
      <c r="AW260" s="19">
        <f t="shared" si="29"/>
        <v>0</v>
      </c>
      <c r="AX260" s="19">
        <f t="shared" si="30"/>
        <v>0</v>
      </c>
    </row>
    <row r="261" spans="1:50" hidden="1" x14ac:dyDescent="0.5">
      <c r="A261" s="16"/>
      <c r="B261" s="15"/>
      <c r="C261" s="20"/>
      <c r="D261" s="20"/>
      <c r="E261" s="19"/>
      <c r="F261" s="20"/>
      <c r="G261" s="20"/>
      <c r="H261" s="19"/>
      <c r="I261" s="20"/>
      <c r="J261" s="20"/>
      <c r="K261" s="20"/>
      <c r="L261" s="20"/>
      <c r="M261" s="20"/>
      <c r="N261" s="20"/>
      <c r="O261" s="20"/>
      <c r="P261" s="20"/>
      <c r="Q261" s="19"/>
      <c r="R261" s="20"/>
      <c r="S261" s="20"/>
      <c r="T261" s="19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>
        <f t="shared" si="29"/>
        <v>0</v>
      </c>
      <c r="AW261" s="19">
        <f t="shared" si="29"/>
        <v>0</v>
      </c>
      <c r="AX261" s="19">
        <f t="shared" si="30"/>
        <v>0</v>
      </c>
    </row>
    <row r="262" spans="1:50" hidden="1" x14ac:dyDescent="0.5">
      <c r="A262" s="16"/>
      <c r="B262" s="15"/>
      <c r="C262" s="20"/>
      <c r="D262" s="20"/>
      <c r="E262" s="19"/>
      <c r="F262" s="20"/>
      <c r="G262" s="20"/>
      <c r="H262" s="19"/>
      <c r="I262" s="20"/>
      <c r="J262" s="20"/>
      <c r="K262" s="20"/>
      <c r="L262" s="20"/>
      <c r="M262" s="20"/>
      <c r="N262" s="20"/>
      <c r="O262" s="20"/>
      <c r="P262" s="20"/>
      <c r="Q262" s="19"/>
      <c r="R262" s="20"/>
      <c r="S262" s="20"/>
      <c r="T262" s="19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>
        <f t="shared" si="29"/>
        <v>0</v>
      </c>
      <c r="AW262" s="19">
        <f t="shared" si="29"/>
        <v>0</v>
      </c>
      <c r="AX262" s="19">
        <f t="shared" si="30"/>
        <v>0</v>
      </c>
    </row>
    <row r="263" spans="1:50" hidden="1" x14ac:dyDescent="0.5">
      <c r="A263" s="16"/>
      <c r="B263" s="15"/>
      <c r="C263" s="20"/>
      <c r="D263" s="20"/>
      <c r="E263" s="19"/>
      <c r="F263" s="20"/>
      <c r="G263" s="20"/>
      <c r="H263" s="19"/>
      <c r="I263" s="20"/>
      <c r="J263" s="20"/>
      <c r="K263" s="20"/>
      <c r="L263" s="20"/>
      <c r="M263" s="20"/>
      <c r="N263" s="20"/>
      <c r="O263" s="20"/>
      <c r="P263" s="20"/>
      <c r="Q263" s="19"/>
      <c r="R263" s="20"/>
      <c r="S263" s="20"/>
      <c r="T263" s="19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>
        <f t="shared" si="29"/>
        <v>0</v>
      </c>
      <c r="AW263" s="19">
        <f t="shared" si="29"/>
        <v>0</v>
      </c>
      <c r="AX263" s="19">
        <f t="shared" si="30"/>
        <v>0</v>
      </c>
    </row>
    <row r="264" spans="1:50" hidden="1" x14ac:dyDescent="0.5">
      <c r="A264" s="16"/>
      <c r="B264" s="15"/>
      <c r="C264" s="20"/>
      <c r="D264" s="20"/>
      <c r="E264" s="19"/>
      <c r="F264" s="20"/>
      <c r="G264" s="20"/>
      <c r="H264" s="19"/>
      <c r="I264" s="20"/>
      <c r="J264" s="20"/>
      <c r="K264" s="20"/>
      <c r="L264" s="20"/>
      <c r="M264" s="20"/>
      <c r="N264" s="20"/>
      <c r="O264" s="20"/>
      <c r="P264" s="20"/>
      <c r="Q264" s="19"/>
      <c r="R264" s="20"/>
      <c r="S264" s="20"/>
      <c r="T264" s="19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>
        <f t="shared" si="29"/>
        <v>0</v>
      </c>
      <c r="AW264" s="19">
        <f t="shared" si="29"/>
        <v>0</v>
      </c>
      <c r="AX264" s="19">
        <f t="shared" si="30"/>
        <v>0</v>
      </c>
    </row>
    <row r="265" spans="1:50" hidden="1" x14ac:dyDescent="0.5">
      <c r="A265" s="16"/>
      <c r="B265" s="15"/>
      <c r="C265" s="20"/>
      <c r="D265" s="20"/>
      <c r="E265" s="19"/>
      <c r="F265" s="20"/>
      <c r="G265" s="20"/>
      <c r="H265" s="19"/>
      <c r="I265" s="20"/>
      <c r="J265" s="20"/>
      <c r="K265" s="20"/>
      <c r="L265" s="20"/>
      <c r="M265" s="20"/>
      <c r="N265" s="20"/>
      <c r="O265" s="20"/>
      <c r="P265" s="20"/>
      <c r="Q265" s="19"/>
      <c r="R265" s="20"/>
      <c r="S265" s="20"/>
      <c r="T265" s="19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>
        <f t="shared" si="29"/>
        <v>0</v>
      </c>
      <c r="AW265" s="19">
        <f t="shared" si="29"/>
        <v>0</v>
      </c>
      <c r="AX265" s="19">
        <f t="shared" si="30"/>
        <v>0</v>
      </c>
    </row>
    <row r="266" spans="1:50" hidden="1" x14ac:dyDescent="0.5">
      <c r="A266" s="16"/>
      <c r="B266" s="15"/>
      <c r="C266" s="20"/>
      <c r="D266" s="20"/>
      <c r="E266" s="19"/>
      <c r="F266" s="20"/>
      <c r="G266" s="20"/>
      <c r="H266" s="19"/>
      <c r="I266" s="20"/>
      <c r="J266" s="20"/>
      <c r="K266" s="20"/>
      <c r="L266" s="20"/>
      <c r="M266" s="20"/>
      <c r="N266" s="20"/>
      <c r="O266" s="20"/>
      <c r="P266" s="20"/>
      <c r="Q266" s="19"/>
      <c r="R266" s="20"/>
      <c r="S266" s="20"/>
      <c r="T266" s="19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>
        <f t="shared" si="29"/>
        <v>0</v>
      </c>
      <c r="AW266" s="19">
        <f t="shared" si="29"/>
        <v>0</v>
      </c>
      <c r="AX266" s="19">
        <f t="shared" si="30"/>
        <v>0</v>
      </c>
    </row>
    <row r="267" spans="1:50" hidden="1" x14ac:dyDescent="0.5">
      <c r="A267" s="16"/>
      <c r="B267" s="15"/>
      <c r="C267" s="20"/>
      <c r="D267" s="20"/>
      <c r="E267" s="19"/>
      <c r="F267" s="20"/>
      <c r="G267" s="20"/>
      <c r="H267" s="19"/>
      <c r="I267" s="20"/>
      <c r="J267" s="20"/>
      <c r="K267" s="20"/>
      <c r="L267" s="20"/>
      <c r="M267" s="20"/>
      <c r="N267" s="20"/>
      <c r="O267" s="20"/>
      <c r="P267" s="20"/>
      <c r="Q267" s="19"/>
      <c r="R267" s="20"/>
      <c r="S267" s="20"/>
      <c r="T267" s="19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>
        <f t="shared" si="29"/>
        <v>0</v>
      </c>
      <c r="AW267" s="19">
        <f t="shared" si="29"/>
        <v>0</v>
      </c>
      <c r="AX267" s="19">
        <f t="shared" si="30"/>
        <v>0</v>
      </c>
    </row>
    <row r="268" spans="1:50" hidden="1" x14ac:dyDescent="0.5">
      <c r="A268" s="16"/>
      <c r="B268" s="15"/>
      <c r="C268" s="20"/>
      <c r="D268" s="20"/>
      <c r="E268" s="19"/>
      <c r="F268" s="20"/>
      <c r="G268" s="20"/>
      <c r="H268" s="19"/>
      <c r="I268" s="20"/>
      <c r="J268" s="20"/>
      <c r="K268" s="20"/>
      <c r="L268" s="20"/>
      <c r="M268" s="20"/>
      <c r="N268" s="20"/>
      <c r="O268" s="20"/>
      <c r="P268" s="20"/>
      <c r="Q268" s="19"/>
      <c r="R268" s="20"/>
      <c r="S268" s="20"/>
      <c r="T268" s="19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>
        <f t="shared" si="29"/>
        <v>0</v>
      </c>
      <c r="AW268" s="19">
        <f t="shared" si="29"/>
        <v>0</v>
      </c>
      <c r="AX268" s="19">
        <f t="shared" si="30"/>
        <v>0</v>
      </c>
    </row>
    <row r="269" spans="1:50" hidden="1" x14ac:dyDescent="0.5">
      <c r="A269" s="16"/>
      <c r="B269" s="15"/>
      <c r="C269" s="20"/>
      <c r="D269" s="20"/>
      <c r="E269" s="19"/>
      <c r="F269" s="20"/>
      <c r="G269" s="20"/>
      <c r="H269" s="19"/>
      <c r="I269" s="20"/>
      <c r="J269" s="20"/>
      <c r="K269" s="20"/>
      <c r="L269" s="20"/>
      <c r="M269" s="20"/>
      <c r="N269" s="20"/>
      <c r="O269" s="20"/>
      <c r="P269" s="20"/>
      <c r="Q269" s="19"/>
      <c r="R269" s="20"/>
      <c r="S269" s="20"/>
      <c r="T269" s="19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>
        <f t="shared" si="29"/>
        <v>0</v>
      </c>
      <c r="AW269" s="19">
        <f t="shared" si="29"/>
        <v>0</v>
      </c>
      <c r="AX269" s="19">
        <f t="shared" si="30"/>
        <v>0</v>
      </c>
    </row>
    <row r="270" spans="1:50" hidden="1" x14ac:dyDescent="0.5">
      <c r="A270" s="16"/>
      <c r="B270" s="15"/>
      <c r="C270" s="20"/>
      <c r="D270" s="20"/>
      <c r="E270" s="19"/>
      <c r="F270" s="20"/>
      <c r="G270" s="20"/>
      <c r="H270" s="19"/>
      <c r="I270" s="20"/>
      <c r="J270" s="20"/>
      <c r="K270" s="20"/>
      <c r="L270" s="20"/>
      <c r="M270" s="20"/>
      <c r="N270" s="20"/>
      <c r="O270" s="20"/>
      <c r="P270" s="20"/>
      <c r="Q270" s="19"/>
      <c r="R270" s="20"/>
      <c r="S270" s="20"/>
      <c r="T270" s="19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>
        <f t="shared" si="29"/>
        <v>0</v>
      </c>
      <c r="AW270" s="19">
        <f t="shared" si="29"/>
        <v>0</v>
      </c>
      <c r="AX270" s="19">
        <f t="shared" si="30"/>
        <v>0</v>
      </c>
    </row>
    <row r="271" spans="1:50" hidden="1" x14ac:dyDescent="0.5">
      <c r="A271" s="16"/>
      <c r="B271" s="15"/>
      <c r="C271" s="20"/>
      <c r="D271" s="20"/>
      <c r="E271" s="19"/>
      <c r="F271" s="20"/>
      <c r="G271" s="20"/>
      <c r="H271" s="19"/>
      <c r="I271" s="20"/>
      <c r="J271" s="20"/>
      <c r="K271" s="20"/>
      <c r="L271" s="20"/>
      <c r="M271" s="20"/>
      <c r="N271" s="20"/>
      <c r="O271" s="20"/>
      <c r="P271" s="20"/>
      <c r="Q271" s="19"/>
      <c r="R271" s="20"/>
      <c r="S271" s="20"/>
      <c r="T271" s="19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>
        <f t="shared" si="29"/>
        <v>0</v>
      </c>
      <c r="AW271" s="19">
        <f t="shared" si="29"/>
        <v>0</v>
      </c>
      <c r="AX271" s="19">
        <f t="shared" si="30"/>
        <v>0</v>
      </c>
    </row>
    <row r="272" spans="1:50" hidden="1" x14ac:dyDescent="0.5">
      <c r="A272" s="16"/>
      <c r="B272" s="15"/>
      <c r="C272" s="20"/>
      <c r="D272" s="20"/>
      <c r="E272" s="19"/>
      <c r="F272" s="20"/>
      <c r="G272" s="20"/>
      <c r="H272" s="19"/>
      <c r="I272" s="20"/>
      <c r="J272" s="20"/>
      <c r="K272" s="20"/>
      <c r="L272" s="20"/>
      <c r="M272" s="20"/>
      <c r="N272" s="20"/>
      <c r="O272" s="20"/>
      <c r="P272" s="20"/>
      <c r="Q272" s="19"/>
      <c r="R272" s="20"/>
      <c r="S272" s="20"/>
      <c r="T272" s="19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>
        <f t="shared" si="29"/>
        <v>0</v>
      </c>
      <c r="AW272" s="19">
        <f t="shared" si="29"/>
        <v>0</v>
      </c>
      <c r="AX272" s="19">
        <f t="shared" si="30"/>
        <v>0</v>
      </c>
    </row>
    <row r="273" spans="1:50" hidden="1" x14ac:dyDescent="0.5">
      <c r="A273" s="16"/>
      <c r="B273" s="15"/>
      <c r="C273" s="20"/>
      <c r="D273" s="20"/>
      <c r="E273" s="19"/>
      <c r="F273" s="20"/>
      <c r="G273" s="20"/>
      <c r="H273" s="19"/>
      <c r="I273" s="20"/>
      <c r="J273" s="20"/>
      <c r="K273" s="20"/>
      <c r="L273" s="20"/>
      <c r="M273" s="20"/>
      <c r="N273" s="20"/>
      <c r="O273" s="20"/>
      <c r="P273" s="20"/>
      <c r="Q273" s="19"/>
      <c r="R273" s="20"/>
      <c r="S273" s="20"/>
      <c r="T273" s="19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>
        <f t="shared" si="29"/>
        <v>0</v>
      </c>
      <c r="AW273" s="19">
        <f t="shared" si="29"/>
        <v>0</v>
      </c>
      <c r="AX273" s="19">
        <f t="shared" si="30"/>
        <v>0</v>
      </c>
    </row>
    <row r="274" spans="1:50" hidden="1" x14ac:dyDescent="0.5">
      <c r="A274" s="16"/>
      <c r="B274" s="15"/>
      <c r="C274" s="20"/>
      <c r="D274" s="20"/>
      <c r="E274" s="19"/>
      <c r="F274" s="20"/>
      <c r="G274" s="20"/>
      <c r="H274" s="19"/>
      <c r="I274" s="20"/>
      <c r="J274" s="20"/>
      <c r="K274" s="20"/>
      <c r="L274" s="20"/>
      <c r="M274" s="20"/>
      <c r="N274" s="20"/>
      <c r="O274" s="20"/>
      <c r="P274" s="20"/>
      <c r="Q274" s="19"/>
      <c r="R274" s="20"/>
      <c r="S274" s="20"/>
      <c r="T274" s="19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>
        <f>C274+F274+I274+L274+O274+R274+U274+X274+AA274+AG274+AJ274+AM274+AP274+AS274</f>
        <v>0</v>
      </c>
      <c r="AW274" s="19">
        <f>D274+G274+J274+M274+P274+S274+V274+Y274+AB274+AH274+AK274+AN274+AQ274+AT274</f>
        <v>0</v>
      </c>
      <c r="AX274" s="19">
        <f>E274+H274+K274+N274+Q274+T274+W274+Z274+AC274+AI274+AL274+AO274+AR274+AU274</f>
        <v>0</v>
      </c>
    </row>
    <row r="275" spans="1:50" hidden="1" x14ac:dyDescent="0.5">
      <c r="A275" s="16"/>
      <c r="B275" s="15"/>
      <c r="C275" s="20"/>
      <c r="D275" s="20"/>
      <c r="E275" s="19"/>
      <c r="F275" s="20"/>
      <c r="G275" s="20"/>
      <c r="H275" s="19"/>
      <c r="I275" s="20"/>
      <c r="J275" s="20"/>
      <c r="K275" s="20"/>
      <c r="L275" s="20"/>
      <c r="M275" s="20"/>
      <c r="N275" s="20"/>
      <c r="O275" s="20"/>
      <c r="P275" s="20"/>
      <c r="Q275" s="19"/>
      <c r="R275" s="20"/>
      <c r="S275" s="20"/>
      <c r="T275" s="19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>
        <f t="shared" ref="AV275:AX276" si="31">C275+F275+I275+L275+O275+R275+U275+X275+AA275+AG275+AJ275+AM275+AP275+AS275</f>
        <v>0</v>
      </c>
      <c r="AW275" s="19">
        <f t="shared" si="31"/>
        <v>0</v>
      </c>
      <c r="AX275" s="19">
        <f t="shared" si="31"/>
        <v>0</v>
      </c>
    </row>
    <row r="276" spans="1:50" hidden="1" x14ac:dyDescent="0.5">
      <c r="A276" s="16"/>
      <c r="B276" s="15"/>
      <c r="C276" s="20"/>
      <c r="D276" s="20"/>
      <c r="E276" s="19"/>
      <c r="F276" s="20"/>
      <c r="G276" s="20"/>
      <c r="H276" s="19"/>
      <c r="I276" s="20"/>
      <c r="J276" s="20"/>
      <c r="K276" s="20"/>
      <c r="L276" s="20"/>
      <c r="M276" s="20"/>
      <c r="N276" s="20"/>
      <c r="O276" s="20"/>
      <c r="P276" s="20"/>
      <c r="Q276" s="19"/>
      <c r="R276" s="20"/>
      <c r="S276" s="20"/>
      <c r="T276" s="19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>
        <f t="shared" si="31"/>
        <v>0</v>
      </c>
      <c r="AW276" s="19">
        <f t="shared" si="31"/>
        <v>0</v>
      </c>
      <c r="AX276" s="19">
        <f t="shared" si="31"/>
        <v>0</v>
      </c>
    </row>
    <row r="277" spans="1:50" hidden="1" x14ac:dyDescent="0.5">
      <c r="A277" s="14"/>
      <c r="B277" s="13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8">
        <f>SUM(AA248:AA260)</f>
        <v>0</v>
      </c>
      <c r="AB277" s="18">
        <f>SUM(AB248:AB260)</f>
        <v>0</v>
      </c>
      <c r="AV277" s="182">
        <f>SUM(AV248:AV276)</f>
        <v>0</v>
      </c>
      <c r="AW277" s="182">
        <f>SUM(AW248:AW276)</f>
        <v>0</v>
      </c>
      <c r="AX277" s="182">
        <f t="shared" ref="AX277" si="32">SUM(AX248:AX276)</f>
        <v>0</v>
      </c>
    </row>
    <row r="278" spans="1:50" hidden="1" x14ac:dyDescent="0.5"/>
    <row r="279" spans="1:50" hidden="1" x14ac:dyDescent="0.5"/>
    <row r="280" spans="1:50" hidden="1" x14ac:dyDescent="0.5">
      <c r="A280" s="550" t="s">
        <v>388</v>
      </c>
      <c r="B280" s="550"/>
    </row>
    <row r="281" spans="1:50" hidden="1" x14ac:dyDescent="0.5"/>
    <row r="282" spans="1:50" hidden="1" x14ac:dyDescent="0.5">
      <c r="A282" s="551" t="s">
        <v>118</v>
      </c>
      <c r="B282" s="552" t="s">
        <v>135</v>
      </c>
      <c r="C282" s="553"/>
      <c r="D282" s="553"/>
      <c r="E282" s="553"/>
      <c r="F282" s="553"/>
      <c r="G282" s="553"/>
      <c r="H282" s="553"/>
      <c r="I282" s="553"/>
      <c r="J282" s="553"/>
      <c r="K282" s="553"/>
      <c r="L282" s="553"/>
      <c r="M282" s="553"/>
      <c r="N282" s="553"/>
      <c r="O282" s="553"/>
      <c r="P282" s="553"/>
      <c r="Q282" s="553"/>
      <c r="R282" s="553"/>
      <c r="S282" s="553"/>
      <c r="T282" s="553"/>
      <c r="U282" s="553"/>
      <c r="V282" s="553"/>
      <c r="W282" s="553"/>
      <c r="X282" s="553"/>
      <c r="Y282" s="553"/>
      <c r="Z282" s="553"/>
      <c r="AA282" s="553"/>
      <c r="AB282" s="553"/>
      <c r="AC282" s="553"/>
      <c r="AD282" s="553"/>
      <c r="AE282" s="553"/>
      <c r="AF282" s="553"/>
      <c r="AG282" s="553"/>
      <c r="AH282" s="553"/>
      <c r="AI282" s="553"/>
      <c r="AJ282" s="553"/>
      <c r="AK282" s="553"/>
      <c r="AL282" s="553"/>
      <c r="AM282" s="553"/>
      <c r="AN282" s="553"/>
      <c r="AO282" s="553"/>
      <c r="AP282" s="553"/>
      <c r="AQ282" s="553"/>
      <c r="AR282" s="553"/>
      <c r="AS282" s="553"/>
      <c r="AT282" s="553"/>
      <c r="AU282" s="553"/>
      <c r="AV282" s="553"/>
      <c r="AW282" s="553"/>
      <c r="AX282" s="553"/>
    </row>
    <row r="283" spans="1:50" hidden="1" x14ac:dyDescent="0.5">
      <c r="A283" s="551"/>
      <c r="B283" s="552"/>
      <c r="C283" s="554" t="s">
        <v>124</v>
      </c>
      <c r="D283" s="555"/>
      <c r="E283" s="556"/>
      <c r="F283" s="554" t="s">
        <v>133</v>
      </c>
      <c r="G283" s="555"/>
      <c r="H283" s="556"/>
      <c r="I283" s="554" t="s">
        <v>132</v>
      </c>
      <c r="J283" s="555"/>
      <c r="K283" s="556"/>
      <c r="L283" s="554" t="s">
        <v>131</v>
      </c>
      <c r="M283" s="555"/>
      <c r="N283" s="556"/>
      <c r="O283" s="554" t="s">
        <v>130</v>
      </c>
      <c r="P283" s="555"/>
      <c r="Q283" s="556"/>
      <c r="R283" s="554" t="s">
        <v>129</v>
      </c>
      <c r="S283" s="555"/>
      <c r="T283" s="556"/>
      <c r="U283" s="554" t="s">
        <v>128</v>
      </c>
      <c r="V283" s="555"/>
      <c r="W283" s="556"/>
      <c r="X283" s="554" t="s">
        <v>127</v>
      </c>
      <c r="Y283" s="555"/>
      <c r="Z283" s="556"/>
      <c r="AA283" s="554" t="s">
        <v>126</v>
      </c>
      <c r="AB283" s="555"/>
      <c r="AC283" s="556"/>
      <c r="AD283" s="554" t="s">
        <v>378</v>
      </c>
      <c r="AE283" s="555"/>
      <c r="AF283" s="556"/>
      <c r="AG283" s="554" t="s">
        <v>125</v>
      </c>
      <c r="AH283" s="555"/>
      <c r="AI283" s="556"/>
      <c r="AJ283" s="554" t="s">
        <v>124</v>
      </c>
      <c r="AK283" s="555"/>
      <c r="AL283" s="556"/>
      <c r="AM283" s="554" t="s">
        <v>123</v>
      </c>
      <c r="AN283" s="555"/>
      <c r="AO283" s="556"/>
      <c r="AP283" s="554" t="s">
        <v>367</v>
      </c>
      <c r="AQ283" s="555"/>
      <c r="AR283" s="556"/>
      <c r="AS283" s="554" t="s">
        <v>368</v>
      </c>
      <c r="AT283" s="555"/>
      <c r="AU283" s="556"/>
      <c r="AV283" s="554" t="s">
        <v>122</v>
      </c>
      <c r="AW283" s="555"/>
      <c r="AX283" s="556"/>
    </row>
    <row r="284" spans="1:50" hidden="1" x14ac:dyDescent="0.5">
      <c r="A284" s="551"/>
      <c r="B284" s="552"/>
      <c r="C284" s="17" t="s">
        <v>109</v>
      </c>
      <c r="D284" s="17" t="s">
        <v>108</v>
      </c>
      <c r="E284" s="17" t="s">
        <v>348</v>
      </c>
      <c r="F284" s="17" t="s">
        <v>109</v>
      </c>
      <c r="G284" s="17" t="s">
        <v>108</v>
      </c>
      <c r="H284" s="17" t="s">
        <v>348</v>
      </c>
      <c r="I284" s="17" t="s">
        <v>109</v>
      </c>
      <c r="J284" s="17" t="s">
        <v>108</v>
      </c>
      <c r="K284" s="17" t="s">
        <v>348</v>
      </c>
      <c r="L284" s="17" t="s">
        <v>109</v>
      </c>
      <c r="M284" s="17" t="s">
        <v>108</v>
      </c>
      <c r="N284" s="17" t="s">
        <v>348</v>
      </c>
      <c r="O284" s="17" t="s">
        <v>109</v>
      </c>
      <c r="P284" s="17" t="s">
        <v>108</v>
      </c>
      <c r="Q284" s="17" t="s">
        <v>348</v>
      </c>
      <c r="R284" s="17" t="s">
        <v>109</v>
      </c>
      <c r="S284" s="17" t="s">
        <v>108</v>
      </c>
      <c r="T284" s="17" t="s">
        <v>348</v>
      </c>
      <c r="U284" s="17" t="s">
        <v>109</v>
      </c>
      <c r="V284" s="17" t="s">
        <v>108</v>
      </c>
      <c r="W284" s="17" t="s">
        <v>348</v>
      </c>
      <c r="X284" s="17" t="s">
        <v>109</v>
      </c>
      <c r="Y284" s="17" t="s">
        <v>108</v>
      </c>
      <c r="Z284" s="17" t="s">
        <v>348</v>
      </c>
      <c r="AA284" s="17" t="s">
        <v>109</v>
      </c>
      <c r="AB284" s="17" t="s">
        <v>108</v>
      </c>
      <c r="AC284" s="17" t="s">
        <v>348</v>
      </c>
      <c r="AD284" s="17"/>
      <c r="AE284" s="17"/>
      <c r="AF284" s="17"/>
      <c r="AG284" s="17" t="s">
        <v>109</v>
      </c>
      <c r="AH284" s="17" t="s">
        <v>108</v>
      </c>
      <c r="AI284" s="17" t="s">
        <v>348</v>
      </c>
      <c r="AJ284" s="17" t="s">
        <v>109</v>
      </c>
      <c r="AK284" s="17" t="s">
        <v>108</v>
      </c>
      <c r="AL284" s="17" t="s">
        <v>348</v>
      </c>
      <c r="AM284" s="17" t="s">
        <v>109</v>
      </c>
      <c r="AN284" s="17" t="s">
        <v>108</v>
      </c>
      <c r="AO284" s="17" t="s">
        <v>348</v>
      </c>
      <c r="AP284" s="17" t="s">
        <v>109</v>
      </c>
      <c r="AQ284" s="17" t="s">
        <v>108</v>
      </c>
      <c r="AR284" s="17" t="s">
        <v>348</v>
      </c>
      <c r="AS284" s="17" t="s">
        <v>109</v>
      </c>
      <c r="AT284" s="17" t="s">
        <v>108</v>
      </c>
      <c r="AU284" s="17" t="s">
        <v>348</v>
      </c>
      <c r="AV284" s="17" t="s">
        <v>109</v>
      </c>
      <c r="AW284" s="17" t="s">
        <v>108</v>
      </c>
      <c r="AX284" s="17" t="s">
        <v>348</v>
      </c>
    </row>
    <row r="285" spans="1:50" hidden="1" x14ac:dyDescent="0.5">
      <c r="A285" s="16"/>
      <c r="B285" s="15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>
        <f>C285+F285+I285+L285+O285+R285+U285+X285+AA285+AG285+AJ285+AM285+AP285+AS285</f>
        <v>0</v>
      </c>
      <c r="AW285" s="19">
        <f>D285+G285+J285+M285+P285+S285+V285+Y285+AB285+AH285+AK285+AN285+AQ285+AT285</f>
        <v>0</v>
      </c>
      <c r="AX285" s="19">
        <f>E285+H285+K285+N285+Q285+T285+W285+Z285+AC285+AI285+AL285+AO285+AR285+AU285</f>
        <v>0</v>
      </c>
    </row>
    <row r="286" spans="1:50" hidden="1" x14ac:dyDescent="0.5">
      <c r="A286" s="16"/>
      <c r="B286" s="15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21"/>
      <c r="P286" s="178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>
        <f t="shared" ref="AV286:AW305" si="33">C286+F286+I286+L286+O286+R286+U286+X286+AA286+AG286+AJ286+AM286</f>
        <v>0</v>
      </c>
      <c r="AW286" s="19">
        <f>D286+G286+J286+M286+P286+S286+V286+Y286+AB286+AH286+AK286+AN286+AE286</f>
        <v>0</v>
      </c>
      <c r="AX286" s="19">
        <f>E286+H286+K286+N286+Q286+T286+W286+Z286+AC286+AI286+AL286+AN286+AF286</f>
        <v>0</v>
      </c>
    </row>
    <row r="287" spans="1:50" hidden="1" x14ac:dyDescent="0.5">
      <c r="A287" s="16"/>
      <c r="B287" s="15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>
        <f t="shared" si="33"/>
        <v>0</v>
      </c>
      <c r="AW287" s="19">
        <f t="shared" si="33"/>
        <v>0</v>
      </c>
      <c r="AX287" s="19">
        <f t="shared" ref="AX287:AX305" si="34">E287+H287+K287+N287+Q287+T287+W287+Z287+AC287+AI287+AL287+AN287</f>
        <v>0</v>
      </c>
    </row>
    <row r="288" spans="1:50" hidden="1" x14ac:dyDescent="0.5">
      <c r="A288" s="16"/>
      <c r="B288" s="15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>
        <f t="shared" si="33"/>
        <v>0</v>
      </c>
      <c r="AW288" s="19">
        <f t="shared" si="33"/>
        <v>0</v>
      </c>
      <c r="AX288" s="19">
        <f t="shared" si="34"/>
        <v>0</v>
      </c>
    </row>
    <row r="289" spans="1:50" hidden="1" x14ac:dyDescent="0.5">
      <c r="A289" s="16"/>
      <c r="B289" s="15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>
        <f t="shared" si="33"/>
        <v>0</v>
      </c>
      <c r="AW289" s="19">
        <f t="shared" si="33"/>
        <v>0</v>
      </c>
      <c r="AX289" s="19">
        <f t="shared" si="34"/>
        <v>0</v>
      </c>
    </row>
    <row r="290" spans="1:50" hidden="1" x14ac:dyDescent="0.5">
      <c r="A290" s="16"/>
      <c r="B290" s="15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>
        <f t="shared" si="33"/>
        <v>0</v>
      </c>
      <c r="AW290" s="19">
        <f t="shared" si="33"/>
        <v>0</v>
      </c>
      <c r="AX290" s="19">
        <f t="shared" si="34"/>
        <v>0</v>
      </c>
    </row>
    <row r="291" spans="1:50" hidden="1" x14ac:dyDescent="0.5">
      <c r="A291" s="16"/>
      <c r="B291" s="15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>
        <f t="shared" si="33"/>
        <v>0</v>
      </c>
      <c r="AW291" s="19">
        <f t="shared" si="33"/>
        <v>0</v>
      </c>
      <c r="AX291" s="19">
        <f t="shared" si="34"/>
        <v>0</v>
      </c>
    </row>
    <row r="292" spans="1:50" hidden="1" x14ac:dyDescent="0.5">
      <c r="A292" s="16"/>
      <c r="B292" s="15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>
        <f t="shared" si="33"/>
        <v>0</v>
      </c>
      <c r="AW292" s="19">
        <f t="shared" si="33"/>
        <v>0</v>
      </c>
      <c r="AX292" s="19">
        <f t="shared" si="34"/>
        <v>0</v>
      </c>
    </row>
    <row r="293" spans="1:50" hidden="1" x14ac:dyDescent="0.5">
      <c r="A293" s="16"/>
      <c r="B293" s="15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>
        <f t="shared" si="33"/>
        <v>0</v>
      </c>
      <c r="AW293" s="19">
        <f t="shared" si="33"/>
        <v>0</v>
      </c>
      <c r="AX293" s="19">
        <f t="shared" si="34"/>
        <v>0</v>
      </c>
    </row>
    <row r="294" spans="1:50" hidden="1" x14ac:dyDescent="0.5">
      <c r="A294" s="16"/>
      <c r="B294" s="15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>
        <f t="shared" si="33"/>
        <v>0</v>
      </c>
      <c r="AW294" s="19">
        <f t="shared" si="33"/>
        <v>0</v>
      </c>
      <c r="AX294" s="19">
        <f t="shared" si="34"/>
        <v>0</v>
      </c>
    </row>
    <row r="295" spans="1:50" hidden="1" x14ac:dyDescent="0.5">
      <c r="A295" s="16"/>
      <c r="B295" s="15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>
        <f t="shared" si="33"/>
        <v>0</v>
      </c>
      <c r="AW295" s="19">
        <f t="shared" si="33"/>
        <v>0</v>
      </c>
      <c r="AX295" s="19">
        <f t="shared" si="34"/>
        <v>0</v>
      </c>
    </row>
    <row r="296" spans="1:50" hidden="1" x14ac:dyDescent="0.5">
      <c r="A296" s="16"/>
      <c r="B296" s="15"/>
      <c r="C296" s="20"/>
      <c r="D296" s="20"/>
      <c r="E296" s="19"/>
      <c r="F296" s="20"/>
      <c r="G296" s="20"/>
      <c r="H296" s="19"/>
      <c r="I296" s="20"/>
      <c r="J296" s="20"/>
      <c r="K296" s="20"/>
      <c r="L296" s="20"/>
      <c r="M296" s="20"/>
      <c r="N296" s="20"/>
      <c r="O296" s="20"/>
      <c r="P296" s="20"/>
      <c r="Q296" s="19"/>
      <c r="R296" s="20"/>
      <c r="S296" s="20"/>
      <c r="T296" s="19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>
        <f t="shared" si="33"/>
        <v>0</v>
      </c>
      <c r="AW296" s="19">
        <f t="shared" si="33"/>
        <v>0</v>
      </c>
      <c r="AX296" s="19">
        <f t="shared" si="34"/>
        <v>0</v>
      </c>
    </row>
    <row r="297" spans="1:50" hidden="1" x14ac:dyDescent="0.5">
      <c r="A297" s="16"/>
      <c r="B297" s="15"/>
      <c r="C297" s="20"/>
      <c r="D297" s="20"/>
      <c r="E297" s="19"/>
      <c r="F297" s="20"/>
      <c r="G297" s="20"/>
      <c r="H297" s="19"/>
      <c r="I297" s="20"/>
      <c r="J297" s="20"/>
      <c r="K297" s="20"/>
      <c r="L297" s="20"/>
      <c r="M297" s="20"/>
      <c r="N297" s="20"/>
      <c r="O297" s="20"/>
      <c r="P297" s="20"/>
      <c r="Q297" s="19"/>
      <c r="R297" s="20"/>
      <c r="S297" s="20"/>
      <c r="T297" s="19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>
        <f t="shared" si="33"/>
        <v>0</v>
      </c>
      <c r="AW297" s="19">
        <f t="shared" si="33"/>
        <v>0</v>
      </c>
      <c r="AX297" s="19">
        <f t="shared" si="34"/>
        <v>0</v>
      </c>
    </row>
    <row r="298" spans="1:50" hidden="1" x14ac:dyDescent="0.5">
      <c r="A298" s="16"/>
      <c r="B298" s="15"/>
      <c r="C298" s="20"/>
      <c r="D298" s="20"/>
      <c r="E298" s="19"/>
      <c r="F298" s="20"/>
      <c r="G298" s="20"/>
      <c r="H298" s="19"/>
      <c r="I298" s="20"/>
      <c r="J298" s="20"/>
      <c r="K298" s="20"/>
      <c r="L298" s="20"/>
      <c r="M298" s="20"/>
      <c r="N298" s="20"/>
      <c r="O298" s="20"/>
      <c r="P298" s="20"/>
      <c r="Q298" s="19"/>
      <c r="R298" s="20"/>
      <c r="S298" s="20"/>
      <c r="T298" s="19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>
        <f t="shared" si="33"/>
        <v>0</v>
      </c>
      <c r="AW298" s="19">
        <f t="shared" si="33"/>
        <v>0</v>
      </c>
      <c r="AX298" s="19">
        <f t="shared" si="34"/>
        <v>0</v>
      </c>
    </row>
    <row r="299" spans="1:50" hidden="1" x14ac:dyDescent="0.5">
      <c r="A299" s="16"/>
      <c r="B299" s="15"/>
      <c r="C299" s="20"/>
      <c r="D299" s="20"/>
      <c r="E299" s="19"/>
      <c r="F299" s="20"/>
      <c r="G299" s="20"/>
      <c r="H299" s="19"/>
      <c r="I299" s="20"/>
      <c r="J299" s="20"/>
      <c r="K299" s="20"/>
      <c r="L299" s="20"/>
      <c r="M299" s="20"/>
      <c r="N299" s="20"/>
      <c r="O299" s="20"/>
      <c r="P299" s="20"/>
      <c r="Q299" s="19"/>
      <c r="R299" s="20"/>
      <c r="S299" s="20"/>
      <c r="T299" s="19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>
        <f t="shared" si="33"/>
        <v>0</v>
      </c>
      <c r="AW299" s="19">
        <f t="shared" si="33"/>
        <v>0</v>
      </c>
      <c r="AX299" s="19">
        <f t="shared" si="34"/>
        <v>0</v>
      </c>
    </row>
    <row r="300" spans="1:50" hidden="1" x14ac:dyDescent="0.5">
      <c r="A300" s="16"/>
      <c r="B300" s="15"/>
      <c r="C300" s="20"/>
      <c r="D300" s="20"/>
      <c r="E300" s="19"/>
      <c r="F300" s="20"/>
      <c r="G300" s="20"/>
      <c r="H300" s="19"/>
      <c r="I300" s="20"/>
      <c r="J300" s="20"/>
      <c r="K300" s="20"/>
      <c r="L300" s="20"/>
      <c r="M300" s="20"/>
      <c r="N300" s="20"/>
      <c r="O300" s="20"/>
      <c r="P300" s="20"/>
      <c r="Q300" s="19"/>
      <c r="R300" s="20"/>
      <c r="S300" s="20"/>
      <c r="T300" s="19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>
        <f t="shared" si="33"/>
        <v>0</v>
      </c>
      <c r="AW300" s="19">
        <f t="shared" si="33"/>
        <v>0</v>
      </c>
      <c r="AX300" s="19">
        <f t="shared" si="34"/>
        <v>0</v>
      </c>
    </row>
    <row r="301" spans="1:50" hidden="1" x14ac:dyDescent="0.5">
      <c r="A301" s="16"/>
      <c r="B301" s="15"/>
      <c r="C301" s="20"/>
      <c r="D301" s="20"/>
      <c r="E301" s="19"/>
      <c r="F301" s="20"/>
      <c r="G301" s="20"/>
      <c r="H301" s="19"/>
      <c r="I301" s="20"/>
      <c r="J301" s="20"/>
      <c r="K301" s="20"/>
      <c r="L301" s="20"/>
      <c r="M301" s="20"/>
      <c r="N301" s="20"/>
      <c r="O301" s="20"/>
      <c r="P301" s="20"/>
      <c r="Q301" s="19"/>
      <c r="R301" s="20"/>
      <c r="S301" s="20"/>
      <c r="T301" s="19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>
        <f t="shared" si="33"/>
        <v>0</v>
      </c>
      <c r="AW301" s="19">
        <f t="shared" si="33"/>
        <v>0</v>
      </c>
      <c r="AX301" s="19">
        <f t="shared" si="34"/>
        <v>0</v>
      </c>
    </row>
    <row r="302" spans="1:50" hidden="1" x14ac:dyDescent="0.5">
      <c r="A302" s="16"/>
      <c r="B302" s="15"/>
      <c r="C302" s="20"/>
      <c r="D302" s="20"/>
      <c r="E302" s="19"/>
      <c r="F302" s="20"/>
      <c r="G302" s="20"/>
      <c r="H302" s="19"/>
      <c r="I302" s="20"/>
      <c r="J302" s="20"/>
      <c r="K302" s="20"/>
      <c r="L302" s="20"/>
      <c r="M302" s="20"/>
      <c r="N302" s="20"/>
      <c r="O302" s="20"/>
      <c r="P302" s="20"/>
      <c r="Q302" s="19"/>
      <c r="R302" s="20"/>
      <c r="S302" s="20"/>
      <c r="T302" s="19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>
        <f t="shared" si="33"/>
        <v>0</v>
      </c>
      <c r="AW302" s="19">
        <f t="shared" si="33"/>
        <v>0</v>
      </c>
      <c r="AX302" s="19">
        <f t="shared" si="34"/>
        <v>0</v>
      </c>
    </row>
    <row r="303" spans="1:50" hidden="1" x14ac:dyDescent="0.5">
      <c r="A303" s="16"/>
      <c r="B303" s="15"/>
      <c r="C303" s="20"/>
      <c r="D303" s="20"/>
      <c r="E303" s="19"/>
      <c r="F303" s="20"/>
      <c r="G303" s="20"/>
      <c r="H303" s="19"/>
      <c r="I303" s="20"/>
      <c r="J303" s="20"/>
      <c r="K303" s="20"/>
      <c r="L303" s="20"/>
      <c r="M303" s="20"/>
      <c r="N303" s="20"/>
      <c r="O303" s="20"/>
      <c r="P303" s="20"/>
      <c r="Q303" s="19"/>
      <c r="R303" s="20"/>
      <c r="S303" s="20"/>
      <c r="T303" s="19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>
        <f t="shared" si="33"/>
        <v>0</v>
      </c>
      <c r="AW303" s="19">
        <f t="shared" si="33"/>
        <v>0</v>
      </c>
      <c r="AX303" s="19">
        <f t="shared" si="34"/>
        <v>0</v>
      </c>
    </row>
    <row r="304" spans="1:50" hidden="1" x14ac:dyDescent="0.5">
      <c r="A304" s="16"/>
      <c r="B304" s="15"/>
      <c r="C304" s="20"/>
      <c r="D304" s="20"/>
      <c r="E304" s="19"/>
      <c r="F304" s="20"/>
      <c r="G304" s="20"/>
      <c r="H304" s="19"/>
      <c r="I304" s="20"/>
      <c r="J304" s="20"/>
      <c r="K304" s="20"/>
      <c r="L304" s="20"/>
      <c r="M304" s="20"/>
      <c r="N304" s="20"/>
      <c r="O304" s="20"/>
      <c r="P304" s="20"/>
      <c r="Q304" s="19"/>
      <c r="R304" s="20"/>
      <c r="S304" s="20"/>
      <c r="T304" s="19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>
        <f t="shared" si="33"/>
        <v>0</v>
      </c>
      <c r="AW304" s="19">
        <f t="shared" si="33"/>
        <v>0</v>
      </c>
      <c r="AX304" s="19">
        <f t="shared" si="34"/>
        <v>0</v>
      </c>
    </row>
    <row r="305" spans="1:50" hidden="1" x14ac:dyDescent="0.5">
      <c r="A305" s="16"/>
      <c r="B305" s="15"/>
      <c r="C305" s="20"/>
      <c r="D305" s="20"/>
      <c r="E305" s="19"/>
      <c r="F305" s="20"/>
      <c r="G305" s="20"/>
      <c r="H305" s="19"/>
      <c r="I305" s="20"/>
      <c r="J305" s="20"/>
      <c r="K305" s="20"/>
      <c r="L305" s="20"/>
      <c r="M305" s="20"/>
      <c r="N305" s="20"/>
      <c r="O305" s="20"/>
      <c r="P305" s="20"/>
      <c r="Q305" s="19"/>
      <c r="R305" s="20"/>
      <c r="S305" s="20"/>
      <c r="T305" s="19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>
        <f t="shared" si="33"/>
        <v>0</v>
      </c>
      <c r="AW305" s="19">
        <f t="shared" si="33"/>
        <v>0</v>
      </c>
      <c r="AX305" s="19">
        <f t="shared" si="34"/>
        <v>0</v>
      </c>
    </row>
    <row r="306" spans="1:50" hidden="1" x14ac:dyDescent="0.5">
      <c r="A306" s="14"/>
      <c r="B306" s="13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8">
        <f>SUM(AA285:AA297)</f>
        <v>0</v>
      </c>
      <c r="AB306" s="18">
        <f>SUM(AB285:AB297)</f>
        <v>0</v>
      </c>
      <c r="AV306" s="182">
        <f>SUM(AV285:AV305)</f>
        <v>0</v>
      </c>
      <c r="AW306" s="182">
        <f>SUM(AW285:AW305)</f>
        <v>0</v>
      </c>
      <c r="AX306" s="182">
        <f>SUM(AX285:AX305)</f>
        <v>0</v>
      </c>
    </row>
    <row r="307" spans="1:50" hidden="1" x14ac:dyDescent="0.5"/>
    <row r="308" spans="1:50" hidden="1" x14ac:dyDescent="0.5">
      <c r="A308" s="550" t="s">
        <v>390</v>
      </c>
      <c r="B308" s="550"/>
    </row>
    <row r="309" spans="1:50" hidden="1" x14ac:dyDescent="0.5"/>
    <row r="310" spans="1:50" ht="20.100000000000001" hidden="1" customHeight="1" x14ac:dyDescent="0.5">
      <c r="A310" s="551" t="s">
        <v>118</v>
      </c>
      <c r="B310" s="552" t="s">
        <v>135</v>
      </c>
      <c r="C310" s="553"/>
      <c r="D310" s="553"/>
      <c r="E310" s="553"/>
      <c r="F310" s="553"/>
      <c r="G310" s="553"/>
      <c r="H310" s="553"/>
      <c r="I310" s="553"/>
      <c r="J310" s="553"/>
      <c r="K310" s="553"/>
      <c r="L310" s="553"/>
      <c r="M310" s="553"/>
      <c r="N310" s="553"/>
      <c r="O310" s="553"/>
      <c r="P310" s="553"/>
      <c r="Q310" s="553"/>
      <c r="R310" s="553"/>
      <c r="S310" s="553"/>
      <c r="T310" s="553"/>
      <c r="U310" s="553"/>
      <c r="V310" s="553"/>
      <c r="W310" s="553"/>
      <c r="X310" s="553"/>
      <c r="Y310" s="553"/>
      <c r="Z310" s="553"/>
      <c r="AA310" s="553"/>
      <c r="AB310" s="553"/>
      <c r="AC310" s="553"/>
      <c r="AD310" s="553"/>
      <c r="AE310" s="553"/>
      <c r="AF310" s="553"/>
      <c r="AG310" s="553"/>
      <c r="AH310" s="553"/>
      <c r="AI310" s="553"/>
      <c r="AJ310" s="553"/>
      <c r="AK310" s="553"/>
      <c r="AL310" s="553"/>
      <c r="AM310" s="553"/>
      <c r="AN310" s="553"/>
      <c r="AO310" s="553"/>
      <c r="AP310" s="553"/>
      <c r="AQ310" s="553"/>
      <c r="AR310" s="553"/>
      <c r="AS310" s="553"/>
      <c r="AT310" s="553"/>
      <c r="AU310" s="553"/>
      <c r="AV310" s="553"/>
      <c r="AW310" s="553"/>
      <c r="AX310" s="553"/>
    </row>
    <row r="311" spans="1:50" ht="20.100000000000001" hidden="1" customHeight="1" x14ac:dyDescent="0.5">
      <c r="A311" s="551"/>
      <c r="B311" s="552"/>
      <c r="C311" s="554" t="s">
        <v>124</v>
      </c>
      <c r="D311" s="555"/>
      <c r="E311" s="556"/>
      <c r="F311" s="554" t="s">
        <v>133</v>
      </c>
      <c r="G311" s="555"/>
      <c r="H311" s="556"/>
      <c r="I311" s="554" t="s">
        <v>132</v>
      </c>
      <c r="J311" s="555"/>
      <c r="K311" s="556"/>
      <c r="L311" s="554" t="s">
        <v>131</v>
      </c>
      <c r="M311" s="555"/>
      <c r="N311" s="556"/>
      <c r="O311" s="554" t="s">
        <v>130</v>
      </c>
      <c r="P311" s="555"/>
      <c r="Q311" s="556"/>
      <c r="R311" s="554" t="s">
        <v>129</v>
      </c>
      <c r="S311" s="555"/>
      <c r="T311" s="556"/>
      <c r="U311" s="554" t="s">
        <v>128</v>
      </c>
      <c r="V311" s="555"/>
      <c r="W311" s="556"/>
      <c r="X311" s="554" t="s">
        <v>127</v>
      </c>
      <c r="Y311" s="555"/>
      <c r="Z311" s="556"/>
      <c r="AA311" s="554" t="s">
        <v>126</v>
      </c>
      <c r="AB311" s="555"/>
      <c r="AC311" s="556"/>
      <c r="AD311" s="554" t="s">
        <v>378</v>
      </c>
      <c r="AE311" s="555"/>
      <c r="AF311" s="556"/>
      <c r="AG311" s="554" t="s">
        <v>125</v>
      </c>
      <c r="AH311" s="555"/>
      <c r="AI311" s="556"/>
      <c r="AJ311" s="554" t="s">
        <v>124</v>
      </c>
      <c r="AK311" s="555"/>
      <c r="AL311" s="556"/>
      <c r="AM311" s="554" t="s">
        <v>123</v>
      </c>
      <c r="AN311" s="555"/>
      <c r="AO311" s="556"/>
      <c r="AP311" s="554" t="s">
        <v>367</v>
      </c>
      <c r="AQ311" s="555"/>
      <c r="AR311" s="556"/>
      <c r="AS311" s="554" t="s">
        <v>368</v>
      </c>
      <c r="AT311" s="555"/>
      <c r="AU311" s="556"/>
      <c r="AV311" s="554" t="s">
        <v>122</v>
      </c>
      <c r="AW311" s="555"/>
      <c r="AX311" s="556"/>
    </row>
    <row r="312" spans="1:50" ht="20.100000000000001" hidden="1" customHeight="1" x14ac:dyDescent="0.5">
      <c r="A312" s="551"/>
      <c r="B312" s="552"/>
      <c r="C312" s="17" t="s">
        <v>109</v>
      </c>
      <c r="D312" s="17" t="s">
        <v>108</v>
      </c>
      <c r="E312" s="17" t="s">
        <v>348</v>
      </c>
      <c r="F312" s="17" t="s">
        <v>109</v>
      </c>
      <c r="G312" s="17" t="s">
        <v>108</v>
      </c>
      <c r="H312" s="17" t="s">
        <v>348</v>
      </c>
      <c r="I312" s="17" t="s">
        <v>109</v>
      </c>
      <c r="J312" s="17" t="s">
        <v>108</v>
      </c>
      <c r="K312" s="17" t="s">
        <v>348</v>
      </c>
      <c r="L312" s="17" t="s">
        <v>109</v>
      </c>
      <c r="M312" s="17" t="s">
        <v>108</v>
      </c>
      <c r="N312" s="17" t="s">
        <v>348</v>
      </c>
      <c r="O312" s="17" t="s">
        <v>109</v>
      </c>
      <c r="P312" s="17" t="s">
        <v>108</v>
      </c>
      <c r="Q312" s="17" t="s">
        <v>348</v>
      </c>
      <c r="R312" s="17" t="s">
        <v>109</v>
      </c>
      <c r="S312" s="17" t="s">
        <v>108</v>
      </c>
      <c r="T312" s="17" t="s">
        <v>348</v>
      </c>
      <c r="U312" s="17" t="s">
        <v>109</v>
      </c>
      <c r="V312" s="17" t="s">
        <v>108</v>
      </c>
      <c r="W312" s="17" t="s">
        <v>348</v>
      </c>
      <c r="X312" s="17" t="s">
        <v>109</v>
      </c>
      <c r="Y312" s="17" t="s">
        <v>108</v>
      </c>
      <c r="Z312" s="17" t="s">
        <v>348</v>
      </c>
      <c r="AA312" s="17" t="s">
        <v>109</v>
      </c>
      <c r="AB312" s="17" t="s">
        <v>108</v>
      </c>
      <c r="AC312" s="17" t="s">
        <v>348</v>
      </c>
      <c r="AD312" s="17"/>
      <c r="AE312" s="17"/>
      <c r="AF312" s="17"/>
      <c r="AG312" s="17" t="s">
        <v>109</v>
      </c>
      <c r="AH312" s="17" t="s">
        <v>108</v>
      </c>
      <c r="AI312" s="17" t="s">
        <v>348</v>
      </c>
      <c r="AJ312" s="17" t="s">
        <v>109</v>
      </c>
      <c r="AK312" s="17" t="s">
        <v>108</v>
      </c>
      <c r="AL312" s="17" t="s">
        <v>348</v>
      </c>
      <c r="AM312" s="17" t="s">
        <v>109</v>
      </c>
      <c r="AN312" s="17" t="s">
        <v>108</v>
      </c>
      <c r="AO312" s="17" t="s">
        <v>348</v>
      </c>
      <c r="AP312" s="17" t="s">
        <v>109</v>
      </c>
      <c r="AQ312" s="17" t="s">
        <v>108</v>
      </c>
      <c r="AR312" s="17" t="s">
        <v>348</v>
      </c>
      <c r="AS312" s="17" t="s">
        <v>109</v>
      </c>
      <c r="AT312" s="17" t="s">
        <v>108</v>
      </c>
      <c r="AU312" s="17" t="s">
        <v>348</v>
      </c>
      <c r="AV312" s="17" t="s">
        <v>109</v>
      </c>
      <c r="AW312" s="17" t="s">
        <v>108</v>
      </c>
      <c r="AX312" s="17" t="s">
        <v>348</v>
      </c>
    </row>
    <row r="313" spans="1:50" ht="20.100000000000001" hidden="1" customHeight="1" x14ac:dyDescent="0.5">
      <c r="A313" s="16"/>
      <c r="B313" s="15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>
        <f>C313+F313+I313+L313+O313+R313+U313+X313+AA313+AG313+AJ313+AM313+AP313+AS313</f>
        <v>0</v>
      </c>
      <c r="AW313" s="19">
        <f>D313+G313+J313+M313+P313+S313+V313+Y313+AB313+AH313+AK313+AN313+AQ313+AT313</f>
        <v>0</v>
      </c>
      <c r="AX313" s="19">
        <f>E313+H313+K313+N313+Q313+T313+W313+Z313+AC313+AI313+AL313+AO313+AR313+AU313</f>
        <v>0</v>
      </c>
    </row>
    <row r="314" spans="1:50" ht="20.100000000000001" hidden="1" customHeight="1" x14ac:dyDescent="0.5">
      <c r="A314" s="16"/>
      <c r="B314" s="15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21"/>
      <c r="P314" s="178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>
        <f t="shared" ref="AV314:AW332" si="35">C314+F314+I314+L314+O314+R314+U314+X314+AA314+AG314+AJ314+AM314</f>
        <v>0</v>
      </c>
      <c r="AW314" s="19">
        <f>D314+G314+J314+M314+P314+S314+V314+Y314+AB314+AH314+AK314+AN314+AE314</f>
        <v>0</v>
      </c>
      <c r="AX314" s="19">
        <f>E314+H314+K314+N314+Q314+T314+W314+Z314+AC314+AI314+AL314+AN314+AF314</f>
        <v>0</v>
      </c>
    </row>
    <row r="315" spans="1:50" ht="20.100000000000001" hidden="1" customHeight="1" x14ac:dyDescent="0.5">
      <c r="A315" s="16"/>
      <c r="B315" s="15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>
        <f t="shared" si="35"/>
        <v>0</v>
      </c>
      <c r="AW315" s="19">
        <f t="shared" si="35"/>
        <v>0</v>
      </c>
      <c r="AX315" s="19">
        <f t="shared" ref="AX315:AX333" si="36">E315+H315+K315+N315+Q315+T315+W315+Z315+AC315+AI315+AL315+AN315</f>
        <v>0</v>
      </c>
    </row>
    <row r="316" spans="1:50" ht="20.100000000000001" hidden="1" customHeight="1" x14ac:dyDescent="0.5">
      <c r="A316" s="16"/>
      <c r="B316" s="15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>
        <f t="shared" si="35"/>
        <v>0</v>
      </c>
      <c r="AW316" s="19">
        <f t="shared" si="35"/>
        <v>0</v>
      </c>
      <c r="AX316" s="19">
        <f t="shared" si="36"/>
        <v>0</v>
      </c>
    </row>
    <row r="317" spans="1:50" ht="20.100000000000001" hidden="1" customHeight="1" x14ac:dyDescent="0.5">
      <c r="A317" s="16"/>
      <c r="B317" s="15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>
        <f t="shared" si="35"/>
        <v>0</v>
      </c>
      <c r="AW317" s="19">
        <f t="shared" si="35"/>
        <v>0</v>
      </c>
      <c r="AX317" s="19">
        <f t="shared" si="36"/>
        <v>0</v>
      </c>
    </row>
    <row r="318" spans="1:50" ht="20.100000000000001" hidden="1" customHeight="1" x14ac:dyDescent="0.5">
      <c r="A318" s="16"/>
      <c r="B318" s="15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>
        <f t="shared" si="35"/>
        <v>0</v>
      </c>
      <c r="AW318" s="19">
        <f t="shared" si="35"/>
        <v>0</v>
      </c>
      <c r="AX318" s="19">
        <f t="shared" si="36"/>
        <v>0</v>
      </c>
    </row>
    <row r="319" spans="1:50" ht="20.100000000000001" hidden="1" customHeight="1" x14ac:dyDescent="0.5">
      <c r="A319" s="16"/>
      <c r="B319" s="15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>
        <f t="shared" si="35"/>
        <v>0</v>
      </c>
      <c r="AW319" s="19">
        <f t="shared" si="35"/>
        <v>0</v>
      </c>
      <c r="AX319" s="19">
        <f t="shared" si="36"/>
        <v>0</v>
      </c>
    </row>
    <row r="320" spans="1:50" ht="20.100000000000001" hidden="1" customHeight="1" x14ac:dyDescent="0.5">
      <c r="A320" s="16"/>
      <c r="B320" s="15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>
        <f t="shared" si="35"/>
        <v>0</v>
      </c>
      <c r="AW320" s="19">
        <f t="shared" si="35"/>
        <v>0</v>
      </c>
      <c r="AX320" s="19">
        <f t="shared" si="36"/>
        <v>0</v>
      </c>
    </row>
    <row r="321" spans="1:50" ht="20.100000000000001" hidden="1" customHeight="1" x14ac:dyDescent="0.5">
      <c r="A321" s="16"/>
      <c r="B321" s="15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>
        <f t="shared" si="35"/>
        <v>0</v>
      </c>
      <c r="AW321" s="19">
        <f t="shared" si="35"/>
        <v>0</v>
      </c>
      <c r="AX321" s="19">
        <f t="shared" si="36"/>
        <v>0</v>
      </c>
    </row>
    <row r="322" spans="1:50" ht="20.100000000000001" hidden="1" customHeight="1" x14ac:dyDescent="0.5">
      <c r="A322" s="16"/>
      <c r="B322" s="15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>
        <f t="shared" si="35"/>
        <v>0</v>
      </c>
      <c r="AW322" s="19">
        <f t="shared" si="35"/>
        <v>0</v>
      </c>
      <c r="AX322" s="19">
        <f t="shared" si="36"/>
        <v>0</v>
      </c>
    </row>
    <row r="323" spans="1:50" ht="20.100000000000001" hidden="1" customHeight="1" x14ac:dyDescent="0.5">
      <c r="A323" s="16"/>
      <c r="B323" s="15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>
        <f t="shared" si="35"/>
        <v>0</v>
      </c>
      <c r="AW323" s="19">
        <f t="shared" si="35"/>
        <v>0</v>
      </c>
      <c r="AX323" s="19">
        <f t="shared" si="36"/>
        <v>0</v>
      </c>
    </row>
    <row r="324" spans="1:50" ht="20.100000000000001" hidden="1" customHeight="1" x14ac:dyDescent="0.5">
      <c r="A324" s="16"/>
      <c r="B324" s="15"/>
      <c r="C324" s="20"/>
      <c r="D324" s="20"/>
      <c r="E324" s="19"/>
      <c r="F324" s="20"/>
      <c r="G324" s="20"/>
      <c r="H324" s="19"/>
      <c r="I324" s="20"/>
      <c r="J324" s="20"/>
      <c r="K324" s="20"/>
      <c r="L324" s="20"/>
      <c r="M324" s="20"/>
      <c r="N324" s="20"/>
      <c r="O324" s="20"/>
      <c r="P324" s="20"/>
      <c r="Q324" s="19"/>
      <c r="R324" s="20"/>
      <c r="S324" s="20"/>
      <c r="T324" s="19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>
        <f t="shared" si="35"/>
        <v>0</v>
      </c>
      <c r="AW324" s="19">
        <f t="shared" si="35"/>
        <v>0</v>
      </c>
      <c r="AX324" s="19">
        <f t="shared" si="36"/>
        <v>0</v>
      </c>
    </row>
    <row r="325" spans="1:50" ht="20.100000000000001" hidden="1" customHeight="1" x14ac:dyDescent="0.5">
      <c r="A325" s="16"/>
      <c r="B325" s="15"/>
      <c r="C325" s="20"/>
      <c r="D325" s="20"/>
      <c r="E325" s="19"/>
      <c r="F325" s="20"/>
      <c r="G325" s="20"/>
      <c r="H325" s="19"/>
      <c r="I325" s="20"/>
      <c r="J325" s="20"/>
      <c r="K325" s="20"/>
      <c r="L325" s="20"/>
      <c r="M325" s="20"/>
      <c r="N325" s="20"/>
      <c r="O325" s="20"/>
      <c r="P325" s="20"/>
      <c r="Q325" s="19"/>
      <c r="R325" s="20"/>
      <c r="S325" s="20"/>
      <c r="T325" s="19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>
        <f t="shared" si="35"/>
        <v>0</v>
      </c>
      <c r="AW325" s="19">
        <f t="shared" si="35"/>
        <v>0</v>
      </c>
      <c r="AX325" s="19">
        <f t="shared" si="36"/>
        <v>0</v>
      </c>
    </row>
    <row r="326" spans="1:50" ht="20.100000000000001" hidden="1" customHeight="1" x14ac:dyDescent="0.5">
      <c r="A326" s="16"/>
      <c r="B326" s="15"/>
      <c r="C326" s="20"/>
      <c r="D326" s="20"/>
      <c r="E326" s="19"/>
      <c r="F326" s="20"/>
      <c r="G326" s="20"/>
      <c r="H326" s="19"/>
      <c r="I326" s="20"/>
      <c r="J326" s="20"/>
      <c r="K326" s="20"/>
      <c r="L326" s="20"/>
      <c r="M326" s="20"/>
      <c r="N326" s="20"/>
      <c r="O326" s="20"/>
      <c r="P326" s="20"/>
      <c r="Q326" s="19"/>
      <c r="R326" s="20"/>
      <c r="S326" s="20"/>
      <c r="T326" s="19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>
        <f t="shared" si="35"/>
        <v>0</v>
      </c>
      <c r="AW326" s="19">
        <f t="shared" si="35"/>
        <v>0</v>
      </c>
      <c r="AX326" s="19">
        <f t="shared" si="36"/>
        <v>0</v>
      </c>
    </row>
    <row r="327" spans="1:50" ht="20.100000000000001" hidden="1" customHeight="1" x14ac:dyDescent="0.5">
      <c r="A327" s="16"/>
      <c r="B327" s="15"/>
      <c r="C327" s="20"/>
      <c r="D327" s="20"/>
      <c r="E327" s="19"/>
      <c r="F327" s="20"/>
      <c r="G327" s="20"/>
      <c r="H327" s="19"/>
      <c r="I327" s="20"/>
      <c r="J327" s="20"/>
      <c r="K327" s="20"/>
      <c r="L327" s="20"/>
      <c r="M327" s="20"/>
      <c r="N327" s="20"/>
      <c r="O327" s="20"/>
      <c r="P327" s="20"/>
      <c r="Q327" s="19"/>
      <c r="R327" s="20"/>
      <c r="S327" s="20"/>
      <c r="T327" s="19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>
        <f t="shared" si="35"/>
        <v>0</v>
      </c>
      <c r="AW327" s="19">
        <f t="shared" si="35"/>
        <v>0</v>
      </c>
      <c r="AX327" s="19">
        <f t="shared" si="36"/>
        <v>0</v>
      </c>
    </row>
    <row r="328" spans="1:50" ht="20.100000000000001" hidden="1" customHeight="1" x14ac:dyDescent="0.5">
      <c r="A328" s="16"/>
      <c r="B328" s="15"/>
      <c r="C328" s="20"/>
      <c r="D328" s="20"/>
      <c r="E328" s="19"/>
      <c r="F328" s="20"/>
      <c r="G328" s="20"/>
      <c r="H328" s="19"/>
      <c r="I328" s="20"/>
      <c r="J328" s="20"/>
      <c r="K328" s="20"/>
      <c r="L328" s="20"/>
      <c r="M328" s="20"/>
      <c r="N328" s="20"/>
      <c r="O328" s="20"/>
      <c r="P328" s="20"/>
      <c r="Q328" s="19"/>
      <c r="R328" s="20"/>
      <c r="S328" s="20"/>
      <c r="T328" s="19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  <c r="AV328" s="19">
        <f t="shared" si="35"/>
        <v>0</v>
      </c>
      <c r="AW328" s="19">
        <f t="shared" si="35"/>
        <v>0</v>
      </c>
      <c r="AX328" s="19">
        <f t="shared" si="36"/>
        <v>0</v>
      </c>
    </row>
    <row r="329" spans="1:50" ht="20.100000000000001" hidden="1" customHeight="1" x14ac:dyDescent="0.5">
      <c r="A329" s="16"/>
      <c r="B329" s="15"/>
      <c r="C329" s="20"/>
      <c r="D329" s="20"/>
      <c r="E329" s="19"/>
      <c r="F329" s="20"/>
      <c r="G329" s="20"/>
      <c r="H329" s="19"/>
      <c r="I329" s="20"/>
      <c r="J329" s="20"/>
      <c r="K329" s="20"/>
      <c r="L329" s="20"/>
      <c r="M329" s="20"/>
      <c r="N329" s="20"/>
      <c r="O329" s="20"/>
      <c r="P329" s="20"/>
      <c r="Q329" s="19"/>
      <c r="R329" s="20"/>
      <c r="S329" s="20"/>
      <c r="T329" s="19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  <c r="AS329" s="19"/>
      <c r="AT329" s="19"/>
      <c r="AU329" s="19"/>
      <c r="AV329" s="19">
        <f t="shared" si="35"/>
        <v>0</v>
      </c>
      <c r="AW329" s="19">
        <f t="shared" si="35"/>
        <v>0</v>
      </c>
      <c r="AX329" s="19">
        <f t="shared" si="36"/>
        <v>0</v>
      </c>
    </row>
    <row r="330" spans="1:50" ht="20.100000000000001" hidden="1" customHeight="1" x14ac:dyDescent="0.5">
      <c r="A330" s="16"/>
      <c r="B330" s="15"/>
      <c r="C330" s="20"/>
      <c r="D330" s="20"/>
      <c r="E330" s="19"/>
      <c r="F330" s="20"/>
      <c r="G330" s="20"/>
      <c r="H330" s="19"/>
      <c r="I330" s="20"/>
      <c r="J330" s="20"/>
      <c r="K330" s="20"/>
      <c r="L330" s="20"/>
      <c r="M330" s="20"/>
      <c r="N330" s="20"/>
      <c r="O330" s="20"/>
      <c r="P330" s="20"/>
      <c r="Q330" s="19"/>
      <c r="R330" s="20"/>
      <c r="S330" s="20"/>
      <c r="T330" s="19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  <c r="AS330" s="19"/>
      <c r="AT330" s="19"/>
      <c r="AU330" s="19"/>
      <c r="AV330" s="19">
        <f t="shared" si="35"/>
        <v>0</v>
      </c>
      <c r="AW330" s="19">
        <f t="shared" si="35"/>
        <v>0</v>
      </c>
      <c r="AX330" s="19">
        <f t="shared" si="36"/>
        <v>0</v>
      </c>
    </row>
    <row r="331" spans="1:50" ht="20.100000000000001" hidden="1" customHeight="1" x14ac:dyDescent="0.5">
      <c r="A331" s="16"/>
      <c r="B331" s="15"/>
      <c r="C331" s="20"/>
      <c r="D331" s="20"/>
      <c r="E331" s="19"/>
      <c r="F331" s="20"/>
      <c r="G331" s="20"/>
      <c r="H331" s="19"/>
      <c r="I331" s="20"/>
      <c r="J331" s="20"/>
      <c r="K331" s="20"/>
      <c r="L331" s="20"/>
      <c r="M331" s="20"/>
      <c r="N331" s="20"/>
      <c r="O331" s="20"/>
      <c r="P331" s="20"/>
      <c r="Q331" s="19"/>
      <c r="R331" s="20"/>
      <c r="S331" s="20"/>
      <c r="T331" s="19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  <c r="AS331" s="19"/>
      <c r="AT331" s="19"/>
      <c r="AU331" s="19"/>
      <c r="AV331" s="19">
        <f t="shared" si="35"/>
        <v>0</v>
      </c>
      <c r="AW331" s="19">
        <f t="shared" si="35"/>
        <v>0</v>
      </c>
      <c r="AX331" s="19">
        <f t="shared" si="36"/>
        <v>0</v>
      </c>
    </row>
    <row r="332" spans="1:50" ht="20.100000000000001" hidden="1" customHeight="1" x14ac:dyDescent="0.5">
      <c r="A332" s="16"/>
      <c r="B332" s="15"/>
      <c r="C332" s="20"/>
      <c r="D332" s="20"/>
      <c r="E332" s="19"/>
      <c r="F332" s="20"/>
      <c r="G332" s="20"/>
      <c r="H332" s="19"/>
      <c r="I332" s="20"/>
      <c r="J332" s="20"/>
      <c r="K332" s="20"/>
      <c r="L332" s="20"/>
      <c r="M332" s="20"/>
      <c r="N332" s="20"/>
      <c r="O332" s="20"/>
      <c r="P332" s="20"/>
      <c r="Q332" s="19"/>
      <c r="R332" s="20"/>
      <c r="S332" s="20"/>
      <c r="T332" s="19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  <c r="AV332" s="19">
        <f t="shared" si="35"/>
        <v>0</v>
      </c>
      <c r="AW332" s="19">
        <f t="shared" si="35"/>
        <v>0</v>
      </c>
      <c r="AX332" s="19">
        <f t="shared" si="36"/>
        <v>0</v>
      </c>
    </row>
    <row r="333" spans="1:50" ht="20.100000000000001" hidden="1" customHeight="1" x14ac:dyDescent="0.5">
      <c r="A333" s="16"/>
      <c r="B333" s="15"/>
      <c r="C333" s="20"/>
      <c r="D333" s="20"/>
      <c r="E333" s="19"/>
      <c r="F333" s="20"/>
      <c r="G333" s="20"/>
      <c r="H333" s="19"/>
      <c r="I333" s="20"/>
      <c r="J333" s="20"/>
      <c r="K333" s="20"/>
      <c r="L333" s="20"/>
      <c r="M333" s="20"/>
      <c r="N333" s="20"/>
      <c r="O333" s="20"/>
      <c r="P333" s="20"/>
      <c r="Q333" s="19"/>
      <c r="R333" s="20"/>
      <c r="S333" s="20"/>
      <c r="T333" s="19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>
        <f>C333+F333+I333+L333+O333+R333+U333+X333+AA333+AG333+AJ333+AM333</f>
        <v>0</v>
      </c>
      <c r="AW333" s="19">
        <f t="shared" ref="AW333" si="37">D333+G333+J333+M333+P333+S333+V333+Y333+AB333+AH333+AK333+AN333</f>
        <v>0</v>
      </c>
      <c r="AX333" s="19">
        <f t="shared" si="36"/>
        <v>0</v>
      </c>
    </row>
    <row r="334" spans="1:50" ht="20.100000000000001" hidden="1" customHeight="1" x14ac:dyDescent="0.5">
      <c r="A334" s="14"/>
      <c r="B334" s="13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8">
        <f>SUM(AA313:AA325)</f>
        <v>0</v>
      </c>
      <c r="AB334" s="18">
        <f>SUM(AB313:AB325)</f>
        <v>0</v>
      </c>
      <c r="AV334" s="182">
        <f>SUM(AV313:AV333)</f>
        <v>0</v>
      </c>
      <c r="AW334" s="182">
        <f>SUM(AW313:AW333)</f>
        <v>0</v>
      </c>
      <c r="AX334" s="182">
        <f>SUM(AX313:AX333)</f>
        <v>0</v>
      </c>
    </row>
    <row r="335" spans="1:50" hidden="1" x14ac:dyDescent="0.5"/>
    <row r="336" spans="1:50" hidden="1" x14ac:dyDescent="0.5">
      <c r="A336" s="550" t="s">
        <v>395</v>
      </c>
      <c r="B336" s="550"/>
    </row>
    <row r="337" spans="1:50" hidden="1" x14ac:dyDescent="0.5"/>
    <row r="338" spans="1:50" ht="20.100000000000001" hidden="1" customHeight="1" x14ac:dyDescent="0.5">
      <c r="A338" s="551" t="s">
        <v>118</v>
      </c>
      <c r="B338" s="552" t="s">
        <v>135</v>
      </c>
      <c r="C338" s="553"/>
      <c r="D338" s="553"/>
      <c r="E338" s="553"/>
      <c r="F338" s="553"/>
      <c r="G338" s="553"/>
      <c r="H338" s="553"/>
      <c r="I338" s="553"/>
      <c r="J338" s="553"/>
      <c r="K338" s="553"/>
      <c r="L338" s="553"/>
      <c r="M338" s="553"/>
      <c r="N338" s="553"/>
      <c r="O338" s="553"/>
      <c r="P338" s="553"/>
      <c r="Q338" s="553"/>
      <c r="R338" s="553"/>
      <c r="S338" s="553"/>
      <c r="T338" s="553"/>
      <c r="U338" s="553"/>
      <c r="V338" s="553"/>
      <c r="W338" s="553"/>
      <c r="X338" s="553"/>
      <c r="Y338" s="553"/>
      <c r="Z338" s="553"/>
      <c r="AA338" s="553"/>
      <c r="AB338" s="553"/>
      <c r="AC338" s="553"/>
      <c r="AD338" s="553"/>
      <c r="AE338" s="553"/>
      <c r="AF338" s="553"/>
      <c r="AG338" s="553"/>
      <c r="AH338" s="553"/>
      <c r="AI338" s="553"/>
      <c r="AJ338" s="553"/>
      <c r="AK338" s="553"/>
      <c r="AL338" s="553"/>
      <c r="AM338" s="553"/>
      <c r="AN338" s="553"/>
      <c r="AO338" s="553"/>
      <c r="AP338" s="553"/>
      <c r="AQ338" s="553"/>
      <c r="AR338" s="553"/>
      <c r="AS338" s="553"/>
      <c r="AT338" s="553"/>
      <c r="AU338" s="553"/>
      <c r="AV338" s="553"/>
      <c r="AW338" s="553"/>
      <c r="AX338" s="553"/>
    </row>
    <row r="339" spans="1:50" ht="20.100000000000001" hidden="1" customHeight="1" x14ac:dyDescent="0.5">
      <c r="A339" s="551"/>
      <c r="B339" s="552"/>
      <c r="C339" s="554" t="s">
        <v>124</v>
      </c>
      <c r="D339" s="555"/>
      <c r="E339" s="556"/>
      <c r="F339" s="554" t="s">
        <v>133</v>
      </c>
      <c r="G339" s="555"/>
      <c r="H339" s="556"/>
      <c r="I339" s="554" t="s">
        <v>132</v>
      </c>
      <c r="J339" s="555"/>
      <c r="K339" s="556"/>
      <c r="L339" s="554" t="s">
        <v>131</v>
      </c>
      <c r="M339" s="555"/>
      <c r="N339" s="556"/>
      <c r="O339" s="554" t="s">
        <v>130</v>
      </c>
      <c r="P339" s="555"/>
      <c r="Q339" s="556"/>
      <c r="R339" s="554" t="s">
        <v>129</v>
      </c>
      <c r="S339" s="555"/>
      <c r="T339" s="556"/>
      <c r="U339" s="554" t="s">
        <v>128</v>
      </c>
      <c r="V339" s="555"/>
      <c r="W339" s="556"/>
      <c r="X339" s="554" t="s">
        <v>127</v>
      </c>
      <c r="Y339" s="555"/>
      <c r="Z339" s="556"/>
      <c r="AA339" s="554" t="s">
        <v>126</v>
      </c>
      <c r="AB339" s="555"/>
      <c r="AC339" s="556"/>
      <c r="AD339" s="554" t="s">
        <v>378</v>
      </c>
      <c r="AE339" s="555"/>
      <c r="AF339" s="556"/>
      <c r="AG339" s="554" t="s">
        <v>125</v>
      </c>
      <c r="AH339" s="555"/>
      <c r="AI339" s="556"/>
      <c r="AJ339" s="554" t="s">
        <v>124</v>
      </c>
      <c r="AK339" s="555"/>
      <c r="AL339" s="556"/>
      <c r="AM339" s="554" t="s">
        <v>123</v>
      </c>
      <c r="AN339" s="555"/>
      <c r="AO339" s="556"/>
      <c r="AP339" s="554" t="s">
        <v>367</v>
      </c>
      <c r="AQ339" s="555"/>
      <c r="AR339" s="556"/>
      <c r="AS339" s="554" t="s">
        <v>368</v>
      </c>
      <c r="AT339" s="555"/>
      <c r="AU339" s="556"/>
      <c r="AV339" s="554" t="s">
        <v>122</v>
      </c>
      <c r="AW339" s="555"/>
      <c r="AX339" s="556"/>
    </row>
    <row r="340" spans="1:50" ht="20.100000000000001" hidden="1" customHeight="1" x14ac:dyDescent="0.5">
      <c r="A340" s="551"/>
      <c r="B340" s="552"/>
      <c r="C340" s="17" t="s">
        <v>109</v>
      </c>
      <c r="D340" s="17" t="s">
        <v>108</v>
      </c>
      <c r="E340" s="17" t="s">
        <v>348</v>
      </c>
      <c r="F340" s="17" t="s">
        <v>109</v>
      </c>
      <c r="G340" s="17" t="s">
        <v>108</v>
      </c>
      <c r="H340" s="17" t="s">
        <v>348</v>
      </c>
      <c r="I340" s="17" t="s">
        <v>109</v>
      </c>
      <c r="J340" s="17" t="s">
        <v>108</v>
      </c>
      <c r="K340" s="17" t="s">
        <v>348</v>
      </c>
      <c r="L340" s="17" t="s">
        <v>109</v>
      </c>
      <c r="M340" s="17" t="s">
        <v>108</v>
      </c>
      <c r="N340" s="17" t="s">
        <v>348</v>
      </c>
      <c r="O340" s="17" t="s">
        <v>109</v>
      </c>
      <c r="P340" s="17" t="s">
        <v>108</v>
      </c>
      <c r="Q340" s="17" t="s">
        <v>348</v>
      </c>
      <c r="R340" s="17" t="s">
        <v>109</v>
      </c>
      <c r="S340" s="17" t="s">
        <v>108</v>
      </c>
      <c r="T340" s="17" t="s">
        <v>348</v>
      </c>
      <c r="U340" s="17" t="s">
        <v>109</v>
      </c>
      <c r="V340" s="17" t="s">
        <v>108</v>
      </c>
      <c r="W340" s="17" t="s">
        <v>348</v>
      </c>
      <c r="X340" s="17" t="s">
        <v>109</v>
      </c>
      <c r="Y340" s="17" t="s">
        <v>108</v>
      </c>
      <c r="Z340" s="17" t="s">
        <v>348</v>
      </c>
      <c r="AA340" s="17" t="s">
        <v>109</v>
      </c>
      <c r="AB340" s="17" t="s">
        <v>108</v>
      </c>
      <c r="AC340" s="17" t="s">
        <v>348</v>
      </c>
      <c r="AD340" s="17"/>
      <c r="AE340" s="17"/>
      <c r="AF340" s="17"/>
      <c r="AG340" s="17" t="s">
        <v>109</v>
      </c>
      <c r="AH340" s="17" t="s">
        <v>108</v>
      </c>
      <c r="AI340" s="17" t="s">
        <v>348</v>
      </c>
      <c r="AJ340" s="17" t="s">
        <v>109</v>
      </c>
      <c r="AK340" s="17" t="s">
        <v>108</v>
      </c>
      <c r="AL340" s="17" t="s">
        <v>348</v>
      </c>
      <c r="AM340" s="17" t="s">
        <v>109</v>
      </c>
      <c r="AN340" s="17" t="s">
        <v>108</v>
      </c>
      <c r="AO340" s="17" t="s">
        <v>348</v>
      </c>
      <c r="AP340" s="17" t="s">
        <v>109</v>
      </c>
      <c r="AQ340" s="17" t="s">
        <v>108</v>
      </c>
      <c r="AR340" s="17" t="s">
        <v>348</v>
      </c>
      <c r="AS340" s="17" t="s">
        <v>109</v>
      </c>
      <c r="AT340" s="17" t="s">
        <v>108</v>
      </c>
      <c r="AU340" s="17" t="s">
        <v>348</v>
      </c>
      <c r="AV340" s="17" t="s">
        <v>109</v>
      </c>
      <c r="AW340" s="17" t="s">
        <v>108</v>
      </c>
      <c r="AX340" s="17" t="s">
        <v>348</v>
      </c>
    </row>
    <row r="341" spans="1:50" ht="20.100000000000001" hidden="1" customHeight="1" x14ac:dyDescent="0.5">
      <c r="A341" s="16"/>
      <c r="B341" s="15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  <c r="AS341" s="19"/>
      <c r="AT341" s="19"/>
      <c r="AU341" s="19"/>
      <c r="AV341" s="19">
        <f>F341+X341</f>
        <v>0</v>
      </c>
      <c r="AW341" s="19">
        <f>G341+Y341</f>
        <v>0</v>
      </c>
      <c r="AX341" s="19">
        <f>H341+Z341</f>
        <v>0</v>
      </c>
    </row>
    <row r="342" spans="1:50" ht="20.100000000000001" hidden="1" customHeight="1" x14ac:dyDescent="0.5">
      <c r="A342" s="16"/>
      <c r="B342" s="15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21"/>
      <c r="P342" s="178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>
        <f t="shared" ref="AV342:AX361" si="38">F342+X342</f>
        <v>0</v>
      </c>
      <c r="AW342" s="19">
        <f t="shared" si="38"/>
        <v>0</v>
      </c>
      <c r="AX342" s="19">
        <f t="shared" si="38"/>
        <v>0</v>
      </c>
    </row>
    <row r="343" spans="1:50" ht="20.100000000000001" hidden="1" customHeight="1" x14ac:dyDescent="0.5">
      <c r="A343" s="16"/>
      <c r="B343" s="15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  <c r="AS343" s="19"/>
      <c r="AT343" s="19"/>
      <c r="AU343" s="19"/>
      <c r="AV343" s="19">
        <f t="shared" si="38"/>
        <v>0</v>
      </c>
      <c r="AW343" s="19">
        <f t="shared" si="38"/>
        <v>0</v>
      </c>
      <c r="AX343" s="19">
        <f t="shared" si="38"/>
        <v>0</v>
      </c>
    </row>
    <row r="344" spans="1:50" ht="20.100000000000001" hidden="1" customHeight="1" x14ac:dyDescent="0.5">
      <c r="A344" s="16"/>
      <c r="B344" s="15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  <c r="AS344" s="19"/>
      <c r="AT344" s="19"/>
      <c r="AU344" s="19"/>
      <c r="AV344" s="19">
        <f t="shared" si="38"/>
        <v>0</v>
      </c>
      <c r="AW344" s="19">
        <f t="shared" si="38"/>
        <v>0</v>
      </c>
      <c r="AX344" s="19">
        <f t="shared" si="38"/>
        <v>0</v>
      </c>
    </row>
    <row r="345" spans="1:50" ht="20.100000000000001" hidden="1" customHeight="1" x14ac:dyDescent="0.5">
      <c r="A345" s="16"/>
      <c r="B345" s="15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  <c r="AS345" s="19"/>
      <c r="AT345" s="19"/>
      <c r="AU345" s="19"/>
      <c r="AV345" s="19">
        <f t="shared" si="38"/>
        <v>0</v>
      </c>
      <c r="AW345" s="19">
        <f t="shared" si="38"/>
        <v>0</v>
      </c>
      <c r="AX345" s="19">
        <f t="shared" si="38"/>
        <v>0</v>
      </c>
    </row>
    <row r="346" spans="1:50" ht="20.100000000000001" hidden="1" customHeight="1" x14ac:dyDescent="0.5">
      <c r="A346" s="16"/>
      <c r="B346" s="15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  <c r="AS346" s="19"/>
      <c r="AT346" s="19"/>
      <c r="AU346" s="19"/>
      <c r="AV346" s="19">
        <f t="shared" si="38"/>
        <v>0</v>
      </c>
      <c r="AW346" s="19">
        <f t="shared" si="38"/>
        <v>0</v>
      </c>
      <c r="AX346" s="19">
        <f t="shared" si="38"/>
        <v>0</v>
      </c>
    </row>
    <row r="347" spans="1:50" ht="20.100000000000001" hidden="1" customHeight="1" x14ac:dyDescent="0.5">
      <c r="A347" s="16"/>
      <c r="B347" s="15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  <c r="AS347" s="19"/>
      <c r="AT347" s="19"/>
      <c r="AU347" s="19"/>
      <c r="AV347" s="19">
        <f t="shared" si="38"/>
        <v>0</v>
      </c>
      <c r="AW347" s="19">
        <f t="shared" si="38"/>
        <v>0</v>
      </c>
      <c r="AX347" s="19">
        <f t="shared" si="38"/>
        <v>0</v>
      </c>
    </row>
    <row r="348" spans="1:50" ht="20.100000000000001" hidden="1" customHeight="1" x14ac:dyDescent="0.5">
      <c r="A348" s="16"/>
      <c r="B348" s="15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  <c r="AS348" s="19"/>
      <c r="AT348" s="19"/>
      <c r="AU348" s="19"/>
      <c r="AV348" s="19">
        <f t="shared" si="38"/>
        <v>0</v>
      </c>
      <c r="AW348" s="19">
        <f t="shared" si="38"/>
        <v>0</v>
      </c>
      <c r="AX348" s="19">
        <f t="shared" si="38"/>
        <v>0</v>
      </c>
    </row>
    <row r="349" spans="1:50" ht="20.100000000000001" hidden="1" customHeight="1" x14ac:dyDescent="0.5">
      <c r="A349" s="16"/>
      <c r="B349" s="15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  <c r="AS349" s="19"/>
      <c r="AT349" s="19"/>
      <c r="AU349" s="19"/>
      <c r="AV349" s="19">
        <f t="shared" si="38"/>
        <v>0</v>
      </c>
      <c r="AW349" s="19">
        <f t="shared" si="38"/>
        <v>0</v>
      </c>
      <c r="AX349" s="19">
        <f t="shared" si="38"/>
        <v>0</v>
      </c>
    </row>
    <row r="350" spans="1:50" ht="20.100000000000001" hidden="1" customHeight="1" x14ac:dyDescent="0.5">
      <c r="A350" s="16"/>
      <c r="B350" s="15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  <c r="AS350" s="19"/>
      <c r="AT350" s="19"/>
      <c r="AU350" s="19"/>
      <c r="AV350" s="19">
        <f t="shared" si="38"/>
        <v>0</v>
      </c>
      <c r="AW350" s="19">
        <f t="shared" si="38"/>
        <v>0</v>
      </c>
      <c r="AX350" s="19">
        <f t="shared" si="38"/>
        <v>0</v>
      </c>
    </row>
    <row r="351" spans="1:50" ht="20.100000000000001" hidden="1" customHeight="1" x14ac:dyDescent="0.5">
      <c r="A351" s="16"/>
      <c r="B351" s="15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  <c r="AS351" s="19"/>
      <c r="AT351" s="19"/>
      <c r="AU351" s="19"/>
      <c r="AV351" s="19">
        <f t="shared" si="38"/>
        <v>0</v>
      </c>
      <c r="AW351" s="19">
        <f t="shared" si="38"/>
        <v>0</v>
      </c>
      <c r="AX351" s="19">
        <f t="shared" si="38"/>
        <v>0</v>
      </c>
    </row>
    <row r="352" spans="1:50" ht="20.100000000000001" hidden="1" customHeight="1" x14ac:dyDescent="0.5">
      <c r="A352" s="16"/>
      <c r="B352" s="15"/>
      <c r="C352" s="20"/>
      <c r="D352" s="20"/>
      <c r="E352" s="19"/>
      <c r="F352" s="20"/>
      <c r="G352" s="20"/>
      <c r="H352" s="19"/>
      <c r="I352" s="20"/>
      <c r="J352" s="20"/>
      <c r="K352" s="20"/>
      <c r="L352" s="20"/>
      <c r="M352" s="20"/>
      <c r="N352" s="20"/>
      <c r="O352" s="20"/>
      <c r="P352" s="20"/>
      <c r="Q352" s="19"/>
      <c r="R352" s="20"/>
      <c r="S352" s="20"/>
      <c r="T352" s="19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  <c r="AS352" s="19"/>
      <c r="AT352" s="19"/>
      <c r="AU352" s="19"/>
      <c r="AV352" s="19">
        <f t="shared" si="38"/>
        <v>0</v>
      </c>
      <c r="AW352" s="19">
        <f t="shared" si="38"/>
        <v>0</v>
      </c>
      <c r="AX352" s="19">
        <f t="shared" si="38"/>
        <v>0</v>
      </c>
    </row>
    <row r="353" spans="1:50" ht="20.100000000000001" hidden="1" customHeight="1" x14ac:dyDescent="0.5">
      <c r="A353" s="16"/>
      <c r="B353" s="15"/>
      <c r="C353" s="20"/>
      <c r="D353" s="20"/>
      <c r="E353" s="19"/>
      <c r="F353" s="20"/>
      <c r="G353" s="20"/>
      <c r="H353" s="19"/>
      <c r="I353" s="20"/>
      <c r="J353" s="20"/>
      <c r="K353" s="20"/>
      <c r="L353" s="20"/>
      <c r="M353" s="20"/>
      <c r="N353" s="20"/>
      <c r="O353" s="20"/>
      <c r="P353" s="20"/>
      <c r="Q353" s="19"/>
      <c r="R353" s="20"/>
      <c r="S353" s="20"/>
      <c r="T353" s="19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  <c r="AS353" s="19"/>
      <c r="AT353" s="19"/>
      <c r="AU353" s="19"/>
      <c r="AV353" s="19">
        <f t="shared" si="38"/>
        <v>0</v>
      </c>
      <c r="AW353" s="19">
        <f t="shared" si="38"/>
        <v>0</v>
      </c>
      <c r="AX353" s="19">
        <f t="shared" si="38"/>
        <v>0</v>
      </c>
    </row>
    <row r="354" spans="1:50" ht="20.100000000000001" hidden="1" customHeight="1" x14ac:dyDescent="0.5">
      <c r="A354" s="16"/>
      <c r="B354" s="15"/>
      <c r="C354" s="20"/>
      <c r="D354" s="20"/>
      <c r="E354" s="19"/>
      <c r="F354" s="20"/>
      <c r="G354" s="20"/>
      <c r="H354" s="19"/>
      <c r="I354" s="20"/>
      <c r="J354" s="20"/>
      <c r="K354" s="20"/>
      <c r="L354" s="20"/>
      <c r="M354" s="20"/>
      <c r="N354" s="20"/>
      <c r="O354" s="20"/>
      <c r="P354" s="20"/>
      <c r="Q354" s="19"/>
      <c r="R354" s="20"/>
      <c r="S354" s="20"/>
      <c r="T354" s="19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>
        <f t="shared" si="38"/>
        <v>0</v>
      </c>
      <c r="AW354" s="19">
        <f t="shared" si="38"/>
        <v>0</v>
      </c>
      <c r="AX354" s="19">
        <f t="shared" si="38"/>
        <v>0</v>
      </c>
    </row>
    <row r="355" spans="1:50" ht="20.100000000000001" hidden="1" customHeight="1" x14ac:dyDescent="0.5">
      <c r="A355" s="16"/>
      <c r="B355" s="15"/>
      <c r="C355" s="20"/>
      <c r="D355" s="20"/>
      <c r="E355" s="19"/>
      <c r="F355" s="20"/>
      <c r="G355" s="20"/>
      <c r="H355" s="19"/>
      <c r="I355" s="20"/>
      <c r="J355" s="20"/>
      <c r="K355" s="20"/>
      <c r="L355" s="20"/>
      <c r="M355" s="20"/>
      <c r="N355" s="20"/>
      <c r="O355" s="20"/>
      <c r="P355" s="20"/>
      <c r="Q355" s="19"/>
      <c r="R355" s="20"/>
      <c r="S355" s="20"/>
      <c r="T355" s="19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  <c r="AS355" s="19"/>
      <c r="AT355" s="19"/>
      <c r="AU355" s="19"/>
      <c r="AV355" s="19">
        <f t="shared" si="38"/>
        <v>0</v>
      </c>
      <c r="AW355" s="19">
        <f t="shared" si="38"/>
        <v>0</v>
      </c>
      <c r="AX355" s="19">
        <f t="shared" si="38"/>
        <v>0</v>
      </c>
    </row>
    <row r="356" spans="1:50" ht="20.100000000000001" hidden="1" customHeight="1" x14ac:dyDescent="0.5">
      <c r="A356" s="16"/>
      <c r="B356" s="15"/>
      <c r="C356" s="20"/>
      <c r="D356" s="20"/>
      <c r="E356" s="19"/>
      <c r="F356" s="20"/>
      <c r="G356" s="20"/>
      <c r="H356" s="19"/>
      <c r="I356" s="20"/>
      <c r="J356" s="20"/>
      <c r="K356" s="20"/>
      <c r="L356" s="20"/>
      <c r="M356" s="20"/>
      <c r="N356" s="20"/>
      <c r="O356" s="20"/>
      <c r="P356" s="20"/>
      <c r="Q356" s="19"/>
      <c r="R356" s="20"/>
      <c r="S356" s="20"/>
      <c r="T356" s="19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  <c r="AS356" s="19"/>
      <c r="AT356" s="19"/>
      <c r="AU356" s="19"/>
      <c r="AV356" s="19">
        <f t="shared" si="38"/>
        <v>0</v>
      </c>
      <c r="AW356" s="19">
        <f t="shared" si="38"/>
        <v>0</v>
      </c>
      <c r="AX356" s="19">
        <f t="shared" si="38"/>
        <v>0</v>
      </c>
    </row>
    <row r="357" spans="1:50" ht="20.100000000000001" hidden="1" customHeight="1" x14ac:dyDescent="0.5">
      <c r="A357" s="16"/>
      <c r="B357" s="15"/>
      <c r="C357" s="20"/>
      <c r="D357" s="20"/>
      <c r="E357" s="19"/>
      <c r="F357" s="20"/>
      <c r="G357" s="20"/>
      <c r="H357" s="19"/>
      <c r="I357" s="20"/>
      <c r="J357" s="20"/>
      <c r="K357" s="20"/>
      <c r="L357" s="20"/>
      <c r="M357" s="20"/>
      <c r="N357" s="20"/>
      <c r="O357" s="20"/>
      <c r="P357" s="20"/>
      <c r="Q357" s="19"/>
      <c r="R357" s="20"/>
      <c r="S357" s="20"/>
      <c r="T357" s="19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  <c r="AS357" s="19"/>
      <c r="AT357" s="19"/>
      <c r="AU357" s="19"/>
      <c r="AV357" s="19">
        <f t="shared" si="38"/>
        <v>0</v>
      </c>
      <c r="AW357" s="19">
        <f t="shared" si="38"/>
        <v>0</v>
      </c>
      <c r="AX357" s="19">
        <f t="shared" si="38"/>
        <v>0</v>
      </c>
    </row>
    <row r="358" spans="1:50" ht="20.100000000000001" hidden="1" customHeight="1" x14ac:dyDescent="0.5">
      <c r="A358" s="16"/>
      <c r="B358" s="15"/>
      <c r="C358" s="20"/>
      <c r="D358" s="20"/>
      <c r="E358" s="19"/>
      <c r="F358" s="20"/>
      <c r="G358" s="20"/>
      <c r="H358" s="19"/>
      <c r="I358" s="20"/>
      <c r="J358" s="20"/>
      <c r="K358" s="20"/>
      <c r="L358" s="20"/>
      <c r="M358" s="20"/>
      <c r="N358" s="20"/>
      <c r="O358" s="20"/>
      <c r="P358" s="20"/>
      <c r="Q358" s="19"/>
      <c r="R358" s="20"/>
      <c r="S358" s="20"/>
      <c r="T358" s="19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  <c r="AS358" s="19"/>
      <c r="AT358" s="19"/>
      <c r="AU358" s="19"/>
      <c r="AV358" s="19">
        <f t="shared" si="38"/>
        <v>0</v>
      </c>
      <c r="AW358" s="19">
        <f t="shared" si="38"/>
        <v>0</v>
      </c>
      <c r="AX358" s="19">
        <f t="shared" si="38"/>
        <v>0</v>
      </c>
    </row>
    <row r="359" spans="1:50" ht="20.100000000000001" hidden="1" customHeight="1" x14ac:dyDescent="0.5">
      <c r="A359" s="16"/>
      <c r="B359" s="15"/>
      <c r="C359" s="20"/>
      <c r="D359" s="20"/>
      <c r="E359" s="19"/>
      <c r="F359" s="20"/>
      <c r="G359" s="20"/>
      <c r="H359" s="19"/>
      <c r="I359" s="20"/>
      <c r="J359" s="20"/>
      <c r="K359" s="20"/>
      <c r="L359" s="20"/>
      <c r="M359" s="20"/>
      <c r="N359" s="20"/>
      <c r="O359" s="20"/>
      <c r="P359" s="20"/>
      <c r="Q359" s="19"/>
      <c r="R359" s="20"/>
      <c r="S359" s="20"/>
      <c r="T359" s="19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  <c r="AS359" s="19"/>
      <c r="AT359" s="19"/>
      <c r="AU359" s="19"/>
      <c r="AV359" s="19">
        <f t="shared" si="38"/>
        <v>0</v>
      </c>
      <c r="AW359" s="19">
        <f t="shared" si="38"/>
        <v>0</v>
      </c>
      <c r="AX359" s="19">
        <f t="shared" si="38"/>
        <v>0</v>
      </c>
    </row>
    <row r="360" spans="1:50" ht="20.100000000000001" hidden="1" customHeight="1" x14ac:dyDescent="0.5">
      <c r="A360" s="16"/>
      <c r="B360" s="15"/>
      <c r="C360" s="20"/>
      <c r="D360" s="20"/>
      <c r="E360" s="19"/>
      <c r="F360" s="20"/>
      <c r="G360" s="20"/>
      <c r="H360" s="19"/>
      <c r="I360" s="20"/>
      <c r="J360" s="20"/>
      <c r="K360" s="20"/>
      <c r="L360" s="20"/>
      <c r="M360" s="20"/>
      <c r="N360" s="20"/>
      <c r="O360" s="20"/>
      <c r="P360" s="20"/>
      <c r="Q360" s="19"/>
      <c r="R360" s="20"/>
      <c r="S360" s="20"/>
      <c r="T360" s="19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  <c r="AS360" s="19"/>
      <c r="AT360" s="19"/>
      <c r="AU360" s="19"/>
      <c r="AV360" s="19">
        <f t="shared" si="38"/>
        <v>0</v>
      </c>
      <c r="AW360" s="19">
        <f t="shared" si="38"/>
        <v>0</v>
      </c>
      <c r="AX360" s="19">
        <f t="shared" si="38"/>
        <v>0</v>
      </c>
    </row>
    <row r="361" spans="1:50" ht="20.100000000000001" hidden="1" customHeight="1" x14ac:dyDescent="0.5">
      <c r="A361" s="16"/>
      <c r="B361" s="15"/>
      <c r="C361" s="20"/>
      <c r="D361" s="20"/>
      <c r="E361" s="19"/>
      <c r="F361" s="20"/>
      <c r="G361" s="20"/>
      <c r="H361" s="19"/>
      <c r="I361" s="20"/>
      <c r="J361" s="20"/>
      <c r="K361" s="20"/>
      <c r="L361" s="20"/>
      <c r="M361" s="20"/>
      <c r="N361" s="20"/>
      <c r="O361" s="20"/>
      <c r="P361" s="20"/>
      <c r="Q361" s="19"/>
      <c r="R361" s="20"/>
      <c r="S361" s="20"/>
      <c r="T361" s="19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  <c r="AS361" s="19"/>
      <c r="AT361" s="19"/>
      <c r="AU361" s="19"/>
      <c r="AV361" s="19">
        <f t="shared" si="38"/>
        <v>0</v>
      </c>
      <c r="AW361" s="19">
        <f t="shared" si="38"/>
        <v>0</v>
      </c>
      <c r="AX361" s="19">
        <f t="shared" si="38"/>
        <v>0</v>
      </c>
    </row>
    <row r="362" spans="1:50" ht="20.100000000000001" hidden="1" customHeight="1" x14ac:dyDescent="0.5">
      <c r="A362" s="14"/>
      <c r="B362" s="13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8">
        <f>SUM(AA341:AA353)</f>
        <v>0</v>
      </c>
      <c r="AB362" s="18">
        <f>SUM(AB341:AB353)</f>
        <v>0</v>
      </c>
      <c r="AV362" s="182">
        <f>SUM(AV341:AV361)</f>
        <v>0</v>
      </c>
      <c r="AW362" s="182">
        <f>SUM(AW341:AW361)</f>
        <v>0</v>
      </c>
      <c r="AX362" s="182">
        <f>SUM(AX341:AX361)</f>
        <v>0</v>
      </c>
    </row>
    <row r="363" spans="1:50" hidden="1" x14ac:dyDescent="0.5"/>
    <row r="364" spans="1:50" hidden="1" x14ac:dyDescent="0.5"/>
    <row r="365" spans="1:50" hidden="1" x14ac:dyDescent="0.5">
      <c r="A365" s="550" t="s">
        <v>396</v>
      </c>
      <c r="B365" s="550"/>
    </row>
    <row r="366" spans="1:50" hidden="1" x14ac:dyDescent="0.5"/>
    <row r="367" spans="1:50" hidden="1" x14ac:dyDescent="0.5">
      <c r="A367" s="551" t="s">
        <v>118</v>
      </c>
      <c r="B367" s="552" t="s">
        <v>135</v>
      </c>
      <c r="C367" s="553"/>
      <c r="D367" s="553"/>
      <c r="E367" s="553"/>
      <c r="F367" s="553"/>
      <c r="G367" s="553"/>
      <c r="H367" s="553"/>
      <c r="I367" s="553"/>
      <c r="J367" s="553"/>
      <c r="K367" s="553"/>
      <c r="L367" s="553"/>
      <c r="M367" s="553"/>
      <c r="N367" s="553"/>
      <c r="O367" s="553"/>
      <c r="P367" s="553"/>
      <c r="Q367" s="553"/>
      <c r="R367" s="553"/>
      <c r="S367" s="553"/>
      <c r="T367" s="553"/>
      <c r="U367" s="553"/>
      <c r="V367" s="553"/>
      <c r="W367" s="553"/>
      <c r="X367" s="553"/>
      <c r="Y367" s="553"/>
      <c r="Z367" s="553"/>
      <c r="AA367" s="553"/>
      <c r="AB367" s="553"/>
      <c r="AC367" s="553"/>
      <c r="AD367" s="553"/>
      <c r="AE367" s="553"/>
      <c r="AF367" s="553"/>
      <c r="AG367" s="553"/>
      <c r="AH367" s="553"/>
      <c r="AI367" s="553"/>
      <c r="AJ367" s="553"/>
      <c r="AK367" s="553"/>
      <c r="AL367" s="553"/>
      <c r="AM367" s="553"/>
      <c r="AN367" s="553"/>
      <c r="AO367" s="553"/>
      <c r="AP367" s="553"/>
      <c r="AQ367" s="553"/>
      <c r="AR367" s="553"/>
      <c r="AS367" s="553"/>
      <c r="AT367" s="553"/>
      <c r="AU367" s="553"/>
      <c r="AV367" s="553"/>
      <c r="AW367" s="553"/>
      <c r="AX367" s="553"/>
    </row>
    <row r="368" spans="1:50" hidden="1" x14ac:dyDescent="0.5">
      <c r="A368" s="551"/>
      <c r="B368" s="552"/>
      <c r="C368" s="554" t="s">
        <v>124</v>
      </c>
      <c r="D368" s="555"/>
      <c r="E368" s="556"/>
      <c r="F368" s="554" t="s">
        <v>133</v>
      </c>
      <c r="G368" s="555"/>
      <c r="H368" s="556"/>
      <c r="I368" s="554" t="s">
        <v>132</v>
      </c>
      <c r="J368" s="555"/>
      <c r="K368" s="556"/>
      <c r="L368" s="554" t="s">
        <v>131</v>
      </c>
      <c r="M368" s="555"/>
      <c r="N368" s="556"/>
      <c r="O368" s="554" t="s">
        <v>130</v>
      </c>
      <c r="P368" s="555"/>
      <c r="Q368" s="556"/>
      <c r="R368" s="554" t="s">
        <v>129</v>
      </c>
      <c r="S368" s="555"/>
      <c r="T368" s="556"/>
      <c r="U368" s="554" t="s">
        <v>128</v>
      </c>
      <c r="V368" s="555"/>
      <c r="W368" s="556"/>
      <c r="X368" s="554" t="s">
        <v>127</v>
      </c>
      <c r="Y368" s="555"/>
      <c r="Z368" s="556"/>
      <c r="AA368" s="554" t="s">
        <v>126</v>
      </c>
      <c r="AB368" s="555"/>
      <c r="AC368" s="556"/>
      <c r="AD368" s="554" t="s">
        <v>378</v>
      </c>
      <c r="AE368" s="555"/>
      <c r="AF368" s="556"/>
      <c r="AG368" s="554" t="s">
        <v>125</v>
      </c>
      <c r="AH368" s="555"/>
      <c r="AI368" s="556"/>
      <c r="AJ368" s="554" t="s">
        <v>124</v>
      </c>
      <c r="AK368" s="555"/>
      <c r="AL368" s="556"/>
      <c r="AM368" s="554" t="s">
        <v>123</v>
      </c>
      <c r="AN368" s="555"/>
      <c r="AO368" s="556"/>
      <c r="AP368" s="554" t="s">
        <v>367</v>
      </c>
      <c r="AQ368" s="555"/>
      <c r="AR368" s="556"/>
      <c r="AS368" s="554" t="s">
        <v>368</v>
      </c>
      <c r="AT368" s="555"/>
      <c r="AU368" s="556"/>
      <c r="AV368" s="554" t="s">
        <v>122</v>
      </c>
      <c r="AW368" s="555"/>
      <c r="AX368" s="556"/>
    </row>
    <row r="369" spans="1:50" hidden="1" x14ac:dyDescent="0.5">
      <c r="A369" s="551"/>
      <c r="B369" s="552"/>
      <c r="C369" s="17" t="s">
        <v>109</v>
      </c>
      <c r="D369" s="17" t="s">
        <v>108</v>
      </c>
      <c r="E369" s="17" t="s">
        <v>348</v>
      </c>
      <c r="F369" s="17" t="s">
        <v>109</v>
      </c>
      <c r="G369" s="17" t="s">
        <v>108</v>
      </c>
      <c r="H369" s="17" t="s">
        <v>348</v>
      </c>
      <c r="I369" s="17" t="s">
        <v>109</v>
      </c>
      <c r="J369" s="17" t="s">
        <v>108</v>
      </c>
      <c r="K369" s="17" t="s">
        <v>348</v>
      </c>
      <c r="L369" s="17" t="s">
        <v>109</v>
      </c>
      <c r="M369" s="17" t="s">
        <v>108</v>
      </c>
      <c r="N369" s="17" t="s">
        <v>348</v>
      </c>
      <c r="O369" s="17" t="s">
        <v>109</v>
      </c>
      <c r="P369" s="17" t="s">
        <v>108</v>
      </c>
      <c r="Q369" s="17" t="s">
        <v>348</v>
      </c>
      <c r="R369" s="17" t="s">
        <v>109</v>
      </c>
      <c r="S369" s="17" t="s">
        <v>108</v>
      </c>
      <c r="T369" s="17" t="s">
        <v>348</v>
      </c>
      <c r="U369" s="17" t="s">
        <v>109</v>
      </c>
      <c r="V369" s="17" t="s">
        <v>108</v>
      </c>
      <c r="W369" s="17" t="s">
        <v>348</v>
      </c>
      <c r="X369" s="17" t="s">
        <v>109</v>
      </c>
      <c r="Y369" s="17" t="s">
        <v>108</v>
      </c>
      <c r="Z369" s="17" t="s">
        <v>348</v>
      </c>
      <c r="AA369" s="17" t="s">
        <v>109</v>
      </c>
      <c r="AB369" s="17" t="s">
        <v>108</v>
      </c>
      <c r="AC369" s="17" t="s">
        <v>348</v>
      </c>
      <c r="AD369" s="17"/>
      <c r="AE369" s="17"/>
      <c r="AF369" s="17"/>
      <c r="AG369" s="17" t="s">
        <v>109</v>
      </c>
      <c r="AH369" s="17" t="s">
        <v>108</v>
      </c>
      <c r="AI369" s="17" t="s">
        <v>348</v>
      </c>
      <c r="AJ369" s="17" t="s">
        <v>109</v>
      </c>
      <c r="AK369" s="17" t="s">
        <v>108</v>
      </c>
      <c r="AL369" s="17" t="s">
        <v>348</v>
      </c>
      <c r="AM369" s="17" t="s">
        <v>109</v>
      </c>
      <c r="AN369" s="17" t="s">
        <v>108</v>
      </c>
      <c r="AO369" s="17" t="s">
        <v>348</v>
      </c>
      <c r="AP369" s="17" t="s">
        <v>109</v>
      </c>
      <c r="AQ369" s="17" t="s">
        <v>108</v>
      </c>
      <c r="AR369" s="17" t="s">
        <v>348</v>
      </c>
      <c r="AS369" s="17" t="s">
        <v>109</v>
      </c>
      <c r="AT369" s="17" t="s">
        <v>108</v>
      </c>
      <c r="AU369" s="17" t="s">
        <v>348</v>
      </c>
      <c r="AV369" s="17" t="s">
        <v>109</v>
      </c>
      <c r="AW369" s="17" t="s">
        <v>108</v>
      </c>
      <c r="AX369" s="17" t="s">
        <v>348</v>
      </c>
    </row>
    <row r="370" spans="1:50" hidden="1" x14ac:dyDescent="0.5">
      <c r="A370" s="16"/>
      <c r="B370" s="15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  <c r="AS370" s="19"/>
      <c r="AT370" s="19"/>
      <c r="AU370" s="19"/>
      <c r="AV370" s="19">
        <f>F370+X370</f>
        <v>0</v>
      </c>
      <c r="AW370" s="19">
        <f>G370+Y370</f>
        <v>0</v>
      </c>
      <c r="AX370" s="19">
        <f>H370+Z370</f>
        <v>0</v>
      </c>
    </row>
    <row r="371" spans="1:50" hidden="1" x14ac:dyDescent="0.5">
      <c r="A371" s="16"/>
      <c r="B371" s="15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21"/>
      <c r="P371" s="178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  <c r="AS371" s="19"/>
      <c r="AT371" s="19"/>
      <c r="AU371" s="19"/>
      <c r="AV371" s="19">
        <f t="shared" ref="AV371:AX391" si="39">F371+X371</f>
        <v>0</v>
      </c>
      <c r="AW371" s="19">
        <f t="shared" si="39"/>
        <v>0</v>
      </c>
      <c r="AX371" s="19">
        <f t="shared" si="39"/>
        <v>0</v>
      </c>
    </row>
    <row r="372" spans="1:50" hidden="1" x14ac:dyDescent="0.5">
      <c r="A372" s="16"/>
      <c r="B372" s="15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  <c r="AS372" s="19"/>
      <c r="AT372" s="19"/>
      <c r="AU372" s="19"/>
      <c r="AV372" s="19">
        <f t="shared" si="39"/>
        <v>0</v>
      </c>
      <c r="AW372" s="19">
        <f t="shared" si="39"/>
        <v>0</v>
      </c>
      <c r="AX372" s="19">
        <f t="shared" si="39"/>
        <v>0</v>
      </c>
    </row>
    <row r="373" spans="1:50" hidden="1" x14ac:dyDescent="0.5">
      <c r="A373" s="16"/>
      <c r="B373" s="15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  <c r="AS373" s="19"/>
      <c r="AT373" s="19"/>
      <c r="AU373" s="19"/>
      <c r="AV373" s="19">
        <f t="shared" si="39"/>
        <v>0</v>
      </c>
      <c r="AW373" s="19">
        <f t="shared" si="39"/>
        <v>0</v>
      </c>
      <c r="AX373" s="19">
        <f t="shared" si="39"/>
        <v>0</v>
      </c>
    </row>
    <row r="374" spans="1:50" hidden="1" x14ac:dyDescent="0.5">
      <c r="A374" s="16"/>
      <c r="B374" s="15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  <c r="AS374" s="19"/>
      <c r="AT374" s="19"/>
      <c r="AU374" s="19"/>
      <c r="AV374" s="19">
        <f t="shared" si="39"/>
        <v>0</v>
      </c>
      <c r="AW374" s="19">
        <f t="shared" si="39"/>
        <v>0</v>
      </c>
      <c r="AX374" s="19">
        <f t="shared" si="39"/>
        <v>0</v>
      </c>
    </row>
    <row r="375" spans="1:50" hidden="1" x14ac:dyDescent="0.5">
      <c r="A375" s="16"/>
      <c r="B375" s="15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  <c r="AS375" s="19"/>
      <c r="AT375" s="19"/>
      <c r="AU375" s="19"/>
      <c r="AV375" s="19">
        <f t="shared" si="39"/>
        <v>0</v>
      </c>
      <c r="AW375" s="19">
        <f t="shared" si="39"/>
        <v>0</v>
      </c>
      <c r="AX375" s="19">
        <f t="shared" si="39"/>
        <v>0</v>
      </c>
    </row>
    <row r="376" spans="1:50" hidden="1" x14ac:dyDescent="0.5">
      <c r="A376" s="16"/>
      <c r="B376" s="15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  <c r="AS376" s="19"/>
      <c r="AT376" s="19"/>
      <c r="AU376" s="19"/>
      <c r="AV376" s="19">
        <f t="shared" si="39"/>
        <v>0</v>
      </c>
      <c r="AW376" s="19">
        <f t="shared" si="39"/>
        <v>0</v>
      </c>
      <c r="AX376" s="19">
        <f t="shared" si="39"/>
        <v>0</v>
      </c>
    </row>
    <row r="377" spans="1:50" hidden="1" x14ac:dyDescent="0.5">
      <c r="A377" s="16"/>
      <c r="B377" s="15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  <c r="AS377" s="19"/>
      <c r="AT377" s="19"/>
      <c r="AU377" s="19"/>
      <c r="AV377" s="19">
        <f t="shared" si="39"/>
        <v>0</v>
      </c>
      <c r="AW377" s="19">
        <f t="shared" si="39"/>
        <v>0</v>
      </c>
      <c r="AX377" s="19">
        <f t="shared" si="39"/>
        <v>0</v>
      </c>
    </row>
    <row r="378" spans="1:50" hidden="1" x14ac:dyDescent="0.5">
      <c r="A378" s="16"/>
      <c r="B378" s="15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  <c r="AS378" s="19"/>
      <c r="AT378" s="19"/>
      <c r="AU378" s="19"/>
      <c r="AV378" s="19">
        <f t="shared" si="39"/>
        <v>0</v>
      </c>
      <c r="AW378" s="19">
        <f t="shared" si="39"/>
        <v>0</v>
      </c>
      <c r="AX378" s="19">
        <f t="shared" si="39"/>
        <v>0</v>
      </c>
    </row>
    <row r="379" spans="1:50" hidden="1" x14ac:dyDescent="0.5">
      <c r="A379" s="16"/>
      <c r="B379" s="15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  <c r="AS379" s="19"/>
      <c r="AT379" s="19"/>
      <c r="AU379" s="19"/>
      <c r="AV379" s="19">
        <f t="shared" si="39"/>
        <v>0</v>
      </c>
      <c r="AW379" s="19">
        <f t="shared" si="39"/>
        <v>0</v>
      </c>
      <c r="AX379" s="19">
        <f t="shared" si="39"/>
        <v>0</v>
      </c>
    </row>
    <row r="380" spans="1:50" hidden="1" x14ac:dyDescent="0.5">
      <c r="A380" s="16"/>
      <c r="B380" s="15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  <c r="AS380" s="19"/>
      <c r="AT380" s="19"/>
      <c r="AU380" s="19"/>
      <c r="AV380" s="19">
        <f t="shared" si="39"/>
        <v>0</v>
      </c>
      <c r="AW380" s="19">
        <f t="shared" si="39"/>
        <v>0</v>
      </c>
      <c r="AX380" s="19">
        <f t="shared" si="39"/>
        <v>0</v>
      </c>
    </row>
    <row r="381" spans="1:50" hidden="1" x14ac:dyDescent="0.5">
      <c r="A381" s="16"/>
      <c r="B381" s="15"/>
      <c r="C381" s="20"/>
      <c r="D381" s="20"/>
      <c r="E381" s="19"/>
      <c r="F381" s="20"/>
      <c r="G381" s="20"/>
      <c r="H381" s="19"/>
      <c r="I381" s="20"/>
      <c r="J381" s="20"/>
      <c r="K381" s="20"/>
      <c r="L381" s="20"/>
      <c r="M381" s="20"/>
      <c r="N381" s="20"/>
      <c r="O381" s="20"/>
      <c r="P381" s="20"/>
      <c r="Q381" s="19"/>
      <c r="R381" s="20"/>
      <c r="S381" s="20"/>
      <c r="T381" s="19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  <c r="AS381" s="19"/>
      <c r="AT381" s="19"/>
      <c r="AU381" s="19"/>
      <c r="AV381" s="19">
        <f t="shared" si="39"/>
        <v>0</v>
      </c>
      <c r="AW381" s="19">
        <f t="shared" si="39"/>
        <v>0</v>
      </c>
      <c r="AX381" s="19">
        <f t="shared" si="39"/>
        <v>0</v>
      </c>
    </row>
    <row r="382" spans="1:50" ht="17.25" hidden="1" customHeight="1" x14ac:dyDescent="0.5">
      <c r="A382" s="16"/>
      <c r="B382" s="15"/>
      <c r="C382" s="20"/>
      <c r="D382" s="20"/>
      <c r="E382" s="19"/>
      <c r="F382" s="20"/>
      <c r="G382" s="20"/>
      <c r="H382" s="19"/>
      <c r="I382" s="20"/>
      <c r="J382" s="20"/>
      <c r="K382" s="20"/>
      <c r="L382" s="20"/>
      <c r="M382" s="20"/>
      <c r="N382" s="20"/>
      <c r="O382" s="20"/>
      <c r="P382" s="20"/>
      <c r="Q382" s="19"/>
      <c r="R382" s="20"/>
      <c r="S382" s="20"/>
      <c r="T382" s="19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  <c r="AS382" s="19"/>
      <c r="AT382" s="19"/>
      <c r="AU382" s="19"/>
      <c r="AV382" s="19">
        <f t="shared" si="39"/>
        <v>0</v>
      </c>
      <c r="AW382" s="19">
        <f t="shared" si="39"/>
        <v>0</v>
      </c>
      <c r="AX382" s="19">
        <f t="shared" si="39"/>
        <v>0</v>
      </c>
    </row>
    <row r="383" spans="1:50" hidden="1" x14ac:dyDescent="0.5">
      <c r="A383" s="16"/>
      <c r="B383" s="15"/>
      <c r="C383" s="20"/>
      <c r="D383" s="20"/>
      <c r="E383" s="19"/>
      <c r="F383" s="20"/>
      <c r="G383" s="20"/>
      <c r="H383" s="19"/>
      <c r="I383" s="20"/>
      <c r="J383" s="20"/>
      <c r="K383" s="20"/>
      <c r="L383" s="20"/>
      <c r="M383" s="20"/>
      <c r="N383" s="20"/>
      <c r="O383" s="20"/>
      <c r="P383" s="20"/>
      <c r="Q383" s="19"/>
      <c r="R383" s="20"/>
      <c r="S383" s="20"/>
      <c r="T383" s="19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  <c r="AS383" s="19"/>
      <c r="AT383" s="19"/>
      <c r="AU383" s="19"/>
      <c r="AV383" s="19">
        <f t="shared" si="39"/>
        <v>0</v>
      </c>
      <c r="AW383" s="19">
        <f t="shared" si="39"/>
        <v>0</v>
      </c>
      <c r="AX383" s="19">
        <f t="shared" si="39"/>
        <v>0</v>
      </c>
    </row>
    <row r="384" spans="1:50" hidden="1" x14ac:dyDescent="0.5">
      <c r="A384" s="16"/>
      <c r="B384" s="15"/>
      <c r="C384" s="20"/>
      <c r="D384" s="20"/>
      <c r="E384" s="19"/>
      <c r="F384" s="20"/>
      <c r="G384" s="20"/>
      <c r="H384" s="19"/>
      <c r="I384" s="20"/>
      <c r="J384" s="20"/>
      <c r="K384" s="20"/>
      <c r="L384" s="20"/>
      <c r="M384" s="20"/>
      <c r="N384" s="20"/>
      <c r="O384" s="20"/>
      <c r="P384" s="20"/>
      <c r="Q384" s="19"/>
      <c r="R384" s="20"/>
      <c r="S384" s="20"/>
      <c r="T384" s="19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  <c r="AS384" s="19"/>
      <c r="AT384" s="19"/>
      <c r="AU384" s="19"/>
      <c r="AV384" s="19">
        <f t="shared" si="39"/>
        <v>0</v>
      </c>
      <c r="AW384" s="19">
        <f t="shared" si="39"/>
        <v>0</v>
      </c>
      <c r="AX384" s="19">
        <f t="shared" si="39"/>
        <v>0</v>
      </c>
    </row>
    <row r="385" spans="1:50" hidden="1" x14ac:dyDescent="0.5">
      <c r="A385" s="16"/>
      <c r="B385" s="15"/>
      <c r="C385" s="20"/>
      <c r="D385" s="20"/>
      <c r="E385" s="19"/>
      <c r="F385" s="20"/>
      <c r="G385" s="20"/>
      <c r="H385" s="19"/>
      <c r="I385" s="20"/>
      <c r="J385" s="20"/>
      <c r="K385" s="20"/>
      <c r="L385" s="20"/>
      <c r="M385" s="20"/>
      <c r="N385" s="20"/>
      <c r="O385" s="20"/>
      <c r="P385" s="20"/>
      <c r="Q385" s="19"/>
      <c r="R385" s="20"/>
      <c r="S385" s="20"/>
      <c r="T385" s="19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  <c r="AS385" s="19"/>
      <c r="AT385" s="19"/>
      <c r="AU385" s="19"/>
      <c r="AV385" s="19">
        <f t="shared" si="39"/>
        <v>0</v>
      </c>
      <c r="AW385" s="19">
        <f t="shared" si="39"/>
        <v>0</v>
      </c>
      <c r="AX385" s="19">
        <f t="shared" si="39"/>
        <v>0</v>
      </c>
    </row>
    <row r="386" spans="1:50" hidden="1" x14ac:dyDescent="0.5">
      <c r="A386" s="16"/>
      <c r="B386" s="15"/>
      <c r="C386" s="20"/>
      <c r="D386" s="20"/>
      <c r="E386" s="19"/>
      <c r="F386" s="20"/>
      <c r="G386" s="20"/>
      <c r="H386" s="19"/>
      <c r="I386" s="20"/>
      <c r="J386" s="20"/>
      <c r="K386" s="20"/>
      <c r="L386" s="20"/>
      <c r="M386" s="20"/>
      <c r="N386" s="20"/>
      <c r="O386" s="20"/>
      <c r="P386" s="20"/>
      <c r="Q386" s="19"/>
      <c r="R386" s="20"/>
      <c r="S386" s="20"/>
      <c r="T386" s="19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  <c r="AS386" s="19"/>
      <c r="AT386" s="19"/>
      <c r="AU386" s="19"/>
      <c r="AV386" s="19">
        <f t="shared" si="39"/>
        <v>0</v>
      </c>
      <c r="AW386" s="19">
        <f t="shared" si="39"/>
        <v>0</v>
      </c>
      <c r="AX386" s="19">
        <f t="shared" si="39"/>
        <v>0</v>
      </c>
    </row>
    <row r="387" spans="1:50" hidden="1" x14ac:dyDescent="0.5">
      <c r="A387" s="16"/>
      <c r="B387" s="15"/>
      <c r="C387" s="20"/>
      <c r="D387" s="20"/>
      <c r="E387" s="19"/>
      <c r="F387" s="20"/>
      <c r="G387" s="20"/>
      <c r="H387" s="19"/>
      <c r="I387" s="20"/>
      <c r="J387" s="20"/>
      <c r="K387" s="20"/>
      <c r="L387" s="20"/>
      <c r="M387" s="20"/>
      <c r="N387" s="20"/>
      <c r="O387" s="20"/>
      <c r="P387" s="20"/>
      <c r="Q387" s="19"/>
      <c r="R387" s="20"/>
      <c r="S387" s="20"/>
      <c r="T387" s="19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  <c r="AS387" s="19"/>
      <c r="AT387" s="19"/>
      <c r="AU387" s="19"/>
      <c r="AV387" s="19">
        <f t="shared" si="39"/>
        <v>0</v>
      </c>
      <c r="AW387" s="19">
        <f t="shared" si="39"/>
        <v>0</v>
      </c>
      <c r="AX387" s="19">
        <f t="shared" si="39"/>
        <v>0</v>
      </c>
    </row>
    <row r="388" spans="1:50" hidden="1" x14ac:dyDescent="0.5">
      <c r="A388" s="16"/>
      <c r="B388" s="15"/>
      <c r="C388" s="20"/>
      <c r="D388" s="20"/>
      <c r="E388" s="19"/>
      <c r="F388" s="20"/>
      <c r="G388" s="20"/>
      <c r="H388" s="19"/>
      <c r="I388" s="20"/>
      <c r="J388" s="20"/>
      <c r="K388" s="20"/>
      <c r="L388" s="20"/>
      <c r="M388" s="20"/>
      <c r="N388" s="20"/>
      <c r="O388" s="20"/>
      <c r="P388" s="20"/>
      <c r="Q388" s="19"/>
      <c r="R388" s="20"/>
      <c r="S388" s="20"/>
      <c r="T388" s="19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  <c r="AS388" s="19"/>
      <c r="AT388" s="19"/>
      <c r="AU388" s="19"/>
      <c r="AV388" s="19">
        <f t="shared" si="39"/>
        <v>0</v>
      </c>
      <c r="AW388" s="19">
        <f t="shared" si="39"/>
        <v>0</v>
      </c>
      <c r="AX388" s="19">
        <f t="shared" si="39"/>
        <v>0</v>
      </c>
    </row>
    <row r="389" spans="1:50" hidden="1" x14ac:dyDescent="0.5">
      <c r="A389" s="16"/>
      <c r="B389" s="15"/>
      <c r="C389" s="20"/>
      <c r="D389" s="20"/>
      <c r="E389" s="19"/>
      <c r="F389" s="20"/>
      <c r="G389" s="20"/>
      <c r="H389" s="19"/>
      <c r="I389" s="20"/>
      <c r="J389" s="20"/>
      <c r="K389" s="20"/>
      <c r="L389" s="20"/>
      <c r="M389" s="20"/>
      <c r="N389" s="20"/>
      <c r="O389" s="20"/>
      <c r="P389" s="20"/>
      <c r="Q389" s="19"/>
      <c r="R389" s="20"/>
      <c r="S389" s="20"/>
      <c r="T389" s="19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  <c r="AS389" s="19"/>
      <c r="AT389" s="19"/>
      <c r="AU389" s="19"/>
      <c r="AV389" s="19">
        <f t="shared" si="39"/>
        <v>0</v>
      </c>
      <c r="AW389" s="19">
        <f t="shared" si="39"/>
        <v>0</v>
      </c>
      <c r="AX389" s="19">
        <f t="shared" si="39"/>
        <v>0</v>
      </c>
    </row>
    <row r="390" spans="1:50" hidden="1" x14ac:dyDescent="0.5">
      <c r="A390" s="16"/>
      <c r="B390" s="15"/>
      <c r="C390" s="20"/>
      <c r="D390" s="20"/>
      <c r="E390" s="19"/>
      <c r="F390" s="20"/>
      <c r="G390" s="20"/>
      <c r="H390" s="19"/>
      <c r="I390" s="20"/>
      <c r="J390" s="20"/>
      <c r="K390" s="20"/>
      <c r="L390" s="20"/>
      <c r="M390" s="20"/>
      <c r="N390" s="20"/>
      <c r="O390" s="20"/>
      <c r="P390" s="20"/>
      <c r="Q390" s="19"/>
      <c r="R390" s="20"/>
      <c r="S390" s="20"/>
      <c r="T390" s="19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  <c r="AS390" s="19"/>
      <c r="AT390" s="19"/>
      <c r="AU390" s="19"/>
      <c r="AV390" s="19">
        <f t="shared" si="39"/>
        <v>0</v>
      </c>
      <c r="AW390" s="19">
        <f t="shared" si="39"/>
        <v>0</v>
      </c>
      <c r="AX390" s="19">
        <f t="shared" si="39"/>
        <v>0</v>
      </c>
    </row>
    <row r="391" spans="1:50" hidden="1" x14ac:dyDescent="0.5">
      <c r="A391" s="16"/>
      <c r="B391" s="15"/>
      <c r="C391" s="20"/>
      <c r="D391" s="20"/>
      <c r="E391" s="19"/>
      <c r="F391" s="20"/>
      <c r="G391" s="20"/>
      <c r="H391" s="19"/>
      <c r="I391" s="20"/>
      <c r="J391" s="20"/>
      <c r="K391" s="20"/>
      <c r="L391" s="20"/>
      <c r="M391" s="20"/>
      <c r="N391" s="20"/>
      <c r="O391" s="20"/>
      <c r="P391" s="20"/>
      <c r="Q391" s="19"/>
      <c r="R391" s="20"/>
      <c r="S391" s="20"/>
      <c r="T391" s="19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  <c r="AS391" s="19"/>
      <c r="AT391" s="19"/>
      <c r="AU391" s="19"/>
      <c r="AV391" s="19">
        <f t="shared" si="39"/>
        <v>0</v>
      </c>
      <c r="AW391" s="19">
        <f t="shared" si="39"/>
        <v>0</v>
      </c>
      <c r="AX391" s="19">
        <f t="shared" si="39"/>
        <v>0</v>
      </c>
    </row>
    <row r="392" spans="1:50" hidden="1" x14ac:dyDescent="0.5">
      <c r="A392" s="14"/>
      <c r="B392" s="13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8">
        <f>SUM(AA370:AA382)</f>
        <v>0</v>
      </c>
      <c r="AB392" s="18">
        <f>SUM(AB370:AB382)</f>
        <v>0</v>
      </c>
      <c r="AV392" s="182">
        <f>SUM(AV370:AV391)</f>
        <v>0</v>
      </c>
      <c r="AW392" s="182">
        <f>SUM(AW370:AW391)</f>
        <v>0</v>
      </c>
      <c r="AX392" s="182">
        <f>SUM(AX370:AX391)</f>
        <v>0</v>
      </c>
    </row>
    <row r="393" spans="1:50" hidden="1" x14ac:dyDescent="0.5"/>
    <row r="394" spans="1:50" hidden="1" x14ac:dyDescent="0.5"/>
    <row r="395" spans="1:50" hidden="1" x14ac:dyDescent="0.5"/>
    <row r="396" spans="1:50" hidden="1" x14ac:dyDescent="0.5">
      <c r="A396" s="550" t="s">
        <v>369</v>
      </c>
      <c r="B396" s="550"/>
      <c r="C396" s="550"/>
      <c r="D396" s="550"/>
      <c r="E396" s="550"/>
      <c r="F396" s="550"/>
    </row>
    <row r="397" spans="1:50" hidden="1" x14ac:dyDescent="0.5">
      <c r="A397" s="550"/>
      <c r="B397" s="550"/>
      <c r="C397" s="550"/>
      <c r="D397" s="550"/>
      <c r="E397" s="550"/>
      <c r="F397" s="550"/>
    </row>
    <row r="398" spans="1:50" hidden="1" x14ac:dyDescent="0.5">
      <c r="A398" s="551" t="s">
        <v>118</v>
      </c>
      <c r="B398" s="552" t="s">
        <v>135</v>
      </c>
      <c r="C398" s="553"/>
      <c r="D398" s="553"/>
      <c r="E398" s="553"/>
      <c r="F398" s="553"/>
      <c r="G398" s="553"/>
      <c r="H398" s="553"/>
      <c r="I398" s="553"/>
      <c r="J398" s="553"/>
      <c r="K398" s="553"/>
      <c r="L398" s="553"/>
      <c r="M398" s="553"/>
      <c r="N398" s="553"/>
      <c r="O398" s="553"/>
      <c r="P398" s="553"/>
      <c r="Q398" s="553"/>
      <c r="R398" s="553"/>
      <c r="S398" s="553"/>
      <c r="T398" s="553"/>
      <c r="U398" s="553"/>
      <c r="V398" s="553"/>
      <c r="W398" s="553"/>
      <c r="X398" s="553"/>
      <c r="Y398" s="553"/>
      <c r="Z398" s="553"/>
      <c r="AA398" s="553"/>
      <c r="AB398" s="553"/>
      <c r="AC398" s="553"/>
      <c r="AD398" s="553"/>
      <c r="AE398" s="553"/>
      <c r="AF398" s="553"/>
      <c r="AG398" s="553"/>
      <c r="AH398" s="553"/>
      <c r="AI398" s="553"/>
      <c r="AJ398" s="553"/>
      <c r="AK398" s="553"/>
      <c r="AL398" s="553"/>
      <c r="AM398" s="553"/>
      <c r="AN398" s="553"/>
      <c r="AO398" s="553"/>
      <c r="AP398" s="553"/>
      <c r="AQ398" s="553"/>
      <c r="AR398" s="553"/>
      <c r="AS398" s="553"/>
      <c r="AT398" s="553"/>
      <c r="AU398" s="553"/>
      <c r="AV398" s="553"/>
      <c r="AW398" s="553"/>
      <c r="AX398" s="553"/>
    </row>
    <row r="399" spans="1:50" hidden="1" x14ac:dyDescent="0.5">
      <c r="A399" s="551"/>
      <c r="B399" s="552"/>
      <c r="C399" s="554" t="s">
        <v>134</v>
      </c>
      <c r="D399" s="555"/>
      <c r="E399" s="556"/>
      <c r="F399" s="557" t="s">
        <v>133</v>
      </c>
      <c r="G399" s="557"/>
      <c r="H399" s="557"/>
      <c r="I399" s="557" t="s">
        <v>132</v>
      </c>
      <c r="J399" s="557"/>
      <c r="K399" s="557"/>
      <c r="L399" s="557" t="s">
        <v>131</v>
      </c>
      <c r="M399" s="557"/>
      <c r="N399" s="557"/>
      <c r="O399" s="557" t="s">
        <v>130</v>
      </c>
      <c r="P399" s="557"/>
      <c r="Q399" s="557"/>
      <c r="R399" s="557" t="s">
        <v>129</v>
      </c>
      <c r="S399" s="557"/>
      <c r="T399" s="557"/>
      <c r="U399" s="558" t="s">
        <v>128</v>
      </c>
      <c r="V399" s="559"/>
      <c r="W399" s="560"/>
      <c r="X399" s="557" t="s">
        <v>127</v>
      </c>
      <c r="Y399" s="557"/>
      <c r="Z399" s="557"/>
      <c r="AA399" s="557" t="s">
        <v>126</v>
      </c>
      <c r="AB399" s="557"/>
      <c r="AC399" s="557"/>
      <c r="AD399" s="177"/>
      <c r="AE399" s="177"/>
      <c r="AF399" s="177"/>
      <c r="AG399" s="557" t="s">
        <v>125</v>
      </c>
      <c r="AH399" s="557"/>
      <c r="AI399" s="557"/>
      <c r="AJ399" s="557" t="s">
        <v>124</v>
      </c>
      <c r="AK399" s="557"/>
      <c r="AL399" s="557"/>
      <c r="AM399" s="557" t="s">
        <v>123</v>
      </c>
      <c r="AN399" s="557"/>
      <c r="AO399" s="177"/>
      <c r="AP399" s="557" t="s">
        <v>367</v>
      </c>
      <c r="AQ399" s="557"/>
      <c r="AR399" s="177"/>
      <c r="AS399" s="557" t="s">
        <v>368</v>
      </c>
      <c r="AT399" s="557"/>
      <c r="AU399" s="177"/>
      <c r="AV399" s="557" t="s">
        <v>122</v>
      </c>
      <c r="AW399" s="557"/>
      <c r="AX399" s="557"/>
    </row>
    <row r="400" spans="1:50" hidden="1" x14ac:dyDescent="0.5">
      <c r="A400" s="551"/>
      <c r="B400" s="552"/>
      <c r="C400" s="17" t="s">
        <v>109</v>
      </c>
      <c r="D400" s="17" t="s">
        <v>108</v>
      </c>
      <c r="E400" s="17" t="s">
        <v>348</v>
      </c>
      <c r="F400" s="17" t="s">
        <v>109</v>
      </c>
      <c r="G400" s="17" t="s">
        <v>108</v>
      </c>
      <c r="H400" s="17" t="s">
        <v>348</v>
      </c>
      <c r="I400" s="17" t="s">
        <v>109</v>
      </c>
      <c r="J400" s="17" t="s">
        <v>108</v>
      </c>
      <c r="K400" s="17" t="s">
        <v>348</v>
      </c>
      <c r="L400" s="17" t="s">
        <v>109</v>
      </c>
      <c r="M400" s="17" t="s">
        <v>108</v>
      </c>
      <c r="N400" s="17" t="s">
        <v>348</v>
      </c>
      <c r="O400" s="17" t="s">
        <v>109</v>
      </c>
      <c r="P400" s="17" t="s">
        <v>108</v>
      </c>
      <c r="Q400" s="17" t="s">
        <v>348</v>
      </c>
      <c r="R400" s="17" t="s">
        <v>109</v>
      </c>
      <c r="S400" s="17" t="s">
        <v>108</v>
      </c>
      <c r="T400" s="17" t="s">
        <v>348</v>
      </c>
      <c r="U400" s="17" t="s">
        <v>109</v>
      </c>
      <c r="V400" s="17" t="s">
        <v>108</v>
      </c>
      <c r="W400" s="17" t="s">
        <v>348</v>
      </c>
      <c r="X400" s="17" t="s">
        <v>109</v>
      </c>
      <c r="Y400" s="17" t="s">
        <v>108</v>
      </c>
      <c r="Z400" s="17" t="s">
        <v>348</v>
      </c>
      <c r="AA400" s="17" t="s">
        <v>109</v>
      </c>
      <c r="AB400" s="17" t="s">
        <v>108</v>
      </c>
      <c r="AC400" s="17" t="s">
        <v>348</v>
      </c>
      <c r="AD400" s="17"/>
      <c r="AE400" s="17"/>
      <c r="AF400" s="17"/>
      <c r="AG400" s="17" t="s">
        <v>109</v>
      </c>
      <c r="AH400" s="17" t="s">
        <v>108</v>
      </c>
      <c r="AI400" s="17" t="s">
        <v>348</v>
      </c>
      <c r="AJ400" s="17" t="s">
        <v>109</v>
      </c>
      <c r="AK400" s="17" t="s">
        <v>108</v>
      </c>
      <c r="AL400" s="17" t="s">
        <v>348</v>
      </c>
      <c r="AM400" s="17" t="s">
        <v>109</v>
      </c>
      <c r="AN400" s="17" t="s">
        <v>108</v>
      </c>
      <c r="AO400" s="17" t="s">
        <v>348</v>
      </c>
      <c r="AP400" s="17" t="s">
        <v>109</v>
      </c>
      <c r="AQ400" s="17" t="s">
        <v>108</v>
      </c>
      <c r="AR400" s="17" t="s">
        <v>348</v>
      </c>
      <c r="AS400" s="17" t="s">
        <v>109</v>
      </c>
      <c r="AT400" s="17" t="s">
        <v>108</v>
      </c>
      <c r="AU400" s="17" t="s">
        <v>348</v>
      </c>
      <c r="AV400" s="17" t="s">
        <v>109</v>
      </c>
      <c r="AW400" s="17" t="s">
        <v>108</v>
      </c>
      <c r="AX400" s="17" t="s">
        <v>348</v>
      </c>
    </row>
    <row r="401" spans="1:50" hidden="1" x14ac:dyDescent="0.5">
      <c r="A401" s="16">
        <v>1</v>
      </c>
      <c r="B401" s="15">
        <v>46077</v>
      </c>
      <c r="C401" s="19"/>
      <c r="D401" s="19"/>
      <c r="E401" s="19"/>
      <c r="F401" s="19">
        <v>200</v>
      </c>
      <c r="G401" s="19">
        <v>2800</v>
      </c>
      <c r="H401" s="19">
        <v>1792</v>
      </c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>
        <v>300</v>
      </c>
      <c r="Y401" s="19">
        <v>3600</v>
      </c>
      <c r="Z401" s="19">
        <v>3600</v>
      </c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  <c r="AS401" s="19"/>
      <c r="AT401" s="19"/>
      <c r="AU401" s="19"/>
      <c r="AV401" s="19">
        <f t="shared" ref="AV401" si="40">C401+F401+I401+L401+O401+R401+U401+X401+AA401+AG401+AJ401+AM401+AP401+AS401</f>
        <v>500</v>
      </c>
      <c r="AW401" s="19">
        <f t="shared" ref="AW401" si="41">D401+G401+J401+M401+P401+S401+V401+Y401+AB401+AH401+AK401+AN401+AQ401+AT401</f>
        <v>6400</v>
      </c>
      <c r="AX401" s="19">
        <f>E401+H401+K401+N401+Q401+T401+W401+Z401+AC401+AI401+AL401+AO401+AR401+AU401</f>
        <v>5392</v>
      </c>
    </row>
    <row r="402" spans="1:50" hidden="1" x14ac:dyDescent="0.5">
      <c r="A402" s="14"/>
      <c r="B402" s="13"/>
      <c r="C402" s="394"/>
      <c r="D402" s="394"/>
      <c r="E402" s="183"/>
      <c r="F402" s="394"/>
      <c r="G402" s="394"/>
      <c r="H402" s="183"/>
      <c r="I402" s="394"/>
      <c r="J402" s="394"/>
      <c r="K402" s="394"/>
      <c r="L402" s="394"/>
      <c r="M402" s="394"/>
      <c r="N402" s="394"/>
      <c r="O402" s="394"/>
      <c r="P402" s="394"/>
      <c r="Q402" s="183"/>
      <c r="R402" s="394"/>
      <c r="S402" s="394"/>
      <c r="T402" s="183"/>
      <c r="U402" s="394"/>
      <c r="V402" s="394"/>
      <c r="W402" s="394"/>
      <c r="X402" s="394"/>
      <c r="Y402" s="394"/>
      <c r="Z402" s="395"/>
      <c r="AA402" s="20"/>
      <c r="AB402" s="20"/>
      <c r="AC402" s="20"/>
      <c r="AD402" s="20"/>
      <c r="AE402" s="20"/>
      <c r="AF402" s="20"/>
      <c r="AG402" s="20"/>
      <c r="AH402" s="20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  <c r="AS402" s="19"/>
      <c r="AT402" s="19"/>
      <c r="AU402" s="19"/>
      <c r="AV402" s="387">
        <f>SUM(AV401:AV401)</f>
        <v>500</v>
      </c>
      <c r="AW402" s="387">
        <f>SUM(AW401:AW401)</f>
        <v>6400</v>
      </c>
      <c r="AX402" s="387">
        <f>SUM(AX401:AX401)</f>
        <v>5392</v>
      </c>
    </row>
    <row r="403" spans="1:50" hidden="1" x14ac:dyDescent="0.5"/>
    <row r="404" spans="1:50" x14ac:dyDescent="0.5">
      <c r="A404" s="550" t="s">
        <v>370</v>
      </c>
      <c r="B404" s="550"/>
      <c r="C404" s="550"/>
      <c r="D404" s="550"/>
      <c r="E404" s="550"/>
      <c r="F404" s="550"/>
    </row>
    <row r="405" spans="1:50" x14ac:dyDescent="0.5">
      <c r="A405" s="550"/>
      <c r="B405" s="550"/>
      <c r="C405" s="550"/>
      <c r="D405" s="550"/>
      <c r="E405" s="550"/>
      <c r="F405" s="550"/>
    </row>
    <row r="406" spans="1:50" x14ac:dyDescent="0.5">
      <c r="A406" s="551" t="s">
        <v>118</v>
      </c>
      <c r="B406" s="552" t="s">
        <v>135</v>
      </c>
      <c r="C406" s="553"/>
      <c r="D406" s="553"/>
      <c r="E406" s="553"/>
      <c r="F406" s="553"/>
      <c r="G406" s="553"/>
      <c r="H406" s="553"/>
      <c r="I406" s="553"/>
      <c r="J406" s="553"/>
      <c r="K406" s="553"/>
      <c r="L406" s="553"/>
      <c r="M406" s="553"/>
      <c r="N406" s="553"/>
      <c r="O406" s="553"/>
      <c r="P406" s="553"/>
      <c r="Q406" s="553"/>
      <c r="R406" s="553"/>
      <c r="S406" s="553"/>
      <c r="T406" s="553"/>
      <c r="U406" s="553"/>
      <c r="V406" s="553"/>
      <c r="W406" s="553"/>
      <c r="X406" s="553"/>
      <c r="Y406" s="553"/>
      <c r="Z406" s="553"/>
      <c r="AA406" s="553"/>
      <c r="AB406" s="553"/>
      <c r="AC406" s="553"/>
      <c r="AD406" s="553"/>
      <c r="AE406" s="553"/>
      <c r="AF406" s="553"/>
      <c r="AG406" s="553"/>
      <c r="AH406" s="553"/>
      <c r="AI406" s="553"/>
      <c r="AJ406" s="553"/>
      <c r="AK406" s="553"/>
      <c r="AL406" s="553"/>
      <c r="AM406" s="553"/>
      <c r="AN406" s="553"/>
      <c r="AO406" s="553"/>
      <c r="AP406" s="553"/>
      <c r="AQ406" s="553"/>
      <c r="AR406" s="553"/>
      <c r="AS406" s="553"/>
      <c r="AT406" s="553"/>
      <c r="AU406" s="553"/>
      <c r="AV406" s="553"/>
      <c r="AW406" s="553"/>
      <c r="AX406" s="553"/>
    </row>
    <row r="407" spans="1:50" x14ac:dyDescent="0.5">
      <c r="A407" s="551"/>
      <c r="B407" s="552"/>
      <c r="C407" s="554" t="s">
        <v>134</v>
      </c>
      <c r="D407" s="555"/>
      <c r="E407" s="556"/>
      <c r="F407" s="557" t="s">
        <v>133</v>
      </c>
      <c r="G407" s="557"/>
      <c r="H407" s="557"/>
      <c r="I407" s="557" t="s">
        <v>132</v>
      </c>
      <c r="J407" s="557"/>
      <c r="K407" s="557"/>
      <c r="L407" s="557" t="s">
        <v>131</v>
      </c>
      <c r="M407" s="557"/>
      <c r="N407" s="557"/>
      <c r="O407" s="557" t="s">
        <v>130</v>
      </c>
      <c r="P407" s="557"/>
      <c r="Q407" s="557"/>
      <c r="R407" s="557" t="s">
        <v>129</v>
      </c>
      <c r="S407" s="557"/>
      <c r="T407" s="557"/>
      <c r="U407" s="558" t="s">
        <v>128</v>
      </c>
      <c r="V407" s="559"/>
      <c r="W407" s="560"/>
      <c r="X407" s="557" t="s">
        <v>127</v>
      </c>
      <c r="Y407" s="557"/>
      <c r="Z407" s="557"/>
      <c r="AA407" s="557" t="s">
        <v>126</v>
      </c>
      <c r="AB407" s="557"/>
      <c r="AC407" s="557"/>
      <c r="AD407" s="177"/>
      <c r="AE407" s="177"/>
      <c r="AF407" s="177"/>
      <c r="AG407" s="557" t="s">
        <v>125</v>
      </c>
      <c r="AH407" s="557"/>
      <c r="AI407" s="557"/>
      <c r="AJ407" s="557" t="s">
        <v>124</v>
      </c>
      <c r="AK407" s="557"/>
      <c r="AL407" s="557"/>
      <c r="AM407" s="557" t="s">
        <v>123</v>
      </c>
      <c r="AN407" s="557"/>
      <c r="AO407" s="177"/>
      <c r="AP407" s="557" t="s">
        <v>367</v>
      </c>
      <c r="AQ407" s="557"/>
      <c r="AR407" s="177"/>
      <c r="AS407" s="557" t="s">
        <v>368</v>
      </c>
      <c r="AT407" s="557"/>
      <c r="AU407" s="177"/>
      <c r="AV407" s="557" t="s">
        <v>122</v>
      </c>
      <c r="AW407" s="557"/>
      <c r="AX407" s="557"/>
    </row>
    <row r="408" spans="1:50" x14ac:dyDescent="0.5">
      <c r="A408" s="551"/>
      <c r="B408" s="552"/>
      <c r="C408" s="17" t="s">
        <v>109</v>
      </c>
      <c r="D408" s="17" t="s">
        <v>108</v>
      </c>
      <c r="E408" s="17" t="s">
        <v>348</v>
      </c>
      <c r="F408" s="17" t="s">
        <v>109</v>
      </c>
      <c r="G408" s="17" t="s">
        <v>108</v>
      </c>
      <c r="H408" s="17" t="s">
        <v>348</v>
      </c>
      <c r="I408" s="17" t="s">
        <v>109</v>
      </c>
      <c r="J408" s="17" t="s">
        <v>108</v>
      </c>
      <c r="K408" s="17" t="s">
        <v>348</v>
      </c>
      <c r="L408" s="17" t="s">
        <v>109</v>
      </c>
      <c r="M408" s="17" t="s">
        <v>108</v>
      </c>
      <c r="N408" s="17" t="s">
        <v>348</v>
      </c>
      <c r="O408" s="17" t="s">
        <v>109</v>
      </c>
      <c r="P408" s="17" t="s">
        <v>108</v>
      </c>
      <c r="Q408" s="17" t="s">
        <v>348</v>
      </c>
      <c r="R408" s="17" t="s">
        <v>109</v>
      </c>
      <c r="S408" s="17" t="s">
        <v>108</v>
      </c>
      <c r="T408" s="17" t="s">
        <v>348</v>
      </c>
      <c r="U408" s="17" t="s">
        <v>109</v>
      </c>
      <c r="V408" s="17" t="s">
        <v>108</v>
      </c>
      <c r="W408" s="17" t="s">
        <v>348</v>
      </c>
      <c r="X408" s="17" t="s">
        <v>109</v>
      </c>
      <c r="Y408" s="17" t="s">
        <v>108</v>
      </c>
      <c r="Z408" s="17" t="s">
        <v>348</v>
      </c>
      <c r="AA408" s="17" t="s">
        <v>109</v>
      </c>
      <c r="AB408" s="17" t="s">
        <v>108</v>
      </c>
      <c r="AC408" s="17" t="s">
        <v>348</v>
      </c>
      <c r="AD408" s="17"/>
      <c r="AE408" s="17"/>
      <c r="AF408" s="17"/>
      <c r="AG408" s="17" t="s">
        <v>109</v>
      </c>
      <c r="AH408" s="17" t="s">
        <v>108</v>
      </c>
      <c r="AI408" s="17" t="s">
        <v>348</v>
      </c>
      <c r="AJ408" s="17" t="s">
        <v>109</v>
      </c>
      <c r="AK408" s="17" t="s">
        <v>108</v>
      </c>
      <c r="AL408" s="17" t="s">
        <v>348</v>
      </c>
      <c r="AM408" s="17" t="s">
        <v>109</v>
      </c>
      <c r="AN408" s="17" t="s">
        <v>108</v>
      </c>
      <c r="AO408" s="17" t="s">
        <v>348</v>
      </c>
      <c r="AP408" s="17" t="s">
        <v>109</v>
      </c>
      <c r="AQ408" s="17" t="s">
        <v>108</v>
      </c>
      <c r="AR408" s="17" t="s">
        <v>348</v>
      </c>
      <c r="AS408" s="17" t="s">
        <v>109</v>
      </c>
      <c r="AT408" s="17" t="s">
        <v>108</v>
      </c>
      <c r="AU408" s="17" t="s">
        <v>348</v>
      </c>
      <c r="AV408" s="17" t="s">
        <v>109</v>
      </c>
      <c r="AW408" s="17" t="s">
        <v>108</v>
      </c>
      <c r="AX408" s="17" t="s">
        <v>348</v>
      </c>
    </row>
    <row r="409" spans="1:50" x14ac:dyDescent="0.5">
      <c r="A409" s="16"/>
      <c r="B409" s="15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  <c r="AS409" s="19"/>
      <c r="AT409" s="19"/>
      <c r="AU409" s="19"/>
      <c r="AV409" s="19">
        <f t="shared" ref="AV409" si="42">C409+F409+I409+L409+O409+R409+U409+X409+AA409+AG409+AJ409+AM409+AP409+AS409</f>
        <v>0</v>
      </c>
      <c r="AW409" s="19">
        <f t="shared" ref="AW409" si="43">D409+G409+J409+M409+P409+S409+V409+Y409+AB409+AH409+AK409+AN409+AQ409+AT409</f>
        <v>0</v>
      </c>
      <c r="AX409" s="19">
        <f>E409+H409+K409+N409+Q409+T409+W409+Z409+AC409+AI409+AL409+AO409+AR409+AU409</f>
        <v>0</v>
      </c>
    </row>
    <row r="410" spans="1:50" x14ac:dyDescent="0.5">
      <c r="A410" s="14"/>
      <c r="B410" s="13"/>
      <c r="C410" s="394"/>
      <c r="D410" s="394"/>
      <c r="E410" s="183"/>
      <c r="F410" s="394"/>
      <c r="G410" s="394"/>
      <c r="H410" s="183"/>
      <c r="I410" s="394"/>
      <c r="J410" s="394"/>
      <c r="K410" s="394"/>
      <c r="L410" s="394"/>
      <c r="M410" s="394"/>
      <c r="N410" s="394"/>
      <c r="O410" s="394"/>
      <c r="P410" s="394"/>
      <c r="Q410" s="183"/>
      <c r="R410" s="394"/>
      <c r="S410" s="394"/>
      <c r="T410" s="183"/>
      <c r="U410" s="394"/>
      <c r="V410" s="394"/>
      <c r="W410" s="394"/>
      <c r="X410" s="394"/>
      <c r="Y410" s="394"/>
      <c r="Z410" s="395"/>
      <c r="AA410" s="20"/>
      <c r="AB410" s="20"/>
      <c r="AC410" s="20"/>
      <c r="AD410" s="20"/>
      <c r="AE410" s="20"/>
      <c r="AF410" s="20"/>
      <c r="AG410" s="20"/>
      <c r="AH410" s="20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  <c r="AS410" s="19"/>
      <c r="AT410" s="19"/>
      <c r="AU410" s="19"/>
      <c r="AV410" s="387">
        <f>SUM(AV409:AV409)</f>
        <v>0</v>
      </c>
      <c r="AW410" s="387">
        <f>SUM(AW409:AW409)</f>
        <v>0</v>
      </c>
      <c r="AX410" s="387">
        <f>SUM(AX409:AX409)</f>
        <v>0</v>
      </c>
    </row>
  </sheetData>
  <mergeCells count="275">
    <mergeCell ref="A396:F397"/>
    <mergeCell ref="A398:A400"/>
    <mergeCell ref="B398:B400"/>
    <mergeCell ref="C398:AX398"/>
    <mergeCell ref="C399:E399"/>
    <mergeCell ref="F399:H399"/>
    <mergeCell ref="I399:K399"/>
    <mergeCell ref="L399:N399"/>
    <mergeCell ref="O399:Q399"/>
    <mergeCell ref="R399:T399"/>
    <mergeCell ref="U399:W399"/>
    <mergeCell ref="X399:Z399"/>
    <mergeCell ref="AA399:AC399"/>
    <mergeCell ref="AG399:AI399"/>
    <mergeCell ref="AJ399:AL399"/>
    <mergeCell ref="AM399:AN399"/>
    <mergeCell ref="AP399:AQ399"/>
    <mergeCell ref="AS399:AT399"/>
    <mergeCell ref="AV399:AX399"/>
    <mergeCell ref="B367:B369"/>
    <mergeCell ref="C367:AX367"/>
    <mergeCell ref="C368:E368"/>
    <mergeCell ref="F368:H368"/>
    <mergeCell ref="I368:K368"/>
    <mergeCell ref="L368:N368"/>
    <mergeCell ref="O368:Q368"/>
    <mergeCell ref="R368:T368"/>
    <mergeCell ref="U368:W368"/>
    <mergeCell ref="AP368:AR368"/>
    <mergeCell ref="AS368:AU368"/>
    <mergeCell ref="AV368:AX368"/>
    <mergeCell ref="X368:Z368"/>
    <mergeCell ref="AA368:AC368"/>
    <mergeCell ref="AD368:AF368"/>
    <mergeCell ref="AG368:AI368"/>
    <mergeCell ref="AJ368:AL368"/>
    <mergeCell ref="AM368:AO368"/>
    <mergeCell ref="I339:K339"/>
    <mergeCell ref="L339:N339"/>
    <mergeCell ref="O339:Q339"/>
    <mergeCell ref="AJ339:AL339"/>
    <mergeCell ref="AM339:AO339"/>
    <mergeCell ref="AP339:AR339"/>
    <mergeCell ref="AS339:AU339"/>
    <mergeCell ref="AV339:AX339"/>
    <mergeCell ref="AJ311:AL311"/>
    <mergeCell ref="AM311:AO311"/>
    <mergeCell ref="AP311:AR311"/>
    <mergeCell ref="AS311:AU311"/>
    <mergeCell ref="L311:N311"/>
    <mergeCell ref="O311:Q311"/>
    <mergeCell ref="R311:T311"/>
    <mergeCell ref="U311:W311"/>
    <mergeCell ref="X311:Z311"/>
    <mergeCell ref="AA311:AC311"/>
    <mergeCell ref="A365:B365"/>
    <mergeCell ref="R339:T339"/>
    <mergeCell ref="U339:W339"/>
    <mergeCell ref="X339:Z339"/>
    <mergeCell ref="AA339:AC339"/>
    <mergeCell ref="AD339:AF339"/>
    <mergeCell ref="AG339:AI339"/>
    <mergeCell ref="A367:A369"/>
    <mergeCell ref="A308:B308"/>
    <mergeCell ref="A310:A312"/>
    <mergeCell ref="B310:B312"/>
    <mergeCell ref="C310:AX310"/>
    <mergeCell ref="C311:E311"/>
    <mergeCell ref="F311:H311"/>
    <mergeCell ref="I311:K311"/>
    <mergeCell ref="AV311:AX311"/>
    <mergeCell ref="AD311:AF311"/>
    <mergeCell ref="AG311:AI311"/>
    <mergeCell ref="A336:B336"/>
    <mergeCell ref="A338:A340"/>
    <mergeCell ref="B338:B340"/>
    <mergeCell ref="C338:AX338"/>
    <mergeCell ref="C339:E339"/>
    <mergeCell ref="F339:H339"/>
    <mergeCell ref="AJ283:AL283"/>
    <mergeCell ref="AM283:AO283"/>
    <mergeCell ref="A282:A284"/>
    <mergeCell ref="B282:B284"/>
    <mergeCell ref="C282:AX282"/>
    <mergeCell ref="C283:E283"/>
    <mergeCell ref="F283:H283"/>
    <mergeCell ref="I283:K283"/>
    <mergeCell ref="L283:N283"/>
    <mergeCell ref="O283:Q283"/>
    <mergeCell ref="R283:T283"/>
    <mergeCell ref="U283:W283"/>
    <mergeCell ref="AP283:AR283"/>
    <mergeCell ref="AS283:AU283"/>
    <mergeCell ref="AV283:AX283"/>
    <mergeCell ref="A280:B280"/>
    <mergeCell ref="R246:T246"/>
    <mergeCell ref="U246:W246"/>
    <mergeCell ref="X246:Z246"/>
    <mergeCell ref="AA246:AC246"/>
    <mergeCell ref="AD246:AF246"/>
    <mergeCell ref="AG246:AI246"/>
    <mergeCell ref="X283:Z283"/>
    <mergeCell ref="AA283:AC283"/>
    <mergeCell ref="AD283:AF283"/>
    <mergeCell ref="AG283:AI283"/>
    <mergeCell ref="AJ210:AL210"/>
    <mergeCell ref="AM210:AO210"/>
    <mergeCell ref="AP210:AR210"/>
    <mergeCell ref="AS210:AU210"/>
    <mergeCell ref="L210:N210"/>
    <mergeCell ref="O210:Q210"/>
    <mergeCell ref="R210:T210"/>
    <mergeCell ref="U210:W210"/>
    <mergeCell ref="X210:Z210"/>
    <mergeCell ref="AA210:AC210"/>
    <mergeCell ref="A243:B243"/>
    <mergeCell ref="A245:A247"/>
    <mergeCell ref="B245:B247"/>
    <mergeCell ref="C245:AX245"/>
    <mergeCell ref="C246:E246"/>
    <mergeCell ref="F246:H246"/>
    <mergeCell ref="I246:K246"/>
    <mergeCell ref="L246:N246"/>
    <mergeCell ref="O246:Q246"/>
    <mergeCell ref="AJ246:AL246"/>
    <mergeCell ref="AM246:AO246"/>
    <mergeCell ref="AP246:AR246"/>
    <mergeCell ref="AS246:AU246"/>
    <mergeCell ref="AV246:AX246"/>
    <mergeCell ref="A207:B207"/>
    <mergeCell ref="A209:A211"/>
    <mergeCell ref="B209:B211"/>
    <mergeCell ref="C209:AX209"/>
    <mergeCell ref="C210:E210"/>
    <mergeCell ref="F210:H210"/>
    <mergeCell ref="I210:K210"/>
    <mergeCell ref="X174:Z174"/>
    <mergeCell ref="AA174:AC174"/>
    <mergeCell ref="AD174:AF174"/>
    <mergeCell ref="AG174:AI174"/>
    <mergeCell ref="AJ174:AL174"/>
    <mergeCell ref="AM174:AO174"/>
    <mergeCell ref="A173:A175"/>
    <mergeCell ref="B173:B175"/>
    <mergeCell ref="C173:AX173"/>
    <mergeCell ref="C174:E174"/>
    <mergeCell ref="F174:H174"/>
    <mergeCell ref="I174:K174"/>
    <mergeCell ref="L174:N174"/>
    <mergeCell ref="O174:Q174"/>
    <mergeCell ref="AV210:AX210"/>
    <mergeCell ref="AD210:AF210"/>
    <mergeCell ref="AG210:AI210"/>
    <mergeCell ref="A171:F172"/>
    <mergeCell ref="R138:T138"/>
    <mergeCell ref="U138:W138"/>
    <mergeCell ref="X138:Z138"/>
    <mergeCell ref="AA138:AC138"/>
    <mergeCell ref="AD138:AF138"/>
    <mergeCell ref="AG138:AI138"/>
    <mergeCell ref="AP174:AR174"/>
    <mergeCell ref="AS174:AU174"/>
    <mergeCell ref="X104:Z104"/>
    <mergeCell ref="AA104:AC104"/>
    <mergeCell ref="R174:T174"/>
    <mergeCell ref="U174:W174"/>
    <mergeCell ref="AJ138:AL138"/>
    <mergeCell ref="AM138:AO138"/>
    <mergeCell ref="AP138:AR138"/>
    <mergeCell ref="AS138:AU138"/>
    <mergeCell ref="AV138:AX138"/>
    <mergeCell ref="AV174:AX174"/>
    <mergeCell ref="A135:F136"/>
    <mergeCell ref="A137:A139"/>
    <mergeCell ref="B137:B139"/>
    <mergeCell ref="C137:AX137"/>
    <mergeCell ref="C138:E138"/>
    <mergeCell ref="F138:H138"/>
    <mergeCell ref="I138:K138"/>
    <mergeCell ref="L138:N138"/>
    <mergeCell ref="O138:Q138"/>
    <mergeCell ref="A101:F102"/>
    <mergeCell ref="A103:A105"/>
    <mergeCell ref="B103:B105"/>
    <mergeCell ref="C103:AX103"/>
    <mergeCell ref="C104:E104"/>
    <mergeCell ref="F104:H104"/>
    <mergeCell ref="I104:K104"/>
    <mergeCell ref="U69:W69"/>
    <mergeCell ref="X69:Z69"/>
    <mergeCell ref="AA69:AC69"/>
    <mergeCell ref="AG69:AI69"/>
    <mergeCell ref="AJ69:AL69"/>
    <mergeCell ref="AM69:AO69"/>
    <mergeCell ref="AV104:AX104"/>
    <mergeCell ref="AD104:AF104"/>
    <mergeCell ref="AG104:AI104"/>
    <mergeCell ref="AJ104:AL104"/>
    <mergeCell ref="AM104:AO104"/>
    <mergeCell ref="AP104:AR104"/>
    <mergeCell ref="AS104:AU104"/>
    <mergeCell ref="L104:N104"/>
    <mergeCell ref="O104:Q104"/>
    <mergeCell ref="R104:T104"/>
    <mergeCell ref="U104:W104"/>
    <mergeCell ref="AA34:AC34"/>
    <mergeCell ref="A66:F67"/>
    <mergeCell ref="A68:A70"/>
    <mergeCell ref="B68:B70"/>
    <mergeCell ref="C68:AX68"/>
    <mergeCell ref="C69:E69"/>
    <mergeCell ref="F69:H69"/>
    <mergeCell ref="I69:K69"/>
    <mergeCell ref="L69:N69"/>
    <mergeCell ref="O69:Q69"/>
    <mergeCell ref="R69:T69"/>
    <mergeCell ref="AP69:AR69"/>
    <mergeCell ref="AS69:AU69"/>
    <mergeCell ref="AV69:AX69"/>
    <mergeCell ref="A31:F32"/>
    <mergeCell ref="A33:A35"/>
    <mergeCell ref="B33:B35"/>
    <mergeCell ref="C33:AX33"/>
    <mergeCell ref="C34:E34"/>
    <mergeCell ref="F34:H34"/>
    <mergeCell ref="I34:K34"/>
    <mergeCell ref="U4:W4"/>
    <mergeCell ref="X4:Z4"/>
    <mergeCell ref="AA4:AC4"/>
    <mergeCell ref="AG4:AI4"/>
    <mergeCell ref="AJ4:AL4"/>
    <mergeCell ref="AM4:AN4"/>
    <mergeCell ref="AG34:AI34"/>
    <mergeCell ref="AJ34:AL34"/>
    <mergeCell ref="AM34:AN34"/>
    <mergeCell ref="AP34:AQ34"/>
    <mergeCell ref="AS34:AT34"/>
    <mergeCell ref="AV34:AX34"/>
    <mergeCell ref="L34:N34"/>
    <mergeCell ref="O34:Q34"/>
    <mergeCell ref="R34:T34"/>
    <mergeCell ref="U34:W34"/>
    <mergeCell ref="X34:Z34"/>
    <mergeCell ref="A1:F2"/>
    <mergeCell ref="A3:A5"/>
    <mergeCell ref="B3:B5"/>
    <mergeCell ref="C3:AX3"/>
    <mergeCell ref="C4:E4"/>
    <mergeCell ref="F4:H4"/>
    <mergeCell ref="I4:K4"/>
    <mergeCell ref="L4:N4"/>
    <mergeCell ref="O4:Q4"/>
    <mergeCell ref="R4:T4"/>
    <mergeCell ref="AP4:AQ4"/>
    <mergeCell ref="AS4:AT4"/>
    <mergeCell ref="AV4:AX4"/>
    <mergeCell ref="A404:F405"/>
    <mergeCell ref="A406:A408"/>
    <mergeCell ref="B406:B408"/>
    <mergeCell ref="C406:AX406"/>
    <mergeCell ref="C407:E407"/>
    <mergeCell ref="F407:H407"/>
    <mergeCell ref="I407:K407"/>
    <mergeCell ref="L407:N407"/>
    <mergeCell ref="O407:Q407"/>
    <mergeCell ref="R407:T407"/>
    <mergeCell ref="U407:W407"/>
    <mergeCell ref="X407:Z407"/>
    <mergeCell ref="AA407:AC407"/>
    <mergeCell ref="AG407:AI407"/>
    <mergeCell ref="AJ407:AL407"/>
    <mergeCell ref="AM407:AN407"/>
    <mergeCell ref="AP407:AQ407"/>
    <mergeCell ref="AS407:AT407"/>
    <mergeCell ref="AV407:AX407"/>
  </mergeCells>
  <hyperlinks>
    <hyperlink ref="BA109" location="'MLM-FUS'!A1" display="'MLM-FUS'!A1" xr:uid="{C95EDD6A-7C9F-4FB0-BCAC-A17FD18395B6}"/>
  </hyperlink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8BD84-111D-4FFA-9654-A349C46A266F}">
  <dimension ref="A1:AR55"/>
  <sheetViews>
    <sheetView topLeftCell="A39" workbookViewId="0"/>
  </sheetViews>
  <sheetFormatPr defaultColWidth="9.140625" defaultRowHeight="15.75" customHeight="1" x14ac:dyDescent="0.5"/>
  <cols>
    <col min="1" max="2" width="9.140625" style="22"/>
    <col min="3" max="3" width="7.140625" style="22" customWidth="1"/>
    <col min="4" max="4" width="6.5703125" style="22" customWidth="1"/>
    <col min="5" max="5" width="6.42578125" style="22" customWidth="1"/>
    <col min="6" max="6" width="6" style="22" customWidth="1"/>
    <col min="7" max="7" width="6.7109375" style="22" hidden="1" customWidth="1"/>
    <col min="8" max="8" width="7" style="22" hidden="1" customWidth="1"/>
    <col min="9" max="9" width="4.7109375" style="22" hidden="1" customWidth="1"/>
    <col min="10" max="10" width="4.85546875" style="22" hidden="1" customWidth="1"/>
    <col min="11" max="11" width="5" style="22" hidden="1" customWidth="1"/>
    <col min="12" max="12" width="3.28515625" style="22" hidden="1" customWidth="1"/>
    <col min="13" max="14" width="4.140625" style="22" hidden="1" customWidth="1"/>
    <col min="15" max="15" width="6.42578125" style="22" hidden="1" customWidth="1"/>
    <col min="16" max="16" width="6.28515625" style="22" hidden="1" customWidth="1"/>
    <col min="17" max="17" width="6.42578125" style="22" hidden="1" customWidth="1"/>
    <col min="18" max="18" width="6.85546875" style="22" customWidth="1"/>
    <col min="19" max="19" width="8.5703125" style="22" customWidth="1"/>
    <col min="20" max="20" width="7.28515625" style="22" customWidth="1"/>
    <col min="21" max="21" width="6.5703125" style="22" customWidth="1"/>
    <col min="22" max="23" width="7" style="22" customWidth="1"/>
    <col min="24" max="24" width="4.7109375" style="22" hidden="1" customWidth="1"/>
    <col min="25" max="25" width="4.85546875" style="22" hidden="1" customWidth="1"/>
    <col min="26" max="26" width="5" style="22" hidden="1" customWidth="1"/>
    <col min="27" max="27" width="4.7109375" style="22" hidden="1" customWidth="1"/>
    <col min="28" max="28" width="4.85546875" style="22" hidden="1" customWidth="1"/>
    <col min="29" max="29" width="5" style="22" hidden="1" customWidth="1"/>
    <col min="30" max="30" width="4.7109375" style="22" hidden="1" customWidth="1"/>
    <col min="31" max="31" width="4.85546875" style="22" hidden="1" customWidth="1"/>
    <col min="32" max="32" width="5" style="22" hidden="1" customWidth="1"/>
    <col min="33" max="33" width="4.7109375" style="22" hidden="1" customWidth="1"/>
    <col min="34" max="34" width="4.85546875" style="22" hidden="1" customWidth="1"/>
    <col min="35" max="35" width="5" style="22" hidden="1" customWidth="1"/>
    <col min="36" max="36" width="6.85546875" style="22" customWidth="1"/>
    <col min="37" max="37" width="7.7109375" style="22" customWidth="1"/>
    <col min="38" max="38" width="6.85546875" style="22" customWidth="1"/>
    <col min="39" max="39" width="4.7109375" style="22" hidden="1" customWidth="1"/>
    <col min="40" max="40" width="5.140625" style="22" hidden="1" customWidth="1"/>
    <col min="41" max="41" width="5.28515625" style="22" hidden="1" customWidth="1"/>
    <col min="42" max="42" width="7" style="22" customWidth="1"/>
    <col min="43" max="43" width="7.5703125" style="22" customWidth="1"/>
    <col min="44" max="44" width="6.7109375" style="22" customWidth="1"/>
    <col min="45" max="16384" width="9.140625" style="22"/>
  </cols>
  <sheetData>
    <row r="1" spans="1:44" ht="15.75" hidden="1" customHeight="1" x14ac:dyDescent="0.5"/>
    <row r="2" spans="1:44" ht="15.75" hidden="1" customHeight="1" x14ac:dyDescent="0.5">
      <c r="A2" s="573" t="s">
        <v>436</v>
      </c>
      <c r="B2" s="573"/>
      <c r="C2" s="573"/>
    </row>
    <row r="3" spans="1:44" ht="15.75" hidden="1" customHeight="1" x14ac:dyDescent="0.5">
      <c r="A3" s="573"/>
      <c r="B3" s="573"/>
      <c r="C3" s="573"/>
    </row>
    <row r="4" spans="1:44" ht="15.75" hidden="1" customHeight="1" x14ac:dyDescent="0.5">
      <c r="A4" s="551" t="s">
        <v>118</v>
      </c>
      <c r="B4" s="552" t="s">
        <v>135</v>
      </c>
      <c r="C4" s="553"/>
      <c r="D4" s="553"/>
      <c r="E4" s="553"/>
      <c r="F4" s="553"/>
      <c r="G4" s="553"/>
      <c r="H4" s="553"/>
      <c r="I4" s="553"/>
      <c r="J4" s="553"/>
      <c r="K4" s="553"/>
      <c r="L4" s="553"/>
      <c r="M4" s="553"/>
      <c r="N4" s="553"/>
      <c r="O4" s="553"/>
      <c r="P4" s="553"/>
      <c r="Q4" s="553"/>
      <c r="R4" s="553"/>
      <c r="S4" s="553"/>
      <c r="T4" s="553"/>
      <c r="U4" s="553"/>
      <c r="V4" s="553"/>
      <c r="W4" s="553"/>
      <c r="X4" s="553"/>
      <c r="Y4" s="553"/>
      <c r="Z4" s="553"/>
      <c r="AA4" s="553"/>
      <c r="AB4" s="553"/>
      <c r="AC4" s="553"/>
      <c r="AD4" s="553"/>
      <c r="AE4" s="553"/>
      <c r="AF4" s="553"/>
      <c r="AG4" s="553"/>
      <c r="AH4" s="553"/>
      <c r="AI4" s="553"/>
      <c r="AJ4" s="553"/>
      <c r="AK4" s="553"/>
      <c r="AL4" s="553"/>
      <c r="AM4" s="553"/>
      <c r="AN4" s="553"/>
      <c r="AO4" s="553"/>
      <c r="AP4" s="553"/>
      <c r="AQ4" s="553"/>
      <c r="AR4" s="553"/>
    </row>
    <row r="5" spans="1:44" ht="21" hidden="1" x14ac:dyDescent="0.5">
      <c r="A5" s="551"/>
      <c r="B5" s="552"/>
      <c r="C5" s="569" t="s">
        <v>124</v>
      </c>
      <c r="D5" s="570"/>
      <c r="E5" s="571"/>
      <c r="F5" s="572" t="s">
        <v>133</v>
      </c>
      <c r="G5" s="572"/>
      <c r="H5" s="572"/>
      <c r="I5" s="572" t="s">
        <v>442</v>
      </c>
      <c r="J5" s="572"/>
      <c r="K5" s="572"/>
      <c r="L5" s="572" t="s">
        <v>463</v>
      </c>
      <c r="M5" s="572"/>
      <c r="N5" s="572"/>
      <c r="O5" s="572" t="s">
        <v>131</v>
      </c>
      <c r="P5" s="572"/>
      <c r="Q5" s="572"/>
      <c r="R5" s="572" t="s">
        <v>130</v>
      </c>
      <c r="S5" s="572"/>
      <c r="T5" s="572"/>
      <c r="U5" s="572" t="s">
        <v>129</v>
      </c>
      <c r="V5" s="572"/>
      <c r="W5" s="572"/>
      <c r="X5" s="569" t="s">
        <v>128</v>
      </c>
      <c r="Y5" s="570"/>
      <c r="Z5" s="571"/>
      <c r="AA5" s="572" t="s">
        <v>127</v>
      </c>
      <c r="AB5" s="572"/>
      <c r="AC5" s="572"/>
      <c r="AD5" s="572" t="s">
        <v>126</v>
      </c>
      <c r="AE5" s="572"/>
      <c r="AF5" s="572"/>
      <c r="AG5" s="572" t="s">
        <v>125</v>
      </c>
      <c r="AH5" s="572"/>
      <c r="AI5" s="572"/>
      <c r="AJ5" s="572" t="s">
        <v>393</v>
      </c>
      <c r="AK5" s="572"/>
      <c r="AL5" s="572"/>
      <c r="AM5" s="569" t="s">
        <v>123</v>
      </c>
      <c r="AN5" s="570"/>
      <c r="AO5" s="571"/>
      <c r="AP5" s="572" t="s">
        <v>122</v>
      </c>
      <c r="AQ5" s="572"/>
      <c r="AR5" s="572"/>
    </row>
    <row r="6" spans="1:44" ht="15.75" hidden="1" customHeight="1" x14ac:dyDescent="0.5">
      <c r="A6" s="551"/>
      <c r="B6" s="552"/>
      <c r="C6" s="208" t="s">
        <v>109</v>
      </c>
      <c r="D6" s="208" t="s">
        <v>108</v>
      </c>
      <c r="E6" s="208" t="s">
        <v>348</v>
      </c>
      <c r="F6" s="208" t="s">
        <v>109</v>
      </c>
      <c r="G6" s="208" t="s">
        <v>108</v>
      </c>
      <c r="H6" s="208" t="s">
        <v>348</v>
      </c>
      <c r="I6" s="208" t="s">
        <v>109</v>
      </c>
      <c r="J6" s="208" t="s">
        <v>108</v>
      </c>
      <c r="K6" s="208" t="s">
        <v>348</v>
      </c>
      <c r="L6" s="208"/>
      <c r="M6" s="208"/>
      <c r="N6" s="208"/>
      <c r="O6" s="208" t="s">
        <v>109</v>
      </c>
      <c r="P6" s="208" t="s">
        <v>108</v>
      </c>
      <c r="Q6" s="208" t="s">
        <v>348</v>
      </c>
      <c r="R6" s="208" t="s">
        <v>109</v>
      </c>
      <c r="S6" s="208" t="s">
        <v>108</v>
      </c>
      <c r="T6" s="208" t="s">
        <v>348</v>
      </c>
      <c r="U6" s="208" t="s">
        <v>109</v>
      </c>
      <c r="V6" s="208" t="s">
        <v>108</v>
      </c>
      <c r="W6" s="208" t="s">
        <v>348</v>
      </c>
      <c r="X6" s="208" t="s">
        <v>109</v>
      </c>
      <c r="Y6" s="208" t="s">
        <v>108</v>
      </c>
      <c r="Z6" s="208" t="s">
        <v>348</v>
      </c>
      <c r="AA6" s="208" t="s">
        <v>109</v>
      </c>
      <c r="AB6" s="208" t="s">
        <v>108</v>
      </c>
      <c r="AC6" s="208" t="s">
        <v>348</v>
      </c>
      <c r="AD6" s="208" t="s">
        <v>109</v>
      </c>
      <c r="AE6" s="208" t="s">
        <v>108</v>
      </c>
      <c r="AF6" s="208" t="s">
        <v>348</v>
      </c>
      <c r="AG6" s="208" t="s">
        <v>109</v>
      </c>
      <c r="AH6" s="208" t="s">
        <v>108</v>
      </c>
      <c r="AI6" s="208" t="s">
        <v>348</v>
      </c>
      <c r="AJ6" s="208" t="s">
        <v>109</v>
      </c>
      <c r="AK6" s="208" t="s">
        <v>108</v>
      </c>
      <c r="AL6" s="208" t="s">
        <v>348</v>
      </c>
      <c r="AM6" s="208" t="s">
        <v>109</v>
      </c>
      <c r="AN6" s="208" t="s">
        <v>108</v>
      </c>
      <c r="AO6" s="208" t="s">
        <v>348</v>
      </c>
      <c r="AP6" s="208" t="s">
        <v>109</v>
      </c>
      <c r="AQ6" s="208" t="s">
        <v>108</v>
      </c>
      <c r="AR6" s="208" t="s">
        <v>348</v>
      </c>
    </row>
    <row r="7" spans="1:44" ht="15.75" hidden="1" customHeight="1" x14ac:dyDescent="0.5">
      <c r="A7" s="16">
        <v>1</v>
      </c>
      <c r="B7" s="15">
        <v>46025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>
        <v>50</v>
      </c>
      <c r="S7" s="19">
        <v>1200</v>
      </c>
      <c r="T7" s="19">
        <v>768</v>
      </c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>
        <f>C7+F7+R7+U7+AJ7</f>
        <v>50</v>
      </c>
      <c r="AQ7" s="19">
        <f>D7+G7+S7+V7+AK7</f>
        <v>1200</v>
      </c>
      <c r="AR7" s="19">
        <f>E7+H7+T7+W7+AL7</f>
        <v>768</v>
      </c>
    </row>
    <row r="8" spans="1:44" ht="15.75" hidden="1" customHeight="1" x14ac:dyDescent="0.5">
      <c r="A8" s="16">
        <v>2</v>
      </c>
      <c r="B8" s="15">
        <v>46030</v>
      </c>
      <c r="C8" s="19">
        <v>20</v>
      </c>
      <c r="D8" s="19">
        <v>280</v>
      </c>
      <c r="E8" s="19">
        <v>179.20000000000002</v>
      </c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21">
        <v>30</v>
      </c>
      <c r="S8" s="19">
        <v>720</v>
      </c>
      <c r="T8" s="19">
        <v>460.8</v>
      </c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>
        <f t="shared" ref="AP8:AP12" si="0">C8+F8+R8+U8+AJ8</f>
        <v>50</v>
      </c>
      <c r="AQ8" s="19">
        <f t="shared" ref="AQ8:AQ12" si="1">D8+G8+S8+V8+AK8</f>
        <v>1000</v>
      </c>
      <c r="AR8" s="19">
        <f t="shared" ref="AR8:AR12" si="2">E8+H8+T8+W8+AL8</f>
        <v>640</v>
      </c>
    </row>
    <row r="9" spans="1:44" ht="15.75" hidden="1" customHeight="1" x14ac:dyDescent="0.5">
      <c r="A9" s="16">
        <v>3</v>
      </c>
      <c r="B9" s="15">
        <v>46031</v>
      </c>
      <c r="C9" s="19"/>
      <c r="D9" s="19"/>
      <c r="E9" s="19"/>
      <c r="F9" s="19"/>
      <c r="G9" s="19"/>
      <c r="H9" s="19"/>
      <c r="I9" s="19">
        <v>2</v>
      </c>
      <c r="J9" s="19">
        <v>24</v>
      </c>
      <c r="K9" s="19">
        <v>24</v>
      </c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>
        <f>C9+F9+R9+U9+AJ9+I9</f>
        <v>2</v>
      </c>
      <c r="AQ9" s="19">
        <f>D9+G9+S9+V9+AK9+J9</f>
        <v>24</v>
      </c>
      <c r="AR9" s="19">
        <f>E9+H9+T9+W9+AL9+K9</f>
        <v>24</v>
      </c>
    </row>
    <row r="10" spans="1:44" ht="15.75" hidden="1" customHeight="1" x14ac:dyDescent="0.5">
      <c r="A10" s="16">
        <v>4</v>
      </c>
      <c r="B10" s="15">
        <v>46032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>
        <v>30</v>
      </c>
      <c r="S10" s="19">
        <v>720</v>
      </c>
      <c r="T10" s="19">
        <v>460.8</v>
      </c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>
        <f t="shared" si="0"/>
        <v>30</v>
      </c>
      <c r="AQ10" s="19">
        <f t="shared" ref="AQ10" si="3">D10+G10+S10+V10+AK10</f>
        <v>720</v>
      </c>
      <c r="AR10" s="19">
        <f t="shared" ref="AR10" si="4">E10+H10+T10+W10+AL10</f>
        <v>460.8</v>
      </c>
    </row>
    <row r="11" spans="1:44" ht="15.75" hidden="1" customHeight="1" x14ac:dyDescent="0.5">
      <c r="A11" s="16">
        <v>5</v>
      </c>
      <c r="B11" s="15">
        <v>46035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>
        <v>10</v>
      </c>
      <c r="P11" s="19">
        <v>140</v>
      </c>
      <c r="Q11" s="19">
        <v>89.600000000000009</v>
      </c>
      <c r="R11" s="19">
        <v>40</v>
      </c>
      <c r="S11" s="19">
        <v>960</v>
      </c>
      <c r="T11" s="19">
        <v>614.4</v>
      </c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>
        <f>C11+F11+R11+U11+AJ11+O11</f>
        <v>50</v>
      </c>
      <c r="AQ11" s="19">
        <f>D11+G11+S11+V11+AK11+P11</f>
        <v>1100</v>
      </c>
      <c r="AR11" s="19">
        <f>E11+H11+T11+W11+AL11+Q11</f>
        <v>704</v>
      </c>
    </row>
    <row r="12" spans="1:44" ht="15.75" hidden="1" customHeight="1" x14ac:dyDescent="0.5">
      <c r="A12" s="16">
        <v>6</v>
      </c>
      <c r="B12" s="15">
        <v>46037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>
        <v>50</v>
      </c>
      <c r="S12" s="19">
        <v>1200</v>
      </c>
      <c r="T12" s="19">
        <v>768</v>
      </c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>
        <f t="shared" si="0"/>
        <v>50</v>
      </c>
      <c r="AQ12" s="19">
        <f t="shared" si="1"/>
        <v>1200</v>
      </c>
      <c r="AR12" s="19">
        <f t="shared" si="2"/>
        <v>768</v>
      </c>
    </row>
    <row r="13" spans="1:44" ht="15.75" hidden="1" customHeight="1" x14ac:dyDescent="0.5">
      <c r="A13" s="16">
        <v>7</v>
      </c>
      <c r="B13" s="15">
        <v>46042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>
        <v>59</v>
      </c>
      <c r="S13" s="19">
        <v>1416</v>
      </c>
      <c r="T13" s="19">
        <v>906.24</v>
      </c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>
        <f t="shared" ref="AP13" si="5">C13+F13+R13+U13+AJ13</f>
        <v>59</v>
      </c>
      <c r="AQ13" s="19">
        <f t="shared" ref="AQ13" si="6">D13+G13+S13+V13+AK13</f>
        <v>1416</v>
      </c>
      <c r="AR13" s="19">
        <f t="shared" ref="AR13" si="7">E13+H13+T13+W13+AL13</f>
        <v>906.24</v>
      </c>
    </row>
    <row r="14" spans="1:44" ht="15.75" hidden="1" customHeight="1" x14ac:dyDescent="0.5">
      <c r="A14" s="16">
        <v>8</v>
      </c>
      <c r="B14" s="15">
        <v>46048</v>
      </c>
      <c r="C14" s="20"/>
      <c r="D14" s="20"/>
      <c r="E14" s="19"/>
      <c r="F14" s="20"/>
      <c r="G14" s="20"/>
      <c r="H14" s="19"/>
      <c r="I14" s="20"/>
      <c r="J14" s="20"/>
      <c r="K14" s="20"/>
      <c r="L14" s="20"/>
      <c r="M14" s="20"/>
      <c r="N14" s="20"/>
      <c r="O14" s="20"/>
      <c r="P14" s="20"/>
      <c r="Q14" s="20"/>
      <c r="R14" s="20">
        <v>30</v>
      </c>
      <c r="S14" s="20">
        <v>720</v>
      </c>
      <c r="T14" s="19">
        <v>460.8</v>
      </c>
      <c r="U14" s="20"/>
      <c r="V14" s="20"/>
      <c r="W14" s="19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19"/>
      <c r="AJ14" s="19"/>
      <c r="AK14" s="19"/>
      <c r="AL14" s="19"/>
      <c r="AM14" s="19"/>
      <c r="AN14" s="19"/>
      <c r="AO14" s="19"/>
      <c r="AP14" s="19">
        <f t="shared" ref="AP14:AP17" si="8">C14+F14+R14+U14+AJ14</f>
        <v>30</v>
      </c>
      <c r="AQ14" s="19">
        <f t="shared" ref="AQ14:AQ17" si="9">D14+G14+S14+V14+AK14</f>
        <v>720</v>
      </c>
      <c r="AR14" s="19">
        <f t="shared" ref="AR14:AR17" si="10">E14+H14+T14+W14+AL14</f>
        <v>460.8</v>
      </c>
    </row>
    <row r="15" spans="1:44" ht="15.75" hidden="1" customHeight="1" x14ac:dyDescent="0.5">
      <c r="A15" s="16">
        <v>9</v>
      </c>
      <c r="B15" s="15">
        <v>46049</v>
      </c>
      <c r="C15" s="20"/>
      <c r="D15" s="20"/>
      <c r="E15" s="19"/>
      <c r="F15" s="20"/>
      <c r="G15" s="20"/>
      <c r="H15" s="19"/>
      <c r="I15" s="20"/>
      <c r="J15" s="20"/>
      <c r="K15" s="20"/>
      <c r="L15" s="20"/>
      <c r="M15" s="20"/>
      <c r="N15" s="20"/>
      <c r="O15" s="20"/>
      <c r="P15" s="20"/>
      <c r="Q15" s="20"/>
      <c r="R15" s="20">
        <v>20</v>
      </c>
      <c r="S15" s="20">
        <v>480</v>
      </c>
      <c r="T15" s="19">
        <v>307.2</v>
      </c>
      <c r="U15" s="20"/>
      <c r="V15" s="20"/>
      <c r="W15" s="19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19"/>
      <c r="AJ15" s="19"/>
      <c r="AK15" s="19"/>
      <c r="AL15" s="19"/>
      <c r="AM15" s="19"/>
      <c r="AN15" s="19"/>
      <c r="AO15" s="19"/>
      <c r="AP15" s="19">
        <f t="shared" si="8"/>
        <v>20</v>
      </c>
      <c r="AQ15" s="19">
        <f t="shared" si="9"/>
        <v>480</v>
      </c>
      <c r="AR15" s="19">
        <f t="shared" si="10"/>
        <v>307.2</v>
      </c>
    </row>
    <row r="16" spans="1:44" ht="15.75" hidden="1" customHeight="1" x14ac:dyDescent="0.5">
      <c r="A16" s="16">
        <v>11</v>
      </c>
      <c r="B16" s="15">
        <v>46050</v>
      </c>
      <c r="C16" s="20">
        <v>20</v>
      </c>
      <c r="D16" s="20">
        <v>280</v>
      </c>
      <c r="E16" s="19">
        <v>179.20000000000002</v>
      </c>
      <c r="F16" s="20"/>
      <c r="G16" s="20"/>
      <c r="H16" s="19"/>
      <c r="I16" s="20"/>
      <c r="J16" s="20"/>
      <c r="K16" s="20"/>
      <c r="L16" s="20">
        <v>2</v>
      </c>
      <c r="M16" s="20">
        <v>24</v>
      </c>
      <c r="N16" s="20">
        <v>24</v>
      </c>
      <c r="O16" s="20"/>
      <c r="P16" s="20"/>
      <c r="Q16" s="20"/>
      <c r="R16" s="20"/>
      <c r="S16" s="20"/>
      <c r="T16" s="19"/>
      <c r="U16" s="20"/>
      <c r="V16" s="20"/>
      <c r="W16" s="19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19"/>
      <c r="AJ16" s="19"/>
      <c r="AK16" s="19"/>
      <c r="AL16" s="19"/>
      <c r="AM16" s="19"/>
      <c r="AN16" s="19"/>
      <c r="AO16" s="19"/>
      <c r="AP16" s="19">
        <f>C16+F16+R16+U16+AJ16+L16</f>
        <v>22</v>
      </c>
      <c r="AQ16" s="19">
        <f t="shared" ref="AQ16:AR16" si="11">D16+G16+S16+V16+AK16+M16</f>
        <v>304</v>
      </c>
      <c r="AR16" s="19">
        <f t="shared" si="11"/>
        <v>203.20000000000002</v>
      </c>
    </row>
    <row r="17" spans="1:44" ht="15.75" hidden="1" customHeight="1" x14ac:dyDescent="0.5">
      <c r="A17" s="16">
        <v>12</v>
      </c>
      <c r="B17" s="15">
        <v>46051</v>
      </c>
      <c r="C17" s="20"/>
      <c r="D17" s="20"/>
      <c r="E17" s="19"/>
      <c r="F17" s="20"/>
      <c r="G17" s="20"/>
      <c r="H17" s="19"/>
      <c r="I17" s="20"/>
      <c r="J17" s="20"/>
      <c r="K17" s="20"/>
      <c r="L17" s="20"/>
      <c r="M17" s="20"/>
      <c r="N17" s="20"/>
      <c r="O17" s="20"/>
      <c r="P17" s="20"/>
      <c r="Q17" s="20"/>
      <c r="R17" s="20">
        <v>49</v>
      </c>
      <c r="S17" s="20">
        <v>1176</v>
      </c>
      <c r="T17" s="19">
        <v>752.64</v>
      </c>
      <c r="U17" s="20"/>
      <c r="V17" s="20"/>
      <c r="W17" s="19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19"/>
      <c r="AJ17" s="19"/>
      <c r="AK17" s="19"/>
      <c r="AL17" s="19"/>
      <c r="AM17" s="19"/>
      <c r="AN17" s="19"/>
      <c r="AO17" s="19"/>
      <c r="AP17" s="19">
        <f t="shared" si="8"/>
        <v>49</v>
      </c>
      <c r="AQ17" s="19">
        <f t="shared" si="9"/>
        <v>1176</v>
      </c>
      <c r="AR17" s="19">
        <f t="shared" si="10"/>
        <v>752.64</v>
      </c>
    </row>
    <row r="18" spans="1:44" ht="15.75" hidden="1" customHeight="1" x14ac:dyDescent="0.5">
      <c r="A18" s="16">
        <v>13</v>
      </c>
      <c r="B18" s="15">
        <v>46053</v>
      </c>
      <c r="C18" s="20"/>
      <c r="D18" s="20"/>
      <c r="E18" s="19"/>
      <c r="F18" s="20"/>
      <c r="G18" s="20"/>
      <c r="H18" s="19"/>
      <c r="I18" s="20"/>
      <c r="J18" s="20"/>
      <c r="K18" s="20"/>
      <c r="L18" s="20"/>
      <c r="M18" s="20"/>
      <c r="N18" s="20"/>
      <c r="O18" s="20"/>
      <c r="P18" s="20"/>
      <c r="Q18" s="20"/>
      <c r="R18" s="20">
        <v>20</v>
      </c>
      <c r="S18" s="20">
        <v>480</v>
      </c>
      <c r="T18" s="19">
        <v>307.2</v>
      </c>
      <c r="U18" s="20"/>
      <c r="V18" s="20"/>
      <c r="W18" s="19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19"/>
      <c r="AJ18" s="19"/>
      <c r="AK18" s="19"/>
      <c r="AL18" s="19"/>
      <c r="AM18" s="19"/>
      <c r="AN18" s="19"/>
      <c r="AO18" s="19"/>
      <c r="AP18" s="19">
        <f t="shared" ref="AP18" si="12">C18+F18+I18+O18+R18+U18+X18+AA18+AD18+AG18+AJ18+AM18</f>
        <v>20</v>
      </c>
      <c r="AQ18" s="19">
        <f t="shared" ref="AQ18" si="13">D18+G18+J18+P18+S18+V18+Y18+AB18+AE18+AH18+AK18+AN18</f>
        <v>480</v>
      </c>
      <c r="AR18" s="19">
        <f t="shared" ref="AR18" si="14">E18+H18+K18+Q18+T18+W18+Z18+AC18+AF18+AI18+AL18+AN18</f>
        <v>307.2</v>
      </c>
    </row>
    <row r="19" spans="1:44" ht="15.75" hidden="1" customHeight="1" x14ac:dyDescent="0.5">
      <c r="AP19" s="279">
        <f>SUM(AP7:AP18)</f>
        <v>432</v>
      </c>
      <c r="AQ19" s="279">
        <f>SUM(AQ7:AQ18)</f>
        <v>9820</v>
      </c>
      <c r="AR19" s="279">
        <f>SUM(AR7:AR18)</f>
        <v>6302.08</v>
      </c>
    </row>
    <row r="20" spans="1:44" ht="15.75" hidden="1" customHeight="1" x14ac:dyDescent="0.5"/>
    <row r="21" spans="1:44" ht="15.75" hidden="1" customHeight="1" x14ac:dyDescent="0.5">
      <c r="A21" s="573" t="s">
        <v>499</v>
      </c>
      <c r="B21" s="573"/>
      <c r="C21" s="573"/>
    </row>
    <row r="22" spans="1:44" ht="15.75" hidden="1" customHeight="1" x14ac:dyDescent="0.5">
      <c r="A22" s="573"/>
      <c r="B22" s="573"/>
      <c r="C22" s="573"/>
    </row>
    <row r="23" spans="1:44" ht="15.75" hidden="1" customHeight="1" x14ac:dyDescent="0.5">
      <c r="A23" s="551" t="s">
        <v>118</v>
      </c>
      <c r="B23" s="552" t="s">
        <v>135</v>
      </c>
      <c r="C23" s="553"/>
      <c r="D23" s="553"/>
      <c r="E23" s="553"/>
      <c r="F23" s="553"/>
      <c r="G23" s="553"/>
      <c r="H23" s="553"/>
      <c r="I23" s="553"/>
      <c r="J23" s="553"/>
      <c r="K23" s="553"/>
      <c r="L23" s="553"/>
      <c r="M23" s="553"/>
      <c r="N23" s="553"/>
      <c r="O23" s="553"/>
      <c r="P23" s="553"/>
      <c r="Q23" s="553"/>
      <c r="R23" s="553"/>
      <c r="S23" s="553"/>
      <c r="T23" s="553"/>
      <c r="U23" s="553"/>
      <c r="V23" s="553"/>
      <c r="W23" s="553"/>
      <c r="X23" s="553"/>
      <c r="Y23" s="553"/>
      <c r="Z23" s="553"/>
      <c r="AA23" s="553"/>
      <c r="AB23" s="553"/>
      <c r="AC23" s="553"/>
      <c r="AD23" s="553"/>
      <c r="AE23" s="553"/>
      <c r="AF23" s="553"/>
      <c r="AG23" s="553"/>
      <c r="AH23" s="553"/>
      <c r="AI23" s="553"/>
      <c r="AJ23" s="553"/>
      <c r="AK23" s="553"/>
      <c r="AL23" s="553"/>
      <c r="AM23" s="553"/>
      <c r="AN23" s="553"/>
      <c r="AO23" s="553"/>
      <c r="AP23" s="553"/>
      <c r="AQ23" s="553"/>
      <c r="AR23" s="553"/>
    </row>
    <row r="24" spans="1:44" ht="15.75" hidden="1" customHeight="1" x14ac:dyDescent="0.5">
      <c r="A24" s="551"/>
      <c r="B24" s="552"/>
      <c r="C24" s="569" t="s">
        <v>124</v>
      </c>
      <c r="D24" s="570"/>
      <c r="E24" s="571"/>
      <c r="F24" s="572" t="s">
        <v>133</v>
      </c>
      <c r="G24" s="572"/>
      <c r="H24" s="572"/>
      <c r="I24" s="572" t="s">
        <v>442</v>
      </c>
      <c r="J24" s="572"/>
      <c r="K24" s="572"/>
      <c r="L24" s="572" t="s">
        <v>463</v>
      </c>
      <c r="M24" s="572"/>
      <c r="N24" s="572"/>
      <c r="O24" s="572" t="s">
        <v>131</v>
      </c>
      <c r="P24" s="572"/>
      <c r="Q24" s="572"/>
      <c r="R24" s="572" t="s">
        <v>130</v>
      </c>
      <c r="S24" s="572"/>
      <c r="T24" s="572"/>
      <c r="U24" s="572" t="s">
        <v>129</v>
      </c>
      <c r="V24" s="572"/>
      <c r="W24" s="572"/>
      <c r="X24" s="569" t="s">
        <v>128</v>
      </c>
      <c r="Y24" s="570"/>
      <c r="Z24" s="571"/>
      <c r="AA24" s="572" t="s">
        <v>127</v>
      </c>
      <c r="AB24" s="572"/>
      <c r="AC24" s="572"/>
      <c r="AD24" s="572" t="s">
        <v>126</v>
      </c>
      <c r="AE24" s="572"/>
      <c r="AF24" s="572"/>
      <c r="AG24" s="572" t="s">
        <v>125</v>
      </c>
      <c r="AH24" s="572"/>
      <c r="AI24" s="572"/>
      <c r="AJ24" s="572" t="s">
        <v>393</v>
      </c>
      <c r="AK24" s="572"/>
      <c r="AL24" s="572"/>
      <c r="AM24" s="569" t="s">
        <v>507</v>
      </c>
      <c r="AN24" s="570"/>
      <c r="AO24" s="571"/>
      <c r="AP24" s="572" t="s">
        <v>122</v>
      </c>
      <c r="AQ24" s="572"/>
      <c r="AR24" s="572"/>
    </row>
    <row r="25" spans="1:44" ht="15.75" hidden="1" customHeight="1" x14ac:dyDescent="0.5">
      <c r="A25" s="551"/>
      <c r="B25" s="552"/>
      <c r="C25" s="208" t="s">
        <v>109</v>
      </c>
      <c r="D25" s="208" t="s">
        <v>108</v>
      </c>
      <c r="E25" s="208" t="s">
        <v>348</v>
      </c>
      <c r="F25" s="208" t="s">
        <v>109</v>
      </c>
      <c r="G25" s="208" t="s">
        <v>108</v>
      </c>
      <c r="H25" s="208" t="s">
        <v>348</v>
      </c>
      <c r="I25" s="208" t="s">
        <v>109</v>
      </c>
      <c r="J25" s="208" t="s">
        <v>108</v>
      </c>
      <c r="K25" s="208" t="s">
        <v>348</v>
      </c>
      <c r="L25" s="208"/>
      <c r="M25" s="208"/>
      <c r="N25" s="208"/>
      <c r="O25" s="208" t="s">
        <v>109</v>
      </c>
      <c r="P25" s="208" t="s">
        <v>108</v>
      </c>
      <c r="Q25" s="208" t="s">
        <v>348</v>
      </c>
      <c r="R25" s="208" t="s">
        <v>109</v>
      </c>
      <c r="S25" s="208" t="s">
        <v>108</v>
      </c>
      <c r="T25" s="208" t="s">
        <v>348</v>
      </c>
      <c r="U25" s="208" t="s">
        <v>109</v>
      </c>
      <c r="V25" s="208" t="s">
        <v>108</v>
      </c>
      <c r="W25" s="208" t="s">
        <v>348</v>
      </c>
      <c r="X25" s="208" t="s">
        <v>109</v>
      </c>
      <c r="Y25" s="208" t="s">
        <v>108</v>
      </c>
      <c r="Z25" s="208" t="s">
        <v>348</v>
      </c>
      <c r="AA25" s="208" t="s">
        <v>109</v>
      </c>
      <c r="AB25" s="208" t="s">
        <v>108</v>
      </c>
      <c r="AC25" s="208" t="s">
        <v>348</v>
      </c>
      <c r="AD25" s="208" t="s">
        <v>109</v>
      </c>
      <c r="AE25" s="208" t="s">
        <v>108</v>
      </c>
      <c r="AF25" s="208" t="s">
        <v>348</v>
      </c>
      <c r="AG25" s="208" t="s">
        <v>109</v>
      </c>
      <c r="AH25" s="208" t="s">
        <v>108</v>
      </c>
      <c r="AI25" s="208" t="s">
        <v>348</v>
      </c>
      <c r="AJ25" s="208" t="s">
        <v>109</v>
      </c>
      <c r="AK25" s="208" t="s">
        <v>108</v>
      </c>
      <c r="AL25" s="208" t="s">
        <v>348</v>
      </c>
      <c r="AM25" s="208" t="s">
        <v>109</v>
      </c>
      <c r="AN25" s="208" t="s">
        <v>108</v>
      </c>
      <c r="AO25" s="208" t="s">
        <v>348</v>
      </c>
      <c r="AP25" s="208" t="s">
        <v>109</v>
      </c>
      <c r="AQ25" s="208" t="s">
        <v>108</v>
      </c>
      <c r="AR25" s="208" t="s">
        <v>348</v>
      </c>
    </row>
    <row r="26" spans="1:44" ht="15.75" hidden="1" customHeight="1" x14ac:dyDescent="0.5">
      <c r="A26" s="16">
        <v>1</v>
      </c>
      <c r="B26" s="15">
        <v>46055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>
        <v>20</v>
      </c>
      <c r="S26" s="19">
        <v>480</v>
      </c>
      <c r="T26" s="19">
        <v>307.2</v>
      </c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>
        <f>C26+F26+R26+U26+AJ26</f>
        <v>20</v>
      </c>
      <c r="AQ26" s="19">
        <f>D26+G26+S26+V26+AK26</f>
        <v>480</v>
      </c>
      <c r="AR26" s="19">
        <f>E26+H26+T26+W26+AL26</f>
        <v>307.2</v>
      </c>
    </row>
    <row r="27" spans="1:44" ht="15.75" hidden="1" customHeight="1" x14ac:dyDescent="0.5">
      <c r="A27" s="16">
        <v>2</v>
      </c>
      <c r="B27" s="15">
        <v>46056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21">
        <v>30</v>
      </c>
      <c r="S27" s="19">
        <v>720</v>
      </c>
      <c r="T27" s="19">
        <v>460.8</v>
      </c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>
        <f t="shared" ref="AP27" si="15">C27+F27+R27+U27+AJ27</f>
        <v>30</v>
      </c>
      <c r="AQ27" s="19">
        <f t="shared" ref="AQ27" si="16">D27+G27+S27+V27+AK27</f>
        <v>720</v>
      </c>
      <c r="AR27" s="19">
        <f t="shared" ref="AR27" si="17">E27+H27+T27+W27+AL27</f>
        <v>460.8</v>
      </c>
    </row>
    <row r="28" spans="1:44" ht="15.75" hidden="1" customHeight="1" x14ac:dyDescent="0.5">
      <c r="A28" s="16">
        <v>3</v>
      </c>
      <c r="B28" s="15">
        <v>46060</v>
      </c>
      <c r="C28" s="19">
        <v>20</v>
      </c>
      <c r="D28" s="19">
        <v>280</v>
      </c>
      <c r="E28" s="19">
        <v>179.20000000000002</v>
      </c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>
        <v>60</v>
      </c>
      <c r="S28" s="19">
        <v>1440</v>
      </c>
      <c r="T28" s="19">
        <v>921.6</v>
      </c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>
        <f>C28+F28+R28+U28+AJ28+I28</f>
        <v>80</v>
      </c>
      <c r="AQ28" s="19">
        <f>D28+G28+S28+V28+AK28+J28</f>
        <v>1720</v>
      </c>
      <c r="AR28" s="19">
        <f>E28+H28+T28+W28+AL28+K28</f>
        <v>1100.8</v>
      </c>
    </row>
    <row r="29" spans="1:44" ht="15.75" hidden="1" customHeight="1" x14ac:dyDescent="0.5">
      <c r="A29" s="16">
        <v>4</v>
      </c>
      <c r="B29" s="15">
        <v>46062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>
        <v>50</v>
      </c>
      <c r="S29" s="19">
        <v>1200</v>
      </c>
      <c r="T29" s="19">
        <v>768</v>
      </c>
      <c r="U29" s="19">
        <v>15</v>
      </c>
      <c r="V29" s="19">
        <v>210</v>
      </c>
      <c r="W29" s="19">
        <v>134.4</v>
      </c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>
        <f t="shared" ref="AP29" si="18">C29+F29+R29+U29+AJ29</f>
        <v>65</v>
      </c>
      <c r="AQ29" s="19">
        <f t="shared" ref="AQ29" si="19">D29+G29+S29+V29+AK29</f>
        <v>1410</v>
      </c>
      <c r="AR29" s="19">
        <f t="shared" ref="AR29" si="20">E29+H29+T29+W29+AL29</f>
        <v>902.4</v>
      </c>
    </row>
    <row r="30" spans="1:44" ht="15.75" hidden="1" customHeight="1" x14ac:dyDescent="0.5">
      <c r="A30" s="16">
        <v>5</v>
      </c>
      <c r="B30" s="15">
        <v>46064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>
        <v>50</v>
      </c>
      <c r="S30" s="19">
        <v>1200</v>
      </c>
      <c r="T30" s="19">
        <v>768</v>
      </c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>
        <v>5</v>
      </c>
      <c r="AN30" s="19">
        <v>60</v>
      </c>
      <c r="AO30" s="19">
        <v>60</v>
      </c>
      <c r="AP30" s="19">
        <f>C30+F30+R30+U30+AJ30+O30+AM30</f>
        <v>55</v>
      </c>
      <c r="AQ30" s="19">
        <f t="shared" ref="AQ30:AR30" si="21">D30+G30+S30+V30+AK30+P30+AN30</f>
        <v>1260</v>
      </c>
      <c r="AR30" s="19">
        <f t="shared" si="21"/>
        <v>828</v>
      </c>
    </row>
    <row r="31" spans="1:44" ht="15.75" hidden="1" customHeight="1" x14ac:dyDescent="0.5">
      <c r="A31" s="16">
        <v>6</v>
      </c>
      <c r="B31" s="15">
        <v>46071</v>
      </c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>
        <v>80</v>
      </c>
      <c r="S31" s="19">
        <v>1920</v>
      </c>
      <c r="T31" s="19">
        <v>1228.8</v>
      </c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>
        <f t="shared" ref="AP31:AP34" si="22">C31+F31+R31+U31+AJ31</f>
        <v>80</v>
      </c>
      <c r="AQ31" s="19">
        <f t="shared" ref="AQ31:AQ34" si="23">D31+G31+S31+V31+AK31</f>
        <v>1920</v>
      </c>
      <c r="AR31" s="19">
        <f t="shared" ref="AR31:AR34" si="24">E31+H31+T31+W31+AL31</f>
        <v>1228.8</v>
      </c>
    </row>
    <row r="32" spans="1:44" ht="15.75" hidden="1" customHeight="1" x14ac:dyDescent="0.5">
      <c r="A32" s="16">
        <v>7</v>
      </c>
      <c r="B32" s="15">
        <v>46072</v>
      </c>
      <c r="C32" s="19">
        <v>20</v>
      </c>
      <c r="D32" s="19">
        <v>280</v>
      </c>
      <c r="E32" s="19">
        <v>179.20000000000002</v>
      </c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>
        <v>30</v>
      </c>
      <c r="S32" s="19">
        <v>720</v>
      </c>
      <c r="T32" s="19">
        <v>460.8</v>
      </c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>
        <f t="shared" si="22"/>
        <v>50</v>
      </c>
      <c r="AQ32" s="19">
        <f t="shared" si="23"/>
        <v>1000</v>
      </c>
      <c r="AR32" s="19">
        <f t="shared" si="24"/>
        <v>640</v>
      </c>
    </row>
    <row r="33" spans="1:44" ht="15.75" hidden="1" customHeight="1" x14ac:dyDescent="0.5">
      <c r="A33" s="16">
        <v>8</v>
      </c>
      <c r="B33" s="15">
        <v>46078</v>
      </c>
      <c r="C33" s="20"/>
      <c r="D33" s="20"/>
      <c r="E33" s="19"/>
      <c r="F33" s="20">
        <v>49</v>
      </c>
      <c r="G33" s="20">
        <v>686</v>
      </c>
      <c r="H33" s="19">
        <v>439.04</v>
      </c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19"/>
      <c r="U33" s="20"/>
      <c r="V33" s="20"/>
      <c r="W33" s="19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19"/>
      <c r="AJ33" s="19"/>
      <c r="AK33" s="19"/>
      <c r="AL33" s="19"/>
      <c r="AM33" s="19"/>
      <c r="AN33" s="19"/>
      <c r="AO33" s="19"/>
      <c r="AP33" s="19">
        <f t="shared" si="22"/>
        <v>49</v>
      </c>
      <c r="AQ33" s="19">
        <f t="shared" si="23"/>
        <v>686</v>
      </c>
      <c r="AR33" s="19">
        <f t="shared" si="24"/>
        <v>439.04</v>
      </c>
    </row>
    <row r="34" spans="1:44" ht="15.75" hidden="1" customHeight="1" x14ac:dyDescent="0.5">
      <c r="A34" s="16">
        <v>9</v>
      </c>
      <c r="B34" s="15">
        <v>46079</v>
      </c>
      <c r="C34" s="20"/>
      <c r="D34" s="20"/>
      <c r="E34" s="19"/>
      <c r="F34" s="20"/>
      <c r="G34" s="20"/>
      <c r="H34" s="19"/>
      <c r="I34" s="20"/>
      <c r="J34" s="20"/>
      <c r="K34" s="20"/>
      <c r="L34" s="20"/>
      <c r="M34" s="20"/>
      <c r="N34" s="20"/>
      <c r="O34" s="20"/>
      <c r="P34" s="20"/>
      <c r="Q34" s="20"/>
      <c r="R34" s="20">
        <v>29</v>
      </c>
      <c r="S34" s="20">
        <v>696</v>
      </c>
      <c r="T34" s="19">
        <v>445.44</v>
      </c>
      <c r="U34" s="20"/>
      <c r="V34" s="20"/>
      <c r="W34" s="19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19"/>
      <c r="AJ34" s="19"/>
      <c r="AK34" s="19"/>
      <c r="AL34" s="19"/>
      <c r="AM34" s="19"/>
      <c r="AN34" s="19"/>
      <c r="AO34" s="19"/>
      <c r="AP34" s="19">
        <f t="shared" si="22"/>
        <v>29</v>
      </c>
      <c r="AQ34" s="19">
        <f t="shared" si="23"/>
        <v>696</v>
      </c>
      <c r="AR34" s="19">
        <f t="shared" si="24"/>
        <v>445.44</v>
      </c>
    </row>
    <row r="35" spans="1:44" ht="15.75" hidden="1" customHeight="1" x14ac:dyDescent="0.5">
      <c r="A35" s="16">
        <v>11</v>
      </c>
      <c r="B35" s="15">
        <v>46080</v>
      </c>
      <c r="C35" s="20"/>
      <c r="D35" s="20"/>
      <c r="E35" s="19"/>
      <c r="F35" s="20"/>
      <c r="G35" s="20"/>
      <c r="H35" s="19"/>
      <c r="I35" s="20"/>
      <c r="J35" s="20"/>
      <c r="K35" s="20"/>
      <c r="L35" s="20"/>
      <c r="M35" s="20"/>
      <c r="N35" s="20"/>
      <c r="O35" s="20"/>
      <c r="P35" s="20"/>
      <c r="Q35" s="20"/>
      <c r="R35" s="20">
        <v>30</v>
      </c>
      <c r="S35" s="20">
        <v>720</v>
      </c>
      <c r="T35" s="19">
        <v>460.8</v>
      </c>
      <c r="U35" s="20"/>
      <c r="V35" s="20"/>
      <c r="W35" s="19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19"/>
      <c r="AJ35" s="19"/>
      <c r="AK35" s="19"/>
      <c r="AL35" s="19"/>
      <c r="AM35" s="19"/>
      <c r="AN35" s="19"/>
      <c r="AO35" s="19"/>
      <c r="AP35" s="19">
        <f>C35+F35+R35+U35+AJ35+L35</f>
        <v>30</v>
      </c>
      <c r="AQ35" s="19">
        <f t="shared" ref="AQ35" si="25">D35+G35+S35+V35+AK35+M35</f>
        <v>720</v>
      </c>
      <c r="AR35" s="19">
        <f t="shared" ref="AR35" si="26">E35+H35+T35+W35+AL35+N35</f>
        <v>460.8</v>
      </c>
    </row>
    <row r="36" spans="1:44" ht="15.75" hidden="1" customHeight="1" x14ac:dyDescent="0.5">
      <c r="A36" s="16">
        <v>12</v>
      </c>
      <c r="B36" s="15">
        <v>46081</v>
      </c>
      <c r="C36" s="20"/>
      <c r="D36" s="20"/>
      <c r="E36" s="19"/>
      <c r="F36" s="20"/>
      <c r="G36" s="20"/>
      <c r="H36" s="19"/>
      <c r="I36" s="20"/>
      <c r="J36" s="20"/>
      <c r="K36" s="20"/>
      <c r="L36" s="20"/>
      <c r="M36" s="20"/>
      <c r="N36" s="20"/>
      <c r="O36" s="20">
        <v>10</v>
      </c>
      <c r="P36" s="20">
        <v>140</v>
      </c>
      <c r="Q36" s="20">
        <v>89.600000000000009</v>
      </c>
      <c r="R36" s="20">
        <v>20</v>
      </c>
      <c r="S36" s="20">
        <v>480</v>
      </c>
      <c r="T36" s="19">
        <v>307.2</v>
      </c>
      <c r="U36" s="20"/>
      <c r="V36" s="20"/>
      <c r="W36" s="19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19"/>
      <c r="AJ36" s="19"/>
      <c r="AK36" s="19"/>
      <c r="AL36" s="19"/>
      <c r="AM36" s="19"/>
      <c r="AN36" s="19"/>
      <c r="AO36" s="19"/>
      <c r="AP36" s="19">
        <f>C36+F36+R36+U36+AJ36+O36</f>
        <v>30</v>
      </c>
      <c r="AQ36" s="19">
        <f t="shared" ref="AQ36:AR36" si="27">D36+G36+S36+V36+AK36+P36</f>
        <v>620</v>
      </c>
      <c r="AR36" s="19">
        <f t="shared" si="27"/>
        <v>396.8</v>
      </c>
    </row>
    <row r="37" spans="1:44" ht="15.75" hidden="1" customHeight="1" x14ac:dyDescent="0.5">
      <c r="AP37" s="279">
        <f>SUM(AP26:AP36)</f>
        <v>518</v>
      </c>
      <c r="AQ37" s="279">
        <f>SUM(AQ26:AQ36)</f>
        <v>11232</v>
      </c>
      <c r="AR37" s="279">
        <f>SUM(AR26:AR36)</f>
        <v>7210.08</v>
      </c>
    </row>
    <row r="38" spans="1:44" ht="15.75" hidden="1" customHeight="1" x14ac:dyDescent="0.5"/>
    <row r="39" spans="1:44" ht="15.75" customHeight="1" x14ac:dyDescent="0.5">
      <c r="A39" s="573" t="s">
        <v>544</v>
      </c>
      <c r="B39" s="573"/>
      <c r="C39" s="573"/>
    </row>
    <row r="40" spans="1:44" ht="15.75" customHeight="1" x14ac:dyDescent="0.5">
      <c r="A40" s="573"/>
      <c r="B40" s="573"/>
      <c r="C40" s="573"/>
    </row>
    <row r="41" spans="1:44" ht="15.75" customHeight="1" x14ac:dyDescent="0.5">
      <c r="A41" s="551" t="s">
        <v>118</v>
      </c>
      <c r="B41" s="552" t="s">
        <v>135</v>
      </c>
      <c r="C41" s="553"/>
      <c r="D41" s="553"/>
      <c r="E41" s="553"/>
      <c r="F41" s="553"/>
      <c r="G41" s="553"/>
      <c r="H41" s="553"/>
      <c r="I41" s="553"/>
      <c r="J41" s="553"/>
      <c r="K41" s="553"/>
      <c r="L41" s="553"/>
      <c r="M41" s="553"/>
      <c r="N41" s="553"/>
      <c r="O41" s="553"/>
      <c r="P41" s="553"/>
      <c r="Q41" s="553"/>
      <c r="R41" s="553"/>
      <c r="S41" s="553"/>
      <c r="T41" s="553"/>
      <c r="U41" s="553"/>
      <c r="V41" s="553"/>
      <c r="W41" s="553"/>
      <c r="X41" s="553"/>
      <c r="Y41" s="553"/>
      <c r="Z41" s="553"/>
      <c r="AA41" s="553"/>
      <c r="AB41" s="553"/>
      <c r="AC41" s="553"/>
      <c r="AD41" s="553"/>
      <c r="AE41" s="553"/>
      <c r="AF41" s="553"/>
      <c r="AG41" s="553"/>
      <c r="AH41" s="553"/>
      <c r="AI41" s="553"/>
      <c r="AJ41" s="553"/>
      <c r="AK41" s="553"/>
      <c r="AL41" s="553"/>
      <c r="AM41" s="553"/>
      <c r="AN41" s="553"/>
      <c r="AO41" s="553"/>
      <c r="AP41" s="553"/>
      <c r="AQ41" s="553"/>
      <c r="AR41" s="553"/>
    </row>
    <row r="42" spans="1:44" ht="15.75" customHeight="1" x14ac:dyDescent="0.5">
      <c r="A42" s="551"/>
      <c r="B42" s="552"/>
      <c r="C42" s="569" t="s">
        <v>124</v>
      </c>
      <c r="D42" s="570"/>
      <c r="E42" s="571"/>
      <c r="F42" s="572" t="s">
        <v>133</v>
      </c>
      <c r="G42" s="572"/>
      <c r="H42" s="572"/>
      <c r="I42" s="572" t="s">
        <v>442</v>
      </c>
      <c r="J42" s="572"/>
      <c r="K42" s="572"/>
      <c r="L42" s="572" t="s">
        <v>463</v>
      </c>
      <c r="M42" s="572"/>
      <c r="N42" s="572"/>
      <c r="O42" s="572" t="s">
        <v>131</v>
      </c>
      <c r="P42" s="572"/>
      <c r="Q42" s="572"/>
      <c r="R42" s="572" t="s">
        <v>130</v>
      </c>
      <c r="S42" s="572"/>
      <c r="T42" s="572"/>
      <c r="U42" s="572" t="s">
        <v>129</v>
      </c>
      <c r="V42" s="572"/>
      <c r="W42" s="572"/>
      <c r="X42" s="569" t="s">
        <v>128</v>
      </c>
      <c r="Y42" s="570"/>
      <c r="Z42" s="571"/>
      <c r="AA42" s="572" t="s">
        <v>127</v>
      </c>
      <c r="AB42" s="572"/>
      <c r="AC42" s="572"/>
      <c r="AD42" s="572" t="s">
        <v>126</v>
      </c>
      <c r="AE42" s="572"/>
      <c r="AF42" s="572"/>
      <c r="AG42" s="572" t="s">
        <v>125</v>
      </c>
      <c r="AH42" s="572"/>
      <c r="AI42" s="572"/>
      <c r="AJ42" s="572" t="s">
        <v>393</v>
      </c>
      <c r="AK42" s="572"/>
      <c r="AL42" s="572"/>
      <c r="AM42" s="569" t="s">
        <v>507</v>
      </c>
      <c r="AN42" s="570"/>
      <c r="AO42" s="571"/>
      <c r="AP42" s="572" t="s">
        <v>122</v>
      </c>
      <c r="AQ42" s="572"/>
      <c r="AR42" s="572"/>
    </row>
    <row r="43" spans="1:44" ht="15.75" customHeight="1" x14ac:dyDescent="0.5">
      <c r="A43" s="551"/>
      <c r="B43" s="552"/>
      <c r="C43" s="208" t="s">
        <v>109</v>
      </c>
      <c r="D43" s="208" t="s">
        <v>108</v>
      </c>
      <c r="E43" s="208" t="s">
        <v>348</v>
      </c>
      <c r="F43" s="208" t="s">
        <v>109</v>
      </c>
      <c r="G43" s="208" t="s">
        <v>108</v>
      </c>
      <c r="H43" s="208" t="s">
        <v>348</v>
      </c>
      <c r="I43" s="208" t="s">
        <v>109</v>
      </c>
      <c r="J43" s="208" t="s">
        <v>108</v>
      </c>
      <c r="K43" s="208" t="s">
        <v>348</v>
      </c>
      <c r="L43" s="208"/>
      <c r="M43" s="208"/>
      <c r="N43" s="208"/>
      <c r="O43" s="208" t="s">
        <v>109</v>
      </c>
      <c r="P43" s="208" t="s">
        <v>108</v>
      </c>
      <c r="Q43" s="208" t="s">
        <v>348</v>
      </c>
      <c r="R43" s="208" t="s">
        <v>109</v>
      </c>
      <c r="S43" s="208" t="s">
        <v>108</v>
      </c>
      <c r="T43" s="208" t="s">
        <v>348</v>
      </c>
      <c r="U43" s="208" t="s">
        <v>109</v>
      </c>
      <c r="V43" s="208" t="s">
        <v>108</v>
      </c>
      <c r="W43" s="208" t="s">
        <v>348</v>
      </c>
      <c r="X43" s="208" t="s">
        <v>109</v>
      </c>
      <c r="Y43" s="208" t="s">
        <v>108</v>
      </c>
      <c r="Z43" s="208" t="s">
        <v>348</v>
      </c>
      <c r="AA43" s="208" t="s">
        <v>109</v>
      </c>
      <c r="AB43" s="208" t="s">
        <v>108</v>
      </c>
      <c r="AC43" s="208" t="s">
        <v>348</v>
      </c>
      <c r="AD43" s="208" t="s">
        <v>109</v>
      </c>
      <c r="AE43" s="208" t="s">
        <v>108</v>
      </c>
      <c r="AF43" s="208" t="s">
        <v>348</v>
      </c>
      <c r="AG43" s="208" t="s">
        <v>109</v>
      </c>
      <c r="AH43" s="208" t="s">
        <v>108</v>
      </c>
      <c r="AI43" s="208" t="s">
        <v>348</v>
      </c>
      <c r="AJ43" s="208" t="s">
        <v>109</v>
      </c>
      <c r="AK43" s="208" t="s">
        <v>108</v>
      </c>
      <c r="AL43" s="208" t="s">
        <v>348</v>
      </c>
      <c r="AM43" s="208" t="s">
        <v>109</v>
      </c>
      <c r="AN43" s="208" t="s">
        <v>108</v>
      </c>
      <c r="AO43" s="208" t="s">
        <v>348</v>
      </c>
      <c r="AP43" s="208" t="s">
        <v>109</v>
      </c>
      <c r="AQ43" s="208" t="s">
        <v>108</v>
      </c>
      <c r="AR43" s="208" t="s">
        <v>348</v>
      </c>
    </row>
    <row r="44" spans="1:44" ht="15.75" customHeight="1" x14ac:dyDescent="0.5">
      <c r="A44" s="16">
        <v>1</v>
      </c>
      <c r="B44" s="15">
        <v>46085</v>
      </c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>
        <v>50</v>
      </c>
      <c r="S44" s="19">
        <v>1200</v>
      </c>
      <c r="T44" s="19">
        <v>768</v>
      </c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>
        <f>C44+F44+R44+U44+AJ44</f>
        <v>50</v>
      </c>
      <c r="AQ44" s="19">
        <f>D44+G44+S44+V44+AK44</f>
        <v>1200</v>
      </c>
      <c r="AR44" s="19">
        <f>E44+H44+T44+W44+AL44</f>
        <v>768</v>
      </c>
    </row>
    <row r="45" spans="1:44" ht="15.75" customHeight="1" x14ac:dyDescent="0.5">
      <c r="A45" s="16">
        <v>2</v>
      </c>
      <c r="B45" s="15">
        <v>46088</v>
      </c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21">
        <v>60</v>
      </c>
      <c r="S45" s="19">
        <v>1440</v>
      </c>
      <c r="T45" s="19">
        <v>921.6</v>
      </c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>
        <f t="shared" ref="AP45" si="28">C45+F45+R45+U45+AJ45</f>
        <v>60</v>
      </c>
      <c r="AQ45" s="19">
        <f t="shared" ref="AQ45" si="29">D45+G45+S45+V45+AK45</f>
        <v>1440</v>
      </c>
      <c r="AR45" s="19">
        <f t="shared" ref="AR45" si="30">E45+H45+T45+W45+AL45</f>
        <v>921.6</v>
      </c>
    </row>
    <row r="46" spans="1:44" ht="15.75" customHeight="1" x14ac:dyDescent="0.5">
      <c r="A46" s="16">
        <v>3</v>
      </c>
      <c r="B46" s="15">
        <v>46090</v>
      </c>
      <c r="C46" s="19">
        <v>10</v>
      </c>
      <c r="D46" s="19">
        <v>140</v>
      </c>
      <c r="E46" s="19">
        <v>89.600000000000009</v>
      </c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>
        <v>10</v>
      </c>
      <c r="V46" s="19">
        <v>140</v>
      </c>
      <c r="W46" s="19">
        <v>89.600000000000009</v>
      </c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>
        <f>C46+F46+R46+U46+AJ46+I46</f>
        <v>20</v>
      </c>
      <c r="AQ46" s="19">
        <f>D46+G46+S46+V46+AK46+J46</f>
        <v>280</v>
      </c>
      <c r="AR46" s="19">
        <f>E46+H46+T46+W46+AL46+K46</f>
        <v>179.20000000000002</v>
      </c>
    </row>
    <row r="47" spans="1:44" ht="15.75" customHeight="1" x14ac:dyDescent="0.5">
      <c r="A47" s="16">
        <v>4</v>
      </c>
      <c r="B47" s="15">
        <v>46092</v>
      </c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>
        <v>30</v>
      </c>
      <c r="S47" s="19">
        <v>720</v>
      </c>
      <c r="T47" s="19">
        <v>460.8</v>
      </c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>
        <v>10</v>
      </c>
      <c r="AK47" s="19">
        <v>140</v>
      </c>
      <c r="AL47" s="19">
        <v>89.600000000000009</v>
      </c>
      <c r="AM47" s="19"/>
      <c r="AN47" s="19"/>
      <c r="AO47" s="19"/>
      <c r="AP47" s="19">
        <f t="shared" ref="AP47" si="31">C47+F47+R47+U47+AJ47</f>
        <v>40</v>
      </c>
      <c r="AQ47" s="19">
        <f t="shared" ref="AQ47" si="32">D47+G47+S47+V47+AK47</f>
        <v>860</v>
      </c>
      <c r="AR47" s="19">
        <f t="shared" ref="AR47" si="33">E47+H47+T47+W47+AL47</f>
        <v>550.4</v>
      </c>
    </row>
    <row r="48" spans="1:44" ht="15.75" customHeight="1" x14ac:dyDescent="0.5">
      <c r="A48" s="16">
        <v>5</v>
      </c>
      <c r="B48" s="15">
        <v>46097</v>
      </c>
      <c r="C48" s="19">
        <v>20</v>
      </c>
      <c r="D48" s="19">
        <v>280</v>
      </c>
      <c r="E48" s="19">
        <v>179.20000000000002</v>
      </c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>
        <v>50</v>
      </c>
      <c r="S48" s="19">
        <v>1200</v>
      </c>
      <c r="T48" s="19">
        <v>768</v>
      </c>
      <c r="U48" s="19">
        <v>20</v>
      </c>
      <c r="V48" s="19">
        <v>280</v>
      </c>
      <c r="W48" s="19">
        <v>179.20000000000002</v>
      </c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>
        <f>C48+F48+R48+U48+AJ48+O48+AM48</f>
        <v>90</v>
      </c>
      <c r="AQ48" s="19">
        <f t="shared" ref="AQ48" si="34">D48+G48+S48+V48+AK48+P48+AN48</f>
        <v>1760</v>
      </c>
      <c r="AR48" s="19">
        <f t="shared" ref="AR48" si="35">E48+H48+T48+W48+AL48+Q48+AO48</f>
        <v>1126.4000000000001</v>
      </c>
    </row>
    <row r="49" spans="1:44" ht="15.75" customHeight="1" x14ac:dyDescent="0.5">
      <c r="A49" s="16">
        <v>6</v>
      </c>
      <c r="B49" s="15">
        <v>46101</v>
      </c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>
        <v>40</v>
      </c>
      <c r="S49" s="19">
        <v>960</v>
      </c>
      <c r="T49" s="19">
        <v>614.4</v>
      </c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>
        <f t="shared" ref="AP49:AP52" si="36">C49+F49+R49+U49+AJ49</f>
        <v>40</v>
      </c>
      <c r="AQ49" s="19">
        <f t="shared" ref="AQ49:AQ52" si="37">D49+G49+S49+V49+AK49</f>
        <v>960</v>
      </c>
      <c r="AR49" s="19">
        <f t="shared" ref="AR49:AR52" si="38">E49+H49+T49+W49+AL49</f>
        <v>614.4</v>
      </c>
    </row>
    <row r="50" spans="1:44" ht="15.75" hidden="1" customHeight="1" x14ac:dyDescent="0.5">
      <c r="A50" s="16">
        <v>7</v>
      </c>
      <c r="B50" s="15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>
        <f t="shared" si="36"/>
        <v>0</v>
      </c>
      <c r="AQ50" s="19">
        <f t="shared" si="37"/>
        <v>0</v>
      </c>
      <c r="AR50" s="19">
        <f t="shared" si="38"/>
        <v>0</v>
      </c>
    </row>
    <row r="51" spans="1:44" ht="15.75" hidden="1" customHeight="1" x14ac:dyDescent="0.5">
      <c r="A51" s="16">
        <v>8</v>
      </c>
      <c r="B51" s="15"/>
      <c r="C51" s="20"/>
      <c r="D51" s="20"/>
      <c r="E51" s="19"/>
      <c r="F51" s="20"/>
      <c r="G51" s="20"/>
      <c r="H51" s="19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19"/>
      <c r="U51" s="20"/>
      <c r="V51" s="20"/>
      <c r="W51" s="19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19"/>
      <c r="AJ51" s="19"/>
      <c r="AK51" s="19"/>
      <c r="AL51" s="19"/>
      <c r="AM51" s="19"/>
      <c r="AN51" s="19"/>
      <c r="AO51" s="19"/>
      <c r="AP51" s="19">
        <f t="shared" si="36"/>
        <v>0</v>
      </c>
      <c r="AQ51" s="19">
        <f t="shared" si="37"/>
        <v>0</v>
      </c>
      <c r="AR51" s="19">
        <f t="shared" si="38"/>
        <v>0</v>
      </c>
    </row>
    <row r="52" spans="1:44" ht="15.75" hidden="1" customHeight="1" x14ac:dyDescent="0.5">
      <c r="A52" s="16">
        <v>9</v>
      </c>
      <c r="B52" s="15"/>
      <c r="C52" s="20"/>
      <c r="D52" s="20"/>
      <c r="E52" s="19"/>
      <c r="F52" s="20"/>
      <c r="G52" s="20"/>
      <c r="H52" s="19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19"/>
      <c r="U52" s="20"/>
      <c r="V52" s="20"/>
      <c r="W52" s="19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19"/>
      <c r="AJ52" s="19"/>
      <c r="AK52" s="19"/>
      <c r="AL52" s="19"/>
      <c r="AM52" s="19"/>
      <c r="AN52" s="19"/>
      <c r="AO52" s="19"/>
      <c r="AP52" s="19">
        <f t="shared" si="36"/>
        <v>0</v>
      </c>
      <c r="AQ52" s="19">
        <f t="shared" si="37"/>
        <v>0</v>
      </c>
      <c r="AR52" s="19">
        <f t="shared" si="38"/>
        <v>0</v>
      </c>
    </row>
    <row r="53" spans="1:44" ht="15.75" hidden="1" customHeight="1" x14ac:dyDescent="0.5">
      <c r="A53" s="16">
        <v>10</v>
      </c>
      <c r="B53" s="15"/>
      <c r="C53" s="20"/>
      <c r="D53" s="20"/>
      <c r="E53" s="19"/>
      <c r="F53" s="20"/>
      <c r="G53" s="20"/>
      <c r="H53" s="19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19"/>
      <c r="U53" s="20"/>
      <c r="V53" s="20"/>
      <c r="W53" s="19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19"/>
      <c r="AJ53" s="19"/>
      <c r="AK53" s="19"/>
      <c r="AL53" s="19"/>
      <c r="AM53" s="19"/>
      <c r="AN53" s="19"/>
      <c r="AO53" s="19"/>
      <c r="AP53" s="19">
        <f>C53+F53+R53+U53+AJ53+L53</f>
        <v>0</v>
      </c>
      <c r="AQ53" s="19">
        <f t="shared" ref="AQ53" si="39">D53+G53+S53+V53+AK53+M53</f>
        <v>0</v>
      </c>
      <c r="AR53" s="19">
        <f t="shared" ref="AR53" si="40">E53+H53+T53+W53+AL53+N53</f>
        <v>0</v>
      </c>
    </row>
    <row r="54" spans="1:44" ht="15.75" hidden="1" customHeight="1" x14ac:dyDescent="0.5">
      <c r="A54" s="16">
        <v>11</v>
      </c>
      <c r="B54" s="15"/>
      <c r="C54" s="20"/>
      <c r="D54" s="20"/>
      <c r="E54" s="19"/>
      <c r="F54" s="20"/>
      <c r="G54" s="20"/>
      <c r="H54" s="19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19"/>
      <c r="U54" s="20"/>
      <c r="V54" s="20"/>
      <c r="W54" s="19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19"/>
      <c r="AJ54" s="19"/>
      <c r="AK54" s="19"/>
      <c r="AL54" s="19"/>
      <c r="AM54" s="19"/>
      <c r="AN54" s="19"/>
      <c r="AO54" s="19"/>
      <c r="AP54" s="19">
        <f>C54+F54+R54+U54+AJ54+O54</f>
        <v>0</v>
      </c>
      <c r="AQ54" s="19">
        <f t="shared" ref="AQ54" si="41">D54+G54+S54+V54+AK54+P54</f>
        <v>0</v>
      </c>
      <c r="AR54" s="19">
        <f t="shared" ref="AR54" si="42">E54+H54+T54+W54+AL54+Q54</f>
        <v>0</v>
      </c>
    </row>
    <row r="55" spans="1:44" ht="15.75" customHeight="1" x14ac:dyDescent="0.5">
      <c r="AP55" s="279">
        <f>SUM(AP44:AP54)</f>
        <v>300</v>
      </c>
      <c r="AQ55" s="279">
        <f>SUM(AQ44:AQ54)</f>
        <v>6500</v>
      </c>
      <c r="AR55" s="279">
        <f>SUM(AR44:AR54)</f>
        <v>4160</v>
      </c>
    </row>
  </sheetData>
  <mergeCells count="54">
    <mergeCell ref="AJ24:AL24"/>
    <mergeCell ref="AM24:AO24"/>
    <mergeCell ref="AP24:AR24"/>
    <mergeCell ref="AG5:AI5"/>
    <mergeCell ref="AJ5:AL5"/>
    <mergeCell ref="AM5:AO5"/>
    <mergeCell ref="AD5:AF5"/>
    <mergeCell ref="A21:C22"/>
    <mergeCell ref="A23:A25"/>
    <mergeCell ref="B23:B25"/>
    <mergeCell ref="C23:AR23"/>
    <mergeCell ref="C24:E24"/>
    <mergeCell ref="F24:H24"/>
    <mergeCell ref="I24:K24"/>
    <mergeCell ref="L24:N24"/>
    <mergeCell ref="O24:Q24"/>
    <mergeCell ref="R24:T24"/>
    <mergeCell ref="U24:W24"/>
    <mergeCell ref="X24:Z24"/>
    <mergeCell ref="AA24:AC24"/>
    <mergeCell ref="AD24:AF24"/>
    <mergeCell ref="AG24:AI24"/>
    <mergeCell ref="AG42:AI42"/>
    <mergeCell ref="AJ42:AL42"/>
    <mergeCell ref="L5:N5"/>
    <mergeCell ref="AP5:AR5"/>
    <mergeCell ref="A2:C3"/>
    <mergeCell ref="A4:A6"/>
    <mergeCell ref="B4:B6"/>
    <mergeCell ref="C4:AR4"/>
    <mergeCell ref="C5:E5"/>
    <mergeCell ref="F5:H5"/>
    <mergeCell ref="I5:K5"/>
    <mergeCell ref="O5:Q5"/>
    <mergeCell ref="R5:T5"/>
    <mergeCell ref="U5:W5"/>
    <mergeCell ref="X5:Z5"/>
    <mergeCell ref="AA5:AC5"/>
    <mergeCell ref="AM42:AO42"/>
    <mergeCell ref="AP42:AR42"/>
    <mergeCell ref="A39:C40"/>
    <mergeCell ref="A41:A43"/>
    <mergeCell ref="B41:B43"/>
    <mergeCell ref="C41:AR41"/>
    <mergeCell ref="C42:E42"/>
    <mergeCell ref="F42:H42"/>
    <mergeCell ref="I42:K42"/>
    <mergeCell ref="L42:N42"/>
    <mergeCell ref="O42:Q42"/>
    <mergeCell ref="R42:T42"/>
    <mergeCell ref="U42:W42"/>
    <mergeCell ref="X42:Z42"/>
    <mergeCell ref="AA42:AC42"/>
    <mergeCell ref="AD42:AF4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622E8-B103-4865-9512-4C7EEA30DFD3}">
  <dimension ref="A1:AR29"/>
  <sheetViews>
    <sheetView topLeftCell="A21" workbookViewId="0"/>
  </sheetViews>
  <sheetFormatPr defaultColWidth="9.140625" defaultRowHeight="18" x14ac:dyDescent="0.5"/>
  <cols>
    <col min="1" max="2" width="9.140625" style="22"/>
    <col min="3" max="5" width="0" style="22" hidden="1" customWidth="1"/>
    <col min="6" max="8" width="9.140625" style="22"/>
    <col min="9" max="26" width="9.140625" style="22" hidden="1" customWidth="1"/>
    <col min="27" max="29" width="9.140625" style="22" customWidth="1"/>
    <col min="30" max="41" width="9.140625" style="22" hidden="1" customWidth="1"/>
    <col min="42" max="16384" width="9.140625" style="22"/>
  </cols>
  <sheetData>
    <row r="1" spans="1:44" hidden="1" x14ac:dyDescent="0.5"/>
    <row r="2" spans="1:44" hidden="1" x14ac:dyDescent="0.5">
      <c r="A2" s="573" t="s">
        <v>439</v>
      </c>
      <c r="B2" s="573"/>
      <c r="C2" s="573"/>
    </row>
    <row r="3" spans="1:44" hidden="1" x14ac:dyDescent="0.5">
      <c r="A3" s="573"/>
      <c r="B3" s="573"/>
      <c r="C3" s="573"/>
    </row>
    <row r="4" spans="1:44" hidden="1" x14ac:dyDescent="0.5">
      <c r="A4" s="551" t="s">
        <v>118</v>
      </c>
      <c r="B4" s="552" t="s">
        <v>135</v>
      </c>
      <c r="C4" s="553"/>
      <c r="D4" s="553"/>
      <c r="E4" s="553"/>
      <c r="F4" s="553"/>
      <c r="G4" s="553"/>
      <c r="H4" s="553"/>
      <c r="I4" s="553"/>
      <c r="J4" s="553"/>
      <c r="K4" s="553"/>
      <c r="L4" s="553"/>
      <c r="M4" s="553"/>
      <c r="N4" s="553"/>
      <c r="O4" s="553"/>
      <c r="P4" s="553"/>
      <c r="Q4" s="553"/>
      <c r="R4" s="553"/>
      <c r="S4" s="553"/>
      <c r="T4" s="553"/>
      <c r="U4" s="553"/>
      <c r="V4" s="553"/>
      <c r="W4" s="553"/>
      <c r="X4" s="553"/>
      <c r="Y4" s="553"/>
      <c r="Z4" s="553"/>
      <c r="AA4" s="553"/>
      <c r="AB4" s="553"/>
      <c r="AC4" s="553"/>
      <c r="AD4" s="553"/>
      <c r="AE4" s="553"/>
      <c r="AF4" s="553"/>
      <c r="AG4" s="553"/>
      <c r="AH4" s="553"/>
      <c r="AI4" s="553"/>
      <c r="AJ4" s="553"/>
      <c r="AK4" s="553"/>
      <c r="AL4" s="553"/>
      <c r="AM4" s="553"/>
      <c r="AN4" s="553"/>
      <c r="AO4" s="553"/>
      <c r="AP4" s="553"/>
      <c r="AQ4" s="553"/>
      <c r="AR4" s="553"/>
    </row>
    <row r="5" spans="1:44" ht="21" hidden="1" x14ac:dyDescent="0.5">
      <c r="A5" s="551"/>
      <c r="B5" s="552"/>
      <c r="C5" s="574" t="s">
        <v>134</v>
      </c>
      <c r="D5" s="575"/>
      <c r="E5" s="576"/>
      <c r="F5" s="562" t="s">
        <v>133</v>
      </c>
      <c r="G5" s="562"/>
      <c r="H5" s="562"/>
      <c r="I5" s="562" t="s">
        <v>132</v>
      </c>
      <c r="J5" s="562"/>
      <c r="K5" s="562"/>
      <c r="L5" s="206"/>
      <c r="M5" s="206"/>
      <c r="N5" s="206"/>
      <c r="O5" s="562" t="s">
        <v>131</v>
      </c>
      <c r="P5" s="562"/>
      <c r="Q5" s="562"/>
      <c r="R5" s="562" t="s">
        <v>130</v>
      </c>
      <c r="S5" s="562"/>
      <c r="T5" s="562"/>
      <c r="U5" s="562" t="s">
        <v>129</v>
      </c>
      <c r="V5" s="562"/>
      <c r="W5" s="562"/>
      <c r="X5" s="568" t="s">
        <v>128</v>
      </c>
      <c r="Y5" s="566"/>
      <c r="Z5" s="567"/>
      <c r="AA5" s="562" t="s">
        <v>127</v>
      </c>
      <c r="AB5" s="562"/>
      <c r="AC5" s="562"/>
      <c r="AD5" s="562" t="s">
        <v>126</v>
      </c>
      <c r="AE5" s="562"/>
      <c r="AF5" s="562"/>
      <c r="AG5" s="562" t="s">
        <v>125</v>
      </c>
      <c r="AH5" s="562"/>
      <c r="AI5" s="562"/>
      <c r="AJ5" s="562" t="s">
        <v>124</v>
      </c>
      <c r="AK5" s="562"/>
      <c r="AL5" s="562"/>
      <c r="AM5" s="562" t="s">
        <v>123</v>
      </c>
      <c r="AN5" s="562"/>
      <c r="AO5" s="206"/>
      <c r="AP5" s="562" t="s">
        <v>122</v>
      </c>
      <c r="AQ5" s="562"/>
      <c r="AR5" s="562"/>
    </row>
    <row r="6" spans="1:44" ht="21" hidden="1" x14ac:dyDescent="0.5">
      <c r="A6" s="551"/>
      <c r="B6" s="552"/>
      <c r="C6" s="208" t="s">
        <v>109</v>
      </c>
      <c r="D6" s="208" t="s">
        <v>108</v>
      </c>
      <c r="E6" s="208" t="s">
        <v>348</v>
      </c>
      <c r="F6" s="208" t="s">
        <v>109</v>
      </c>
      <c r="G6" s="208" t="s">
        <v>108</v>
      </c>
      <c r="H6" s="208" t="s">
        <v>348</v>
      </c>
      <c r="I6" s="208" t="s">
        <v>109</v>
      </c>
      <c r="J6" s="208" t="s">
        <v>108</v>
      </c>
      <c r="K6" s="208" t="s">
        <v>348</v>
      </c>
      <c r="L6" s="208"/>
      <c r="M6" s="208"/>
      <c r="N6" s="208"/>
      <c r="O6" s="208" t="s">
        <v>109</v>
      </c>
      <c r="P6" s="208" t="s">
        <v>108</v>
      </c>
      <c r="Q6" s="208" t="s">
        <v>348</v>
      </c>
      <c r="R6" s="208" t="s">
        <v>109</v>
      </c>
      <c r="S6" s="208" t="s">
        <v>108</v>
      </c>
      <c r="T6" s="208" t="s">
        <v>348</v>
      </c>
      <c r="U6" s="208" t="s">
        <v>109</v>
      </c>
      <c r="V6" s="208" t="s">
        <v>108</v>
      </c>
      <c r="W6" s="208" t="s">
        <v>348</v>
      </c>
      <c r="X6" s="208" t="s">
        <v>109</v>
      </c>
      <c r="Y6" s="208" t="s">
        <v>108</v>
      </c>
      <c r="Z6" s="208" t="s">
        <v>348</v>
      </c>
      <c r="AA6" s="208" t="s">
        <v>109</v>
      </c>
      <c r="AB6" s="208" t="s">
        <v>108</v>
      </c>
      <c r="AC6" s="208" t="s">
        <v>348</v>
      </c>
      <c r="AD6" s="208" t="s">
        <v>109</v>
      </c>
      <c r="AE6" s="208" t="s">
        <v>108</v>
      </c>
      <c r="AF6" s="208" t="s">
        <v>348</v>
      </c>
      <c r="AG6" s="208" t="s">
        <v>109</v>
      </c>
      <c r="AH6" s="208" t="s">
        <v>108</v>
      </c>
      <c r="AI6" s="208" t="s">
        <v>348</v>
      </c>
      <c r="AJ6" s="208" t="s">
        <v>109</v>
      </c>
      <c r="AK6" s="208" t="s">
        <v>108</v>
      </c>
      <c r="AL6" s="208" t="s">
        <v>348</v>
      </c>
      <c r="AM6" s="208" t="s">
        <v>109</v>
      </c>
      <c r="AN6" s="208" t="s">
        <v>108</v>
      </c>
      <c r="AO6" s="208" t="s">
        <v>348</v>
      </c>
      <c r="AP6" s="208" t="s">
        <v>109</v>
      </c>
      <c r="AQ6" s="208" t="s">
        <v>108</v>
      </c>
      <c r="AR6" s="208" t="s">
        <v>348</v>
      </c>
    </row>
    <row r="7" spans="1:44" hidden="1" x14ac:dyDescent="0.5">
      <c r="A7" s="16">
        <v>1</v>
      </c>
      <c r="B7" s="15">
        <v>46034</v>
      </c>
      <c r="C7" s="19"/>
      <c r="D7" s="19"/>
      <c r="E7" s="19"/>
      <c r="F7" s="19">
        <v>200</v>
      </c>
      <c r="G7" s="19">
        <v>2800</v>
      </c>
      <c r="H7" s="19">
        <v>1792</v>
      </c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>
        <f>F7+AA7</f>
        <v>200</v>
      </c>
      <c r="AQ7" s="19">
        <f>G7+AB7</f>
        <v>2800</v>
      </c>
      <c r="AR7" s="19">
        <f>H7+AC7</f>
        <v>1792</v>
      </c>
    </row>
    <row r="8" spans="1:44" hidden="1" x14ac:dyDescent="0.5">
      <c r="A8" s="16">
        <v>2</v>
      </c>
      <c r="B8" s="15">
        <v>46045</v>
      </c>
      <c r="C8" s="19"/>
      <c r="D8" s="19"/>
      <c r="E8" s="19"/>
      <c r="F8" s="19">
        <v>150</v>
      </c>
      <c r="G8" s="19">
        <v>2100</v>
      </c>
      <c r="H8" s="19">
        <v>1344</v>
      </c>
      <c r="I8" s="19"/>
      <c r="J8" s="19"/>
      <c r="K8" s="19"/>
      <c r="L8" s="19"/>
      <c r="M8" s="19"/>
      <c r="N8" s="19"/>
      <c r="O8" s="19"/>
      <c r="P8" s="19"/>
      <c r="Q8" s="19"/>
      <c r="R8" s="21"/>
      <c r="S8" s="178"/>
      <c r="T8" s="19"/>
      <c r="U8" s="19"/>
      <c r="V8" s="19"/>
      <c r="W8" s="19"/>
      <c r="X8" s="19"/>
      <c r="Y8" s="19"/>
      <c r="Z8" s="19"/>
      <c r="AA8" s="19">
        <v>100</v>
      </c>
      <c r="AB8" s="19">
        <v>1200</v>
      </c>
      <c r="AC8" s="19">
        <v>1200</v>
      </c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>
        <f t="shared" ref="AP8" si="0">F8+AA8</f>
        <v>250</v>
      </c>
      <c r="AQ8" s="19">
        <f t="shared" ref="AQ8" si="1">G8+AB8</f>
        <v>3300</v>
      </c>
      <c r="AR8" s="19">
        <f t="shared" ref="AR8" si="2">H8+AC8</f>
        <v>2544</v>
      </c>
    </row>
    <row r="9" spans="1:44" hidden="1" x14ac:dyDescent="0.5">
      <c r="AP9" s="182">
        <f>SUM(AP7:AP8)</f>
        <v>450</v>
      </c>
      <c r="AQ9" s="182">
        <f>SUM(AQ7:AQ8)</f>
        <v>6100</v>
      </c>
      <c r="AR9" s="182">
        <f>SUM(AR7:AR8)</f>
        <v>4336</v>
      </c>
    </row>
    <row r="10" spans="1:44" hidden="1" x14ac:dyDescent="0.5"/>
    <row r="11" spans="1:44" hidden="1" x14ac:dyDescent="0.5">
      <c r="A11" s="573" t="s">
        <v>500</v>
      </c>
      <c r="B11" s="573"/>
      <c r="C11" s="573"/>
    </row>
    <row r="12" spans="1:44" hidden="1" x14ac:dyDescent="0.5">
      <c r="A12" s="573"/>
      <c r="B12" s="573"/>
      <c r="C12" s="573"/>
    </row>
    <row r="13" spans="1:44" hidden="1" x14ac:dyDescent="0.5">
      <c r="A13" s="551" t="s">
        <v>118</v>
      </c>
      <c r="B13" s="552" t="s">
        <v>135</v>
      </c>
      <c r="C13" s="553"/>
      <c r="D13" s="553"/>
      <c r="E13" s="553"/>
      <c r="F13" s="553"/>
      <c r="G13" s="553"/>
      <c r="H13" s="553"/>
      <c r="I13" s="553"/>
      <c r="J13" s="553"/>
      <c r="K13" s="553"/>
      <c r="L13" s="553"/>
      <c r="M13" s="553"/>
      <c r="N13" s="553"/>
      <c r="O13" s="553"/>
      <c r="P13" s="553"/>
      <c r="Q13" s="553"/>
      <c r="R13" s="553"/>
      <c r="S13" s="553"/>
      <c r="T13" s="553"/>
      <c r="U13" s="553"/>
      <c r="V13" s="553"/>
      <c r="W13" s="553"/>
      <c r="X13" s="553"/>
      <c r="Y13" s="553"/>
      <c r="Z13" s="553"/>
      <c r="AA13" s="553"/>
      <c r="AB13" s="553"/>
      <c r="AC13" s="553"/>
      <c r="AD13" s="553"/>
      <c r="AE13" s="553"/>
      <c r="AF13" s="553"/>
      <c r="AG13" s="553"/>
      <c r="AH13" s="553"/>
      <c r="AI13" s="553"/>
      <c r="AJ13" s="553"/>
      <c r="AK13" s="553"/>
      <c r="AL13" s="553"/>
      <c r="AM13" s="553"/>
      <c r="AN13" s="553"/>
      <c r="AO13" s="553"/>
      <c r="AP13" s="553"/>
      <c r="AQ13" s="553"/>
      <c r="AR13" s="553"/>
    </row>
    <row r="14" spans="1:44" ht="21" hidden="1" x14ac:dyDescent="0.5">
      <c r="A14" s="551"/>
      <c r="B14" s="552"/>
      <c r="C14" s="574" t="s">
        <v>134</v>
      </c>
      <c r="D14" s="575"/>
      <c r="E14" s="576"/>
      <c r="F14" s="562" t="s">
        <v>133</v>
      </c>
      <c r="G14" s="562"/>
      <c r="H14" s="562"/>
      <c r="I14" s="562" t="s">
        <v>508</v>
      </c>
      <c r="J14" s="562"/>
      <c r="K14" s="562"/>
      <c r="L14" s="562" t="s">
        <v>442</v>
      </c>
      <c r="M14" s="562"/>
      <c r="N14" s="562"/>
      <c r="O14" s="562" t="s">
        <v>131</v>
      </c>
      <c r="P14" s="562"/>
      <c r="Q14" s="562"/>
      <c r="R14" s="562" t="s">
        <v>130</v>
      </c>
      <c r="S14" s="562"/>
      <c r="T14" s="562"/>
      <c r="U14" s="562" t="s">
        <v>129</v>
      </c>
      <c r="V14" s="562"/>
      <c r="W14" s="562"/>
      <c r="X14" s="568" t="s">
        <v>128</v>
      </c>
      <c r="Y14" s="566"/>
      <c r="Z14" s="567"/>
      <c r="AA14" s="562" t="s">
        <v>127</v>
      </c>
      <c r="AB14" s="562"/>
      <c r="AC14" s="562"/>
      <c r="AD14" s="562" t="s">
        <v>126</v>
      </c>
      <c r="AE14" s="562"/>
      <c r="AF14" s="562"/>
      <c r="AG14" s="562" t="s">
        <v>125</v>
      </c>
      <c r="AH14" s="562"/>
      <c r="AI14" s="562"/>
      <c r="AJ14" s="562" t="s">
        <v>124</v>
      </c>
      <c r="AK14" s="562"/>
      <c r="AL14" s="562"/>
      <c r="AM14" s="562" t="s">
        <v>123</v>
      </c>
      <c r="AN14" s="562"/>
      <c r="AO14" s="206"/>
      <c r="AP14" s="562" t="s">
        <v>122</v>
      </c>
      <c r="AQ14" s="562"/>
      <c r="AR14" s="562"/>
    </row>
    <row r="15" spans="1:44" ht="21" hidden="1" x14ac:dyDescent="0.5">
      <c r="A15" s="551"/>
      <c r="B15" s="552"/>
      <c r="C15" s="208" t="s">
        <v>109</v>
      </c>
      <c r="D15" s="208" t="s">
        <v>108</v>
      </c>
      <c r="E15" s="208" t="s">
        <v>348</v>
      </c>
      <c r="F15" s="208" t="s">
        <v>109</v>
      </c>
      <c r="G15" s="208" t="s">
        <v>108</v>
      </c>
      <c r="H15" s="208" t="s">
        <v>348</v>
      </c>
      <c r="I15" s="208" t="s">
        <v>109</v>
      </c>
      <c r="J15" s="208" t="s">
        <v>108</v>
      </c>
      <c r="K15" s="208" t="s">
        <v>348</v>
      </c>
      <c r="L15" s="208" t="s">
        <v>109</v>
      </c>
      <c r="M15" s="208" t="s">
        <v>108</v>
      </c>
      <c r="N15" s="208" t="s">
        <v>348</v>
      </c>
      <c r="O15" s="208" t="s">
        <v>109</v>
      </c>
      <c r="P15" s="208" t="s">
        <v>108</v>
      </c>
      <c r="Q15" s="208" t="s">
        <v>348</v>
      </c>
      <c r="R15" s="208" t="s">
        <v>109</v>
      </c>
      <c r="S15" s="208" t="s">
        <v>108</v>
      </c>
      <c r="T15" s="208" t="s">
        <v>348</v>
      </c>
      <c r="U15" s="208" t="s">
        <v>109</v>
      </c>
      <c r="V15" s="208" t="s">
        <v>108</v>
      </c>
      <c r="W15" s="208" t="s">
        <v>348</v>
      </c>
      <c r="X15" s="208" t="s">
        <v>109</v>
      </c>
      <c r="Y15" s="208" t="s">
        <v>108</v>
      </c>
      <c r="Z15" s="208" t="s">
        <v>348</v>
      </c>
      <c r="AA15" s="208" t="s">
        <v>109</v>
      </c>
      <c r="AB15" s="208" t="s">
        <v>108</v>
      </c>
      <c r="AC15" s="208" t="s">
        <v>348</v>
      </c>
      <c r="AD15" s="208" t="s">
        <v>109</v>
      </c>
      <c r="AE15" s="208" t="s">
        <v>108</v>
      </c>
      <c r="AF15" s="208" t="s">
        <v>348</v>
      </c>
      <c r="AG15" s="208" t="s">
        <v>109</v>
      </c>
      <c r="AH15" s="208" t="s">
        <v>108</v>
      </c>
      <c r="AI15" s="208" t="s">
        <v>348</v>
      </c>
      <c r="AJ15" s="208" t="s">
        <v>109</v>
      </c>
      <c r="AK15" s="208" t="s">
        <v>108</v>
      </c>
      <c r="AL15" s="208" t="s">
        <v>348</v>
      </c>
      <c r="AM15" s="208" t="s">
        <v>109</v>
      </c>
      <c r="AN15" s="208" t="s">
        <v>108</v>
      </c>
      <c r="AO15" s="208" t="s">
        <v>348</v>
      </c>
      <c r="AP15" s="208" t="s">
        <v>109</v>
      </c>
      <c r="AQ15" s="208" t="s">
        <v>108</v>
      </c>
      <c r="AR15" s="208" t="s">
        <v>348</v>
      </c>
    </row>
    <row r="16" spans="1:44" hidden="1" x14ac:dyDescent="0.5">
      <c r="A16" s="16">
        <v>1</v>
      </c>
      <c r="B16" s="15">
        <v>46055</v>
      </c>
      <c r="C16" s="19"/>
      <c r="D16" s="19"/>
      <c r="E16" s="19"/>
      <c r="F16" s="19">
        <v>300</v>
      </c>
      <c r="G16" s="19">
        <v>4200</v>
      </c>
      <c r="H16" s="19">
        <v>2688</v>
      </c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>
        <v>100</v>
      </c>
      <c r="AB16" s="19">
        <v>1200</v>
      </c>
      <c r="AC16" s="19">
        <v>1200</v>
      </c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>
        <f>F16+AA16</f>
        <v>400</v>
      </c>
      <c r="AQ16" s="19">
        <f>G16+AB16</f>
        <v>5400</v>
      </c>
      <c r="AR16" s="19">
        <f>H16+AC16</f>
        <v>3888</v>
      </c>
    </row>
    <row r="17" spans="1:44" hidden="1" x14ac:dyDescent="0.5">
      <c r="A17" s="16">
        <v>3</v>
      </c>
      <c r="B17" s="15">
        <v>46077</v>
      </c>
      <c r="C17" s="19"/>
      <c r="D17" s="19"/>
      <c r="E17" s="19"/>
      <c r="F17" s="19">
        <v>150</v>
      </c>
      <c r="G17" s="19">
        <v>2100</v>
      </c>
      <c r="H17" s="19">
        <v>1344</v>
      </c>
      <c r="I17" s="19">
        <v>15</v>
      </c>
      <c r="J17" s="19">
        <v>180</v>
      </c>
      <c r="K17" s="19">
        <v>180</v>
      </c>
      <c r="L17" s="19">
        <v>15</v>
      </c>
      <c r="M17" s="19">
        <v>180</v>
      </c>
      <c r="N17" s="19">
        <v>180</v>
      </c>
      <c r="O17" s="19"/>
      <c r="P17" s="19"/>
      <c r="Q17" s="19"/>
      <c r="R17" s="402"/>
      <c r="S17" s="402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391">
        <f>F17+AA17+U17+I17+L17</f>
        <v>180</v>
      </c>
      <c r="AQ17" s="391">
        <f t="shared" ref="AQ17:AR17" si="3">G17+AB17+V17+J17+M17</f>
        <v>2460</v>
      </c>
      <c r="AR17" s="391">
        <f t="shared" si="3"/>
        <v>1704</v>
      </c>
    </row>
    <row r="18" spans="1:44" hidden="1" x14ac:dyDescent="0.5">
      <c r="A18" s="388">
        <v>4</v>
      </c>
      <c r="B18" s="15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402"/>
      <c r="S18" s="402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391">
        <f>F18+AA18+U18</f>
        <v>0</v>
      </c>
      <c r="AQ18" s="391">
        <f>G18+AB18+V18</f>
        <v>0</v>
      </c>
      <c r="AR18" s="391">
        <f>H18+AC18+W18</f>
        <v>0</v>
      </c>
    </row>
    <row r="19" spans="1:44" hidden="1" x14ac:dyDescent="0.5">
      <c r="AP19" s="182">
        <f>SUM(AP16:AP17)</f>
        <v>580</v>
      </c>
      <c r="AQ19" s="182">
        <f t="shared" ref="AQ19:AR19" si="4">SUM(AQ16:AQ17)</f>
        <v>7860</v>
      </c>
      <c r="AR19" s="182">
        <f t="shared" si="4"/>
        <v>5592</v>
      </c>
    </row>
    <row r="20" spans="1:44" hidden="1" x14ac:dyDescent="0.5"/>
    <row r="21" spans="1:44" x14ac:dyDescent="0.5">
      <c r="A21" s="573" t="s">
        <v>545</v>
      </c>
      <c r="B21" s="573"/>
      <c r="C21" s="573"/>
    </row>
    <row r="22" spans="1:44" x14ac:dyDescent="0.5">
      <c r="A22" s="573"/>
      <c r="B22" s="573"/>
      <c r="C22" s="573"/>
    </row>
    <row r="23" spans="1:44" x14ac:dyDescent="0.5">
      <c r="A23" s="551" t="s">
        <v>118</v>
      </c>
      <c r="B23" s="552" t="s">
        <v>135</v>
      </c>
      <c r="C23" s="553"/>
      <c r="D23" s="553"/>
      <c r="E23" s="553"/>
      <c r="F23" s="553"/>
      <c r="G23" s="553"/>
      <c r="H23" s="553"/>
      <c r="I23" s="553"/>
      <c r="J23" s="553"/>
      <c r="K23" s="553"/>
      <c r="L23" s="553"/>
      <c r="M23" s="553"/>
      <c r="N23" s="553"/>
      <c r="O23" s="553"/>
      <c r="P23" s="553"/>
      <c r="Q23" s="553"/>
      <c r="R23" s="553"/>
      <c r="S23" s="553"/>
      <c r="T23" s="553"/>
      <c r="U23" s="553"/>
      <c r="V23" s="553"/>
      <c r="W23" s="553"/>
      <c r="X23" s="553"/>
      <c r="Y23" s="553"/>
      <c r="Z23" s="553"/>
      <c r="AA23" s="553"/>
      <c r="AB23" s="553"/>
      <c r="AC23" s="553"/>
      <c r="AD23" s="553"/>
      <c r="AE23" s="553"/>
      <c r="AF23" s="553"/>
      <c r="AG23" s="553"/>
      <c r="AH23" s="553"/>
      <c r="AI23" s="553"/>
      <c r="AJ23" s="553"/>
      <c r="AK23" s="553"/>
      <c r="AL23" s="553"/>
      <c r="AM23" s="553"/>
      <c r="AN23" s="553"/>
      <c r="AO23" s="553"/>
      <c r="AP23" s="553"/>
      <c r="AQ23" s="553"/>
      <c r="AR23" s="553"/>
    </row>
    <row r="24" spans="1:44" ht="21" x14ac:dyDescent="0.5">
      <c r="A24" s="551"/>
      <c r="B24" s="552"/>
      <c r="C24" s="574" t="s">
        <v>134</v>
      </c>
      <c r="D24" s="575"/>
      <c r="E24" s="576"/>
      <c r="F24" s="562" t="s">
        <v>133</v>
      </c>
      <c r="G24" s="562"/>
      <c r="H24" s="562"/>
      <c r="I24" s="562" t="s">
        <v>508</v>
      </c>
      <c r="J24" s="562"/>
      <c r="K24" s="562"/>
      <c r="L24" s="562" t="s">
        <v>442</v>
      </c>
      <c r="M24" s="562"/>
      <c r="N24" s="562"/>
      <c r="O24" s="562" t="s">
        <v>131</v>
      </c>
      <c r="P24" s="562"/>
      <c r="Q24" s="562"/>
      <c r="R24" s="562" t="s">
        <v>130</v>
      </c>
      <c r="S24" s="562"/>
      <c r="T24" s="562"/>
      <c r="U24" s="562" t="s">
        <v>129</v>
      </c>
      <c r="V24" s="562"/>
      <c r="W24" s="562"/>
      <c r="X24" s="568" t="s">
        <v>128</v>
      </c>
      <c r="Y24" s="566"/>
      <c r="Z24" s="567"/>
      <c r="AA24" s="562" t="s">
        <v>127</v>
      </c>
      <c r="AB24" s="562"/>
      <c r="AC24" s="562"/>
      <c r="AD24" s="562" t="s">
        <v>126</v>
      </c>
      <c r="AE24" s="562"/>
      <c r="AF24" s="562"/>
      <c r="AG24" s="562" t="s">
        <v>125</v>
      </c>
      <c r="AH24" s="562"/>
      <c r="AI24" s="562"/>
      <c r="AJ24" s="562" t="s">
        <v>124</v>
      </c>
      <c r="AK24" s="562"/>
      <c r="AL24" s="562"/>
      <c r="AM24" s="562" t="s">
        <v>123</v>
      </c>
      <c r="AN24" s="562"/>
      <c r="AO24" s="206"/>
      <c r="AP24" s="562" t="s">
        <v>122</v>
      </c>
      <c r="AQ24" s="562"/>
      <c r="AR24" s="562"/>
    </row>
    <row r="25" spans="1:44" ht="21" x14ac:dyDescent="0.5">
      <c r="A25" s="551"/>
      <c r="B25" s="552"/>
      <c r="C25" s="208" t="s">
        <v>109</v>
      </c>
      <c r="D25" s="208" t="s">
        <v>108</v>
      </c>
      <c r="E25" s="208" t="s">
        <v>348</v>
      </c>
      <c r="F25" s="208" t="s">
        <v>109</v>
      </c>
      <c r="G25" s="208" t="s">
        <v>108</v>
      </c>
      <c r="H25" s="208" t="s">
        <v>348</v>
      </c>
      <c r="I25" s="208" t="s">
        <v>109</v>
      </c>
      <c r="J25" s="208" t="s">
        <v>108</v>
      </c>
      <c r="K25" s="208" t="s">
        <v>348</v>
      </c>
      <c r="L25" s="208" t="s">
        <v>109</v>
      </c>
      <c r="M25" s="208" t="s">
        <v>108</v>
      </c>
      <c r="N25" s="208" t="s">
        <v>348</v>
      </c>
      <c r="O25" s="208" t="s">
        <v>109</v>
      </c>
      <c r="P25" s="208" t="s">
        <v>108</v>
      </c>
      <c r="Q25" s="208" t="s">
        <v>348</v>
      </c>
      <c r="R25" s="208" t="s">
        <v>109</v>
      </c>
      <c r="S25" s="208" t="s">
        <v>108</v>
      </c>
      <c r="T25" s="208" t="s">
        <v>348</v>
      </c>
      <c r="U25" s="208" t="s">
        <v>109</v>
      </c>
      <c r="V25" s="208" t="s">
        <v>108</v>
      </c>
      <c r="W25" s="208" t="s">
        <v>348</v>
      </c>
      <c r="X25" s="208" t="s">
        <v>109</v>
      </c>
      <c r="Y25" s="208" t="s">
        <v>108</v>
      </c>
      <c r="Z25" s="208" t="s">
        <v>348</v>
      </c>
      <c r="AA25" s="208" t="s">
        <v>109</v>
      </c>
      <c r="AB25" s="208" t="s">
        <v>108</v>
      </c>
      <c r="AC25" s="208" t="s">
        <v>348</v>
      </c>
      <c r="AD25" s="208" t="s">
        <v>109</v>
      </c>
      <c r="AE25" s="208" t="s">
        <v>108</v>
      </c>
      <c r="AF25" s="208" t="s">
        <v>348</v>
      </c>
      <c r="AG25" s="208" t="s">
        <v>109</v>
      </c>
      <c r="AH25" s="208" t="s">
        <v>108</v>
      </c>
      <c r="AI25" s="208" t="s">
        <v>348</v>
      </c>
      <c r="AJ25" s="208" t="s">
        <v>109</v>
      </c>
      <c r="AK25" s="208" t="s">
        <v>108</v>
      </c>
      <c r="AL25" s="208" t="s">
        <v>348</v>
      </c>
      <c r="AM25" s="208" t="s">
        <v>109</v>
      </c>
      <c r="AN25" s="208" t="s">
        <v>108</v>
      </c>
      <c r="AO25" s="208" t="s">
        <v>348</v>
      </c>
      <c r="AP25" s="208" t="s">
        <v>109</v>
      </c>
      <c r="AQ25" s="208" t="s">
        <v>108</v>
      </c>
      <c r="AR25" s="208" t="s">
        <v>348</v>
      </c>
    </row>
    <row r="26" spans="1:44" x14ac:dyDescent="0.5">
      <c r="A26" s="16">
        <v>1</v>
      </c>
      <c r="B26" s="15"/>
      <c r="C26" s="19"/>
      <c r="D26" s="19"/>
      <c r="E26" s="19"/>
      <c r="F26" s="19">
        <v>300</v>
      </c>
      <c r="G26" s="19">
        <v>4200</v>
      </c>
      <c r="H26" s="19">
        <v>2688</v>
      </c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>
        <v>200</v>
      </c>
      <c r="AB26" s="19">
        <v>2400</v>
      </c>
      <c r="AC26" s="19">
        <v>2400</v>
      </c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>
        <f>F26+AA26</f>
        <v>500</v>
      </c>
      <c r="AQ26" s="19">
        <f>G26+AB26</f>
        <v>6600</v>
      </c>
      <c r="AR26" s="19">
        <f>H26+AC26</f>
        <v>5088</v>
      </c>
    </row>
    <row r="27" spans="1:44" hidden="1" x14ac:dyDescent="0.5">
      <c r="A27" s="16">
        <v>2</v>
      </c>
      <c r="B27" s="15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402"/>
      <c r="S27" s="402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391">
        <f>F27+AA27+U27+I27+L27</f>
        <v>0</v>
      </c>
      <c r="AQ27" s="391">
        <f t="shared" ref="AQ27" si="5">G27+AB27+V27+J27+M27</f>
        <v>0</v>
      </c>
      <c r="AR27" s="391">
        <f t="shared" ref="AR27" si="6">H27+AC27+W27+K27+N27</f>
        <v>0</v>
      </c>
    </row>
    <row r="28" spans="1:44" hidden="1" x14ac:dyDescent="0.5">
      <c r="A28" s="402">
        <v>3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402"/>
      <c r="S28" s="402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391">
        <f>F28+AA28+U28</f>
        <v>0</v>
      </c>
      <c r="AQ28" s="391">
        <f>G28+AB28+V28</f>
        <v>0</v>
      </c>
      <c r="AR28" s="391">
        <f>H28+AC28+W28</f>
        <v>0</v>
      </c>
    </row>
    <row r="29" spans="1:44" x14ac:dyDescent="0.5">
      <c r="AP29" s="182">
        <f>SUM(AP26:AP27)</f>
        <v>500</v>
      </c>
      <c r="AQ29" s="182">
        <f t="shared" ref="AQ29:AR29" si="7">SUM(AQ26:AQ27)</f>
        <v>6600</v>
      </c>
      <c r="AR29" s="182">
        <f t="shared" si="7"/>
        <v>5088</v>
      </c>
    </row>
  </sheetData>
  <mergeCells count="53">
    <mergeCell ref="AD5:AF5"/>
    <mergeCell ref="AJ5:AL5"/>
    <mergeCell ref="AP14:AR14"/>
    <mergeCell ref="AG5:AI5"/>
    <mergeCell ref="AM5:AN5"/>
    <mergeCell ref="AP5:AR5"/>
    <mergeCell ref="B13:B15"/>
    <mergeCell ref="C13:AR13"/>
    <mergeCell ref="C14:E14"/>
    <mergeCell ref="F14:H14"/>
    <mergeCell ref="I14:K14"/>
    <mergeCell ref="O14:Q14"/>
    <mergeCell ref="R14:T14"/>
    <mergeCell ref="U14:W14"/>
    <mergeCell ref="X14:Z14"/>
    <mergeCell ref="AA14:AC14"/>
    <mergeCell ref="AJ14:AL14"/>
    <mergeCell ref="AM14:AN14"/>
    <mergeCell ref="L14:N14"/>
    <mergeCell ref="AD14:AF14"/>
    <mergeCell ref="AG14:AI14"/>
    <mergeCell ref="AJ24:AL24"/>
    <mergeCell ref="AP24:AR24"/>
    <mergeCell ref="A2:C3"/>
    <mergeCell ref="A4:A6"/>
    <mergeCell ref="B4:B6"/>
    <mergeCell ref="C4:AR4"/>
    <mergeCell ref="C5:E5"/>
    <mergeCell ref="F5:H5"/>
    <mergeCell ref="I5:K5"/>
    <mergeCell ref="O5:Q5"/>
    <mergeCell ref="R5:T5"/>
    <mergeCell ref="U5:W5"/>
    <mergeCell ref="X5:Z5"/>
    <mergeCell ref="AA5:AC5"/>
    <mergeCell ref="A11:C12"/>
    <mergeCell ref="A13:A15"/>
    <mergeCell ref="A21:C22"/>
    <mergeCell ref="A23:A25"/>
    <mergeCell ref="B23:B25"/>
    <mergeCell ref="C23:AR23"/>
    <mergeCell ref="C24:E24"/>
    <mergeCell ref="F24:H24"/>
    <mergeCell ref="I24:K24"/>
    <mergeCell ref="L24:N24"/>
    <mergeCell ref="O24:Q24"/>
    <mergeCell ref="R24:T24"/>
    <mergeCell ref="AM24:AN24"/>
    <mergeCell ref="U24:W24"/>
    <mergeCell ref="X24:Z24"/>
    <mergeCell ref="AA24:AC24"/>
    <mergeCell ref="AD24:AF24"/>
    <mergeCell ref="AG24:AI2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46A39-FFF9-4EEA-A602-DF1E16472425}">
  <dimension ref="A1:AO44"/>
  <sheetViews>
    <sheetView topLeftCell="A33" workbookViewId="0">
      <selection activeCell="C33" sqref="C1:E1048576"/>
    </sheetView>
  </sheetViews>
  <sheetFormatPr defaultColWidth="9.140625" defaultRowHeight="18" x14ac:dyDescent="0.5"/>
  <cols>
    <col min="1" max="1" width="9.140625" style="22"/>
    <col min="2" max="2" width="9.42578125" style="22" bestFit="1" customWidth="1"/>
    <col min="3" max="5" width="9.140625" style="22" hidden="1" customWidth="1"/>
    <col min="6" max="8" width="9.140625" style="22" customWidth="1"/>
    <col min="9" max="14" width="9.140625" style="22" hidden="1" customWidth="1"/>
    <col min="15" max="20" width="9.140625" style="22" customWidth="1"/>
    <col min="21" max="32" width="9.140625" style="22" hidden="1" customWidth="1"/>
    <col min="33" max="35" width="9.140625" style="22" customWidth="1"/>
    <col min="36" max="38" width="9.140625" style="22" hidden="1" customWidth="1"/>
    <col min="39" max="16384" width="9.140625" style="22"/>
  </cols>
  <sheetData>
    <row r="1" spans="1:41" hidden="1" x14ac:dyDescent="0.5"/>
    <row r="2" spans="1:41" hidden="1" x14ac:dyDescent="0.5">
      <c r="A2" s="573" t="s">
        <v>437</v>
      </c>
      <c r="B2" s="573"/>
    </row>
    <row r="3" spans="1:41" hidden="1" x14ac:dyDescent="0.5">
      <c r="A3" s="573"/>
      <c r="B3" s="573"/>
    </row>
    <row r="4" spans="1:41" hidden="1" x14ac:dyDescent="0.5">
      <c r="A4" s="551" t="s">
        <v>118</v>
      </c>
      <c r="B4" s="552" t="s">
        <v>135</v>
      </c>
      <c r="C4" s="553"/>
      <c r="D4" s="553"/>
      <c r="E4" s="553"/>
      <c r="F4" s="553"/>
      <c r="G4" s="553"/>
      <c r="H4" s="553"/>
      <c r="I4" s="553"/>
      <c r="J4" s="553"/>
      <c r="K4" s="553"/>
      <c r="L4" s="553"/>
      <c r="M4" s="553"/>
      <c r="N4" s="553"/>
      <c r="O4" s="553"/>
      <c r="P4" s="553"/>
      <c r="Q4" s="553"/>
      <c r="R4" s="553"/>
      <c r="S4" s="553"/>
      <c r="T4" s="553"/>
      <c r="U4" s="553"/>
      <c r="V4" s="553"/>
      <c r="W4" s="553"/>
      <c r="X4" s="553"/>
      <c r="Y4" s="553"/>
      <c r="Z4" s="553"/>
      <c r="AA4" s="553"/>
      <c r="AB4" s="553"/>
      <c r="AC4" s="553"/>
      <c r="AD4" s="553"/>
      <c r="AE4" s="553"/>
      <c r="AF4" s="553"/>
      <c r="AG4" s="553"/>
      <c r="AH4" s="553"/>
      <c r="AI4" s="553"/>
      <c r="AJ4" s="553"/>
      <c r="AK4" s="553"/>
      <c r="AL4" s="553"/>
      <c r="AM4" s="553"/>
      <c r="AN4" s="553"/>
      <c r="AO4" s="553"/>
    </row>
    <row r="5" spans="1:41" ht="21" hidden="1" x14ac:dyDescent="0.5">
      <c r="A5" s="551"/>
      <c r="B5" s="552"/>
      <c r="C5" s="568" t="s">
        <v>124</v>
      </c>
      <c r="D5" s="566"/>
      <c r="E5" s="567"/>
      <c r="F5" s="562" t="s">
        <v>133</v>
      </c>
      <c r="G5" s="562"/>
      <c r="H5" s="562"/>
      <c r="I5" s="562" t="s">
        <v>127</v>
      </c>
      <c r="J5" s="562"/>
      <c r="K5" s="562"/>
      <c r="L5" s="562" t="s">
        <v>131</v>
      </c>
      <c r="M5" s="562"/>
      <c r="N5" s="562"/>
      <c r="O5" s="562" t="s">
        <v>130</v>
      </c>
      <c r="P5" s="562"/>
      <c r="Q5" s="562"/>
      <c r="R5" s="562" t="s">
        <v>129</v>
      </c>
      <c r="S5" s="562"/>
      <c r="T5" s="562"/>
      <c r="U5" s="568" t="s">
        <v>128</v>
      </c>
      <c r="V5" s="566"/>
      <c r="W5" s="567"/>
      <c r="X5" s="562" t="s">
        <v>127</v>
      </c>
      <c r="Y5" s="562"/>
      <c r="Z5" s="562"/>
      <c r="AA5" s="562" t="s">
        <v>126</v>
      </c>
      <c r="AB5" s="562"/>
      <c r="AC5" s="562"/>
      <c r="AD5" s="562" t="s">
        <v>125</v>
      </c>
      <c r="AE5" s="562"/>
      <c r="AF5" s="562"/>
      <c r="AG5" s="562" t="s">
        <v>124</v>
      </c>
      <c r="AH5" s="562"/>
      <c r="AI5" s="562"/>
      <c r="AJ5" s="562" t="s">
        <v>123</v>
      </c>
      <c r="AK5" s="562"/>
      <c r="AL5" s="206"/>
      <c r="AM5" s="562" t="s">
        <v>122</v>
      </c>
      <c r="AN5" s="562"/>
      <c r="AO5" s="562"/>
    </row>
    <row r="6" spans="1:41" ht="21" hidden="1" x14ac:dyDescent="0.5">
      <c r="A6" s="551"/>
      <c r="B6" s="552"/>
      <c r="C6" s="208" t="s">
        <v>109</v>
      </c>
      <c r="D6" s="208" t="s">
        <v>108</v>
      </c>
      <c r="E6" s="208" t="s">
        <v>348</v>
      </c>
      <c r="F6" s="208" t="s">
        <v>109</v>
      </c>
      <c r="G6" s="208" t="s">
        <v>108</v>
      </c>
      <c r="H6" s="208" t="s">
        <v>348</v>
      </c>
      <c r="I6" s="208" t="s">
        <v>109</v>
      </c>
      <c r="J6" s="208" t="s">
        <v>108</v>
      </c>
      <c r="K6" s="208" t="s">
        <v>348</v>
      </c>
      <c r="L6" s="208" t="s">
        <v>109</v>
      </c>
      <c r="M6" s="208" t="s">
        <v>108</v>
      </c>
      <c r="N6" s="208" t="s">
        <v>348</v>
      </c>
      <c r="O6" s="208" t="s">
        <v>109</v>
      </c>
      <c r="P6" s="208" t="s">
        <v>108</v>
      </c>
      <c r="Q6" s="208" t="s">
        <v>348</v>
      </c>
      <c r="R6" s="208" t="s">
        <v>109</v>
      </c>
      <c r="S6" s="208" t="s">
        <v>108</v>
      </c>
      <c r="T6" s="208" t="s">
        <v>348</v>
      </c>
      <c r="U6" s="208" t="s">
        <v>109</v>
      </c>
      <c r="V6" s="208" t="s">
        <v>108</v>
      </c>
      <c r="W6" s="208" t="s">
        <v>348</v>
      </c>
      <c r="X6" s="208" t="s">
        <v>109</v>
      </c>
      <c r="Y6" s="208" t="s">
        <v>108</v>
      </c>
      <c r="Z6" s="208" t="s">
        <v>348</v>
      </c>
      <c r="AA6" s="208" t="s">
        <v>109</v>
      </c>
      <c r="AB6" s="208" t="s">
        <v>108</v>
      </c>
      <c r="AC6" s="208" t="s">
        <v>348</v>
      </c>
      <c r="AD6" s="208" t="s">
        <v>109</v>
      </c>
      <c r="AE6" s="208" t="s">
        <v>108</v>
      </c>
      <c r="AF6" s="208" t="s">
        <v>348</v>
      </c>
      <c r="AG6" s="208" t="s">
        <v>109</v>
      </c>
      <c r="AH6" s="208" t="s">
        <v>108</v>
      </c>
      <c r="AI6" s="208" t="s">
        <v>348</v>
      </c>
      <c r="AJ6" s="208" t="s">
        <v>109</v>
      </c>
      <c r="AK6" s="208" t="s">
        <v>108</v>
      </c>
      <c r="AL6" s="208" t="s">
        <v>348</v>
      </c>
      <c r="AM6" s="208" t="s">
        <v>109</v>
      </c>
      <c r="AN6" s="208" t="s">
        <v>108</v>
      </c>
      <c r="AO6" s="208" t="s">
        <v>348</v>
      </c>
    </row>
    <row r="7" spans="1:41" hidden="1" x14ac:dyDescent="0.5">
      <c r="A7" s="16">
        <v>1</v>
      </c>
      <c r="B7" s="15">
        <v>46024</v>
      </c>
      <c r="C7" s="4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>
        <v>60</v>
      </c>
      <c r="P7" s="19">
        <v>1440</v>
      </c>
      <c r="Q7" s="19">
        <v>921.6</v>
      </c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>
        <f>C7+F7+I7+O7</f>
        <v>60</v>
      </c>
      <c r="AN7" s="19">
        <f>D7+G7+J7+P7</f>
        <v>1440</v>
      </c>
      <c r="AO7" s="19">
        <f>E7+H7+K7+Q7</f>
        <v>921.6</v>
      </c>
    </row>
    <row r="8" spans="1:41" hidden="1" x14ac:dyDescent="0.5">
      <c r="A8" s="16">
        <v>2</v>
      </c>
      <c r="B8" s="15">
        <v>46028</v>
      </c>
      <c r="C8" s="4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>
        <v>60</v>
      </c>
      <c r="P8" s="19">
        <v>1440</v>
      </c>
      <c r="Q8" s="19">
        <v>921.6</v>
      </c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>
        <f t="shared" ref="AM8:AM12" si="0">C8+F8+I8+O8</f>
        <v>60</v>
      </c>
      <c r="AN8" s="19">
        <f t="shared" ref="AN8:AN12" si="1">D8+G8+J8+P8</f>
        <v>1440</v>
      </c>
      <c r="AO8" s="19">
        <f t="shared" ref="AO8:AO12" si="2">E8+H8+K8+Q8</f>
        <v>921.6</v>
      </c>
    </row>
    <row r="9" spans="1:41" hidden="1" x14ac:dyDescent="0.5">
      <c r="A9" s="16">
        <v>3</v>
      </c>
      <c r="B9" s="15">
        <v>46028</v>
      </c>
      <c r="C9" s="15"/>
      <c r="D9" s="19"/>
      <c r="E9" s="19"/>
      <c r="F9" s="19">
        <v>50</v>
      </c>
      <c r="G9" s="19">
        <v>700</v>
      </c>
      <c r="H9" s="19">
        <v>448</v>
      </c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>
        <f t="shared" si="0"/>
        <v>50</v>
      </c>
      <c r="AN9" s="19">
        <f t="shared" si="1"/>
        <v>700</v>
      </c>
      <c r="AO9" s="19">
        <f t="shared" si="2"/>
        <v>448</v>
      </c>
    </row>
    <row r="10" spans="1:41" hidden="1" x14ac:dyDescent="0.5">
      <c r="A10" s="16">
        <v>4</v>
      </c>
      <c r="B10" s="15">
        <v>46034</v>
      </c>
      <c r="C10" s="15"/>
      <c r="D10" s="19"/>
      <c r="E10" s="19"/>
      <c r="F10" s="19">
        <v>50</v>
      </c>
      <c r="G10" s="19">
        <v>700</v>
      </c>
      <c r="H10" s="19">
        <v>448</v>
      </c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>
        <f>C10+F10+I10+O10</f>
        <v>50</v>
      </c>
      <c r="AN10" s="19">
        <f t="shared" si="1"/>
        <v>700</v>
      </c>
      <c r="AO10" s="19">
        <f t="shared" si="2"/>
        <v>448</v>
      </c>
    </row>
    <row r="11" spans="1:41" ht="18.75" hidden="1" customHeight="1" x14ac:dyDescent="0.5">
      <c r="A11" s="16">
        <v>5</v>
      </c>
      <c r="B11" s="15"/>
      <c r="C11" s="19"/>
      <c r="D11" s="19"/>
      <c r="E11" s="19"/>
      <c r="F11" s="19">
        <v>50</v>
      </c>
      <c r="G11" s="19">
        <v>700</v>
      </c>
      <c r="H11" s="19">
        <v>448</v>
      </c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>
        <f t="shared" si="0"/>
        <v>50</v>
      </c>
      <c r="AN11" s="19">
        <f t="shared" si="1"/>
        <v>700</v>
      </c>
      <c r="AO11" s="19">
        <f t="shared" si="2"/>
        <v>448</v>
      </c>
    </row>
    <row r="12" spans="1:41" hidden="1" x14ac:dyDescent="0.5">
      <c r="A12" s="16">
        <v>6</v>
      </c>
      <c r="B12" s="15">
        <v>46039</v>
      </c>
      <c r="C12" s="19">
        <v>25</v>
      </c>
      <c r="D12" s="19">
        <v>350</v>
      </c>
      <c r="E12" s="19">
        <v>224</v>
      </c>
      <c r="F12" s="19"/>
      <c r="G12" s="19"/>
      <c r="H12" s="19"/>
      <c r="I12" s="19"/>
      <c r="J12" s="19"/>
      <c r="K12" s="19"/>
      <c r="L12" s="19"/>
      <c r="M12" s="19"/>
      <c r="N12" s="19"/>
      <c r="O12" s="19">
        <v>60</v>
      </c>
      <c r="P12" s="19">
        <v>1440</v>
      </c>
      <c r="Q12" s="19">
        <v>921.6</v>
      </c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>
        <f t="shared" si="0"/>
        <v>85</v>
      </c>
      <c r="AN12" s="19">
        <f t="shared" si="1"/>
        <v>1790</v>
      </c>
      <c r="AO12" s="19">
        <f t="shared" si="2"/>
        <v>1145.5999999999999</v>
      </c>
    </row>
    <row r="13" spans="1:41" hidden="1" x14ac:dyDescent="0.5">
      <c r="A13" s="16">
        <v>7</v>
      </c>
      <c r="B13" s="15">
        <v>46042</v>
      </c>
      <c r="C13" s="19">
        <v>25</v>
      </c>
      <c r="D13" s="19">
        <v>350</v>
      </c>
      <c r="E13" s="19">
        <v>224</v>
      </c>
      <c r="F13" s="19"/>
      <c r="G13" s="19"/>
      <c r="H13" s="19"/>
      <c r="I13" s="19"/>
      <c r="J13" s="19"/>
      <c r="K13" s="19"/>
      <c r="L13" s="19"/>
      <c r="M13" s="19"/>
      <c r="N13" s="19"/>
      <c r="O13" s="19">
        <v>60</v>
      </c>
      <c r="P13" s="19">
        <v>1440</v>
      </c>
      <c r="Q13" s="19">
        <v>921.6</v>
      </c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>
        <f t="shared" ref="AM13:AM14" si="3">C13+F13+I13+O13</f>
        <v>85</v>
      </c>
      <c r="AN13" s="19">
        <f t="shared" ref="AN13:AN14" si="4">D13+G13+J13+P13</f>
        <v>1790</v>
      </c>
      <c r="AO13" s="19">
        <f t="shared" ref="AO13:AO14" si="5">E13+H13+K13+Q13</f>
        <v>1145.5999999999999</v>
      </c>
    </row>
    <row r="14" spans="1:41" hidden="1" x14ac:dyDescent="0.5">
      <c r="A14" s="16">
        <v>8</v>
      </c>
      <c r="B14" s="15">
        <v>46051</v>
      </c>
      <c r="C14" s="20"/>
      <c r="D14" s="20"/>
      <c r="E14" s="19"/>
      <c r="F14" s="20">
        <v>50</v>
      </c>
      <c r="G14" s="20">
        <v>700</v>
      </c>
      <c r="H14" s="19">
        <v>448</v>
      </c>
      <c r="I14" s="20"/>
      <c r="J14" s="20"/>
      <c r="K14" s="20"/>
      <c r="L14" s="20"/>
      <c r="M14" s="20"/>
      <c r="N14" s="20"/>
      <c r="O14" s="20"/>
      <c r="P14" s="20"/>
      <c r="Q14" s="19"/>
      <c r="R14" s="20"/>
      <c r="S14" s="20"/>
      <c r="T14" s="19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19"/>
      <c r="AG14" s="19"/>
      <c r="AH14" s="19"/>
      <c r="AI14" s="19"/>
      <c r="AJ14" s="19"/>
      <c r="AK14" s="19"/>
      <c r="AL14" s="19"/>
      <c r="AM14" s="19">
        <f t="shared" si="3"/>
        <v>50</v>
      </c>
      <c r="AN14" s="19">
        <f t="shared" si="4"/>
        <v>700</v>
      </c>
      <c r="AO14" s="19">
        <f t="shared" si="5"/>
        <v>448</v>
      </c>
    </row>
    <row r="15" spans="1:41" hidden="1" x14ac:dyDescent="0.5">
      <c r="A15" s="16">
        <v>9</v>
      </c>
      <c r="B15" s="15">
        <v>46052</v>
      </c>
      <c r="C15" s="20"/>
      <c r="D15" s="20"/>
      <c r="E15" s="19"/>
      <c r="F15" s="20"/>
      <c r="G15" s="20"/>
      <c r="H15" s="19"/>
      <c r="I15" s="20"/>
      <c r="J15" s="20"/>
      <c r="K15" s="20"/>
      <c r="L15" s="20"/>
      <c r="M15" s="20"/>
      <c r="N15" s="20"/>
      <c r="O15" s="20">
        <v>60</v>
      </c>
      <c r="P15" s="20">
        <v>1440</v>
      </c>
      <c r="Q15" s="19">
        <v>921.6</v>
      </c>
      <c r="R15" s="20"/>
      <c r="S15" s="20"/>
      <c r="T15" s="19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19"/>
      <c r="AG15" s="19"/>
      <c r="AH15" s="19"/>
      <c r="AI15" s="19"/>
      <c r="AJ15" s="19"/>
      <c r="AK15" s="19"/>
      <c r="AL15" s="19"/>
      <c r="AM15" s="19">
        <f t="shared" ref="AM15:AM16" si="6">C15+F15+I15+O15</f>
        <v>60</v>
      </c>
      <c r="AN15" s="19">
        <f t="shared" ref="AN15:AN16" si="7">D15+G15+J15+P15</f>
        <v>1440</v>
      </c>
      <c r="AO15" s="19">
        <f t="shared" ref="AO15:AO16" si="8">E15+H15+K15+Q15</f>
        <v>921.6</v>
      </c>
    </row>
    <row r="16" spans="1:41" hidden="1" x14ac:dyDescent="0.5">
      <c r="A16" s="16">
        <v>10</v>
      </c>
      <c r="B16" s="15">
        <v>46053</v>
      </c>
      <c r="C16" s="20"/>
      <c r="D16" s="20"/>
      <c r="E16" s="19"/>
      <c r="F16" s="20">
        <v>50</v>
      </c>
      <c r="G16" s="20">
        <v>700</v>
      </c>
      <c r="H16" s="19">
        <v>448</v>
      </c>
      <c r="I16" s="20"/>
      <c r="J16" s="20"/>
      <c r="K16" s="20"/>
      <c r="L16" s="20"/>
      <c r="M16" s="20"/>
      <c r="N16" s="20"/>
      <c r="O16" s="20"/>
      <c r="P16" s="20"/>
      <c r="Q16" s="19"/>
      <c r="R16" s="20"/>
      <c r="S16" s="20"/>
      <c r="T16" s="19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19"/>
      <c r="AG16" s="19"/>
      <c r="AH16" s="19"/>
      <c r="AI16" s="19"/>
      <c r="AJ16" s="19"/>
      <c r="AK16" s="19"/>
      <c r="AL16" s="19"/>
      <c r="AM16" s="19">
        <f t="shared" si="6"/>
        <v>50</v>
      </c>
      <c r="AN16" s="19">
        <f t="shared" si="7"/>
        <v>700</v>
      </c>
      <c r="AO16" s="19">
        <f t="shared" si="8"/>
        <v>448</v>
      </c>
    </row>
    <row r="17" spans="1:41" hidden="1" x14ac:dyDescent="0.5">
      <c r="AM17" s="279">
        <f>SUM(AM7:AM16)</f>
        <v>600</v>
      </c>
      <c r="AN17" s="279">
        <f t="shared" ref="AN17:AO17" si="9">SUM(AN7:AN16)</f>
        <v>11400</v>
      </c>
      <c r="AO17" s="279">
        <f t="shared" si="9"/>
        <v>7296</v>
      </c>
    </row>
    <row r="18" spans="1:41" hidden="1" x14ac:dyDescent="0.5"/>
    <row r="19" spans="1:41" hidden="1" x14ac:dyDescent="0.5"/>
    <row r="20" spans="1:41" hidden="1" x14ac:dyDescent="0.5">
      <c r="A20" s="573" t="s">
        <v>501</v>
      </c>
      <c r="B20" s="573"/>
    </row>
    <row r="21" spans="1:41" hidden="1" x14ac:dyDescent="0.5">
      <c r="A21" s="573"/>
      <c r="B21" s="573"/>
    </row>
    <row r="22" spans="1:41" hidden="1" x14ac:dyDescent="0.5">
      <c r="A22" s="551" t="s">
        <v>118</v>
      </c>
      <c r="B22" s="552" t="s">
        <v>135</v>
      </c>
      <c r="C22" s="553"/>
      <c r="D22" s="553"/>
      <c r="E22" s="553"/>
      <c r="F22" s="553"/>
      <c r="G22" s="553"/>
      <c r="H22" s="553"/>
      <c r="I22" s="553"/>
      <c r="J22" s="553"/>
      <c r="K22" s="553"/>
      <c r="L22" s="553"/>
      <c r="M22" s="553"/>
      <c r="N22" s="553"/>
      <c r="O22" s="553"/>
      <c r="P22" s="553"/>
      <c r="Q22" s="553"/>
      <c r="R22" s="553"/>
      <c r="S22" s="553"/>
      <c r="T22" s="553"/>
      <c r="U22" s="553"/>
      <c r="V22" s="553"/>
      <c r="W22" s="553"/>
      <c r="X22" s="553"/>
      <c r="Y22" s="553"/>
      <c r="Z22" s="553"/>
      <c r="AA22" s="553"/>
      <c r="AB22" s="553"/>
      <c r="AC22" s="553"/>
      <c r="AD22" s="553"/>
      <c r="AE22" s="553"/>
      <c r="AF22" s="553"/>
      <c r="AG22" s="553"/>
      <c r="AH22" s="553"/>
      <c r="AI22" s="553"/>
      <c r="AJ22" s="553"/>
      <c r="AK22" s="553"/>
      <c r="AL22" s="553"/>
      <c r="AM22" s="553"/>
      <c r="AN22" s="553"/>
      <c r="AO22" s="553"/>
    </row>
    <row r="23" spans="1:41" ht="21" hidden="1" x14ac:dyDescent="0.5">
      <c r="A23" s="551"/>
      <c r="B23" s="552"/>
      <c r="C23" s="568" t="s">
        <v>124</v>
      </c>
      <c r="D23" s="566"/>
      <c r="E23" s="567"/>
      <c r="F23" s="562" t="s">
        <v>133</v>
      </c>
      <c r="G23" s="562"/>
      <c r="H23" s="562"/>
      <c r="I23" s="562" t="s">
        <v>127</v>
      </c>
      <c r="J23" s="562"/>
      <c r="K23" s="562"/>
      <c r="L23" s="562" t="s">
        <v>131</v>
      </c>
      <c r="M23" s="562"/>
      <c r="N23" s="562"/>
      <c r="O23" s="562" t="s">
        <v>130</v>
      </c>
      <c r="P23" s="562"/>
      <c r="Q23" s="562"/>
      <c r="R23" s="562" t="s">
        <v>129</v>
      </c>
      <c r="S23" s="562"/>
      <c r="T23" s="562"/>
      <c r="U23" s="568" t="s">
        <v>128</v>
      </c>
      <c r="V23" s="566"/>
      <c r="W23" s="567"/>
      <c r="X23" s="562" t="s">
        <v>127</v>
      </c>
      <c r="Y23" s="562"/>
      <c r="Z23" s="562"/>
      <c r="AA23" s="562" t="s">
        <v>126</v>
      </c>
      <c r="AB23" s="562"/>
      <c r="AC23" s="562"/>
      <c r="AD23" s="562" t="s">
        <v>125</v>
      </c>
      <c r="AE23" s="562"/>
      <c r="AF23" s="562"/>
      <c r="AG23" s="562" t="s">
        <v>124</v>
      </c>
      <c r="AH23" s="562"/>
      <c r="AI23" s="562"/>
      <c r="AJ23" s="562" t="s">
        <v>123</v>
      </c>
      <c r="AK23" s="562"/>
      <c r="AL23" s="206"/>
      <c r="AM23" s="562" t="s">
        <v>122</v>
      </c>
      <c r="AN23" s="562"/>
      <c r="AO23" s="562"/>
    </row>
    <row r="24" spans="1:41" ht="21" hidden="1" x14ac:dyDescent="0.5">
      <c r="A24" s="551"/>
      <c r="B24" s="552"/>
      <c r="C24" s="208" t="s">
        <v>109</v>
      </c>
      <c r="D24" s="208" t="s">
        <v>108</v>
      </c>
      <c r="E24" s="208" t="s">
        <v>348</v>
      </c>
      <c r="F24" s="208" t="s">
        <v>109</v>
      </c>
      <c r="G24" s="208" t="s">
        <v>108</v>
      </c>
      <c r="H24" s="208" t="s">
        <v>348</v>
      </c>
      <c r="I24" s="208" t="s">
        <v>109</v>
      </c>
      <c r="J24" s="208" t="s">
        <v>108</v>
      </c>
      <c r="K24" s="208" t="s">
        <v>348</v>
      </c>
      <c r="L24" s="208" t="s">
        <v>109</v>
      </c>
      <c r="M24" s="208" t="s">
        <v>108</v>
      </c>
      <c r="N24" s="208" t="s">
        <v>348</v>
      </c>
      <c r="O24" s="208" t="s">
        <v>109</v>
      </c>
      <c r="P24" s="208" t="s">
        <v>108</v>
      </c>
      <c r="Q24" s="208" t="s">
        <v>348</v>
      </c>
      <c r="R24" s="208" t="s">
        <v>109</v>
      </c>
      <c r="S24" s="208" t="s">
        <v>108</v>
      </c>
      <c r="T24" s="208" t="s">
        <v>348</v>
      </c>
      <c r="U24" s="208" t="s">
        <v>109</v>
      </c>
      <c r="V24" s="208" t="s">
        <v>108</v>
      </c>
      <c r="W24" s="208" t="s">
        <v>348</v>
      </c>
      <c r="X24" s="208" t="s">
        <v>109</v>
      </c>
      <c r="Y24" s="208" t="s">
        <v>108</v>
      </c>
      <c r="Z24" s="208" t="s">
        <v>348</v>
      </c>
      <c r="AA24" s="208" t="s">
        <v>109</v>
      </c>
      <c r="AB24" s="208" t="s">
        <v>108</v>
      </c>
      <c r="AC24" s="208" t="s">
        <v>348</v>
      </c>
      <c r="AD24" s="208" t="s">
        <v>109</v>
      </c>
      <c r="AE24" s="208" t="s">
        <v>108</v>
      </c>
      <c r="AF24" s="208" t="s">
        <v>348</v>
      </c>
      <c r="AG24" s="208" t="s">
        <v>109</v>
      </c>
      <c r="AH24" s="208" t="s">
        <v>108</v>
      </c>
      <c r="AI24" s="208" t="s">
        <v>348</v>
      </c>
      <c r="AJ24" s="208" t="s">
        <v>109</v>
      </c>
      <c r="AK24" s="208" t="s">
        <v>108</v>
      </c>
      <c r="AL24" s="208" t="s">
        <v>348</v>
      </c>
      <c r="AM24" s="208" t="s">
        <v>109</v>
      </c>
      <c r="AN24" s="208" t="s">
        <v>108</v>
      </c>
      <c r="AO24" s="208" t="s">
        <v>348</v>
      </c>
    </row>
    <row r="25" spans="1:41" hidden="1" x14ac:dyDescent="0.5">
      <c r="A25" s="16">
        <v>1</v>
      </c>
      <c r="B25" s="15">
        <v>46058</v>
      </c>
      <c r="C25" s="4"/>
      <c r="D25" s="19"/>
      <c r="E25" s="19"/>
      <c r="F25" s="19">
        <v>50</v>
      </c>
      <c r="G25" s="19">
        <v>700</v>
      </c>
      <c r="H25" s="19">
        <v>448</v>
      </c>
      <c r="I25" s="19"/>
      <c r="J25" s="19"/>
      <c r="K25" s="19"/>
      <c r="L25" s="19"/>
      <c r="M25" s="19"/>
      <c r="N25" s="19"/>
      <c r="O25" s="19">
        <v>60</v>
      </c>
      <c r="P25" s="19">
        <v>1440</v>
      </c>
      <c r="Q25" s="19">
        <v>921.6</v>
      </c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>
        <f>C25+F25+I25+O25</f>
        <v>110</v>
      </c>
      <c r="AN25" s="19">
        <f>D25+G25+J25+P25</f>
        <v>2140</v>
      </c>
      <c r="AO25" s="19">
        <f>E25+H25+K25+Q25</f>
        <v>1369.6</v>
      </c>
    </row>
    <row r="26" spans="1:41" hidden="1" x14ac:dyDescent="0.5">
      <c r="A26" s="16">
        <v>2</v>
      </c>
      <c r="B26" s="15">
        <v>46066</v>
      </c>
      <c r="C26" s="4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>
        <v>60</v>
      </c>
      <c r="P26" s="19">
        <v>1440</v>
      </c>
      <c r="Q26" s="19">
        <v>921.6</v>
      </c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>
        <f t="shared" ref="AM26:AM27" si="10">C26+F26+I26+O26</f>
        <v>60</v>
      </c>
      <c r="AN26" s="19">
        <f t="shared" ref="AN26:AN30" si="11">D26+G26+J26+P26</f>
        <v>1440</v>
      </c>
      <c r="AO26" s="19">
        <f t="shared" ref="AO26:AO30" si="12">E26+H26+K26+Q26</f>
        <v>921.6</v>
      </c>
    </row>
    <row r="27" spans="1:41" hidden="1" x14ac:dyDescent="0.5">
      <c r="A27" s="16">
        <v>3</v>
      </c>
      <c r="B27" s="15">
        <v>46072</v>
      </c>
      <c r="C27" s="15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>
        <v>60</v>
      </c>
      <c r="P27" s="19">
        <v>1440</v>
      </c>
      <c r="Q27" s="19">
        <v>921.6</v>
      </c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>
        <f t="shared" si="10"/>
        <v>60</v>
      </c>
      <c r="AN27" s="19">
        <f t="shared" si="11"/>
        <v>1440</v>
      </c>
      <c r="AO27" s="19">
        <f t="shared" si="12"/>
        <v>921.6</v>
      </c>
    </row>
    <row r="28" spans="1:41" hidden="1" x14ac:dyDescent="0.5">
      <c r="A28" s="16">
        <v>4</v>
      </c>
      <c r="B28" s="15">
        <v>46076</v>
      </c>
      <c r="C28" s="15"/>
      <c r="D28" s="19"/>
      <c r="E28" s="19"/>
      <c r="F28" s="19">
        <v>50</v>
      </c>
      <c r="G28" s="19">
        <v>700</v>
      </c>
      <c r="H28" s="19">
        <v>448</v>
      </c>
      <c r="I28" s="19"/>
      <c r="J28" s="19"/>
      <c r="K28" s="19"/>
      <c r="L28" s="19"/>
      <c r="M28" s="19"/>
      <c r="N28" s="19"/>
      <c r="O28" s="19">
        <v>60</v>
      </c>
      <c r="P28" s="19">
        <v>1440</v>
      </c>
      <c r="Q28" s="19">
        <v>921.6</v>
      </c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>
        <f>C28+F28+I28+O28</f>
        <v>110</v>
      </c>
      <c r="AN28" s="19">
        <f t="shared" si="11"/>
        <v>2140</v>
      </c>
      <c r="AO28" s="19">
        <f t="shared" si="12"/>
        <v>1369.6</v>
      </c>
    </row>
    <row r="29" spans="1:41" hidden="1" x14ac:dyDescent="0.5">
      <c r="A29" s="16">
        <v>5</v>
      </c>
      <c r="B29" s="15">
        <v>46078</v>
      </c>
      <c r="C29" s="19"/>
      <c r="D29" s="19"/>
      <c r="E29" s="19"/>
      <c r="F29" s="19">
        <v>50</v>
      </c>
      <c r="G29" s="19">
        <v>700</v>
      </c>
      <c r="H29" s="19">
        <v>448</v>
      </c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>
        <f t="shared" ref="AM29:AM30" si="13">C29+F29+I29+O29</f>
        <v>50</v>
      </c>
      <c r="AN29" s="19">
        <f t="shared" si="11"/>
        <v>700</v>
      </c>
      <c r="AO29" s="19">
        <f t="shared" si="12"/>
        <v>448</v>
      </c>
    </row>
    <row r="30" spans="1:41" hidden="1" x14ac:dyDescent="0.5">
      <c r="A30" s="16">
        <v>6</v>
      </c>
      <c r="B30" s="15">
        <v>46081</v>
      </c>
      <c r="C30" s="19"/>
      <c r="D30" s="19"/>
      <c r="E30" s="19"/>
      <c r="F30" s="19">
        <v>50</v>
      </c>
      <c r="G30" s="19">
        <v>700</v>
      </c>
      <c r="H30" s="19">
        <v>448</v>
      </c>
      <c r="I30" s="19"/>
      <c r="J30" s="19"/>
      <c r="K30" s="19"/>
      <c r="L30" s="19"/>
      <c r="M30" s="19"/>
      <c r="N30" s="19"/>
      <c r="O30" s="19">
        <v>50</v>
      </c>
      <c r="P30" s="19">
        <v>600</v>
      </c>
      <c r="Q30" s="19">
        <v>600</v>
      </c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>
        <f t="shared" si="13"/>
        <v>100</v>
      </c>
      <c r="AN30" s="19">
        <f t="shared" si="11"/>
        <v>1300</v>
      </c>
      <c r="AO30" s="19">
        <f t="shared" si="12"/>
        <v>1048</v>
      </c>
    </row>
    <row r="31" spans="1:41" hidden="1" x14ac:dyDescent="0.5">
      <c r="AM31" s="279">
        <f>SUM(AM25:AM30)</f>
        <v>490</v>
      </c>
      <c r="AN31" s="279">
        <f>SUM(AN25:AN30)</f>
        <v>9160</v>
      </c>
      <c r="AO31" s="279">
        <f>SUM(AO25:AO30)</f>
        <v>6078.4</v>
      </c>
    </row>
    <row r="32" spans="1:41" hidden="1" x14ac:dyDescent="0.5"/>
    <row r="33" spans="1:41" x14ac:dyDescent="0.5">
      <c r="A33" s="573" t="s">
        <v>546</v>
      </c>
      <c r="B33" s="573"/>
    </row>
    <row r="34" spans="1:41" x14ac:dyDescent="0.5">
      <c r="A34" s="573"/>
      <c r="B34" s="573"/>
    </row>
    <row r="35" spans="1:41" x14ac:dyDescent="0.5">
      <c r="A35" s="551" t="s">
        <v>118</v>
      </c>
      <c r="B35" s="552" t="s">
        <v>135</v>
      </c>
      <c r="C35" s="553"/>
      <c r="D35" s="553"/>
      <c r="E35" s="553"/>
      <c r="F35" s="553"/>
      <c r="G35" s="553"/>
      <c r="H35" s="553"/>
      <c r="I35" s="553"/>
      <c r="J35" s="553"/>
      <c r="K35" s="553"/>
      <c r="L35" s="553"/>
      <c r="M35" s="553"/>
      <c r="N35" s="553"/>
      <c r="O35" s="553"/>
      <c r="P35" s="553"/>
      <c r="Q35" s="553"/>
      <c r="R35" s="553"/>
      <c r="S35" s="553"/>
      <c r="T35" s="553"/>
      <c r="U35" s="553"/>
      <c r="V35" s="553"/>
      <c r="W35" s="553"/>
      <c r="X35" s="553"/>
      <c r="Y35" s="553"/>
      <c r="Z35" s="553"/>
      <c r="AA35" s="553"/>
      <c r="AB35" s="553"/>
      <c r="AC35" s="553"/>
      <c r="AD35" s="553"/>
      <c r="AE35" s="553"/>
      <c r="AF35" s="553"/>
      <c r="AG35" s="553"/>
      <c r="AH35" s="553"/>
      <c r="AI35" s="553"/>
      <c r="AJ35" s="553"/>
      <c r="AK35" s="553"/>
      <c r="AL35" s="553"/>
      <c r="AM35" s="553"/>
      <c r="AN35" s="553"/>
      <c r="AO35" s="553"/>
    </row>
    <row r="36" spans="1:41" ht="21" customHeight="1" x14ac:dyDescent="0.5">
      <c r="A36" s="551"/>
      <c r="B36" s="552"/>
      <c r="C36" s="568" t="s">
        <v>124</v>
      </c>
      <c r="D36" s="566"/>
      <c r="E36" s="567"/>
      <c r="F36" s="562" t="s">
        <v>133</v>
      </c>
      <c r="G36" s="562"/>
      <c r="H36" s="562"/>
      <c r="I36" s="562" t="s">
        <v>127</v>
      </c>
      <c r="J36" s="562"/>
      <c r="K36" s="562"/>
      <c r="L36" s="562" t="s">
        <v>131</v>
      </c>
      <c r="M36" s="562"/>
      <c r="N36" s="562"/>
      <c r="O36" s="562" t="s">
        <v>130</v>
      </c>
      <c r="P36" s="562"/>
      <c r="Q36" s="562"/>
      <c r="R36" s="562" t="s">
        <v>548</v>
      </c>
      <c r="S36" s="562"/>
      <c r="T36" s="562"/>
      <c r="U36" s="568" t="s">
        <v>128</v>
      </c>
      <c r="V36" s="566"/>
      <c r="W36" s="567"/>
      <c r="X36" s="562" t="s">
        <v>127</v>
      </c>
      <c r="Y36" s="562"/>
      <c r="Z36" s="562"/>
      <c r="AA36" s="562" t="s">
        <v>126</v>
      </c>
      <c r="AB36" s="562"/>
      <c r="AC36" s="562"/>
      <c r="AD36" s="562" t="s">
        <v>125</v>
      </c>
      <c r="AE36" s="562"/>
      <c r="AF36" s="562"/>
      <c r="AG36" s="562" t="s">
        <v>124</v>
      </c>
      <c r="AH36" s="562"/>
      <c r="AI36" s="562"/>
      <c r="AJ36" s="562" t="s">
        <v>123</v>
      </c>
      <c r="AK36" s="562"/>
      <c r="AL36" s="206"/>
      <c r="AM36" s="562" t="s">
        <v>122</v>
      </c>
      <c r="AN36" s="562"/>
      <c r="AO36" s="562"/>
    </row>
    <row r="37" spans="1:41" ht="21" x14ac:dyDescent="0.5">
      <c r="A37" s="551"/>
      <c r="B37" s="552"/>
      <c r="C37" s="208" t="s">
        <v>109</v>
      </c>
      <c r="D37" s="208" t="s">
        <v>108</v>
      </c>
      <c r="E37" s="208" t="s">
        <v>348</v>
      </c>
      <c r="F37" s="208" t="s">
        <v>109</v>
      </c>
      <c r="G37" s="208" t="s">
        <v>108</v>
      </c>
      <c r="H37" s="208" t="s">
        <v>348</v>
      </c>
      <c r="I37" s="208" t="s">
        <v>109</v>
      </c>
      <c r="J37" s="208" t="s">
        <v>108</v>
      </c>
      <c r="K37" s="208" t="s">
        <v>348</v>
      </c>
      <c r="L37" s="208" t="s">
        <v>109</v>
      </c>
      <c r="M37" s="208" t="s">
        <v>108</v>
      </c>
      <c r="N37" s="208" t="s">
        <v>348</v>
      </c>
      <c r="O37" s="208" t="s">
        <v>109</v>
      </c>
      <c r="P37" s="208" t="s">
        <v>108</v>
      </c>
      <c r="Q37" s="208" t="s">
        <v>348</v>
      </c>
      <c r="R37" s="208" t="s">
        <v>109</v>
      </c>
      <c r="S37" s="208" t="s">
        <v>108</v>
      </c>
      <c r="T37" s="208" t="s">
        <v>348</v>
      </c>
      <c r="U37" s="208" t="s">
        <v>109</v>
      </c>
      <c r="V37" s="208" t="s">
        <v>108</v>
      </c>
      <c r="W37" s="208" t="s">
        <v>348</v>
      </c>
      <c r="X37" s="208" t="s">
        <v>109</v>
      </c>
      <c r="Y37" s="208" t="s">
        <v>108</v>
      </c>
      <c r="Z37" s="208" t="s">
        <v>348</v>
      </c>
      <c r="AA37" s="208" t="s">
        <v>109</v>
      </c>
      <c r="AB37" s="208" t="s">
        <v>108</v>
      </c>
      <c r="AC37" s="208" t="s">
        <v>348</v>
      </c>
      <c r="AD37" s="208" t="s">
        <v>109</v>
      </c>
      <c r="AE37" s="208" t="s">
        <v>108</v>
      </c>
      <c r="AF37" s="208" t="s">
        <v>348</v>
      </c>
      <c r="AG37" s="208" t="s">
        <v>109</v>
      </c>
      <c r="AH37" s="208" t="s">
        <v>108</v>
      </c>
      <c r="AI37" s="208" t="s">
        <v>348</v>
      </c>
      <c r="AJ37" s="208" t="s">
        <v>109</v>
      </c>
      <c r="AK37" s="208" t="s">
        <v>108</v>
      </c>
      <c r="AL37" s="208" t="s">
        <v>348</v>
      </c>
      <c r="AM37" s="208" t="s">
        <v>109</v>
      </c>
      <c r="AN37" s="208" t="s">
        <v>108</v>
      </c>
      <c r="AO37" s="208" t="s">
        <v>348</v>
      </c>
    </row>
    <row r="38" spans="1:41" x14ac:dyDescent="0.5">
      <c r="A38" s="16">
        <v>1</v>
      </c>
      <c r="B38" s="15">
        <v>46086</v>
      </c>
      <c r="C38" s="4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>
        <v>60</v>
      </c>
      <c r="P38" s="19">
        <v>1440</v>
      </c>
      <c r="Q38" s="19">
        <v>921.6</v>
      </c>
      <c r="R38" s="19">
        <v>50</v>
      </c>
      <c r="S38" s="19">
        <v>600</v>
      </c>
      <c r="T38" s="19">
        <v>600</v>
      </c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>
        <v>10</v>
      </c>
      <c r="AH38" s="19">
        <v>140</v>
      </c>
      <c r="AI38" s="19">
        <v>89.600000000000009</v>
      </c>
      <c r="AJ38" s="19"/>
      <c r="AK38" s="19"/>
      <c r="AL38" s="19"/>
      <c r="AM38" s="19">
        <f>C38+F38+I38+O38+AG38+R38</f>
        <v>120</v>
      </c>
      <c r="AN38" s="19">
        <f t="shared" ref="AN38:AO38" si="14">D38+G38+J38+P38+AH38+S38</f>
        <v>2180</v>
      </c>
      <c r="AO38" s="19">
        <f t="shared" si="14"/>
        <v>1611.2</v>
      </c>
    </row>
    <row r="39" spans="1:41" x14ac:dyDescent="0.5">
      <c r="A39" s="16">
        <v>2</v>
      </c>
      <c r="B39" s="15">
        <v>46093</v>
      </c>
      <c r="C39" s="4"/>
      <c r="D39" s="19"/>
      <c r="E39" s="19"/>
      <c r="F39" s="19">
        <v>50</v>
      </c>
      <c r="G39" s="19">
        <v>700</v>
      </c>
      <c r="H39" s="19">
        <v>448</v>
      </c>
      <c r="I39" s="19"/>
      <c r="J39" s="19"/>
      <c r="K39" s="19"/>
      <c r="L39" s="19"/>
      <c r="M39" s="19"/>
      <c r="N39" s="19"/>
      <c r="O39" s="19">
        <v>60</v>
      </c>
      <c r="P39" s="19">
        <v>1440</v>
      </c>
      <c r="Q39" s="19">
        <v>921.6</v>
      </c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>
        <f t="shared" ref="AM39" si="15">C39+F39+I39+O39</f>
        <v>110</v>
      </c>
      <c r="AN39" s="19">
        <f t="shared" ref="AN39:AN43" si="16">D39+G39+J39+P39</f>
        <v>2140</v>
      </c>
      <c r="AO39" s="19">
        <f t="shared" ref="AO39:AO43" si="17">E39+H39+K39+Q39</f>
        <v>1369.6</v>
      </c>
    </row>
    <row r="40" spans="1:41" x14ac:dyDescent="0.5">
      <c r="A40" s="16">
        <v>3</v>
      </c>
      <c r="B40" s="15">
        <v>46095</v>
      </c>
      <c r="C40" s="15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>
        <v>60</v>
      </c>
      <c r="P40" s="19">
        <v>1440</v>
      </c>
      <c r="Q40" s="19">
        <v>921.6</v>
      </c>
      <c r="R40" s="19">
        <v>50</v>
      </c>
      <c r="S40" s="19">
        <v>600</v>
      </c>
      <c r="T40" s="19">
        <v>600</v>
      </c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>
        <f>C40+F40+I40+O40+R40</f>
        <v>110</v>
      </c>
      <c r="AN40" s="19">
        <f t="shared" ref="AN40:AO40" si="18">D40+G40+J40+P40+S40</f>
        <v>2040</v>
      </c>
      <c r="AO40" s="19">
        <f t="shared" si="18"/>
        <v>1521.6</v>
      </c>
    </row>
    <row r="41" spans="1:41" hidden="1" x14ac:dyDescent="0.5">
      <c r="A41" s="16">
        <v>4</v>
      </c>
      <c r="B41" s="15"/>
      <c r="C41" s="15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>
        <f>C41+F41+I41+O41</f>
        <v>0</v>
      </c>
      <c r="AN41" s="19">
        <f t="shared" si="16"/>
        <v>0</v>
      </c>
      <c r="AO41" s="19">
        <f t="shared" si="17"/>
        <v>0</v>
      </c>
    </row>
    <row r="42" spans="1:41" hidden="1" x14ac:dyDescent="0.5">
      <c r="A42" s="16">
        <v>5</v>
      </c>
      <c r="B42" s="15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>
        <f t="shared" ref="AM42:AM43" si="19">C42+F42+I42+O42</f>
        <v>0</v>
      </c>
      <c r="AN42" s="19">
        <f t="shared" si="16"/>
        <v>0</v>
      </c>
      <c r="AO42" s="19">
        <f t="shared" si="17"/>
        <v>0</v>
      </c>
    </row>
    <row r="43" spans="1:41" hidden="1" x14ac:dyDescent="0.5">
      <c r="A43" s="16">
        <v>6</v>
      </c>
      <c r="B43" s="15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>
        <f t="shared" si="19"/>
        <v>0</v>
      </c>
      <c r="AN43" s="19">
        <f t="shared" si="16"/>
        <v>0</v>
      </c>
      <c r="AO43" s="19">
        <f t="shared" si="17"/>
        <v>0</v>
      </c>
    </row>
    <row r="44" spans="1:41" x14ac:dyDescent="0.5">
      <c r="AM44" s="279">
        <f>SUM(AM38:AM43)</f>
        <v>340</v>
      </c>
      <c r="AN44" s="279">
        <f>SUM(AN38:AN43)</f>
        <v>6360</v>
      </c>
      <c r="AO44" s="279">
        <f>SUM(AO38:AO43)</f>
        <v>4502.3999999999996</v>
      </c>
    </row>
  </sheetData>
  <mergeCells count="51">
    <mergeCell ref="AA23:AC23"/>
    <mergeCell ref="AD23:AF23"/>
    <mergeCell ref="A20:B21"/>
    <mergeCell ref="A22:A24"/>
    <mergeCell ref="B22:B24"/>
    <mergeCell ref="C22:AO22"/>
    <mergeCell ref="C23:E23"/>
    <mergeCell ref="F23:H23"/>
    <mergeCell ref="I23:K23"/>
    <mergeCell ref="L23:N23"/>
    <mergeCell ref="O23:Q23"/>
    <mergeCell ref="R23:T23"/>
    <mergeCell ref="U23:W23"/>
    <mergeCell ref="X23:Z23"/>
    <mergeCell ref="AD5:AF5"/>
    <mergeCell ref="AJ5:AK5"/>
    <mergeCell ref="AM5:AO5"/>
    <mergeCell ref="AG23:AI23"/>
    <mergeCell ref="AJ23:AK23"/>
    <mergeCell ref="AJ36:AK36"/>
    <mergeCell ref="A2:B3"/>
    <mergeCell ref="A4:A6"/>
    <mergeCell ref="B4:B6"/>
    <mergeCell ref="C4:AO4"/>
    <mergeCell ref="C5:E5"/>
    <mergeCell ref="F5:H5"/>
    <mergeCell ref="I5:K5"/>
    <mergeCell ref="L5:N5"/>
    <mergeCell ref="O5:Q5"/>
    <mergeCell ref="R5:T5"/>
    <mergeCell ref="U5:W5"/>
    <mergeCell ref="X5:Z5"/>
    <mergeCell ref="AA5:AC5"/>
    <mergeCell ref="AG5:AI5"/>
    <mergeCell ref="AM23:AO23"/>
    <mergeCell ref="AM36:AO36"/>
    <mergeCell ref="A33:B34"/>
    <mergeCell ref="A35:A37"/>
    <mergeCell ref="B35:B37"/>
    <mergeCell ref="C35:AO35"/>
    <mergeCell ref="C36:E36"/>
    <mergeCell ref="F36:H36"/>
    <mergeCell ref="I36:K36"/>
    <mergeCell ref="L36:N36"/>
    <mergeCell ref="O36:Q36"/>
    <mergeCell ref="R36:T36"/>
    <mergeCell ref="U36:W36"/>
    <mergeCell ref="X36:Z36"/>
    <mergeCell ref="AA36:AC36"/>
    <mergeCell ref="AD36:AF36"/>
    <mergeCell ref="AG36:AI3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F4E22-5229-464A-A153-A0EC76688A10}">
  <dimension ref="A1:AO30"/>
  <sheetViews>
    <sheetView topLeftCell="A21" workbookViewId="0"/>
  </sheetViews>
  <sheetFormatPr defaultColWidth="9.140625" defaultRowHeight="18" x14ac:dyDescent="0.5"/>
  <cols>
    <col min="1" max="2" width="9.140625" style="22"/>
    <col min="3" max="5" width="9.140625" style="22" hidden="1" customWidth="1"/>
    <col min="6" max="8" width="9.140625" style="22" customWidth="1"/>
    <col min="9" max="23" width="9.140625" style="22" hidden="1" customWidth="1"/>
    <col min="24" max="26" width="9.140625" style="22" customWidth="1"/>
    <col min="27" max="38" width="9.140625" style="22" hidden="1" customWidth="1"/>
    <col min="39" max="16384" width="9.140625" style="22"/>
  </cols>
  <sheetData>
    <row r="1" spans="1:41" hidden="1" x14ac:dyDescent="0.5"/>
    <row r="2" spans="1:41" hidden="1" x14ac:dyDescent="0.5">
      <c r="A2" s="573" t="s">
        <v>434</v>
      </c>
      <c r="B2" s="573"/>
    </row>
    <row r="3" spans="1:41" hidden="1" x14ac:dyDescent="0.5">
      <c r="A3" s="573"/>
      <c r="B3" s="573"/>
    </row>
    <row r="4" spans="1:41" hidden="1" x14ac:dyDescent="0.5">
      <c r="A4" s="551" t="s">
        <v>118</v>
      </c>
      <c r="B4" s="552" t="s">
        <v>135</v>
      </c>
      <c r="C4" s="553"/>
      <c r="D4" s="553"/>
      <c r="E4" s="553"/>
      <c r="F4" s="553"/>
      <c r="G4" s="553"/>
      <c r="H4" s="553"/>
      <c r="I4" s="553"/>
      <c r="J4" s="553"/>
      <c r="K4" s="553"/>
      <c r="L4" s="553"/>
      <c r="M4" s="553"/>
      <c r="N4" s="553"/>
      <c r="O4" s="553"/>
      <c r="P4" s="553"/>
      <c r="Q4" s="553"/>
      <c r="R4" s="553"/>
      <c r="S4" s="553"/>
      <c r="T4" s="553"/>
      <c r="U4" s="553"/>
      <c r="V4" s="553"/>
      <c r="W4" s="553"/>
      <c r="X4" s="553"/>
      <c r="Y4" s="553"/>
      <c r="Z4" s="553"/>
      <c r="AA4" s="553"/>
      <c r="AB4" s="553"/>
      <c r="AC4" s="553"/>
      <c r="AD4" s="553"/>
      <c r="AE4" s="553"/>
      <c r="AF4" s="553"/>
      <c r="AG4" s="553"/>
      <c r="AH4" s="553"/>
      <c r="AI4" s="553"/>
      <c r="AJ4" s="553"/>
      <c r="AK4" s="553"/>
      <c r="AL4" s="553"/>
      <c r="AM4" s="553"/>
      <c r="AN4" s="553"/>
      <c r="AO4" s="553"/>
    </row>
    <row r="5" spans="1:41" ht="21" hidden="1" x14ac:dyDescent="0.5">
      <c r="A5" s="551"/>
      <c r="B5" s="552"/>
      <c r="C5" s="574" t="s">
        <v>134</v>
      </c>
      <c r="D5" s="575"/>
      <c r="E5" s="576"/>
      <c r="F5" s="562" t="s">
        <v>133</v>
      </c>
      <c r="G5" s="562"/>
      <c r="H5" s="562"/>
      <c r="I5" s="562" t="s">
        <v>132</v>
      </c>
      <c r="J5" s="562"/>
      <c r="K5" s="562"/>
      <c r="L5" s="562" t="s">
        <v>131</v>
      </c>
      <c r="M5" s="562"/>
      <c r="N5" s="562"/>
      <c r="O5" s="562" t="s">
        <v>130</v>
      </c>
      <c r="P5" s="562"/>
      <c r="Q5" s="562"/>
      <c r="R5" s="562" t="s">
        <v>129</v>
      </c>
      <c r="S5" s="562"/>
      <c r="T5" s="562"/>
      <c r="U5" s="568" t="s">
        <v>128</v>
      </c>
      <c r="V5" s="566"/>
      <c r="W5" s="567"/>
      <c r="X5" s="562" t="s">
        <v>127</v>
      </c>
      <c r="Y5" s="562"/>
      <c r="Z5" s="562"/>
      <c r="AA5" s="562" t="s">
        <v>126</v>
      </c>
      <c r="AB5" s="562"/>
      <c r="AC5" s="562"/>
      <c r="AD5" s="562" t="s">
        <v>125</v>
      </c>
      <c r="AE5" s="562"/>
      <c r="AF5" s="562"/>
      <c r="AG5" s="562" t="s">
        <v>124</v>
      </c>
      <c r="AH5" s="562"/>
      <c r="AI5" s="562"/>
      <c r="AJ5" s="562" t="s">
        <v>123</v>
      </c>
      <c r="AK5" s="562"/>
      <c r="AL5" s="206"/>
      <c r="AM5" s="562" t="s">
        <v>122</v>
      </c>
      <c r="AN5" s="562"/>
      <c r="AO5" s="562"/>
    </row>
    <row r="6" spans="1:41" ht="21" hidden="1" x14ac:dyDescent="0.5">
      <c r="A6" s="551"/>
      <c r="B6" s="552"/>
      <c r="C6" s="208" t="s">
        <v>109</v>
      </c>
      <c r="D6" s="208" t="s">
        <v>108</v>
      </c>
      <c r="E6" s="208" t="s">
        <v>348</v>
      </c>
      <c r="F6" s="208" t="s">
        <v>109</v>
      </c>
      <c r="G6" s="208" t="s">
        <v>108</v>
      </c>
      <c r="H6" s="208" t="s">
        <v>348</v>
      </c>
      <c r="I6" s="208" t="s">
        <v>109</v>
      </c>
      <c r="J6" s="208" t="s">
        <v>108</v>
      </c>
      <c r="K6" s="208" t="s">
        <v>348</v>
      </c>
      <c r="L6" s="208" t="s">
        <v>109</v>
      </c>
      <c r="M6" s="208" t="s">
        <v>108</v>
      </c>
      <c r="N6" s="208" t="s">
        <v>348</v>
      </c>
      <c r="O6" s="208" t="s">
        <v>109</v>
      </c>
      <c r="P6" s="208" t="s">
        <v>108</v>
      </c>
      <c r="Q6" s="208" t="s">
        <v>348</v>
      </c>
      <c r="R6" s="208" t="s">
        <v>109</v>
      </c>
      <c r="S6" s="208" t="s">
        <v>108</v>
      </c>
      <c r="T6" s="208" t="s">
        <v>348</v>
      </c>
      <c r="U6" s="208" t="s">
        <v>109</v>
      </c>
      <c r="V6" s="208" t="s">
        <v>108</v>
      </c>
      <c r="W6" s="208" t="s">
        <v>348</v>
      </c>
      <c r="X6" s="208" t="s">
        <v>109</v>
      </c>
      <c r="Y6" s="208" t="s">
        <v>108</v>
      </c>
      <c r="Z6" s="208" t="s">
        <v>348</v>
      </c>
      <c r="AA6" s="208" t="s">
        <v>109</v>
      </c>
      <c r="AB6" s="208" t="s">
        <v>108</v>
      </c>
      <c r="AC6" s="208" t="s">
        <v>348</v>
      </c>
      <c r="AD6" s="208" t="s">
        <v>109</v>
      </c>
      <c r="AE6" s="208" t="s">
        <v>108</v>
      </c>
      <c r="AF6" s="208" t="s">
        <v>348</v>
      </c>
      <c r="AG6" s="208" t="s">
        <v>109</v>
      </c>
      <c r="AH6" s="208" t="s">
        <v>108</v>
      </c>
      <c r="AI6" s="208" t="s">
        <v>348</v>
      </c>
      <c r="AJ6" s="208" t="s">
        <v>109</v>
      </c>
      <c r="AK6" s="208" t="s">
        <v>108</v>
      </c>
      <c r="AL6" s="208" t="s">
        <v>348</v>
      </c>
      <c r="AM6" s="208" t="s">
        <v>109</v>
      </c>
      <c r="AN6" s="208" t="s">
        <v>108</v>
      </c>
      <c r="AO6" s="208" t="s">
        <v>348</v>
      </c>
    </row>
    <row r="7" spans="1:41" hidden="1" x14ac:dyDescent="0.5">
      <c r="A7" s="16">
        <v>1</v>
      </c>
      <c r="B7" s="15">
        <v>46038</v>
      </c>
      <c r="C7" s="19"/>
      <c r="D7" s="19"/>
      <c r="E7" s="19"/>
      <c r="F7" s="19">
        <v>100</v>
      </c>
      <c r="G7" s="19">
        <v>1400</v>
      </c>
      <c r="H7" s="19">
        <v>896</v>
      </c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>
        <f>F7+X7</f>
        <v>100</v>
      </c>
      <c r="AN7" s="19">
        <f>G7+Y7</f>
        <v>1400</v>
      </c>
      <c r="AO7" s="19">
        <f>H7+Z7</f>
        <v>896</v>
      </c>
    </row>
    <row r="8" spans="1:41" hidden="1" x14ac:dyDescent="0.5">
      <c r="A8" s="16">
        <v>2</v>
      </c>
      <c r="B8" s="15">
        <v>46043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21"/>
      <c r="P8" s="178"/>
      <c r="Q8" s="19"/>
      <c r="R8" s="19"/>
      <c r="S8" s="19"/>
      <c r="T8" s="19"/>
      <c r="U8" s="19"/>
      <c r="V8" s="19"/>
      <c r="W8" s="19"/>
      <c r="X8" s="19">
        <v>100</v>
      </c>
      <c r="Y8" s="19">
        <v>1200</v>
      </c>
      <c r="Z8" s="19">
        <v>1200</v>
      </c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>
        <f t="shared" ref="AM8:AM9" si="0">F8+X8</f>
        <v>100</v>
      </c>
      <c r="AN8" s="19">
        <f t="shared" ref="AN8:AN9" si="1">G8+Y8</f>
        <v>1200</v>
      </c>
      <c r="AO8" s="19">
        <f t="shared" ref="AO8:AO9" si="2">H8+Z8</f>
        <v>1200</v>
      </c>
    </row>
    <row r="9" spans="1:41" hidden="1" x14ac:dyDescent="0.5">
      <c r="A9" s="16">
        <v>3</v>
      </c>
      <c r="B9" s="15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78"/>
      <c r="P9" s="178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>
        <f t="shared" si="0"/>
        <v>0</v>
      </c>
      <c r="AN9" s="19">
        <f t="shared" si="1"/>
        <v>0</v>
      </c>
      <c r="AO9" s="19">
        <f t="shared" si="2"/>
        <v>0</v>
      </c>
    </row>
    <row r="10" spans="1:41" hidden="1" x14ac:dyDescent="0.5">
      <c r="AM10" s="182">
        <f>SUM(AM7:AM9)</f>
        <v>200</v>
      </c>
      <c r="AN10" s="182">
        <f>SUM(AN7:AN9)</f>
        <v>2600</v>
      </c>
      <c r="AO10" s="182">
        <f>SUM(AO7:AO9)</f>
        <v>2096</v>
      </c>
    </row>
    <row r="11" spans="1:41" hidden="1" x14ac:dyDescent="0.5"/>
    <row r="12" spans="1:41" hidden="1" x14ac:dyDescent="0.5">
      <c r="A12" s="573" t="s">
        <v>496</v>
      </c>
      <c r="B12" s="573"/>
    </row>
    <row r="13" spans="1:41" hidden="1" x14ac:dyDescent="0.5">
      <c r="A13" s="573"/>
      <c r="B13" s="573"/>
    </row>
    <row r="14" spans="1:41" hidden="1" x14ac:dyDescent="0.5">
      <c r="A14" s="551" t="s">
        <v>118</v>
      </c>
      <c r="B14" s="552" t="s">
        <v>135</v>
      </c>
      <c r="C14" s="553"/>
      <c r="D14" s="553"/>
      <c r="E14" s="553"/>
      <c r="F14" s="553"/>
      <c r="G14" s="553"/>
      <c r="H14" s="553"/>
      <c r="I14" s="553"/>
      <c r="J14" s="553"/>
      <c r="K14" s="553"/>
      <c r="L14" s="553"/>
      <c r="M14" s="553"/>
      <c r="N14" s="553"/>
      <c r="O14" s="553"/>
      <c r="P14" s="553"/>
      <c r="Q14" s="553"/>
      <c r="R14" s="553"/>
      <c r="S14" s="553"/>
      <c r="T14" s="553"/>
      <c r="U14" s="553"/>
      <c r="V14" s="553"/>
      <c r="W14" s="553"/>
      <c r="X14" s="553"/>
      <c r="Y14" s="553"/>
      <c r="Z14" s="553"/>
      <c r="AA14" s="553"/>
      <c r="AB14" s="553"/>
      <c r="AC14" s="553"/>
      <c r="AD14" s="553"/>
      <c r="AE14" s="553"/>
      <c r="AF14" s="553"/>
      <c r="AG14" s="553"/>
      <c r="AH14" s="553"/>
      <c r="AI14" s="553"/>
      <c r="AJ14" s="553"/>
      <c r="AK14" s="553"/>
      <c r="AL14" s="553"/>
      <c r="AM14" s="553"/>
      <c r="AN14" s="553"/>
      <c r="AO14" s="553"/>
    </row>
    <row r="15" spans="1:41" ht="21" hidden="1" x14ac:dyDescent="0.5">
      <c r="A15" s="551"/>
      <c r="B15" s="552"/>
      <c r="C15" s="574" t="s">
        <v>134</v>
      </c>
      <c r="D15" s="575"/>
      <c r="E15" s="576"/>
      <c r="F15" s="562" t="s">
        <v>133</v>
      </c>
      <c r="G15" s="562"/>
      <c r="H15" s="562"/>
      <c r="I15" s="562" t="s">
        <v>132</v>
      </c>
      <c r="J15" s="562"/>
      <c r="K15" s="562"/>
      <c r="L15" s="562" t="s">
        <v>131</v>
      </c>
      <c r="M15" s="562"/>
      <c r="N15" s="562"/>
      <c r="O15" s="562" t="s">
        <v>130</v>
      </c>
      <c r="P15" s="562"/>
      <c r="Q15" s="562"/>
      <c r="R15" s="562" t="s">
        <v>129</v>
      </c>
      <c r="S15" s="562"/>
      <c r="T15" s="562"/>
      <c r="U15" s="568" t="s">
        <v>128</v>
      </c>
      <c r="V15" s="566"/>
      <c r="W15" s="567"/>
      <c r="X15" s="562" t="s">
        <v>127</v>
      </c>
      <c r="Y15" s="562"/>
      <c r="Z15" s="562"/>
      <c r="AA15" s="562" t="s">
        <v>126</v>
      </c>
      <c r="AB15" s="562"/>
      <c r="AC15" s="562"/>
      <c r="AD15" s="562" t="s">
        <v>125</v>
      </c>
      <c r="AE15" s="562"/>
      <c r="AF15" s="562"/>
      <c r="AG15" s="562" t="s">
        <v>124</v>
      </c>
      <c r="AH15" s="562"/>
      <c r="AI15" s="562"/>
      <c r="AJ15" s="562" t="s">
        <v>123</v>
      </c>
      <c r="AK15" s="562"/>
      <c r="AL15" s="206"/>
      <c r="AM15" s="562" t="s">
        <v>122</v>
      </c>
      <c r="AN15" s="562"/>
      <c r="AO15" s="562"/>
    </row>
    <row r="16" spans="1:41" ht="21" hidden="1" x14ac:dyDescent="0.5">
      <c r="A16" s="551"/>
      <c r="B16" s="552"/>
      <c r="C16" s="208" t="s">
        <v>109</v>
      </c>
      <c r="D16" s="208" t="s">
        <v>108</v>
      </c>
      <c r="E16" s="208" t="s">
        <v>348</v>
      </c>
      <c r="F16" s="208" t="s">
        <v>109</v>
      </c>
      <c r="G16" s="208" t="s">
        <v>108</v>
      </c>
      <c r="H16" s="208" t="s">
        <v>348</v>
      </c>
      <c r="I16" s="208" t="s">
        <v>109</v>
      </c>
      <c r="J16" s="208" t="s">
        <v>108</v>
      </c>
      <c r="K16" s="208" t="s">
        <v>348</v>
      </c>
      <c r="L16" s="208" t="s">
        <v>109</v>
      </c>
      <c r="M16" s="208" t="s">
        <v>108</v>
      </c>
      <c r="N16" s="208" t="s">
        <v>348</v>
      </c>
      <c r="O16" s="208" t="s">
        <v>109</v>
      </c>
      <c r="P16" s="208" t="s">
        <v>108</v>
      </c>
      <c r="Q16" s="208" t="s">
        <v>348</v>
      </c>
      <c r="R16" s="208" t="s">
        <v>109</v>
      </c>
      <c r="S16" s="208" t="s">
        <v>108</v>
      </c>
      <c r="T16" s="208" t="s">
        <v>348</v>
      </c>
      <c r="U16" s="208" t="s">
        <v>109</v>
      </c>
      <c r="V16" s="208" t="s">
        <v>108</v>
      </c>
      <c r="W16" s="208" t="s">
        <v>348</v>
      </c>
      <c r="X16" s="208" t="s">
        <v>109</v>
      </c>
      <c r="Y16" s="208" t="s">
        <v>108</v>
      </c>
      <c r="Z16" s="208" t="s">
        <v>348</v>
      </c>
      <c r="AA16" s="208" t="s">
        <v>109</v>
      </c>
      <c r="AB16" s="208" t="s">
        <v>108</v>
      </c>
      <c r="AC16" s="208" t="s">
        <v>348</v>
      </c>
      <c r="AD16" s="208" t="s">
        <v>109</v>
      </c>
      <c r="AE16" s="208" t="s">
        <v>108</v>
      </c>
      <c r="AF16" s="208" t="s">
        <v>348</v>
      </c>
      <c r="AG16" s="208" t="s">
        <v>109</v>
      </c>
      <c r="AH16" s="208" t="s">
        <v>108</v>
      </c>
      <c r="AI16" s="208" t="s">
        <v>348</v>
      </c>
      <c r="AJ16" s="208" t="s">
        <v>109</v>
      </c>
      <c r="AK16" s="208" t="s">
        <v>108</v>
      </c>
      <c r="AL16" s="208" t="s">
        <v>348</v>
      </c>
      <c r="AM16" s="208" t="s">
        <v>109</v>
      </c>
      <c r="AN16" s="208" t="s">
        <v>108</v>
      </c>
      <c r="AO16" s="208" t="s">
        <v>348</v>
      </c>
    </row>
    <row r="17" spans="1:41" hidden="1" x14ac:dyDescent="0.5">
      <c r="A17" s="16">
        <v>1</v>
      </c>
      <c r="B17" s="15">
        <v>46059</v>
      </c>
      <c r="C17" s="19"/>
      <c r="D17" s="19"/>
      <c r="E17" s="19"/>
      <c r="F17" s="19">
        <v>200</v>
      </c>
      <c r="G17" s="19">
        <v>2800</v>
      </c>
      <c r="H17" s="19">
        <v>1792</v>
      </c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>
        <f>F17+X17</f>
        <v>200</v>
      </c>
      <c r="AN17" s="19">
        <f>G17+Y17</f>
        <v>2800</v>
      </c>
      <c r="AO17" s="19">
        <f>H17+Z17</f>
        <v>1792</v>
      </c>
    </row>
    <row r="18" spans="1:41" hidden="1" x14ac:dyDescent="0.5">
      <c r="A18" s="16">
        <v>2</v>
      </c>
      <c r="B18" s="15">
        <v>46071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21"/>
      <c r="P18" s="178"/>
      <c r="Q18" s="19"/>
      <c r="R18" s="19"/>
      <c r="S18" s="19"/>
      <c r="T18" s="19"/>
      <c r="U18" s="19"/>
      <c r="V18" s="19"/>
      <c r="W18" s="19"/>
      <c r="X18" s="19">
        <v>100</v>
      </c>
      <c r="Y18" s="19">
        <v>1200</v>
      </c>
      <c r="Z18" s="19">
        <v>1200</v>
      </c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>
        <f t="shared" ref="AM18" si="3">F18+X18</f>
        <v>100</v>
      </c>
      <c r="AN18" s="19">
        <f t="shared" ref="AN18" si="4">G18+Y18</f>
        <v>1200</v>
      </c>
      <c r="AO18" s="19">
        <f t="shared" ref="AO18" si="5">H18+Z18</f>
        <v>1200</v>
      </c>
    </row>
    <row r="19" spans="1:41" hidden="1" x14ac:dyDescent="0.5">
      <c r="A19" s="16">
        <v>3</v>
      </c>
      <c r="B19" s="15">
        <v>46081</v>
      </c>
      <c r="C19" s="19"/>
      <c r="D19" s="19"/>
      <c r="E19" s="19"/>
      <c r="F19" s="19">
        <v>200</v>
      </c>
      <c r="G19" s="19">
        <v>2800</v>
      </c>
      <c r="H19" s="19">
        <v>1792</v>
      </c>
      <c r="I19" s="19"/>
      <c r="J19" s="19"/>
      <c r="K19" s="19"/>
      <c r="L19" s="19"/>
      <c r="M19" s="19"/>
      <c r="N19" s="19"/>
      <c r="O19" s="178"/>
      <c r="P19" s="178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>
        <f t="shared" ref="AM19" si="6">F19+X19</f>
        <v>200</v>
      </c>
      <c r="AN19" s="19">
        <f t="shared" ref="AN19" si="7">G19+Y19</f>
        <v>2800</v>
      </c>
      <c r="AO19" s="19">
        <f t="shared" ref="AO19" si="8">H19+Z19</f>
        <v>1792</v>
      </c>
    </row>
    <row r="20" spans="1:41" hidden="1" x14ac:dyDescent="0.5">
      <c r="AM20" s="182">
        <f>SUM(AM17:AM19)</f>
        <v>500</v>
      </c>
      <c r="AN20" s="182">
        <f>SUM(AN17:AN19)</f>
        <v>6800</v>
      </c>
      <c r="AO20" s="182">
        <f>SUM(AO17:AO19)</f>
        <v>4784</v>
      </c>
    </row>
    <row r="22" spans="1:41" x14ac:dyDescent="0.5">
      <c r="A22" s="573" t="s">
        <v>541</v>
      </c>
      <c r="B22" s="573"/>
    </row>
    <row r="23" spans="1:41" x14ac:dyDescent="0.5">
      <c r="A23" s="573"/>
      <c r="B23" s="573"/>
    </row>
    <row r="24" spans="1:41" x14ac:dyDescent="0.5">
      <c r="A24" s="551" t="s">
        <v>118</v>
      </c>
      <c r="B24" s="552" t="s">
        <v>135</v>
      </c>
      <c r="C24" s="553"/>
      <c r="D24" s="553"/>
      <c r="E24" s="553"/>
      <c r="F24" s="553"/>
      <c r="G24" s="553"/>
      <c r="H24" s="553"/>
      <c r="I24" s="553"/>
      <c r="J24" s="553"/>
      <c r="K24" s="553"/>
      <c r="L24" s="553"/>
      <c r="M24" s="553"/>
      <c r="N24" s="553"/>
      <c r="O24" s="553"/>
      <c r="P24" s="553"/>
      <c r="Q24" s="553"/>
      <c r="R24" s="553"/>
      <c r="S24" s="553"/>
      <c r="T24" s="553"/>
      <c r="U24" s="553"/>
      <c r="V24" s="553"/>
      <c r="W24" s="553"/>
      <c r="X24" s="553"/>
      <c r="Y24" s="553"/>
      <c r="Z24" s="553"/>
      <c r="AA24" s="553"/>
      <c r="AB24" s="553"/>
      <c r="AC24" s="553"/>
      <c r="AD24" s="553"/>
      <c r="AE24" s="553"/>
      <c r="AF24" s="553"/>
      <c r="AG24" s="553"/>
      <c r="AH24" s="553"/>
      <c r="AI24" s="553"/>
      <c r="AJ24" s="553"/>
      <c r="AK24" s="553"/>
      <c r="AL24" s="553"/>
      <c r="AM24" s="553"/>
      <c r="AN24" s="553"/>
      <c r="AO24" s="553"/>
    </row>
    <row r="25" spans="1:41" ht="21" x14ac:dyDescent="0.5">
      <c r="A25" s="551"/>
      <c r="B25" s="552"/>
      <c r="C25" s="574" t="s">
        <v>134</v>
      </c>
      <c r="D25" s="575"/>
      <c r="E25" s="576"/>
      <c r="F25" s="562" t="s">
        <v>133</v>
      </c>
      <c r="G25" s="562"/>
      <c r="H25" s="562"/>
      <c r="I25" s="562" t="s">
        <v>132</v>
      </c>
      <c r="J25" s="562"/>
      <c r="K25" s="562"/>
      <c r="L25" s="562" t="s">
        <v>131</v>
      </c>
      <c r="M25" s="562"/>
      <c r="N25" s="562"/>
      <c r="O25" s="562" t="s">
        <v>130</v>
      </c>
      <c r="P25" s="562"/>
      <c r="Q25" s="562"/>
      <c r="R25" s="562" t="s">
        <v>129</v>
      </c>
      <c r="S25" s="562"/>
      <c r="T25" s="562"/>
      <c r="U25" s="568" t="s">
        <v>128</v>
      </c>
      <c r="V25" s="566"/>
      <c r="W25" s="567"/>
      <c r="X25" s="562" t="s">
        <v>127</v>
      </c>
      <c r="Y25" s="562"/>
      <c r="Z25" s="562"/>
      <c r="AA25" s="562" t="s">
        <v>126</v>
      </c>
      <c r="AB25" s="562"/>
      <c r="AC25" s="562"/>
      <c r="AD25" s="562" t="s">
        <v>125</v>
      </c>
      <c r="AE25" s="562"/>
      <c r="AF25" s="562"/>
      <c r="AG25" s="562" t="s">
        <v>124</v>
      </c>
      <c r="AH25" s="562"/>
      <c r="AI25" s="562"/>
      <c r="AJ25" s="562" t="s">
        <v>123</v>
      </c>
      <c r="AK25" s="562"/>
      <c r="AL25" s="206"/>
      <c r="AM25" s="562" t="s">
        <v>122</v>
      </c>
      <c r="AN25" s="562"/>
      <c r="AO25" s="562"/>
    </row>
    <row r="26" spans="1:41" ht="21" x14ac:dyDescent="0.5">
      <c r="A26" s="551"/>
      <c r="B26" s="552"/>
      <c r="C26" s="208" t="s">
        <v>109</v>
      </c>
      <c r="D26" s="208" t="s">
        <v>108</v>
      </c>
      <c r="E26" s="208" t="s">
        <v>348</v>
      </c>
      <c r="F26" s="208" t="s">
        <v>109</v>
      </c>
      <c r="G26" s="208" t="s">
        <v>108</v>
      </c>
      <c r="H26" s="208" t="s">
        <v>348</v>
      </c>
      <c r="I26" s="208" t="s">
        <v>109</v>
      </c>
      <c r="J26" s="208" t="s">
        <v>108</v>
      </c>
      <c r="K26" s="208" t="s">
        <v>348</v>
      </c>
      <c r="L26" s="208" t="s">
        <v>109</v>
      </c>
      <c r="M26" s="208" t="s">
        <v>108</v>
      </c>
      <c r="N26" s="208" t="s">
        <v>348</v>
      </c>
      <c r="O26" s="208" t="s">
        <v>109</v>
      </c>
      <c r="P26" s="208" t="s">
        <v>108</v>
      </c>
      <c r="Q26" s="208" t="s">
        <v>348</v>
      </c>
      <c r="R26" s="208" t="s">
        <v>109</v>
      </c>
      <c r="S26" s="208" t="s">
        <v>108</v>
      </c>
      <c r="T26" s="208" t="s">
        <v>348</v>
      </c>
      <c r="U26" s="208" t="s">
        <v>109</v>
      </c>
      <c r="V26" s="208" t="s">
        <v>108</v>
      </c>
      <c r="W26" s="208" t="s">
        <v>348</v>
      </c>
      <c r="X26" s="208" t="s">
        <v>109</v>
      </c>
      <c r="Y26" s="208" t="s">
        <v>108</v>
      </c>
      <c r="Z26" s="208" t="s">
        <v>348</v>
      </c>
      <c r="AA26" s="208" t="s">
        <v>109</v>
      </c>
      <c r="AB26" s="208" t="s">
        <v>108</v>
      </c>
      <c r="AC26" s="208" t="s">
        <v>348</v>
      </c>
      <c r="AD26" s="208" t="s">
        <v>109</v>
      </c>
      <c r="AE26" s="208" t="s">
        <v>108</v>
      </c>
      <c r="AF26" s="208" t="s">
        <v>348</v>
      </c>
      <c r="AG26" s="208" t="s">
        <v>109</v>
      </c>
      <c r="AH26" s="208" t="s">
        <v>108</v>
      </c>
      <c r="AI26" s="208" t="s">
        <v>348</v>
      </c>
      <c r="AJ26" s="208" t="s">
        <v>109</v>
      </c>
      <c r="AK26" s="208" t="s">
        <v>108</v>
      </c>
      <c r="AL26" s="208" t="s">
        <v>348</v>
      </c>
      <c r="AM26" s="208" t="s">
        <v>109</v>
      </c>
      <c r="AN26" s="208" t="s">
        <v>108</v>
      </c>
      <c r="AO26" s="208" t="s">
        <v>348</v>
      </c>
    </row>
    <row r="27" spans="1:41" x14ac:dyDescent="0.5">
      <c r="A27" s="16">
        <v>1</v>
      </c>
      <c r="B27" s="15">
        <v>46090</v>
      </c>
      <c r="C27" s="19"/>
      <c r="D27" s="19"/>
      <c r="E27" s="19"/>
      <c r="F27" s="19">
        <v>200</v>
      </c>
      <c r="G27" s="19">
        <v>2800</v>
      </c>
      <c r="H27" s="19">
        <v>1792</v>
      </c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>
        <v>100</v>
      </c>
      <c r="Y27" s="19">
        <v>1200</v>
      </c>
      <c r="Z27" s="19">
        <v>1200</v>
      </c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>
        <f>F27+X27</f>
        <v>300</v>
      </c>
      <c r="AN27" s="19">
        <f>G27+Y27</f>
        <v>4000</v>
      </c>
      <c r="AO27" s="19">
        <f>H27+Z27</f>
        <v>2992</v>
      </c>
    </row>
    <row r="28" spans="1:41" x14ac:dyDescent="0.5">
      <c r="A28" s="16">
        <v>2</v>
      </c>
      <c r="B28" s="15">
        <v>46099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21"/>
      <c r="P28" s="178"/>
      <c r="Q28" s="19"/>
      <c r="R28" s="19"/>
      <c r="S28" s="19"/>
      <c r="T28" s="19"/>
      <c r="U28" s="19"/>
      <c r="V28" s="19"/>
      <c r="W28" s="19"/>
      <c r="X28" s="19">
        <v>200</v>
      </c>
      <c r="Y28" s="19">
        <v>2400</v>
      </c>
      <c r="Z28" s="19">
        <v>2400</v>
      </c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>
        <f t="shared" ref="AM28:AM29" si="9">F28+X28</f>
        <v>200</v>
      </c>
      <c r="AN28" s="19">
        <f t="shared" ref="AN28:AN29" si="10">G28+Y28</f>
        <v>2400</v>
      </c>
      <c r="AO28" s="19">
        <f t="shared" ref="AO28:AO29" si="11">H28+Z28</f>
        <v>2400</v>
      </c>
    </row>
    <row r="29" spans="1:41" x14ac:dyDescent="0.5">
      <c r="A29" s="16">
        <v>3</v>
      </c>
      <c r="B29" s="15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78"/>
      <c r="P29" s="178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>
        <f t="shared" si="9"/>
        <v>0</v>
      </c>
      <c r="AN29" s="19">
        <f t="shared" si="10"/>
        <v>0</v>
      </c>
      <c r="AO29" s="19">
        <f t="shared" si="11"/>
        <v>0</v>
      </c>
    </row>
    <row r="30" spans="1:41" x14ac:dyDescent="0.5">
      <c r="AM30" s="182">
        <f>SUM(AM27:AM29)</f>
        <v>500</v>
      </c>
      <c r="AN30" s="182">
        <f>SUM(AN27:AN29)</f>
        <v>6400</v>
      </c>
      <c r="AO30" s="182">
        <f>SUM(AO27:AO29)</f>
        <v>5392</v>
      </c>
    </row>
  </sheetData>
  <mergeCells count="51">
    <mergeCell ref="AA15:AC15"/>
    <mergeCell ref="AD15:AF15"/>
    <mergeCell ref="A12:B13"/>
    <mergeCell ref="A14:A16"/>
    <mergeCell ref="B14:B16"/>
    <mergeCell ref="C14:AO14"/>
    <mergeCell ref="C15:E15"/>
    <mergeCell ref="F15:H15"/>
    <mergeCell ref="I15:K15"/>
    <mergeCell ref="L15:N15"/>
    <mergeCell ref="O15:Q15"/>
    <mergeCell ref="R15:T15"/>
    <mergeCell ref="U15:W15"/>
    <mergeCell ref="X15:Z15"/>
    <mergeCell ref="AD5:AF5"/>
    <mergeCell ref="AJ5:AK5"/>
    <mergeCell ref="AM5:AO5"/>
    <mergeCell ref="AG15:AI15"/>
    <mergeCell ref="AJ15:AK15"/>
    <mergeCell ref="AJ25:AK25"/>
    <mergeCell ref="A2:B3"/>
    <mergeCell ref="A4:A6"/>
    <mergeCell ref="B4:B6"/>
    <mergeCell ref="C4:AO4"/>
    <mergeCell ref="C5:E5"/>
    <mergeCell ref="F5:H5"/>
    <mergeCell ref="I5:K5"/>
    <mergeCell ref="L5:N5"/>
    <mergeCell ref="O5:Q5"/>
    <mergeCell ref="R5:T5"/>
    <mergeCell ref="U5:W5"/>
    <mergeCell ref="X5:Z5"/>
    <mergeCell ref="AA5:AC5"/>
    <mergeCell ref="AG5:AI5"/>
    <mergeCell ref="AM15:AO15"/>
    <mergeCell ref="AM25:AO25"/>
    <mergeCell ref="A22:B23"/>
    <mergeCell ref="A24:A26"/>
    <mergeCell ref="B24:B26"/>
    <mergeCell ref="C24:AO24"/>
    <mergeCell ref="C25:E25"/>
    <mergeCell ref="F25:H25"/>
    <mergeCell ref="I25:K25"/>
    <mergeCell ref="L25:N25"/>
    <mergeCell ref="O25:Q25"/>
    <mergeCell ref="R25:T25"/>
    <mergeCell ref="U25:W25"/>
    <mergeCell ref="X25:Z25"/>
    <mergeCell ref="AA25:AC25"/>
    <mergeCell ref="AD25:AF25"/>
    <mergeCell ref="AG25:AI25"/>
  </mergeCells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D39CA-110C-447A-B038-581EA1F64474}">
  <dimension ref="A1:AL34"/>
  <sheetViews>
    <sheetView topLeftCell="A24" workbookViewId="0">
      <selection activeCell="S42" sqref="S42"/>
    </sheetView>
  </sheetViews>
  <sheetFormatPr defaultColWidth="9.140625" defaultRowHeight="18" x14ac:dyDescent="0.5"/>
  <cols>
    <col min="1" max="2" width="9.140625" style="22"/>
    <col min="3" max="11" width="9.140625" style="22" hidden="1" customWidth="1"/>
    <col min="12" max="23" width="9.140625" style="22" customWidth="1"/>
    <col min="24" max="35" width="9.140625" style="22" hidden="1" customWidth="1"/>
    <col min="36" max="16384" width="9.140625" style="22"/>
  </cols>
  <sheetData>
    <row r="1" spans="1:38" hidden="1" x14ac:dyDescent="0.5">
      <c r="A1" s="550" t="s">
        <v>440</v>
      </c>
      <c r="B1" s="550"/>
    </row>
    <row r="2" spans="1:38" hidden="1" x14ac:dyDescent="0.5">
      <c r="A2" s="550"/>
      <c r="B2" s="550"/>
    </row>
    <row r="3" spans="1:38" hidden="1" x14ac:dyDescent="0.5">
      <c r="A3" s="551" t="s">
        <v>118</v>
      </c>
      <c r="B3" s="552" t="s">
        <v>135</v>
      </c>
      <c r="C3" s="553"/>
      <c r="D3" s="553"/>
      <c r="E3" s="553"/>
      <c r="F3" s="553"/>
      <c r="G3" s="553"/>
      <c r="H3" s="553"/>
      <c r="I3" s="553"/>
      <c r="J3" s="553"/>
      <c r="K3" s="553"/>
      <c r="L3" s="553"/>
      <c r="M3" s="553"/>
      <c r="N3" s="553"/>
      <c r="O3" s="553"/>
      <c r="P3" s="553"/>
      <c r="Q3" s="553"/>
      <c r="R3" s="553"/>
      <c r="S3" s="553"/>
      <c r="T3" s="553"/>
      <c r="U3" s="553"/>
      <c r="V3" s="553"/>
      <c r="W3" s="553"/>
      <c r="X3" s="553"/>
      <c r="Y3" s="553"/>
      <c r="Z3" s="553"/>
      <c r="AA3" s="553"/>
      <c r="AB3" s="553"/>
      <c r="AC3" s="553"/>
      <c r="AD3" s="553"/>
      <c r="AE3" s="553"/>
      <c r="AF3" s="553"/>
      <c r="AG3" s="553"/>
      <c r="AH3" s="553"/>
      <c r="AI3" s="553"/>
      <c r="AJ3" s="553"/>
      <c r="AK3" s="553"/>
      <c r="AL3" s="553"/>
    </row>
    <row r="4" spans="1:38" ht="21" hidden="1" x14ac:dyDescent="0.5">
      <c r="A4" s="551"/>
      <c r="B4" s="552"/>
      <c r="C4" s="568" t="s">
        <v>385</v>
      </c>
      <c r="D4" s="566"/>
      <c r="E4" s="567"/>
      <c r="F4" s="562" t="s">
        <v>133</v>
      </c>
      <c r="G4" s="562"/>
      <c r="H4" s="562"/>
      <c r="I4" s="577" t="s">
        <v>132</v>
      </c>
      <c r="J4" s="577"/>
      <c r="K4" s="577"/>
      <c r="L4" s="578" t="s">
        <v>386</v>
      </c>
      <c r="M4" s="579"/>
      <c r="N4" s="580"/>
      <c r="O4" s="577" t="s">
        <v>133</v>
      </c>
      <c r="P4" s="577"/>
      <c r="Q4" s="577"/>
      <c r="R4" s="578" t="s">
        <v>128</v>
      </c>
      <c r="S4" s="579"/>
      <c r="T4" s="580"/>
      <c r="U4" s="581" t="s">
        <v>127</v>
      </c>
      <c r="V4" s="581"/>
      <c r="W4" s="581"/>
      <c r="X4" s="577" t="s">
        <v>126</v>
      </c>
      <c r="Y4" s="577"/>
      <c r="Z4" s="577"/>
      <c r="AA4" s="582" t="s">
        <v>125</v>
      </c>
      <c r="AB4" s="582"/>
      <c r="AC4" s="582"/>
      <c r="AD4" s="577" t="s">
        <v>392</v>
      </c>
      <c r="AE4" s="577"/>
      <c r="AF4" s="577"/>
      <c r="AG4" s="577" t="s">
        <v>123</v>
      </c>
      <c r="AH4" s="577"/>
      <c r="AI4" s="209"/>
      <c r="AJ4" s="562" t="s">
        <v>122</v>
      </c>
      <c r="AK4" s="562"/>
      <c r="AL4" s="562"/>
    </row>
    <row r="5" spans="1:38" ht="21" hidden="1" x14ac:dyDescent="0.5">
      <c r="A5" s="551"/>
      <c r="B5" s="552"/>
      <c r="C5" s="208" t="s">
        <v>109</v>
      </c>
      <c r="D5" s="208" t="s">
        <v>108</v>
      </c>
      <c r="E5" s="208" t="s">
        <v>348</v>
      </c>
      <c r="F5" s="208" t="s">
        <v>109</v>
      </c>
      <c r="G5" s="208" t="s">
        <v>108</v>
      </c>
      <c r="H5" s="208" t="s">
        <v>348</v>
      </c>
      <c r="I5" s="208" t="s">
        <v>109</v>
      </c>
      <c r="J5" s="208" t="s">
        <v>108</v>
      </c>
      <c r="K5" s="208" t="s">
        <v>348</v>
      </c>
      <c r="L5" s="208" t="s">
        <v>109</v>
      </c>
      <c r="M5" s="208" t="s">
        <v>108</v>
      </c>
      <c r="N5" s="208" t="s">
        <v>348</v>
      </c>
      <c r="O5" s="208" t="s">
        <v>109</v>
      </c>
      <c r="P5" s="208" t="s">
        <v>108</v>
      </c>
      <c r="Q5" s="208" t="s">
        <v>348</v>
      </c>
      <c r="R5" s="208" t="s">
        <v>109</v>
      </c>
      <c r="S5" s="208" t="s">
        <v>108</v>
      </c>
      <c r="T5" s="208" t="s">
        <v>348</v>
      </c>
      <c r="U5" s="208" t="s">
        <v>109</v>
      </c>
      <c r="V5" s="208" t="s">
        <v>108</v>
      </c>
      <c r="W5" s="208" t="s">
        <v>348</v>
      </c>
      <c r="X5" s="208" t="s">
        <v>109</v>
      </c>
      <c r="Y5" s="208" t="s">
        <v>108</v>
      </c>
      <c r="Z5" s="208" t="s">
        <v>348</v>
      </c>
      <c r="AA5" s="208" t="s">
        <v>109</v>
      </c>
      <c r="AB5" s="208" t="s">
        <v>108</v>
      </c>
      <c r="AC5" s="208" t="s">
        <v>348</v>
      </c>
      <c r="AD5" s="208" t="s">
        <v>109</v>
      </c>
      <c r="AE5" s="208" t="s">
        <v>108</v>
      </c>
      <c r="AF5" s="208" t="s">
        <v>348</v>
      </c>
      <c r="AG5" s="208" t="s">
        <v>109</v>
      </c>
      <c r="AH5" s="208" t="s">
        <v>108</v>
      </c>
      <c r="AI5" s="208" t="s">
        <v>348</v>
      </c>
      <c r="AJ5" s="208" t="s">
        <v>109</v>
      </c>
      <c r="AK5" s="208" t="s">
        <v>108</v>
      </c>
      <c r="AL5" s="208" t="s">
        <v>348</v>
      </c>
    </row>
    <row r="6" spans="1:38" hidden="1" x14ac:dyDescent="0.5">
      <c r="A6" s="16">
        <v>1</v>
      </c>
      <c r="B6" s="15">
        <v>46030</v>
      </c>
      <c r="C6" s="19"/>
      <c r="D6" s="19"/>
      <c r="E6" s="19"/>
      <c r="F6" s="19"/>
      <c r="G6" s="19"/>
      <c r="H6" s="19"/>
      <c r="I6" s="19"/>
      <c r="J6" s="19"/>
      <c r="K6" s="19"/>
      <c r="L6" s="19">
        <v>100</v>
      </c>
      <c r="M6" s="19">
        <v>1400</v>
      </c>
      <c r="N6" s="19">
        <v>896</v>
      </c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>
        <f t="shared" ref="AJ6:AL6" si="0">L6+R6+AD6+O6</f>
        <v>100</v>
      </c>
      <c r="AK6" s="19">
        <f t="shared" si="0"/>
        <v>1400</v>
      </c>
      <c r="AL6" s="19">
        <f t="shared" si="0"/>
        <v>896</v>
      </c>
    </row>
    <row r="7" spans="1:38" hidden="1" x14ac:dyDescent="0.5">
      <c r="A7" s="16">
        <v>2</v>
      </c>
      <c r="B7" s="15">
        <v>46031</v>
      </c>
      <c r="C7" s="19"/>
      <c r="D7" s="19"/>
      <c r="E7" s="19"/>
      <c r="F7" s="19"/>
      <c r="G7" s="19"/>
      <c r="H7" s="19"/>
      <c r="I7" s="19"/>
      <c r="J7" s="19"/>
      <c r="K7" s="19"/>
      <c r="L7" s="19">
        <v>50</v>
      </c>
      <c r="M7" s="19">
        <v>700</v>
      </c>
      <c r="N7" s="19">
        <v>448</v>
      </c>
      <c r="O7" s="21">
        <v>50</v>
      </c>
      <c r="P7" s="178">
        <v>700</v>
      </c>
      <c r="Q7" s="19">
        <v>448</v>
      </c>
      <c r="R7" s="19"/>
      <c r="S7" s="19"/>
      <c r="T7" s="19"/>
      <c r="U7" s="19">
        <v>50</v>
      </c>
      <c r="V7" s="19">
        <v>600</v>
      </c>
      <c r="W7" s="19">
        <v>600</v>
      </c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>
        <f t="shared" ref="AJ7:AL8" si="1">L7+R7+AD7+O7+U7</f>
        <v>150</v>
      </c>
      <c r="AK7" s="19">
        <f t="shared" si="1"/>
        <v>2000</v>
      </c>
      <c r="AL7" s="19">
        <f t="shared" si="1"/>
        <v>1496</v>
      </c>
    </row>
    <row r="8" spans="1:38" hidden="1" x14ac:dyDescent="0.5">
      <c r="A8" s="16">
        <v>3</v>
      </c>
      <c r="B8" s="15">
        <v>46042</v>
      </c>
      <c r="C8" s="19"/>
      <c r="D8" s="19"/>
      <c r="E8" s="19"/>
      <c r="F8" s="19"/>
      <c r="G8" s="19"/>
      <c r="H8" s="19"/>
      <c r="I8" s="19"/>
      <c r="J8" s="19"/>
      <c r="K8" s="19"/>
      <c r="L8" s="19">
        <v>50</v>
      </c>
      <c r="M8" s="19">
        <v>700</v>
      </c>
      <c r="N8" s="19">
        <v>448</v>
      </c>
      <c r="O8" s="19"/>
      <c r="P8" s="19"/>
      <c r="Q8" s="19"/>
      <c r="R8" s="375">
        <v>50</v>
      </c>
      <c r="S8" s="375">
        <v>600</v>
      </c>
      <c r="T8" s="375">
        <v>600</v>
      </c>
      <c r="U8" s="19">
        <v>50</v>
      </c>
      <c r="V8" s="19">
        <v>600</v>
      </c>
      <c r="W8" s="19">
        <v>600</v>
      </c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>
        <f t="shared" si="1"/>
        <v>150</v>
      </c>
      <c r="AK8" s="19">
        <f t="shared" si="1"/>
        <v>1900</v>
      </c>
      <c r="AL8" s="19">
        <f t="shared" si="1"/>
        <v>1648</v>
      </c>
    </row>
    <row r="9" spans="1:38" hidden="1" x14ac:dyDescent="0.5">
      <c r="A9" s="16">
        <v>4</v>
      </c>
      <c r="B9" s="15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375"/>
      <c r="S9" s="375"/>
      <c r="T9" s="375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>
        <f t="shared" ref="AJ9:AJ11" si="2">L9+R9+AD9+O9+U9</f>
        <v>0</v>
      </c>
      <c r="AK9" s="19">
        <f t="shared" ref="AK9:AK11" si="3">M9+S9+AE9+P9+V9</f>
        <v>0</v>
      </c>
      <c r="AL9" s="19">
        <f t="shared" ref="AL9:AL11" si="4">N9+T9+AF9+Q9+W9</f>
        <v>0</v>
      </c>
    </row>
    <row r="10" spans="1:38" hidden="1" x14ac:dyDescent="0.5">
      <c r="A10" s="16"/>
      <c r="B10" s="15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>
        <f t="shared" si="2"/>
        <v>0</v>
      </c>
      <c r="AK10" s="19">
        <f t="shared" si="3"/>
        <v>0</v>
      </c>
      <c r="AL10" s="19">
        <f t="shared" si="4"/>
        <v>0</v>
      </c>
    </row>
    <row r="11" spans="1:38" hidden="1" x14ac:dyDescent="0.5">
      <c r="A11" s="16"/>
      <c r="B11" s="15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>
        <f t="shared" si="2"/>
        <v>0</v>
      </c>
      <c r="AK11" s="19">
        <f t="shared" si="3"/>
        <v>0</v>
      </c>
      <c r="AL11" s="19">
        <f t="shared" si="4"/>
        <v>0</v>
      </c>
    </row>
    <row r="12" spans="1:38" hidden="1" x14ac:dyDescent="0.5">
      <c r="AJ12" s="182">
        <f>SUM(AJ6:AJ11)</f>
        <v>400</v>
      </c>
      <c r="AK12" s="182">
        <f t="shared" ref="AK12:AL12" si="5">SUM(AK6:AK11)</f>
        <v>5300</v>
      </c>
      <c r="AL12" s="182">
        <f t="shared" si="5"/>
        <v>4040</v>
      </c>
    </row>
    <row r="13" spans="1:38" hidden="1" x14ac:dyDescent="0.5"/>
    <row r="14" spans="1:38" hidden="1" x14ac:dyDescent="0.5">
      <c r="A14" s="550" t="s">
        <v>502</v>
      </c>
      <c r="B14" s="550"/>
    </row>
    <row r="15" spans="1:38" hidden="1" x14ac:dyDescent="0.5">
      <c r="A15" s="550"/>
      <c r="B15" s="550"/>
    </row>
    <row r="16" spans="1:38" hidden="1" x14ac:dyDescent="0.5">
      <c r="A16" s="551" t="s">
        <v>118</v>
      </c>
      <c r="B16" s="552" t="s">
        <v>135</v>
      </c>
      <c r="C16" s="553"/>
      <c r="D16" s="553"/>
      <c r="E16" s="553"/>
      <c r="F16" s="553"/>
      <c r="G16" s="553"/>
      <c r="H16" s="553"/>
      <c r="I16" s="553"/>
      <c r="J16" s="553"/>
      <c r="K16" s="553"/>
      <c r="L16" s="553"/>
      <c r="M16" s="553"/>
      <c r="N16" s="553"/>
      <c r="O16" s="553"/>
      <c r="P16" s="553"/>
      <c r="Q16" s="553"/>
      <c r="R16" s="553"/>
      <c r="S16" s="553"/>
      <c r="T16" s="553"/>
      <c r="U16" s="553"/>
      <c r="V16" s="553"/>
      <c r="W16" s="553"/>
      <c r="X16" s="553"/>
      <c r="Y16" s="553"/>
      <c r="Z16" s="553"/>
      <c r="AA16" s="553"/>
      <c r="AB16" s="553"/>
      <c r="AC16" s="553"/>
      <c r="AD16" s="553"/>
      <c r="AE16" s="553"/>
      <c r="AF16" s="553"/>
      <c r="AG16" s="553"/>
      <c r="AH16" s="553"/>
      <c r="AI16" s="553"/>
      <c r="AJ16" s="553"/>
      <c r="AK16" s="553"/>
      <c r="AL16" s="553"/>
    </row>
    <row r="17" spans="1:38" ht="21" hidden="1" x14ac:dyDescent="0.5">
      <c r="A17" s="551"/>
      <c r="B17" s="552"/>
      <c r="C17" s="568" t="s">
        <v>385</v>
      </c>
      <c r="D17" s="566"/>
      <c r="E17" s="567"/>
      <c r="F17" s="562" t="s">
        <v>133</v>
      </c>
      <c r="G17" s="562"/>
      <c r="H17" s="562"/>
      <c r="I17" s="577" t="s">
        <v>132</v>
      </c>
      <c r="J17" s="577"/>
      <c r="K17" s="577"/>
      <c r="L17" s="578" t="s">
        <v>386</v>
      </c>
      <c r="M17" s="579"/>
      <c r="N17" s="580"/>
      <c r="O17" s="577" t="s">
        <v>133</v>
      </c>
      <c r="P17" s="577"/>
      <c r="Q17" s="577"/>
      <c r="R17" s="578" t="s">
        <v>128</v>
      </c>
      <c r="S17" s="579"/>
      <c r="T17" s="580"/>
      <c r="U17" s="581" t="s">
        <v>127</v>
      </c>
      <c r="V17" s="581"/>
      <c r="W17" s="581"/>
      <c r="X17" s="577" t="s">
        <v>126</v>
      </c>
      <c r="Y17" s="577"/>
      <c r="Z17" s="577"/>
      <c r="AA17" s="582" t="s">
        <v>125</v>
      </c>
      <c r="AB17" s="582"/>
      <c r="AC17" s="582"/>
      <c r="AD17" s="577" t="s">
        <v>392</v>
      </c>
      <c r="AE17" s="577"/>
      <c r="AF17" s="577"/>
      <c r="AG17" s="577" t="s">
        <v>123</v>
      </c>
      <c r="AH17" s="577"/>
      <c r="AI17" s="209"/>
      <c r="AJ17" s="562" t="s">
        <v>122</v>
      </c>
      <c r="AK17" s="562"/>
      <c r="AL17" s="562"/>
    </row>
    <row r="18" spans="1:38" ht="21" hidden="1" x14ac:dyDescent="0.5">
      <c r="A18" s="551"/>
      <c r="B18" s="552"/>
      <c r="C18" s="208" t="s">
        <v>109</v>
      </c>
      <c r="D18" s="208" t="s">
        <v>108</v>
      </c>
      <c r="E18" s="208" t="s">
        <v>348</v>
      </c>
      <c r="F18" s="208" t="s">
        <v>109</v>
      </c>
      <c r="G18" s="208" t="s">
        <v>108</v>
      </c>
      <c r="H18" s="208" t="s">
        <v>348</v>
      </c>
      <c r="I18" s="208" t="s">
        <v>109</v>
      </c>
      <c r="J18" s="208" t="s">
        <v>108</v>
      </c>
      <c r="K18" s="208" t="s">
        <v>348</v>
      </c>
      <c r="L18" s="208" t="s">
        <v>109</v>
      </c>
      <c r="M18" s="208" t="s">
        <v>108</v>
      </c>
      <c r="N18" s="208" t="s">
        <v>348</v>
      </c>
      <c r="O18" s="208" t="s">
        <v>109</v>
      </c>
      <c r="P18" s="208" t="s">
        <v>108</v>
      </c>
      <c r="Q18" s="208" t="s">
        <v>348</v>
      </c>
      <c r="R18" s="208" t="s">
        <v>109</v>
      </c>
      <c r="S18" s="208" t="s">
        <v>108</v>
      </c>
      <c r="T18" s="208" t="s">
        <v>348</v>
      </c>
      <c r="U18" s="208" t="s">
        <v>109</v>
      </c>
      <c r="V18" s="208" t="s">
        <v>108</v>
      </c>
      <c r="W18" s="208" t="s">
        <v>348</v>
      </c>
      <c r="X18" s="208" t="s">
        <v>109</v>
      </c>
      <c r="Y18" s="208" t="s">
        <v>108</v>
      </c>
      <c r="Z18" s="208" t="s">
        <v>348</v>
      </c>
      <c r="AA18" s="208" t="s">
        <v>109</v>
      </c>
      <c r="AB18" s="208" t="s">
        <v>108</v>
      </c>
      <c r="AC18" s="208" t="s">
        <v>348</v>
      </c>
      <c r="AD18" s="208" t="s">
        <v>109</v>
      </c>
      <c r="AE18" s="208" t="s">
        <v>108</v>
      </c>
      <c r="AF18" s="208" t="s">
        <v>348</v>
      </c>
      <c r="AG18" s="208" t="s">
        <v>109</v>
      </c>
      <c r="AH18" s="208" t="s">
        <v>108</v>
      </c>
      <c r="AI18" s="208" t="s">
        <v>348</v>
      </c>
      <c r="AJ18" s="208" t="s">
        <v>109</v>
      </c>
      <c r="AK18" s="208" t="s">
        <v>108</v>
      </c>
      <c r="AL18" s="208" t="s">
        <v>348</v>
      </c>
    </row>
    <row r="19" spans="1:38" hidden="1" x14ac:dyDescent="0.5">
      <c r="A19" s="16">
        <v>1</v>
      </c>
      <c r="B19" s="15">
        <v>46057</v>
      </c>
      <c r="C19" s="19"/>
      <c r="D19" s="19"/>
      <c r="E19" s="19"/>
      <c r="F19" s="19"/>
      <c r="G19" s="19"/>
      <c r="H19" s="19"/>
      <c r="I19" s="19"/>
      <c r="J19" s="19"/>
      <c r="K19" s="19"/>
      <c r="L19" s="19">
        <v>170</v>
      </c>
      <c r="M19" s="19">
        <v>2380</v>
      </c>
      <c r="N19" s="19">
        <v>1523.2</v>
      </c>
      <c r="O19" s="19">
        <v>30</v>
      </c>
      <c r="P19" s="19">
        <v>420</v>
      </c>
      <c r="Q19" s="19">
        <v>268.8</v>
      </c>
      <c r="R19" s="19"/>
      <c r="S19" s="19"/>
      <c r="T19" s="19"/>
      <c r="U19" s="19">
        <v>50</v>
      </c>
      <c r="V19" s="19">
        <v>600</v>
      </c>
      <c r="W19" s="19">
        <v>600</v>
      </c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>
        <f>L19+R19+AD19+O19+U19</f>
        <v>250</v>
      </c>
      <c r="AK19" s="19">
        <f t="shared" ref="AK19:AL19" si="6">M19+S19+AE19+P19+V19</f>
        <v>3400</v>
      </c>
      <c r="AL19" s="19">
        <f t="shared" si="6"/>
        <v>2392</v>
      </c>
    </row>
    <row r="20" spans="1:38" hidden="1" x14ac:dyDescent="0.5">
      <c r="A20" s="16">
        <v>2</v>
      </c>
      <c r="B20" s="15">
        <v>46072</v>
      </c>
      <c r="C20" s="19"/>
      <c r="D20" s="19"/>
      <c r="E20" s="19"/>
      <c r="F20" s="19"/>
      <c r="G20" s="19"/>
      <c r="H20" s="19"/>
      <c r="I20" s="19"/>
      <c r="J20" s="19"/>
      <c r="K20" s="19"/>
      <c r="L20" s="19">
        <v>100</v>
      </c>
      <c r="M20" s="19">
        <v>1400</v>
      </c>
      <c r="N20" s="19">
        <v>896</v>
      </c>
      <c r="O20" s="21">
        <v>30</v>
      </c>
      <c r="P20" s="178">
        <v>420</v>
      </c>
      <c r="Q20" s="19">
        <v>268.8</v>
      </c>
      <c r="R20" s="19">
        <v>20</v>
      </c>
      <c r="S20" s="19">
        <v>240</v>
      </c>
      <c r="T20" s="19">
        <v>240</v>
      </c>
      <c r="U20" s="19">
        <v>50</v>
      </c>
      <c r="V20" s="19">
        <v>600</v>
      </c>
      <c r="W20" s="19">
        <v>600</v>
      </c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>
        <f t="shared" ref="AJ20:AJ21" si="7">L20+R20+AD20+O20+U20</f>
        <v>200</v>
      </c>
      <c r="AK20" s="19">
        <f t="shared" ref="AK20:AK21" si="8">M20+S20+AE20+P20+V20</f>
        <v>2660</v>
      </c>
      <c r="AL20" s="19">
        <f t="shared" ref="AL20:AL21" si="9">N20+T20+AF20+Q20+W20</f>
        <v>2004.8</v>
      </c>
    </row>
    <row r="21" spans="1:38" hidden="1" x14ac:dyDescent="0.5">
      <c r="A21" s="16">
        <v>3</v>
      </c>
      <c r="B21" s="15">
        <v>46079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>
        <v>30</v>
      </c>
      <c r="P21" s="19">
        <v>420</v>
      </c>
      <c r="Q21" s="19">
        <v>268.8</v>
      </c>
      <c r="R21" s="375"/>
      <c r="S21" s="375"/>
      <c r="T21" s="375"/>
      <c r="U21" s="19">
        <v>100</v>
      </c>
      <c r="V21" s="19">
        <v>1200</v>
      </c>
      <c r="W21" s="19">
        <v>1200</v>
      </c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>
        <f t="shared" si="7"/>
        <v>130</v>
      </c>
      <c r="AK21" s="19">
        <f t="shared" si="8"/>
        <v>1620</v>
      </c>
      <c r="AL21" s="19">
        <f t="shared" si="9"/>
        <v>1468.8</v>
      </c>
    </row>
    <row r="22" spans="1:38" hidden="1" x14ac:dyDescent="0.5">
      <c r="AJ22" s="182">
        <f>SUM(AJ19:AJ21)</f>
        <v>580</v>
      </c>
      <c r="AK22" s="182">
        <f>SUM(AK19:AK21)</f>
        <v>7680</v>
      </c>
      <c r="AL22" s="182">
        <f>SUM(AL19:AL21)</f>
        <v>5865.6</v>
      </c>
    </row>
    <row r="23" spans="1:38" hidden="1" x14ac:dyDescent="0.5"/>
    <row r="24" spans="1:38" x14ac:dyDescent="0.5">
      <c r="A24" s="550" t="s">
        <v>547</v>
      </c>
      <c r="B24" s="550"/>
    </row>
    <row r="25" spans="1:38" x14ac:dyDescent="0.5">
      <c r="A25" s="550"/>
      <c r="B25" s="550"/>
    </row>
    <row r="26" spans="1:38" x14ac:dyDescent="0.5">
      <c r="A26" s="551" t="s">
        <v>118</v>
      </c>
      <c r="B26" s="552" t="s">
        <v>135</v>
      </c>
      <c r="C26" s="553"/>
      <c r="D26" s="553"/>
      <c r="E26" s="553"/>
      <c r="F26" s="553"/>
      <c r="G26" s="553"/>
      <c r="H26" s="553"/>
      <c r="I26" s="553"/>
      <c r="J26" s="553"/>
      <c r="K26" s="553"/>
      <c r="L26" s="553"/>
      <c r="M26" s="553"/>
      <c r="N26" s="553"/>
      <c r="O26" s="553"/>
      <c r="P26" s="553"/>
      <c r="Q26" s="553"/>
      <c r="R26" s="553"/>
      <c r="S26" s="553"/>
      <c r="T26" s="553"/>
      <c r="U26" s="553"/>
      <c r="V26" s="553"/>
      <c r="W26" s="553"/>
      <c r="X26" s="553"/>
      <c r="Y26" s="553"/>
      <c r="Z26" s="553"/>
      <c r="AA26" s="553"/>
      <c r="AB26" s="553"/>
      <c r="AC26" s="553"/>
      <c r="AD26" s="553"/>
      <c r="AE26" s="553"/>
      <c r="AF26" s="553"/>
      <c r="AG26" s="553"/>
      <c r="AH26" s="553"/>
      <c r="AI26" s="553"/>
      <c r="AJ26" s="553"/>
      <c r="AK26" s="553"/>
      <c r="AL26" s="553"/>
    </row>
    <row r="27" spans="1:38" ht="21" x14ac:dyDescent="0.5">
      <c r="A27" s="551"/>
      <c r="B27" s="552"/>
      <c r="C27" s="568" t="s">
        <v>385</v>
      </c>
      <c r="D27" s="566"/>
      <c r="E27" s="567"/>
      <c r="F27" s="562" t="s">
        <v>133</v>
      </c>
      <c r="G27" s="562"/>
      <c r="H27" s="562"/>
      <c r="I27" s="577" t="s">
        <v>132</v>
      </c>
      <c r="J27" s="577"/>
      <c r="K27" s="577"/>
      <c r="L27" s="578" t="s">
        <v>386</v>
      </c>
      <c r="M27" s="579"/>
      <c r="N27" s="580"/>
      <c r="O27" s="577" t="s">
        <v>133</v>
      </c>
      <c r="P27" s="577"/>
      <c r="Q27" s="577"/>
      <c r="R27" s="578" t="s">
        <v>128</v>
      </c>
      <c r="S27" s="579"/>
      <c r="T27" s="580"/>
      <c r="U27" s="581" t="s">
        <v>127</v>
      </c>
      <c r="V27" s="581"/>
      <c r="W27" s="581"/>
      <c r="X27" s="577" t="s">
        <v>126</v>
      </c>
      <c r="Y27" s="577"/>
      <c r="Z27" s="577"/>
      <c r="AA27" s="582" t="s">
        <v>125</v>
      </c>
      <c r="AB27" s="582"/>
      <c r="AC27" s="582"/>
      <c r="AD27" s="577" t="s">
        <v>392</v>
      </c>
      <c r="AE27" s="577"/>
      <c r="AF27" s="577"/>
      <c r="AG27" s="577" t="s">
        <v>123</v>
      </c>
      <c r="AH27" s="577"/>
      <c r="AI27" s="209"/>
      <c r="AJ27" s="562" t="s">
        <v>122</v>
      </c>
      <c r="AK27" s="562"/>
      <c r="AL27" s="562"/>
    </row>
    <row r="28" spans="1:38" ht="21" x14ac:dyDescent="0.5">
      <c r="A28" s="551"/>
      <c r="B28" s="552"/>
      <c r="C28" s="208" t="s">
        <v>109</v>
      </c>
      <c r="D28" s="208" t="s">
        <v>108</v>
      </c>
      <c r="E28" s="208" t="s">
        <v>348</v>
      </c>
      <c r="F28" s="208" t="s">
        <v>109</v>
      </c>
      <c r="G28" s="208" t="s">
        <v>108</v>
      </c>
      <c r="H28" s="208" t="s">
        <v>348</v>
      </c>
      <c r="I28" s="208" t="s">
        <v>109</v>
      </c>
      <c r="J28" s="208" t="s">
        <v>108</v>
      </c>
      <c r="K28" s="208" t="s">
        <v>348</v>
      </c>
      <c r="L28" s="208" t="s">
        <v>109</v>
      </c>
      <c r="M28" s="208" t="s">
        <v>108</v>
      </c>
      <c r="N28" s="208" t="s">
        <v>348</v>
      </c>
      <c r="O28" s="208" t="s">
        <v>109</v>
      </c>
      <c r="P28" s="208" t="s">
        <v>108</v>
      </c>
      <c r="Q28" s="208" t="s">
        <v>348</v>
      </c>
      <c r="R28" s="208" t="s">
        <v>109</v>
      </c>
      <c r="S28" s="208" t="s">
        <v>108</v>
      </c>
      <c r="T28" s="208" t="s">
        <v>348</v>
      </c>
      <c r="U28" s="208" t="s">
        <v>109</v>
      </c>
      <c r="V28" s="208" t="s">
        <v>108</v>
      </c>
      <c r="W28" s="208" t="s">
        <v>348</v>
      </c>
      <c r="X28" s="208" t="s">
        <v>109</v>
      </c>
      <c r="Y28" s="208" t="s">
        <v>108</v>
      </c>
      <c r="Z28" s="208" t="s">
        <v>348</v>
      </c>
      <c r="AA28" s="208" t="s">
        <v>109</v>
      </c>
      <c r="AB28" s="208" t="s">
        <v>108</v>
      </c>
      <c r="AC28" s="208" t="s">
        <v>348</v>
      </c>
      <c r="AD28" s="208" t="s">
        <v>109</v>
      </c>
      <c r="AE28" s="208" t="s">
        <v>108</v>
      </c>
      <c r="AF28" s="208" t="s">
        <v>348</v>
      </c>
      <c r="AG28" s="208" t="s">
        <v>109</v>
      </c>
      <c r="AH28" s="208" t="s">
        <v>108</v>
      </c>
      <c r="AI28" s="208" t="s">
        <v>348</v>
      </c>
      <c r="AJ28" s="208" t="s">
        <v>109</v>
      </c>
      <c r="AK28" s="208" t="s">
        <v>108</v>
      </c>
      <c r="AL28" s="208" t="s">
        <v>348</v>
      </c>
    </row>
    <row r="29" spans="1:38" x14ac:dyDescent="0.5">
      <c r="A29" s="16">
        <v>1</v>
      </c>
      <c r="B29" s="15">
        <v>46086</v>
      </c>
      <c r="C29" s="19"/>
      <c r="D29" s="19"/>
      <c r="E29" s="19"/>
      <c r="F29" s="19"/>
      <c r="G29" s="19"/>
      <c r="H29" s="19"/>
      <c r="I29" s="19"/>
      <c r="J29" s="19"/>
      <c r="K29" s="19"/>
      <c r="L29" s="19">
        <v>100</v>
      </c>
      <c r="M29" s="19">
        <v>1400</v>
      </c>
      <c r="N29" s="19">
        <v>896</v>
      </c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>
        <f>L29+R29+AD29+O29+U29</f>
        <v>100</v>
      </c>
      <c r="AK29" s="19">
        <f t="shared" ref="AK29:AK30" si="10">M29+S29+AE29+P29+V29</f>
        <v>1400</v>
      </c>
      <c r="AL29" s="19">
        <f t="shared" ref="AL29:AL30" si="11">N29+T29+AF29+Q29+W29</f>
        <v>896</v>
      </c>
    </row>
    <row r="30" spans="1:38" x14ac:dyDescent="0.5">
      <c r="A30" s="16">
        <v>2</v>
      </c>
      <c r="B30" s="15">
        <v>46087</v>
      </c>
      <c r="C30" s="19"/>
      <c r="D30" s="19"/>
      <c r="E30" s="19"/>
      <c r="F30" s="19"/>
      <c r="G30" s="19"/>
      <c r="H30" s="19"/>
      <c r="I30" s="19"/>
      <c r="J30" s="19"/>
      <c r="K30" s="19"/>
      <c r="L30" s="19">
        <v>50</v>
      </c>
      <c r="M30" s="19">
        <v>700</v>
      </c>
      <c r="N30" s="19">
        <v>448</v>
      </c>
      <c r="O30" s="19"/>
      <c r="P30" s="19"/>
      <c r="Q30" s="19"/>
      <c r="R30" s="19"/>
      <c r="S30" s="19"/>
      <c r="T30" s="19"/>
      <c r="U30" s="19">
        <v>125</v>
      </c>
      <c r="V30" s="19">
        <v>1500</v>
      </c>
      <c r="W30" s="19">
        <v>1500</v>
      </c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>
        <f t="shared" ref="AJ30" si="12">L30+R30+AD30+O30+U30</f>
        <v>175</v>
      </c>
      <c r="AK30" s="19">
        <f t="shared" si="10"/>
        <v>2200</v>
      </c>
      <c r="AL30" s="19">
        <f t="shared" si="11"/>
        <v>1948</v>
      </c>
    </row>
    <row r="31" spans="1:38" x14ac:dyDescent="0.5">
      <c r="A31" s="16">
        <v>3</v>
      </c>
      <c r="B31" s="15">
        <v>46100</v>
      </c>
      <c r="C31" s="19"/>
      <c r="D31" s="19"/>
      <c r="E31" s="19"/>
      <c r="F31" s="19"/>
      <c r="G31" s="19"/>
      <c r="H31" s="19"/>
      <c r="I31" s="19"/>
      <c r="J31" s="19"/>
      <c r="K31" s="19"/>
      <c r="L31" s="19">
        <v>50</v>
      </c>
      <c r="M31" s="19">
        <v>700</v>
      </c>
      <c r="N31" s="19">
        <v>448</v>
      </c>
      <c r="O31" s="19">
        <v>125</v>
      </c>
      <c r="P31" s="19">
        <v>1750</v>
      </c>
      <c r="Q31" s="19">
        <v>1120</v>
      </c>
      <c r="R31" s="19">
        <v>50</v>
      </c>
      <c r="S31" s="19">
        <v>600</v>
      </c>
      <c r="T31" s="19">
        <v>600</v>
      </c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>
        <f t="shared" ref="AJ31:AJ32" si="13">L31+R31+AD31+O31+U31</f>
        <v>225</v>
      </c>
      <c r="AK31" s="19">
        <f t="shared" ref="AK31:AK32" si="14">M31+S31+AE31+P31+V31</f>
        <v>3050</v>
      </c>
      <c r="AL31" s="19">
        <f t="shared" ref="AL31:AL32" si="15">N31+T31+AF31+Q31+W31</f>
        <v>2168</v>
      </c>
    </row>
    <row r="32" spans="1:38" hidden="1" x14ac:dyDescent="0.5">
      <c r="A32" s="16">
        <v>4</v>
      </c>
      <c r="B32" s="15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78"/>
      <c r="P32" s="178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>
        <f t="shared" si="13"/>
        <v>0</v>
      </c>
      <c r="AK32" s="19">
        <f t="shared" si="14"/>
        <v>0</v>
      </c>
      <c r="AL32" s="19">
        <f t="shared" si="15"/>
        <v>0</v>
      </c>
    </row>
    <row r="33" spans="1:38" hidden="1" x14ac:dyDescent="0.5">
      <c r="A33" s="16"/>
      <c r="B33" s="15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375"/>
      <c r="S33" s="375"/>
      <c r="T33" s="375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</row>
    <row r="34" spans="1:38" x14ac:dyDescent="0.5">
      <c r="AJ34" s="182">
        <f>SUM(AJ29:AJ33)</f>
        <v>500</v>
      </c>
      <c r="AK34" s="182">
        <f>SUM(AK29:AK33)</f>
        <v>6650</v>
      </c>
      <c r="AL34" s="182">
        <f>SUM(AL29:AL33)</f>
        <v>5012</v>
      </c>
    </row>
  </sheetData>
  <mergeCells count="48">
    <mergeCell ref="A14:B15"/>
    <mergeCell ref="A16:A18"/>
    <mergeCell ref="B16:B18"/>
    <mergeCell ref="C16:AL16"/>
    <mergeCell ref="C17:E17"/>
    <mergeCell ref="F17:H17"/>
    <mergeCell ref="I17:K17"/>
    <mergeCell ref="L17:N17"/>
    <mergeCell ref="O17:Q17"/>
    <mergeCell ref="R17:T17"/>
    <mergeCell ref="U17:W17"/>
    <mergeCell ref="X17:Z17"/>
    <mergeCell ref="AA17:AC17"/>
    <mergeCell ref="AD17:AF17"/>
    <mergeCell ref="AG17:AH17"/>
    <mergeCell ref="AJ17:AL17"/>
    <mergeCell ref="A1:B2"/>
    <mergeCell ref="A3:A5"/>
    <mergeCell ref="B3:B5"/>
    <mergeCell ref="C3:AL3"/>
    <mergeCell ref="C4:E4"/>
    <mergeCell ref="F4:H4"/>
    <mergeCell ref="I4:K4"/>
    <mergeCell ref="L4:N4"/>
    <mergeCell ref="O4:Q4"/>
    <mergeCell ref="R4:T4"/>
    <mergeCell ref="U4:W4"/>
    <mergeCell ref="X4:Z4"/>
    <mergeCell ref="AA4:AC4"/>
    <mergeCell ref="AD4:AF4"/>
    <mergeCell ref="AG4:AH4"/>
    <mergeCell ref="AJ4:AL4"/>
    <mergeCell ref="A24:B25"/>
    <mergeCell ref="A26:A28"/>
    <mergeCell ref="B26:B28"/>
    <mergeCell ref="C26:AL26"/>
    <mergeCell ref="C27:E27"/>
    <mergeCell ref="F27:H27"/>
    <mergeCell ref="I27:K27"/>
    <mergeCell ref="L27:N27"/>
    <mergeCell ref="O27:Q27"/>
    <mergeCell ref="R27:T27"/>
    <mergeCell ref="U27:W27"/>
    <mergeCell ref="X27:Z27"/>
    <mergeCell ref="AA27:AC27"/>
    <mergeCell ref="AD27:AF27"/>
    <mergeCell ref="AG27:AH27"/>
    <mergeCell ref="AJ27:AL2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54CB8-5F4A-4935-8EB3-01D92E1221F3}">
  <dimension ref="A1:AV36"/>
  <sheetViews>
    <sheetView topLeftCell="A28" workbookViewId="0">
      <selection activeCell="AQ36" sqref="AQ36"/>
    </sheetView>
  </sheetViews>
  <sheetFormatPr defaultColWidth="9.140625" defaultRowHeight="18" x14ac:dyDescent="0.5"/>
  <cols>
    <col min="1" max="2" width="9.140625" style="22"/>
    <col min="3" max="5" width="9.140625" style="22" hidden="1" customWidth="1"/>
    <col min="6" max="8" width="9.140625" style="22" customWidth="1"/>
    <col min="9" max="23" width="9.140625" style="22" hidden="1" customWidth="1"/>
    <col min="24" max="29" width="9.140625" style="22" customWidth="1"/>
    <col min="30" max="35" width="9.140625" style="22" hidden="1" customWidth="1"/>
    <col min="36" max="38" width="9.140625" style="22" customWidth="1"/>
    <col min="39" max="41" width="9.140625" style="22" hidden="1" customWidth="1"/>
    <col min="42" max="16384" width="9.140625" style="22"/>
  </cols>
  <sheetData>
    <row r="1" spans="1:44" hidden="1" x14ac:dyDescent="0.5">
      <c r="A1" s="550" t="s">
        <v>438</v>
      </c>
      <c r="B1" s="550"/>
    </row>
    <row r="2" spans="1:44" hidden="1" x14ac:dyDescent="0.5">
      <c r="A2" s="550"/>
      <c r="B2" s="550"/>
    </row>
    <row r="3" spans="1:44" hidden="1" x14ac:dyDescent="0.5">
      <c r="A3" s="583" t="s">
        <v>118</v>
      </c>
      <c r="B3" s="586" t="s">
        <v>135</v>
      </c>
      <c r="C3" s="553"/>
      <c r="D3" s="553"/>
      <c r="E3" s="553"/>
      <c r="F3" s="553"/>
      <c r="G3" s="553"/>
      <c r="H3" s="553"/>
      <c r="I3" s="553"/>
      <c r="J3" s="553"/>
      <c r="K3" s="553"/>
      <c r="L3" s="553"/>
      <c r="M3" s="553"/>
      <c r="N3" s="553"/>
      <c r="O3" s="553"/>
      <c r="P3" s="553"/>
      <c r="Q3" s="553"/>
      <c r="R3" s="553"/>
      <c r="S3" s="553"/>
      <c r="T3" s="553"/>
      <c r="U3" s="553"/>
      <c r="V3" s="553"/>
      <c r="W3" s="553"/>
      <c r="X3" s="553"/>
      <c r="Y3" s="553"/>
      <c r="Z3" s="553"/>
      <c r="AA3" s="553"/>
      <c r="AB3" s="553"/>
      <c r="AC3" s="553"/>
      <c r="AD3" s="553"/>
      <c r="AE3" s="553"/>
      <c r="AF3" s="553"/>
      <c r="AG3" s="553"/>
      <c r="AH3" s="553"/>
      <c r="AI3" s="553"/>
      <c r="AJ3" s="553"/>
      <c r="AK3" s="553"/>
      <c r="AL3" s="553"/>
      <c r="AM3" s="553"/>
      <c r="AN3" s="553"/>
      <c r="AO3" s="553"/>
      <c r="AP3" s="553"/>
      <c r="AQ3" s="553"/>
      <c r="AR3" s="553"/>
    </row>
    <row r="4" spans="1:44" hidden="1" x14ac:dyDescent="0.5">
      <c r="A4" s="584"/>
      <c r="B4" s="587"/>
      <c r="C4" s="555" t="s">
        <v>134</v>
      </c>
      <c r="D4" s="555"/>
      <c r="E4" s="556"/>
      <c r="F4" s="557" t="s">
        <v>133</v>
      </c>
      <c r="G4" s="557"/>
      <c r="H4" s="557"/>
      <c r="I4" s="557" t="s">
        <v>132</v>
      </c>
      <c r="J4" s="557"/>
      <c r="K4" s="557"/>
      <c r="L4" s="557" t="s">
        <v>131</v>
      </c>
      <c r="M4" s="557"/>
      <c r="N4" s="557"/>
      <c r="O4" s="557" t="s">
        <v>130</v>
      </c>
      <c r="P4" s="557"/>
      <c r="Q4" s="557"/>
      <c r="R4" s="557" t="s">
        <v>129</v>
      </c>
      <c r="S4" s="557"/>
      <c r="T4" s="557"/>
      <c r="U4" s="558" t="s">
        <v>128</v>
      </c>
      <c r="V4" s="559"/>
      <c r="W4" s="560"/>
      <c r="X4" s="557" t="s">
        <v>127</v>
      </c>
      <c r="Y4" s="557"/>
      <c r="Z4" s="557"/>
      <c r="AA4" s="589" t="s">
        <v>126</v>
      </c>
      <c r="AB4" s="589"/>
      <c r="AC4" s="589"/>
      <c r="AD4" s="590" t="s">
        <v>125</v>
      </c>
      <c r="AE4" s="590"/>
      <c r="AF4" s="590"/>
      <c r="AG4" s="589" t="s">
        <v>124</v>
      </c>
      <c r="AH4" s="589"/>
      <c r="AI4" s="589"/>
      <c r="AJ4" s="176"/>
      <c r="AK4" s="176"/>
      <c r="AL4" s="176"/>
      <c r="AM4" s="589" t="s">
        <v>123</v>
      </c>
      <c r="AN4" s="589"/>
      <c r="AO4" s="176"/>
      <c r="AP4" s="557" t="s">
        <v>122</v>
      </c>
      <c r="AQ4" s="557"/>
      <c r="AR4" s="557"/>
    </row>
    <row r="5" spans="1:44" hidden="1" x14ac:dyDescent="0.5">
      <c r="A5" s="585"/>
      <c r="B5" s="588"/>
      <c r="C5" s="179" t="s">
        <v>109</v>
      </c>
      <c r="D5" s="17" t="s">
        <v>108</v>
      </c>
      <c r="E5" s="17" t="s">
        <v>348</v>
      </c>
      <c r="F5" s="17" t="s">
        <v>109</v>
      </c>
      <c r="G5" s="17" t="s">
        <v>108</v>
      </c>
      <c r="H5" s="17" t="s">
        <v>348</v>
      </c>
      <c r="I5" s="17" t="s">
        <v>109</v>
      </c>
      <c r="J5" s="17" t="s">
        <v>108</v>
      </c>
      <c r="K5" s="17" t="s">
        <v>348</v>
      </c>
      <c r="L5" s="17" t="s">
        <v>109</v>
      </c>
      <c r="M5" s="17" t="s">
        <v>108</v>
      </c>
      <c r="N5" s="17" t="s">
        <v>348</v>
      </c>
      <c r="O5" s="17" t="s">
        <v>109</v>
      </c>
      <c r="P5" s="17" t="s">
        <v>108</v>
      </c>
      <c r="Q5" s="17" t="s">
        <v>348</v>
      </c>
      <c r="R5" s="17" t="s">
        <v>109</v>
      </c>
      <c r="S5" s="17" t="s">
        <v>108</v>
      </c>
      <c r="T5" s="17" t="s">
        <v>348</v>
      </c>
      <c r="U5" s="17" t="s">
        <v>109</v>
      </c>
      <c r="V5" s="17" t="s">
        <v>108</v>
      </c>
      <c r="W5" s="17" t="s">
        <v>348</v>
      </c>
      <c r="X5" s="17" t="s">
        <v>109</v>
      </c>
      <c r="Y5" s="17" t="s">
        <v>108</v>
      </c>
      <c r="Z5" s="17" t="s">
        <v>348</v>
      </c>
      <c r="AA5" s="17" t="s">
        <v>109</v>
      </c>
      <c r="AB5" s="17" t="s">
        <v>108</v>
      </c>
      <c r="AC5" s="17" t="s">
        <v>348</v>
      </c>
      <c r="AD5" s="17" t="s">
        <v>109</v>
      </c>
      <c r="AE5" s="17" t="s">
        <v>108</v>
      </c>
      <c r="AF5" s="17" t="s">
        <v>348</v>
      </c>
      <c r="AG5" s="17" t="s">
        <v>109</v>
      </c>
      <c r="AH5" s="17" t="s">
        <v>108</v>
      </c>
      <c r="AI5" s="17" t="s">
        <v>348</v>
      </c>
      <c r="AJ5" s="17"/>
      <c r="AK5" s="17"/>
      <c r="AL5" s="17"/>
      <c r="AM5" s="17" t="s">
        <v>109</v>
      </c>
      <c r="AN5" s="17" t="s">
        <v>108</v>
      </c>
      <c r="AO5" s="17" t="s">
        <v>348</v>
      </c>
      <c r="AP5" s="17" t="s">
        <v>109</v>
      </c>
      <c r="AQ5" s="17" t="s">
        <v>108</v>
      </c>
      <c r="AR5" s="17" t="s">
        <v>348</v>
      </c>
    </row>
    <row r="6" spans="1:44" hidden="1" x14ac:dyDescent="0.5">
      <c r="A6" s="277">
        <v>1</v>
      </c>
      <c r="B6" s="278">
        <v>46024</v>
      </c>
      <c r="C6" s="19"/>
      <c r="D6" s="19"/>
      <c r="E6" s="19"/>
      <c r="F6" s="19">
        <v>40</v>
      </c>
      <c r="G6" s="19">
        <v>560</v>
      </c>
      <c r="H6" s="19">
        <v>358.40000000000003</v>
      </c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>
        <v>60</v>
      </c>
      <c r="Y6" s="19">
        <v>720</v>
      </c>
      <c r="Z6" s="19">
        <v>720</v>
      </c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>
        <f>F6+X6</f>
        <v>100</v>
      </c>
      <c r="AQ6" s="19">
        <f>G6+Y6</f>
        <v>1280</v>
      </c>
      <c r="AR6" s="19">
        <f>H6+Z6</f>
        <v>1078.4000000000001</v>
      </c>
    </row>
    <row r="7" spans="1:44" hidden="1" x14ac:dyDescent="0.5">
      <c r="A7" s="16">
        <v>2</v>
      </c>
      <c r="B7" s="15">
        <v>46032</v>
      </c>
      <c r="C7" s="19"/>
      <c r="D7" s="19"/>
      <c r="E7" s="19"/>
      <c r="F7" s="19">
        <v>40</v>
      </c>
      <c r="G7" s="19">
        <v>560</v>
      </c>
      <c r="H7" s="19">
        <v>358.40000000000003</v>
      </c>
      <c r="I7" s="19"/>
      <c r="J7" s="19"/>
      <c r="K7" s="19"/>
      <c r="L7" s="19"/>
      <c r="M7" s="19"/>
      <c r="N7" s="19"/>
      <c r="O7" s="21"/>
      <c r="P7" s="178"/>
      <c r="Q7" s="19"/>
      <c r="R7" s="19"/>
      <c r="S7" s="19"/>
      <c r="T7" s="19"/>
      <c r="U7" s="19"/>
      <c r="V7" s="19"/>
      <c r="W7" s="19"/>
      <c r="X7" s="19">
        <v>60</v>
      </c>
      <c r="Y7" s="19">
        <v>720</v>
      </c>
      <c r="Z7" s="19">
        <v>720</v>
      </c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>
        <f t="shared" ref="AP7:AP12" si="0">F7+X7</f>
        <v>100</v>
      </c>
      <c r="AQ7" s="19">
        <f t="shared" ref="AQ7:AQ12" si="1">G7+Y7</f>
        <v>1280</v>
      </c>
      <c r="AR7" s="19">
        <f t="shared" ref="AR7:AR12" si="2">H7+Z7</f>
        <v>1078.4000000000001</v>
      </c>
    </row>
    <row r="8" spans="1:44" hidden="1" x14ac:dyDescent="0.5">
      <c r="A8" s="16">
        <v>3</v>
      </c>
      <c r="B8" s="15">
        <v>46038</v>
      </c>
      <c r="C8" s="19"/>
      <c r="D8" s="19"/>
      <c r="E8" s="19"/>
      <c r="F8" s="19">
        <v>25</v>
      </c>
      <c r="G8" s="19">
        <v>350</v>
      </c>
      <c r="H8" s="19">
        <v>224</v>
      </c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>
        <v>25</v>
      </c>
      <c r="Y8" s="19">
        <v>300</v>
      </c>
      <c r="Z8" s="19">
        <v>300</v>
      </c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>
        <f t="shared" si="0"/>
        <v>50</v>
      </c>
      <c r="AQ8" s="19">
        <f t="shared" si="1"/>
        <v>650</v>
      </c>
      <c r="AR8" s="19">
        <f t="shared" si="2"/>
        <v>524</v>
      </c>
    </row>
    <row r="9" spans="1:44" hidden="1" x14ac:dyDescent="0.5">
      <c r="A9" s="16">
        <v>4</v>
      </c>
      <c r="B9" s="15">
        <v>46045</v>
      </c>
      <c r="C9" s="19"/>
      <c r="D9" s="19"/>
      <c r="E9" s="19"/>
      <c r="F9" s="19">
        <v>50</v>
      </c>
      <c r="G9" s="19">
        <v>700</v>
      </c>
      <c r="H9" s="19">
        <v>448</v>
      </c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>
        <v>50</v>
      </c>
      <c r="Y9" s="19">
        <v>600</v>
      </c>
      <c r="Z9" s="19">
        <v>600</v>
      </c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>
        <f t="shared" si="0"/>
        <v>100</v>
      </c>
      <c r="AQ9" s="19">
        <f t="shared" si="1"/>
        <v>1300</v>
      </c>
      <c r="AR9" s="19">
        <f t="shared" si="2"/>
        <v>1048</v>
      </c>
    </row>
    <row r="10" spans="1:44" hidden="1" x14ac:dyDescent="0.5">
      <c r="A10" s="16">
        <v>5</v>
      </c>
      <c r="B10" s="15">
        <v>46053</v>
      </c>
      <c r="C10" s="19"/>
      <c r="D10" s="19"/>
      <c r="E10" s="19"/>
      <c r="F10" s="19">
        <v>75</v>
      </c>
      <c r="G10" s="19">
        <v>1050</v>
      </c>
      <c r="H10" s="19">
        <v>672</v>
      </c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>
        <v>75</v>
      </c>
      <c r="Y10" s="19">
        <v>900</v>
      </c>
      <c r="Z10" s="19">
        <v>900</v>
      </c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>
        <f t="shared" si="0"/>
        <v>150</v>
      </c>
      <c r="AQ10" s="19">
        <f t="shared" si="1"/>
        <v>1950</v>
      </c>
      <c r="AR10" s="19">
        <f t="shared" si="2"/>
        <v>1572</v>
      </c>
    </row>
    <row r="11" spans="1:44" hidden="1" x14ac:dyDescent="0.5">
      <c r="A11" s="16"/>
      <c r="B11" s="15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>
        <f t="shared" si="0"/>
        <v>0</v>
      </c>
      <c r="AQ11" s="19">
        <f t="shared" si="1"/>
        <v>0</v>
      </c>
      <c r="AR11" s="19">
        <f t="shared" si="2"/>
        <v>0</v>
      </c>
    </row>
    <row r="12" spans="1:44" hidden="1" x14ac:dyDescent="0.5">
      <c r="A12" s="16"/>
      <c r="B12" s="15"/>
      <c r="C12" s="20"/>
      <c r="D12" s="20"/>
      <c r="E12" s="19"/>
      <c r="F12" s="20"/>
      <c r="G12" s="20"/>
      <c r="H12" s="19"/>
      <c r="I12" s="20"/>
      <c r="J12" s="20"/>
      <c r="K12" s="20"/>
      <c r="L12" s="20"/>
      <c r="M12" s="20"/>
      <c r="N12" s="20"/>
      <c r="O12" s="20"/>
      <c r="P12" s="20"/>
      <c r="Q12" s="19"/>
      <c r="R12" s="20"/>
      <c r="S12" s="20"/>
      <c r="T12" s="19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>
        <f t="shared" si="0"/>
        <v>0</v>
      </c>
      <c r="AQ12" s="19">
        <f t="shared" si="1"/>
        <v>0</v>
      </c>
      <c r="AR12" s="19">
        <f t="shared" si="2"/>
        <v>0</v>
      </c>
    </row>
    <row r="13" spans="1:44" hidden="1" x14ac:dyDescent="0.5">
      <c r="A13" s="16"/>
      <c r="B13" s="15"/>
      <c r="C13" s="20"/>
      <c r="D13" s="20"/>
      <c r="E13" s="19"/>
      <c r="F13" s="20"/>
      <c r="G13" s="20"/>
      <c r="H13" s="19"/>
      <c r="I13" s="20"/>
      <c r="J13" s="20"/>
      <c r="K13" s="20"/>
      <c r="L13" s="20"/>
      <c r="M13" s="20"/>
      <c r="N13" s="20"/>
      <c r="O13" s="20"/>
      <c r="P13" s="20"/>
      <c r="Q13" s="19"/>
      <c r="R13" s="20"/>
      <c r="S13" s="20"/>
      <c r="T13" s="19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>
        <f t="shared" ref="AP13" si="3">C13+F13+I13+L13+O13+R13+U13+X13+AA13+AD13+AG13+AM13</f>
        <v>0</v>
      </c>
      <c r="AQ13" s="19">
        <f t="shared" ref="AQ13" si="4">D13+G13+J13+M13+P13+S13+V13+Y13+AB13+AE13+AH13+AN13</f>
        <v>0</v>
      </c>
      <c r="AR13" s="19">
        <f t="shared" ref="AR13" si="5">E13+H13+K13+N13+Q13+T13+W13+Z13+AC13+AF13+AI13+AN13</f>
        <v>0</v>
      </c>
    </row>
    <row r="14" spans="1:44" hidden="1" x14ac:dyDescent="0.5">
      <c r="AP14" s="205">
        <f>SUM(AP6:AP13)</f>
        <v>500</v>
      </c>
      <c r="AQ14" s="205">
        <f t="shared" ref="AQ14:AR14" si="6">SUM(AQ6:AQ13)</f>
        <v>6460</v>
      </c>
      <c r="AR14" s="396">
        <f t="shared" si="6"/>
        <v>5300.8</v>
      </c>
    </row>
    <row r="15" spans="1:44" hidden="1" x14ac:dyDescent="0.5"/>
    <row r="16" spans="1:44" hidden="1" x14ac:dyDescent="0.5"/>
    <row r="17" spans="1:48" hidden="1" x14ac:dyDescent="0.5">
      <c r="A17" s="550" t="s">
        <v>498</v>
      </c>
      <c r="B17" s="550"/>
    </row>
    <row r="18" spans="1:48" hidden="1" x14ac:dyDescent="0.5">
      <c r="A18" s="550"/>
      <c r="B18" s="550"/>
    </row>
    <row r="19" spans="1:48" hidden="1" x14ac:dyDescent="0.5">
      <c r="A19" s="583" t="s">
        <v>118</v>
      </c>
      <c r="B19" s="586" t="s">
        <v>135</v>
      </c>
      <c r="C19" s="553"/>
      <c r="D19" s="553"/>
      <c r="E19" s="553"/>
      <c r="F19" s="553"/>
      <c r="G19" s="553"/>
      <c r="H19" s="553"/>
      <c r="I19" s="553"/>
      <c r="J19" s="553"/>
      <c r="K19" s="553"/>
      <c r="L19" s="553"/>
      <c r="M19" s="553"/>
      <c r="N19" s="553"/>
      <c r="O19" s="553"/>
      <c r="P19" s="553"/>
      <c r="Q19" s="553"/>
      <c r="R19" s="553"/>
      <c r="S19" s="553"/>
      <c r="T19" s="553"/>
      <c r="U19" s="553"/>
      <c r="V19" s="553"/>
      <c r="W19" s="553"/>
      <c r="X19" s="553"/>
      <c r="Y19" s="553"/>
      <c r="Z19" s="553"/>
      <c r="AA19" s="553"/>
      <c r="AB19" s="553"/>
      <c r="AC19" s="553"/>
      <c r="AD19" s="553"/>
      <c r="AE19" s="553"/>
      <c r="AF19" s="553"/>
      <c r="AG19" s="553"/>
      <c r="AH19" s="553"/>
      <c r="AI19" s="553"/>
      <c r="AJ19" s="553"/>
      <c r="AK19" s="553"/>
      <c r="AL19" s="553"/>
      <c r="AM19" s="553"/>
      <c r="AN19" s="553"/>
      <c r="AO19" s="553"/>
      <c r="AP19" s="553"/>
      <c r="AQ19" s="553"/>
      <c r="AR19" s="553"/>
    </row>
    <row r="20" spans="1:48" hidden="1" x14ac:dyDescent="0.5">
      <c r="A20" s="584"/>
      <c r="B20" s="587"/>
      <c r="C20" s="555" t="s">
        <v>134</v>
      </c>
      <c r="D20" s="555"/>
      <c r="E20" s="556"/>
      <c r="F20" s="557" t="s">
        <v>133</v>
      </c>
      <c r="G20" s="557"/>
      <c r="H20" s="557"/>
      <c r="I20" s="557" t="s">
        <v>132</v>
      </c>
      <c r="J20" s="557"/>
      <c r="K20" s="557"/>
      <c r="L20" s="557" t="s">
        <v>131</v>
      </c>
      <c r="M20" s="557"/>
      <c r="N20" s="557"/>
      <c r="O20" s="557" t="s">
        <v>130</v>
      </c>
      <c r="P20" s="557"/>
      <c r="Q20" s="557"/>
      <c r="R20" s="557" t="s">
        <v>129</v>
      </c>
      <c r="S20" s="557"/>
      <c r="T20" s="557"/>
      <c r="U20" s="558" t="s">
        <v>128</v>
      </c>
      <c r="V20" s="559"/>
      <c r="W20" s="560"/>
      <c r="X20" s="557" t="s">
        <v>127</v>
      </c>
      <c r="Y20" s="557"/>
      <c r="Z20" s="557"/>
      <c r="AA20" s="589" t="s">
        <v>126</v>
      </c>
      <c r="AB20" s="589"/>
      <c r="AC20" s="589"/>
      <c r="AD20" s="590" t="s">
        <v>125</v>
      </c>
      <c r="AE20" s="590"/>
      <c r="AF20" s="590"/>
      <c r="AG20" s="589" t="s">
        <v>124</v>
      </c>
      <c r="AH20" s="589"/>
      <c r="AI20" s="589"/>
      <c r="AJ20" s="176"/>
      <c r="AK20" s="176"/>
      <c r="AL20" s="176"/>
      <c r="AM20" s="589" t="s">
        <v>123</v>
      </c>
      <c r="AN20" s="589"/>
      <c r="AO20" s="176"/>
      <c r="AP20" s="557" t="s">
        <v>122</v>
      </c>
      <c r="AQ20" s="557"/>
      <c r="AR20" s="557"/>
    </row>
    <row r="21" spans="1:48" hidden="1" x14ac:dyDescent="0.5">
      <c r="A21" s="585"/>
      <c r="B21" s="588"/>
      <c r="C21" s="179" t="s">
        <v>109</v>
      </c>
      <c r="D21" s="17" t="s">
        <v>108</v>
      </c>
      <c r="E21" s="17" t="s">
        <v>348</v>
      </c>
      <c r="F21" s="17" t="s">
        <v>109</v>
      </c>
      <c r="G21" s="17" t="s">
        <v>108</v>
      </c>
      <c r="H21" s="17" t="s">
        <v>348</v>
      </c>
      <c r="I21" s="17" t="s">
        <v>109</v>
      </c>
      <c r="J21" s="17" t="s">
        <v>108</v>
      </c>
      <c r="K21" s="17" t="s">
        <v>348</v>
      </c>
      <c r="L21" s="17" t="s">
        <v>109</v>
      </c>
      <c r="M21" s="17" t="s">
        <v>108</v>
      </c>
      <c r="N21" s="17" t="s">
        <v>348</v>
      </c>
      <c r="O21" s="17" t="s">
        <v>109</v>
      </c>
      <c r="P21" s="17" t="s">
        <v>108</v>
      </c>
      <c r="Q21" s="17" t="s">
        <v>348</v>
      </c>
      <c r="R21" s="17" t="s">
        <v>109</v>
      </c>
      <c r="S21" s="17" t="s">
        <v>108</v>
      </c>
      <c r="T21" s="17" t="s">
        <v>348</v>
      </c>
      <c r="U21" s="17" t="s">
        <v>109</v>
      </c>
      <c r="V21" s="17" t="s">
        <v>108</v>
      </c>
      <c r="W21" s="17" t="s">
        <v>348</v>
      </c>
      <c r="X21" s="17" t="s">
        <v>109</v>
      </c>
      <c r="Y21" s="17" t="s">
        <v>108</v>
      </c>
      <c r="Z21" s="17" t="s">
        <v>348</v>
      </c>
      <c r="AA21" s="17" t="s">
        <v>109</v>
      </c>
      <c r="AB21" s="17" t="s">
        <v>108</v>
      </c>
      <c r="AC21" s="17" t="s">
        <v>348</v>
      </c>
      <c r="AD21" s="17" t="s">
        <v>109</v>
      </c>
      <c r="AE21" s="17" t="s">
        <v>108</v>
      </c>
      <c r="AF21" s="17" t="s">
        <v>348</v>
      </c>
      <c r="AG21" s="17" t="s">
        <v>109</v>
      </c>
      <c r="AH21" s="17" t="s">
        <v>108</v>
      </c>
      <c r="AI21" s="17" t="s">
        <v>348</v>
      </c>
      <c r="AJ21" s="17"/>
      <c r="AK21" s="17"/>
      <c r="AL21" s="17"/>
      <c r="AM21" s="17" t="s">
        <v>109</v>
      </c>
      <c r="AN21" s="17" t="s">
        <v>108</v>
      </c>
      <c r="AO21" s="17" t="s">
        <v>348</v>
      </c>
      <c r="AP21" s="17" t="s">
        <v>109</v>
      </c>
      <c r="AQ21" s="17" t="s">
        <v>108</v>
      </c>
      <c r="AR21" s="17" t="s">
        <v>348</v>
      </c>
    </row>
    <row r="22" spans="1:48" hidden="1" x14ac:dyDescent="0.5">
      <c r="A22" s="277">
        <v>1</v>
      </c>
      <c r="B22" s="278">
        <v>46062</v>
      </c>
      <c r="C22" s="19"/>
      <c r="D22" s="19"/>
      <c r="E22" s="19"/>
      <c r="F22" s="19">
        <v>40</v>
      </c>
      <c r="G22" s="19">
        <v>560</v>
      </c>
      <c r="H22" s="19">
        <v>358.40000000000003</v>
      </c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>
        <v>60</v>
      </c>
      <c r="Y22" s="19">
        <v>720</v>
      </c>
      <c r="Z22" s="19">
        <v>720</v>
      </c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>
        <f>F22+X22</f>
        <v>100</v>
      </c>
      <c r="AQ22" s="19">
        <f>G22+Y22</f>
        <v>1280</v>
      </c>
      <c r="AR22" s="19">
        <f>H22+Z22</f>
        <v>1078.4000000000001</v>
      </c>
    </row>
    <row r="23" spans="1:48" hidden="1" x14ac:dyDescent="0.5">
      <c r="A23" s="16">
        <v>2</v>
      </c>
      <c r="B23" s="15">
        <v>46070</v>
      </c>
      <c r="C23" s="19"/>
      <c r="D23" s="19"/>
      <c r="E23" s="19"/>
      <c r="F23" s="19">
        <v>50</v>
      </c>
      <c r="G23" s="19">
        <v>700</v>
      </c>
      <c r="H23" s="19">
        <v>448</v>
      </c>
      <c r="I23" s="19"/>
      <c r="J23" s="19"/>
      <c r="K23" s="19"/>
      <c r="L23" s="19"/>
      <c r="M23" s="19"/>
      <c r="N23" s="19"/>
      <c r="O23" s="21"/>
      <c r="P23" s="178"/>
      <c r="Q23" s="19"/>
      <c r="R23" s="19"/>
      <c r="S23" s="19"/>
      <c r="T23" s="19"/>
      <c r="U23" s="19"/>
      <c r="V23" s="19"/>
      <c r="W23" s="19"/>
      <c r="X23" s="19">
        <v>50</v>
      </c>
      <c r="Y23" s="19">
        <v>600</v>
      </c>
      <c r="Z23" s="19">
        <v>600</v>
      </c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>
        <f>F23+X23+AD23</f>
        <v>100</v>
      </c>
      <c r="AQ23" s="19">
        <f t="shared" ref="AQ23:AR23" si="7">G23+Y23+AE23</f>
        <v>1300</v>
      </c>
      <c r="AR23" s="19">
        <f t="shared" si="7"/>
        <v>1048</v>
      </c>
    </row>
    <row r="24" spans="1:48" hidden="1" x14ac:dyDescent="0.5">
      <c r="A24" s="16">
        <v>3</v>
      </c>
      <c r="B24" s="15">
        <v>46077</v>
      </c>
      <c r="C24" s="19"/>
      <c r="D24" s="19"/>
      <c r="E24" s="19"/>
      <c r="F24" s="19">
        <v>50</v>
      </c>
      <c r="G24" s="19">
        <v>700</v>
      </c>
      <c r="H24" s="19">
        <v>448</v>
      </c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>
        <v>50</v>
      </c>
      <c r="Y24" s="19">
        <v>600</v>
      </c>
      <c r="Z24" s="19">
        <v>600</v>
      </c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>
        <f t="shared" ref="AP24" si="8">F24+X24</f>
        <v>100</v>
      </c>
      <c r="AQ24" s="19">
        <f t="shared" ref="AQ24" si="9">G24+Y24</f>
        <v>1300</v>
      </c>
      <c r="AR24" s="19">
        <f t="shared" ref="AR24" si="10">H24+Z24</f>
        <v>1048</v>
      </c>
    </row>
    <row r="25" spans="1:48" hidden="1" x14ac:dyDescent="0.5">
      <c r="AP25" s="205">
        <f>SUM(AP22:AP24)</f>
        <v>300</v>
      </c>
      <c r="AQ25" s="205">
        <f>SUM(AQ22:AQ24)</f>
        <v>3880</v>
      </c>
      <c r="AR25" s="396">
        <f>SUM(AR22:AR24)</f>
        <v>3174.4</v>
      </c>
    </row>
    <row r="26" spans="1:48" hidden="1" x14ac:dyDescent="0.5"/>
    <row r="27" spans="1:48" hidden="1" x14ac:dyDescent="0.5">
      <c r="A27" s="550" t="s">
        <v>543</v>
      </c>
      <c r="B27" s="550"/>
    </row>
    <row r="28" spans="1:48" x14ac:dyDescent="0.5">
      <c r="A28" s="550"/>
      <c r="B28" s="550"/>
    </row>
    <row r="29" spans="1:48" x14ac:dyDescent="0.5">
      <c r="A29" s="583" t="s">
        <v>118</v>
      </c>
      <c r="B29" s="586" t="s">
        <v>135</v>
      </c>
      <c r="C29" s="553"/>
      <c r="D29" s="553"/>
      <c r="E29" s="553"/>
      <c r="F29" s="553"/>
      <c r="G29" s="553"/>
      <c r="H29" s="553"/>
      <c r="I29" s="553"/>
      <c r="J29" s="553"/>
      <c r="K29" s="553"/>
      <c r="L29" s="553"/>
      <c r="M29" s="553"/>
      <c r="N29" s="553"/>
      <c r="O29" s="553"/>
      <c r="P29" s="553"/>
      <c r="Q29" s="553"/>
      <c r="R29" s="553"/>
      <c r="S29" s="553"/>
      <c r="T29" s="553"/>
      <c r="U29" s="553"/>
      <c r="V29" s="553"/>
      <c r="W29" s="553"/>
      <c r="X29" s="553"/>
      <c r="Y29" s="553"/>
      <c r="Z29" s="553"/>
      <c r="AA29" s="553"/>
      <c r="AB29" s="553"/>
      <c r="AC29" s="553"/>
      <c r="AD29" s="553"/>
      <c r="AE29" s="553"/>
      <c r="AF29" s="553"/>
      <c r="AG29" s="553"/>
      <c r="AH29" s="553"/>
      <c r="AI29" s="553"/>
      <c r="AJ29" s="553"/>
      <c r="AK29" s="553"/>
      <c r="AL29" s="553"/>
      <c r="AM29" s="553"/>
      <c r="AN29" s="553"/>
      <c r="AO29" s="553"/>
      <c r="AP29" s="553"/>
      <c r="AQ29" s="553"/>
      <c r="AR29" s="553"/>
    </row>
    <row r="30" spans="1:48" x14ac:dyDescent="0.5">
      <c r="A30" s="584"/>
      <c r="B30" s="587"/>
      <c r="C30" s="555" t="s">
        <v>134</v>
      </c>
      <c r="D30" s="555"/>
      <c r="E30" s="556"/>
      <c r="F30" s="557" t="s">
        <v>133</v>
      </c>
      <c r="G30" s="557"/>
      <c r="H30" s="557"/>
      <c r="I30" s="557" t="s">
        <v>132</v>
      </c>
      <c r="J30" s="557"/>
      <c r="K30" s="557"/>
      <c r="L30" s="557" t="s">
        <v>131</v>
      </c>
      <c r="M30" s="557"/>
      <c r="N30" s="557"/>
      <c r="O30" s="557" t="s">
        <v>130</v>
      </c>
      <c r="P30" s="557"/>
      <c r="Q30" s="557"/>
      <c r="R30" s="557" t="s">
        <v>129</v>
      </c>
      <c r="S30" s="557"/>
      <c r="T30" s="557"/>
      <c r="U30" s="558" t="s">
        <v>128</v>
      </c>
      <c r="V30" s="559"/>
      <c r="W30" s="560"/>
      <c r="X30" s="557" t="s">
        <v>127</v>
      </c>
      <c r="Y30" s="557"/>
      <c r="Z30" s="557"/>
      <c r="AA30" s="589" t="s">
        <v>126</v>
      </c>
      <c r="AB30" s="589"/>
      <c r="AC30" s="589"/>
      <c r="AD30" s="590" t="s">
        <v>125</v>
      </c>
      <c r="AE30" s="590"/>
      <c r="AF30" s="590"/>
      <c r="AG30" s="589" t="s">
        <v>124</v>
      </c>
      <c r="AH30" s="589"/>
      <c r="AI30" s="589"/>
      <c r="AJ30" s="591" t="s">
        <v>550</v>
      </c>
      <c r="AK30" s="592"/>
      <c r="AL30" s="593"/>
      <c r="AM30" s="589" t="s">
        <v>549</v>
      </c>
      <c r="AN30" s="589"/>
      <c r="AO30" s="176"/>
      <c r="AP30" s="557" t="s">
        <v>122</v>
      </c>
      <c r="AQ30" s="557"/>
      <c r="AR30" s="557"/>
    </row>
    <row r="31" spans="1:48" x14ac:dyDescent="0.5">
      <c r="A31" s="585"/>
      <c r="B31" s="588"/>
      <c r="C31" s="179" t="s">
        <v>109</v>
      </c>
      <c r="D31" s="17" t="s">
        <v>108</v>
      </c>
      <c r="E31" s="17" t="s">
        <v>348</v>
      </c>
      <c r="F31" s="17" t="s">
        <v>109</v>
      </c>
      <c r="G31" s="17" t="s">
        <v>108</v>
      </c>
      <c r="H31" s="17" t="s">
        <v>348</v>
      </c>
      <c r="I31" s="17" t="s">
        <v>109</v>
      </c>
      <c r="J31" s="17" t="s">
        <v>108</v>
      </c>
      <c r="K31" s="17" t="s">
        <v>348</v>
      </c>
      <c r="L31" s="17" t="s">
        <v>109</v>
      </c>
      <c r="M31" s="17" t="s">
        <v>108</v>
      </c>
      <c r="N31" s="17" t="s">
        <v>348</v>
      </c>
      <c r="O31" s="17" t="s">
        <v>109</v>
      </c>
      <c r="P31" s="17" t="s">
        <v>108</v>
      </c>
      <c r="Q31" s="17" t="s">
        <v>348</v>
      </c>
      <c r="R31" s="17" t="s">
        <v>109</v>
      </c>
      <c r="S31" s="17" t="s">
        <v>108</v>
      </c>
      <c r="T31" s="17" t="s">
        <v>348</v>
      </c>
      <c r="U31" s="17" t="s">
        <v>109</v>
      </c>
      <c r="V31" s="17" t="s">
        <v>108</v>
      </c>
      <c r="W31" s="17" t="s">
        <v>348</v>
      </c>
      <c r="X31" s="17" t="s">
        <v>109</v>
      </c>
      <c r="Y31" s="17" t="s">
        <v>108</v>
      </c>
      <c r="Z31" s="17" t="s">
        <v>348</v>
      </c>
      <c r="AA31" s="17" t="s">
        <v>109</v>
      </c>
      <c r="AB31" s="17" t="s">
        <v>108</v>
      </c>
      <c r="AC31" s="17" t="s">
        <v>348</v>
      </c>
      <c r="AD31" s="17" t="s">
        <v>109</v>
      </c>
      <c r="AE31" s="17" t="s">
        <v>108</v>
      </c>
      <c r="AF31" s="17" t="s">
        <v>348</v>
      </c>
      <c r="AG31" s="17" t="s">
        <v>109</v>
      </c>
      <c r="AH31" s="17" t="s">
        <v>108</v>
      </c>
      <c r="AI31" s="17" t="s">
        <v>348</v>
      </c>
      <c r="AJ31" s="17"/>
      <c r="AK31" s="17"/>
      <c r="AL31" s="17"/>
      <c r="AM31" s="17" t="s">
        <v>109</v>
      </c>
      <c r="AN31" s="17" t="s">
        <v>108</v>
      </c>
      <c r="AO31" s="17" t="s">
        <v>348</v>
      </c>
      <c r="AP31" s="17" t="s">
        <v>109</v>
      </c>
      <c r="AQ31" s="17" t="s">
        <v>108</v>
      </c>
      <c r="AR31" s="17" t="s">
        <v>348</v>
      </c>
    </row>
    <row r="32" spans="1:48" x14ac:dyDescent="0.5">
      <c r="A32" s="277">
        <v>1</v>
      </c>
      <c r="B32" s="278">
        <v>46084</v>
      </c>
      <c r="C32" s="19"/>
      <c r="D32" s="19"/>
      <c r="E32" s="19"/>
      <c r="F32" s="19">
        <v>30</v>
      </c>
      <c r="G32" s="19">
        <v>420</v>
      </c>
      <c r="H32" s="19">
        <v>268.8</v>
      </c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>
        <v>70</v>
      </c>
      <c r="Y32" s="19">
        <v>840</v>
      </c>
      <c r="Z32" s="19">
        <v>840</v>
      </c>
      <c r="AA32" s="19">
        <v>10</v>
      </c>
      <c r="AB32" s="19">
        <v>120</v>
      </c>
      <c r="AC32" s="19">
        <v>120</v>
      </c>
      <c r="AD32" s="19"/>
      <c r="AE32" s="19"/>
      <c r="AF32" s="19"/>
      <c r="AG32" s="19"/>
      <c r="AH32" s="19"/>
      <c r="AI32" s="19"/>
      <c r="AJ32" s="19">
        <v>5</v>
      </c>
      <c r="AK32" s="19">
        <v>60</v>
      </c>
      <c r="AL32" s="19">
        <v>60</v>
      </c>
      <c r="AM32" s="19"/>
      <c r="AN32" s="19"/>
      <c r="AO32" s="19"/>
      <c r="AP32" s="19">
        <f>F32+X32+AA32+AJ32</f>
        <v>115</v>
      </c>
      <c r="AQ32" s="19">
        <f t="shared" ref="AQ32:AR32" si="11">G32+Y32+AB32+AK32</f>
        <v>1440</v>
      </c>
      <c r="AR32" s="19">
        <f t="shared" si="11"/>
        <v>1288.8</v>
      </c>
      <c r="AV32" s="22">
        <f>L32+AD32+AG32</f>
        <v>0</v>
      </c>
    </row>
    <row r="33" spans="1:44" x14ac:dyDescent="0.5">
      <c r="A33" s="16">
        <v>2</v>
      </c>
      <c r="B33" s="15">
        <v>46088</v>
      </c>
      <c r="C33" s="19"/>
      <c r="D33" s="19"/>
      <c r="E33" s="19"/>
      <c r="F33" s="19">
        <v>100</v>
      </c>
      <c r="G33" s="19">
        <v>1400</v>
      </c>
      <c r="H33" s="19">
        <v>896</v>
      </c>
      <c r="I33" s="19"/>
      <c r="J33" s="19"/>
      <c r="K33" s="19"/>
      <c r="L33" s="19"/>
      <c r="M33" s="19"/>
      <c r="N33" s="19"/>
      <c r="O33" s="21"/>
      <c r="P33" s="178"/>
      <c r="Q33" s="19"/>
      <c r="R33" s="19"/>
      <c r="S33" s="19"/>
      <c r="T33" s="19"/>
      <c r="U33" s="19"/>
      <c r="V33" s="19"/>
      <c r="W33" s="19"/>
      <c r="X33" s="19">
        <v>100</v>
      </c>
      <c r="Y33" s="19">
        <v>1200</v>
      </c>
      <c r="Z33" s="19">
        <v>1200</v>
      </c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>
        <f>F33+X33+AD33</f>
        <v>200</v>
      </c>
      <c r="AQ33" s="19">
        <f t="shared" ref="AQ33" si="12">G33+Y33+AE33</f>
        <v>2600</v>
      </c>
      <c r="AR33" s="19">
        <f t="shared" ref="AR33" si="13">H33+Z33+AF33</f>
        <v>2096</v>
      </c>
    </row>
    <row r="34" spans="1:44" x14ac:dyDescent="0.5">
      <c r="A34" s="16">
        <v>3</v>
      </c>
      <c r="B34" s="15">
        <v>46099</v>
      </c>
      <c r="C34" s="19"/>
      <c r="D34" s="19"/>
      <c r="E34" s="19"/>
      <c r="F34" s="19">
        <v>50</v>
      </c>
      <c r="G34" s="19">
        <v>700</v>
      </c>
      <c r="H34" s="19">
        <v>448</v>
      </c>
      <c r="I34" s="19"/>
      <c r="J34" s="19"/>
      <c r="K34" s="19"/>
      <c r="L34" s="19"/>
      <c r="M34" s="19"/>
      <c r="N34" s="19"/>
      <c r="O34" s="178"/>
      <c r="P34" s="178"/>
      <c r="Q34" s="19"/>
      <c r="R34" s="19"/>
      <c r="S34" s="19"/>
      <c r="T34" s="19"/>
      <c r="U34" s="19"/>
      <c r="V34" s="19"/>
      <c r="W34" s="19"/>
      <c r="X34" s="19">
        <v>50</v>
      </c>
      <c r="Y34" s="19">
        <v>600</v>
      </c>
      <c r="Z34" s="19">
        <v>600</v>
      </c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>
        <f t="shared" ref="AP34" si="14">F34+X34+AD34</f>
        <v>100</v>
      </c>
      <c r="AQ34" s="19">
        <f t="shared" ref="AQ34" si="15">G34+Y34+AE34</f>
        <v>1300</v>
      </c>
      <c r="AR34" s="19">
        <f t="shared" ref="AR34" si="16">H34+Z34+AF34</f>
        <v>1048</v>
      </c>
    </row>
    <row r="35" spans="1:44" x14ac:dyDescent="0.5">
      <c r="A35" s="16"/>
      <c r="B35" s="15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</row>
    <row r="36" spans="1:44" x14ac:dyDescent="0.5">
      <c r="AP36" s="205">
        <f>SUM(AP32:AP35)</f>
        <v>415</v>
      </c>
      <c r="AQ36" s="205">
        <f>SUM(AQ32:AQ35)</f>
        <v>5340</v>
      </c>
      <c r="AR36" s="396">
        <f>SUM(AR32:AR35)</f>
        <v>4432.8</v>
      </c>
    </row>
  </sheetData>
  <mergeCells count="52">
    <mergeCell ref="AA20:AC20"/>
    <mergeCell ref="AD20:AF20"/>
    <mergeCell ref="A17:B18"/>
    <mergeCell ref="A19:A21"/>
    <mergeCell ref="B19:B21"/>
    <mergeCell ref="C19:AR19"/>
    <mergeCell ref="C20:E20"/>
    <mergeCell ref="F20:H20"/>
    <mergeCell ref="I20:K20"/>
    <mergeCell ref="L20:N20"/>
    <mergeCell ref="O20:Q20"/>
    <mergeCell ref="R20:T20"/>
    <mergeCell ref="U20:W20"/>
    <mergeCell ref="X20:Z20"/>
    <mergeCell ref="AP4:AR4"/>
    <mergeCell ref="AG20:AI20"/>
    <mergeCell ref="AM20:AN20"/>
    <mergeCell ref="AP20:AR20"/>
    <mergeCell ref="AJ30:AL30"/>
    <mergeCell ref="AM30:AN30"/>
    <mergeCell ref="AP30:AR30"/>
    <mergeCell ref="A1:B2"/>
    <mergeCell ref="A3:A5"/>
    <mergeCell ref="B3:B5"/>
    <mergeCell ref="C3:AR3"/>
    <mergeCell ref="C4:E4"/>
    <mergeCell ref="F4:H4"/>
    <mergeCell ref="I4:K4"/>
    <mergeCell ref="L4:N4"/>
    <mergeCell ref="O4:Q4"/>
    <mergeCell ref="R4:T4"/>
    <mergeCell ref="U4:W4"/>
    <mergeCell ref="X4:Z4"/>
    <mergeCell ref="AA4:AC4"/>
    <mergeCell ref="AG4:AI4"/>
    <mergeCell ref="AD4:AF4"/>
    <mergeCell ref="AM4:AN4"/>
    <mergeCell ref="A27:B28"/>
    <mergeCell ref="A29:A31"/>
    <mergeCell ref="B29:B31"/>
    <mergeCell ref="C29:AR29"/>
    <mergeCell ref="C30:E30"/>
    <mergeCell ref="F30:H30"/>
    <mergeCell ref="I30:K30"/>
    <mergeCell ref="L30:N30"/>
    <mergeCell ref="O30:Q30"/>
    <mergeCell ref="R30:T30"/>
    <mergeCell ref="U30:W30"/>
    <mergeCell ref="X30:Z30"/>
    <mergeCell ref="AA30:AC30"/>
    <mergeCell ref="AD30:AF30"/>
    <mergeCell ref="AG30:AI30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DDAAC-6F9D-411C-97B3-73F429EF2891}">
  <dimension ref="A1:AO62"/>
  <sheetViews>
    <sheetView topLeftCell="A43" workbookViewId="0"/>
  </sheetViews>
  <sheetFormatPr defaultColWidth="9.140625" defaultRowHeight="18" x14ac:dyDescent="0.5"/>
  <cols>
    <col min="1" max="2" width="9.140625" style="22"/>
    <col min="3" max="23" width="9.140625" style="22" hidden="1" customWidth="1"/>
    <col min="24" max="26" width="9.140625" style="22"/>
    <col min="27" max="38" width="0" style="22" hidden="1" customWidth="1"/>
    <col min="39" max="16384" width="9.140625" style="22"/>
  </cols>
  <sheetData>
    <row r="1" spans="1:41" hidden="1" x14ac:dyDescent="0.5"/>
    <row r="2" spans="1:41" hidden="1" x14ac:dyDescent="0.5">
      <c r="A2" s="550" t="s">
        <v>438</v>
      </c>
      <c r="B2" s="550"/>
    </row>
    <row r="3" spans="1:41" hidden="1" x14ac:dyDescent="0.5">
      <c r="A3" s="550"/>
      <c r="B3" s="550"/>
    </row>
    <row r="4" spans="1:41" hidden="1" x14ac:dyDescent="0.5">
      <c r="A4" s="551" t="s">
        <v>118</v>
      </c>
      <c r="B4" s="552" t="s">
        <v>135</v>
      </c>
      <c r="C4" s="553"/>
      <c r="D4" s="553"/>
      <c r="E4" s="553"/>
      <c r="F4" s="553"/>
      <c r="G4" s="553"/>
      <c r="H4" s="553"/>
      <c r="I4" s="553"/>
      <c r="J4" s="553"/>
      <c r="K4" s="553"/>
      <c r="L4" s="553"/>
      <c r="M4" s="553"/>
      <c r="N4" s="553"/>
      <c r="O4" s="553"/>
      <c r="P4" s="553"/>
      <c r="Q4" s="553"/>
      <c r="R4" s="553"/>
      <c r="S4" s="553"/>
      <c r="T4" s="553"/>
      <c r="U4" s="553"/>
      <c r="V4" s="553"/>
      <c r="W4" s="553"/>
      <c r="X4" s="553"/>
      <c r="Y4" s="553"/>
      <c r="Z4" s="553"/>
      <c r="AA4" s="553"/>
      <c r="AB4" s="553"/>
      <c r="AC4" s="553"/>
      <c r="AD4" s="553"/>
      <c r="AE4" s="553"/>
      <c r="AF4" s="553"/>
      <c r="AG4" s="553"/>
      <c r="AH4" s="553"/>
      <c r="AI4" s="553"/>
      <c r="AJ4" s="553"/>
      <c r="AK4" s="553"/>
      <c r="AL4" s="553"/>
      <c r="AM4" s="553"/>
      <c r="AN4" s="553"/>
      <c r="AO4" s="553"/>
    </row>
    <row r="5" spans="1:41" ht="21" hidden="1" customHeight="1" x14ac:dyDescent="0.5">
      <c r="A5" s="551"/>
      <c r="B5" s="552"/>
      <c r="C5" s="574" t="s">
        <v>389</v>
      </c>
      <c r="D5" s="575"/>
      <c r="E5" s="576"/>
      <c r="F5" s="577" t="s">
        <v>133</v>
      </c>
      <c r="G5" s="577"/>
      <c r="H5" s="577"/>
      <c r="I5" s="577" t="s">
        <v>132</v>
      </c>
      <c r="J5" s="577"/>
      <c r="K5" s="577"/>
      <c r="L5" s="577" t="s">
        <v>131</v>
      </c>
      <c r="M5" s="577"/>
      <c r="N5" s="577"/>
      <c r="O5" s="577" t="s">
        <v>130</v>
      </c>
      <c r="P5" s="577"/>
      <c r="Q5" s="577"/>
      <c r="R5" s="577" t="s">
        <v>129</v>
      </c>
      <c r="S5" s="577"/>
      <c r="T5" s="577"/>
      <c r="U5" s="578" t="s">
        <v>128</v>
      </c>
      <c r="V5" s="579"/>
      <c r="W5" s="580"/>
      <c r="X5" s="577" t="s">
        <v>127</v>
      </c>
      <c r="Y5" s="577"/>
      <c r="Z5" s="577"/>
      <c r="AA5" s="562" t="s">
        <v>126</v>
      </c>
      <c r="AB5" s="562"/>
      <c r="AC5" s="562"/>
      <c r="AD5" s="562" t="s">
        <v>125</v>
      </c>
      <c r="AE5" s="562"/>
      <c r="AF5" s="562"/>
      <c r="AG5" s="562" t="s">
        <v>124</v>
      </c>
      <c r="AH5" s="562"/>
      <c r="AI5" s="562"/>
      <c r="AJ5" s="562" t="s">
        <v>123</v>
      </c>
      <c r="AK5" s="562"/>
      <c r="AL5" s="206"/>
      <c r="AM5" s="562" t="s">
        <v>122</v>
      </c>
      <c r="AN5" s="562"/>
      <c r="AO5" s="562"/>
    </row>
    <row r="6" spans="1:41" ht="21" hidden="1" x14ac:dyDescent="0.5">
      <c r="A6" s="551"/>
      <c r="B6" s="552"/>
      <c r="C6" s="208" t="s">
        <v>109</v>
      </c>
      <c r="D6" s="208" t="s">
        <v>108</v>
      </c>
      <c r="E6" s="208" t="s">
        <v>348</v>
      </c>
      <c r="F6" s="208" t="s">
        <v>109</v>
      </c>
      <c r="G6" s="208" t="s">
        <v>108</v>
      </c>
      <c r="H6" s="208" t="s">
        <v>348</v>
      </c>
      <c r="I6" s="208" t="s">
        <v>109</v>
      </c>
      <c r="J6" s="208" t="s">
        <v>108</v>
      </c>
      <c r="K6" s="208" t="s">
        <v>348</v>
      </c>
      <c r="L6" s="208" t="s">
        <v>109</v>
      </c>
      <c r="M6" s="208" t="s">
        <v>108</v>
      </c>
      <c r="N6" s="208" t="s">
        <v>348</v>
      </c>
      <c r="O6" s="208" t="s">
        <v>109</v>
      </c>
      <c r="P6" s="208" t="s">
        <v>108</v>
      </c>
      <c r="Q6" s="208" t="s">
        <v>348</v>
      </c>
      <c r="R6" s="208" t="s">
        <v>109</v>
      </c>
      <c r="S6" s="208" t="s">
        <v>108</v>
      </c>
      <c r="T6" s="208" t="s">
        <v>348</v>
      </c>
      <c r="U6" s="208" t="s">
        <v>109</v>
      </c>
      <c r="V6" s="208" t="s">
        <v>108</v>
      </c>
      <c r="W6" s="208" t="s">
        <v>348</v>
      </c>
      <c r="X6" s="208" t="s">
        <v>109</v>
      </c>
      <c r="Y6" s="208" t="s">
        <v>108</v>
      </c>
      <c r="Z6" s="208" t="s">
        <v>348</v>
      </c>
      <c r="AA6" s="208" t="s">
        <v>109</v>
      </c>
      <c r="AB6" s="208" t="s">
        <v>108</v>
      </c>
      <c r="AC6" s="208" t="s">
        <v>348</v>
      </c>
      <c r="AD6" s="208" t="s">
        <v>109</v>
      </c>
      <c r="AE6" s="208" t="s">
        <v>108</v>
      </c>
      <c r="AF6" s="208" t="s">
        <v>348</v>
      </c>
      <c r="AG6" s="208" t="s">
        <v>109</v>
      </c>
      <c r="AH6" s="208" t="s">
        <v>108</v>
      </c>
      <c r="AI6" s="208" t="s">
        <v>348</v>
      </c>
      <c r="AJ6" s="208" t="s">
        <v>109</v>
      </c>
      <c r="AK6" s="208" t="s">
        <v>108</v>
      </c>
      <c r="AL6" s="208" t="s">
        <v>348</v>
      </c>
      <c r="AM6" s="208" t="s">
        <v>109</v>
      </c>
      <c r="AN6" s="208" t="s">
        <v>108</v>
      </c>
      <c r="AO6" s="208" t="s">
        <v>348</v>
      </c>
    </row>
    <row r="7" spans="1:41" hidden="1" x14ac:dyDescent="0.5">
      <c r="A7" s="16">
        <v>1</v>
      </c>
      <c r="B7" s="15">
        <v>46025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>
        <v>150</v>
      </c>
      <c r="Y7" s="19">
        <v>1800</v>
      </c>
      <c r="Z7" s="19">
        <v>1800</v>
      </c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>
        <f>X7+F7</f>
        <v>150</v>
      </c>
      <c r="AN7" s="19">
        <f>Y7+G7</f>
        <v>1800</v>
      </c>
      <c r="AO7" s="19">
        <f>Z7+H7</f>
        <v>1800</v>
      </c>
    </row>
    <row r="8" spans="1:41" hidden="1" x14ac:dyDescent="0.5">
      <c r="A8" s="16">
        <v>2</v>
      </c>
      <c r="B8" s="15">
        <v>46029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21"/>
      <c r="P8" s="178"/>
      <c r="Q8" s="19"/>
      <c r="R8" s="19"/>
      <c r="S8" s="19"/>
      <c r="T8" s="19"/>
      <c r="U8" s="19"/>
      <c r="V8" s="19"/>
      <c r="W8" s="19"/>
      <c r="X8" s="19">
        <v>50</v>
      </c>
      <c r="Y8" s="19">
        <v>600</v>
      </c>
      <c r="Z8" s="19">
        <v>600</v>
      </c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>
        <f t="shared" ref="AM8:AM16" si="0">X8+F8</f>
        <v>50</v>
      </c>
      <c r="AN8" s="19">
        <f t="shared" ref="AN8:AN16" si="1">Y8+G8</f>
        <v>600</v>
      </c>
      <c r="AO8" s="19">
        <f t="shared" ref="AO8:AO16" si="2">Z8+H8</f>
        <v>600</v>
      </c>
    </row>
    <row r="9" spans="1:41" hidden="1" x14ac:dyDescent="0.5">
      <c r="A9" s="16">
        <v>3</v>
      </c>
      <c r="B9" s="15">
        <v>46034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>
        <v>50</v>
      </c>
      <c r="Y9" s="19">
        <v>600</v>
      </c>
      <c r="Z9" s="19">
        <v>600</v>
      </c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>
        <f t="shared" si="0"/>
        <v>50</v>
      </c>
      <c r="AN9" s="19">
        <f t="shared" si="1"/>
        <v>600</v>
      </c>
      <c r="AO9" s="19">
        <f t="shared" si="2"/>
        <v>600</v>
      </c>
    </row>
    <row r="10" spans="1:41" hidden="1" x14ac:dyDescent="0.5">
      <c r="A10" s="16">
        <v>4</v>
      </c>
      <c r="B10" s="15">
        <v>46036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>
        <v>100</v>
      </c>
      <c r="Y10" s="19">
        <v>1200</v>
      </c>
      <c r="Z10" s="19">
        <v>1200</v>
      </c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>
        <f t="shared" si="0"/>
        <v>100</v>
      </c>
      <c r="AN10" s="19">
        <f t="shared" si="1"/>
        <v>1200</v>
      </c>
      <c r="AO10" s="19">
        <f t="shared" si="2"/>
        <v>1200</v>
      </c>
    </row>
    <row r="11" spans="1:41" hidden="1" x14ac:dyDescent="0.5">
      <c r="A11" s="16">
        <v>5</v>
      </c>
      <c r="B11" s="15">
        <v>46038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>
        <v>100</v>
      </c>
      <c r="Y11" s="19">
        <v>1200</v>
      </c>
      <c r="Z11" s="19">
        <v>1200</v>
      </c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>
        <f t="shared" si="0"/>
        <v>100</v>
      </c>
      <c r="AN11" s="19">
        <f t="shared" si="1"/>
        <v>1200</v>
      </c>
      <c r="AO11" s="19">
        <f t="shared" si="2"/>
        <v>1200</v>
      </c>
    </row>
    <row r="12" spans="1:41" hidden="1" x14ac:dyDescent="0.5">
      <c r="A12" s="16">
        <v>6</v>
      </c>
      <c r="B12" s="15">
        <v>46039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>
        <v>50</v>
      </c>
      <c r="Y12" s="19">
        <v>600</v>
      </c>
      <c r="Z12" s="19">
        <v>600</v>
      </c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>
        <f t="shared" si="0"/>
        <v>50</v>
      </c>
      <c r="AN12" s="19">
        <f t="shared" si="1"/>
        <v>600</v>
      </c>
      <c r="AO12" s="19">
        <f t="shared" si="2"/>
        <v>600</v>
      </c>
    </row>
    <row r="13" spans="1:41" hidden="1" x14ac:dyDescent="0.5">
      <c r="A13" s="16">
        <v>7</v>
      </c>
      <c r="B13" s="15">
        <v>45676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>
        <v>30</v>
      </c>
      <c r="Y13" s="19">
        <v>420</v>
      </c>
      <c r="Z13" s="19">
        <v>268.8</v>
      </c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>
        <f t="shared" ref="AM13:AM15" si="3">X13+F13</f>
        <v>30</v>
      </c>
      <c r="AN13" s="19">
        <f t="shared" ref="AN13:AN15" si="4">Y13+G13</f>
        <v>420</v>
      </c>
      <c r="AO13" s="19">
        <f t="shared" ref="AO13:AO15" si="5">Z13+H13</f>
        <v>268.8</v>
      </c>
    </row>
    <row r="14" spans="1:41" hidden="1" x14ac:dyDescent="0.5">
      <c r="A14" s="16">
        <v>8</v>
      </c>
      <c r="B14" s="15">
        <v>46044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>
        <v>100</v>
      </c>
      <c r="Y14" s="19">
        <v>1200</v>
      </c>
      <c r="Z14" s="19">
        <v>1200</v>
      </c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>
        <f t="shared" si="3"/>
        <v>100</v>
      </c>
      <c r="AN14" s="19">
        <f t="shared" si="4"/>
        <v>1200</v>
      </c>
      <c r="AO14" s="19">
        <f t="shared" si="5"/>
        <v>1200</v>
      </c>
    </row>
    <row r="15" spans="1:41" hidden="1" x14ac:dyDescent="0.5">
      <c r="A15" s="16">
        <v>9</v>
      </c>
      <c r="B15" s="15">
        <v>46049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>
        <v>50</v>
      </c>
      <c r="Y15" s="19">
        <v>600</v>
      </c>
      <c r="Z15" s="19">
        <v>600</v>
      </c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>
        <f t="shared" si="3"/>
        <v>50</v>
      </c>
      <c r="AN15" s="19">
        <f t="shared" si="4"/>
        <v>600</v>
      </c>
      <c r="AO15" s="19">
        <f t="shared" si="5"/>
        <v>600</v>
      </c>
    </row>
    <row r="16" spans="1:41" hidden="1" x14ac:dyDescent="0.5">
      <c r="A16" s="16">
        <v>10</v>
      </c>
      <c r="B16" s="15">
        <v>46050</v>
      </c>
      <c r="C16" s="20"/>
      <c r="D16" s="20"/>
      <c r="E16" s="19"/>
      <c r="F16" s="20"/>
      <c r="G16" s="20"/>
      <c r="H16" s="19"/>
      <c r="I16" s="20"/>
      <c r="J16" s="20"/>
      <c r="K16" s="20"/>
      <c r="L16" s="20"/>
      <c r="M16" s="20"/>
      <c r="N16" s="20"/>
      <c r="O16" s="20"/>
      <c r="P16" s="20"/>
      <c r="Q16" s="19"/>
      <c r="R16" s="20"/>
      <c r="S16" s="20"/>
      <c r="T16" s="19"/>
      <c r="U16" s="20"/>
      <c r="V16" s="20"/>
      <c r="W16" s="20"/>
      <c r="X16" s="20">
        <v>120</v>
      </c>
      <c r="Y16" s="20">
        <v>1440</v>
      </c>
      <c r="Z16" s="20">
        <v>1440</v>
      </c>
      <c r="AA16" s="20"/>
      <c r="AB16" s="20"/>
      <c r="AC16" s="20"/>
      <c r="AD16" s="20"/>
      <c r="AE16" s="20"/>
      <c r="AF16" s="19"/>
      <c r="AG16" s="19"/>
      <c r="AH16" s="19"/>
      <c r="AI16" s="19"/>
      <c r="AJ16" s="19"/>
      <c r="AK16" s="19"/>
      <c r="AL16" s="19"/>
      <c r="AM16" s="19">
        <f t="shared" si="0"/>
        <v>120</v>
      </c>
      <c r="AN16" s="19">
        <f t="shared" si="1"/>
        <v>1440</v>
      </c>
      <c r="AO16" s="19">
        <f t="shared" si="2"/>
        <v>1440</v>
      </c>
    </row>
    <row r="17" spans="1:41" hidden="1" x14ac:dyDescent="0.5">
      <c r="A17" s="16">
        <v>11</v>
      </c>
      <c r="B17" s="15"/>
      <c r="C17" s="20"/>
      <c r="D17" s="20"/>
      <c r="E17" s="19"/>
      <c r="F17" s="20"/>
      <c r="G17" s="20"/>
      <c r="H17" s="19"/>
      <c r="I17" s="20"/>
      <c r="J17" s="20"/>
      <c r="K17" s="20"/>
      <c r="L17" s="20"/>
      <c r="M17" s="20"/>
      <c r="N17" s="20"/>
      <c r="O17" s="20"/>
      <c r="P17" s="20"/>
      <c r="Q17" s="19"/>
      <c r="R17" s="20"/>
      <c r="S17" s="20"/>
      <c r="T17" s="19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19"/>
      <c r="AG17" s="19"/>
      <c r="AH17" s="19"/>
      <c r="AI17" s="19"/>
      <c r="AJ17" s="19"/>
      <c r="AK17" s="19"/>
      <c r="AL17" s="19"/>
      <c r="AM17" s="19">
        <f t="shared" ref="AM17:AM19" si="6">X17+F17</f>
        <v>0</v>
      </c>
      <c r="AN17" s="19">
        <f t="shared" ref="AN17:AN19" si="7">Y17+G17</f>
        <v>0</v>
      </c>
      <c r="AO17" s="19">
        <f t="shared" ref="AO17:AO19" si="8">Z17+H17</f>
        <v>0</v>
      </c>
    </row>
    <row r="18" spans="1:41" hidden="1" x14ac:dyDescent="0.5">
      <c r="A18" s="16">
        <v>12</v>
      </c>
      <c r="B18" s="15"/>
      <c r="C18" s="20"/>
      <c r="D18" s="20"/>
      <c r="E18" s="19"/>
      <c r="F18" s="20"/>
      <c r="G18" s="20"/>
      <c r="H18" s="19"/>
      <c r="I18" s="20"/>
      <c r="J18" s="20"/>
      <c r="K18" s="20"/>
      <c r="L18" s="20"/>
      <c r="M18" s="20"/>
      <c r="N18" s="20"/>
      <c r="O18" s="20"/>
      <c r="P18" s="20"/>
      <c r="Q18" s="19"/>
      <c r="R18" s="20"/>
      <c r="S18" s="20"/>
      <c r="T18" s="19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19"/>
      <c r="AG18" s="19"/>
      <c r="AH18" s="19"/>
      <c r="AI18" s="19"/>
      <c r="AJ18" s="19"/>
      <c r="AK18" s="19"/>
      <c r="AL18" s="19"/>
      <c r="AM18" s="19">
        <f t="shared" si="6"/>
        <v>0</v>
      </c>
      <c r="AN18" s="19">
        <f t="shared" si="7"/>
        <v>0</v>
      </c>
      <c r="AO18" s="19">
        <f t="shared" si="8"/>
        <v>0</v>
      </c>
    </row>
    <row r="19" spans="1:41" hidden="1" x14ac:dyDescent="0.5">
      <c r="A19" s="16">
        <v>13</v>
      </c>
      <c r="B19" s="15"/>
      <c r="C19" s="20"/>
      <c r="D19" s="20"/>
      <c r="E19" s="19"/>
      <c r="F19" s="20"/>
      <c r="G19" s="20"/>
      <c r="H19" s="19"/>
      <c r="I19" s="20"/>
      <c r="J19" s="20"/>
      <c r="K19" s="20"/>
      <c r="L19" s="20"/>
      <c r="M19" s="20"/>
      <c r="N19" s="20"/>
      <c r="O19" s="20"/>
      <c r="P19" s="20"/>
      <c r="Q19" s="19"/>
      <c r="R19" s="20"/>
      <c r="S19" s="20"/>
      <c r="T19" s="19"/>
      <c r="U19" s="20"/>
      <c r="V19" s="20"/>
      <c r="W19" s="20"/>
      <c r="X19" s="20"/>
      <c r="Y19" s="20"/>
      <c r="Z19" s="20"/>
      <c r="AA19" s="20">
        <v>600</v>
      </c>
      <c r="AB19" s="20"/>
      <c r="AC19" s="20"/>
      <c r="AD19" s="20"/>
      <c r="AE19" s="20"/>
      <c r="AF19" s="19"/>
      <c r="AG19" s="19"/>
      <c r="AH19" s="19"/>
      <c r="AI19" s="19"/>
      <c r="AJ19" s="19"/>
      <c r="AK19" s="19"/>
      <c r="AL19" s="19"/>
      <c r="AM19" s="19">
        <f t="shared" si="6"/>
        <v>0</v>
      </c>
      <c r="AN19" s="19">
        <f t="shared" si="7"/>
        <v>0</v>
      </c>
      <c r="AO19" s="19">
        <f t="shared" si="8"/>
        <v>0</v>
      </c>
    </row>
    <row r="20" spans="1:41" hidden="1" x14ac:dyDescent="0.5">
      <c r="AM20" s="182">
        <f>SUM(AM7:AM19)</f>
        <v>800</v>
      </c>
      <c r="AN20" s="182">
        <f>SUM(AN7:AN19)</f>
        <v>9660</v>
      </c>
      <c r="AO20" s="182">
        <f>SUM(AO7:AO19)</f>
        <v>9508.7999999999993</v>
      </c>
    </row>
    <row r="21" spans="1:41" hidden="1" x14ac:dyDescent="0.5"/>
    <row r="22" spans="1:41" hidden="1" x14ac:dyDescent="0.5">
      <c r="A22" s="550" t="s">
        <v>498</v>
      </c>
      <c r="B22" s="550"/>
    </row>
    <row r="23" spans="1:41" hidden="1" x14ac:dyDescent="0.5">
      <c r="A23" s="550"/>
      <c r="B23" s="550"/>
    </row>
    <row r="24" spans="1:41" hidden="1" x14ac:dyDescent="0.5">
      <c r="A24" s="551" t="s">
        <v>118</v>
      </c>
      <c r="B24" s="552" t="s">
        <v>135</v>
      </c>
      <c r="C24" s="553"/>
      <c r="D24" s="553"/>
      <c r="E24" s="553"/>
      <c r="F24" s="553"/>
      <c r="G24" s="553"/>
      <c r="H24" s="553"/>
      <c r="I24" s="553"/>
      <c r="J24" s="553"/>
      <c r="K24" s="553"/>
      <c r="L24" s="553"/>
      <c r="M24" s="553"/>
      <c r="N24" s="553"/>
      <c r="O24" s="553"/>
      <c r="P24" s="553"/>
      <c r="Q24" s="553"/>
      <c r="R24" s="553"/>
      <c r="S24" s="553"/>
      <c r="T24" s="553"/>
      <c r="U24" s="553"/>
      <c r="V24" s="553"/>
      <c r="W24" s="553"/>
      <c r="X24" s="553"/>
      <c r="Y24" s="553"/>
      <c r="Z24" s="553"/>
      <c r="AA24" s="553"/>
      <c r="AB24" s="553"/>
      <c r="AC24" s="553"/>
      <c r="AD24" s="553"/>
      <c r="AE24" s="553"/>
      <c r="AF24" s="553"/>
      <c r="AG24" s="553"/>
      <c r="AH24" s="553"/>
      <c r="AI24" s="553"/>
      <c r="AJ24" s="553"/>
      <c r="AK24" s="553"/>
      <c r="AL24" s="553"/>
      <c r="AM24" s="553"/>
      <c r="AN24" s="553"/>
      <c r="AO24" s="553"/>
    </row>
    <row r="25" spans="1:41" ht="21" hidden="1" x14ac:dyDescent="0.5">
      <c r="A25" s="551"/>
      <c r="B25" s="552"/>
      <c r="C25" s="574" t="s">
        <v>389</v>
      </c>
      <c r="D25" s="575"/>
      <c r="E25" s="576"/>
      <c r="F25" s="577" t="s">
        <v>133</v>
      </c>
      <c r="G25" s="577"/>
      <c r="H25" s="577"/>
      <c r="I25" s="577" t="s">
        <v>132</v>
      </c>
      <c r="J25" s="577"/>
      <c r="K25" s="577"/>
      <c r="L25" s="577" t="s">
        <v>131</v>
      </c>
      <c r="M25" s="577"/>
      <c r="N25" s="577"/>
      <c r="O25" s="577" t="s">
        <v>130</v>
      </c>
      <c r="P25" s="577"/>
      <c r="Q25" s="577"/>
      <c r="R25" s="577" t="s">
        <v>129</v>
      </c>
      <c r="S25" s="577"/>
      <c r="T25" s="577"/>
      <c r="U25" s="578" t="s">
        <v>128</v>
      </c>
      <c r="V25" s="579"/>
      <c r="W25" s="580"/>
      <c r="X25" s="577" t="s">
        <v>127</v>
      </c>
      <c r="Y25" s="577"/>
      <c r="Z25" s="577"/>
      <c r="AA25" s="562" t="s">
        <v>126</v>
      </c>
      <c r="AB25" s="562"/>
      <c r="AC25" s="562"/>
      <c r="AD25" s="562" t="s">
        <v>125</v>
      </c>
      <c r="AE25" s="562"/>
      <c r="AF25" s="562"/>
      <c r="AG25" s="562" t="s">
        <v>124</v>
      </c>
      <c r="AH25" s="562"/>
      <c r="AI25" s="562"/>
      <c r="AJ25" s="562" t="s">
        <v>123</v>
      </c>
      <c r="AK25" s="562"/>
      <c r="AL25" s="206"/>
      <c r="AM25" s="562" t="s">
        <v>122</v>
      </c>
      <c r="AN25" s="562"/>
      <c r="AO25" s="562"/>
    </row>
    <row r="26" spans="1:41" ht="21" hidden="1" x14ac:dyDescent="0.5">
      <c r="A26" s="551"/>
      <c r="B26" s="552"/>
      <c r="C26" s="208" t="s">
        <v>109</v>
      </c>
      <c r="D26" s="208" t="s">
        <v>108</v>
      </c>
      <c r="E26" s="208" t="s">
        <v>348</v>
      </c>
      <c r="F26" s="208" t="s">
        <v>109</v>
      </c>
      <c r="G26" s="208" t="s">
        <v>108</v>
      </c>
      <c r="H26" s="208" t="s">
        <v>348</v>
      </c>
      <c r="I26" s="208" t="s">
        <v>109</v>
      </c>
      <c r="J26" s="208" t="s">
        <v>108</v>
      </c>
      <c r="K26" s="208" t="s">
        <v>348</v>
      </c>
      <c r="L26" s="208" t="s">
        <v>109</v>
      </c>
      <c r="M26" s="208" t="s">
        <v>108</v>
      </c>
      <c r="N26" s="208" t="s">
        <v>348</v>
      </c>
      <c r="O26" s="208" t="s">
        <v>109</v>
      </c>
      <c r="P26" s="208" t="s">
        <v>108</v>
      </c>
      <c r="Q26" s="208" t="s">
        <v>348</v>
      </c>
      <c r="R26" s="208" t="s">
        <v>109</v>
      </c>
      <c r="S26" s="208" t="s">
        <v>108</v>
      </c>
      <c r="T26" s="208" t="s">
        <v>348</v>
      </c>
      <c r="U26" s="208" t="s">
        <v>109</v>
      </c>
      <c r="V26" s="208" t="s">
        <v>108</v>
      </c>
      <c r="W26" s="208" t="s">
        <v>348</v>
      </c>
      <c r="X26" s="208" t="s">
        <v>109</v>
      </c>
      <c r="Y26" s="208" t="s">
        <v>108</v>
      </c>
      <c r="Z26" s="208" t="s">
        <v>348</v>
      </c>
      <c r="AA26" s="208" t="s">
        <v>109</v>
      </c>
      <c r="AB26" s="208" t="s">
        <v>108</v>
      </c>
      <c r="AC26" s="208" t="s">
        <v>348</v>
      </c>
      <c r="AD26" s="208" t="s">
        <v>109</v>
      </c>
      <c r="AE26" s="208" t="s">
        <v>108</v>
      </c>
      <c r="AF26" s="208" t="s">
        <v>348</v>
      </c>
      <c r="AG26" s="208" t="s">
        <v>109</v>
      </c>
      <c r="AH26" s="208" t="s">
        <v>108</v>
      </c>
      <c r="AI26" s="208" t="s">
        <v>348</v>
      </c>
      <c r="AJ26" s="208" t="s">
        <v>109</v>
      </c>
      <c r="AK26" s="208" t="s">
        <v>108</v>
      </c>
      <c r="AL26" s="208" t="s">
        <v>348</v>
      </c>
      <c r="AM26" s="208" t="s">
        <v>109</v>
      </c>
      <c r="AN26" s="208" t="s">
        <v>108</v>
      </c>
      <c r="AO26" s="208" t="s">
        <v>348</v>
      </c>
    </row>
    <row r="27" spans="1:41" hidden="1" x14ac:dyDescent="0.5">
      <c r="A27" s="16">
        <v>1</v>
      </c>
      <c r="B27" s="15">
        <v>46055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>
        <v>50</v>
      </c>
      <c r="Y27" s="19">
        <v>600</v>
      </c>
      <c r="Z27" s="19">
        <v>600</v>
      </c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>
        <f>X27+F27</f>
        <v>50</v>
      </c>
      <c r="AN27" s="19">
        <f>Y27+G27</f>
        <v>600</v>
      </c>
      <c r="AO27" s="19">
        <f>Z27+H27</f>
        <v>600</v>
      </c>
    </row>
    <row r="28" spans="1:41" hidden="1" x14ac:dyDescent="0.5">
      <c r="A28" s="16">
        <v>2</v>
      </c>
      <c r="B28" s="15">
        <v>46056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21"/>
      <c r="P28" s="178"/>
      <c r="Q28" s="19"/>
      <c r="R28" s="19"/>
      <c r="S28" s="19"/>
      <c r="T28" s="19"/>
      <c r="U28" s="19"/>
      <c r="V28" s="19"/>
      <c r="W28" s="19"/>
      <c r="X28" s="19">
        <v>30</v>
      </c>
      <c r="Y28" s="19">
        <v>360</v>
      </c>
      <c r="Z28" s="19">
        <v>360</v>
      </c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>
        <f t="shared" ref="AM28:AM39" si="9">X28+F28</f>
        <v>30</v>
      </c>
      <c r="AN28" s="19">
        <f t="shared" ref="AN28:AN39" si="10">Y28+G28</f>
        <v>360</v>
      </c>
      <c r="AO28" s="19">
        <f t="shared" ref="AO28:AO39" si="11">Z28+H28</f>
        <v>360</v>
      </c>
    </row>
    <row r="29" spans="1:41" hidden="1" x14ac:dyDescent="0.5">
      <c r="A29" s="16">
        <v>3</v>
      </c>
      <c r="B29" s="15">
        <v>46057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>
        <v>50</v>
      </c>
      <c r="Y29" s="19">
        <v>600</v>
      </c>
      <c r="Z29" s="19">
        <v>600</v>
      </c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>
        <f t="shared" si="9"/>
        <v>50</v>
      </c>
      <c r="AN29" s="19">
        <f t="shared" si="10"/>
        <v>600</v>
      </c>
      <c r="AO29" s="19">
        <f t="shared" si="11"/>
        <v>600</v>
      </c>
    </row>
    <row r="30" spans="1:41" hidden="1" x14ac:dyDescent="0.5">
      <c r="A30" s="16">
        <v>4</v>
      </c>
      <c r="B30" s="15">
        <v>46058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>
        <v>100</v>
      </c>
      <c r="Y30" s="19">
        <v>1200</v>
      </c>
      <c r="Z30" s="19">
        <v>1200</v>
      </c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>
        <f t="shared" si="9"/>
        <v>100</v>
      </c>
      <c r="AN30" s="19">
        <f t="shared" si="10"/>
        <v>1200</v>
      </c>
      <c r="AO30" s="19">
        <f t="shared" si="11"/>
        <v>1200</v>
      </c>
    </row>
    <row r="31" spans="1:41" hidden="1" x14ac:dyDescent="0.5">
      <c r="A31" s="16">
        <v>5</v>
      </c>
      <c r="B31" s="15">
        <v>46060</v>
      </c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>
        <v>50</v>
      </c>
      <c r="Y31" s="19">
        <v>600</v>
      </c>
      <c r="Z31" s="19">
        <v>600</v>
      </c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>
        <f t="shared" si="9"/>
        <v>50</v>
      </c>
      <c r="AN31" s="19">
        <f t="shared" si="10"/>
        <v>600</v>
      </c>
      <c r="AO31" s="19">
        <f t="shared" si="11"/>
        <v>600</v>
      </c>
    </row>
    <row r="32" spans="1:41" hidden="1" x14ac:dyDescent="0.5">
      <c r="A32" s="16">
        <v>6</v>
      </c>
      <c r="B32" s="15">
        <v>46063</v>
      </c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>
        <v>50</v>
      </c>
      <c r="Y32" s="19">
        <v>600</v>
      </c>
      <c r="Z32" s="19">
        <v>600</v>
      </c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>
        <f t="shared" si="9"/>
        <v>50</v>
      </c>
      <c r="AN32" s="19">
        <f t="shared" si="10"/>
        <v>600</v>
      </c>
      <c r="AO32" s="19">
        <f t="shared" si="11"/>
        <v>600</v>
      </c>
    </row>
    <row r="33" spans="1:41" hidden="1" x14ac:dyDescent="0.5">
      <c r="A33" s="16">
        <v>7</v>
      </c>
      <c r="B33" s="15">
        <v>46066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>
        <v>30</v>
      </c>
      <c r="Y33" s="19">
        <v>360</v>
      </c>
      <c r="Z33" s="19">
        <v>360</v>
      </c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>
        <f t="shared" si="9"/>
        <v>30</v>
      </c>
      <c r="AN33" s="19">
        <f t="shared" si="10"/>
        <v>360</v>
      </c>
      <c r="AO33" s="19">
        <f t="shared" si="11"/>
        <v>360</v>
      </c>
    </row>
    <row r="34" spans="1:41" hidden="1" x14ac:dyDescent="0.5">
      <c r="A34" s="16">
        <v>8</v>
      </c>
      <c r="B34" s="15">
        <v>46067</v>
      </c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>
        <v>50</v>
      </c>
      <c r="Y34" s="19">
        <v>600</v>
      </c>
      <c r="Z34" s="19">
        <v>600</v>
      </c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>
        <f t="shared" si="9"/>
        <v>50</v>
      </c>
      <c r="AN34" s="19">
        <f t="shared" si="10"/>
        <v>600</v>
      </c>
      <c r="AO34" s="19">
        <f t="shared" si="11"/>
        <v>600</v>
      </c>
    </row>
    <row r="35" spans="1:41" hidden="1" x14ac:dyDescent="0.5">
      <c r="A35" s="16">
        <v>9</v>
      </c>
      <c r="B35" s="15">
        <v>46070</v>
      </c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>
        <v>70</v>
      </c>
      <c r="Y35" s="19">
        <v>840</v>
      </c>
      <c r="Z35" s="19">
        <v>840</v>
      </c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>
        <f t="shared" si="9"/>
        <v>70</v>
      </c>
      <c r="AN35" s="19">
        <f t="shared" si="10"/>
        <v>840</v>
      </c>
      <c r="AO35" s="19">
        <f t="shared" si="11"/>
        <v>840</v>
      </c>
    </row>
    <row r="36" spans="1:41" hidden="1" x14ac:dyDescent="0.5">
      <c r="A36" s="16">
        <v>10</v>
      </c>
      <c r="B36" s="15">
        <v>46073</v>
      </c>
      <c r="C36" s="20"/>
      <c r="D36" s="20"/>
      <c r="E36" s="19"/>
      <c r="F36" s="20"/>
      <c r="G36" s="20"/>
      <c r="H36" s="19"/>
      <c r="I36" s="20"/>
      <c r="J36" s="20"/>
      <c r="K36" s="20"/>
      <c r="L36" s="20"/>
      <c r="M36" s="20"/>
      <c r="N36" s="20"/>
      <c r="O36" s="20"/>
      <c r="P36" s="20"/>
      <c r="Q36" s="19"/>
      <c r="R36" s="20"/>
      <c r="S36" s="20"/>
      <c r="T36" s="19"/>
      <c r="U36" s="20"/>
      <c r="V36" s="20"/>
      <c r="W36" s="20"/>
      <c r="X36" s="20">
        <v>150</v>
      </c>
      <c r="Y36" s="20">
        <v>1800</v>
      </c>
      <c r="Z36" s="20">
        <v>1800</v>
      </c>
      <c r="AA36" s="20"/>
      <c r="AB36" s="20"/>
      <c r="AC36" s="20"/>
      <c r="AD36" s="20"/>
      <c r="AE36" s="20"/>
      <c r="AF36" s="19"/>
      <c r="AG36" s="19"/>
      <c r="AH36" s="19"/>
      <c r="AI36" s="19"/>
      <c r="AJ36" s="19"/>
      <c r="AK36" s="19"/>
      <c r="AL36" s="19"/>
      <c r="AM36" s="19">
        <f t="shared" si="9"/>
        <v>150</v>
      </c>
      <c r="AN36" s="19">
        <f t="shared" si="10"/>
        <v>1800</v>
      </c>
      <c r="AO36" s="19">
        <f t="shared" si="11"/>
        <v>1800</v>
      </c>
    </row>
    <row r="37" spans="1:41" hidden="1" x14ac:dyDescent="0.5">
      <c r="A37" s="16">
        <v>11</v>
      </c>
      <c r="B37" s="15">
        <v>46076</v>
      </c>
      <c r="C37" s="20"/>
      <c r="D37" s="20"/>
      <c r="E37" s="19"/>
      <c r="F37" s="20"/>
      <c r="G37" s="20"/>
      <c r="H37" s="19"/>
      <c r="I37" s="20"/>
      <c r="J37" s="20"/>
      <c r="K37" s="20"/>
      <c r="L37" s="20"/>
      <c r="M37" s="20"/>
      <c r="N37" s="20"/>
      <c r="O37" s="20"/>
      <c r="P37" s="20"/>
      <c r="Q37" s="19"/>
      <c r="R37" s="20"/>
      <c r="S37" s="20"/>
      <c r="T37" s="19"/>
      <c r="U37" s="20"/>
      <c r="V37" s="20"/>
      <c r="W37" s="20"/>
      <c r="X37" s="20">
        <v>50</v>
      </c>
      <c r="Y37" s="20">
        <v>600</v>
      </c>
      <c r="Z37" s="20">
        <v>600</v>
      </c>
      <c r="AA37" s="20"/>
      <c r="AB37" s="20"/>
      <c r="AC37" s="20"/>
      <c r="AD37" s="20"/>
      <c r="AE37" s="20"/>
      <c r="AF37" s="19"/>
      <c r="AG37" s="19"/>
      <c r="AH37" s="19"/>
      <c r="AI37" s="19"/>
      <c r="AJ37" s="19"/>
      <c r="AK37" s="19"/>
      <c r="AL37" s="19"/>
      <c r="AM37" s="19">
        <f t="shared" si="9"/>
        <v>50</v>
      </c>
      <c r="AN37" s="19">
        <f t="shared" si="10"/>
        <v>600</v>
      </c>
      <c r="AO37" s="19">
        <f t="shared" si="11"/>
        <v>600</v>
      </c>
    </row>
    <row r="38" spans="1:41" hidden="1" x14ac:dyDescent="0.5">
      <c r="A38" s="16">
        <v>12</v>
      </c>
      <c r="B38" s="15">
        <v>46077</v>
      </c>
      <c r="C38" s="20"/>
      <c r="D38" s="20"/>
      <c r="E38" s="19"/>
      <c r="F38" s="20"/>
      <c r="G38" s="20"/>
      <c r="H38" s="19"/>
      <c r="I38" s="20"/>
      <c r="J38" s="20"/>
      <c r="K38" s="20"/>
      <c r="L38" s="20"/>
      <c r="M38" s="20"/>
      <c r="N38" s="20"/>
      <c r="O38" s="20"/>
      <c r="P38" s="20"/>
      <c r="Q38" s="19"/>
      <c r="R38" s="20"/>
      <c r="S38" s="20"/>
      <c r="T38" s="19"/>
      <c r="U38" s="20"/>
      <c r="V38" s="20"/>
      <c r="W38" s="20"/>
      <c r="X38" s="20">
        <v>30</v>
      </c>
      <c r="Y38" s="20">
        <v>360</v>
      </c>
      <c r="Z38" s="20">
        <v>360</v>
      </c>
      <c r="AA38" s="20"/>
      <c r="AB38" s="20"/>
      <c r="AC38" s="20"/>
      <c r="AD38" s="20"/>
      <c r="AE38" s="20"/>
      <c r="AF38" s="19"/>
      <c r="AG38" s="19"/>
      <c r="AH38" s="19"/>
      <c r="AI38" s="19"/>
      <c r="AJ38" s="19"/>
      <c r="AK38" s="19"/>
      <c r="AL38" s="19"/>
      <c r="AM38" s="19">
        <f t="shared" si="9"/>
        <v>30</v>
      </c>
      <c r="AN38" s="19">
        <f t="shared" si="10"/>
        <v>360</v>
      </c>
      <c r="AO38" s="19">
        <f t="shared" si="11"/>
        <v>360</v>
      </c>
    </row>
    <row r="39" spans="1:41" hidden="1" x14ac:dyDescent="0.5">
      <c r="A39" s="16">
        <v>13</v>
      </c>
      <c r="B39" s="15">
        <v>46078</v>
      </c>
      <c r="C39" s="20"/>
      <c r="D39" s="20"/>
      <c r="E39" s="19"/>
      <c r="F39" s="20"/>
      <c r="G39" s="20"/>
      <c r="H39" s="19"/>
      <c r="I39" s="20"/>
      <c r="J39" s="20"/>
      <c r="K39" s="20"/>
      <c r="L39" s="20"/>
      <c r="M39" s="20"/>
      <c r="N39" s="20"/>
      <c r="O39" s="20"/>
      <c r="P39" s="20"/>
      <c r="Q39" s="19"/>
      <c r="R39" s="20"/>
      <c r="S39" s="20"/>
      <c r="T39" s="19"/>
      <c r="U39" s="20"/>
      <c r="V39" s="20"/>
      <c r="W39" s="20"/>
      <c r="X39" s="20">
        <v>70</v>
      </c>
      <c r="Y39" s="20">
        <v>840</v>
      </c>
      <c r="Z39" s="20">
        <v>840</v>
      </c>
      <c r="AA39" s="20">
        <v>600</v>
      </c>
      <c r="AB39" s="20"/>
      <c r="AC39" s="20"/>
      <c r="AD39" s="20"/>
      <c r="AE39" s="20"/>
      <c r="AF39" s="19"/>
      <c r="AG39" s="19"/>
      <c r="AH39" s="19"/>
      <c r="AI39" s="19"/>
      <c r="AJ39" s="19"/>
      <c r="AK39" s="19"/>
      <c r="AL39" s="19"/>
      <c r="AM39" s="19">
        <f t="shared" si="9"/>
        <v>70</v>
      </c>
      <c r="AN39" s="19">
        <f t="shared" si="10"/>
        <v>840</v>
      </c>
      <c r="AO39" s="19">
        <f t="shared" si="11"/>
        <v>840</v>
      </c>
    </row>
    <row r="40" spans="1:41" hidden="1" x14ac:dyDescent="0.5">
      <c r="A40" s="16">
        <v>14</v>
      </c>
      <c r="B40" s="15">
        <v>46079</v>
      </c>
      <c r="C40" s="20"/>
      <c r="D40" s="20"/>
      <c r="E40" s="19"/>
      <c r="F40" s="20"/>
      <c r="G40" s="20"/>
      <c r="H40" s="19"/>
      <c r="I40" s="20"/>
      <c r="J40" s="20"/>
      <c r="K40" s="20"/>
      <c r="L40" s="20"/>
      <c r="M40" s="20"/>
      <c r="N40" s="20"/>
      <c r="O40" s="20"/>
      <c r="P40" s="20"/>
      <c r="Q40" s="19"/>
      <c r="R40" s="20"/>
      <c r="S40" s="20"/>
      <c r="T40" s="19"/>
      <c r="U40" s="20"/>
      <c r="V40" s="20"/>
      <c r="W40" s="20"/>
      <c r="X40" s="20">
        <v>70</v>
      </c>
      <c r="Y40" s="20">
        <v>840</v>
      </c>
      <c r="Z40" s="20">
        <v>840</v>
      </c>
      <c r="AA40" s="20"/>
      <c r="AB40" s="20"/>
      <c r="AC40" s="20"/>
      <c r="AD40" s="20"/>
      <c r="AE40" s="20"/>
      <c r="AF40" s="19"/>
      <c r="AG40" s="19"/>
      <c r="AH40" s="19"/>
      <c r="AI40" s="19"/>
      <c r="AJ40" s="19"/>
      <c r="AK40" s="19"/>
      <c r="AL40" s="19"/>
      <c r="AM40" s="19">
        <f t="shared" ref="AM40" si="12">X40+F40</f>
        <v>70</v>
      </c>
      <c r="AN40" s="19">
        <f t="shared" ref="AN40" si="13">Y40+G40</f>
        <v>840</v>
      </c>
      <c r="AO40" s="19">
        <f t="shared" ref="AO40" si="14">Z40+H40</f>
        <v>840</v>
      </c>
    </row>
    <row r="41" spans="1:41" hidden="1" x14ac:dyDescent="0.5">
      <c r="AM41" s="182">
        <f>SUM(AM27:AM40)</f>
        <v>850</v>
      </c>
      <c r="AN41" s="182">
        <f>SUM(AN27:AN40)</f>
        <v>10200</v>
      </c>
      <c r="AO41" s="182">
        <f>SUM(AO27:AO40)</f>
        <v>10200</v>
      </c>
    </row>
    <row r="42" spans="1:41" hidden="1" x14ac:dyDescent="0.5"/>
    <row r="43" spans="1:41" x14ac:dyDescent="0.5">
      <c r="A43" s="550" t="s">
        <v>543</v>
      </c>
      <c r="B43" s="550"/>
    </row>
    <row r="44" spans="1:41" x14ac:dyDescent="0.5">
      <c r="A44" s="550"/>
      <c r="B44" s="550"/>
    </row>
    <row r="45" spans="1:41" x14ac:dyDescent="0.5">
      <c r="A45" s="551" t="s">
        <v>118</v>
      </c>
      <c r="B45" s="552" t="s">
        <v>135</v>
      </c>
      <c r="C45" s="553"/>
      <c r="D45" s="553"/>
      <c r="E45" s="553"/>
      <c r="F45" s="553"/>
      <c r="G45" s="553"/>
      <c r="H45" s="553"/>
      <c r="I45" s="553"/>
      <c r="J45" s="553"/>
      <c r="K45" s="553"/>
      <c r="L45" s="553"/>
      <c r="M45" s="553"/>
      <c r="N45" s="553"/>
      <c r="O45" s="553"/>
      <c r="P45" s="553"/>
      <c r="Q45" s="553"/>
      <c r="R45" s="553"/>
      <c r="S45" s="553"/>
      <c r="T45" s="553"/>
      <c r="U45" s="553"/>
      <c r="V45" s="553"/>
      <c r="W45" s="553"/>
      <c r="X45" s="553"/>
      <c r="Y45" s="553"/>
      <c r="Z45" s="553"/>
      <c r="AA45" s="553"/>
      <c r="AB45" s="553"/>
      <c r="AC45" s="553"/>
      <c r="AD45" s="553"/>
      <c r="AE45" s="553"/>
      <c r="AF45" s="553"/>
      <c r="AG45" s="553"/>
      <c r="AH45" s="553"/>
      <c r="AI45" s="553"/>
      <c r="AJ45" s="553"/>
      <c r="AK45" s="553"/>
      <c r="AL45" s="553"/>
      <c r="AM45" s="553"/>
      <c r="AN45" s="553"/>
      <c r="AO45" s="553"/>
    </row>
    <row r="46" spans="1:41" ht="21" x14ac:dyDescent="0.5">
      <c r="A46" s="551"/>
      <c r="B46" s="552"/>
      <c r="C46" s="574" t="s">
        <v>389</v>
      </c>
      <c r="D46" s="575"/>
      <c r="E46" s="576"/>
      <c r="F46" s="577" t="s">
        <v>133</v>
      </c>
      <c r="G46" s="577"/>
      <c r="H46" s="577"/>
      <c r="I46" s="577" t="s">
        <v>132</v>
      </c>
      <c r="J46" s="577"/>
      <c r="K46" s="577"/>
      <c r="L46" s="577" t="s">
        <v>131</v>
      </c>
      <c r="M46" s="577"/>
      <c r="N46" s="577"/>
      <c r="O46" s="577" t="s">
        <v>130</v>
      </c>
      <c r="P46" s="577"/>
      <c r="Q46" s="577"/>
      <c r="R46" s="577" t="s">
        <v>129</v>
      </c>
      <c r="S46" s="577"/>
      <c r="T46" s="577"/>
      <c r="U46" s="578" t="s">
        <v>128</v>
      </c>
      <c r="V46" s="579"/>
      <c r="W46" s="580"/>
      <c r="X46" s="577" t="s">
        <v>127</v>
      </c>
      <c r="Y46" s="577"/>
      <c r="Z46" s="577"/>
      <c r="AA46" s="562" t="s">
        <v>126</v>
      </c>
      <c r="AB46" s="562"/>
      <c r="AC46" s="562"/>
      <c r="AD46" s="562" t="s">
        <v>125</v>
      </c>
      <c r="AE46" s="562"/>
      <c r="AF46" s="562"/>
      <c r="AG46" s="562" t="s">
        <v>124</v>
      </c>
      <c r="AH46" s="562"/>
      <c r="AI46" s="562"/>
      <c r="AJ46" s="562" t="s">
        <v>123</v>
      </c>
      <c r="AK46" s="562"/>
      <c r="AL46" s="206"/>
      <c r="AM46" s="562" t="s">
        <v>122</v>
      </c>
      <c r="AN46" s="562"/>
      <c r="AO46" s="562"/>
    </row>
    <row r="47" spans="1:41" ht="21" x14ac:dyDescent="0.5">
      <c r="A47" s="551"/>
      <c r="B47" s="552"/>
      <c r="C47" s="208" t="s">
        <v>109</v>
      </c>
      <c r="D47" s="208" t="s">
        <v>108</v>
      </c>
      <c r="E47" s="208" t="s">
        <v>348</v>
      </c>
      <c r="F47" s="208" t="s">
        <v>109</v>
      </c>
      <c r="G47" s="208" t="s">
        <v>108</v>
      </c>
      <c r="H47" s="208" t="s">
        <v>348</v>
      </c>
      <c r="I47" s="208" t="s">
        <v>109</v>
      </c>
      <c r="J47" s="208" t="s">
        <v>108</v>
      </c>
      <c r="K47" s="208" t="s">
        <v>348</v>
      </c>
      <c r="L47" s="208" t="s">
        <v>109</v>
      </c>
      <c r="M47" s="208" t="s">
        <v>108</v>
      </c>
      <c r="N47" s="208" t="s">
        <v>348</v>
      </c>
      <c r="O47" s="208" t="s">
        <v>109</v>
      </c>
      <c r="P47" s="208" t="s">
        <v>108</v>
      </c>
      <c r="Q47" s="208" t="s">
        <v>348</v>
      </c>
      <c r="R47" s="208" t="s">
        <v>109</v>
      </c>
      <c r="S47" s="208" t="s">
        <v>108</v>
      </c>
      <c r="T47" s="208" t="s">
        <v>348</v>
      </c>
      <c r="U47" s="208" t="s">
        <v>109</v>
      </c>
      <c r="V47" s="208" t="s">
        <v>108</v>
      </c>
      <c r="W47" s="208" t="s">
        <v>348</v>
      </c>
      <c r="X47" s="208" t="s">
        <v>109</v>
      </c>
      <c r="Y47" s="208" t="s">
        <v>108</v>
      </c>
      <c r="Z47" s="208" t="s">
        <v>348</v>
      </c>
      <c r="AA47" s="208" t="s">
        <v>109</v>
      </c>
      <c r="AB47" s="208" t="s">
        <v>108</v>
      </c>
      <c r="AC47" s="208" t="s">
        <v>348</v>
      </c>
      <c r="AD47" s="208" t="s">
        <v>109</v>
      </c>
      <c r="AE47" s="208" t="s">
        <v>108</v>
      </c>
      <c r="AF47" s="208" t="s">
        <v>348</v>
      </c>
      <c r="AG47" s="208" t="s">
        <v>109</v>
      </c>
      <c r="AH47" s="208" t="s">
        <v>108</v>
      </c>
      <c r="AI47" s="208" t="s">
        <v>348</v>
      </c>
      <c r="AJ47" s="208" t="s">
        <v>109</v>
      </c>
      <c r="AK47" s="208" t="s">
        <v>108</v>
      </c>
      <c r="AL47" s="208" t="s">
        <v>348</v>
      </c>
      <c r="AM47" s="208" t="s">
        <v>109</v>
      </c>
      <c r="AN47" s="208" t="s">
        <v>108</v>
      </c>
      <c r="AO47" s="208" t="s">
        <v>348</v>
      </c>
    </row>
    <row r="48" spans="1:41" x14ac:dyDescent="0.5">
      <c r="A48" s="16">
        <v>1</v>
      </c>
      <c r="B48" s="15">
        <v>46085</v>
      </c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>
        <v>80</v>
      </c>
      <c r="Y48" s="19">
        <v>960</v>
      </c>
      <c r="Z48" s="19">
        <v>960</v>
      </c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>
        <f>X48+F48</f>
        <v>80</v>
      </c>
      <c r="AN48" s="19">
        <f>Y48+G48</f>
        <v>960</v>
      </c>
      <c r="AO48" s="19">
        <f>Z48+H48</f>
        <v>960</v>
      </c>
    </row>
    <row r="49" spans="1:41" x14ac:dyDescent="0.5">
      <c r="A49" s="16">
        <v>2</v>
      </c>
      <c r="B49" s="15">
        <v>46086</v>
      </c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21"/>
      <c r="P49" s="178"/>
      <c r="Q49" s="19"/>
      <c r="R49" s="19"/>
      <c r="S49" s="19"/>
      <c r="T49" s="19"/>
      <c r="U49" s="19"/>
      <c r="V49" s="19"/>
      <c r="W49" s="19"/>
      <c r="X49" s="19">
        <v>600</v>
      </c>
      <c r="Y49" s="19">
        <v>7200</v>
      </c>
      <c r="Z49" s="19">
        <v>7200</v>
      </c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>
        <f t="shared" ref="AM49:AM61" si="15">X49+F49</f>
        <v>600</v>
      </c>
      <c r="AN49" s="19">
        <f t="shared" ref="AN49:AN61" si="16">Y49+G49</f>
        <v>7200</v>
      </c>
      <c r="AO49" s="19">
        <f t="shared" ref="AO49:AO61" si="17">Z49+H49</f>
        <v>7200</v>
      </c>
    </row>
    <row r="50" spans="1:41" hidden="1" x14ac:dyDescent="0.5">
      <c r="A50" s="16">
        <v>3</v>
      </c>
      <c r="B50" s="15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>
        <f t="shared" si="15"/>
        <v>0</v>
      </c>
      <c r="AN50" s="19">
        <f t="shared" si="16"/>
        <v>0</v>
      </c>
      <c r="AO50" s="19">
        <f t="shared" si="17"/>
        <v>0</v>
      </c>
    </row>
    <row r="51" spans="1:41" hidden="1" x14ac:dyDescent="0.5">
      <c r="A51" s="16">
        <v>4</v>
      </c>
      <c r="B51" s="15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>
        <f t="shared" si="15"/>
        <v>0</v>
      </c>
      <c r="AN51" s="19">
        <f t="shared" si="16"/>
        <v>0</v>
      </c>
      <c r="AO51" s="19">
        <f t="shared" si="17"/>
        <v>0</v>
      </c>
    </row>
    <row r="52" spans="1:41" hidden="1" x14ac:dyDescent="0.5">
      <c r="A52" s="16">
        <v>5</v>
      </c>
      <c r="B52" s="15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>
        <f t="shared" si="15"/>
        <v>0</v>
      </c>
      <c r="AN52" s="19">
        <f t="shared" si="16"/>
        <v>0</v>
      </c>
      <c r="AO52" s="19">
        <f t="shared" si="17"/>
        <v>0</v>
      </c>
    </row>
    <row r="53" spans="1:41" hidden="1" x14ac:dyDescent="0.5">
      <c r="A53" s="16">
        <v>6</v>
      </c>
      <c r="B53" s="15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>
        <f t="shared" si="15"/>
        <v>0</v>
      </c>
      <c r="AN53" s="19">
        <f t="shared" si="16"/>
        <v>0</v>
      </c>
      <c r="AO53" s="19">
        <f t="shared" si="17"/>
        <v>0</v>
      </c>
    </row>
    <row r="54" spans="1:41" hidden="1" x14ac:dyDescent="0.5">
      <c r="A54" s="16">
        <v>7</v>
      </c>
      <c r="B54" s="15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>
        <f t="shared" si="15"/>
        <v>0</v>
      </c>
      <c r="AN54" s="19">
        <f t="shared" si="16"/>
        <v>0</v>
      </c>
      <c r="AO54" s="19">
        <f t="shared" si="17"/>
        <v>0</v>
      </c>
    </row>
    <row r="55" spans="1:41" hidden="1" x14ac:dyDescent="0.5">
      <c r="A55" s="16">
        <v>8</v>
      </c>
      <c r="B55" s="15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>
        <f t="shared" si="15"/>
        <v>0</v>
      </c>
      <c r="AN55" s="19">
        <f t="shared" si="16"/>
        <v>0</v>
      </c>
      <c r="AO55" s="19">
        <f t="shared" si="17"/>
        <v>0</v>
      </c>
    </row>
    <row r="56" spans="1:41" hidden="1" x14ac:dyDescent="0.5">
      <c r="A56" s="16">
        <v>9</v>
      </c>
      <c r="B56" s="15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>
        <f t="shared" si="15"/>
        <v>0</v>
      </c>
      <c r="AN56" s="19">
        <f t="shared" si="16"/>
        <v>0</v>
      </c>
      <c r="AO56" s="19">
        <f t="shared" si="17"/>
        <v>0</v>
      </c>
    </row>
    <row r="57" spans="1:41" hidden="1" x14ac:dyDescent="0.5">
      <c r="A57" s="16">
        <v>10</v>
      </c>
      <c r="B57" s="15"/>
      <c r="C57" s="20"/>
      <c r="D57" s="20"/>
      <c r="E57" s="19"/>
      <c r="F57" s="20"/>
      <c r="G57" s="20"/>
      <c r="H57" s="19"/>
      <c r="I57" s="20"/>
      <c r="J57" s="20"/>
      <c r="K57" s="20"/>
      <c r="L57" s="20"/>
      <c r="M57" s="20"/>
      <c r="N57" s="20"/>
      <c r="O57" s="20"/>
      <c r="P57" s="20"/>
      <c r="Q57" s="19"/>
      <c r="R57" s="20"/>
      <c r="S57" s="20"/>
      <c r="T57" s="19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19"/>
      <c r="AG57" s="19"/>
      <c r="AH57" s="19"/>
      <c r="AI57" s="19"/>
      <c r="AJ57" s="19"/>
      <c r="AK57" s="19"/>
      <c r="AL57" s="19"/>
      <c r="AM57" s="19">
        <f t="shared" si="15"/>
        <v>0</v>
      </c>
      <c r="AN57" s="19">
        <f t="shared" si="16"/>
        <v>0</v>
      </c>
      <c r="AO57" s="19">
        <f t="shared" si="17"/>
        <v>0</v>
      </c>
    </row>
    <row r="58" spans="1:41" hidden="1" x14ac:dyDescent="0.5">
      <c r="A58" s="16">
        <v>11</v>
      </c>
      <c r="B58" s="15"/>
      <c r="C58" s="20"/>
      <c r="D58" s="20"/>
      <c r="E58" s="19"/>
      <c r="F58" s="20"/>
      <c r="G58" s="20"/>
      <c r="H58" s="19"/>
      <c r="I58" s="20"/>
      <c r="J58" s="20"/>
      <c r="K58" s="20"/>
      <c r="L58" s="20"/>
      <c r="M58" s="20"/>
      <c r="N58" s="20"/>
      <c r="O58" s="20"/>
      <c r="P58" s="20"/>
      <c r="Q58" s="19"/>
      <c r="R58" s="20"/>
      <c r="S58" s="20"/>
      <c r="T58" s="19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19"/>
      <c r="AG58" s="19"/>
      <c r="AH58" s="19"/>
      <c r="AI58" s="19"/>
      <c r="AJ58" s="19"/>
      <c r="AK58" s="19"/>
      <c r="AL58" s="19"/>
      <c r="AM58" s="19">
        <f t="shared" si="15"/>
        <v>0</v>
      </c>
      <c r="AN58" s="19">
        <f t="shared" si="16"/>
        <v>0</v>
      </c>
      <c r="AO58" s="19">
        <f t="shared" si="17"/>
        <v>0</v>
      </c>
    </row>
    <row r="59" spans="1:41" hidden="1" x14ac:dyDescent="0.5">
      <c r="A59" s="16">
        <v>12</v>
      </c>
      <c r="B59" s="15"/>
      <c r="C59" s="20"/>
      <c r="D59" s="20"/>
      <c r="E59" s="19"/>
      <c r="F59" s="20"/>
      <c r="G59" s="20"/>
      <c r="H59" s="19"/>
      <c r="I59" s="20"/>
      <c r="J59" s="20"/>
      <c r="K59" s="20"/>
      <c r="L59" s="20"/>
      <c r="M59" s="20"/>
      <c r="N59" s="20"/>
      <c r="O59" s="20"/>
      <c r="P59" s="20"/>
      <c r="Q59" s="19"/>
      <c r="R59" s="20"/>
      <c r="S59" s="20"/>
      <c r="T59" s="19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19"/>
      <c r="AG59" s="19"/>
      <c r="AH59" s="19"/>
      <c r="AI59" s="19"/>
      <c r="AJ59" s="19"/>
      <c r="AK59" s="19"/>
      <c r="AL59" s="19"/>
      <c r="AM59" s="19">
        <f t="shared" si="15"/>
        <v>0</v>
      </c>
      <c r="AN59" s="19">
        <f t="shared" si="16"/>
        <v>0</v>
      </c>
      <c r="AO59" s="19">
        <f t="shared" si="17"/>
        <v>0</v>
      </c>
    </row>
    <row r="60" spans="1:41" hidden="1" x14ac:dyDescent="0.5">
      <c r="A60" s="16">
        <v>13</v>
      </c>
      <c r="B60" s="15"/>
      <c r="C60" s="20"/>
      <c r="D60" s="20"/>
      <c r="E60" s="19"/>
      <c r="F60" s="20"/>
      <c r="G60" s="20"/>
      <c r="H60" s="19"/>
      <c r="I60" s="20"/>
      <c r="J60" s="20"/>
      <c r="K60" s="20"/>
      <c r="L60" s="20"/>
      <c r="M60" s="20"/>
      <c r="N60" s="20"/>
      <c r="O60" s="20"/>
      <c r="P60" s="20"/>
      <c r="Q60" s="19"/>
      <c r="R60" s="20"/>
      <c r="S60" s="20"/>
      <c r="T60" s="19"/>
      <c r="U60" s="20"/>
      <c r="V60" s="20"/>
      <c r="W60" s="20"/>
      <c r="X60" s="20"/>
      <c r="Y60" s="20"/>
      <c r="Z60" s="20"/>
      <c r="AA60" s="20">
        <v>600</v>
      </c>
      <c r="AB60" s="20"/>
      <c r="AC60" s="20"/>
      <c r="AD60" s="20"/>
      <c r="AE60" s="20"/>
      <c r="AF60" s="19"/>
      <c r="AG60" s="19"/>
      <c r="AH60" s="19"/>
      <c r="AI60" s="19"/>
      <c r="AJ60" s="19"/>
      <c r="AK60" s="19"/>
      <c r="AL60" s="19"/>
      <c r="AM60" s="19">
        <f t="shared" si="15"/>
        <v>0</v>
      </c>
      <c r="AN60" s="19">
        <f t="shared" si="16"/>
        <v>0</v>
      </c>
      <c r="AO60" s="19">
        <f t="shared" si="17"/>
        <v>0</v>
      </c>
    </row>
    <row r="61" spans="1:41" hidden="1" x14ac:dyDescent="0.5">
      <c r="A61" s="16">
        <v>14</v>
      </c>
      <c r="B61" s="15"/>
      <c r="C61" s="20"/>
      <c r="D61" s="20"/>
      <c r="E61" s="19"/>
      <c r="F61" s="20"/>
      <c r="G61" s="20"/>
      <c r="H61" s="19"/>
      <c r="I61" s="20"/>
      <c r="J61" s="20"/>
      <c r="K61" s="20"/>
      <c r="L61" s="20"/>
      <c r="M61" s="20"/>
      <c r="N61" s="20"/>
      <c r="O61" s="20"/>
      <c r="P61" s="20"/>
      <c r="Q61" s="19"/>
      <c r="R61" s="20"/>
      <c r="S61" s="20"/>
      <c r="T61" s="19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19"/>
      <c r="AG61" s="19"/>
      <c r="AH61" s="19"/>
      <c r="AI61" s="19"/>
      <c r="AJ61" s="19"/>
      <c r="AK61" s="19"/>
      <c r="AL61" s="19"/>
      <c r="AM61" s="19">
        <f t="shared" si="15"/>
        <v>0</v>
      </c>
      <c r="AN61" s="19">
        <f t="shared" si="16"/>
        <v>0</v>
      </c>
      <c r="AO61" s="19">
        <f t="shared" si="17"/>
        <v>0</v>
      </c>
    </row>
    <row r="62" spans="1:41" x14ac:dyDescent="0.5">
      <c r="AM62" s="182">
        <f>SUM(AM48:AM61)</f>
        <v>680</v>
      </c>
      <c r="AN62" s="182">
        <f>SUM(AN48:AN61)</f>
        <v>8160</v>
      </c>
      <c r="AO62" s="182">
        <f>SUM(AO48:AO61)</f>
        <v>8160</v>
      </c>
    </row>
  </sheetData>
  <mergeCells count="51">
    <mergeCell ref="AA25:AC25"/>
    <mergeCell ref="AD25:AF25"/>
    <mergeCell ref="A22:B23"/>
    <mergeCell ref="A24:A26"/>
    <mergeCell ref="B24:B26"/>
    <mergeCell ref="C24:AO24"/>
    <mergeCell ref="C25:E25"/>
    <mergeCell ref="F25:H25"/>
    <mergeCell ref="I25:K25"/>
    <mergeCell ref="L25:N25"/>
    <mergeCell ref="O25:Q25"/>
    <mergeCell ref="R25:T25"/>
    <mergeCell ref="U25:W25"/>
    <mergeCell ref="X25:Z25"/>
    <mergeCell ref="AD5:AF5"/>
    <mergeCell ref="AJ5:AK5"/>
    <mergeCell ref="AM5:AO5"/>
    <mergeCell ref="AG25:AI25"/>
    <mergeCell ref="AJ25:AK25"/>
    <mergeCell ref="AJ46:AK46"/>
    <mergeCell ref="A2:B3"/>
    <mergeCell ref="A4:A6"/>
    <mergeCell ref="B4:B6"/>
    <mergeCell ref="C4:AO4"/>
    <mergeCell ref="C5:E5"/>
    <mergeCell ref="F5:H5"/>
    <mergeCell ref="I5:K5"/>
    <mergeCell ref="L5:N5"/>
    <mergeCell ref="O5:Q5"/>
    <mergeCell ref="R5:T5"/>
    <mergeCell ref="U5:W5"/>
    <mergeCell ref="X5:Z5"/>
    <mergeCell ref="AA5:AC5"/>
    <mergeCell ref="AG5:AI5"/>
    <mergeCell ref="AM25:AO25"/>
    <mergeCell ref="AM46:AO46"/>
    <mergeCell ref="A43:B44"/>
    <mergeCell ref="A45:A47"/>
    <mergeCell ref="B45:B47"/>
    <mergeCell ref="C45:AO45"/>
    <mergeCell ref="C46:E46"/>
    <mergeCell ref="F46:H46"/>
    <mergeCell ref="I46:K46"/>
    <mergeCell ref="L46:N46"/>
    <mergeCell ref="O46:Q46"/>
    <mergeCell ref="R46:T46"/>
    <mergeCell ref="U46:W46"/>
    <mergeCell ref="X46:Z46"/>
    <mergeCell ref="AA46:AC46"/>
    <mergeCell ref="AD46:AF46"/>
    <mergeCell ref="AG46:AI4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A75FC-CD4D-4026-A713-BF4AADAC04AD}">
  <dimension ref="A1:AR26"/>
  <sheetViews>
    <sheetView topLeftCell="A19" zoomScale="110" zoomScaleNormal="110" workbookViewId="0">
      <selection activeCell="AQ26" sqref="AQ26"/>
    </sheetView>
  </sheetViews>
  <sheetFormatPr defaultRowHeight="15" x14ac:dyDescent="0.25"/>
  <cols>
    <col min="2" max="2" width="10" bestFit="1" customWidth="1"/>
    <col min="3" max="5" width="9.140625" hidden="1" customWidth="1"/>
    <col min="6" max="11" width="9.140625" customWidth="1"/>
    <col min="12" max="26" width="9.140625" hidden="1" customWidth="1"/>
    <col min="27" max="29" width="9.140625" customWidth="1"/>
    <col min="30" max="41" width="9.140625" hidden="1" customWidth="1"/>
  </cols>
  <sheetData>
    <row r="1" spans="1:44" hidden="1" x14ac:dyDescent="0.25">
      <c r="A1" s="594" t="s">
        <v>436</v>
      </c>
      <c r="B1" s="595"/>
      <c r="C1" s="595"/>
      <c r="D1" s="595"/>
    </row>
    <row r="2" spans="1:44" ht="18" hidden="1" x14ac:dyDescent="0.25">
      <c r="A2" s="551" t="s">
        <v>118</v>
      </c>
      <c r="B2" s="552" t="s">
        <v>135</v>
      </c>
      <c r="C2" s="553"/>
      <c r="D2" s="553"/>
      <c r="E2" s="553"/>
      <c r="F2" s="553"/>
      <c r="G2" s="553"/>
      <c r="H2" s="553"/>
      <c r="I2" s="553"/>
      <c r="J2" s="553"/>
      <c r="K2" s="553"/>
      <c r="L2" s="553"/>
      <c r="M2" s="553"/>
      <c r="N2" s="553"/>
      <c r="O2" s="553"/>
      <c r="P2" s="553"/>
      <c r="Q2" s="553"/>
      <c r="R2" s="553"/>
      <c r="S2" s="553"/>
      <c r="T2" s="553"/>
      <c r="U2" s="553"/>
      <c r="V2" s="553"/>
      <c r="W2" s="553"/>
      <c r="X2" s="553"/>
      <c r="Y2" s="553"/>
      <c r="Z2" s="553"/>
      <c r="AA2" s="553"/>
      <c r="AB2" s="553"/>
      <c r="AC2" s="553"/>
      <c r="AD2" s="553"/>
      <c r="AE2" s="553"/>
      <c r="AF2" s="553"/>
      <c r="AG2" s="553"/>
      <c r="AH2" s="553"/>
      <c r="AI2" s="553"/>
      <c r="AJ2" s="553"/>
      <c r="AK2" s="553"/>
      <c r="AL2" s="553"/>
      <c r="AM2" s="553"/>
      <c r="AN2" s="553"/>
      <c r="AO2" s="553"/>
      <c r="AP2" s="553"/>
      <c r="AQ2" s="553"/>
      <c r="AR2" s="553"/>
    </row>
    <row r="3" spans="1:44" ht="18" hidden="1" customHeight="1" x14ac:dyDescent="0.25">
      <c r="A3" s="551"/>
      <c r="B3" s="552"/>
      <c r="C3" s="554" t="s">
        <v>134</v>
      </c>
      <c r="D3" s="555"/>
      <c r="E3" s="556"/>
      <c r="F3" s="590" t="s">
        <v>133</v>
      </c>
      <c r="G3" s="590"/>
      <c r="H3" s="590"/>
      <c r="I3" s="521" t="s">
        <v>397</v>
      </c>
      <c r="J3" s="521"/>
      <c r="K3" s="521"/>
      <c r="L3" s="589" t="s">
        <v>132</v>
      </c>
      <c r="M3" s="589"/>
      <c r="N3" s="589"/>
      <c r="O3" s="590" t="s">
        <v>448</v>
      </c>
      <c r="P3" s="590"/>
      <c r="Q3" s="590"/>
      <c r="R3" s="521" t="s">
        <v>441</v>
      </c>
      <c r="S3" s="521"/>
      <c r="T3" s="521"/>
      <c r="U3" s="589" t="s">
        <v>129</v>
      </c>
      <c r="V3" s="589"/>
      <c r="W3" s="589"/>
      <c r="X3" s="591" t="s">
        <v>128</v>
      </c>
      <c r="Y3" s="592"/>
      <c r="Z3" s="593"/>
      <c r="AA3" s="596" t="s">
        <v>127</v>
      </c>
      <c r="AB3" s="596"/>
      <c r="AC3" s="596"/>
      <c r="AD3" s="591" t="s">
        <v>126</v>
      </c>
      <c r="AE3" s="592"/>
      <c r="AF3" s="593"/>
      <c r="AG3" s="554" t="s">
        <v>125</v>
      </c>
      <c r="AH3" s="555"/>
      <c r="AI3" s="556"/>
      <c r="AJ3" s="591" t="s">
        <v>124</v>
      </c>
      <c r="AK3" s="592"/>
      <c r="AL3" s="593"/>
      <c r="AM3" s="591" t="s">
        <v>123</v>
      </c>
      <c r="AN3" s="593"/>
      <c r="AO3" s="176"/>
      <c r="AP3" s="557" t="s">
        <v>122</v>
      </c>
      <c r="AQ3" s="557"/>
      <c r="AR3" s="557"/>
    </row>
    <row r="4" spans="1:44" ht="18" hidden="1" x14ac:dyDescent="0.25">
      <c r="A4" s="551"/>
      <c r="B4" s="552"/>
      <c r="C4" s="17" t="s">
        <v>109</v>
      </c>
      <c r="D4" s="17" t="s">
        <v>108</v>
      </c>
      <c r="E4" s="17" t="s">
        <v>348</v>
      </c>
      <c r="F4" s="17" t="s">
        <v>109</v>
      </c>
      <c r="G4" s="17" t="s">
        <v>108</v>
      </c>
      <c r="H4" s="17" t="s">
        <v>348</v>
      </c>
      <c r="I4" s="17" t="s">
        <v>109</v>
      </c>
      <c r="J4" s="17" t="s">
        <v>108</v>
      </c>
      <c r="K4" s="17" t="s">
        <v>348</v>
      </c>
      <c r="L4" s="17" t="s">
        <v>109</v>
      </c>
      <c r="M4" s="17" t="s">
        <v>108</v>
      </c>
      <c r="N4" s="17" t="s">
        <v>348</v>
      </c>
      <c r="O4" s="17" t="s">
        <v>109</v>
      </c>
      <c r="P4" s="17" t="s">
        <v>108</v>
      </c>
      <c r="Q4" s="17" t="s">
        <v>348</v>
      </c>
      <c r="R4" s="17" t="s">
        <v>109</v>
      </c>
      <c r="S4" s="17" t="s">
        <v>108</v>
      </c>
      <c r="T4" s="17" t="s">
        <v>348</v>
      </c>
      <c r="U4" s="17" t="s">
        <v>109</v>
      </c>
      <c r="V4" s="17" t="s">
        <v>108</v>
      </c>
      <c r="W4" s="17" t="s">
        <v>348</v>
      </c>
      <c r="X4" s="17" t="s">
        <v>109</v>
      </c>
      <c r="Y4" s="17" t="s">
        <v>108</v>
      </c>
      <c r="Z4" s="17" t="s">
        <v>348</v>
      </c>
      <c r="AA4" s="17" t="s">
        <v>109</v>
      </c>
      <c r="AB4" s="17" t="s">
        <v>108</v>
      </c>
      <c r="AC4" s="17" t="s">
        <v>348</v>
      </c>
      <c r="AD4" s="17" t="s">
        <v>109</v>
      </c>
      <c r="AE4" s="17" t="s">
        <v>108</v>
      </c>
      <c r="AF4" s="17" t="s">
        <v>348</v>
      </c>
      <c r="AG4" s="17" t="s">
        <v>109</v>
      </c>
      <c r="AH4" s="17" t="s">
        <v>108</v>
      </c>
      <c r="AI4" s="17" t="s">
        <v>348</v>
      </c>
      <c r="AJ4" s="17" t="s">
        <v>109</v>
      </c>
      <c r="AK4" s="17" t="s">
        <v>108</v>
      </c>
      <c r="AL4" s="17" t="s">
        <v>348</v>
      </c>
      <c r="AM4" s="17" t="s">
        <v>109</v>
      </c>
      <c r="AN4" s="17" t="s">
        <v>108</v>
      </c>
      <c r="AO4" s="17" t="s">
        <v>348</v>
      </c>
      <c r="AP4" s="17" t="s">
        <v>109</v>
      </c>
      <c r="AQ4" s="17" t="s">
        <v>108</v>
      </c>
      <c r="AR4" s="17" t="s">
        <v>348</v>
      </c>
    </row>
    <row r="5" spans="1:44" ht="18" hidden="1" x14ac:dyDescent="0.25">
      <c r="A5" s="373">
        <v>1</v>
      </c>
      <c r="B5" s="374">
        <v>46037</v>
      </c>
      <c r="C5" s="373"/>
      <c r="D5" s="373"/>
      <c r="E5" s="373"/>
      <c r="F5" s="373">
        <v>150</v>
      </c>
      <c r="G5" s="373">
        <v>2100</v>
      </c>
      <c r="H5" s="373">
        <v>1344</v>
      </c>
      <c r="I5" s="373"/>
      <c r="J5" s="373"/>
      <c r="K5" s="373"/>
      <c r="L5" s="373"/>
      <c r="M5" s="373"/>
      <c r="N5" s="373"/>
      <c r="O5" s="373">
        <v>20</v>
      </c>
      <c r="P5" s="373">
        <v>480</v>
      </c>
      <c r="Q5" s="373">
        <v>307.2</v>
      </c>
      <c r="R5" s="373"/>
      <c r="S5" s="373"/>
      <c r="T5" s="373"/>
      <c r="U5" s="373"/>
      <c r="V5" s="373"/>
      <c r="W5" s="373"/>
      <c r="X5" s="373"/>
      <c r="Y5" s="373"/>
      <c r="Z5" s="373"/>
      <c r="AA5" s="373">
        <v>50</v>
      </c>
      <c r="AB5" s="373">
        <v>600</v>
      </c>
      <c r="AC5" s="373">
        <v>600</v>
      </c>
      <c r="AD5" s="373"/>
      <c r="AE5" s="373"/>
      <c r="AF5" s="373"/>
      <c r="AG5" s="373"/>
      <c r="AH5" s="373"/>
      <c r="AI5" s="373"/>
      <c r="AJ5" s="373"/>
      <c r="AK5" s="373"/>
      <c r="AL5" s="373"/>
      <c r="AM5" s="373"/>
      <c r="AN5" s="373"/>
      <c r="AO5" s="373"/>
      <c r="AP5" s="397">
        <f t="shared" ref="AP5:AR9" si="0">C5+F5+L5+O5+R5+U5+X5+AA5+AD5+AG5+AJ5+AM5+I5</f>
        <v>220</v>
      </c>
      <c r="AQ5" s="398">
        <f t="shared" si="0"/>
        <v>3180</v>
      </c>
      <c r="AR5" s="398">
        <f t="shared" si="0"/>
        <v>2251.1999999999998</v>
      </c>
    </row>
    <row r="6" spans="1:44" ht="18" hidden="1" x14ac:dyDescent="0.25">
      <c r="A6" s="373">
        <v>2</v>
      </c>
      <c r="B6" s="374">
        <v>46044</v>
      </c>
      <c r="C6" s="373"/>
      <c r="D6" s="373"/>
      <c r="E6" s="373"/>
      <c r="F6" s="373">
        <v>101</v>
      </c>
      <c r="G6" s="373">
        <v>1414</v>
      </c>
      <c r="H6" s="373">
        <v>904.96</v>
      </c>
      <c r="I6" s="373"/>
      <c r="J6" s="373"/>
      <c r="K6" s="373"/>
      <c r="L6" s="373"/>
      <c r="M6" s="373"/>
      <c r="N6" s="373"/>
      <c r="O6" s="373"/>
      <c r="P6" s="373"/>
      <c r="Q6" s="373"/>
      <c r="R6" s="373"/>
      <c r="S6" s="373"/>
      <c r="T6" s="373"/>
      <c r="U6" s="373"/>
      <c r="V6" s="373"/>
      <c r="W6" s="373"/>
      <c r="X6" s="373"/>
      <c r="Y6" s="373"/>
      <c r="Z6" s="373"/>
      <c r="AA6" s="373"/>
      <c r="AB6" s="373"/>
      <c r="AC6" s="373"/>
      <c r="AP6" s="397">
        <f t="shared" si="0"/>
        <v>101</v>
      </c>
      <c r="AQ6" s="398">
        <f t="shared" si="0"/>
        <v>1414</v>
      </c>
      <c r="AR6" s="398">
        <f t="shared" si="0"/>
        <v>904.96</v>
      </c>
    </row>
    <row r="7" spans="1:44" ht="18" hidden="1" x14ac:dyDescent="0.25">
      <c r="A7" s="373"/>
      <c r="B7" s="373"/>
      <c r="C7" s="373"/>
      <c r="D7" s="373"/>
      <c r="E7" s="373"/>
      <c r="F7" s="373"/>
      <c r="G7" s="373"/>
      <c r="H7" s="373"/>
      <c r="I7" s="373"/>
      <c r="J7" s="373"/>
      <c r="K7" s="373"/>
      <c r="L7" s="373"/>
      <c r="M7" s="373"/>
      <c r="N7" s="373"/>
      <c r="O7" s="373"/>
      <c r="P7" s="373"/>
      <c r="Q7" s="373"/>
      <c r="R7" s="373"/>
      <c r="S7" s="373"/>
      <c r="T7" s="373"/>
      <c r="U7" s="373"/>
      <c r="V7" s="373"/>
      <c r="W7" s="373"/>
      <c r="X7" s="373"/>
      <c r="Y7" s="373"/>
      <c r="Z7" s="373"/>
      <c r="AA7" s="373"/>
      <c r="AB7" s="373"/>
      <c r="AC7" s="373"/>
      <c r="AP7" s="397">
        <f t="shared" si="0"/>
        <v>0</v>
      </c>
      <c r="AQ7" s="398">
        <f t="shared" si="0"/>
        <v>0</v>
      </c>
      <c r="AR7" s="398">
        <f t="shared" si="0"/>
        <v>0</v>
      </c>
    </row>
    <row r="8" spans="1:44" ht="18" hidden="1" x14ac:dyDescent="0.25">
      <c r="A8" s="373"/>
      <c r="B8" s="373"/>
      <c r="C8" s="373"/>
      <c r="D8" s="373"/>
      <c r="E8" s="373"/>
      <c r="F8" s="373"/>
      <c r="G8" s="373"/>
      <c r="H8" s="373"/>
      <c r="I8" s="373"/>
      <c r="J8" s="373"/>
      <c r="K8" s="373"/>
      <c r="L8" s="373"/>
      <c r="M8" s="373"/>
      <c r="N8" s="373"/>
      <c r="O8" s="373"/>
      <c r="P8" s="373"/>
      <c r="Q8" s="373"/>
      <c r="R8" s="373"/>
      <c r="S8" s="373"/>
      <c r="T8" s="373"/>
      <c r="U8" s="373"/>
      <c r="V8" s="373"/>
      <c r="W8" s="373"/>
      <c r="X8" s="373"/>
      <c r="Y8" s="373"/>
      <c r="Z8" s="373"/>
      <c r="AA8" s="373"/>
      <c r="AB8" s="373"/>
      <c r="AC8" s="373"/>
      <c r="AP8" s="397">
        <f t="shared" si="0"/>
        <v>0</v>
      </c>
      <c r="AQ8" s="398">
        <f t="shared" si="0"/>
        <v>0</v>
      </c>
      <c r="AR8" s="398">
        <f t="shared" si="0"/>
        <v>0</v>
      </c>
    </row>
    <row r="9" spans="1:44" ht="18" hidden="1" x14ac:dyDescent="0.25">
      <c r="A9" s="400"/>
      <c r="B9" s="400"/>
      <c r="C9" s="400"/>
      <c r="D9" s="400"/>
      <c r="E9" s="400"/>
      <c r="F9" s="400"/>
      <c r="G9" s="400"/>
      <c r="H9" s="400"/>
      <c r="I9" s="400"/>
      <c r="J9" s="400"/>
      <c r="K9" s="400"/>
      <c r="L9" s="400"/>
      <c r="M9" s="400"/>
      <c r="N9" s="400"/>
      <c r="O9" s="400"/>
      <c r="P9" s="400"/>
      <c r="Q9" s="400"/>
      <c r="R9" s="400"/>
      <c r="S9" s="400"/>
      <c r="T9" s="400"/>
      <c r="U9" s="400"/>
      <c r="V9" s="400"/>
      <c r="W9" s="400"/>
      <c r="X9" s="400"/>
      <c r="Y9" s="400"/>
      <c r="Z9" s="400"/>
      <c r="AA9" s="400"/>
      <c r="AB9" s="400"/>
      <c r="AC9" s="400"/>
      <c r="AP9" s="397">
        <f t="shared" si="0"/>
        <v>0</v>
      </c>
      <c r="AQ9" s="398">
        <f t="shared" si="0"/>
        <v>0</v>
      </c>
      <c r="AR9" s="398">
        <f t="shared" si="0"/>
        <v>0</v>
      </c>
    </row>
    <row r="10" spans="1:44" ht="18" hidden="1" x14ac:dyDescent="0.25">
      <c r="AC10" s="401"/>
      <c r="AP10" s="399">
        <f>SUM(AP5:AP9)</f>
        <v>321</v>
      </c>
      <c r="AQ10" s="399">
        <f t="shared" ref="AQ10:AR10" si="1">SUM(AQ5:AQ9)</f>
        <v>4594</v>
      </c>
      <c r="AR10" s="399">
        <f t="shared" si="1"/>
        <v>3156.16</v>
      </c>
    </row>
    <row r="11" spans="1:44" hidden="1" x14ac:dyDescent="0.25"/>
    <row r="12" spans="1:44" hidden="1" x14ac:dyDescent="0.25">
      <c r="A12" s="594" t="s">
        <v>499</v>
      </c>
      <c r="B12" s="595"/>
      <c r="C12" s="595"/>
      <c r="D12" s="595"/>
    </row>
    <row r="13" spans="1:44" ht="18" hidden="1" x14ac:dyDescent="0.25">
      <c r="A13" s="551" t="s">
        <v>118</v>
      </c>
      <c r="B13" s="552" t="s">
        <v>135</v>
      </c>
      <c r="C13" s="553"/>
      <c r="D13" s="553"/>
      <c r="E13" s="553"/>
      <c r="F13" s="553"/>
      <c r="G13" s="553"/>
      <c r="H13" s="553"/>
      <c r="I13" s="553"/>
      <c r="J13" s="553"/>
      <c r="K13" s="553"/>
      <c r="L13" s="553"/>
      <c r="M13" s="553"/>
      <c r="N13" s="553"/>
      <c r="O13" s="553"/>
      <c r="P13" s="553"/>
      <c r="Q13" s="553"/>
      <c r="R13" s="553"/>
      <c r="S13" s="553"/>
      <c r="T13" s="553"/>
      <c r="U13" s="553"/>
      <c r="V13" s="553"/>
      <c r="W13" s="553"/>
      <c r="X13" s="553"/>
      <c r="Y13" s="553"/>
      <c r="Z13" s="553"/>
      <c r="AA13" s="553"/>
      <c r="AB13" s="553"/>
      <c r="AC13" s="553"/>
      <c r="AD13" s="553"/>
      <c r="AE13" s="553"/>
      <c r="AF13" s="553"/>
      <c r="AG13" s="553"/>
      <c r="AH13" s="553"/>
      <c r="AI13" s="553"/>
      <c r="AJ13" s="553"/>
      <c r="AK13" s="553"/>
      <c r="AL13" s="553"/>
      <c r="AM13" s="553"/>
      <c r="AN13" s="553"/>
      <c r="AO13" s="553"/>
      <c r="AP13" s="553"/>
      <c r="AQ13" s="553"/>
      <c r="AR13" s="553"/>
    </row>
    <row r="14" spans="1:44" ht="18" hidden="1" customHeight="1" x14ac:dyDescent="0.25">
      <c r="A14" s="551"/>
      <c r="B14" s="552"/>
      <c r="C14" s="554" t="s">
        <v>134</v>
      </c>
      <c r="D14" s="555"/>
      <c r="E14" s="556"/>
      <c r="F14" s="590" t="s">
        <v>133</v>
      </c>
      <c r="G14" s="590"/>
      <c r="H14" s="590"/>
      <c r="I14" s="590" t="s">
        <v>397</v>
      </c>
      <c r="J14" s="590"/>
      <c r="K14" s="590"/>
      <c r="L14" s="589" t="s">
        <v>132</v>
      </c>
      <c r="M14" s="589"/>
      <c r="N14" s="589"/>
      <c r="O14" s="590" t="s">
        <v>448</v>
      </c>
      <c r="P14" s="590"/>
      <c r="Q14" s="590"/>
      <c r="R14" s="521" t="s">
        <v>441</v>
      </c>
      <c r="S14" s="521"/>
      <c r="T14" s="521"/>
      <c r="U14" s="589" t="s">
        <v>129</v>
      </c>
      <c r="V14" s="589"/>
      <c r="W14" s="589"/>
      <c r="X14" s="591" t="s">
        <v>128</v>
      </c>
      <c r="Y14" s="592"/>
      <c r="Z14" s="593"/>
      <c r="AA14" s="596" t="s">
        <v>127</v>
      </c>
      <c r="AB14" s="596"/>
      <c r="AC14" s="596"/>
      <c r="AD14" s="591" t="s">
        <v>126</v>
      </c>
      <c r="AE14" s="592"/>
      <c r="AF14" s="593"/>
      <c r="AG14" s="554" t="s">
        <v>125</v>
      </c>
      <c r="AH14" s="555"/>
      <c r="AI14" s="556"/>
      <c r="AJ14" s="591" t="s">
        <v>124</v>
      </c>
      <c r="AK14" s="592"/>
      <c r="AL14" s="593"/>
      <c r="AM14" s="591" t="s">
        <v>123</v>
      </c>
      <c r="AN14" s="593"/>
      <c r="AO14" s="176"/>
      <c r="AP14" s="557" t="s">
        <v>122</v>
      </c>
      <c r="AQ14" s="557"/>
      <c r="AR14" s="557"/>
    </row>
    <row r="15" spans="1:44" ht="18" hidden="1" x14ac:dyDescent="0.25">
      <c r="A15" s="551"/>
      <c r="B15" s="552"/>
      <c r="C15" s="17" t="s">
        <v>109</v>
      </c>
      <c r="D15" s="17" t="s">
        <v>108</v>
      </c>
      <c r="E15" s="17" t="s">
        <v>348</v>
      </c>
      <c r="F15" s="17" t="s">
        <v>109</v>
      </c>
      <c r="G15" s="17" t="s">
        <v>108</v>
      </c>
      <c r="H15" s="17" t="s">
        <v>348</v>
      </c>
      <c r="I15" s="17" t="s">
        <v>109</v>
      </c>
      <c r="J15" s="17" t="s">
        <v>108</v>
      </c>
      <c r="K15" s="17" t="s">
        <v>348</v>
      </c>
      <c r="L15" s="17" t="s">
        <v>109</v>
      </c>
      <c r="M15" s="17" t="s">
        <v>108</v>
      </c>
      <c r="N15" s="17" t="s">
        <v>348</v>
      </c>
      <c r="O15" s="17" t="s">
        <v>109</v>
      </c>
      <c r="P15" s="17" t="s">
        <v>108</v>
      </c>
      <c r="Q15" s="17" t="s">
        <v>348</v>
      </c>
      <c r="R15" s="17" t="s">
        <v>109</v>
      </c>
      <c r="S15" s="17" t="s">
        <v>108</v>
      </c>
      <c r="T15" s="17" t="s">
        <v>348</v>
      </c>
      <c r="U15" s="17" t="s">
        <v>109</v>
      </c>
      <c r="V15" s="17" t="s">
        <v>108</v>
      </c>
      <c r="W15" s="17" t="s">
        <v>348</v>
      </c>
      <c r="X15" s="17" t="s">
        <v>109</v>
      </c>
      <c r="Y15" s="17" t="s">
        <v>108</v>
      </c>
      <c r="Z15" s="17" t="s">
        <v>348</v>
      </c>
      <c r="AA15" s="17" t="s">
        <v>109</v>
      </c>
      <c r="AB15" s="17" t="s">
        <v>108</v>
      </c>
      <c r="AC15" s="17" t="s">
        <v>348</v>
      </c>
      <c r="AD15" s="17" t="s">
        <v>109</v>
      </c>
      <c r="AE15" s="17" t="s">
        <v>108</v>
      </c>
      <c r="AF15" s="17" t="s">
        <v>348</v>
      </c>
      <c r="AG15" s="17" t="s">
        <v>109</v>
      </c>
      <c r="AH15" s="17" t="s">
        <v>108</v>
      </c>
      <c r="AI15" s="17" t="s">
        <v>348</v>
      </c>
      <c r="AJ15" s="17" t="s">
        <v>109</v>
      </c>
      <c r="AK15" s="17" t="s">
        <v>108</v>
      </c>
      <c r="AL15" s="17" t="s">
        <v>348</v>
      </c>
      <c r="AM15" s="17" t="s">
        <v>109</v>
      </c>
      <c r="AN15" s="17" t="s">
        <v>108</v>
      </c>
      <c r="AO15" s="17" t="s">
        <v>348</v>
      </c>
      <c r="AP15" s="17" t="s">
        <v>109</v>
      </c>
      <c r="AQ15" s="17" t="s">
        <v>108</v>
      </c>
      <c r="AR15" s="17" t="s">
        <v>348</v>
      </c>
    </row>
    <row r="16" spans="1:44" ht="18" hidden="1" x14ac:dyDescent="0.25">
      <c r="A16" s="373">
        <v>1</v>
      </c>
      <c r="B16" s="374">
        <v>46059</v>
      </c>
      <c r="C16" s="373"/>
      <c r="D16" s="373"/>
      <c r="E16" s="373"/>
      <c r="F16" s="373">
        <v>120</v>
      </c>
      <c r="G16" s="373">
        <v>1680</v>
      </c>
      <c r="H16" s="373">
        <v>1075.2</v>
      </c>
      <c r="I16" s="373"/>
      <c r="J16" s="373"/>
      <c r="K16" s="373"/>
      <c r="L16" s="373"/>
      <c r="M16" s="373"/>
      <c r="N16" s="373"/>
      <c r="O16" s="373"/>
      <c r="P16" s="373"/>
      <c r="Q16" s="373"/>
      <c r="R16" s="373"/>
      <c r="S16" s="373"/>
      <c r="T16" s="373"/>
      <c r="U16" s="373"/>
      <c r="V16" s="373"/>
      <c r="W16" s="373"/>
      <c r="X16" s="373"/>
      <c r="Y16" s="373"/>
      <c r="Z16" s="373"/>
      <c r="AA16" s="373">
        <v>100</v>
      </c>
      <c r="AB16" s="373">
        <v>1200</v>
      </c>
      <c r="AC16" s="373">
        <v>1200</v>
      </c>
      <c r="AD16" s="373"/>
      <c r="AE16" s="373"/>
      <c r="AF16" s="373"/>
      <c r="AG16" s="373"/>
      <c r="AH16" s="373"/>
      <c r="AI16" s="373"/>
      <c r="AJ16" s="373"/>
      <c r="AK16" s="373"/>
      <c r="AL16" s="373"/>
      <c r="AM16" s="373"/>
      <c r="AN16" s="373"/>
      <c r="AO16" s="373"/>
      <c r="AP16" s="397">
        <f t="shared" ref="AP16:AR17" si="2">C16+F16+L16+O16+R16+U16+X16+AA16+AD16+AG16+AJ16+AM16+I16</f>
        <v>220</v>
      </c>
      <c r="AQ16" s="398">
        <f t="shared" si="2"/>
        <v>2880</v>
      </c>
      <c r="AR16" s="398">
        <f t="shared" si="2"/>
        <v>2275.1999999999998</v>
      </c>
    </row>
    <row r="17" spans="1:44" ht="18" hidden="1" x14ac:dyDescent="0.25">
      <c r="A17" s="373">
        <v>2</v>
      </c>
      <c r="B17" s="374">
        <v>46077</v>
      </c>
      <c r="C17" s="373"/>
      <c r="D17" s="373"/>
      <c r="E17" s="373"/>
      <c r="F17" s="373">
        <v>100</v>
      </c>
      <c r="G17" s="373">
        <v>1400</v>
      </c>
      <c r="H17" s="373">
        <v>896</v>
      </c>
      <c r="I17" s="373">
        <v>30</v>
      </c>
      <c r="J17" s="373">
        <v>720</v>
      </c>
      <c r="K17" s="373">
        <v>460.8</v>
      </c>
      <c r="L17" s="373"/>
      <c r="M17" s="373"/>
      <c r="N17" s="373"/>
      <c r="O17" s="373">
        <v>20</v>
      </c>
      <c r="P17" s="373">
        <v>480</v>
      </c>
      <c r="Q17" s="373">
        <v>307.2</v>
      </c>
      <c r="R17" s="373"/>
      <c r="S17" s="373"/>
      <c r="T17" s="373"/>
      <c r="U17" s="373"/>
      <c r="V17" s="373"/>
      <c r="W17" s="373"/>
      <c r="X17" s="373"/>
      <c r="Y17" s="373"/>
      <c r="Z17" s="373"/>
      <c r="AA17" s="373">
        <v>20</v>
      </c>
      <c r="AB17" s="373">
        <v>240</v>
      </c>
      <c r="AC17" s="373">
        <v>240</v>
      </c>
      <c r="AD17" s="373"/>
      <c r="AE17" s="373"/>
      <c r="AF17" s="373"/>
      <c r="AG17" s="373"/>
      <c r="AH17" s="373"/>
      <c r="AI17" s="373"/>
      <c r="AJ17" s="373"/>
      <c r="AK17" s="373"/>
      <c r="AL17" s="373"/>
      <c r="AM17" s="373"/>
      <c r="AN17" s="373"/>
      <c r="AO17" s="373"/>
      <c r="AP17" s="398">
        <f t="shared" si="2"/>
        <v>170</v>
      </c>
      <c r="AQ17" s="398">
        <f t="shared" si="2"/>
        <v>2840</v>
      </c>
      <c r="AR17" s="398">
        <f t="shared" si="2"/>
        <v>1904</v>
      </c>
    </row>
    <row r="18" spans="1:44" ht="18" hidden="1" x14ac:dyDescent="0.25">
      <c r="AC18" s="401"/>
      <c r="AP18" s="403">
        <f>SUM(AP16:AP17)</f>
        <v>390</v>
      </c>
      <c r="AQ18" s="403">
        <f>SUM(AQ16:AQ17)</f>
        <v>5720</v>
      </c>
      <c r="AR18" s="403">
        <f>SUM(AR16:AR17)</f>
        <v>4179.2</v>
      </c>
    </row>
    <row r="20" spans="1:44" x14ac:dyDescent="0.25">
      <c r="A20" s="594" t="s">
        <v>544</v>
      </c>
      <c r="B20" s="595"/>
      <c r="C20" s="595"/>
      <c r="D20" s="595"/>
    </row>
    <row r="21" spans="1:44" ht="18" x14ac:dyDescent="0.25">
      <c r="A21" s="551" t="s">
        <v>118</v>
      </c>
      <c r="B21" s="552" t="s">
        <v>135</v>
      </c>
      <c r="C21" s="553"/>
      <c r="D21" s="553"/>
      <c r="E21" s="553"/>
      <c r="F21" s="553"/>
      <c r="G21" s="553"/>
      <c r="H21" s="553"/>
      <c r="I21" s="553"/>
      <c r="J21" s="553"/>
      <c r="K21" s="553"/>
      <c r="L21" s="553"/>
      <c r="M21" s="553"/>
      <c r="N21" s="553"/>
      <c r="O21" s="553"/>
      <c r="P21" s="553"/>
      <c r="Q21" s="553"/>
      <c r="R21" s="553"/>
      <c r="S21" s="553"/>
      <c r="T21" s="553"/>
      <c r="U21" s="553"/>
      <c r="V21" s="553"/>
      <c r="W21" s="553"/>
      <c r="X21" s="553"/>
      <c r="Y21" s="553"/>
      <c r="Z21" s="553"/>
      <c r="AA21" s="553"/>
      <c r="AB21" s="553"/>
      <c r="AC21" s="553"/>
      <c r="AD21" s="553"/>
      <c r="AE21" s="553"/>
      <c r="AF21" s="553"/>
      <c r="AG21" s="553"/>
      <c r="AH21" s="553"/>
      <c r="AI21" s="553"/>
      <c r="AJ21" s="553"/>
      <c r="AK21" s="553"/>
      <c r="AL21" s="553"/>
      <c r="AM21" s="553"/>
      <c r="AN21" s="553"/>
      <c r="AO21" s="553"/>
      <c r="AP21" s="553"/>
      <c r="AQ21" s="553"/>
      <c r="AR21" s="553"/>
    </row>
    <row r="22" spans="1:44" ht="18" x14ac:dyDescent="0.25">
      <c r="A22" s="551"/>
      <c r="B22" s="552"/>
      <c r="C22" s="554" t="s">
        <v>134</v>
      </c>
      <c r="D22" s="555"/>
      <c r="E22" s="556"/>
      <c r="F22" s="590" t="s">
        <v>133</v>
      </c>
      <c r="G22" s="590"/>
      <c r="H22" s="590"/>
      <c r="I22" s="590" t="s">
        <v>397</v>
      </c>
      <c r="J22" s="590"/>
      <c r="K22" s="590"/>
      <c r="L22" s="589" t="s">
        <v>132</v>
      </c>
      <c r="M22" s="589"/>
      <c r="N22" s="589"/>
      <c r="O22" s="590" t="s">
        <v>448</v>
      </c>
      <c r="P22" s="590"/>
      <c r="Q22" s="590"/>
      <c r="R22" s="521" t="s">
        <v>441</v>
      </c>
      <c r="S22" s="521"/>
      <c r="T22" s="521"/>
      <c r="U22" s="589" t="s">
        <v>129</v>
      </c>
      <c r="V22" s="589"/>
      <c r="W22" s="589"/>
      <c r="X22" s="591" t="s">
        <v>128</v>
      </c>
      <c r="Y22" s="592"/>
      <c r="Z22" s="593"/>
      <c r="AA22" s="596" t="s">
        <v>127</v>
      </c>
      <c r="AB22" s="596"/>
      <c r="AC22" s="596"/>
      <c r="AD22" s="591" t="s">
        <v>126</v>
      </c>
      <c r="AE22" s="592"/>
      <c r="AF22" s="593"/>
      <c r="AG22" s="554" t="s">
        <v>125</v>
      </c>
      <c r="AH22" s="555"/>
      <c r="AI22" s="556"/>
      <c r="AJ22" s="591" t="s">
        <v>124</v>
      </c>
      <c r="AK22" s="592"/>
      <c r="AL22" s="593"/>
      <c r="AM22" s="591" t="s">
        <v>123</v>
      </c>
      <c r="AN22" s="593"/>
      <c r="AO22" s="176"/>
      <c r="AP22" s="557" t="s">
        <v>122</v>
      </c>
      <c r="AQ22" s="557"/>
      <c r="AR22" s="557"/>
    </row>
    <row r="23" spans="1:44" ht="18" x14ac:dyDescent="0.25">
      <c r="A23" s="551"/>
      <c r="B23" s="552"/>
      <c r="C23" s="17" t="s">
        <v>109</v>
      </c>
      <c r="D23" s="17" t="s">
        <v>108</v>
      </c>
      <c r="E23" s="17" t="s">
        <v>348</v>
      </c>
      <c r="F23" s="17" t="s">
        <v>109</v>
      </c>
      <c r="G23" s="17" t="s">
        <v>108</v>
      </c>
      <c r="H23" s="17" t="s">
        <v>348</v>
      </c>
      <c r="I23" s="17" t="s">
        <v>109</v>
      </c>
      <c r="J23" s="17" t="s">
        <v>108</v>
      </c>
      <c r="K23" s="17" t="s">
        <v>348</v>
      </c>
      <c r="L23" s="17" t="s">
        <v>109</v>
      </c>
      <c r="M23" s="17" t="s">
        <v>108</v>
      </c>
      <c r="N23" s="17" t="s">
        <v>348</v>
      </c>
      <c r="O23" s="17" t="s">
        <v>109</v>
      </c>
      <c r="P23" s="17" t="s">
        <v>108</v>
      </c>
      <c r="Q23" s="17" t="s">
        <v>348</v>
      </c>
      <c r="R23" s="17" t="s">
        <v>109</v>
      </c>
      <c r="S23" s="17" t="s">
        <v>108</v>
      </c>
      <c r="T23" s="17" t="s">
        <v>348</v>
      </c>
      <c r="U23" s="17" t="s">
        <v>109</v>
      </c>
      <c r="V23" s="17" t="s">
        <v>108</v>
      </c>
      <c r="W23" s="17" t="s">
        <v>348</v>
      </c>
      <c r="X23" s="17" t="s">
        <v>109</v>
      </c>
      <c r="Y23" s="17" t="s">
        <v>108</v>
      </c>
      <c r="Z23" s="17" t="s">
        <v>348</v>
      </c>
      <c r="AA23" s="17" t="s">
        <v>109</v>
      </c>
      <c r="AB23" s="17" t="s">
        <v>108</v>
      </c>
      <c r="AC23" s="17" t="s">
        <v>348</v>
      </c>
      <c r="AD23" s="17" t="s">
        <v>109</v>
      </c>
      <c r="AE23" s="17" t="s">
        <v>108</v>
      </c>
      <c r="AF23" s="17" t="s">
        <v>348</v>
      </c>
      <c r="AG23" s="17" t="s">
        <v>109</v>
      </c>
      <c r="AH23" s="17" t="s">
        <v>108</v>
      </c>
      <c r="AI23" s="17" t="s">
        <v>348</v>
      </c>
      <c r="AJ23" s="17" t="s">
        <v>109</v>
      </c>
      <c r="AK23" s="17" t="s">
        <v>108</v>
      </c>
      <c r="AL23" s="17" t="s">
        <v>348</v>
      </c>
      <c r="AM23" s="17" t="s">
        <v>109</v>
      </c>
      <c r="AN23" s="17" t="s">
        <v>108</v>
      </c>
      <c r="AO23" s="17" t="s">
        <v>348</v>
      </c>
      <c r="AP23" s="17" t="s">
        <v>109</v>
      </c>
      <c r="AQ23" s="17" t="s">
        <v>108</v>
      </c>
      <c r="AR23" s="17" t="s">
        <v>348</v>
      </c>
    </row>
    <row r="24" spans="1:44" ht="18" x14ac:dyDescent="0.25">
      <c r="A24" s="373">
        <v>1</v>
      </c>
      <c r="B24" s="374">
        <v>46093</v>
      </c>
      <c r="C24" s="373"/>
      <c r="D24" s="373"/>
      <c r="E24" s="373"/>
      <c r="F24" s="373">
        <v>150</v>
      </c>
      <c r="G24" s="373">
        <v>2100</v>
      </c>
      <c r="H24" s="373">
        <v>1344</v>
      </c>
      <c r="I24" s="373">
        <v>29</v>
      </c>
      <c r="J24" s="373">
        <v>696</v>
      </c>
      <c r="K24" s="373">
        <v>445.44</v>
      </c>
      <c r="L24" s="373"/>
      <c r="M24" s="373"/>
      <c r="N24" s="373"/>
      <c r="O24" s="373"/>
      <c r="P24" s="373"/>
      <c r="Q24" s="373"/>
      <c r="R24" s="373"/>
      <c r="S24" s="373"/>
      <c r="T24" s="373"/>
      <c r="U24" s="373"/>
      <c r="V24" s="373"/>
      <c r="W24" s="373"/>
      <c r="X24" s="373"/>
      <c r="Y24" s="373"/>
      <c r="Z24" s="373"/>
      <c r="AA24" s="373">
        <v>50</v>
      </c>
      <c r="AB24" s="373">
        <v>600</v>
      </c>
      <c r="AC24" s="373">
        <v>600</v>
      </c>
      <c r="AD24" s="373"/>
      <c r="AE24" s="373"/>
      <c r="AF24" s="373"/>
      <c r="AG24" s="373"/>
      <c r="AH24" s="373"/>
      <c r="AI24" s="373"/>
      <c r="AJ24" s="373"/>
      <c r="AK24" s="373"/>
      <c r="AL24" s="373"/>
      <c r="AM24" s="373"/>
      <c r="AN24" s="373"/>
      <c r="AO24" s="373"/>
      <c r="AP24" s="397">
        <f t="shared" ref="AP24:AP25" si="3">C24+F24+L24+O24+R24+U24+X24+AA24+AD24+AG24+AJ24+AM24+I24</f>
        <v>229</v>
      </c>
      <c r="AQ24" s="398">
        <f t="shared" ref="AQ24:AQ25" si="4">D24+G24+M24+P24+S24+V24+Y24+AB24+AE24+AH24+AK24+AN24+J24</f>
        <v>3396</v>
      </c>
      <c r="AR24" s="398">
        <f t="shared" ref="AR24:AR25" si="5">E24+H24+N24+Q24+T24+W24+Z24+AC24+AF24+AI24+AL24+AO24+K24</f>
        <v>2389.44</v>
      </c>
    </row>
    <row r="25" spans="1:44" ht="18" x14ac:dyDescent="0.25">
      <c r="A25" s="373"/>
      <c r="B25" s="374"/>
      <c r="C25" s="373"/>
      <c r="D25" s="373"/>
      <c r="E25" s="373"/>
      <c r="F25" s="373"/>
      <c r="G25" s="373"/>
      <c r="H25" s="373"/>
      <c r="I25" s="373"/>
      <c r="J25" s="373"/>
      <c r="K25" s="373"/>
      <c r="L25" s="373"/>
      <c r="M25" s="373"/>
      <c r="N25" s="373"/>
      <c r="O25" s="373"/>
      <c r="P25" s="373"/>
      <c r="Q25" s="373"/>
      <c r="R25" s="373"/>
      <c r="S25" s="373"/>
      <c r="T25" s="373"/>
      <c r="U25" s="373"/>
      <c r="V25" s="373"/>
      <c r="W25" s="373"/>
      <c r="X25" s="373"/>
      <c r="Y25" s="373"/>
      <c r="Z25" s="373"/>
      <c r="AA25" s="373"/>
      <c r="AB25" s="373"/>
      <c r="AC25" s="373"/>
      <c r="AD25" s="373"/>
      <c r="AE25" s="373"/>
      <c r="AF25" s="373"/>
      <c r="AG25" s="373"/>
      <c r="AH25" s="373"/>
      <c r="AI25" s="373"/>
      <c r="AJ25" s="373"/>
      <c r="AK25" s="373"/>
      <c r="AL25" s="373"/>
      <c r="AM25" s="373"/>
      <c r="AN25" s="373"/>
      <c r="AO25" s="373"/>
      <c r="AP25" s="398">
        <f t="shared" si="3"/>
        <v>0</v>
      </c>
      <c r="AQ25" s="398">
        <f t="shared" si="4"/>
        <v>0</v>
      </c>
      <c r="AR25" s="398">
        <f t="shared" si="5"/>
        <v>0</v>
      </c>
    </row>
    <row r="26" spans="1:44" ht="18" x14ac:dyDescent="0.25">
      <c r="AC26" s="401"/>
      <c r="AP26" s="403">
        <f>SUM(AP24:AP25)</f>
        <v>229</v>
      </c>
      <c r="AQ26" s="403">
        <f>SUM(AQ24:AQ25)</f>
        <v>3396</v>
      </c>
      <c r="AR26" s="403">
        <f>SUM(AR24:AR25)</f>
        <v>2389.44</v>
      </c>
    </row>
  </sheetData>
  <mergeCells count="54">
    <mergeCell ref="AJ14:AL14"/>
    <mergeCell ref="AM14:AN14"/>
    <mergeCell ref="AP14:AR14"/>
    <mergeCell ref="AJ3:AL3"/>
    <mergeCell ref="AM3:AN3"/>
    <mergeCell ref="AP3:AR3"/>
    <mergeCell ref="AG3:AI3"/>
    <mergeCell ref="A12:D12"/>
    <mergeCell ref="A13:A15"/>
    <mergeCell ref="B13:B15"/>
    <mergeCell ref="C13:AR13"/>
    <mergeCell ref="C14:E14"/>
    <mergeCell ref="F14:H14"/>
    <mergeCell ref="I14:K14"/>
    <mergeCell ref="L14:N14"/>
    <mergeCell ref="O14:Q14"/>
    <mergeCell ref="R14:T14"/>
    <mergeCell ref="U14:W14"/>
    <mergeCell ref="X14:Z14"/>
    <mergeCell ref="AA14:AC14"/>
    <mergeCell ref="AD14:AF14"/>
    <mergeCell ref="AG14:AI14"/>
    <mergeCell ref="AG22:AI22"/>
    <mergeCell ref="AJ22:AL22"/>
    <mergeCell ref="A1:D1"/>
    <mergeCell ref="I3:K3"/>
    <mergeCell ref="A2:A4"/>
    <mergeCell ref="B2:B4"/>
    <mergeCell ref="C2:AR2"/>
    <mergeCell ref="C3:E3"/>
    <mergeCell ref="F3:H3"/>
    <mergeCell ref="L3:N3"/>
    <mergeCell ref="O3:Q3"/>
    <mergeCell ref="R3:T3"/>
    <mergeCell ref="U3:W3"/>
    <mergeCell ref="X3:Z3"/>
    <mergeCell ref="AA3:AC3"/>
    <mergeCell ref="AD3:AF3"/>
    <mergeCell ref="AM22:AN22"/>
    <mergeCell ref="AP22:AR22"/>
    <mergeCell ref="A20:D20"/>
    <mergeCell ref="A21:A23"/>
    <mergeCell ref="B21:B23"/>
    <mergeCell ref="C21:AR21"/>
    <mergeCell ref="C22:E22"/>
    <mergeCell ref="F22:H22"/>
    <mergeCell ref="I22:K22"/>
    <mergeCell ref="L22:N22"/>
    <mergeCell ref="O22:Q22"/>
    <mergeCell ref="R22:T22"/>
    <mergeCell ref="U22:W22"/>
    <mergeCell ref="X22:Z22"/>
    <mergeCell ref="AA22:AC22"/>
    <mergeCell ref="AD22:AF2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6C96C-7DA8-4744-A89C-D7A1A449D921}">
  <dimension ref="A1:AO38"/>
  <sheetViews>
    <sheetView topLeftCell="A30" workbookViewId="0"/>
  </sheetViews>
  <sheetFormatPr defaultColWidth="9.140625" defaultRowHeight="18" x14ac:dyDescent="0.5"/>
  <cols>
    <col min="1" max="2" width="9.140625" style="22"/>
    <col min="3" max="5" width="9.140625" style="22" hidden="1" customWidth="1"/>
    <col min="6" max="8" width="9.140625" style="22"/>
    <col min="9" max="23" width="9.140625" style="22" hidden="1" customWidth="1"/>
    <col min="24" max="26" width="9.140625" style="22"/>
    <col min="27" max="38" width="0" style="22" hidden="1" customWidth="1"/>
    <col min="39" max="16384" width="9.140625" style="22"/>
  </cols>
  <sheetData>
    <row r="1" spans="1:41" hidden="1" x14ac:dyDescent="0.5"/>
    <row r="2" spans="1:41" hidden="1" x14ac:dyDescent="0.5">
      <c r="A2" s="550" t="s">
        <v>438</v>
      </c>
      <c r="B2" s="550"/>
    </row>
    <row r="3" spans="1:41" hidden="1" x14ac:dyDescent="0.5">
      <c r="A3" s="550"/>
      <c r="B3" s="550"/>
    </row>
    <row r="4" spans="1:41" hidden="1" x14ac:dyDescent="0.5">
      <c r="A4" s="551" t="s">
        <v>118</v>
      </c>
      <c r="B4" s="552" t="s">
        <v>135</v>
      </c>
      <c r="C4" s="553"/>
      <c r="D4" s="553"/>
      <c r="E4" s="553"/>
      <c r="F4" s="553"/>
      <c r="G4" s="553"/>
      <c r="H4" s="553"/>
      <c r="I4" s="553"/>
      <c r="J4" s="553"/>
      <c r="K4" s="553"/>
      <c r="L4" s="553"/>
      <c r="M4" s="553"/>
      <c r="N4" s="553"/>
      <c r="O4" s="553"/>
      <c r="P4" s="553"/>
      <c r="Q4" s="553"/>
      <c r="R4" s="553"/>
      <c r="S4" s="553"/>
      <c r="T4" s="553"/>
      <c r="U4" s="553"/>
      <c r="V4" s="553"/>
      <c r="W4" s="553"/>
      <c r="X4" s="553"/>
      <c r="Y4" s="553"/>
      <c r="Z4" s="553"/>
      <c r="AA4" s="553"/>
      <c r="AB4" s="553"/>
      <c r="AC4" s="553"/>
      <c r="AD4" s="553"/>
      <c r="AE4" s="553"/>
      <c r="AF4" s="553"/>
      <c r="AG4" s="553"/>
      <c r="AH4" s="553"/>
      <c r="AI4" s="553"/>
      <c r="AJ4" s="553"/>
      <c r="AK4" s="553"/>
      <c r="AL4" s="553"/>
      <c r="AM4" s="553"/>
      <c r="AN4" s="553"/>
      <c r="AO4" s="553"/>
    </row>
    <row r="5" spans="1:41" ht="21" hidden="1" customHeight="1" x14ac:dyDescent="0.5">
      <c r="A5" s="551"/>
      <c r="B5" s="552"/>
      <c r="C5" s="574" t="s">
        <v>389</v>
      </c>
      <c r="D5" s="575"/>
      <c r="E5" s="576"/>
      <c r="F5" s="577" t="s">
        <v>133</v>
      </c>
      <c r="G5" s="577"/>
      <c r="H5" s="577"/>
      <c r="I5" s="577" t="s">
        <v>132</v>
      </c>
      <c r="J5" s="577"/>
      <c r="K5" s="577"/>
      <c r="L5" s="577" t="s">
        <v>131</v>
      </c>
      <c r="M5" s="577"/>
      <c r="N5" s="577"/>
      <c r="O5" s="577" t="s">
        <v>130</v>
      </c>
      <c r="P5" s="577"/>
      <c r="Q5" s="577"/>
      <c r="R5" s="577" t="s">
        <v>129</v>
      </c>
      <c r="S5" s="577"/>
      <c r="T5" s="577"/>
      <c r="U5" s="578" t="s">
        <v>128</v>
      </c>
      <c r="V5" s="579"/>
      <c r="W5" s="580"/>
      <c r="X5" s="577" t="s">
        <v>127</v>
      </c>
      <c r="Y5" s="577"/>
      <c r="Z5" s="577"/>
      <c r="AA5" s="562" t="s">
        <v>126</v>
      </c>
      <c r="AB5" s="562"/>
      <c r="AC5" s="562"/>
      <c r="AD5" s="562" t="s">
        <v>125</v>
      </c>
      <c r="AE5" s="562"/>
      <c r="AF5" s="562"/>
      <c r="AG5" s="562" t="s">
        <v>124</v>
      </c>
      <c r="AH5" s="562"/>
      <c r="AI5" s="562"/>
      <c r="AJ5" s="562" t="s">
        <v>123</v>
      </c>
      <c r="AK5" s="562"/>
      <c r="AL5" s="206"/>
      <c r="AM5" s="562" t="s">
        <v>122</v>
      </c>
      <c r="AN5" s="562"/>
      <c r="AO5" s="562"/>
    </row>
    <row r="6" spans="1:41" ht="21" hidden="1" x14ac:dyDescent="0.5">
      <c r="A6" s="551"/>
      <c r="B6" s="552"/>
      <c r="C6" s="208" t="s">
        <v>109</v>
      </c>
      <c r="D6" s="208" t="s">
        <v>108</v>
      </c>
      <c r="E6" s="208" t="s">
        <v>348</v>
      </c>
      <c r="F6" s="208" t="s">
        <v>109</v>
      </c>
      <c r="G6" s="208" t="s">
        <v>108</v>
      </c>
      <c r="H6" s="208" t="s">
        <v>348</v>
      </c>
      <c r="I6" s="208" t="s">
        <v>109</v>
      </c>
      <c r="J6" s="208" t="s">
        <v>108</v>
      </c>
      <c r="K6" s="208" t="s">
        <v>348</v>
      </c>
      <c r="L6" s="208" t="s">
        <v>109</v>
      </c>
      <c r="M6" s="208" t="s">
        <v>108</v>
      </c>
      <c r="N6" s="208" t="s">
        <v>348</v>
      </c>
      <c r="O6" s="208" t="s">
        <v>109</v>
      </c>
      <c r="P6" s="208" t="s">
        <v>108</v>
      </c>
      <c r="Q6" s="208" t="s">
        <v>348</v>
      </c>
      <c r="R6" s="208" t="s">
        <v>109</v>
      </c>
      <c r="S6" s="208" t="s">
        <v>108</v>
      </c>
      <c r="T6" s="208" t="s">
        <v>348</v>
      </c>
      <c r="U6" s="208" t="s">
        <v>109</v>
      </c>
      <c r="V6" s="208" t="s">
        <v>108</v>
      </c>
      <c r="W6" s="208" t="s">
        <v>348</v>
      </c>
      <c r="X6" s="208" t="s">
        <v>109</v>
      </c>
      <c r="Y6" s="208" t="s">
        <v>108</v>
      </c>
      <c r="Z6" s="208" t="s">
        <v>348</v>
      </c>
      <c r="AA6" s="208" t="s">
        <v>109</v>
      </c>
      <c r="AB6" s="208" t="s">
        <v>108</v>
      </c>
      <c r="AC6" s="208" t="s">
        <v>348</v>
      </c>
      <c r="AD6" s="208" t="s">
        <v>109</v>
      </c>
      <c r="AE6" s="208" t="s">
        <v>108</v>
      </c>
      <c r="AF6" s="208" t="s">
        <v>348</v>
      </c>
      <c r="AG6" s="208" t="s">
        <v>109</v>
      </c>
      <c r="AH6" s="208" t="s">
        <v>108</v>
      </c>
      <c r="AI6" s="208" t="s">
        <v>348</v>
      </c>
      <c r="AJ6" s="208" t="s">
        <v>109</v>
      </c>
      <c r="AK6" s="208" t="s">
        <v>108</v>
      </c>
      <c r="AL6" s="208" t="s">
        <v>348</v>
      </c>
      <c r="AM6" s="208" t="s">
        <v>109</v>
      </c>
      <c r="AN6" s="208" t="s">
        <v>108</v>
      </c>
      <c r="AO6" s="208" t="s">
        <v>348</v>
      </c>
    </row>
    <row r="7" spans="1:41" hidden="1" x14ac:dyDescent="0.5">
      <c r="A7" s="16">
        <v>1</v>
      </c>
      <c r="B7" s="15">
        <v>46027</v>
      </c>
      <c r="C7" s="19"/>
      <c r="D7" s="19"/>
      <c r="E7" s="19"/>
      <c r="F7" s="19">
        <v>100</v>
      </c>
      <c r="G7" s="19">
        <v>1400</v>
      </c>
      <c r="H7" s="19">
        <v>896</v>
      </c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>
        <f>X7+F7</f>
        <v>100</v>
      </c>
      <c r="AN7" s="19">
        <f>Y7+G7</f>
        <v>1400</v>
      </c>
      <c r="AO7" s="19">
        <f>Z7+H7</f>
        <v>896</v>
      </c>
    </row>
    <row r="8" spans="1:41" hidden="1" x14ac:dyDescent="0.5">
      <c r="A8" s="16">
        <v>2</v>
      </c>
      <c r="B8" s="15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21"/>
      <c r="P8" s="178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>
        <f t="shared" ref="AM8:AO19" si="0">X8+F8</f>
        <v>0</v>
      </c>
      <c r="AN8" s="19">
        <f t="shared" si="0"/>
        <v>0</v>
      </c>
      <c r="AO8" s="19">
        <f t="shared" si="0"/>
        <v>0</v>
      </c>
    </row>
    <row r="9" spans="1:41" hidden="1" x14ac:dyDescent="0.5">
      <c r="A9" s="16">
        <v>3</v>
      </c>
      <c r="B9" s="15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>
        <f t="shared" si="0"/>
        <v>0</v>
      </c>
      <c r="AN9" s="19">
        <f t="shared" si="0"/>
        <v>0</v>
      </c>
      <c r="AO9" s="19">
        <f t="shared" si="0"/>
        <v>0</v>
      </c>
    </row>
    <row r="10" spans="1:41" hidden="1" x14ac:dyDescent="0.5">
      <c r="A10" s="16">
        <v>4</v>
      </c>
      <c r="B10" s="15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>
        <f t="shared" si="0"/>
        <v>0</v>
      </c>
      <c r="AN10" s="19">
        <f t="shared" si="0"/>
        <v>0</v>
      </c>
      <c r="AO10" s="19">
        <f t="shared" si="0"/>
        <v>0</v>
      </c>
    </row>
    <row r="11" spans="1:41" hidden="1" x14ac:dyDescent="0.5">
      <c r="A11" s="16">
        <v>5</v>
      </c>
      <c r="B11" s="15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>
        <f t="shared" si="0"/>
        <v>0</v>
      </c>
      <c r="AN11" s="19">
        <f t="shared" si="0"/>
        <v>0</v>
      </c>
      <c r="AO11" s="19">
        <f t="shared" si="0"/>
        <v>0</v>
      </c>
    </row>
    <row r="12" spans="1:41" hidden="1" x14ac:dyDescent="0.5">
      <c r="A12" s="16">
        <v>6</v>
      </c>
      <c r="B12" s="15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>
        <f t="shared" si="0"/>
        <v>0</v>
      </c>
      <c r="AN12" s="19">
        <f t="shared" si="0"/>
        <v>0</v>
      </c>
      <c r="AO12" s="19">
        <f t="shared" si="0"/>
        <v>0</v>
      </c>
    </row>
    <row r="13" spans="1:41" hidden="1" x14ac:dyDescent="0.5">
      <c r="A13" s="16">
        <v>7</v>
      </c>
      <c r="B13" s="15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>
        <f t="shared" si="0"/>
        <v>0</v>
      </c>
      <c r="AN13" s="19">
        <f t="shared" si="0"/>
        <v>0</v>
      </c>
      <c r="AO13" s="19">
        <f t="shared" si="0"/>
        <v>0</v>
      </c>
    </row>
    <row r="14" spans="1:41" hidden="1" x14ac:dyDescent="0.5">
      <c r="A14" s="16">
        <v>8</v>
      </c>
      <c r="B14" s="15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>
        <f t="shared" si="0"/>
        <v>0</v>
      </c>
      <c r="AN14" s="19">
        <f t="shared" si="0"/>
        <v>0</v>
      </c>
      <c r="AO14" s="19">
        <f t="shared" si="0"/>
        <v>0</v>
      </c>
    </row>
    <row r="15" spans="1:41" hidden="1" x14ac:dyDescent="0.5">
      <c r="A15" s="16">
        <v>9</v>
      </c>
      <c r="B15" s="15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>
        <f t="shared" si="0"/>
        <v>0</v>
      </c>
      <c r="AN15" s="19">
        <f t="shared" si="0"/>
        <v>0</v>
      </c>
      <c r="AO15" s="19">
        <f t="shared" si="0"/>
        <v>0</v>
      </c>
    </row>
    <row r="16" spans="1:41" hidden="1" x14ac:dyDescent="0.5">
      <c r="A16" s="16">
        <v>10</v>
      </c>
      <c r="B16" s="15"/>
      <c r="C16" s="20"/>
      <c r="D16" s="20"/>
      <c r="E16" s="19"/>
      <c r="F16" s="20"/>
      <c r="G16" s="20"/>
      <c r="H16" s="19"/>
      <c r="I16" s="20"/>
      <c r="J16" s="20"/>
      <c r="K16" s="20"/>
      <c r="L16" s="20"/>
      <c r="M16" s="20"/>
      <c r="N16" s="20"/>
      <c r="O16" s="20"/>
      <c r="P16" s="20"/>
      <c r="Q16" s="19"/>
      <c r="R16" s="20"/>
      <c r="S16" s="20"/>
      <c r="T16" s="19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19"/>
      <c r="AG16" s="19"/>
      <c r="AH16" s="19"/>
      <c r="AI16" s="19"/>
      <c r="AJ16" s="19"/>
      <c r="AK16" s="19"/>
      <c r="AL16" s="19"/>
      <c r="AM16" s="19">
        <f t="shared" si="0"/>
        <v>0</v>
      </c>
      <c r="AN16" s="19">
        <f t="shared" si="0"/>
        <v>0</v>
      </c>
      <c r="AO16" s="19">
        <f t="shared" si="0"/>
        <v>0</v>
      </c>
    </row>
    <row r="17" spans="1:41" hidden="1" x14ac:dyDescent="0.5">
      <c r="A17" s="16">
        <v>11</v>
      </c>
      <c r="B17" s="15"/>
      <c r="C17" s="20"/>
      <c r="D17" s="20"/>
      <c r="E17" s="19"/>
      <c r="F17" s="20"/>
      <c r="G17" s="20"/>
      <c r="H17" s="19"/>
      <c r="I17" s="20"/>
      <c r="J17" s="20"/>
      <c r="K17" s="20"/>
      <c r="L17" s="20"/>
      <c r="M17" s="20"/>
      <c r="N17" s="20"/>
      <c r="O17" s="20"/>
      <c r="P17" s="20"/>
      <c r="Q17" s="19"/>
      <c r="R17" s="20"/>
      <c r="S17" s="20"/>
      <c r="T17" s="19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19"/>
      <c r="AG17" s="19"/>
      <c r="AH17" s="19"/>
      <c r="AI17" s="19"/>
      <c r="AJ17" s="19"/>
      <c r="AK17" s="19"/>
      <c r="AL17" s="19"/>
      <c r="AM17" s="19">
        <f t="shared" si="0"/>
        <v>0</v>
      </c>
      <c r="AN17" s="19">
        <f t="shared" si="0"/>
        <v>0</v>
      </c>
      <c r="AO17" s="19">
        <f t="shared" si="0"/>
        <v>0</v>
      </c>
    </row>
    <row r="18" spans="1:41" hidden="1" x14ac:dyDescent="0.5">
      <c r="A18" s="16">
        <v>12</v>
      </c>
      <c r="B18" s="15"/>
      <c r="C18" s="20"/>
      <c r="D18" s="20"/>
      <c r="E18" s="19"/>
      <c r="F18" s="20"/>
      <c r="G18" s="20"/>
      <c r="H18" s="19"/>
      <c r="I18" s="20"/>
      <c r="J18" s="20"/>
      <c r="K18" s="20"/>
      <c r="L18" s="20"/>
      <c r="M18" s="20"/>
      <c r="N18" s="20"/>
      <c r="O18" s="20"/>
      <c r="P18" s="20"/>
      <c r="Q18" s="19"/>
      <c r="R18" s="20"/>
      <c r="S18" s="20"/>
      <c r="T18" s="19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19"/>
      <c r="AG18" s="19"/>
      <c r="AH18" s="19"/>
      <c r="AI18" s="19"/>
      <c r="AJ18" s="19"/>
      <c r="AK18" s="19"/>
      <c r="AL18" s="19"/>
      <c r="AM18" s="19">
        <f t="shared" si="0"/>
        <v>0</v>
      </c>
      <c r="AN18" s="19">
        <f t="shared" si="0"/>
        <v>0</v>
      </c>
      <c r="AO18" s="19">
        <f t="shared" si="0"/>
        <v>0</v>
      </c>
    </row>
    <row r="19" spans="1:41" hidden="1" x14ac:dyDescent="0.5">
      <c r="A19" s="16">
        <v>13</v>
      </c>
      <c r="B19" s="15"/>
      <c r="C19" s="20"/>
      <c r="D19" s="20"/>
      <c r="E19" s="19"/>
      <c r="F19" s="20"/>
      <c r="G19" s="20"/>
      <c r="H19" s="19"/>
      <c r="I19" s="20"/>
      <c r="J19" s="20"/>
      <c r="K19" s="20"/>
      <c r="L19" s="20"/>
      <c r="M19" s="20"/>
      <c r="N19" s="20"/>
      <c r="O19" s="20"/>
      <c r="P19" s="20"/>
      <c r="Q19" s="19"/>
      <c r="R19" s="20"/>
      <c r="S19" s="20"/>
      <c r="T19" s="19"/>
      <c r="U19" s="20"/>
      <c r="V19" s="20"/>
      <c r="W19" s="20"/>
      <c r="X19" s="20"/>
      <c r="Y19" s="20"/>
      <c r="Z19" s="20"/>
      <c r="AA19" s="20">
        <v>600</v>
      </c>
      <c r="AB19" s="20"/>
      <c r="AC19" s="20"/>
      <c r="AD19" s="20"/>
      <c r="AE19" s="20"/>
      <c r="AF19" s="19"/>
      <c r="AG19" s="19"/>
      <c r="AH19" s="19"/>
      <c r="AI19" s="19"/>
      <c r="AJ19" s="19"/>
      <c r="AK19" s="19"/>
      <c r="AL19" s="19"/>
      <c r="AM19" s="19">
        <f t="shared" si="0"/>
        <v>0</v>
      </c>
      <c r="AN19" s="19">
        <f t="shared" si="0"/>
        <v>0</v>
      </c>
      <c r="AO19" s="19">
        <f t="shared" si="0"/>
        <v>0</v>
      </c>
    </row>
    <row r="20" spans="1:41" hidden="1" x14ac:dyDescent="0.5">
      <c r="AM20" s="182">
        <f>SUM(AM7:AM19)</f>
        <v>100</v>
      </c>
      <c r="AN20" s="182">
        <f>SUM(AN7:AN19)</f>
        <v>1400</v>
      </c>
      <c r="AO20" s="182">
        <f>SUM(AO7:AO19)</f>
        <v>896</v>
      </c>
    </row>
    <row r="21" spans="1:41" hidden="1" x14ac:dyDescent="0.5"/>
    <row r="22" spans="1:41" hidden="1" x14ac:dyDescent="0.5">
      <c r="A22" s="550" t="s">
        <v>503</v>
      </c>
      <c r="B22" s="550"/>
    </row>
    <row r="23" spans="1:41" hidden="1" x14ac:dyDescent="0.5">
      <c r="A23" s="550"/>
      <c r="B23" s="550"/>
    </row>
    <row r="24" spans="1:41" hidden="1" x14ac:dyDescent="0.5">
      <c r="A24" s="551" t="s">
        <v>118</v>
      </c>
      <c r="B24" s="552" t="s">
        <v>135</v>
      </c>
      <c r="C24" s="553"/>
      <c r="D24" s="553"/>
      <c r="E24" s="553"/>
      <c r="F24" s="553"/>
      <c r="G24" s="553"/>
      <c r="H24" s="553"/>
      <c r="I24" s="553"/>
      <c r="J24" s="553"/>
      <c r="K24" s="553"/>
      <c r="L24" s="553"/>
      <c r="M24" s="553"/>
      <c r="N24" s="553"/>
      <c r="O24" s="553"/>
      <c r="P24" s="553"/>
      <c r="Q24" s="553"/>
      <c r="R24" s="553"/>
      <c r="S24" s="553"/>
      <c r="T24" s="553"/>
      <c r="U24" s="553"/>
      <c r="V24" s="553"/>
      <c r="W24" s="553"/>
      <c r="X24" s="553"/>
      <c r="Y24" s="553"/>
      <c r="Z24" s="553"/>
      <c r="AA24" s="553"/>
      <c r="AB24" s="553"/>
      <c r="AC24" s="553"/>
      <c r="AD24" s="553"/>
      <c r="AE24" s="553"/>
      <c r="AF24" s="553"/>
      <c r="AG24" s="553"/>
      <c r="AH24" s="553"/>
      <c r="AI24" s="553"/>
      <c r="AJ24" s="553"/>
      <c r="AK24" s="553"/>
      <c r="AL24" s="553"/>
      <c r="AM24" s="553"/>
      <c r="AN24" s="553"/>
      <c r="AO24" s="553"/>
    </row>
    <row r="25" spans="1:41" ht="21" hidden="1" x14ac:dyDescent="0.5">
      <c r="A25" s="551"/>
      <c r="B25" s="552"/>
      <c r="C25" s="574" t="s">
        <v>389</v>
      </c>
      <c r="D25" s="575"/>
      <c r="E25" s="576"/>
      <c r="F25" s="577" t="s">
        <v>133</v>
      </c>
      <c r="G25" s="577"/>
      <c r="H25" s="577"/>
      <c r="I25" s="577" t="s">
        <v>132</v>
      </c>
      <c r="J25" s="577"/>
      <c r="K25" s="577"/>
      <c r="L25" s="577" t="s">
        <v>131</v>
      </c>
      <c r="M25" s="577"/>
      <c r="N25" s="577"/>
      <c r="O25" s="577" t="s">
        <v>130</v>
      </c>
      <c r="P25" s="577"/>
      <c r="Q25" s="577"/>
      <c r="R25" s="577" t="s">
        <v>129</v>
      </c>
      <c r="S25" s="577"/>
      <c r="T25" s="577"/>
      <c r="U25" s="578" t="s">
        <v>128</v>
      </c>
      <c r="V25" s="579"/>
      <c r="W25" s="580"/>
      <c r="X25" s="577" t="s">
        <v>127</v>
      </c>
      <c r="Y25" s="577"/>
      <c r="Z25" s="577"/>
      <c r="AA25" s="562" t="s">
        <v>126</v>
      </c>
      <c r="AB25" s="562"/>
      <c r="AC25" s="562"/>
      <c r="AD25" s="562" t="s">
        <v>125</v>
      </c>
      <c r="AE25" s="562"/>
      <c r="AF25" s="562"/>
      <c r="AG25" s="562" t="s">
        <v>124</v>
      </c>
      <c r="AH25" s="562"/>
      <c r="AI25" s="562"/>
      <c r="AJ25" s="562" t="s">
        <v>123</v>
      </c>
      <c r="AK25" s="562"/>
      <c r="AL25" s="206"/>
      <c r="AM25" s="562" t="s">
        <v>122</v>
      </c>
      <c r="AN25" s="562"/>
      <c r="AO25" s="562"/>
    </row>
    <row r="26" spans="1:41" ht="21" hidden="1" x14ac:dyDescent="0.5">
      <c r="A26" s="551"/>
      <c r="B26" s="552"/>
      <c r="C26" s="208" t="s">
        <v>109</v>
      </c>
      <c r="D26" s="208" t="s">
        <v>108</v>
      </c>
      <c r="E26" s="208" t="s">
        <v>348</v>
      </c>
      <c r="F26" s="208" t="s">
        <v>109</v>
      </c>
      <c r="G26" s="208" t="s">
        <v>108</v>
      </c>
      <c r="H26" s="208" t="s">
        <v>348</v>
      </c>
      <c r="I26" s="208" t="s">
        <v>109</v>
      </c>
      <c r="J26" s="208" t="s">
        <v>108</v>
      </c>
      <c r="K26" s="208" t="s">
        <v>348</v>
      </c>
      <c r="L26" s="208" t="s">
        <v>109</v>
      </c>
      <c r="M26" s="208" t="s">
        <v>108</v>
      </c>
      <c r="N26" s="208" t="s">
        <v>348</v>
      </c>
      <c r="O26" s="208" t="s">
        <v>109</v>
      </c>
      <c r="P26" s="208" t="s">
        <v>108</v>
      </c>
      <c r="Q26" s="208" t="s">
        <v>348</v>
      </c>
      <c r="R26" s="208" t="s">
        <v>109</v>
      </c>
      <c r="S26" s="208" t="s">
        <v>108</v>
      </c>
      <c r="T26" s="208" t="s">
        <v>348</v>
      </c>
      <c r="U26" s="208" t="s">
        <v>109</v>
      </c>
      <c r="V26" s="208" t="s">
        <v>108</v>
      </c>
      <c r="W26" s="208" t="s">
        <v>348</v>
      </c>
      <c r="X26" s="208" t="s">
        <v>109</v>
      </c>
      <c r="Y26" s="208" t="s">
        <v>108</v>
      </c>
      <c r="Z26" s="208" t="s">
        <v>348</v>
      </c>
      <c r="AA26" s="208" t="s">
        <v>109</v>
      </c>
      <c r="AB26" s="208" t="s">
        <v>108</v>
      </c>
      <c r="AC26" s="208" t="s">
        <v>348</v>
      </c>
      <c r="AD26" s="208" t="s">
        <v>109</v>
      </c>
      <c r="AE26" s="208" t="s">
        <v>108</v>
      </c>
      <c r="AF26" s="208" t="s">
        <v>348</v>
      </c>
      <c r="AG26" s="208" t="s">
        <v>109</v>
      </c>
      <c r="AH26" s="208" t="s">
        <v>108</v>
      </c>
      <c r="AI26" s="208" t="s">
        <v>348</v>
      </c>
      <c r="AJ26" s="208" t="s">
        <v>109</v>
      </c>
      <c r="AK26" s="208" t="s">
        <v>108</v>
      </c>
      <c r="AL26" s="208" t="s">
        <v>348</v>
      </c>
      <c r="AM26" s="208" t="s">
        <v>109</v>
      </c>
      <c r="AN26" s="208" t="s">
        <v>108</v>
      </c>
      <c r="AO26" s="208" t="s">
        <v>348</v>
      </c>
    </row>
    <row r="27" spans="1:41" hidden="1" x14ac:dyDescent="0.5">
      <c r="A27" s="16">
        <v>1</v>
      </c>
      <c r="B27" s="15">
        <v>46059</v>
      </c>
      <c r="C27" s="19"/>
      <c r="D27" s="19"/>
      <c r="E27" s="19"/>
      <c r="F27" s="19">
        <v>100</v>
      </c>
      <c r="G27" s="19">
        <v>1400</v>
      </c>
      <c r="H27" s="19">
        <v>896</v>
      </c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>
        <v>100</v>
      </c>
      <c r="Y27" s="19">
        <v>1200</v>
      </c>
      <c r="Z27" s="19">
        <v>1200</v>
      </c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>
        <f>X27+F27</f>
        <v>200</v>
      </c>
      <c r="AN27" s="19">
        <f>Y27+G27</f>
        <v>2600</v>
      </c>
      <c r="AO27" s="19">
        <f>Z27+H27</f>
        <v>2096</v>
      </c>
    </row>
    <row r="28" spans="1:41" hidden="1" x14ac:dyDescent="0.5">
      <c r="A28" s="16">
        <v>2</v>
      </c>
      <c r="B28" s="15">
        <v>46076</v>
      </c>
      <c r="C28" s="19"/>
      <c r="D28" s="19"/>
      <c r="E28" s="19"/>
      <c r="F28" s="19">
        <v>200</v>
      </c>
      <c r="G28" s="19">
        <v>2800</v>
      </c>
      <c r="H28" s="19">
        <v>1792</v>
      </c>
      <c r="I28" s="19"/>
      <c r="J28" s="19"/>
      <c r="K28" s="19"/>
      <c r="L28" s="19"/>
      <c r="M28" s="19"/>
      <c r="N28" s="19"/>
      <c r="O28" s="21"/>
      <c r="P28" s="178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>
        <f t="shared" ref="AM28" si="1">X28+F28</f>
        <v>200</v>
      </c>
      <c r="AN28" s="19">
        <f t="shared" ref="AN28" si="2">Y28+G28</f>
        <v>2800</v>
      </c>
      <c r="AO28" s="19">
        <f t="shared" ref="AO28" si="3">Z28+H28</f>
        <v>1792</v>
      </c>
    </row>
    <row r="29" spans="1:41" hidden="1" x14ac:dyDescent="0.5">
      <c r="AM29" s="182">
        <f>SUM(AM27:AM28)</f>
        <v>400</v>
      </c>
      <c r="AN29" s="182">
        <f>SUM(AN27:AN28)</f>
        <v>5400</v>
      </c>
      <c r="AO29" s="182">
        <f>SUM(AO27:AO28)</f>
        <v>3888</v>
      </c>
    </row>
    <row r="31" spans="1:41" x14ac:dyDescent="0.5">
      <c r="A31" s="550" t="s">
        <v>543</v>
      </c>
      <c r="B31" s="550"/>
    </row>
    <row r="32" spans="1:41" x14ac:dyDescent="0.5">
      <c r="A32" s="550"/>
      <c r="B32" s="550"/>
    </row>
    <row r="33" spans="1:41" x14ac:dyDescent="0.5">
      <c r="A33" s="551" t="s">
        <v>118</v>
      </c>
      <c r="B33" s="552" t="s">
        <v>135</v>
      </c>
      <c r="C33" s="553"/>
      <c r="D33" s="553"/>
      <c r="E33" s="553"/>
      <c r="F33" s="553"/>
      <c r="G33" s="553"/>
      <c r="H33" s="553"/>
      <c r="I33" s="553"/>
      <c r="J33" s="553"/>
      <c r="K33" s="553"/>
      <c r="L33" s="553"/>
      <c r="M33" s="553"/>
      <c r="N33" s="553"/>
      <c r="O33" s="553"/>
      <c r="P33" s="553"/>
      <c r="Q33" s="553"/>
      <c r="R33" s="553"/>
      <c r="S33" s="553"/>
      <c r="T33" s="553"/>
      <c r="U33" s="553"/>
      <c r="V33" s="553"/>
      <c r="W33" s="553"/>
      <c r="X33" s="553"/>
      <c r="Y33" s="553"/>
      <c r="Z33" s="553"/>
      <c r="AA33" s="553"/>
      <c r="AB33" s="553"/>
      <c r="AC33" s="553"/>
      <c r="AD33" s="553"/>
      <c r="AE33" s="553"/>
      <c r="AF33" s="553"/>
      <c r="AG33" s="553"/>
      <c r="AH33" s="553"/>
      <c r="AI33" s="553"/>
      <c r="AJ33" s="553"/>
      <c r="AK33" s="553"/>
      <c r="AL33" s="553"/>
      <c r="AM33" s="553"/>
      <c r="AN33" s="553"/>
      <c r="AO33" s="553"/>
    </row>
    <row r="34" spans="1:41" ht="21" x14ac:dyDescent="0.5">
      <c r="A34" s="551"/>
      <c r="B34" s="552"/>
      <c r="C34" s="574" t="s">
        <v>389</v>
      </c>
      <c r="D34" s="575"/>
      <c r="E34" s="576"/>
      <c r="F34" s="577" t="s">
        <v>133</v>
      </c>
      <c r="G34" s="577"/>
      <c r="H34" s="577"/>
      <c r="I34" s="577" t="s">
        <v>132</v>
      </c>
      <c r="J34" s="577"/>
      <c r="K34" s="577"/>
      <c r="L34" s="577" t="s">
        <v>131</v>
      </c>
      <c r="M34" s="577"/>
      <c r="N34" s="577"/>
      <c r="O34" s="577" t="s">
        <v>130</v>
      </c>
      <c r="P34" s="577"/>
      <c r="Q34" s="577"/>
      <c r="R34" s="577" t="s">
        <v>129</v>
      </c>
      <c r="S34" s="577"/>
      <c r="T34" s="577"/>
      <c r="U34" s="578" t="s">
        <v>128</v>
      </c>
      <c r="V34" s="579"/>
      <c r="W34" s="580"/>
      <c r="X34" s="577" t="s">
        <v>127</v>
      </c>
      <c r="Y34" s="577"/>
      <c r="Z34" s="577"/>
      <c r="AA34" s="562" t="s">
        <v>126</v>
      </c>
      <c r="AB34" s="562"/>
      <c r="AC34" s="562"/>
      <c r="AD34" s="562" t="s">
        <v>125</v>
      </c>
      <c r="AE34" s="562"/>
      <c r="AF34" s="562"/>
      <c r="AG34" s="562" t="s">
        <v>124</v>
      </c>
      <c r="AH34" s="562"/>
      <c r="AI34" s="562"/>
      <c r="AJ34" s="562" t="s">
        <v>123</v>
      </c>
      <c r="AK34" s="562"/>
      <c r="AL34" s="206"/>
      <c r="AM34" s="562" t="s">
        <v>122</v>
      </c>
      <c r="AN34" s="562"/>
      <c r="AO34" s="562"/>
    </row>
    <row r="35" spans="1:41" ht="21" x14ac:dyDescent="0.5">
      <c r="A35" s="551"/>
      <c r="B35" s="552"/>
      <c r="C35" s="208" t="s">
        <v>109</v>
      </c>
      <c r="D35" s="208" t="s">
        <v>108</v>
      </c>
      <c r="E35" s="208" t="s">
        <v>348</v>
      </c>
      <c r="F35" s="208" t="s">
        <v>109</v>
      </c>
      <c r="G35" s="208" t="s">
        <v>108</v>
      </c>
      <c r="H35" s="208" t="s">
        <v>348</v>
      </c>
      <c r="I35" s="208" t="s">
        <v>109</v>
      </c>
      <c r="J35" s="208" t="s">
        <v>108</v>
      </c>
      <c r="K35" s="208" t="s">
        <v>348</v>
      </c>
      <c r="L35" s="208" t="s">
        <v>109</v>
      </c>
      <c r="M35" s="208" t="s">
        <v>108</v>
      </c>
      <c r="N35" s="208" t="s">
        <v>348</v>
      </c>
      <c r="O35" s="208" t="s">
        <v>109</v>
      </c>
      <c r="P35" s="208" t="s">
        <v>108</v>
      </c>
      <c r="Q35" s="208" t="s">
        <v>348</v>
      </c>
      <c r="R35" s="208" t="s">
        <v>109</v>
      </c>
      <c r="S35" s="208" t="s">
        <v>108</v>
      </c>
      <c r="T35" s="208" t="s">
        <v>348</v>
      </c>
      <c r="U35" s="208" t="s">
        <v>109</v>
      </c>
      <c r="V35" s="208" t="s">
        <v>108</v>
      </c>
      <c r="W35" s="208" t="s">
        <v>348</v>
      </c>
      <c r="X35" s="208" t="s">
        <v>109</v>
      </c>
      <c r="Y35" s="208" t="s">
        <v>108</v>
      </c>
      <c r="Z35" s="208" t="s">
        <v>348</v>
      </c>
      <c r="AA35" s="208" t="s">
        <v>109</v>
      </c>
      <c r="AB35" s="208" t="s">
        <v>108</v>
      </c>
      <c r="AC35" s="208" t="s">
        <v>348</v>
      </c>
      <c r="AD35" s="208" t="s">
        <v>109</v>
      </c>
      <c r="AE35" s="208" t="s">
        <v>108</v>
      </c>
      <c r="AF35" s="208" t="s">
        <v>348</v>
      </c>
      <c r="AG35" s="208" t="s">
        <v>109</v>
      </c>
      <c r="AH35" s="208" t="s">
        <v>108</v>
      </c>
      <c r="AI35" s="208" t="s">
        <v>348</v>
      </c>
      <c r="AJ35" s="208" t="s">
        <v>109</v>
      </c>
      <c r="AK35" s="208" t="s">
        <v>108</v>
      </c>
      <c r="AL35" s="208" t="s">
        <v>348</v>
      </c>
      <c r="AM35" s="208" t="s">
        <v>109</v>
      </c>
      <c r="AN35" s="208" t="s">
        <v>108</v>
      </c>
      <c r="AO35" s="208" t="s">
        <v>348</v>
      </c>
    </row>
    <row r="36" spans="1:41" x14ac:dyDescent="0.5">
      <c r="A36" s="16">
        <v>1</v>
      </c>
      <c r="B36" s="15">
        <v>46093</v>
      </c>
      <c r="C36" s="19"/>
      <c r="D36" s="19"/>
      <c r="E36" s="19"/>
      <c r="F36" s="19">
        <v>200</v>
      </c>
      <c r="G36" s="19">
        <v>2800</v>
      </c>
      <c r="H36" s="19">
        <v>1792</v>
      </c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>
        <v>50</v>
      </c>
      <c r="Y36" s="19">
        <v>600</v>
      </c>
      <c r="Z36" s="19">
        <v>600</v>
      </c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>
        <f>X36+F36</f>
        <v>250</v>
      </c>
      <c r="AN36" s="19">
        <f>Y36+G36</f>
        <v>3400</v>
      </c>
      <c r="AO36" s="19">
        <f>Z36+H36</f>
        <v>2392</v>
      </c>
    </row>
    <row r="37" spans="1:41" x14ac:dyDescent="0.5">
      <c r="A37" s="16"/>
      <c r="B37" s="15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21"/>
      <c r="P37" s="178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>
        <f t="shared" ref="AM37" si="4">X37+F37</f>
        <v>0</v>
      </c>
      <c r="AN37" s="19">
        <f t="shared" ref="AN37" si="5">Y37+G37</f>
        <v>0</v>
      </c>
      <c r="AO37" s="19">
        <f t="shared" ref="AO37" si="6">Z37+H37</f>
        <v>0</v>
      </c>
    </row>
    <row r="38" spans="1:41" x14ac:dyDescent="0.5">
      <c r="AM38" s="182">
        <f>SUM(AM36:AM37)</f>
        <v>250</v>
      </c>
      <c r="AN38" s="182">
        <f>SUM(AN36:AN37)</f>
        <v>3400</v>
      </c>
      <c r="AO38" s="182">
        <f>SUM(AO36:AO37)</f>
        <v>2392</v>
      </c>
    </row>
  </sheetData>
  <mergeCells count="51">
    <mergeCell ref="A22:B23"/>
    <mergeCell ref="A24:A26"/>
    <mergeCell ref="B24:B26"/>
    <mergeCell ref="C24:AO24"/>
    <mergeCell ref="C25:E25"/>
    <mergeCell ref="F25:H25"/>
    <mergeCell ref="I25:K25"/>
    <mergeCell ref="L25:N25"/>
    <mergeCell ref="O25:Q25"/>
    <mergeCell ref="R25:T25"/>
    <mergeCell ref="U25:W25"/>
    <mergeCell ref="X25:Z25"/>
    <mergeCell ref="AA25:AC25"/>
    <mergeCell ref="AM25:AO25"/>
    <mergeCell ref="AD25:AF25"/>
    <mergeCell ref="AG25:AI25"/>
    <mergeCell ref="A2:B3"/>
    <mergeCell ref="A4:A6"/>
    <mergeCell ref="B4:B6"/>
    <mergeCell ref="C4:AO4"/>
    <mergeCell ref="C5:E5"/>
    <mergeCell ref="F5:H5"/>
    <mergeCell ref="I5:K5"/>
    <mergeCell ref="L5:N5"/>
    <mergeCell ref="O5:Q5"/>
    <mergeCell ref="R5:T5"/>
    <mergeCell ref="AM5:AO5"/>
    <mergeCell ref="U5:W5"/>
    <mergeCell ref="A31:B32"/>
    <mergeCell ref="A33:A35"/>
    <mergeCell ref="B33:B35"/>
    <mergeCell ref="C33:AO33"/>
    <mergeCell ref="C34:E34"/>
    <mergeCell ref="F34:H34"/>
    <mergeCell ref="I34:K34"/>
    <mergeCell ref="L34:N34"/>
    <mergeCell ref="O34:Q34"/>
    <mergeCell ref="R34:T34"/>
    <mergeCell ref="U34:W34"/>
    <mergeCell ref="X34:Z34"/>
    <mergeCell ref="AA34:AC34"/>
    <mergeCell ref="AD34:AF34"/>
    <mergeCell ref="AG34:AI34"/>
    <mergeCell ref="AJ34:AK34"/>
    <mergeCell ref="AM34:AO34"/>
    <mergeCell ref="X5:Z5"/>
    <mergeCell ref="AA5:AC5"/>
    <mergeCell ref="AJ5:AK5"/>
    <mergeCell ref="AD5:AF5"/>
    <mergeCell ref="AG5:AI5"/>
    <mergeCell ref="AJ25:AK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2025 Follow up sales </vt:lpstr>
      <vt:lpstr>FUS-Working</vt:lpstr>
      <vt:lpstr>MLM FU</vt:lpstr>
      <vt:lpstr>Kyaw Star</vt:lpstr>
      <vt:lpstr>Daw Nwe Nwe Yi</vt:lpstr>
      <vt:lpstr>Pyae Hlan</vt:lpstr>
      <vt:lpstr>Ko Myo Aung</vt:lpstr>
      <vt:lpstr>Ko Htike Soe</vt:lpstr>
      <vt:lpstr>U Min Lwin</vt:lpstr>
      <vt:lpstr>Ko Htun Naing</vt:lpstr>
      <vt:lpstr>Daw Htun May</vt:lpstr>
      <vt:lpstr>Shwe Pin Lal</vt:lpstr>
      <vt:lpstr>Ko Nyi Nyi Swe</vt:lpstr>
      <vt:lpstr>Lin Thit</vt:lpstr>
      <vt:lpstr>Ko Mg+Ma Thu Zar</vt:lpstr>
      <vt:lpstr>Moe San Char Li </vt:lpstr>
      <vt:lpstr>Ko Mya Khat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AYE THIRI</dc:creator>
  <cp:lastModifiedBy>User</cp:lastModifiedBy>
  <cp:lastPrinted>2025-03-01T03:58:25Z</cp:lastPrinted>
  <dcterms:created xsi:type="dcterms:W3CDTF">2024-12-18T07:04:30Z</dcterms:created>
  <dcterms:modified xsi:type="dcterms:W3CDTF">2026-03-21T03:47:23Z</dcterms:modified>
</cp:coreProperties>
</file>