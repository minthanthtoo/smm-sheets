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92F644-CFE1-400F-A506-17DC39103E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 Price" sheetId="1" r:id="rId1"/>
    <sheet name="MLM Sales Summary" sheetId="5" r:id="rId2"/>
    <sheet name="MLM OP Debtors" sheetId="3" r:id="rId3"/>
    <sheet name="Daily Sale" sheetId="2" r:id="rId4"/>
  </sheets>
  <definedNames>
    <definedName name="_xlnm._FilterDatabase" localSheetId="3" hidden="1">'Daily Sale'!$A$2:$H$78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6" i="5" l="1"/>
  <c r="AS24" i="5"/>
  <c r="N22" i="3"/>
  <c r="M22" i="3"/>
  <c r="L22" i="3"/>
  <c r="H22" i="3"/>
  <c r="I22" i="3"/>
  <c r="G22" i="3"/>
  <c r="F22" i="3"/>
  <c r="AH26" i="5"/>
  <c r="AI26" i="5"/>
  <c r="AJ26" i="5"/>
  <c r="AK26" i="5"/>
  <c r="AL26" i="5"/>
  <c r="AM26" i="5"/>
  <c r="AN26" i="5"/>
  <c r="AO26" i="5"/>
  <c r="AP26" i="5"/>
  <c r="AQ26" i="5"/>
  <c r="AR26" i="5"/>
  <c r="AG26" i="5"/>
  <c r="AH24" i="5"/>
  <c r="AI24" i="5"/>
  <c r="AJ24" i="5"/>
  <c r="AK24" i="5"/>
  <c r="AL24" i="5"/>
  <c r="AM24" i="5"/>
  <c r="AN24" i="5"/>
  <c r="AO24" i="5"/>
  <c r="AP24" i="5"/>
  <c r="AQ24" i="5"/>
  <c r="AR24" i="5"/>
  <c r="AG24" i="5"/>
  <c r="Y26" i="5"/>
  <c r="Z26" i="5"/>
  <c r="AA26" i="5"/>
  <c r="AB26" i="5"/>
  <c r="AC26" i="5"/>
  <c r="AD26" i="5"/>
  <c r="AE26" i="5"/>
  <c r="X26" i="5"/>
  <c r="Y24" i="5"/>
  <c r="Z24" i="5"/>
  <c r="AA24" i="5"/>
  <c r="AB24" i="5"/>
  <c r="AC24" i="5"/>
  <c r="AD24" i="5"/>
  <c r="AE24" i="5"/>
  <c r="X24" i="5"/>
  <c r="H17" i="3"/>
  <c r="H81" i="2"/>
  <c r="H82" i="2"/>
  <c r="H79" i="2"/>
  <c r="H80" i="2"/>
  <c r="AS25" i="5"/>
  <c r="AS23" i="5"/>
  <c r="AS22" i="5"/>
  <c r="AS21" i="5"/>
  <c r="AS20" i="5"/>
  <c r="AS19" i="5"/>
  <c r="AS18" i="5"/>
  <c r="AS17" i="5"/>
  <c r="AS16" i="5"/>
  <c r="AS15" i="5"/>
  <c r="AS14" i="5"/>
  <c r="AS13" i="5"/>
  <c r="AS12" i="5"/>
  <c r="AS11" i="5"/>
  <c r="AS10" i="5"/>
  <c r="AS9" i="5"/>
  <c r="AS8" i="5"/>
  <c r="AS7" i="5"/>
  <c r="AS6" i="5"/>
  <c r="AS5" i="5"/>
  <c r="AS4" i="5"/>
  <c r="AS3" i="5"/>
  <c r="AE23" i="5"/>
  <c r="H38" i="2"/>
  <c r="F8" i="3"/>
  <c r="AE22" i="5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9" i="2"/>
  <c r="H40" i="2"/>
  <c r="H41" i="2"/>
  <c r="W26" i="5" l="1"/>
  <c r="V26" i="5"/>
  <c r="U26" i="5"/>
  <c r="T26" i="5"/>
  <c r="S26" i="5"/>
  <c r="P26" i="5"/>
  <c r="O26" i="5"/>
  <c r="N26" i="5"/>
  <c r="M26" i="5"/>
  <c r="L26" i="5"/>
  <c r="K26" i="5"/>
  <c r="J26" i="5"/>
  <c r="I26" i="5"/>
  <c r="H26" i="5"/>
  <c r="G26" i="5"/>
  <c r="F26" i="5"/>
  <c r="E26" i="5"/>
  <c r="AE25" i="5"/>
  <c r="Q25" i="5"/>
  <c r="W24" i="5"/>
  <c r="V24" i="5"/>
  <c r="U24" i="5"/>
  <c r="T24" i="5"/>
  <c r="S24" i="5"/>
  <c r="P24" i="5"/>
  <c r="O24" i="5"/>
  <c r="N24" i="5"/>
  <c r="M24" i="5"/>
  <c r="L24" i="5"/>
  <c r="K24" i="5"/>
  <c r="J24" i="5"/>
  <c r="I24" i="5"/>
  <c r="H24" i="5"/>
  <c r="G24" i="5"/>
  <c r="F24" i="5"/>
  <c r="E24" i="5"/>
  <c r="AE21" i="5"/>
  <c r="Q21" i="5"/>
  <c r="AE20" i="5"/>
  <c r="Q20" i="5"/>
  <c r="AE19" i="5"/>
  <c r="Q19" i="5"/>
  <c r="AE18" i="5"/>
  <c r="Q18" i="5"/>
  <c r="AE17" i="5"/>
  <c r="Q17" i="5"/>
  <c r="AE16" i="5"/>
  <c r="Q16" i="5"/>
  <c r="AE15" i="5"/>
  <c r="Q15" i="5"/>
  <c r="AE14" i="5"/>
  <c r="Q14" i="5"/>
  <c r="AE13" i="5"/>
  <c r="Q13" i="5"/>
  <c r="AE12" i="5"/>
  <c r="Q12" i="5"/>
  <c r="AE11" i="5"/>
  <c r="Q11" i="5"/>
  <c r="AE10" i="5"/>
  <c r="Q10" i="5"/>
  <c r="AE9" i="5"/>
  <c r="Q9" i="5"/>
  <c r="AE8" i="5"/>
  <c r="Q8" i="5"/>
  <c r="AE7" i="5"/>
  <c r="Q7" i="5"/>
  <c r="AE6" i="5"/>
  <c r="Q6" i="5"/>
  <c r="AE5" i="5"/>
  <c r="Q5" i="5"/>
  <c r="AE4" i="5"/>
  <c r="Q4" i="5"/>
  <c r="AE3" i="5"/>
  <c r="Q3" i="5"/>
  <c r="F20" i="3"/>
  <c r="H20" i="3" s="1"/>
  <c r="G20" i="3"/>
  <c r="F21" i="3"/>
  <c r="H21" i="3" s="1"/>
  <c r="G21" i="3"/>
  <c r="F18" i="3"/>
  <c r="L18" i="3" s="1"/>
  <c r="N18" i="3" s="1"/>
  <c r="F19" i="3"/>
  <c r="H19" i="3" s="1"/>
  <c r="F12" i="3"/>
  <c r="Q26" i="5" l="1"/>
  <c r="Q24" i="5"/>
  <c r="H18" i="3"/>
  <c r="L21" i="3"/>
  <c r="N21" i="3" s="1"/>
  <c r="L19" i="3"/>
  <c r="N19" i="3" s="1"/>
  <c r="L12" i="3"/>
  <c r="N12" i="3" s="1"/>
  <c r="L20" i="3"/>
  <c r="N20" i="3" s="1"/>
  <c r="I20" i="3"/>
  <c r="I21" i="3"/>
  <c r="H42" i="2" l="1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F5" i="3"/>
  <c r="H5" i="3" s="1"/>
  <c r="L5" i="3" l="1"/>
  <c r="N5" i="3" s="1"/>
  <c r="E22" i="3"/>
  <c r="H8" i="3"/>
  <c r="F6" i="3"/>
  <c r="H6" i="3" s="1"/>
  <c r="G19" i="3"/>
  <c r="I19" i="3" s="1"/>
  <c r="F9" i="3"/>
  <c r="F10" i="3"/>
  <c r="H10" i="3" s="1"/>
  <c r="F11" i="3"/>
  <c r="H11" i="3" s="1"/>
  <c r="F13" i="3"/>
  <c r="F14" i="3"/>
  <c r="F15" i="3"/>
  <c r="F16" i="3"/>
  <c r="F17" i="3"/>
  <c r="F2" i="3"/>
  <c r="F3" i="3"/>
  <c r="F4" i="3"/>
  <c r="H4" i="3" s="1"/>
  <c r="F7" i="3"/>
  <c r="H7" i="3" s="1"/>
  <c r="H2" i="3" l="1"/>
  <c r="L15" i="3"/>
  <c r="N15" i="3" s="1"/>
  <c r="H15" i="3"/>
  <c r="L14" i="3"/>
  <c r="N14" i="3" s="1"/>
  <c r="H14" i="3"/>
  <c r="L9" i="3"/>
  <c r="N9" i="3" s="1"/>
  <c r="H9" i="3"/>
  <c r="L17" i="3"/>
  <c r="N17" i="3" s="1"/>
  <c r="L13" i="3"/>
  <c r="N13" i="3" s="1"/>
  <c r="H13" i="3"/>
  <c r="L6" i="3"/>
  <c r="N6" i="3" s="1"/>
  <c r="L16" i="3"/>
  <c r="N16" i="3" s="1"/>
  <c r="L3" i="3"/>
  <c r="N3" i="3" s="1"/>
  <c r="L11" i="3"/>
  <c r="N11" i="3" s="1"/>
  <c r="L8" i="3"/>
  <c r="N8" i="3" s="1"/>
  <c r="L10" i="3"/>
  <c r="N10" i="3" s="1"/>
  <c r="L7" i="3"/>
  <c r="N7" i="3" s="1"/>
  <c r="L4" i="3"/>
  <c r="N4" i="3" s="1"/>
  <c r="L2" i="3"/>
  <c r="N2" i="3" l="1"/>
  <c r="G17" i="3"/>
  <c r="G10" i="3"/>
  <c r="G13" i="3"/>
  <c r="G14" i="3"/>
  <c r="G15" i="3"/>
  <c r="G18" i="3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I18" i="3" l="1"/>
  <c r="I17" i="3"/>
  <c r="I10" i="3"/>
  <c r="I15" i="3"/>
  <c r="I14" i="3"/>
  <c r="I13" i="3"/>
  <c r="G7" i="3" l="1"/>
  <c r="I7" i="3" s="1"/>
  <c r="G11" i="3"/>
  <c r="I11" i="3" s="1"/>
  <c r="G5" i="3"/>
  <c r="I5" i="3" s="1"/>
  <c r="G12" i="3" l="1"/>
  <c r="I12" i="3" s="1"/>
  <c r="G2" i="3"/>
  <c r="I2" i="3" s="1"/>
  <c r="G6" i="3"/>
  <c r="I6" i="3" s="1"/>
  <c r="G16" i="3"/>
  <c r="I16" i="3" s="1"/>
  <c r="G8" i="3"/>
  <c r="I8" i="3" s="1"/>
  <c r="G9" i="3"/>
  <c r="I9" i="3" s="1"/>
  <c r="G3" i="3"/>
  <c r="I3" i="3" s="1"/>
  <c r="K22" i="3" l="1"/>
  <c r="G4" i="3"/>
  <c r="I4" i="3" s="1"/>
</calcChain>
</file>

<file path=xl/sharedStrings.xml><?xml version="1.0" encoding="utf-8"?>
<sst xmlns="http://schemas.openxmlformats.org/spreadsheetml/2006/main" count="312" uniqueCount="108">
  <si>
    <t>စဉ်</t>
  </si>
  <si>
    <t>အမည်</t>
  </si>
  <si>
    <t>မြို့နယ်</t>
  </si>
  <si>
    <t>ရောင်းဈေး</t>
  </si>
  <si>
    <t>ကုန်ရောင်း
အမျိုးအစား</t>
  </si>
  <si>
    <t>ပြည့်လျှံ</t>
  </si>
  <si>
    <t>ဈေးကြို</t>
  </si>
  <si>
    <t>Cash Sale</t>
  </si>
  <si>
    <t>ကိုထွန်းနိုင်</t>
  </si>
  <si>
    <t>ရေး</t>
  </si>
  <si>
    <t>Credit Sale</t>
  </si>
  <si>
    <t>ကိုမျိုးအောင်</t>
  </si>
  <si>
    <t>Advance Sale</t>
  </si>
  <si>
    <t>ဒေါ်ထွန်းမေ</t>
  </si>
  <si>
    <t>နော်သင်းစုလှိုင်</t>
  </si>
  <si>
    <t>ကျုံဒိုး</t>
  </si>
  <si>
    <t>ရွှေပင်လယ်</t>
  </si>
  <si>
    <t>အစင်</t>
  </si>
  <si>
    <t>ကိုအာနိုး</t>
  </si>
  <si>
    <t>မချော</t>
  </si>
  <si>
    <t>ဇီးဖြူသောင်</t>
  </si>
  <si>
    <t>ဝင်းအောင်ရွှေ</t>
  </si>
  <si>
    <t>ဇာသပြင်</t>
  </si>
  <si>
    <t>ဇော်လင်းမြတ်</t>
  </si>
  <si>
    <t>ဦးဝင်းမြင့်</t>
  </si>
  <si>
    <t>ဖက်တန်း</t>
  </si>
  <si>
    <t>ပျားထန်းစက်ရုံ</t>
  </si>
  <si>
    <t>သံလွင်ဥယျာဉ်</t>
  </si>
  <si>
    <t>မစန္ဒာ</t>
  </si>
  <si>
    <t>ကိုမောင်+မသူဇာ</t>
  </si>
  <si>
    <t>လမိုင်း</t>
  </si>
  <si>
    <t>ဦးမင်းလွင်</t>
  </si>
  <si>
    <t>ဈေးကြီး</t>
  </si>
  <si>
    <t>ကိုဘာဘူ</t>
  </si>
  <si>
    <t>အမိရင်ခွင်</t>
  </si>
  <si>
    <t>မုဒွန်း</t>
  </si>
  <si>
    <t>ဦးအောင်မြင့်</t>
  </si>
  <si>
    <t>ကမာမို</t>
  </si>
  <si>
    <t>ကိုချမ်းသာ</t>
  </si>
  <si>
    <t>မုဒုံ</t>
  </si>
  <si>
    <t>OP Sales Summary for MLM-2024</t>
  </si>
  <si>
    <t>OP Sales Summary for MLM-2025</t>
  </si>
  <si>
    <t>No</t>
  </si>
  <si>
    <t>Type</t>
  </si>
  <si>
    <t>Jan</t>
  </si>
  <si>
    <t>Feb</t>
  </si>
  <si>
    <t>Mar</t>
  </si>
  <si>
    <t>Apr</t>
  </si>
  <si>
    <t>May</t>
  </si>
  <si>
    <t>June</t>
  </si>
  <si>
    <t>July</t>
  </si>
  <si>
    <t>August</t>
  </si>
  <si>
    <t>Sep</t>
  </si>
  <si>
    <t>Oct</t>
  </si>
  <si>
    <t>Nov</t>
  </si>
  <si>
    <t>Dec</t>
  </si>
  <si>
    <t>Total</t>
  </si>
  <si>
    <t>Cash Sales</t>
  </si>
  <si>
    <t>ရွှေသစ်ထွန်း</t>
  </si>
  <si>
    <t>မြိတ်</t>
  </si>
  <si>
    <t xml:space="preserve">ကမာမို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</si>
  <si>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</si>
  <si>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Total Outlet</t>
  </si>
  <si>
    <t>New Outlet</t>
  </si>
  <si>
    <t>MLM</t>
  </si>
  <si>
    <t>.</t>
  </si>
  <si>
    <t>စာရင်းဖွင့်</t>
  </si>
  <si>
    <t>ကုန်ရောင်း
လုံးရေ</t>
  </si>
  <si>
    <t>ကုန်ရောင်း
ရငွေ</t>
  </si>
  <si>
    <t>သွင်းငွေ</t>
  </si>
  <si>
    <t>ကျန်ငွေ</t>
  </si>
  <si>
    <t>စာရင်းဖွင့်
ကော်ခွံ</t>
  </si>
  <si>
    <t>ကုန်ရောင်း
ကော်ခွံ</t>
  </si>
  <si>
    <t>ပြန်ရ
ကော်ခွံ</t>
  </si>
  <si>
    <t>စာရင်းပိတ်
ကော်ခွံ</t>
  </si>
  <si>
    <t>Daily Sale</t>
  </si>
  <si>
    <t>Date</t>
  </si>
  <si>
    <t>Vr No</t>
  </si>
  <si>
    <t>List</t>
  </si>
  <si>
    <t>Rate</t>
  </si>
  <si>
    <t>ကုန်ရောင်း
(လုံး)</t>
  </si>
  <si>
    <t>ကုန်ရောင်း
(ကျပ်)</t>
  </si>
  <si>
    <t>၀ါးအိမ်</t>
  </si>
  <si>
    <t>သိမ်ဇရပ်</t>
  </si>
  <si>
    <t>OP Sales Summary for MLM-2026</t>
  </si>
  <si>
    <t>05600</t>
  </si>
  <si>
    <t>06053</t>
  </si>
  <si>
    <t>06055</t>
  </si>
  <si>
    <t>06068</t>
  </si>
  <si>
    <t>06026</t>
  </si>
  <si>
    <t>06085</t>
  </si>
  <si>
    <t>06158</t>
  </si>
  <si>
    <t>06100</t>
  </si>
  <si>
    <t>06161</t>
  </si>
  <si>
    <t>ဖက်တန်းလမ်း</t>
  </si>
  <si>
    <t>06164</t>
  </si>
  <si>
    <t>06182</t>
  </si>
  <si>
    <t>06193</t>
  </si>
  <si>
    <t>06198</t>
  </si>
  <si>
    <t>06259</t>
  </si>
  <si>
    <t>06261</t>
  </si>
  <si>
    <t>06262</t>
  </si>
  <si>
    <t>06266</t>
  </si>
  <si>
    <t>06280</t>
  </si>
  <si>
    <t>06278</t>
  </si>
  <si>
    <t>06119</t>
  </si>
  <si>
    <t>06293</t>
  </si>
  <si>
    <t>06294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</si>
</sst>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Aptos Narrow"/>
      <family val="2"/>
      <scheme val="minor"/>
    </font>
    <font>
      <b/>
      <sz val="10"/>
      <color theme="1"/>
      <name val="Pyidaungsu"/>
    </font>
    <font>
      <sz val="11"/>
      <color theme="1"/>
      <name val="Pyidaungsu"/>
    </font>
    <font>
      <sz val="10"/>
      <color theme="1"/>
      <name val="Pyidaungsu"/>
    </font>
    <font>
      <b/>
      <u/>
      <sz val="10"/>
      <color theme="1"/>
      <name val="Pyidaungsu"/>
    </font>
    <font>
      <b/>
      <sz val="11"/>
      <color theme="1"/>
      <name val="Pyidaungsu"/>
    </font>
    <font>
      <b/>
      <sz val="10"/>
      <color rgb="FF0070C0"/>
      <name val="Pyidaungsu"/>
    </font>
    <font>
      <b/>
      <sz val="10"/>
      <color rgb="FFFF0000"/>
      <name val="Pyidaungsu"/>
    </font>
    <font>
      <sz val="11"/>
      <color rgb="FFFF0000"/>
      <name val="Pyidaungsu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Pyidaungsu"/>
      <family val="2"/>
    </font>
    <font>
      <sz val="10"/>
      <color theme="1"/>
      <name val="Pyidaungsu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43" fontId="10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2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0" fontId="3" fillId="0" borderId="0" xfId="1" applyFont="1" applyAlignment="1">
      <alignment vertical="center"/>
    </xf>
    <xf numFmtId="41" fontId="3" fillId="0" borderId="0" xfId="1" applyNumberFormat="1" applyFont="1" applyAlignment="1">
      <alignment vertical="center"/>
    </xf>
    <xf numFmtId="41" fontId="3" fillId="0" borderId="0" xfId="3" applyFont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1" fontId="3" fillId="0" borderId="7" xfId="3" applyFont="1" applyBorder="1" applyAlignment="1">
      <alignment vertical="center"/>
    </xf>
    <xf numFmtId="41" fontId="1" fillId="0" borderId="7" xfId="3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41" fontId="3" fillId="0" borderId="8" xfId="3" applyFont="1" applyBorder="1" applyAlignment="1">
      <alignment vertical="center"/>
    </xf>
    <xf numFmtId="41" fontId="1" fillId="0" borderId="8" xfId="3" applyFont="1" applyBorder="1" applyAlignment="1">
      <alignment vertical="center"/>
    </xf>
    <xf numFmtId="0" fontId="3" fillId="0" borderId="8" xfId="1" applyFont="1" applyBorder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41" fontId="3" fillId="0" borderId="8" xfId="3" applyFont="1" applyFill="1" applyBorder="1" applyAlignment="1">
      <alignment vertical="center"/>
    </xf>
    <xf numFmtId="41" fontId="3" fillId="0" borderId="8" xfId="3" applyFont="1" applyBorder="1"/>
    <xf numFmtId="0" fontId="3" fillId="0" borderId="9" xfId="1" applyFont="1" applyBorder="1" applyAlignment="1">
      <alignment horizontal="left" vertical="center" indent="1"/>
    </xf>
    <xf numFmtId="41" fontId="3" fillId="0" borderId="9" xfId="3" applyFont="1" applyBorder="1" applyAlignment="1">
      <alignment vertical="center"/>
    </xf>
    <xf numFmtId="41" fontId="3" fillId="0" borderId="9" xfId="3" applyFont="1" applyBorder="1"/>
    <xf numFmtId="41" fontId="1" fillId="0" borderId="9" xfId="3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horizontal="left" vertical="center" indent="1"/>
    </xf>
    <xf numFmtId="41" fontId="6" fillId="0" borderId="6" xfId="3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 indent="1"/>
    </xf>
    <xf numFmtId="41" fontId="7" fillId="0" borderId="10" xfId="3" applyFont="1" applyBorder="1" applyAlignment="1">
      <alignment vertical="center"/>
    </xf>
    <xf numFmtId="41" fontId="1" fillId="0" borderId="10" xfId="3" applyFont="1" applyBorder="1" applyAlignment="1">
      <alignment vertical="center"/>
    </xf>
    <xf numFmtId="41" fontId="1" fillId="0" borderId="12" xfId="3" applyFont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64" fontId="2" fillId="0" borderId="13" xfId="2" applyNumberFormat="1" applyFont="1" applyBorder="1" applyAlignment="1">
      <alignment horizontal="left" vertical="center"/>
    </xf>
    <xf numFmtId="164" fontId="2" fillId="0" borderId="0" xfId="2" applyNumberFormat="1" applyFont="1"/>
    <xf numFmtId="164" fontId="2" fillId="0" borderId="13" xfId="2" applyNumberFormat="1" applyFont="1" applyBorder="1"/>
    <xf numFmtId="164" fontId="2" fillId="0" borderId="14" xfId="2" applyNumberFormat="1" applyFont="1" applyBorder="1"/>
    <xf numFmtId="164" fontId="8" fillId="0" borderId="13" xfId="2" applyNumberFormat="1" applyFont="1" applyBorder="1"/>
    <xf numFmtId="164" fontId="2" fillId="2" borderId="13" xfId="2" applyNumberFormat="1" applyFont="1" applyFill="1" applyBorder="1"/>
    <xf numFmtId="164" fontId="2" fillId="3" borderId="13" xfId="2" applyNumberFormat="1" applyFont="1" applyFill="1" applyBorder="1"/>
    <xf numFmtId="0" fontId="2" fillId="0" borderId="14" xfId="0" applyFont="1" applyBorder="1" applyAlignment="1">
      <alignment horizontal="center" vertical="center"/>
    </xf>
    <xf numFmtId="164" fontId="2" fillId="2" borderId="14" xfId="2" applyNumberFormat="1" applyFont="1" applyFill="1" applyBorder="1"/>
    <xf numFmtId="164" fontId="2" fillId="3" borderId="14" xfId="2" applyNumberFormat="1" applyFont="1" applyFill="1" applyBorder="1"/>
    <xf numFmtId="164" fontId="2" fillId="0" borderId="14" xfId="2" applyNumberFormat="1" applyFont="1" applyFill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164" fontId="2" fillId="0" borderId="14" xfId="2" applyNumberFormat="1" applyFont="1" applyFill="1" applyBorder="1" applyAlignment="1">
      <alignment horizontal="right" vertical="center"/>
    </xf>
    <xf numFmtId="164" fontId="8" fillId="0" borderId="14" xfId="2" applyNumberFormat="1" applyFont="1" applyBorder="1"/>
    <xf numFmtId="0" fontId="5" fillId="0" borderId="8" xfId="0" applyFont="1" applyBorder="1"/>
    <xf numFmtId="164" fontId="5" fillId="0" borderId="8" xfId="2" applyNumberFormat="1" applyFont="1" applyBorder="1"/>
    <xf numFmtId="164" fontId="5" fillId="2" borderId="8" xfId="2" applyNumberFormat="1" applyFont="1" applyFill="1" applyBorder="1"/>
    <xf numFmtId="164" fontId="5" fillId="3" borderId="8" xfId="2" applyNumberFormat="1" applyFont="1" applyFill="1" applyBorder="1"/>
    <xf numFmtId="0" fontId="5" fillId="0" borderId="0" xfId="0" applyFont="1"/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2" fillId="4" borderId="0" xfId="0" applyFont="1" applyFill="1"/>
    <xf numFmtId="16" fontId="2" fillId="0" borderId="0" xfId="0" applyNumberFormat="1" applyFont="1"/>
    <xf numFmtId="0" fontId="2" fillId="0" borderId="0" xfId="0" quotePrefix="1" applyFont="1"/>
    <xf numFmtId="41" fontId="2" fillId="0" borderId="0" xfId="3" applyFont="1" applyAlignment="1"/>
    <xf numFmtId="41" fontId="2" fillId="0" borderId="0" xfId="4" applyFont="1"/>
    <xf numFmtId="41" fontId="0" fillId="0" borderId="0" xfId="3" applyFont="1"/>
    <xf numFmtId="41" fontId="2" fillId="0" borderId="0" xfId="3" applyFont="1"/>
    <xf numFmtId="43" fontId="2" fillId="0" borderId="0" xfId="2" applyFont="1"/>
    <xf numFmtId="14" fontId="2" fillId="0" borderId="0" xfId="0" applyNumberFormat="1" applyFont="1"/>
    <xf numFmtId="41" fontId="3" fillId="0" borderId="15" xfId="3" applyFont="1" applyBorder="1" applyAlignment="1">
      <alignment vertical="center"/>
    </xf>
    <xf numFmtId="0" fontId="3" fillId="0" borderId="15" xfId="1" applyFont="1" applyBorder="1" applyAlignment="1">
      <alignment horizontal="center" vertical="center"/>
    </xf>
    <xf numFmtId="0" fontId="3" fillId="0" borderId="8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1" fillId="0" borderId="16" xfId="1" applyFont="1" applyBorder="1" applyAlignment="1">
      <alignment vertical="center"/>
    </xf>
    <xf numFmtId="41" fontId="13" fillId="0" borderId="7" xfId="3" applyFont="1" applyBorder="1" applyAlignment="1">
      <alignment vertical="center"/>
    </xf>
    <xf numFmtId="41" fontId="13" fillId="0" borderId="8" xfId="3" applyFont="1" applyBorder="1" applyAlignment="1">
      <alignment vertical="center"/>
    </xf>
    <xf numFmtId="0" fontId="13" fillId="0" borderId="8" xfId="1" applyFont="1" applyBorder="1" applyAlignment="1">
      <alignment horizontal="left" vertical="center" indent="1"/>
    </xf>
    <xf numFmtId="0" fontId="12" fillId="0" borderId="14" xfId="0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0" fontId="12" fillId="0" borderId="0" xfId="0" quotePrefix="1" applyFont="1"/>
    <xf numFmtId="0" fontId="4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</cellXfs>
  <cellStyles count="5">
    <cellStyle name="Comma" xfId="2" builtinId="3"/>
    <cellStyle name="Comma [0]" xfId="4" builtinId="6"/>
    <cellStyle name="Comma [0] 2" xfId="3" xr:uid="{00000000-0005-0000-0000-000003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12" sqref="D12"/>
    </sheetView>
  </sheetViews>
  <sheetFormatPr defaultColWidth="8.85546875" defaultRowHeight="21" x14ac:dyDescent="0.6"/>
  <cols>
    <col min="1" max="1" width="7.85546875" style="3" customWidth="1"/>
    <col min="2" max="2" width="20.85546875" style="3" customWidth="1"/>
    <col min="3" max="3" width="19.85546875" style="3" customWidth="1"/>
    <col min="4" max="4" width="16.85546875" style="3" customWidth="1"/>
    <col min="5" max="5" width="17.140625" style="3" customWidth="1"/>
    <col min="6" max="16384" width="8.85546875" style="3"/>
  </cols>
  <sheetData>
    <row r="1" spans="1:6" ht="42" x14ac:dyDescent="0.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/>
    </row>
    <row r="2" spans="1:6" x14ac:dyDescent="0.6">
      <c r="A2" s="7">
        <v>1</v>
      </c>
      <c r="B2" s="8" t="s">
        <v>5</v>
      </c>
      <c r="C2" s="8" t="s">
        <v>6</v>
      </c>
      <c r="D2" s="9">
        <v>590000</v>
      </c>
      <c r="E2" s="7" t="s">
        <v>7</v>
      </c>
    </row>
    <row r="3" spans="1:6" x14ac:dyDescent="0.6">
      <c r="A3" s="7">
        <v>2</v>
      </c>
      <c r="B3" s="8" t="s">
        <v>8</v>
      </c>
      <c r="C3" s="8" t="s">
        <v>9</v>
      </c>
      <c r="D3" s="9">
        <v>610000</v>
      </c>
      <c r="E3" s="7" t="s">
        <v>10</v>
      </c>
    </row>
    <row r="4" spans="1:6" x14ac:dyDescent="0.6">
      <c r="A4" s="7">
        <v>3</v>
      </c>
      <c r="B4" s="8" t="s">
        <v>11</v>
      </c>
      <c r="C4" s="8" t="s">
        <v>6</v>
      </c>
      <c r="D4" s="9">
        <v>575000</v>
      </c>
      <c r="E4" s="7" t="s">
        <v>12</v>
      </c>
    </row>
    <row r="5" spans="1:6" x14ac:dyDescent="0.6">
      <c r="A5" s="7">
        <v>4</v>
      </c>
      <c r="B5" s="8" t="s">
        <v>13</v>
      </c>
      <c r="C5" s="8" t="s">
        <v>6</v>
      </c>
      <c r="D5" s="9">
        <v>605000</v>
      </c>
      <c r="E5" s="7"/>
    </row>
    <row r="6" spans="1:6" x14ac:dyDescent="0.6">
      <c r="A6" s="7">
        <v>5</v>
      </c>
      <c r="B6" s="8" t="s">
        <v>14</v>
      </c>
      <c r="C6" s="8" t="s">
        <v>15</v>
      </c>
      <c r="D6" s="9">
        <v>600000</v>
      </c>
      <c r="E6" s="7"/>
    </row>
    <row r="7" spans="1:6" x14ac:dyDescent="0.6">
      <c r="A7" s="7">
        <v>6</v>
      </c>
      <c r="B7" s="8" t="s">
        <v>16</v>
      </c>
      <c r="C7" s="8" t="s">
        <v>17</v>
      </c>
      <c r="D7" s="9">
        <v>615000</v>
      </c>
      <c r="E7" s="7"/>
    </row>
    <row r="8" spans="1:6" x14ac:dyDescent="0.6">
      <c r="A8" s="7">
        <v>7</v>
      </c>
      <c r="B8" s="8" t="s">
        <v>18</v>
      </c>
      <c r="C8" s="8" t="s">
        <v>9</v>
      </c>
      <c r="D8" s="9">
        <v>615000</v>
      </c>
      <c r="E8" s="7"/>
    </row>
    <row r="9" spans="1:6" x14ac:dyDescent="0.6">
      <c r="A9" s="7">
        <v>8</v>
      </c>
      <c r="B9" s="8" t="s">
        <v>19</v>
      </c>
      <c r="C9" s="8" t="s">
        <v>20</v>
      </c>
      <c r="D9" s="9">
        <v>605000</v>
      </c>
      <c r="E9" s="7"/>
    </row>
    <row r="10" spans="1:6" x14ac:dyDescent="0.6">
      <c r="A10" s="7">
        <v>9</v>
      </c>
      <c r="B10" s="8" t="s">
        <v>21</v>
      </c>
      <c r="C10" s="8" t="s">
        <v>22</v>
      </c>
      <c r="D10" s="9">
        <v>590000</v>
      </c>
      <c r="E10" s="7"/>
    </row>
    <row r="11" spans="1:6" x14ac:dyDescent="0.6">
      <c r="A11" s="7">
        <v>10</v>
      </c>
      <c r="B11" s="8" t="s">
        <v>23</v>
      </c>
      <c r="C11" s="8" t="s">
        <v>20</v>
      </c>
      <c r="D11" s="9">
        <v>615000</v>
      </c>
      <c r="E11" s="7"/>
    </row>
    <row r="12" spans="1:6" x14ac:dyDescent="0.6">
      <c r="A12" s="7">
        <v>11</v>
      </c>
      <c r="B12" s="8" t="s">
        <v>24</v>
      </c>
      <c r="C12" s="8" t="s">
        <v>25</v>
      </c>
      <c r="D12" s="9">
        <v>610000</v>
      </c>
      <c r="E12" s="7"/>
    </row>
    <row r="13" spans="1:6" x14ac:dyDescent="0.6">
      <c r="A13" s="7">
        <v>12</v>
      </c>
      <c r="B13" s="8" t="s">
        <v>26</v>
      </c>
      <c r="C13" s="8" t="s">
        <v>27</v>
      </c>
      <c r="D13" s="9">
        <v>590000</v>
      </c>
      <c r="E13" s="7"/>
    </row>
    <row r="14" spans="1:6" x14ac:dyDescent="0.6">
      <c r="A14" s="7">
        <v>13</v>
      </c>
      <c r="B14" s="8" t="s">
        <v>28</v>
      </c>
      <c r="C14" s="8" t="s">
        <v>22</v>
      </c>
      <c r="D14" s="9">
        <v>620000</v>
      </c>
      <c r="E14" s="7"/>
    </row>
    <row r="15" spans="1:6" x14ac:dyDescent="0.6">
      <c r="A15" s="7">
        <v>14</v>
      </c>
      <c r="B15" s="8" t="s">
        <v>29</v>
      </c>
      <c r="C15" s="8" t="s">
        <v>30</v>
      </c>
      <c r="D15" s="9">
        <v>615000</v>
      </c>
      <c r="E15" s="7"/>
    </row>
    <row r="16" spans="1:6" x14ac:dyDescent="0.6">
      <c r="A16" s="7">
        <v>15</v>
      </c>
      <c r="B16" s="8" t="s">
        <v>31</v>
      </c>
      <c r="C16" s="8" t="s">
        <v>32</v>
      </c>
      <c r="D16" s="9">
        <v>595000</v>
      </c>
      <c r="E16" s="7"/>
    </row>
    <row r="17" spans="1:5" x14ac:dyDescent="0.6">
      <c r="A17" s="7">
        <v>16</v>
      </c>
      <c r="B17" s="8" t="s">
        <v>33</v>
      </c>
      <c r="C17" s="8" t="s">
        <v>22</v>
      </c>
      <c r="D17" s="9">
        <v>620000</v>
      </c>
      <c r="E17" s="7"/>
    </row>
    <row r="18" spans="1:5" x14ac:dyDescent="0.6">
      <c r="A18" s="7">
        <v>17</v>
      </c>
      <c r="B18" s="8" t="s">
        <v>34</v>
      </c>
      <c r="C18" s="8" t="s">
        <v>35</v>
      </c>
      <c r="D18" s="9">
        <v>620000</v>
      </c>
      <c r="E18" s="7"/>
    </row>
    <row r="19" spans="1:5" x14ac:dyDescent="0.6">
      <c r="A19" s="7">
        <v>18</v>
      </c>
      <c r="B19" s="8" t="s">
        <v>36</v>
      </c>
      <c r="C19" s="8" t="s">
        <v>37</v>
      </c>
      <c r="D19" s="9">
        <v>620000</v>
      </c>
      <c r="E19" s="7"/>
    </row>
    <row r="20" spans="1:5" x14ac:dyDescent="0.6">
      <c r="A20" s="7">
        <v>19</v>
      </c>
      <c r="B20" s="10" t="s">
        <v>38</v>
      </c>
      <c r="C20" s="10" t="s">
        <v>39</v>
      </c>
      <c r="D20" s="9">
        <v>615000</v>
      </c>
    </row>
    <row r="21" spans="1:5" x14ac:dyDescent="0.6">
      <c r="A21" s="7">
        <v>20</v>
      </c>
      <c r="B21" s="8" t="s">
        <v>82</v>
      </c>
      <c r="C21" s="8" t="s">
        <v>83</v>
      </c>
      <c r="D21" s="9">
        <v>625000</v>
      </c>
      <c r="E21" s="7"/>
    </row>
  </sheetData>
  <dataValidations count="1">
    <dataValidation type="list" allowBlank="1" showInputMessage="1" showErrorMessage="1" sqref="B12" xr:uid="{00000000-0002-0000-0000-000000000000}">
      <formula1>$B:$B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S29"/>
  <sheetViews>
    <sheetView tabSelected="1" zoomScaleNormal="100" workbookViewId="0">
      <pane xSplit="3" ySplit="2" topLeftCell="W3" activePane="bottomRight" state="frozen"/>
      <selection pane="topRight" activeCell="D1" sqref="D1"/>
      <selection pane="bottomLeft" activeCell="A3" sqref="A3"/>
      <selection pane="bottomRight" activeCell="AS27" sqref="AS27"/>
    </sheetView>
  </sheetViews>
  <sheetFormatPr defaultColWidth="9.140625" defaultRowHeight="18" outlineLevelRow="1" x14ac:dyDescent="0.25"/>
  <cols>
    <col min="1" max="1" width="6.85546875" style="11" customWidth="1"/>
    <col min="2" max="2" width="22" style="11" bestFit="1" customWidth="1"/>
    <col min="3" max="3" width="17.42578125" style="11" customWidth="1"/>
    <col min="4" max="4" width="0.28515625" style="11" hidden="1" customWidth="1"/>
    <col min="5" max="5" width="7.42578125" style="12" customWidth="1"/>
    <col min="6" max="7" width="9.140625" style="12"/>
    <col min="8" max="9" width="9.140625" style="11"/>
    <col min="10" max="10" width="10.140625" style="11" customWidth="1"/>
    <col min="11" max="11" width="10" style="13" customWidth="1"/>
    <col min="12" max="12" width="9.140625" style="13"/>
    <col min="13" max="17" width="9.140625" style="11"/>
    <col min="18" max="18" width="4.140625" style="11" customWidth="1"/>
    <col min="19" max="19" width="10.5703125" style="12" customWidth="1"/>
    <col min="20" max="21" width="9.140625" style="12"/>
    <col min="22" max="23" width="9.140625" style="11"/>
    <col min="24" max="24" width="10.140625" style="11" customWidth="1"/>
    <col min="25" max="25" width="10" style="13" customWidth="1"/>
    <col min="26" max="26" width="9.140625" style="13"/>
    <col min="27" max="31" width="9.140625" style="11"/>
    <col min="32" max="32" width="5" style="11" customWidth="1"/>
    <col min="33" max="16384" width="9.140625" style="11"/>
  </cols>
  <sheetData>
    <row r="1" spans="1:45" ht="18.75" thickBot="1" x14ac:dyDescent="0.3">
      <c r="A1" s="91" t="s">
        <v>40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S1" s="92" t="s">
        <v>41</v>
      </c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 t="s">
        <v>84</v>
      </c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</row>
    <row r="2" spans="1:45" s="1" customFormat="1" ht="21.75" thickBot="1" x14ac:dyDescent="0.3">
      <c r="A2" s="14" t="s">
        <v>42</v>
      </c>
      <c r="B2" s="15" t="s">
        <v>1</v>
      </c>
      <c r="C2" s="16" t="s">
        <v>2</v>
      </c>
      <c r="D2" s="17" t="s">
        <v>43</v>
      </c>
      <c r="E2" s="18" t="s">
        <v>44</v>
      </c>
      <c r="F2" s="18" t="s">
        <v>45</v>
      </c>
      <c r="G2" s="18" t="s">
        <v>46</v>
      </c>
      <c r="H2" s="18" t="s">
        <v>47</v>
      </c>
      <c r="I2" s="18" t="s">
        <v>48</v>
      </c>
      <c r="J2" s="18" t="s">
        <v>49</v>
      </c>
      <c r="K2" s="18" t="s">
        <v>50</v>
      </c>
      <c r="L2" s="18" t="s">
        <v>51</v>
      </c>
      <c r="M2" s="18" t="s">
        <v>52</v>
      </c>
      <c r="N2" s="18" t="s">
        <v>53</v>
      </c>
      <c r="O2" s="18" t="s">
        <v>54</v>
      </c>
      <c r="P2" s="18" t="s">
        <v>55</v>
      </c>
      <c r="Q2" s="18" t="s">
        <v>56</v>
      </c>
      <c r="R2" s="19"/>
      <c r="S2" s="18" t="s">
        <v>44</v>
      </c>
      <c r="T2" s="18" t="s">
        <v>45</v>
      </c>
      <c r="U2" s="18" t="s">
        <v>46</v>
      </c>
      <c r="V2" s="18" t="s">
        <v>47</v>
      </c>
      <c r="W2" s="18" t="s">
        <v>48</v>
      </c>
      <c r="X2" s="18" t="s">
        <v>49</v>
      </c>
      <c r="Y2" s="18" t="s">
        <v>50</v>
      </c>
      <c r="Z2" s="18" t="s">
        <v>51</v>
      </c>
      <c r="AA2" s="18" t="s">
        <v>52</v>
      </c>
      <c r="AB2" s="18" t="s">
        <v>53</v>
      </c>
      <c r="AC2" s="18" t="s">
        <v>54</v>
      </c>
      <c r="AD2" s="18" t="s">
        <v>55</v>
      </c>
      <c r="AE2" s="18" t="s">
        <v>56</v>
      </c>
      <c r="AG2" s="18" t="s">
        <v>44</v>
      </c>
      <c r="AH2" s="18" t="s">
        <v>45</v>
      </c>
      <c r="AI2" s="18" t="s">
        <v>46</v>
      </c>
      <c r="AJ2" s="18" t="s">
        <v>47</v>
      </c>
      <c r="AK2" s="18" t="s">
        <v>48</v>
      </c>
      <c r="AL2" s="18" t="s">
        <v>49</v>
      </c>
      <c r="AM2" s="18" t="s">
        <v>50</v>
      </c>
      <c r="AN2" s="18" t="s">
        <v>51</v>
      </c>
      <c r="AO2" s="18" t="s">
        <v>52</v>
      </c>
      <c r="AP2" s="18" t="s">
        <v>53</v>
      </c>
      <c r="AQ2" s="18" t="s">
        <v>54</v>
      </c>
      <c r="AR2" s="18" t="s">
        <v>55</v>
      </c>
      <c r="AS2" s="18" t="s">
        <v>56</v>
      </c>
    </row>
    <row r="3" spans="1:45" outlineLevel="1" x14ac:dyDescent="0.25">
      <c r="A3" s="20">
        <v>1</v>
      </c>
      <c r="B3" s="84" t="s">
        <v>5</v>
      </c>
      <c r="C3" s="21" t="s">
        <v>6</v>
      </c>
      <c r="D3" s="21" t="s">
        <v>57</v>
      </c>
      <c r="E3" s="21"/>
      <c r="F3" s="21"/>
      <c r="G3" s="21"/>
      <c r="H3" s="21"/>
      <c r="I3" s="21"/>
      <c r="J3" s="21">
        <v>25</v>
      </c>
      <c r="K3" s="21"/>
      <c r="L3" s="21">
        <v>50</v>
      </c>
      <c r="M3" s="21">
        <v>20</v>
      </c>
      <c r="N3" s="21">
        <v>25</v>
      </c>
      <c r="O3" s="21">
        <v>30</v>
      </c>
      <c r="P3" s="21">
        <v>10</v>
      </c>
      <c r="Q3" s="22">
        <f t="shared" ref="Q3:Q25" si="0">SUM(E3:P3)</f>
        <v>160</v>
      </c>
      <c r="S3" s="21">
        <v>23</v>
      </c>
      <c r="T3" s="21"/>
      <c r="U3" s="21">
        <v>5</v>
      </c>
      <c r="V3" s="21">
        <v>10</v>
      </c>
      <c r="W3" s="21">
        <v>50</v>
      </c>
      <c r="X3" s="21">
        <v>50</v>
      </c>
      <c r="Y3" s="21"/>
      <c r="Z3" s="21"/>
      <c r="AA3" s="21">
        <v>100</v>
      </c>
      <c r="AB3" s="21">
        <v>100</v>
      </c>
      <c r="AC3" s="21"/>
      <c r="AD3" s="21">
        <v>100</v>
      </c>
      <c r="AE3" s="22">
        <f t="shared" ref="AE3:AE22" si="1">SUM(S3:AD3)</f>
        <v>438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2">
        <f t="shared" ref="AS3:AS22" si="2">SUM(AG3:AR3)</f>
        <v>0</v>
      </c>
    </row>
    <row r="4" spans="1:45" outlineLevel="1" x14ac:dyDescent="0.25">
      <c r="A4" s="23">
        <v>2</v>
      </c>
      <c r="B4" s="85" t="s">
        <v>8</v>
      </c>
      <c r="C4" s="24" t="s">
        <v>9</v>
      </c>
      <c r="D4" s="21" t="s">
        <v>57</v>
      </c>
      <c r="E4" s="24"/>
      <c r="F4" s="21"/>
      <c r="G4" s="24"/>
      <c r="H4" s="24"/>
      <c r="I4" s="24"/>
      <c r="J4" s="24"/>
      <c r="K4" s="21"/>
      <c r="L4" s="24"/>
      <c r="M4" s="24"/>
      <c r="N4" s="24"/>
      <c r="O4" s="24"/>
      <c r="P4" s="24"/>
      <c r="Q4" s="25">
        <f t="shared" si="0"/>
        <v>0</v>
      </c>
      <c r="S4" s="24">
        <v>1</v>
      </c>
      <c r="T4" s="21">
        <v>16</v>
      </c>
      <c r="U4" s="24">
        <v>10</v>
      </c>
      <c r="V4" s="24">
        <v>4</v>
      </c>
      <c r="W4" s="24">
        <v>7</v>
      </c>
      <c r="X4" s="24">
        <v>3</v>
      </c>
      <c r="Y4" s="21">
        <v>2</v>
      </c>
      <c r="Z4" s="24">
        <v>4</v>
      </c>
      <c r="AA4" s="24">
        <v>2</v>
      </c>
      <c r="AB4" s="24">
        <v>7</v>
      </c>
      <c r="AC4" s="24"/>
      <c r="AD4" s="24"/>
      <c r="AE4" s="25">
        <f t="shared" si="1"/>
        <v>56</v>
      </c>
      <c r="AG4" s="24">
        <v>2</v>
      </c>
      <c r="AH4" s="21">
        <v>4</v>
      </c>
      <c r="AI4" s="24">
        <v>3</v>
      </c>
      <c r="AJ4" s="24"/>
      <c r="AK4" s="24"/>
      <c r="AL4" s="24"/>
      <c r="AM4" s="21"/>
      <c r="AN4" s="24"/>
      <c r="AO4" s="24"/>
      <c r="AP4" s="24"/>
      <c r="AQ4" s="24"/>
      <c r="AR4" s="24"/>
      <c r="AS4" s="25">
        <f t="shared" si="2"/>
        <v>9</v>
      </c>
    </row>
    <row r="5" spans="1:45" outlineLevel="1" x14ac:dyDescent="0.25">
      <c r="A5" s="20">
        <v>3</v>
      </c>
      <c r="B5" s="85" t="s">
        <v>11</v>
      </c>
      <c r="C5" s="24" t="s">
        <v>6</v>
      </c>
      <c r="D5" s="21" t="s">
        <v>57</v>
      </c>
      <c r="E5" s="24"/>
      <c r="F5" s="24"/>
      <c r="G5" s="21"/>
      <c r="H5" s="24"/>
      <c r="I5" s="24"/>
      <c r="J5" s="24"/>
      <c r="K5" s="24"/>
      <c r="L5" s="21"/>
      <c r="M5" s="24"/>
      <c r="N5" s="24"/>
      <c r="O5" s="24">
        <v>28</v>
      </c>
      <c r="P5" s="24">
        <v>20</v>
      </c>
      <c r="Q5" s="25">
        <f t="shared" si="0"/>
        <v>48</v>
      </c>
      <c r="S5" s="24">
        <v>18</v>
      </c>
      <c r="T5" s="24">
        <v>21</v>
      </c>
      <c r="U5" s="21">
        <v>23</v>
      </c>
      <c r="V5" s="24">
        <v>17</v>
      </c>
      <c r="W5" s="24">
        <v>22</v>
      </c>
      <c r="X5" s="24">
        <v>31</v>
      </c>
      <c r="Y5" s="24">
        <v>16</v>
      </c>
      <c r="Z5" s="21">
        <v>18</v>
      </c>
      <c r="AA5" s="24">
        <v>22</v>
      </c>
      <c r="AB5" s="24">
        <v>20</v>
      </c>
      <c r="AC5" s="24">
        <v>19</v>
      </c>
      <c r="AD5" s="24">
        <v>16</v>
      </c>
      <c r="AE5" s="25">
        <f t="shared" si="1"/>
        <v>243</v>
      </c>
      <c r="AG5" s="24">
        <v>16</v>
      </c>
      <c r="AH5" s="24">
        <v>15</v>
      </c>
      <c r="AI5" s="21">
        <v>5</v>
      </c>
      <c r="AJ5" s="24"/>
      <c r="AK5" s="24"/>
      <c r="AL5" s="24"/>
      <c r="AM5" s="24"/>
      <c r="AN5" s="21"/>
      <c r="AO5" s="24"/>
      <c r="AP5" s="24"/>
      <c r="AQ5" s="24"/>
      <c r="AR5" s="24"/>
      <c r="AS5" s="25">
        <f t="shared" si="2"/>
        <v>36</v>
      </c>
    </row>
    <row r="6" spans="1:45" outlineLevel="1" x14ac:dyDescent="0.25">
      <c r="A6" s="23">
        <v>4</v>
      </c>
      <c r="B6" s="85" t="s">
        <v>13</v>
      </c>
      <c r="C6" s="24" t="s">
        <v>6</v>
      </c>
      <c r="D6" s="21" t="s">
        <v>57</v>
      </c>
      <c r="E6" s="24"/>
      <c r="F6" s="24"/>
      <c r="G6" s="24"/>
      <c r="H6" s="21"/>
      <c r="I6" s="21"/>
      <c r="J6" s="24"/>
      <c r="K6" s="24"/>
      <c r="L6" s="24"/>
      <c r="M6" s="21">
        <v>10</v>
      </c>
      <c r="N6" s="21"/>
      <c r="O6" s="24">
        <v>5</v>
      </c>
      <c r="P6" s="24"/>
      <c r="Q6" s="25">
        <f t="shared" si="0"/>
        <v>15</v>
      </c>
      <c r="S6" s="24"/>
      <c r="T6" s="24"/>
      <c r="U6" s="24"/>
      <c r="V6" s="21"/>
      <c r="W6" s="21">
        <v>15</v>
      </c>
      <c r="X6" s="24"/>
      <c r="Y6" s="24"/>
      <c r="Z6" s="24"/>
      <c r="AA6" s="21"/>
      <c r="AB6" s="21"/>
      <c r="AC6" s="24"/>
      <c r="AD6" s="24"/>
      <c r="AE6" s="25">
        <f t="shared" si="1"/>
        <v>15</v>
      </c>
      <c r="AG6" s="24"/>
      <c r="AH6" s="24"/>
      <c r="AI6" s="24"/>
      <c r="AJ6" s="21"/>
      <c r="AK6" s="21"/>
      <c r="AL6" s="24"/>
      <c r="AM6" s="24"/>
      <c r="AN6" s="24"/>
      <c r="AO6" s="21"/>
      <c r="AP6" s="21"/>
      <c r="AQ6" s="24"/>
      <c r="AR6" s="24"/>
      <c r="AS6" s="25">
        <f t="shared" si="2"/>
        <v>0</v>
      </c>
    </row>
    <row r="7" spans="1:45" outlineLevel="1" x14ac:dyDescent="0.25">
      <c r="A7" s="20">
        <v>5</v>
      </c>
      <c r="B7" s="84" t="s">
        <v>14</v>
      </c>
      <c r="C7" s="21" t="s">
        <v>15</v>
      </c>
      <c r="D7" s="21" t="s">
        <v>57</v>
      </c>
      <c r="E7" s="24"/>
      <c r="F7" s="24"/>
      <c r="G7" s="24"/>
      <c r="H7" s="24"/>
      <c r="I7" s="21">
        <v>5</v>
      </c>
      <c r="J7" s="24"/>
      <c r="K7" s="24"/>
      <c r="L7" s="24">
        <v>72</v>
      </c>
      <c r="M7" s="24">
        <v>150</v>
      </c>
      <c r="N7" s="21">
        <v>170</v>
      </c>
      <c r="O7" s="24">
        <v>130</v>
      </c>
      <c r="P7" s="24">
        <v>180</v>
      </c>
      <c r="Q7" s="25">
        <f t="shared" si="0"/>
        <v>707</v>
      </c>
      <c r="S7" s="24">
        <v>185</v>
      </c>
      <c r="T7" s="24">
        <v>140</v>
      </c>
      <c r="U7" s="24">
        <v>135</v>
      </c>
      <c r="V7" s="24">
        <v>120</v>
      </c>
      <c r="W7" s="21">
        <v>15</v>
      </c>
      <c r="X7" s="24"/>
      <c r="Y7" s="24">
        <v>15</v>
      </c>
      <c r="Z7" s="24">
        <v>75</v>
      </c>
      <c r="AA7" s="24">
        <v>75</v>
      </c>
      <c r="AB7" s="21">
        <v>120</v>
      </c>
      <c r="AC7" s="24">
        <v>60</v>
      </c>
      <c r="AD7" s="24">
        <v>78</v>
      </c>
      <c r="AE7" s="25">
        <f t="shared" si="1"/>
        <v>1018</v>
      </c>
      <c r="AG7" s="24">
        <v>75</v>
      </c>
      <c r="AH7" s="24">
        <v>60</v>
      </c>
      <c r="AI7" s="24">
        <v>15</v>
      </c>
      <c r="AJ7" s="24"/>
      <c r="AK7" s="21"/>
      <c r="AL7" s="24"/>
      <c r="AM7" s="24"/>
      <c r="AN7" s="24"/>
      <c r="AO7" s="24"/>
      <c r="AP7" s="21"/>
      <c r="AQ7" s="24"/>
      <c r="AR7" s="24"/>
      <c r="AS7" s="25">
        <f t="shared" si="2"/>
        <v>150</v>
      </c>
    </row>
    <row r="8" spans="1:45" outlineLevel="1" x14ac:dyDescent="0.25">
      <c r="A8" s="23">
        <v>6</v>
      </c>
      <c r="B8" s="85" t="s">
        <v>18</v>
      </c>
      <c r="C8" s="24" t="s">
        <v>9</v>
      </c>
      <c r="D8" s="21" t="s">
        <v>57</v>
      </c>
      <c r="E8" s="24"/>
      <c r="F8" s="24"/>
      <c r="G8" s="24"/>
      <c r="H8" s="24"/>
      <c r="I8" s="24"/>
      <c r="J8" s="24"/>
      <c r="K8" s="24"/>
      <c r="L8" s="24">
        <v>14</v>
      </c>
      <c r="M8" s="24"/>
      <c r="N8" s="24">
        <v>3</v>
      </c>
      <c r="O8" s="24">
        <v>2</v>
      </c>
      <c r="P8" s="24">
        <v>12</v>
      </c>
      <c r="Q8" s="25">
        <f t="shared" si="0"/>
        <v>31</v>
      </c>
      <c r="S8" s="24">
        <v>16</v>
      </c>
      <c r="T8" s="24">
        <v>9</v>
      </c>
      <c r="U8" s="24"/>
      <c r="V8" s="24">
        <v>2</v>
      </c>
      <c r="W8" s="24">
        <v>3</v>
      </c>
      <c r="X8" s="24">
        <v>2</v>
      </c>
      <c r="Y8" s="24"/>
      <c r="Z8" s="24">
        <v>2</v>
      </c>
      <c r="AA8" s="24">
        <v>2</v>
      </c>
      <c r="AB8" s="24"/>
      <c r="AC8" s="24"/>
      <c r="AD8" s="24">
        <v>1</v>
      </c>
      <c r="AE8" s="25">
        <f t="shared" si="1"/>
        <v>37</v>
      </c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5">
        <f t="shared" si="2"/>
        <v>0</v>
      </c>
    </row>
    <row r="9" spans="1:45" outlineLevel="1" x14ac:dyDescent="0.25">
      <c r="A9" s="20">
        <v>7</v>
      </c>
      <c r="B9" s="85" t="s">
        <v>19</v>
      </c>
      <c r="C9" s="24" t="s">
        <v>20</v>
      </c>
      <c r="D9" s="21" t="s">
        <v>57</v>
      </c>
      <c r="E9" s="24"/>
      <c r="F9" s="24"/>
      <c r="G9" s="24"/>
      <c r="H9" s="24"/>
      <c r="I9" s="24">
        <v>7</v>
      </c>
      <c r="J9" s="24"/>
      <c r="K9" s="24"/>
      <c r="L9" s="24"/>
      <c r="M9" s="24">
        <v>4</v>
      </c>
      <c r="N9" s="24"/>
      <c r="O9" s="24"/>
      <c r="P9" s="24"/>
      <c r="Q9" s="25">
        <f t="shared" si="0"/>
        <v>11</v>
      </c>
      <c r="S9" s="24">
        <v>5</v>
      </c>
      <c r="T9" s="24"/>
      <c r="U9" s="24">
        <v>5</v>
      </c>
      <c r="V9" s="24"/>
      <c r="W9" s="24">
        <v>5</v>
      </c>
      <c r="X9" s="24">
        <v>5</v>
      </c>
      <c r="Y9" s="24"/>
      <c r="Z9" s="24">
        <v>5</v>
      </c>
      <c r="AA9" s="24">
        <v>7</v>
      </c>
      <c r="AB9" s="24"/>
      <c r="AC9" s="24"/>
      <c r="AD9" s="24"/>
      <c r="AE9" s="25">
        <f t="shared" si="1"/>
        <v>32</v>
      </c>
      <c r="AG9" s="24">
        <v>5</v>
      </c>
      <c r="AH9" s="24">
        <v>5</v>
      </c>
      <c r="AI9" s="24">
        <v>5</v>
      </c>
      <c r="AJ9" s="24"/>
      <c r="AK9" s="24"/>
      <c r="AL9" s="24"/>
      <c r="AM9" s="24"/>
      <c r="AN9" s="24"/>
      <c r="AO9" s="24"/>
      <c r="AP9" s="24"/>
      <c r="AQ9" s="24"/>
      <c r="AR9" s="24"/>
      <c r="AS9" s="25">
        <f t="shared" si="2"/>
        <v>15</v>
      </c>
    </row>
    <row r="10" spans="1:45" outlineLevel="1" x14ac:dyDescent="0.25">
      <c r="A10" s="23">
        <v>8</v>
      </c>
      <c r="B10" s="85" t="s">
        <v>21</v>
      </c>
      <c r="C10" s="24" t="s">
        <v>22</v>
      </c>
      <c r="D10" s="21" t="s">
        <v>57</v>
      </c>
      <c r="E10" s="21"/>
      <c r="F10" s="24"/>
      <c r="G10" s="24"/>
      <c r="H10" s="24"/>
      <c r="I10" s="24"/>
      <c r="J10" s="21">
        <v>1</v>
      </c>
      <c r="K10" s="24"/>
      <c r="L10" s="24"/>
      <c r="M10" s="24">
        <v>1</v>
      </c>
      <c r="N10" s="24"/>
      <c r="O10" s="24">
        <v>1</v>
      </c>
      <c r="P10" s="24">
        <v>1</v>
      </c>
      <c r="Q10" s="25">
        <f t="shared" si="0"/>
        <v>4</v>
      </c>
      <c r="S10" s="21"/>
      <c r="T10" s="24">
        <v>2</v>
      </c>
      <c r="U10" s="24"/>
      <c r="V10" s="24"/>
      <c r="W10" s="24"/>
      <c r="X10" s="21"/>
      <c r="Y10" s="24"/>
      <c r="Z10" s="24"/>
      <c r="AA10" s="24">
        <v>1</v>
      </c>
      <c r="AB10" s="24">
        <v>1</v>
      </c>
      <c r="AC10" s="24"/>
      <c r="AD10" s="24">
        <v>2</v>
      </c>
      <c r="AE10" s="25">
        <f t="shared" si="1"/>
        <v>6</v>
      </c>
      <c r="AG10" s="21">
        <v>1</v>
      </c>
      <c r="AH10" s="24">
        <v>1</v>
      </c>
      <c r="AI10" s="24">
        <v>1</v>
      </c>
      <c r="AJ10" s="24"/>
      <c r="AK10" s="24"/>
      <c r="AL10" s="21"/>
      <c r="AM10" s="24"/>
      <c r="AN10" s="24"/>
      <c r="AO10" s="24"/>
      <c r="AP10" s="24"/>
      <c r="AQ10" s="24"/>
      <c r="AR10" s="24"/>
      <c r="AS10" s="25">
        <f t="shared" si="2"/>
        <v>3</v>
      </c>
    </row>
    <row r="11" spans="1:45" outlineLevel="1" x14ac:dyDescent="0.25">
      <c r="A11" s="20">
        <v>9</v>
      </c>
      <c r="B11" s="84" t="s">
        <v>23</v>
      </c>
      <c r="C11" s="21" t="s">
        <v>20</v>
      </c>
      <c r="D11" s="21" t="s">
        <v>57</v>
      </c>
      <c r="E11" s="24"/>
      <c r="F11" s="21"/>
      <c r="G11" s="24"/>
      <c r="H11" s="24"/>
      <c r="I11" s="24">
        <v>2</v>
      </c>
      <c r="J11" s="24">
        <v>2</v>
      </c>
      <c r="K11" s="21">
        <v>2</v>
      </c>
      <c r="L11" s="24">
        <v>3</v>
      </c>
      <c r="M11" s="24">
        <v>4</v>
      </c>
      <c r="N11" s="24"/>
      <c r="O11" s="24">
        <v>4</v>
      </c>
      <c r="P11" s="24">
        <v>2</v>
      </c>
      <c r="Q11" s="25">
        <f t="shared" si="0"/>
        <v>19</v>
      </c>
      <c r="S11" s="24"/>
      <c r="T11" s="21">
        <v>2</v>
      </c>
      <c r="U11" s="24">
        <v>7</v>
      </c>
      <c r="V11" s="24">
        <v>5</v>
      </c>
      <c r="W11" s="24">
        <v>4</v>
      </c>
      <c r="X11" s="24">
        <v>1</v>
      </c>
      <c r="Y11" s="21">
        <v>1</v>
      </c>
      <c r="Z11" s="24">
        <v>2</v>
      </c>
      <c r="AA11" s="24">
        <v>1</v>
      </c>
      <c r="AB11" s="24">
        <v>1</v>
      </c>
      <c r="AC11" s="24"/>
      <c r="AD11" s="24">
        <v>2</v>
      </c>
      <c r="AE11" s="25">
        <f t="shared" si="1"/>
        <v>26</v>
      </c>
      <c r="AG11" s="24">
        <v>4</v>
      </c>
      <c r="AH11" s="21">
        <v>2</v>
      </c>
      <c r="AI11" s="24">
        <v>2</v>
      </c>
      <c r="AJ11" s="24"/>
      <c r="AK11" s="24"/>
      <c r="AL11" s="24"/>
      <c r="AM11" s="21"/>
      <c r="AN11" s="24"/>
      <c r="AO11" s="24"/>
      <c r="AP11" s="24"/>
      <c r="AQ11" s="24"/>
      <c r="AR11" s="24"/>
      <c r="AS11" s="25">
        <f t="shared" si="2"/>
        <v>8</v>
      </c>
    </row>
    <row r="12" spans="1:45" outlineLevel="1" x14ac:dyDescent="0.25">
      <c r="A12" s="23">
        <v>10</v>
      </c>
      <c r="B12" s="85" t="s">
        <v>24</v>
      </c>
      <c r="C12" s="24" t="s">
        <v>25</v>
      </c>
      <c r="D12" s="21" t="s">
        <v>57</v>
      </c>
      <c r="E12" s="24"/>
      <c r="F12" s="24"/>
      <c r="G12" s="21"/>
      <c r="H12" s="24"/>
      <c r="I12" s="24">
        <v>9</v>
      </c>
      <c r="J12" s="24">
        <v>5</v>
      </c>
      <c r="K12" s="24">
        <v>7</v>
      </c>
      <c r="L12" s="21">
        <v>3</v>
      </c>
      <c r="M12" s="24">
        <v>6</v>
      </c>
      <c r="N12" s="24">
        <v>6</v>
      </c>
      <c r="O12" s="24">
        <v>8</v>
      </c>
      <c r="P12" s="24">
        <v>8</v>
      </c>
      <c r="Q12" s="25">
        <f t="shared" si="0"/>
        <v>52</v>
      </c>
      <c r="S12" s="24">
        <v>5</v>
      </c>
      <c r="T12" s="24">
        <v>7</v>
      </c>
      <c r="U12" s="21">
        <v>6</v>
      </c>
      <c r="V12" s="24">
        <v>9</v>
      </c>
      <c r="W12" s="24">
        <v>9</v>
      </c>
      <c r="X12" s="24">
        <v>7</v>
      </c>
      <c r="Y12" s="24">
        <v>6</v>
      </c>
      <c r="Z12" s="21">
        <v>8</v>
      </c>
      <c r="AA12" s="24">
        <v>5</v>
      </c>
      <c r="AB12" s="24">
        <v>6</v>
      </c>
      <c r="AC12" s="24">
        <v>3</v>
      </c>
      <c r="AD12" s="24">
        <v>5</v>
      </c>
      <c r="AE12" s="25">
        <f t="shared" si="1"/>
        <v>76</v>
      </c>
      <c r="AG12" s="24">
        <v>4</v>
      </c>
      <c r="AH12" s="24">
        <v>4</v>
      </c>
      <c r="AI12" s="21">
        <v>4</v>
      </c>
      <c r="AJ12" s="24"/>
      <c r="AK12" s="24"/>
      <c r="AL12" s="24"/>
      <c r="AM12" s="24"/>
      <c r="AN12" s="21"/>
      <c r="AO12" s="24"/>
      <c r="AP12" s="24"/>
      <c r="AQ12" s="24"/>
      <c r="AR12" s="24"/>
      <c r="AS12" s="25">
        <f t="shared" si="2"/>
        <v>12</v>
      </c>
    </row>
    <row r="13" spans="1:45" outlineLevel="1" x14ac:dyDescent="0.25">
      <c r="A13" s="20">
        <v>11</v>
      </c>
      <c r="B13" s="85" t="s">
        <v>26</v>
      </c>
      <c r="C13" s="24" t="s">
        <v>27</v>
      </c>
      <c r="D13" s="21" t="s">
        <v>57</v>
      </c>
      <c r="E13" s="24"/>
      <c r="F13" s="24"/>
      <c r="G13" s="24"/>
      <c r="H13" s="21"/>
      <c r="I13" s="24">
        <v>100</v>
      </c>
      <c r="J13" s="24">
        <v>20</v>
      </c>
      <c r="K13" s="24"/>
      <c r="L13" s="24"/>
      <c r="M13" s="21"/>
      <c r="N13" s="24"/>
      <c r="O13" s="24"/>
      <c r="P13" s="24"/>
      <c r="Q13" s="25">
        <f t="shared" si="0"/>
        <v>120</v>
      </c>
      <c r="S13" s="24"/>
      <c r="T13" s="24"/>
      <c r="U13" s="24"/>
      <c r="V13" s="21"/>
      <c r="W13" s="24"/>
      <c r="X13" s="24"/>
      <c r="Y13" s="24"/>
      <c r="Z13" s="24"/>
      <c r="AA13" s="21"/>
      <c r="AB13" s="24"/>
      <c r="AC13" s="24"/>
      <c r="AD13" s="24"/>
      <c r="AE13" s="25">
        <f t="shared" si="1"/>
        <v>0</v>
      </c>
      <c r="AG13" s="24"/>
      <c r="AH13" s="24"/>
      <c r="AI13" s="24"/>
      <c r="AJ13" s="21"/>
      <c r="AK13" s="24"/>
      <c r="AL13" s="24"/>
      <c r="AM13" s="24"/>
      <c r="AN13" s="24"/>
      <c r="AO13" s="21"/>
      <c r="AP13" s="24"/>
      <c r="AQ13" s="24"/>
      <c r="AR13" s="24"/>
      <c r="AS13" s="25">
        <f t="shared" si="2"/>
        <v>0</v>
      </c>
    </row>
    <row r="14" spans="1:45" outlineLevel="1" x14ac:dyDescent="0.25">
      <c r="A14" s="23">
        <v>12</v>
      </c>
      <c r="B14" s="85" t="s">
        <v>28</v>
      </c>
      <c r="C14" s="24" t="s">
        <v>22</v>
      </c>
      <c r="D14" s="21" t="s">
        <v>57</v>
      </c>
      <c r="E14" s="24"/>
      <c r="F14" s="24"/>
      <c r="G14" s="24"/>
      <c r="H14" s="24"/>
      <c r="I14" s="21"/>
      <c r="J14" s="24">
        <v>1</v>
      </c>
      <c r="K14" s="24"/>
      <c r="L14" s="24"/>
      <c r="M14" s="24"/>
      <c r="N14" s="21"/>
      <c r="O14" s="24"/>
      <c r="P14" s="24"/>
      <c r="Q14" s="25">
        <f t="shared" si="0"/>
        <v>1</v>
      </c>
      <c r="S14" s="24"/>
      <c r="T14" s="24"/>
      <c r="U14" s="24"/>
      <c r="V14" s="24"/>
      <c r="W14" s="21"/>
      <c r="X14" s="24"/>
      <c r="Y14" s="24"/>
      <c r="Z14" s="24"/>
      <c r="AA14" s="24"/>
      <c r="AB14" s="21"/>
      <c r="AC14" s="24"/>
      <c r="AD14" s="24"/>
      <c r="AE14" s="25">
        <f t="shared" si="1"/>
        <v>0</v>
      </c>
      <c r="AG14" s="24"/>
      <c r="AH14" s="24"/>
      <c r="AI14" s="24"/>
      <c r="AJ14" s="24"/>
      <c r="AK14" s="21"/>
      <c r="AL14" s="24"/>
      <c r="AM14" s="24"/>
      <c r="AN14" s="24"/>
      <c r="AO14" s="24"/>
      <c r="AP14" s="21"/>
      <c r="AQ14" s="24"/>
      <c r="AR14" s="24"/>
      <c r="AS14" s="25">
        <f t="shared" si="2"/>
        <v>0</v>
      </c>
    </row>
    <row r="15" spans="1:45" outlineLevel="1" x14ac:dyDescent="0.25">
      <c r="A15" s="20">
        <v>13</v>
      </c>
      <c r="B15" s="85" t="s">
        <v>29</v>
      </c>
      <c r="C15" s="24" t="s">
        <v>30</v>
      </c>
      <c r="D15" s="21" t="s">
        <v>57</v>
      </c>
      <c r="E15" s="24"/>
      <c r="F15" s="24"/>
      <c r="G15" s="24"/>
      <c r="H15" s="24"/>
      <c r="I15" s="24"/>
      <c r="J15" s="24">
        <v>1</v>
      </c>
      <c r="K15" s="24"/>
      <c r="L15" s="24"/>
      <c r="M15" s="24"/>
      <c r="N15" s="24"/>
      <c r="O15" s="24"/>
      <c r="P15" s="24"/>
      <c r="Q15" s="25">
        <f t="shared" si="0"/>
        <v>1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5">
        <f t="shared" si="1"/>
        <v>0</v>
      </c>
      <c r="AG15" s="24">
        <v>2</v>
      </c>
      <c r="AH15" s="24">
        <v>2</v>
      </c>
      <c r="AI15" s="24">
        <v>5</v>
      </c>
      <c r="AJ15" s="24"/>
      <c r="AK15" s="24"/>
      <c r="AL15" s="24"/>
      <c r="AM15" s="24"/>
      <c r="AN15" s="24"/>
      <c r="AO15" s="24"/>
      <c r="AP15" s="24"/>
      <c r="AQ15" s="24"/>
      <c r="AR15" s="24"/>
      <c r="AS15" s="25">
        <f t="shared" si="2"/>
        <v>9</v>
      </c>
    </row>
    <row r="16" spans="1:45" outlineLevel="1" x14ac:dyDescent="0.25">
      <c r="A16" s="23">
        <v>14</v>
      </c>
      <c r="B16" s="86" t="s">
        <v>16</v>
      </c>
      <c r="C16" s="27" t="s">
        <v>17</v>
      </c>
      <c r="D16" s="21" t="s">
        <v>57</v>
      </c>
      <c r="E16" s="24"/>
      <c r="F16" s="24"/>
      <c r="G16" s="24"/>
      <c r="H16" s="24"/>
      <c r="I16" s="24"/>
      <c r="J16" s="24"/>
      <c r="K16" s="24"/>
      <c r="L16" s="24">
        <v>2</v>
      </c>
      <c r="M16" s="24"/>
      <c r="N16" s="24"/>
      <c r="O16" s="24"/>
      <c r="P16" s="24">
        <v>2</v>
      </c>
      <c r="Q16" s="25">
        <f t="shared" si="0"/>
        <v>4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5">
        <f t="shared" si="1"/>
        <v>0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5">
        <f t="shared" si="2"/>
        <v>0</v>
      </c>
    </row>
    <row r="17" spans="1:45" outlineLevel="1" x14ac:dyDescent="0.25">
      <c r="A17" s="20">
        <v>15</v>
      </c>
      <c r="B17" s="26" t="s">
        <v>58</v>
      </c>
      <c r="C17" s="26" t="s">
        <v>59</v>
      </c>
      <c r="D17" s="21" t="s">
        <v>57</v>
      </c>
      <c r="E17" s="24"/>
      <c r="F17" s="24"/>
      <c r="G17" s="24"/>
      <c r="H17" s="24"/>
      <c r="I17" s="24"/>
      <c r="J17" s="24"/>
      <c r="K17" s="24"/>
      <c r="L17" s="24"/>
      <c r="M17" s="24">
        <v>10</v>
      </c>
      <c r="N17" s="24"/>
      <c r="O17" s="24"/>
      <c r="P17" s="24">
        <v>10</v>
      </c>
      <c r="Q17" s="25">
        <f t="shared" si="0"/>
        <v>20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5">
        <f t="shared" si="1"/>
        <v>0</v>
      </c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5">
        <f t="shared" si="2"/>
        <v>0</v>
      </c>
    </row>
    <row r="18" spans="1:45" outlineLevel="1" x14ac:dyDescent="0.25">
      <c r="A18" s="23">
        <v>16</v>
      </c>
      <c r="B18" s="26" t="s">
        <v>31</v>
      </c>
      <c r="C18" s="26" t="s">
        <v>32</v>
      </c>
      <c r="D18" s="21" t="s">
        <v>57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>
        <v>2</v>
      </c>
      <c r="P18" s="24">
        <v>10</v>
      </c>
      <c r="Q18" s="25">
        <f t="shared" si="0"/>
        <v>12</v>
      </c>
      <c r="S18" s="24">
        <v>37</v>
      </c>
      <c r="T18" s="24">
        <v>53</v>
      </c>
      <c r="U18" s="24">
        <v>19</v>
      </c>
      <c r="V18" s="24">
        <v>53</v>
      </c>
      <c r="W18" s="24">
        <v>57</v>
      </c>
      <c r="X18" s="24">
        <v>69</v>
      </c>
      <c r="Y18" s="24">
        <v>52</v>
      </c>
      <c r="Z18" s="24">
        <v>46</v>
      </c>
      <c r="AA18" s="24">
        <v>22</v>
      </c>
      <c r="AB18" s="24">
        <v>44</v>
      </c>
      <c r="AC18" s="24">
        <v>14</v>
      </c>
      <c r="AD18" s="24"/>
      <c r="AE18" s="25">
        <f t="shared" si="1"/>
        <v>466</v>
      </c>
      <c r="AG18" s="24">
        <v>43</v>
      </c>
      <c r="AH18" s="24">
        <v>34</v>
      </c>
      <c r="AI18" s="24">
        <v>23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5">
        <f t="shared" si="2"/>
        <v>100</v>
      </c>
    </row>
    <row r="19" spans="1:45" outlineLevel="1" x14ac:dyDescent="0.25">
      <c r="A19" s="20">
        <v>17</v>
      </c>
      <c r="B19" s="26" t="s">
        <v>33</v>
      </c>
      <c r="C19" s="26" t="s">
        <v>22</v>
      </c>
      <c r="D19" s="21" t="s">
        <v>57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>
        <v>1</v>
      </c>
      <c r="Q19" s="25">
        <f t="shared" si="0"/>
        <v>1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5">
        <f t="shared" si="1"/>
        <v>0</v>
      </c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5">
        <f t="shared" si="2"/>
        <v>0</v>
      </c>
    </row>
    <row r="20" spans="1:45" outlineLevel="1" x14ac:dyDescent="0.25">
      <c r="A20" s="23">
        <v>18</v>
      </c>
      <c r="B20" s="26" t="s">
        <v>34</v>
      </c>
      <c r="C20" s="26" t="s">
        <v>35</v>
      </c>
      <c r="D20" s="21" t="s">
        <v>57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3">
        <f t="shared" si="0"/>
        <v>0</v>
      </c>
      <c r="S20" s="31"/>
      <c r="T20" s="31">
        <v>1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3">
        <f t="shared" si="1"/>
        <v>1</v>
      </c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3">
        <f t="shared" si="2"/>
        <v>0</v>
      </c>
    </row>
    <row r="21" spans="1:45" outlineLevel="1" x14ac:dyDescent="0.5">
      <c r="A21" s="80">
        <v>19</v>
      </c>
      <c r="B21" s="30" t="s">
        <v>36</v>
      </c>
      <c r="C21" s="30" t="s">
        <v>60</v>
      </c>
      <c r="D21" s="79" t="s">
        <v>57</v>
      </c>
      <c r="E21" s="24"/>
      <c r="F21" s="24"/>
      <c r="G21" s="24"/>
      <c r="H21" s="24"/>
      <c r="I21" s="24"/>
      <c r="J21" s="24"/>
      <c r="K21" s="24"/>
      <c r="L21" s="28"/>
      <c r="M21" s="24"/>
      <c r="N21" s="29"/>
      <c r="O21" s="24"/>
      <c r="P21" s="24"/>
      <c r="Q21" s="25">
        <f t="shared" si="0"/>
        <v>0</v>
      </c>
      <c r="R21" s="81"/>
      <c r="S21" s="24"/>
      <c r="T21" s="24">
        <v>1</v>
      </c>
      <c r="U21" s="24"/>
      <c r="V21" s="24"/>
      <c r="W21" s="24"/>
      <c r="X21" s="24">
        <v>1</v>
      </c>
      <c r="Y21" s="24"/>
      <c r="Z21" s="28"/>
      <c r="AA21" s="24"/>
      <c r="AB21" s="29"/>
      <c r="AC21" s="24"/>
      <c r="AD21" s="24"/>
      <c r="AE21" s="25">
        <f t="shared" si="1"/>
        <v>2</v>
      </c>
      <c r="AG21" s="24"/>
      <c r="AH21" s="24"/>
      <c r="AI21" s="24"/>
      <c r="AJ21" s="24"/>
      <c r="AK21" s="24"/>
      <c r="AL21" s="24"/>
      <c r="AM21" s="24"/>
      <c r="AN21" s="28"/>
      <c r="AO21" s="24"/>
      <c r="AP21" s="29"/>
      <c r="AQ21" s="24"/>
      <c r="AR21" s="24"/>
      <c r="AS21" s="25">
        <f t="shared" si="2"/>
        <v>0</v>
      </c>
    </row>
    <row r="22" spans="1:45" outlineLevel="1" x14ac:dyDescent="0.5">
      <c r="A22" s="23">
        <v>20</v>
      </c>
      <c r="B22" s="26" t="s">
        <v>38</v>
      </c>
      <c r="C22" s="26" t="s">
        <v>39</v>
      </c>
      <c r="D22" s="26"/>
      <c r="E22" s="24"/>
      <c r="F22" s="24"/>
      <c r="G22" s="24"/>
      <c r="H22" s="24"/>
      <c r="I22" s="24"/>
      <c r="J22" s="24"/>
      <c r="K22" s="24"/>
      <c r="L22" s="24"/>
      <c r="M22" s="24"/>
      <c r="N22" s="29"/>
      <c r="O22" s="24"/>
      <c r="P22" s="24"/>
      <c r="Q22" s="25"/>
      <c r="R22" s="81"/>
      <c r="S22" s="24"/>
      <c r="T22" s="24"/>
      <c r="U22" s="24"/>
      <c r="V22" s="24"/>
      <c r="W22" s="24"/>
      <c r="X22" s="24" t="s">
        <v>61</v>
      </c>
      <c r="Y22" s="24">
        <v>1</v>
      </c>
      <c r="Z22" s="24">
        <v>1</v>
      </c>
      <c r="AA22" s="24"/>
      <c r="AB22" s="29">
        <v>1</v>
      </c>
      <c r="AC22" s="24"/>
      <c r="AD22" s="24">
        <v>1</v>
      </c>
      <c r="AE22" s="25">
        <f t="shared" si="1"/>
        <v>4</v>
      </c>
      <c r="AG22" s="24">
        <v>1</v>
      </c>
      <c r="AH22" s="24"/>
      <c r="AI22" s="24"/>
      <c r="AJ22" s="24"/>
      <c r="AK22" s="24"/>
      <c r="AL22" s="24"/>
      <c r="AM22" s="24"/>
      <c r="AN22" s="24"/>
      <c r="AO22" s="24"/>
      <c r="AP22" s="29"/>
      <c r="AQ22" s="24"/>
      <c r="AR22" s="24"/>
      <c r="AS22" s="25">
        <f t="shared" si="2"/>
        <v>1</v>
      </c>
    </row>
    <row r="23" spans="1:45" ht="18.75" outlineLevel="1" thickBot="1" x14ac:dyDescent="0.55000000000000004">
      <c r="A23" s="80">
        <v>21</v>
      </c>
      <c r="B23" s="88" t="s">
        <v>82</v>
      </c>
      <c r="C23" s="88" t="s">
        <v>83</v>
      </c>
      <c r="D23" s="30"/>
      <c r="E23" s="31"/>
      <c r="F23" s="31"/>
      <c r="G23" s="31"/>
      <c r="H23" s="31"/>
      <c r="I23" s="31"/>
      <c r="J23" s="31"/>
      <c r="K23" s="31"/>
      <c r="L23" s="31"/>
      <c r="M23" s="31"/>
      <c r="N23" s="32"/>
      <c r="O23" s="31"/>
      <c r="P23" s="31"/>
      <c r="Q23" s="33"/>
      <c r="R23" s="82"/>
      <c r="S23" s="31"/>
      <c r="T23" s="31"/>
      <c r="U23" s="31"/>
      <c r="V23" s="31"/>
      <c r="W23" s="31"/>
      <c r="X23" s="31"/>
      <c r="Y23" s="31"/>
      <c r="Z23" s="31"/>
      <c r="AA23" s="31"/>
      <c r="AB23" s="32"/>
      <c r="AC23" s="31"/>
      <c r="AD23" s="31">
        <v>3</v>
      </c>
      <c r="AE23" s="25">
        <f>SUM(S23:AD23)</f>
        <v>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31"/>
      <c r="AR23" s="31"/>
      <c r="AS23" s="25">
        <f>SUM(AG23:AR23)</f>
        <v>0</v>
      </c>
    </row>
    <row r="24" spans="1:45" s="2" customFormat="1" ht="18.75" outlineLevel="1" thickBot="1" x14ac:dyDescent="0.3">
      <c r="A24" s="34"/>
      <c r="B24" s="35" t="s">
        <v>62</v>
      </c>
      <c r="C24" s="36"/>
      <c r="D24" s="35"/>
      <c r="E24" s="37">
        <f t="shared" ref="E24:Q24" si="3">SUM(E3:E22)</f>
        <v>0</v>
      </c>
      <c r="F24" s="37">
        <f t="shared" si="3"/>
        <v>0</v>
      </c>
      <c r="G24" s="37">
        <f t="shared" si="3"/>
        <v>0</v>
      </c>
      <c r="H24" s="37">
        <f t="shared" si="3"/>
        <v>0</v>
      </c>
      <c r="I24" s="37">
        <f t="shared" si="3"/>
        <v>123</v>
      </c>
      <c r="J24" s="37">
        <f t="shared" si="3"/>
        <v>55</v>
      </c>
      <c r="K24" s="37">
        <f t="shared" si="3"/>
        <v>9</v>
      </c>
      <c r="L24" s="37">
        <f t="shared" si="3"/>
        <v>144</v>
      </c>
      <c r="M24" s="37">
        <f t="shared" si="3"/>
        <v>205</v>
      </c>
      <c r="N24" s="37">
        <f t="shared" si="3"/>
        <v>204</v>
      </c>
      <c r="O24" s="37">
        <f t="shared" si="3"/>
        <v>210</v>
      </c>
      <c r="P24" s="37">
        <f t="shared" si="3"/>
        <v>256</v>
      </c>
      <c r="Q24" s="37">
        <f t="shared" si="3"/>
        <v>1206</v>
      </c>
      <c r="R24" s="83"/>
      <c r="S24" s="37">
        <f t="shared" ref="S24:W24" si="4">SUM(S3:S22)</f>
        <v>290</v>
      </c>
      <c r="T24" s="37">
        <f t="shared" si="4"/>
        <v>252</v>
      </c>
      <c r="U24" s="37">
        <f t="shared" si="4"/>
        <v>210</v>
      </c>
      <c r="V24" s="37">
        <f t="shared" si="4"/>
        <v>220</v>
      </c>
      <c r="W24" s="37">
        <f t="shared" si="4"/>
        <v>187</v>
      </c>
      <c r="X24" s="37">
        <f>SUM(X3:X23)</f>
        <v>169</v>
      </c>
      <c r="Y24" s="37">
        <f t="shared" ref="Y24:AE24" si="5">SUM(Y3:Y23)</f>
        <v>93</v>
      </c>
      <c r="Z24" s="37">
        <f t="shared" si="5"/>
        <v>161</v>
      </c>
      <c r="AA24" s="37">
        <f t="shared" si="5"/>
        <v>237</v>
      </c>
      <c r="AB24" s="37">
        <f t="shared" si="5"/>
        <v>300</v>
      </c>
      <c r="AC24" s="37">
        <f t="shared" si="5"/>
        <v>96</v>
      </c>
      <c r="AD24" s="37">
        <f t="shared" si="5"/>
        <v>208</v>
      </c>
      <c r="AE24" s="37">
        <f t="shared" si="5"/>
        <v>2423</v>
      </c>
      <c r="AG24" s="37">
        <f>SUM(AG3:AG23)</f>
        <v>153</v>
      </c>
      <c r="AH24" s="37">
        <f t="shared" ref="AH24:AS24" si="6">SUM(AH3:AH23)</f>
        <v>127</v>
      </c>
      <c r="AI24" s="37">
        <f t="shared" si="6"/>
        <v>63</v>
      </c>
      <c r="AJ24" s="37">
        <f t="shared" si="6"/>
        <v>0</v>
      </c>
      <c r="AK24" s="37">
        <f t="shared" si="6"/>
        <v>0</v>
      </c>
      <c r="AL24" s="37">
        <f t="shared" si="6"/>
        <v>0</v>
      </c>
      <c r="AM24" s="37">
        <f t="shared" si="6"/>
        <v>0</v>
      </c>
      <c r="AN24" s="37">
        <f t="shared" si="6"/>
        <v>0</v>
      </c>
      <c r="AO24" s="37">
        <f t="shared" si="6"/>
        <v>0</v>
      </c>
      <c r="AP24" s="37">
        <f t="shared" si="6"/>
        <v>0</v>
      </c>
      <c r="AQ24" s="37">
        <f t="shared" si="6"/>
        <v>0</v>
      </c>
      <c r="AR24" s="37">
        <f t="shared" si="6"/>
        <v>0</v>
      </c>
      <c r="AS24" s="37">
        <f>SUM(AS3:AS23)</f>
        <v>343</v>
      </c>
    </row>
    <row r="25" spans="1:45" s="2" customFormat="1" ht="18.75" outlineLevel="1" thickBot="1" x14ac:dyDescent="0.3">
      <c r="A25" s="38"/>
      <c r="B25" s="39" t="s">
        <v>63</v>
      </c>
      <c r="C25" s="40"/>
      <c r="D25" s="39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2"/>
      <c r="P25" s="42"/>
      <c r="Q25" s="43">
        <f t="shared" si="0"/>
        <v>0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2"/>
      <c r="AD25" s="42"/>
      <c r="AE25" s="43">
        <f t="shared" ref="AE25" si="7">SUM(S25:AD25)</f>
        <v>0</v>
      </c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2"/>
      <c r="AR25" s="42"/>
      <c r="AS25" s="43">
        <f t="shared" ref="AS25" si="8">SUM(AG25:AR25)</f>
        <v>0</v>
      </c>
    </row>
    <row r="26" spans="1:45" s="2" customFormat="1" ht="18.75" thickBot="1" x14ac:dyDescent="0.3">
      <c r="A26" s="38"/>
      <c r="B26" s="39" t="s">
        <v>56</v>
      </c>
      <c r="C26" s="40" t="s">
        <v>64</v>
      </c>
      <c r="D26" s="39"/>
      <c r="E26" s="42">
        <f>SUM(E3:E21)</f>
        <v>0</v>
      </c>
      <c r="F26" s="42">
        <f>SUM(F3:F11)</f>
        <v>0</v>
      </c>
      <c r="G26" s="42">
        <f>SUM(G3:G11)</f>
        <v>0</v>
      </c>
      <c r="H26" s="42">
        <f>SUM(H3:H11)</f>
        <v>0</v>
      </c>
      <c r="I26" s="42">
        <f>SUM(I3:I13)</f>
        <v>123</v>
      </c>
      <c r="J26" s="42">
        <f>SUM(J3:J15)</f>
        <v>55</v>
      </c>
      <c r="K26" s="42">
        <f t="shared" ref="K26:P26" si="9">SUM(K3:K22)</f>
        <v>9</v>
      </c>
      <c r="L26" s="42">
        <f t="shared" si="9"/>
        <v>144</v>
      </c>
      <c r="M26" s="42">
        <f t="shared" si="9"/>
        <v>205</v>
      </c>
      <c r="N26" s="42">
        <f t="shared" si="9"/>
        <v>204</v>
      </c>
      <c r="O26" s="42">
        <f t="shared" si="9"/>
        <v>210</v>
      </c>
      <c r="P26" s="42">
        <f t="shared" si="9"/>
        <v>256</v>
      </c>
      <c r="Q26" s="43">
        <f>SUM(E26:P26)</f>
        <v>1206</v>
      </c>
      <c r="S26" s="42">
        <f>SUM(S3:S21)</f>
        <v>290</v>
      </c>
      <c r="T26" s="42">
        <f>SUM(T3:T21)</f>
        <v>252</v>
      </c>
      <c r="U26" s="42">
        <f>SUM(U3:U21)</f>
        <v>210</v>
      </c>
      <c r="V26" s="42">
        <f>SUM(V3:V22)</f>
        <v>220</v>
      </c>
      <c r="W26" s="42">
        <f>SUM(W3:W21)</f>
        <v>187</v>
      </c>
      <c r="X26" s="42">
        <f>SUM(X3:X23)</f>
        <v>169</v>
      </c>
      <c r="Y26" s="42">
        <f t="shared" ref="Y26:AE26" si="10">SUM(Y3:Y23)</f>
        <v>93</v>
      </c>
      <c r="Z26" s="42">
        <f t="shared" si="10"/>
        <v>161</v>
      </c>
      <c r="AA26" s="42">
        <f t="shared" si="10"/>
        <v>237</v>
      </c>
      <c r="AB26" s="42">
        <f t="shared" si="10"/>
        <v>300</v>
      </c>
      <c r="AC26" s="42">
        <f t="shared" si="10"/>
        <v>96</v>
      </c>
      <c r="AD26" s="42">
        <f t="shared" si="10"/>
        <v>208</v>
      </c>
      <c r="AE26" s="42">
        <f t="shared" si="10"/>
        <v>2423</v>
      </c>
      <c r="AG26" s="42">
        <f>SUM(AG3:AG23)</f>
        <v>153</v>
      </c>
      <c r="AH26" s="42">
        <f t="shared" ref="AH26:AS26" si="11">SUM(AH3:AH23)</f>
        <v>127</v>
      </c>
      <c r="AI26" s="42">
        <f t="shared" si="11"/>
        <v>63</v>
      </c>
      <c r="AJ26" s="42">
        <f t="shared" si="11"/>
        <v>0</v>
      </c>
      <c r="AK26" s="42">
        <f t="shared" si="11"/>
        <v>0</v>
      </c>
      <c r="AL26" s="42">
        <f t="shared" si="11"/>
        <v>0</v>
      </c>
      <c r="AM26" s="42">
        <f t="shared" si="11"/>
        <v>0</v>
      </c>
      <c r="AN26" s="42">
        <f t="shared" si="11"/>
        <v>0</v>
      </c>
      <c r="AO26" s="42">
        <f t="shared" si="11"/>
        <v>0</v>
      </c>
      <c r="AP26" s="42">
        <f t="shared" si="11"/>
        <v>0</v>
      </c>
      <c r="AQ26" s="42">
        <f t="shared" si="11"/>
        <v>0</v>
      </c>
      <c r="AR26" s="42">
        <f t="shared" si="11"/>
        <v>0</v>
      </c>
      <c r="AS26" s="42">
        <f>SUM(AG26:AR26)</f>
        <v>343</v>
      </c>
    </row>
    <row r="29" spans="1:45" x14ac:dyDescent="0.25">
      <c r="AA29" s="11" t="s">
        <v>65</v>
      </c>
    </row>
  </sheetData>
  <mergeCells count="3">
    <mergeCell ref="A1:Q1"/>
    <mergeCell ref="S1:AE1"/>
    <mergeCell ref="AF1:AR1"/>
  </mergeCells>
  <pageMargins left="0" right="0" top="0" bottom="0" header="0" footer="0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N23" sqref="N23"/>
    </sheetView>
  </sheetViews>
  <sheetFormatPr defaultColWidth="8.85546875" defaultRowHeight="24" customHeight="1" x14ac:dyDescent="0.6"/>
  <cols>
    <col min="1" max="1" width="3.140625" style="3" bestFit="1" customWidth="1"/>
    <col min="2" max="2" width="15" style="3" bestFit="1" customWidth="1"/>
    <col min="3" max="3" width="16.5703125" style="3" customWidth="1"/>
    <col min="4" max="4" width="12.140625" style="3" customWidth="1"/>
    <col min="5" max="5" width="14.140625" style="3" customWidth="1"/>
    <col min="6" max="6" width="11.7109375" style="3" customWidth="1"/>
    <col min="7" max="7" width="14.42578125" style="3" customWidth="1"/>
    <col min="8" max="8" width="14.7109375" style="3" customWidth="1"/>
    <col min="9" max="9" width="13.7109375" style="3" customWidth="1"/>
    <col min="10" max="10" width="1.85546875" style="3" customWidth="1"/>
    <col min="11" max="14" width="11.7109375" style="3" customWidth="1"/>
    <col min="15" max="16384" width="8.85546875" style="3"/>
  </cols>
  <sheetData>
    <row r="1" spans="1:14" ht="46.5" customHeight="1" x14ac:dyDescent="0.6">
      <c r="A1" s="44" t="s">
        <v>0</v>
      </c>
      <c r="B1" s="44" t="s">
        <v>1</v>
      </c>
      <c r="C1" s="44" t="s">
        <v>2</v>
      </c>
      <c r="D1" s="44" t="s">
        <v>3</v>
      </c>
      <c r="E1" s="44" t="s">
        <v>66</v>
      </c>
      <c r="F1" s="45" t="s">
        <v>67</v>
      </c>
      <c r="G1" s="45" t="s">
        <v>68</v>
      </c>
      <c r="H1" s="44" t="s">
        <v>69</v>
      </c>
      <c r="I1" s="44" t="s">
        <v>70</v>
      </c>
      <c r="J1" s="46"/>
      <c r="K1" s="47" t="s">
        <v>71</v>
      </c>
      <c r="L1" s="47" t="s">
        <v>72</v>
      </c>
      <c r="M1" s="47" t="s">
        <v>73</v>
      </c>
      <c r="N1" s="47" t="s">
        <v>74</v>
      </c>
    </row>
    <row r="2" spans="1:14" ht="24" customHeight="1" x14ac:dyDescent="0.6">
      <c r="A2" s="48">
        <v>1</v>
      </c>
      <c r="B2" s="49" t="s">
        <v>5</v>
      </c>
      <c r="C2" s="49" t="s">
        <v>6</v>
      </c>
      <c r="D2" s="50">
        <v>590000</v>
      </c>
      <c r="E2" s="51"/>
      <c r="F2" s="52">
        <f>SUMIF('Daily Sale'!B:B,'MLM OP Debtors'!B2,'Daily Sale'!G:G)</f>
        <v>0</v>
      </c>
      <c r="G2" s="51">
        <f>SUMIF('Daily Sale'!B:B,'MLM OP Debtors'!B2,'Daily Sale'!H:H)</f>
        <v>0</v>
      </c>
      <c r="H2" s="53">
        <f>F2*D2</f>
        <v>0</v>
      </c>
      <c r="I2" s="51">
        <f>E2+G2-H2</f>
        <v>0</v>
      </c>
      <c r="J2" s="54"/>
      <c r="K2" s="55"/>
      <c r="L2" s="55">
        <f>+F2</f>
        <v>0</v>
      </c>
      <c r="M2" s="55"/>
      <c r="N2" s="55">
        <f t="shared" ref="N2" si="0">+K2+L2-M2</f>
        <v>0</v>
      </c>
    </row>
    <row r="3" spans="1:14" ht="24" customHeight="1" x14ac:dyDescent="0.6">
      <c r="A3" s="56">
        <v>2</v>
      </c>
      <c r="B3" s="49" t="s">
        <v>8</v>
      </c>
      <c r="C3" s="49" t="s">
        <v>9</v>
      </c>
      <c r="D3" s="51">
        <v>610000</v>
      </c>
      <c r="E3" s="52"/>
      <c r="F3" s="52">
        <f>SUMIF('Daily Sale'!B:B,'MLM OP Debtors'!B3,'Daily Sale'!G:G)</f>
        <v>3</v>
      </c>
      <c r="G3" s="52">
        <f>SUMIF('Daily Sale'!B:B,'MLM OP Debtors'!B3,'Daily Sale'!H:H)</f>
        <v>1830000</v>
      </c>
      <c r="H3" s="53">
        <v>610000</v>
      </c>
      <c r="I3" s="51">
        <f>E3+G3-H3</f>
        <v>1220000</v>
      </c>
      <c r="J3" s="57"/>
      <c r="K3" s="58"/>
      <c r="L3" s="55">
        <f t="shared" ref="L3:L21" si="1">+F3</f>
        <v>3</v>
      </c>
      <c r="M3" s="55"/>
      <c r="N3" s="55">
        <f t="shared" ref="N3:N21" si="2">+K3+L3-M3</f>
        <v>3</v>
      </c>
    </row>
    <row r="4" spans="1:14" ht="24" customHeight="1" x14ac:dyDescent="0.6">
      <c r="A4" s="48">
        <v>3</v>
      </c>
      <c r="B4" s="59" t="s">
        <v>11</v>
      </c>
      <c r="C4" s="59" t="s">
        <v>6</v>
      </c>
      <c r="D4" s="52">
        <v>575000</v>
      </c>
      <c r="E4" s="52"/>
      <c r="F4" s="52">
        <f>SUMIF('Daily Sale'!B:B,'MLM OP Debtors'!B4,'Daily Sale'!G:G)</f>
        <v>5</v>
      </c>
      <c r="G4" s="52">
        <f>SUMIF('Daily Sale'!B:B,'MLM OP Debtors'!B4,'Daily Sale'!H:H)</f>
        <v>2875000</v>
      </c>
      <c r="H4" s="53">
        <f t="shared" ref="H4:H18" si="3">F4*D4</f>
        <v>2875000</v>
      </c>
      <c r="I4" s="51">
        <f t="shared" ref="I4:I18" si="4">E4+G4-H4</f>
        <v>0</v>
      </c>
      <c r="J4" s="57"/>
      <c r="K4" s="58"/>
      <c r="L4" s="55">
        <f t="shared" si="1"/>
        <v>5</v>
      </c>
      <c r="M4" s="55">
        <v>5</v>
      </c>
      <c r="N4" s="55">
        <f t="shared" si="2"/>
        <v>0</v>
      </c>
    </row>
    <row r="5" spans="1:14" ht="24" customHeight="1" x14ac:dyDescent="0.6">
      <c r="A5" s="56">
        <v>4</v>
      </c>
      <c r="B5" s="59" t="s">
        <v>13</v>
      </c>
      <c r="C5" s="59" t="s">
        <v>6</v>
      </c>
      <c r="D5" s="52">
        <v>605000</v>
      </c>
      <c r="E5" s="52"/>
      <c r="F5" s="52">
        <f>SUMIF('Daily Sale'!B:B,'MLM OP Debtors'!B5,'Daily Sale'!G:G)</f>
        <v>0</v>
      </c>
      <c r="G5" s="52">
        <f>SUMIF('Daily Sale'!B:B,'MLM OP Debtors'!B5,'Daily Sale'!H:H)</f>
        <v>0</v>
      </c>
      <c r="H5" s="53">
        <f t="shared" si="3"/>
        <v>0</v>
      </c>
      <c r="I5" s="51">
        <f>E5+G5-H5</f>
        <v>0</v>
      </c>
      <c r="J5" s="57"/>
      <c r="K5" s="58"/>
      <c r="L5" s="55">
        <f t="shared" si="1"/>
        <v>0</v>
      </c>
      <c r="M5" s="55"/>
      <c r="N5" s="55">
        <f t="shared" si="2"/>
        <v>0</v>
      </c>
    </row>
    <row r="6" spans="1:14" ht="24" customHeight="1" x14ac:dyDescent="0.6">
      <c r="A6" s="48">
        <v>5</v>
      </c>
      <c r="B6" s="59" t="s">
        <v>14</v>
      </c>
      <c r="C6" s="59" t="s">
        <v>15</v>
      </c>
      <c r="D6" s="52">
        <v>600000</v>
      </c>
      <c r="E6" s="52"/>
      <c r="F6" s="52">
        <f>SUMIF('Daily Sale'!B:B,'MLM OP Debtors'!B6,'Daily Sale'!G:G)</f>
        <v>15</v>
      </c>
      <c r="G6" s="52">
        <f>SUMIF('Daily Sale'!B:B,'MLM OP Debtors'!B6,'Daily Sale'!H:H)</f>
        <v>9000000</v>
      </c>
      <c r="H6" s="53">
        <f t="shared" si="3"/>
        <v>9000000</v>
      </c>
      <c r="I6" s="51">
        <f>E6+G6-H6</f>
        <v>0</v>
      </c>
      <c r="J6" s="57"/>
      <c r="K6" s="58"/>
      <c r="L6" s="55">
        <f t="shared" si="1"/>
        <v>15</v>
      </c>
      <c r="M6" s="55"/>
      <c r="N6" s="55">
        <f t="shared" si="2"/>
        <v>15</v>
      </c>
    </row>
    <row r="7" spans="1:14" ht="24" customHeight="1" x14ac:dyDescent="0.6">
      <c r="A7" s="56">
        <v>6</v>
      </c>
      <c r="B7" s="59" t="s">
        <v>16</v>
      </c>
      <c r="C7" s="59" t="s">
        <v>17</v>
      </c>
      <c r="D7" s="52">
        <v>615000</v>
      </c>
      <c r="E7" s="52"/>
      <c r="F7" s="52">
        <f>SUMIF('Daily Sale'!B:B,'MLM OP Debtors'!B7,'Daily Sale'!G:G)</f>
        <v>0</v>
      </c>
      <c r="G7" s="52">
        <f>SUMIF('Daily Sale'!B:B,'MLM OP Debtors'!B7,'Daily Sale'!H:H)</f>
        <v>0</v>
      </c>
      <c r="H7" s="53">
        <f t="shared" si="3"/>
        <v>0</v>
      </c>
      <c r="I7" s="51">
        <f t="shared" si="4"/>
        <v>0</v>
      </c>
      <c r="J7" s="57"/>
      <c r="K7" s="58"/>
      <c r="L7" s="55">
        <f t="shared" si="1"/>
        <v>0</v>
      </c>
      <c r="M7" s="55"/>
      <c r="N7" s="55">
        <f t="shared" si="2"/>
        <v>0</v>
      </c>
    </row>
    <row r="8" spans="1:14" ht="24" customHeight="1" x14ac:dyDescent="0.6">
      <c r="A8" s="48">
        <v>7</v>
      </c>
      <c r="B8" s="59" t="s">
        <v>18</v>
      </c>
      <c r="C8" s="59" t="s">
        <v>9</v>
      </c>
      <c r="D8" s="52">
        <v>615000</v>
      </c>
      <c r="E8" s="52"/>
      <c r="F8" s="52">
        <f>SUMIF('Daily Sale'!B:B,'MLM OP Debtors'!B8,'Daily Sale'!G:G)</f>
        <v>0</v>
      </c>
      <c r="G8" s="52">
        <f>SUMIF('Daily Sale'!B:B,'MLM OP Debtors'!B8,'Daily Sale'!H:H)</f>
        <v>0</v>
      </c>
      <c r="H8" s="53">
        <f t="shared" si="3"/>
        <v>0</v>
      </c>
      <c r="I8" s="51">
        <f t="shared" si="4"/>
        <v>0</v>
      </c>
      <c r="J8" s="57"/>
      <c r="K8" s="58"/>
      <c r="L8" s="55">
        <f t="shared" si="1"/>
        <v>0</v>
      </c>
      <c r="M8" s="55"/>
      <c r="N8" s="55">
        <f t="shared" si="2"/>
        <v>0</v>
      </c>
    </row>
    <row r="9" spans="1:14" ht="24" customHeight="1" x14ac:dyDescent="0.6">
      <c r="A9" s="56">
        <v>8</v>
      </c>
      <c r="B9" s="59" t="s">
        <v>19</v>
      </c>
      <c r="C9" s="59" t="s">
        <v>20</v>
      </c>
      <c r="D9" s="52">
        <v>605000</v>
      </c>
      <c r="E9" s="52"/>
      <c r="F9" s="52">
        <f>SUMIF('Daily Sale'!B:B,'MLM OP Debtors'!B9,'Daily Sale'!G:G)</f>
        <v>5</v>
      </c>
      <c r="G9" s="52">
        <f>SUMIF('Daily Sale'!B:B,'MLM OP Debtors'!B9,'Daily Sale'!H:H)</f>
        <v>3025000</v>
      </c>
      <c r="H9" s="53">
        <f t="shared" si="3"/>
        <v>3025000</v>
      </c>
      <c r="I9" s="51">
        <f t="shared" si="4"/>
        <v>0</v>
      </c>
      <c r="J9" s="57"/>
      <c r="K9" s="58"/>
      <c r="L9" s="55">
        <f t="shared" si="1"/>
        <v>5</v>
      </c>
      <c r="M9" s="55"/>
      <c r="N9" s="55">
        <f t="shared" si="2"/>
        <v>5</v>
      </c>
    </row>
    <row r="10" spans="1:14" ht="24" customHeight="1" x14ac:dyDescent="0.6">
      <c r="A10" s="48">
        <v>9</v>
      </c>
      <c r="B10" s="59" t="s">
        <v>21</v>
      </c>
      <c r="C10" s="59" t="s">
        <v>22</v>
      </c>
      <c r="D10" s="52">
        <v>590000</v>
      </c>
      <c r="E10" s="52"/>
      <c r="F10" s="52">
        <f>SUMIF('Daily Sale'!B:B,'MLM OP Debtors'!B10,'Daily Sale'!G:G)</f>
        <v>1</v>
      </c>
      <c r="G10" s="52">
        <f>SUMIF('Daily Sale'!B:B,'MLM OP Debtors'!B10,'Daily Sale'!H:H)</f>
        <v>590000</v>
      </c>
      <c r="H10" s="53">
        <f t="shared" si="3"/>
        <v>590000</v>
      </c>
      <c r="I10" s="51">
        <f t="shared" si="4"/>
        <v>0</v>
      </c>
      <c r="J10" s="57"/>
      <c r="K10" s="58"/>
      <c r="L10" s="55">
        <f t="shared" si="1"/>
        <v>1</v>
      </c>
      <c r="M10" s="55">
        <v>1</v>
      </c>
      <c r="N10" s="55">
        <f t="shared" si="2"/>
        <v>0</v>
      </c>
    </row>
    <row r="11" spans="1:14" ht="24" customHeight="1" x14ac:dyDescent="0.6">
      <c r="A11" s="56">
        <v>10</v>
      </c>
      <c r="B11" s="59" t="s">
        <v>23</v>
      </c>
      <c r="C11" s="59" t="s">
        <v>20</v>
      </c>
      <c r="D11" s="51">
        <v>615000</v>
      </c>
      <c r="E11" s="52"/>
      <c r="F11" s="52">
        <f>SUMIF('Daily Sale'!B:B,'MLM OP Debtors'!B11,'Daily Sale'!G:G)</f>
        <v>2</v>
      </c>
      <c r="G11" s="52">
        <f>SUMIF('Daily Sale'!B:B,'MLM OP Debtors'!B11,'Daily Sale'!H:H)</f>
        <v>1230000</v>
      </c>
      <c r="H11" s="53">
        <f t="shared" si="3"/>
        <v>1230000</v>
      </c>
      <c r="I11" s="51">
        <f>E11+G11-H11</f>
        <v>0</v>
      </c>
      <c r="J11" s="57"/>
      <c r="K11" s="58"/>
      <c r="L11" s="55">
        <f t="shared" si="1"/>
        <v>2</v>
      </c>
      <c r="M11" s="55"/>
      <c r="N11" s="55">
        <f t="shared" si="2"/>
        <v>2</v>
      </c>
    </row>
    <row r="12" spans="1:14" ht="24" customHeight="1" x14ac:dyDescent="0.6">
      <c r="A12" s="48">
        <v>11</v>
      </c>
      <c r="B12" s="59" t="s">
        <v>24</v>
      </c>
      <c r="C12" s="59" t="s">
        <v>25</v>
      </c>
      <c r="D12" s="52">
        <v>610000</v>
      </c>
      <c r="E12" s="52"/>
      <c r="F12" s="52">
        <f>SUMIF('Daily Sale'!B:B,'MLM OP Debtors'!B12,'Daily Sale'!G:G)</f>
        <v>4</v>
      </c>
      <c r="G12" s="52">
        <f>SUMIF('Daily Sale'!B:B,'MLM OP Debtors'!B12,'Daily Sale'!H:H)</f>
        <v>2430000</v>
      </c>
      <c r="H12" s="53">
        <v>2430000</v>
      </c>
      <c r="I12" s="51">
        <f>E12+G12-H12</f>
        <v>0</v>
      </c>
      <c r="J12" s="57"/>
      <c r="K12" s="58"/>
      <c r="L12" s="55">
        <f t="shared" si="1"/>
        <v>4</v>
      </c>
      <c r="M12" s="55">
        <v>3</v>
      </c>
      <c r="N12" s="55">
        <f t="shared" si="2"/>
        <v>1</v>
      </c>
    </row>
    <row r="13" spans="1:14" ht="24" customHeight="1" x14ac:dyDescent="0.6">
      <c r="A13" s="56">
        <v>12</v>
      </c>
      <c r="B13" s="59" t="s">
        <v>26</v>
      </c>
      <c r="C13" s="59" t="s">
        <v>27</v>
      </c>
      <c r="D13" s="52">
        <v>590000</v>
      </c>
      <c r="E13" s="52"/>
      <c r="F13" s="52">
        <f>SUMIF('Daily Sale'!B:B,'MLM OP Debtors'!B13,'Daily Sale'!G:G)</f>
        <v>0</v>
      </c>
      <c r="G13" s="52">
        <f>SUMIF('Daily Sale'!B:B,'MLM OP Debtors'!B13,'Daily Sale'!H:H)</f>
        <v>0</v>
      </c>
      <c r="H13" s="53">
        <f t="shared" si="3"/>
        <v>0</v>
      </c>
      <c r="I13" s="51">
        <f t="shared" si="4"/>
        <v>0</v>
      </c>
      <c r="J13" s="57"/>
      <c r="K13" s="58"/>
      <c r="L13" s="55">
        <f t="shared" si="1"/>
        <v>0</v>
      </c>
      <c r="M13" s="55"/>
      <c r="N13" s="55">
        <f t="shared" si="2"/>
        <v>0</v>
      </c>
    </row>
    <row r="14" spans="1:14" ht="24" customHeight="1" x14ac:dyDescent="0.6">
      <c r="A14" s="48">
        <v>13</v>
      </c>
      <c r="B14" s="59" t="s">
        <v>28</v>
      </c>
      <c r="C14" s="59" t="s">
        <v>22</v>
      </c>
      <c r="D14" s="52">
        <v>620000</v>
      </c>
      <c r="E14" s="52"/>
      <c r="F14" s="52">
        <f>SUMIF('Daily Sale'!B:B,'MLM OP Debtors'!B14,'Daily Sale'!G:G)</f>
        <v>0</v>
      </c>
      <c r="G14" s="52">
        <f>SUMIF('Daily Sale'!B:B,'MLM OP Debtors'!B14,'Daily Sale'!H:H)</f>
        <v>0</v>
      </c>
      <c r="H14" s="53">
        <f t="shared" si="3"/>
        <v>0</v>
      </c>
      <c r="I14" s="51">
        <f t="shared" si="4"/>
        <v>0</v>
      </c>
      <c r="J14" s="57"/>
      <c r="K14" s="58"/>
      <c r="L14" s="55">
        <f t="shared" si="1"/>
        <v>0</v>
      </c>
      <c r="M14" s="55"/>
      <c r="N14" s="55">
        <f t="shared" si="2"/>
        <v>0</v>
      </c>
    </row>
    <row r="15" spans="1:14" ht="24" customHeight="1" x14ac:dyDescent="0.6">
      <c r="A15" s="56">
        <v>14</v>
      </c>
      <c r="B15" s="59" t="s">
        <v>29</v>
      </c>
      <c r="C15" s="59" t="s">
        <v>30</v>
      </c>
      <c r="D15" s="52">
        <v>615000</v>
      </c>
      <c r="E15" s="52"/>
      <c r="F15" s="52">
        <f>SUMIF('Daily Sale'!B:B,'MLM OP Debtors'!B15,'Daily Sale'!G:G)</f>
        <v>5</v>
      </c>
      <c r="G15" s="52">
        <f>SUMIF('Daily Sale'!B:B,'MLM OP Debtors'!B15,'Daily Sale'!H:H)</f>
        <v>3075000</v>
      </c>
      <c r="H15" s="53">
        <f t="shared" si="3"/>
        <v>3075000</v>
      </c>
      <c r="I15" s="51">
        <f t="shared" si="4"/>
        <v>0</v>
      </c>
      <c r="J15" s="57"/>
      <c r="K15" s="58"/>
      <c r="L15" s="55">
        <f t="shared" si="1"/>
        <v>5</v>
      </c>
      <c r="M15" s="55">
        <v>5</v>
      </c>
      <c r="N15" s="55">
        <f t="shared" si="2"/>
        <v>0</v>
      </c>
    </row>
    <row r="16" spans="1:14" ht="24" customHeight="1" x14ac:dyDescent="0.6">
      <c r="A16" s="48">
        <v>15</v>
      </c>
      <c r="B16" s="60" t="s">
        <v>31</v>
      </c>
      <c r="C16" s="60" t="s">
        <v>32</v>
      </c>
      <c r="D16" s="61">
        <v>595000</v>
      </c>
      <c r="E16" s="52"/>
      <c r="F16" s="52">
        <f>SUMIF('Daily Sale'!B:B,'MLM OP Debtors'!B16,'Daily Sale'!G:G)</f>
        <v>23</v>
      </c>
      <c r="G16" s="52">
        <f>SUMIF('Daily Sale'!B:B,'MLM OP Debtors'!B16,'Daily Sale'!H:H)</f>
        <v>13325000</v>
      </c>
      <c r="H16" s="53">
        <v>13325000</v>
      </c>
      <c r="I16" s="51">
        <f t="shared" ref="I16" si="5">E16+G16-H16</f>
        <v>0</v>
      </c>
      <c r="J16" s="57"/>
      <c r="K16" s="58"/>
      <c r="L16" s="55">
        <f t="shared" si="1"/>
        <v>23</v>
      </c>
      <c r="M16" s="55">
        <v>23</v>
      </c>
      <c r="N16" s="55">
        <f t="shared" si="2"/>
        <v>0</v>
      </c>
    </row>
    <row r="17" spans="1:14" ht="24" customHeight="1" x14ac:dyDescent="0.6">
      <c r="A17" s="56">
        <v>16</v>
      </c>
      <c r="B17" s="60" t="s">
        <v>33</v>
      </c>
      <c r="C17" s="60" t="s">
        <v>22</v>
      </c>
      <c r="D17" s="61">
        <v>620000</v>
      </c>
      <c r="E17" s="52"/>
      <c r="F17" s="52">
        <f>SUMIF('Daily Sale'!B:B,'MLM OP Debtors'!B17,'Daily Sale'!G:G)</f>
        <v>0</v>
      </c>
      <c r="G17" s="52">
        <f>SUMIF('Daily Sale'!B:B,'MLM OP Debtors'!B17,'Daily Sale'!H:H)</f>
        <v>0</v>
      </c>
      <c r="H17" s="53">
        <f t="shared" si="3"/>
        <v>0</v>
      </c>
      <c r="I17" s="51">
        <f t="shared" si="4"/>
        <v>0</v>
      </c>
      <c r="J17" s="57"/>
      <c r="K17" s="58"/>
      <c r="L17" s="55">
        <f t="shared" si="1"/>
        <v>0</v>
      </c>
      <c r="M17" s="55"/>
      <c r="N17" s="55">
        <f t="shared" si="2"/>
        <v>0</v>
      </c>
    </row>
    <row r="18" spans="1:14" ht="24" customHeight="1" x14ac:dyDescent="0.6">
      <c r="A18" s="48">
        <v>17</v>
      </c>
      <c r="B18" s="60" t="s">
        <v>34</v>
      </c>
      <c r="C18" s="60" t="s">
        <v>35</v>
      </c>
      <c r="D18" s="61">
        <v>620000</v>
      </c>
      <c r="E18" s="52"/>
      <c r="F18" s="52">
        <f>SUMIF('Daily Sale'!B:B,'MLM OP Debtors'!B18,'Daily Sale'!G:G)</f>
        <v>0</v>
      </c>
      <c r="G18" s="52">
        <f>SUMIF('Daily Sale'!B:B,'MLM OP Debtors'!B18,'Daily Sale'!H:H)</f>
        <v>0</v>
      </c>
      <c r="H18" s="53">
        <f t="shared" si="3"/>
        <v>0</v>
      </c>
      <c r="I18" s="51">
        <f t="shared" si="4"/>
        <v>0</v>
      </c>
      <c r="J18" s="57"/>
      <c r="K18" s="58"/>
      <c r="L18" s="55">
        <f t="shared" si="1"/>
        <v>0</v>
      </c>
      <c r="M18" s="55"/>
      <c r="N18" s="55">
        <f t="shared" si="2"/>
        <v>0</v>
      </c>
    </row>
    <row r="19" spans="1:14" ht="24" customHeight="1" x14ac:dyDescent="0.6">
      <c r="A19" s="56">
        <v>18</v>
      </c>
      <c r="B19" s="60" t="s">
        <v>36</v>
      </c>
      <c r="C19" s="60" t="s">
        <v>37</v>
      </c>
      <c r="D19" s="61">
        <v>620000</v>
      </c>
      <c r="E19" s="52"/>
      <c r="F19" s="52">
        <f>SUMIF('Daily Sale'!B:B,'MLM OP Debtors'!B19,'Daily Sale'!G:G)</f>
        <v>0</v>
      </c>
      <c r="G19" s="52">
        <f>SUMIF('Daily Sale'!B:B,'MLM OP Debtors'!B19,'Daily Sale'!H:H)</f>
        <v>0</v>
      </c>
      <c r="H19" s="62">
        <f t="shared" ref="H19" si="6">D19*F19</f>
        <v>0</v>
      </c>
      <c r="I19" s="51">
        <f t="shared" ref="I19" si="7">E19+G19-H19</f>
        <v>0</v>
      </c>
      <c r="J19" s="57"/>
      <c r="K19" s="58"/>
      <c r="L19" s="55">
        <f t="shared" si="1"/>
        <v>0</v>
      </c>
      <c r="M19" s="55"/>
      <c r="N19" s="55">
        <f t="shared" si="2"/>
        <v>0</v>
      </c>
    </row>
    <row r="20" spans="1:14" ht="24" customHeight="1" x14ac:dyDescent="0.6">
      <c r="A20" s="48">
        <v>19</v>
      </c>
      <c r="B20" s="60" t="s">
        <v>38</v>
      </c>
      <c r="C20" s="60" t="s">
        <v>39</v>
      </c>
      <c r="D20" s="61">
        <v>615000</v>
      </c>
      <c r="E20" s="52"/>
      <c r="F20" s="52">
        <f>SUMIF('Daily Sale'!B:B,'MLM OP Debtors'!B20,'Daily Sale'!G:G)</f>
        <v>0</v>
      </c>
      <c r="G20" s="52">
        <f>SUMIF('Daily Sale'!B:B,'MLM OP Debtors'!B20,'Daily Sale'!H:H)</f>
        <v>0</v>
      </c>
      <c r="H20" s="62">
        <f t="shared" ref="H20:H21" si="8">D20*F20</f>
        <v>0</v>
      </c>
      <c r="I20" s="51">
        <f t="shared" ref="I20:I21" si="9">E20+G20-H20</f>
        <v>0</v>
      </c>
      <c r="J20" s="57"/>
      <c r="K20" s="58"/>
      <c r="L20" s="55">
        <f t="shared" si="1"/>
        <v>0</v>
      </c>
      <c r="M20" s="55"/>
      <c r="N20" s="55">
        <f t="shared" si="2"/>
        <v>0</v>
      </c>
    </row>
    <row r="21" spans="1:14" ht="24" customHeight="1" x14ac:dyDescent="0.6">
      <c r="A21" s="56">
        <v>20</v>
      </c>
      <c r="B21" s="87" t="s">
        <v>82</v>
      </c>
      <c r="C21" s="87" t="s">
        <v>83</v>
      </c>
      <c r="D21" s="61">
        <v>625000</v>
      </c>
      <c r="E21" s="52"/>
      <c r="F21" s="52">
        <f>SUMIF('Daily Sale'!B:B,'MLM OP Debtors'!B21,'Daily Sale'!G:G)</f>
        <v>0</v>
      </c>
      <c r="G21" s="52">
        <f>SUMIF('Daily Sale'!B:B,'MLM OP Debtors'!B21,'Daily Sale'!H:H)</f>
        <v>0</v>
      </c>
      <c r="H21" s="62">
        <f t="shared" si="8"/>
        <v>0</v>
      </c>
      <c r="I21" s="51">
        <f t="shared" si="9"/>
        <v>0</v>
      </c>
      <c r="J21" s="57"/>
      <c r="K21" s="58"/>
      <c r="L21" s="55">
        <f t="shared" si="1"/>
        <v>0</v>
      </c>
      <c r="M21" s="55"/>
      <c r="N21" s="55">
        <f t="shared" si="2"/>
        <v>0</v>
      </c>
    </row>
    <row r="22" spans="1:14" ht="24" customHeight="1" x14ac:dyDescent="0.6">
      <c r="A22" s="63"/>
      <c r="B22" s="63"/>
      <c r="C22" s="63"/>
      <c r="D22" s="64"/>
      <c r="E22" s="64">
        <f t="shared" ref="E22" si="10">SUM(E2:E19)</f>
        <v>0</v>
      </c>
      <c r="F22" s="64">
        <f>SUM(F2:F21)</f>
        <v>63</v>
      </c>
      <c r="G22" s="64">
        <f>SUM(G2:G21)</f>
        <v>37380000</v>
      </c>
      <c r="H22" s="64">
        <f t="shared" ref="H22:I22" si="11">SUM(H2:H21)</f>
        <v>36160000</v>
      </c>
      <c r="I22" s="64">
        <f t="shared" si="11"/>
        <v>1220000</v>
      </c>
      <c r="J22" s="65"/>
      <c r="K22" s="66">
        <f>SUM(K2:K19)</f>
        <v>0</v>
      </c>
      <c r="L22" s="66">
        <f>SUM(L2:L21)</f>
        <v>63</v>
      </c>
      <c r="M22" s="66">
        <f>SUM(M2:M21)</f>
        <v>37</v>
      </c>
      <c r="N22" s="66">
        <f>SUM(N2:N21)</f>
        <v>26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0000000}">
          <x14:formula1>
            <xm:f>'Sales Price'!$B:$B</xm:f>
          </x14:formula1>
          <xm:sqref>B2:B5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79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24" sqref="H24"/>
    </sheetView>
  </sheetViews>
  <sheetFormatPr defaultColWidth="8.85546875" defaultRowHeight="21" x14ac:dyDescent="0.6"/>
  <cols>
    <col min="1" max="1" width="11.7109375" style="3" customWidth="1"/>
    <col min="2" max="2" width="16.85546875" style="3" customWidth="1"/>
    <col min="3" max="3" width="14.7109375" style="3" customWidth="1"/>
    <col min="4" max="4" width="13.140625" style="3" customWidth="1"/>
    <col min="5" max="5" width="12.42578125" style="3" customWidth="1"/>
    <col min="6" max="6" width="10.7109375" style="3" customWidth="1"/>
    <col min="7" max="7" width="11" style="3" customWidth="1"/>
    <col min="8" max="8" width="14.28515625" style="3" customWidth="1"/>
    <col min="9" max="16384" width="8.85546875" style="3"/>
  </cols>
  <sheetData>
    <row r="1" spans="1:15" x14ac:dyDescent="0.6">
      <c r="A1" s="67" t="s">
        <v>75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5" ht="42" x14ac:dyDescent="0.6">
      <c r="A2" s="68" t="s">
        <v>76</v>
      </c>
      <c r="B2" s="68" t="s">
        <v>1</v>
      </c>
      <c r="C2" s="68" t="s">
        <v>2</v>
      </c>
      <c r="D2" s="68" t="s">
        <v>77</v>
      </c>
      <c r="E2" s="68" t="s">
        <v>78</v>
      </c>
      <c r="F2" s="68" t="s">
        <v>79</v>
      </c>
      <c r="G2" s="69" t="s">
        <v>80</v>
      </c>
      <c r="H2" s="69" t="s">
        <v>81</v>
      </c>
      <c r="I2" s="70"/>
      <c r="J2" s="70"/>
      <c r="K2" s="70"/>
      <c r="L2" s="70"/>
      <c r="M2" s="70"/>
      <c r="N2" s="70"/>
      <c r="O2" s="70"/>
    </row>
    <row r="3" spans="1:15" ht="20.25" customHeight="1" x14ac:dyDescent="0.6">
      <c r="A3" s="71">
        <v>46084</v>
      </c>
      <c r="B3" s="8" t="s">
        <v>21</v>
      </c>
      <c r="C3" s="8" t="s">
        <v>22</v>
      </c>
      <c r="D3" s="72" t="s">
        <v>85</v>
      </c>
      <c r="E3" s="3" t="s">
        <v>7</v>
      </c>
      <c r="F3" s="50">
        <v>590000</v>
      </c>
      <c r="G3" s="50">
        <v>1</v>
      </c>
      <c r="H3" s="50">
        <f>F3*G3</f>
        <v>590000</v>
      </c>
      <c r="I3" s="50"/>
    </row>
    <row r="4" spans="1:15" ht="20.25" customHeight="1" x14ac:dyDescent="0.6">
      <c r="A4" s="71">
        <v>46085</v>
      </c>
      <c r="B4" s="8" t="s">
        <v>11</v>
      </c>
      <c r="C4" s="8" t="s">
        <v>6</v>
      </c>
      <c r="D4" s="72" t="s">
        <v>86</v>
      </c>
      <c r="E4" s="3" t="s">
        <v>12</v>
      </c>
      <c r="F4" s="50">
        <v>575000</v>
      </c>
      <c r="G4" s="50">
        <v>2</v>
      </c>
      <c r="H4" s="50">
        <f>F4*G4</f>
        <v>1150000</v>
      </c>
      <c r="I4" s="50"/>
    </row>
    <row r="5" spans="1:15" x14ac:dyDescent="0.6">
      <c r="A5" s="71">
        <v>46085</v>
      </c>
      <c r="B5" s="8" t="s">
        <v>31</v>
      </c>
      <c r="C5" s="8" t="s">
        <v>32</v>
      </c>
      <c r="D5" s="72" t="s">
        <v>87</v>
      </c>
      <c r="E5" s="3" t="s">
        <v>7</v>
      </c>
      <c r="F5" s="50">
        <v>575000</v>
      </c>
      <c r="G5" s="50">
        <v>3</v>
      </c>
      <c r="H5" s="50">
        <f t="shared" ref="H5:H11" si="0">F5*G5</f>
        <v>1725000</v>
      </c>
      <c r="I5" s="50"/>
    </row>
    <row r="6" spans="1:15" x14ac:dyDescent="0.6">
      <c r="A6" s="71">
        <v>46086</v>
      </c>
      <c r="B6" s="8" t="s">
        <v>11</v>
      </c>
      <c r="C6" s="8" t="s">
        <v>6</v>
      </c>
      <c r="D6" s="72" t="s">
        <v>88</v>
      </c>
      <c r="E6" s="3" t="s">
        <v>12</v>
      </c>
      <c r="F6" s="50">
        <v>575000</v>
      </c>
      <c r="G6" s="50">
        <v>1</v>
      </c>
      <c r="H6" s="50">
        <f t="shared" si="0"/>
        <v>575000</v>
      </c>
      <c r="I6" s="50"/>
    </row>
    <row r="7" spans="1:15" x14ac:dyDescent="0.6">
      <c r="A7" s="71">
        <v>46086</v>
      </c>
      <c r="B7" s="8" t="s">
        <v>24</v>
      </c>
      <c r="C7" s="8" t="s">
        <v>25</v>
      </c>
      <c r="D7" s="72" t="s">
        <v>89</v>
      </c>
      <c r="E7" s="3" t="s">
        <v>7</v>
      </c>
      <c r="F7" s="50">
        <v>600000</v>
      </c>
      <c r="G7" s="50">
        <v>1</v>
      </c>
      <c r="H7" s="50">
        <f t="shared" si="0"/>
        <v>600000</v>
      </c>
      <c r="I7" s="50"/>
    </row>
    <row r="8" spans="1:15" x14ac:dyDescent="0.6">
      <c r="A8" s="71">
        <v>46088</v>
      </c>
      <c r="B8" s="8" t="s">
        <v>31</v>
      </c>
      <c r="C8" s="8" t="s">
        <v>32</v>
      </c>
      <c r="D8" s="72" t="s">
        <v>90</v>
      </c>
      <c r="E8" s="3" t="s">
        <v>7</v>
      </c>
      <c r="F8" s="50">
        <v>575000</v>
      </c>
      <c r="G8" s="50">
        <v>3</v>
      </c>
      <c r="H8" s="50">
        <f t="shared" si="0"/>
        <v>1725000</v>
      </c>
      <c r="I8" s="50"/>
    </row>
    <row r="9" spans="1:15" x14ac:dyDescent="0.6">
      <c r="A9" s="71">
        <v>46090</v>
      </c>
      <c r="B9" s="8" t="s">
        <v>8</v>
      </c>
      <c r="C9" s="8" t="s">
        <v>9</v>
      </c>
      <c r="D9" s="72" t="s">
        <v>91</v>
      </c>
      <c r="E9" s="3" t="s">
        <v>10</v>
      </c>
      <c r="F9" s="50">
        <v>610000</v>
      </c>
      <c r="G9" s="50">
        <v>2</v>
      </c>
      <c r="H9" s="50">
        <f t="shared" si="0"/>
        <v>1220000</v>
      </c>
      <c r="I9" s="50"/>
    </row>
    <row r="10" spans="1:15" x14ac:dyDescent="0.6">
      <c r="A10" s="71">
        <v>46090</v>
      </c>
      <c r="B10" s="8" t="s">
        <v>31</v>
      </c>
      <c r="C10" s="8" t="s">
        <v>32</v>
      </c>
      <c r="D10" s="72" t="s">
        <v>92</v>
      </c>
      <c r="E10" s="3" t="s">
        <v>7</v>
      </c>
      <c r="F10" s="50">
        <v>575000</v>
      </c>
      <c r="G10" s="50">
        <v>5</v>
      </c>
      <c r="H10" s="50">
        <f t="shared" si="0"/>
        <v>2875000</v>
      </c>
      <c r="I10" s="50"/>
    </row>
    <row r="11" spans="1:15" x14ac:dyDescent="0.6">
      <c r="A11" s="71">
        <v>46091</v>
      </c>
      <c r="B11" s="8" t="s">
        <v>31</v>
      </c>
      <c r="C11" s="8" t="s">
        <v>32</v>
      </c>
      <c r="D11" s="72" t="s">
        <v>93</v>
      </c>
      <c r="E11" s="3" t="s">
        <v>7</v>
      </c>
      <c r="F11" s="50">
        <v>575000</v>
      </c>
      <c r="G11" s="50">
        <v>3</v>
      </c>
      <c r="H11" s="50">
        <f t="shared" si="0"/>
        <v>1725000</v>
      </c>
      <c r="I11" s="50"/>
    </row>
    <row r="12" spans="1:15" x14ac:dyDescent="0.6">
      <c r="A12" s="71">
        <v>46092</v>
      </c>
      <c r="B12" s="8" t="s">
        <v>24</v>
      </c>
      <c r="C12" s="8" t="s">
        <v>94</v>
      </c>
      <c r="D12" s="90" t="s">
        <v>95</v>
      </c>
      <c r="E12" s="3" t="s">
        <v>7</v>
      </c>
      <c r="F12" s="50">
        <v>610000</v>
      </c>
      <c r="G12" s="50">
        <v>1</v>
      </c>
      <c r="H12" s="50">
        <f>F12*G12</f>
        <v>610000</v>
      </c>
      <c r="I12" s="50"/>
      <c r="J12" s="3" t="s">
        <v>61</v>
      </c>
    </row>
    <row r="13" spans="1:15" x14ac:dyDescent="0.6">
      <c r="A13" s="71">
        <v>46093</v>
      </c>
      <c r="B13" s="8" t="s">
        <v>29</v>
      </c>
      <c r="C13" s="89" t="s">
        <v>30</v>
      </c>
      <c r="D13" s="90" t="s">
        <v>96</v>
      </c>
      <c r="E13" s="3" t="s">
        <v>7</v>
      </c>
      <c r="F13" s="50">
        <v>615000</v>
      </c>
      <c r="G13" s="50">
        <v>2</v>
      </c>
      <c r="H13" s="50">
        <f>F13*G13</f>
        <v>1230000</v>
      </c>
      <c r="I13" s="50"/>
    </row>
    <row r="14" spans="1:15" x14ac:dyDescent="0.6">
      <c r="A14" s="71">
        <v>46095</v>
      </c>
      <c r="B14" s="8" t="s">
        <v>29</v>
      </c>
      <c r="C14" s="89" t="s">
        <v>30</v>
      </c>
      <c r="D14" s="90" t="s">
        <v>97</v>
      </c>
      <c r="E14" s="3" t="s">
        <v>7</v>
      </c>
      <c r="F14" s="50">
        <v>615000</v>
      </c>
      <c r="G14" s="50">
        <v>3</v>
      </c>
      <c r="H14" s="50">
        <f t="shared" ref="H14:H16" si="1">F14*G14</f>
        <v>1845000</v>
      </c>
      <c r="I14" s="50"/>
    </row>
    <row r="15" spans="1:15" x14ac:dyDescent="0.6">
      <c r="A15" s="71">
        <v>46095</v>
      </c>
      <c r="B15" s="8" t="s">
        <v>23</v>
      </c>
      <c r="C15" s="8" t="s">
        <v>20</v>
      </c>
      <c r="D15" s="72" t="s">
        <v>98</v>
      </c>
      <c r="E15" s="3" t="s">
        <v>7</v>
      </c>
      <c r="F15" s="50">
        <v>615000</v>
      </c>
      <c r="G15" s="50">
        <v>2</v>
      </c>
      <c r="H15" s="50">
        <f t="shared" si="1"/>
        <v>1230000</v>
      </c>
      <c r="I15" s="50"/>
    </row>
    <row r="16" spans="1:15" x14ac:dyDescent="0.6">
      <c r="A16" s="71">
        <v>46097</v>
      </c>
      <c r="B16" s="8" t="s">
        <v>24</v>
      </c>
      <c r="C16" s="8" t="s">
        <v>94</v>
      </c>
      <c r="D16" s="72" t="s">
        <v>99</v>
      </c>
      <c r="E16" s="3" t="s">
        <v>7</v>
      </c>
      <c r="F16" s="50">
        <v>610000</v>
      </c>
      <c r="G16" s="50">
        <v>1</v>
      </c>
      <c r="H16" s="50">
        <f t="shared" si="1"/>
        <v>610000</v>
      </c>
      <c r="I16" s="50"/>
    </row>
    <row r="17" spans="1:9" x14ac:dyDescent="0.6">
      <c r="A17" s="71">
        <v>46097</v>
      </c>
      <c r="B17" s="8" t="s">
        <v>31</v>
      </c>
      <c r="C17" s="8" t="s">
        <v>32</v>
      </c>
      <c r="D17" s="72" t="s">
        <v>100</v>
      </c>
      <c r="E17" s="3" t="s">
        <v>7</v>
      </c>
      <c r="F17" s="50">
        <v>575000</v>
      </c>
      <c r="G17" s="50">
        <v>4</v>
      </c>
      <c r="H17" s="50">
        <f t="shared" ref="H17:H81" si="2">F17*G17</f>
        <v>2300000</v>
      </c>
      <c r="I17" s="50"/>
    </row>
    <row r="18" spans="1:9" x14ac:dyDescent="0.6">
      <c r="A18" s="71">
        <v>46097</v>
      </c>
      <c r="B18" s="8" t="s">
        <v>19</v>
      </c>
      <c r="C18" s="8" t="s">
        <v>20</v>
      </c>
      <c r="D18" s="72" t="s">
        <v>101</v>
      </c>
      <c r="E18" s="3" t="s">
        <v>7</v>
      </c>
      <c r="F18" s="50">
        <v>605000</v>
      </c>
      <c r="G18" s="50">
        <v>5</v>
      </c>
      <c r="H18" s="50">
        <f t="shared" si="2"/>
        <v>3025000</v>
      </c>
      <c r="I18" s="50"/>
    </row>
    <row r="19" spans="1:9" x14ac:dyDescent="0.6">
      <c r="A19" s="71">
        <v>46097</v>
      </c>
      <c r="B19" s="8" t="s">
        <v>11</v>
      </c>
      <c r="C19" s="8" t="s">
        <v>6</v>
      </c>
      <c r="D19" s="72" t="s">
        <v>102</v>
      </c>
      <c r="E19" s="3" t="s">
        <v>7</v>
      </c>
      <c r="F19" s="50">
        <v>575000</v>
      </c>
      <c r="G19" s="50">
        <v>2</v>
      </c>
      <c r="H19" s="50">
        <f t="shared" si="2"/>
        <v>1150000</v>
      </c>
      <c r="I19" s="50"/>
    </row>
    <row r="20" spans="1:9" x14ac:dyDescent="0.6">
      <c r="A20" s="71">
        <v>46099</v>
      </c>
      <c r="B20" s="8" t="s">
        <v>8</v>
      </c>
      <c r="C20" s="8" t="s">
        <v>9</v>
      </c>
      <c r="D20" s="72" t="s">
        <v>103</v>
      </c>
      <c r="E20" s="3" t="s">
        <v>7</v>
      </c>
      <c r="F20" s="50">
        <v>610000</v>
      </c>
      <c r="G20" s="50">
        <v>1</v>
      </c>
      <c r="H20" s="50">
        <f t="shared" si="2"/>
        <v>610000</v>
      </c>
      <c r="I20" s="50"/>
    </row>
    <row r="21" spans="1:9" x14ac:dyDescent="0.6">
      <c r="A21" s="71">
        <v>46099</v>
      </c>
      <c r="B21" s="8" t="s">
        <v>31</v>
      </c>
      <c r="C21" s="8" t="s">
        <v>32</v>
      </c>
      <c r="D21" s="72" t="s">
        <v>104</v>
      </c>
      <c r="E21" s="3" t="s">
        <v>7</v>
      </c>
      <c r="F21" s="50">
        <v>595000</v>
      </c>
      <c r="G21" s="50">
        <v>3</v>
      </c>
      <c r="H21" s="50">
        <f t="shared" si="2"/>
        <v>1785000</v>
      </c>
      <c r="I21" s="50"/>
    </row>
    <row r="22" spans="1:9" x14ac:dyDescent="0.6">
      <c r="A22" s="71">
        <v>46100</v>
      </c>
      <c r="B22" s="8" t="s">
        <v>14</v>
      </c>
      <c r="C22" s="8" t="s">
        <v>15</v>
      </c>
      <c r="D22" s="72" t="s">
        <v>105</v>
      </c>
      <c r="E22" s="3" t="s">
        <v>7</v>
      </c>
      <c r="F22" s="50">
        <v>600000</v>
      </c>
      <c r="G22" s="50">
        <v>15</v>
      </c>
      <c r="H22" s="50">
        <f t="shared" si="2"/>
        <v>9000000</v>
      </c>
      <c r="I22" s="50"/>
    </row>
    <row r="23" spans="1:9" x14ac:dyDescent="0.6">
      <c r="A23" s="71">
        <v>46100</v>
      </c>
      <c r="B23" s="8" t="s">
        <v>31</v>
      </c>
      <c r="C23" s="8" t="s">
        <v>32</v>
      </c>
      <c r="D23" s="72" t="s">
        <v>106</v>
      </c>
      <c r="E23" s="3" t="s">
        <v>7</v>
      </c>
      <c r="F23" s="50">
        <v>595000</v>
      </c>
      <c r="G23" s="50">
        <v>2</v>
      </c>
      <c r="H23" s="50">
        <f t="shared" si="2"/>
        <v>1190000</v>
      </c>
      <c r="I23" s="50"/>
    </row>
    <row r="24" spans="1:9" x14ac:dyDescent="0.6">
      <c r="A24" s="71">
        <v>46100</v>
      </c>
      <c r="B24" s="8" t="s">
        <v>24</v>
      </c>
      <c r="C24" s="8" t="s">
        <v>94</v>
      </c>
      <c r="D24" s="72" t="s">
        <v>107</v>
      </c>
      <c r="E24" s="3" t="s">
        <v>7</v>
      </c>
      <c r="F24" s="50">
        <v>610000</v>
      </c>
      <c r="G24" s="50">
        <v>1</v>
      </c>
      <c r="H24" s="50">
        <f t="shared" si="2"/>
        <v>610000</v>
      </c>
      <c r="I24" s="50"/>
    </row>
    <row r="25" spans="1:9" x14ac:dyDescent="0.6">
      <c r="A25" s="71"/>
      <c r="B25" s="8"/>
      <c r="C25" s="8"/>
      <c r="D25" s="72"/>
      <c r="F25" s="50"/>
      <c r="G25" s="50"/>
      <c r="H25" s="50">
        <f t="shared" si="2"/>
        <v>0</v>
      </c>
      <c r="I25" s="50"/>
    </row>
    <row r="26" spans="1:9" x14ac:dyDescent="0.6">
      <c r="A26" s="71"/>
      <c r="B26" s="8"/>
      <c r="C26" s="8"/>
      <c r="D26" s="72"/>
      <c r="F26" s="50"/>
      <c r="G26" s="50"/>
      <c r="H26" s="50">
        <f t="shared" si="2"/>
        <v>0</v>
      </c>
      <c r="I26" s="50"/>
    </row>
    <row r="27" spans="1:9" x14ac:dyDescent="0.6">
      <c r="A27" s="71"/>
      <c r="B27" s="8"/>
      <c r="C27" s="8"/>
      <c r="D27" s="72"/>
      <c r="F27" s="50"/>
      <c r="G27" s="50"/>
      <c r="H27" s="50">
        <f t="shared" si="2"/>
        <v>0</v>
      </c>
      <c r="I27" s="50"/>
    </row>
    <row r="28" spans="1:9" x14ac:dyDescent="0.6">
      <c r="A28" s="71"/>
      <c r="B28" s="8"/>
      <c r="C28" s="8"/>
      <c r="D28" s="72"/>
      <c r="F28" s="50"/>
      <c r="G28" s="50"/>
      <c r="H28" s="50">
        <f t="shared" si="2"/>
        <v>0</v>
      </c>
      <c r="I28" s="50"/>
    </row>
    <row r="29" spans="1:9" x14ac:dyDescent="0.6">
      <c r="A29" s="71"/>
      <c r="B29" s="8"/>
      <c r="C29" s="8"/>
      <c r="D29" s="72"/>
      <c r="F29" s="50"/>
      <c r="G29" s="50"/>
      <c r="H29" s="50">
        <f t="shared" si="2"/>
        <v>0</v>
      </c>
      <c r="I29" s="50"/>
    </row>
    <row r="30" spans="1:9" x14ac:dyDescent="0.6">
      <c r="A30" s="71"/>
      <c r="B30" s="8"/>
      <c r="C30" s="8"/>
      <c r="D30" s="72"/>
      <c r="F30" s="50"/>
      <c r="G30" s="50"/>
      <c r="H30" s="50">
        <f t="shared" si="2"/>
        <v>0</v>
      </c>
      <c r="I30" s="50"/>
    </row>
    <row r="31" spans="1:9" x14ac:dyDescent="0.6">
      <c r="A31" s="71"/>
      <c r="B31" s="8"/>
      <c r="C31" s="8"/>
      <c r="D31" s="72"/>
      <c r="F31" s="50"/>
      <c r="G31" s="50"/>
      <c r="H31" s="50">
        <f t="shared" si="2"/>
        <v>0</v>
      </c>
      <c r="I31" s="50"/>
    </row>
    <row r="32" spans="1:9" x14ac:dyDescent="0.6">
      <c r="A32" s="71"/>
      <c r="B32" s="8"/>
      <c r="C32" s="8"/>
      <c r="D32" s="72"/>
      <c r="F32" s="50"/>
      <c r="G32" s="50"/>
      <c r="H32" s="50">
        <f t="shared" si="2"/>
        <v>0</v>
      </c>
      <c r="I32" s="50"/>
    </row>
    <row r="33" spans="1:9" x14ac:dyDescent="0.6">
      <c r="A33" s="71"/>
      <c r="B33" s="8"/>
      <c r="C33" s="8"/>
      <c r="D33" s="72"/>
      <c r="F33" s="50"/>
      <c r="G33" s="50"/>
      <c r="H33" s="50">
        <f t="shared" si="2"/>
        <v>0</v>
      </c>
      <c r="I33" s="50"/>
    </row>
    <row r="34" spans="1:9" x14ac:dyDescent="0.6">
      <c r="A34" s="71"/>
      <c r="B34" s="8"/>
      <c r="C34" s="8"/>
      <c r="D34" s="72"/>
      <c r="F34" s="50"/>
      <c r="G34" s="73"/>
      <c r="H34" s="50">
        <f t="shared" si="2"/>
        <v>0</v>
      </c>
    </row>
    <row r="35" spans="1:9" x14ac:dyDescent="0.6">
      <c r="A35" s="71"/>
      <c r="B35" s="8"/>
      <c r="C35" s="8"/>
      <c r="D35" s="72"/>
      <c r="F35" s="50"/>
      <c r="G35" s="74"/>
      <c r="H35" s="50">
        <f t="shared" si="2"/>
        <v>0</v>
      </c>
    </row>
    <row r="36" spans="1:9" x14ac:dyDescent="0.6">
      <c r="A36" s="71"/>
      <c r="B36" s="8"/>
      <c r="C36" s="8"/>
      <c r="D36" s="72"/>
      <c r="F36" s="50"/>
      <c r="G36" s="74"/>
      <c r="H36" s="50">
        <f t="shared" si="2"/>
        <v>0</v>
      </c>
    </row>
    <row r="37" spans="1:9" x14ac:dyDescent="0.6">
      <c r="A37" s="71"/>
      <c r="B37" s="8"/>
      <c r="C37" s="8"/>
      <c r="D37" s="72"/>
      <c r="F37" s="50"/>
      <c r="G37" s="75"/>
      <c r="H37" s="50">
        <f t="shared" si="2"/>
        <v>0</v>
      </c>
    </row>
    <row r="38" spans="1:9" x14ac:dyDescent="0.6">
      <c r="A38" s="71"/>
      <c r="C38" s="8"/>
      <c r="D38" s="72"/>
      <c r="F38" s="50"/>
      <c r="G38" s="76"/>
      <c r="H38" s="50">
        <f t="shared" si="2"/>
        <v>0</v>
      </c>
    </row>
    <row r="39" spans="1:9" x14ac:dyDescent="0.6">
      <c r="A39" s="71"/>
      <c r="B39" s="8"/>
      <c r="C39" s="8"/>
      <c r="D39" s="72"/>
      <c r="F39" s="50"/>
      <c r="G39" s="76"/>
      <c r="H39" s="50">
        <f t="shared" si="2"/>
        <v>0</v>
      </c>
    </row>
    <row r="40" spans="1:9" x14ac:dyDescent="0.6">
      <c r="A40" s="71"/>
      <c r="B40" s="8"/>
      <c r="C40" s="8"/>
      <c r="D40" s="72"/>
      <c r="F40" s="50"/>
      <c r="G40" s="76"/>
      <c r="H40" s="50">
        <f t="shared" si="2"/>
        <v>0</v>
      </c>
    </row>
    <row r="41" spans="1:9" x14ac:dyDescent="0.6">
      <c r="A41" s="71"/>
      <c r="C41" s="8"/>
      <c r="D41" s="72"/>
      <c r="F41" s="50"/>
      <c r="G41" s="76"/>
      <c r="H41" s="50">
        <f t="shared" si="2"/>
        <v>0</v>
      </c>
    </row>
    <row r="42" spans="1:9" x14ac:dyDescent="0.6">
      <c r="A42" s="71"/>
      <c r="C42" s="8"/>
      <c r="D42" s="72"/>
      <c r="F42" s="50"/>
      <c r="G42" s="74"/>
      <c r="H42" s="50">
        <f t="shared" si="2"/>
        <v>0</v>
      </c>
    </row>
    <row r="43" spans="1:9" x14ac:dyDescent="0.6">
      <c r="A43" s="71"/>
      <c r="D43" s="72"/>
      <c r="F43" s="50"/>
      <c r="G43" s="74"/>
      <c r="H43" s="50">
        <f t="shared" si="2"/>
        <v>0</v>
      </c>
    </row>
    <row r="44" spans="1:9" x14ac:dyDescent="0.6">
      <c r="A44" s="71"/>
      <c r="C44" s="8"/>
      <c r="D44" s="72"/>
      <c r="F44" s="50"/>
      <c r="H44" s="50">
        <f t="shared" si="2"/>
        <v>0</v>
      </c>
    </row>
    <row r="45" spans="1:9" x14ac:dyDescent="0.6">
      <c r="A45" s="71"/>
      <c r="B45" s="8"/>
      <c r="C45" s="8"/>
      <c r="D45" s="72"/>
      <c r="F45" s="50"/>
      <c r="H45" s="50">
        <f t="shared" si="2"/>
        <v>0</v>
      </c>
    </row>
    <row r="46" spans="1:9" x14ac:dyDescent="0.6">
      <c r="A46" s="71"/>
      <c r="C46" s="8"/>
      <c r="D46" s="72"/>
      <c r="F46" s="50"/>
      <c r="H46" s="50">
        <f t="shared" si="2"/>
        <v>0</v>
      </c>
    </row>
    <row r="47" spans="1:9" x14ac:dyDescent="0.6">
      <c r="A47" s="71"/>
      <c r="D47" s="72"/>
      <c r="F47" s="50"/>
      <c r="H47" s="50">
        <f t="shared" si="2"/>
        <v>0</v>
      </c>
    </row>
    <row r="48" spans="1:9" x14ac:dyDescent="0.6">
      <c r="A48" s="71"/>
      <c r="D48" s="72"/>
      <c r="F48" s="50"/>
      <c r="H48" s="50">
        <f t="shared" si="2"/>
        <v>0</v>
      </c>
    </row>
    <row r="49" spans="1:8" x14ac:dyDescent="0.6">
      <c r="A49" s="71"/>
      <c r="C49" s="8"/>
      <c r="D49" s="72"/>
      <c r="F49" s="50"/>
      <c r="H49" s="50">
        <f t="shared" si="2"/>
        <v>0</v>
      </c>
    </row>
    <row r="50" spans="1:8" x14ac:dyDescent="0.6">
      <c r="F50" s="50"/>
      <c r="H50" s="50">
        <f t="shared" si="2"/>
        <v>0</v>
      </c>
    </row>
    <row r="51" spans="1:8" x14ac:dyDescent="0.6">
      <c r="F51" s="50"/>
      <c r="H51" s="50">
        <f t="shared" si="2"/>
        <v>0</v>
      </c>
    </row>
    <row r="52" spans="1:8" x14ac:dyDescent="0.6">
      <c r="F52" s="50"/>
      <c r="H52" s="50">
        <f t="shared" si="2"/>
        <v>0</v>
      </c>
    </row>
    <row r="53" spans="1:8" x14ac:dyDescent="0.6">
      <c r="F53" s="50"/>
      <c r="H53" s="50">
        <f t="shared" si="2"/>
        <v>0</v>
      </c>
    </row>
    <row r="54" spans="1:8" x14ac:dyDescent="0.6">
      <c r="F54" s="50"/>
      <c r="H54" s="50">
        <f t="shared" si="2"/>
        <v>0</v>
      </c>
    </row>
    <row r="55" spans="1:8" x14ac:dyDescent="0.6">
      <c r="F55" s="50"/>
      <c r="H55" s="50">
        <f t="shared" si="2"/>
        <v>0</v>
      </c>
    </row>
    <row r="56" spans="1:8" x14ac:dyDescent="0.6">
      <c r="F56" s="50"/>
      <c r="H56" s="50">
        <f t="shared" si="2"/>
        <v>0</v>
      </c>
    </row>
    <row r="57" spans="1:8" x14ac:dyDescent="0.6">
      <c r="F57" s="50"/>
      <c r="H57" s="50">
        <f t="shared" si="2"/>
        <v>0</v>
      </c>
    </row>
    <row r="58" spans="1:8" x14ac:dyDescent="0.6">
      <c r="F58" s="50"/>
      <c r="H58" s="50">
        <f t="shared" si="2"/>
        <v>0</v>
      </c>
    </row>
    <row r="59" spans="1:8" x14ac:dyDescent="0.6">
      <c r="F59" s="50"/>
      <c r="H59" s="50">
        <f t="shared" si="2"/>
        <v>0</v>
      </c>
    </row>
    <row r="60" spans="1:8" x14ac:dyDescent="0.6">
      <c r="F60" s="50"/>
      <c r="H60" s="50">
        <f t="shared" si="2"/>
        <v>0</v>
      </c>
    </row>
    <row r="61" spans="1:8" x14ac:dyDescent="0.6">
      <c r="F61" s="50"/>
      <c r="H61" s="50">
        <f t="shared" si="2"/>
        <v>0</v>
      </c>
    </row>
    <row r="62" spans="1:8" x14ac:dyDescent="0.6">
      <c r="F62" s="50"/>
      <c r="H62" s="50">
        <f t="shared" si="2"/>
        <v>0</v>
      </c>
    </row>
    <row r="63" spans="1:8" x14ac:dyDescent="0.6">
      <c r="F63" s="50"/>
      <c r="H63" s="50">
        <f t="shared" si="2"/>
        <v>0</v>
      </c>
    </row>
    <row r="64" spans="1:8" x14ac:dyDescent="0.6">
      <c r="F64" s="50"/>
      <c r="H64" s="50">
        <f t="shared" si="2"/>
        <v>0</v>
      </c>
    </row>
    <row r="65" spans="6:8" x14ac:dyDescent="0.6">
      <c r="F65" s="50"/>
      <c r="H65" s="50">
        <f t="shared" si="2"/>
        <v>0</v>
      </c>
    </row>
    <row r="66" spans="6:8" x14ac:dyDescent="0.6">
      <c r="F66" s="50"/>
      <c r="H66" s="50">
        <f t="shared" si="2"/>
        <v>0</v>
      </c>
    </row>
    <row r="67" spans="6:8" x14ac:dyDescent="0.6">
      <c r="F67" s="50"/>
      <c r="H67" s="50">
        <f t="shared" si="2"/>
        <v>0</v>
      </c>
    </row>
    <row r="68" spans="6:8" x14ac:dyDescent="0.6">
      <c r="F68" s="50"/>
      <c r="H68" s="50">
        <f t="shared" si="2"/>
        <v>0</v>
      </c>
    </row>
    <row r="69" spans="6:8" x14ac:dyDescent="0.6">
      <c r="F69" s="50"/>
      <c r="H69" s="50">
        <f t="shared" si="2"/>
        <v>0</v>
      </c>
    </row>
    <row r="70" spans="6:8" x14ac:dyDescent="0.6">
      <c r="F70" s="50"/>
      <c r="H70" s="50">
        <f t="shared" si="2"/>
        <v>0</v>
      </c>
    </row>
    <row r="71" spans="6:8" x14ac:dyDescent="0.6">
      <c r="F71" s="50"/>
      <c r="H71" s="50">
        <f t="shared" si="2"/>
        <v>0</v>
      </c>
    </row>
    <row r="72" spans="6:8" x14ac:dyDescent="0.6">
      <c r="F72" s="50"/>
      <c r="H72" s="50">
        <f t="shared" si="2"/>
        <v>0</v>
      </c>
    </row>
    <row r="73" spans="6:8" x14ac:dyDescent="0.6">
      <c r="F73" s="50"/>
      <c r="H73" s="50">
        <f t="shared" si="2"/>
        <v>0</v>
      </c>
    </row>
    <row r="74" spans="6:8" x14ac:dyDescent="0.6">
      <c r="F74" s="50"/>
      <c r="H74" s="50">
        <f t="shared" si="2"/>
        <v>0</v>
      </c>
    </row>
    <row r="75" spans="6:8" x14ac:dyDescent="0.6">
      <c r="F75" s="50"/>
      <c r="H75" s="50">
        <f t="shared" si="2"/>
        <v>0</v>
      </c>
    </row>
    <row r="76" spans="6:8" x14ac:dyDescent="0.6">
      <c r="F76" s="50"/>
      <c r="H76" s="50">
        <f t="shared" si="2"/>
        <v>0</v>
      </c>
    </row>
    <row r="77" spans="6:8" x14ac:dyDescent="0.6">
      <c r="F77" s="50"/>
      <c r="H77" s="50">
        <f t="shared" si="2"/>
        <v>0</v>
      </c>
    </row>
    <row r="78" spans="6:8" x14ac:dyDescent="0.6">
      <c r="F78" s="50"/>
      <c r="H78" s="50">
        <f t="shared" si="2"/>
        <v>0</v>
      </c>
    </row>
    <row r="79" spans="6:8" x14ac:dyDescent="0.6">
      <c r="F79" s="50"/>
      <c r="H79" s="50">
        <f t="shared" si="2"/>
        <v>0</v>
      </c>
    </row>
    <row r="80" spans="6:8" x14ac:dyDescent="0.6">
      <c r="F80" s="50"/>
      <c r="H80" s="50">
        <f t="shared" si="2"/>
        <v>0</v>
      </c>
    </row>
    <row r="81" spans="6:8" x14ac:dyDescent="0.6">
      <c r="F81" s="50"/>
      <c r="H81" s="50">
        <f t="shared" si="2"/>
        <v>0</v>
      </c>
    </row>
    <row r="82" spans="6:8" x14ac:dyDescent="0.6">
      <c r="F82" s="50"/>
      <c r="H82" s="50">
        <f t="shared" ref="H82" si="3">F82*G82</f>
        <v>0</v>
      </c>
    </row>
    <row r="83" spans="6:8" x14ac:dyDescent="0.6">
      <c r="F83" s="50"/>
      <c r="H83" s="77"/>
    </row>
    <row r="84" spans="6:8" x14ac:dyDescent="0.6">
      <c r="F84" s="50"/>
      <c r="H84" s="77"/>
    </row>
    <row r="85" spans="6:8" x14ac:dyDescent="0.6">
      <c r="F85" s="50"/>
      <c r="H85" s="77"/>
    </row>
    <row r="86" spans="6:8" x14ac:dyDescent="0.6">
      <c r="F86" s="50"/>
      <c r="H86" s="77"/>
    </row>
    <row r="87" spans="6:8" x14ac:dyDescent="0.6">
      <c r="F87" s="50"/>
      <c r="H87" s="77"/>
    </row>
    <row r="88" spans="6:8" x14ac:dyDescent="0.6">
      <c r="F88" s="50"/>
      <c r="H88" s="77"/>
    </row>
    <row r="89" spans="6:8" x14ac:dyDescent="0.6">
      <c r="F89" s="50"/>
      <c r="H89" s="77"/>
    </row>
    <row r="90" spans="6:8" x14ac:dyDescent="0.6">
      <c r="F90" s="50"/>
      <c r="H90" s="77"/>
    </row>
    <row r="91" spans="6:8" x14ac:dyDescent="0.6">
      <c r="F91" s="50"/>
      <c r="H91" s="77"/>
    </row>
    <row r="92" spans="6:8" x14ac:dyDescent="0.6">
      <c r="F92" s="50"/>
      <c r="H92" s="77"/>
    </row>
    <row r="93" spans="6:8" x14ac:dyDescent="0.6">
      <c r="F93" s="50"/>
      <c r="H93" s="77"/>
    </row>
    <row r="94" spans="6:8" x14ac:dyDescent="0.6">
      <c r="F94" s="50"/>
      <c r="H94" s="77"/>
    </row>
    <row r="95" spans="6:8" x14ac:dyDescent="0.6">
      <c r="F95" s="50"/>
      <c r="H95" s="77"/>
    </row>
    <row r="96" spans="6:8" x14ac:dyDescent="0.6">
      <c r="F96" s="50"/>
      <c r="H96" s="77"/>
    </row>
    <row r="97" spans="6:8" x14ac:dyDescent="0.6">
      <c r="F97" s="50"/>
      <c r="H97" s="77"/>
    </row>
    <row r="98" spans="6:8" x14ac:dyDescent="0.6">
      <c r="F98" s="50"/>
      <c r="H98" s="77"/>
    </row>
    <row r="99" spans="6:8" x14ac:dyDescent="0.6">
      <c r="F99" s="50"/>
      <c r="H99" s="77"/>
    </row>
    <row r="100" spans="6:8" x14ac:dyDescent="0.6">
      <c r="F100" s="50"/>
      <c r="H100" s="77"/>
    </row>
    <row r="101" spans="6:8" x14ac:dyDescent="0.6">
      <c r="F101" s="50"/>
      <c r="H101" s="77"/>
    </row>
    <row r="102" spans="6:8" x14ac:dyDescent="0.6">
      <c r="F102" s="50"/>
      <c r="H102" s="77"/>
    </row>
    <row r="103" spans="6:8" x14ac:dyDescent="0.6">
      <c r="F103" s="50"/>
      <c r="H103" s="77"/>
    </row>
    <row r="104" spans="6:8" x14ac:dyDescent="0.6">
      <c r="F104" s="50"/>
      <c r="H104" s="77"/>
    </row>
    <row r="105" spans="6:8" x14ac:dyDescent="0.6">
      <c r="F105" s="50"/>
      <c r="H105" s="77"/>
    </row>
    <row r="106" spans="6:8" x14ac:dyDescent="0.6">
      <c r="F106" s="50"/>
      <c r="H106" s="77"/>
    </row>
    <row r="107" spans="6:8" x14ac:dyDescent="0.6">
      <c r="F107" s="50"/>
      <c r="H107" s="77"/>
    </row>
    <row r="108" spans="6:8" x14ac:dyDescent="0.6">
      <c r="F108" s="50"/>
      <c r="H108" s="77"/>
    </row>
    <row r="109" spans="6:8" x14ac:dyDescent="0.6">
      <c r="F109" s="50"/>
      <c r="H109" s="77"/>
    </row>
    <row r="110" spans="6:8" x14ac:dyDescent="0.6">
      <c r="F110" s="50"/>
      <c r="H110" s="77"/>
    </row>
    <row r="111" spans="6:8" x14ac:dyDescent="0.6">
      <c r="F111" s="50"/>
      <c r="H111" s="77"/>
    </row>
    <row r="112" spans="6:8" x14ac:dyDescent="0.6">
      <c r="F112" s="50"/>
      <c r="H112" s="77"/>
    </row>
    <row r="113" spans="6:8" x14ac:dyDescent="0.6">
      <c r="F113" s="50"/>
      <c r="H113" s="77"/>
    </row>
    <row r="114" spans="6:8" x14ac:dyDescent="0.6">
      <c r="F114" s="50"/>
      <c r="H114" s="77"/>
    </row>
    <row r="115" spans="6:8" x14ac:dyDescent="0.6">
      <c r="F115" s="50"/>
      <c r="H115" s="77"/>
    </row>
    <row r="116" spans="6:8" x14ac:dyDescent="0.6">
      <c r="F116" s="50"/>
      <c r="H116" s="77"/>
    </row>
    <row r="117" spans="6:8" x14ac:dyDescent="0.6">
      <c r="F117" s="50"/>
      <c r="H117" s="77"/>
    </row>
    <row r="118" spans="6:8" x14ac:dyDescent="0.6">
      <c r="F118" s="50"/>
      <c r="H118" s="77"/>
    </row>
    <row r="119" spans="6:8" x14ac:dyDescent="0.6">
      <c r="F119" s="50"/>
      <c r="H119" s="77"/>
    </row>
    <row r="120" spans="6:8" x14ac:dyDescent="0.6">
      <c r="F120" s="50"/>
      <c r="H120" s="77"/>
    </row>
    <row r="121" spans="6:8" x14ac:dyDescent="0.6">
      <c r="F121" s="50"/>
      <c r="H121" s="77"/>
    </row>
    <row r="122" spans="6:8" x14ac:dyDescent="0.6">
      <c r="F122" s="50"/>
      <c r="H122" s="77"/>
    </row>
    <row r="123" spans="6:8" x14ac:dyDescent="0.6">
      <c r="F123" s="50"/>
      <c r="H123" s="77"/>
    </row>
    <row r="124" spans="6:8" x14ac:dyDescent="0.6">
      <c r="F124" s="50"/>
      <c r="H124" s="77"/>
    </row>
    <row r="125" spans="6:8" x14ac:dyDescent="0.6">
      <c r="F125" s="50"/>
      <c r="H125" s="77"/>
    </row>
    <row r="126" spans="6:8" x14ac:dyDescent="0.6">
      <c r="F126" s="50"/>
      <c r="H126" s="77"/>
    </row>
    <row r="127" spans="6:8" x14ac:dyDescent="0.6">
      <c r="F127" s="50"/>
      <c r="H127" s="77"/>
    </row>
    <row r="128" spans="6:8" x14ac:dyDescent="0.6">
      <c r="F128" s="50"/>
      <c r="H128" s="77"/>
    </row>
    <row r="129" spans="6:8" x14ac:dyDescent="0.6">
      <c r="F129" s="50"/>
      <c r="H129" s="77"/>
    </row>
    <row r="130" spans="6:8" x14ac:dyDescent="0.6">
      <c r="F130" s="50"/>
      <c r="H130" s="77"/>
    </row>
    <row r="131" spans="6:8" x14ac:dyDescent="0.6">
      <c r="F131" s="50"/>
      <c r="H131" s="77"/>
    </row>
    <row r="132" spans="6:8" x14ac:dyDescent="0.6">
      <c r="F132" s="50"/>
      <c r="H132" s="77"/>
    </row>
    <row r="133" spans="6:8" x14ac:dyDescent="0.6">
      <c r="F133" s="50"/>
      <c r="H133" s="77"/>
    </row>
    <row r="134" spans="6:8" x14ac:dyDescent="0.6">
      <c r="F134" s="50"/>
      <c r="H134" s="77"/>
    </row>
    <row r="135" spans="6:8" x14ac:dyDescent="0.6">
      <c r="F135" s="50"/>
      <c r="H135" s="77"/>
    </row>
    <row r="136" spans="6:8" x14ac:dyDescent="0.6">
      <c r="F136" s="50"/>
      <c r="H136" s="77"/>
    </row>
    <row r="137" spans="6:8" x14ac:dyDescent="0.6">
      <c r="F137" s="50"/>
      <c r="H137" s="77"/>
    </row>
    <row r="138" spans="6:8" x14ac:dyDescent="0.6">
      <c r="F138" s="50"/>
      <c r="H138" s="77"/>
    </row>
    <row r="139" spans="6:8" x14ac:dyDescent="0.6">
      <c r="F139" s="50"/>
      <c r="H139" s="77"/>
    </row>
    <row r="140" spans="6:8" x14ac:dyDescent="0.6">
      <c r="F140" s="50"/>
      <c r="H140" s="77"/>
    </row>
    <row r="141" spans="6:8" x14ac:dyDescent="0.6">
      <c r="F141" s="50"/>
      <c r="H141" s="77"/>
    </row>
    <row r="142" spans="6:8" x14ac:dyDescent="0.6">
      <c r="F142" s="50"/>
      <c r="H142" s="77"/>
    </row>
    <row r="143" spans="6:8" x14ac:dyDescent="0.6">
      <c r="F143" s="50"/>
      <c r="H143" s="77"/>
    </row>
    <row r="144" spans="6:8" x14ac:dyDescent="0.6">
      <c r="F144" s="50"/>
      <c r="H144" s="77"/>
    </row>
    <row r="145" spans="1:8" x14ac:dyDescent="0.6">
      <c r="F145" s="50"/>
      <c r="H145" s="77"/>
    </row>
    <row r="146" spans="1:8" x14ac:dyDescent="0.6">
      <c r="F146" s="50"/>
      <c r="H146" s="77"/>
    </row>
    <row r="147" spans="1:8" x14ac:dyDescent="0.6">
      <c r="F147" s="50"/>
      <c r="H147" s="77"/>
    </row>
    <row r="148" spans="1:8" x14ac:dyDescent="0.6">
      <c r="F148" s="50"/>
      <c r="H148" s="77"/>
    </row>
    <row r="149" spans="1:8" x14ac:dyDescent="0.6">
      <c r="F149" s="50"/>
      <c r="H149" s="77"/>
    </row>
    <row r="150" spans="1:8" x14ac:dyDescent="0.6">
      <c r="A150" s="78"/>
      <c r="F150" s="50"/>
      <c r="H150" s="77"/>
    </row>
    <row r="151" spans="1:8" x14ac:dyDescent="0.6">
      <c r="F151" s="50"/>
      <c r="H151" s="77"/>
    </row>
    <row r="152" spans="1:8" x14ac:dyDescent="0.6">
      <c r="F152" s="50"/>
      <c r="H152" s="77"/>
    </row>
    <row r="153" spans="1:8" x14ac:dyDescent="0.6">
      <c r="F153" s="50"/>
      <c r="H153" s="77"/>
    </row>
    <row r="154" spans="1:8" x14ac:dyDescent="0.6">
      <c r="F154" s="50"/>
      <c r="H154" s="77"/>
    </row>
    <row r="155" spans="1:8" x14ac:dyDescent="0.6">
      <c r="F155" s="50"/>
      <c r="H155" s="77"/>
    </row>
    <row r="156" spans="1:8" x14ac:dyDescent="0.6">
      <c r="F156" s="50"/>
      <c r="H156" s="77"/>
    </row>
    <row r="157" spans="1:8" x14ac:dyDescent="0.6">
      <c r="F157" s="50"/>
      <c r="H157" s="77"/>
    </row>
    <row r="158" spans="1:8" x14ac:dyDescent="0.6">
      <c r="F158" s="50"/>
      <c r="H158" s="77"/>
    </row>
    <row r="159" spans="1:8" x14ac:dyDescent="0.6">
      <c r="F159" s="50"/>
      <c r="H159" s="77"/>
    </row>
    <row r="160" spans="1:8" x14ac:dyDescent="0.6">
      <c r="F160" s="50"/>
      <c r="H160" s="77"/>
    </row>
    <row r="161" spans="6:8" x14ac:dyDescent="0.6">
      <c r="F161" s="50"/>
      <c r="H161" s="77"/>
    </row>
    <row r="162" spans="6:8" x14ac:dyDescent="0.6">
      <c r="F162" s="50"/>
      <c r="H162" s="77"/>
    </row>
    <row r="163" spans="6:8" x14ac:dyDescent="0.6">
      <c r="F163" s="50"/>
      <c r="H163" s="77"/>
    </row>
    <row r="164" spans="6:8" x14ac:dyDescent="0.6">
      <c r="F164" s="50"/>
      <c r="H164" s="77"/>
    </row>
    <row r="165" spans="6:8" x14ac:dyDescent="0.6">
      <c r="F165" s="50"/>
      <c r="H165" s="77"/>
    </row>
    <row r="166" spans="6:8" x14ac:dyDescent="0.6">
      <c r="F166" s="50"/>
      <c r="H166" s="77"/>
    </row>
    <row r="167" spans="6:8" x14ac:dyDescent="0.6">
      <c r="F167" s="50"/>
      <c r="H167" s="77"/>
    </row>
    <row r="168" spans="6:8" x14ac:dyDescent="0.6">
      <c r="F168" s="50"/>
      <c r="H168" s="77"/>
    </row>
    <row r="169" spans="6:8" x14ac:dyDescent="0.6">
      <c r="F169" s="50"/>
      <c r="H169" s="77"/>
    </row>
    <row r="170" spans="6:8" x14ac:dyDescent="0.6">
      <c r="F170" s="50"/>
      <c r="H170" s="77"/>
    </row>
    <row r="171" spans="6:8" x14ac:dyDescent="0.6">
      <c r="F171" s="50"/>
      <c r="H171" s="77"/>
    </row>
    <row r="172" spans="6:8" x14ac:dyDescent="0.6">
      <c r="F172" s="50"/>
      <c r="H172" s="77"/>
    </row>
    <row r="173" spans="6:8" x14ac:dyDescent="0.6">
      <c r="F173" s="50"/>
      <c r="H173" s="77"/>
    </row>
    <row r="174" spans="6:8" x14ac:dyDescent="0.6">
      <c r="F174" s="50"/>
      <c r="H174" s="77"/>
    </row>
    <row r="175" spans="6:8" x14ac:dyDescent="0.6">
      <c r="F175" s="50"/>
      <c r="H175" s="77"/>
    </row>
    <row r="176" spans="6:8" x14ac:dyDescent="0.6">
      <c r="F176" s="50"/>
      <c r="H176" s="77"/>
    </row>
    <row r="177" spans="6:8" x14ac:dyDescent="0.6">
      <c r="F177" s="50"/>
      <c r="H177" s="77"/>
    </row>
    <row r="178" spans="6:8" x14ac:dyDescent="0.6">
      <c r="F178" s="50"/>
      <c r="H178" s="77"/>
    </row>
    <row r="179" spans="6:8" x14ac:dyDescent="0.6">
      <c r="F179" s="50"/>
      <c r="H179" s="77"/>
    </row>
    <row r="180" spans="6:8" x14ac:dyDescent="0.6">
      <c r="F180" s="50"/>
      <c r="H180" s="77"/>
    </row>
    <row r="181" spans="6:8" x14ac:dyDescent="0.6">
      <c r="F181" s="50"/>
      <c r="H181" s="77"/>
    </row>
    <row r="182" spans="6:8" x14ac:dyDescent="0.6">
      <c r="F182" s="50"/>
      <c r="H182" s="77"/>
    </row>
    <row r="183" spans="6:8" x14ac:dyDescent="0.6">
      <c r="F183" s="50"/>
      <c r="H183" s="77"/>
    </row>
    <row r="184" spans="6:8" x14ac:dyDescent="0.6">
      <c r="F184" s="50"/>
      <c r="H184" s="77"/>
    </row>
    <row r="185" spans="6:8" x14ac:dyDescent="0.6">
      <c r="F185" s="50"/>
      <c r="H185" s="77"/>
    </row>
    <row r="186" spans="6:8" x14ac:dyDescent="0.6">
      <c r="F186" s="50"/>
      <c r="H186" s="77"/>
    </row>
    <row r="187" spans="6:8" x14ac:dyDescent="0.6">
      <c r="F187" s="50"/>
      <c r="H187" s="77"/>
    </row>
    <row r="188" spans="6:8" x14ac:dyDescent="0.6">
      <c r="F188" s="50"/>
      <c r="H188" s="77"/>
    </row>
    <row r="189" spans="6:8" x14ac:dyDescent="0.6">
      <c r="F189" s="50"/>
      <c r="H189" s="77"/>
    </row>
    <row r="190" spans="6:8" x14ac:dyDescent="0.6">
      <c r="F190" s="50"/>
      <c r="H190" s="77"/>
    </row>
    <row r="191" spans="6:8" x14ac:dyDescent="0.6">
      <c r="F191" s="50"/>
      <c r="H191" s="77"/>
    </row>
    <row r="192" spans="6:8" x14ac:dyDescent="0.6">
      <c r="F192" s="50"/>
      <c r="H192" s="77"/>
    </row>
    <row r="193" spans="6:8" x14ac:dyDescent="0.6">
      <c r="F193" s="50"/>
      <c r="H193" s="77"/>
    </row>
    <row r="194" spans="6:8" x14ac:dyDescent="0.6">
      <c r="F194" s="50"/>
      <c r="H194" s="77"/>
    </row>
    <row r="195" spans="6:8" x14ac:dyDescent="0.6">
      <c r="F195" s="50"/>
      <c r="H195" s="77"/>
    </row>
    <row r="196" spans="6:8" x14ac:dyDescent="0.6">
      <c r="F196" s="50"/>
      <c r="H196" s="77"/>
    </row>
    <row r="197" spans="6:8" x14ac:dyDescent="0.6">
      <c r="F197" s="50"/>
      <c r="H197" s="77"/>
    </row>
    <row r="198" spans="6:8" x14ac:dyDescent="0.6">
      <c r="F198" s="50"/>
      <c r="H198" s="77"/>
    </row>
    <row r="199" spans="6:8" x14ac:dyDescent="0.6">
      <c r="F199" s="50"/>
      <c r="H199" s="77"/>
    </row>
    <row r="200" spans="6:8" x14ac:dyDescent="0.6">
      <c r="F200" s="50"/>
      <c r="H200" s="77"/>
    </row>
    <row r="201" spans="6:8" x14ac:dyDescent="0.6">
      <c r="F201" s="50"/>
      <c r="H201" s="77"/>
    </row>
    <row r="202" spans="6:8" x14ac:dyDescent="0.6">
      <c r="F202" s="50"/>
      <c r="H202" s="77"/>
    </row>
    <row r="203" spans="6:8" x14ac:dyDescent="0.6">
      <c r="F203" s="50"/>
      <c r="H203" s="77"/>
    </row>
    <row r="204" spans="6:8" x14ac:dyDescent="0.6">
      <c r="F204" s="50"/>
      <c r="H204" s="77"/>
    </row>
    <row r="205" spans="6:8" x14ac:dyDescent="0.6">
      <c r="F205" s="50"/>
      <c r="H205" s="77"/>
    </row>
    <row r="206" spans="6:8" x14ac:dyDescent="0.6">
      <c r="F206" s="50"/>
      <c r="H206" s="77"/>
    </row>
    <row r="207" spans="6:8" x14ac:dyDescent="0.6">
      <c r="F207" s="50"/>
      <c r="H207" s="77"/>
    </row>
    <row r="208" spans="6:8" x14ac:dyDescent="0.6">
      <c r="F208" s="50"/>
      <c r="H208" s="77"/>
    </row>
    <row r="209" spans="6:8" x14ac:dyDescent="0.6">
      <c r="F209" s="50"/>
      <c r="H209" s="77"/>
    </row>
    <row r="210" spans="6:8" x14ac:dyDescent="0.6">
      <c r="F210" s="50"/>
      <c r="H210" s="77"/>
    </row>
    <row r="211" spans="6:8" x14ac:dyDescent="0.6">
      <c r="F211" s="50"/>
      <c r="H211" s="77"/>
    </row>
    <row r="212" spans="6:8" x14ac:dyDescent="0.6">
      <c r="F212" s="50"/>
      <c r="H212" s="77"/>
    </row>
    <row r="213" spans="6:8" x14ac:dyDescent="0.6">
      <c r="F213" s="50"/>
      <c r="H213" s="77"/>
    </row>
    <row r="214" spans="6:8" x14ac:dyDescent="0.6">
      <c r="F214" s="50"/>
      <c r="H214" s="77"/>
    </row>
    <row r="215" spans="6:8" x14ac:dyDescent="0.6">
      <c r="F215" s="50"/>
      <c r="H215" s="77"/>
    </row>
    <row r="216" spans="6:8" x14ac:dyDescent="0.6">
      <c r="F216" s="50"/>
      <c r="H216" s="77"/>
    </row>
    <row r="217" spans="6:8" x14ac:dyDescent="0.6">
      <c r="F217" s="50"/>
      <c r="H217" s="77"/>
    </row>
    <row r="218" spans="6:8" x14ac:dyDescent="0.6">
      <c r="F218" s="50"/>
      <c r="H218" s="77"/>
    </row>
    <row r="219" spans="6:8" x14ac:dyDescent="0.6">
      <c r="F219" s="50"/>
      <c r="H219" s="77"/>
    </row>
    <row r="220" spans="6:8" x14ac:dyDescent="0.6">
      <c r="F220" s="50"/>
      <c r="H220" s="77"/>
    </row>
    <row r="221" spans="6:8" x14ac:dyDescent="0.6">
      <c r="F221" s="50"/>
      <c r="H221" s="77"/>
    </row>
    <row r="222" spans="6:8" x14ac:dyDescent="0.6">
      <c r="F222" s="50"/>
      <c r="H222" s="77"/>
    </row>
    <row r="223" spans="6:8" x14ac:dyDescent="0.6">
      <c r="F223" s="50"/>
      <c r="H223" s="77"/>
    </row>
    <row r="224" spans="6:8" x14ac:dyDescent="0.6">
      <c r="F224" s="50"/>
      <c r="H224" s="77"/>
    </row>
    <row r="225" spans="6:8" x14ac:dyDescent="0.6">
      <c r="F225" s="50"/>
      <c r="H225" s="77"/>
    </row>
    <row r="226" spans="6:8" x14ac:dyDescent="0.6">
      <c r="F226" s="50"/>
      <c r="H226" s="77"/>
    </row>
    <row r="227" spans="6:8" x14ac:dyDescent="0.6">
      <c r="F227" s="50"/>
      <c r="H227" s="77"/>
    </row>
    <row r="228" spans="6:8" x14ac:dyDescent="0.6">
      <c r="F228" s="50"/>
      <c r="H228" s="77"/>
    </row>
    <row r="229" spans="6:8" x14ac:dyDescent="0.6">
      <c r="F229" s="50"/>
      <c r="H229" s="77"/>
    </row>
    <row r="230" spans="6:8" x14ac:dyDescent="0.6">
      <c r="F230" s="50"/>
      <c r="H230" s="77"/>
    </row>
    <row r="231" spans="6:8" x14ac:dyDescent="0.6">
      <c r="F231" s="50"/>
      <c r="H231" s="77"/>
    </row>
    <row r="232" spans="6:8" x14ac:dyDescent="0.6">
      <c r="F232" s="50"/>
      <c r="H232" s="77"/>
    </row>
    <row r="233" spans="6:8" x14ac:dyDescent="0.6">
      <c r="F233" s="50"/>
      <c r="H233" s="77"/>
    </row>
    <row r="234" spans="6:8" x14ac:dyDescent="0.6">
      <c r="F234" s="50"/>
      <c r="H234" s="77"/>
    </row>
    <row r="235" spans="6:8" x14ac:dyDescent="0.6">
      <c r="F235" s="50"/>
      <c r="H235" s="77"/>
    </row>
    <row r="236" spans="6:8" x14ac:dyDescent="0.6">
      <c r="F236" s="50"/>
      <c r="H236" s="77"/>
    </row>
    <row r="237" spans="6:8" x14ac:dyDescent="0.6">
      <c r="F237" s="50"/>
      <c r="H237" s="77"/>
    </row>
    <row r="238" spans="6:8" x14ac:dyDescent="0.6">
      <c r="F238" s="50"/>
      <c r="H238" s="77"/>
    </row>
    <row r="239" spans="6:8" x14ac:dyDescent="0.6">
      <c r="F239" s="50"/>
      <c r="H239" s="77"/>
    </row>
    <row r="240" spans="6:8" x14ac:dyDescent="0.6">
      <c r="F240" s="50"/>
      <c r="H240" s="77"/>
    </row>
    <row r="241" spans="6:8" x14ac:dyDescent="0.6">
      <c r="F241" s="50"/>
      <c r="H241" s="77"/>
    </row>
    <row r="242" spans="6:8" x14ac:dyDescent="0.6">
      <c r="F242" s="50"/>
      <c r="H242" s="77"/>
    </row>
    <row r="243" spans="6:8" x14ac:dyDescent="0.6">
      <c r="F243" s="50"/>
      <c r="H243" s="77"/>
    </row>
    <row r="244" spans="6:8" x14ac:dyDescent="0.6">
      <c r="F244" s="50"/>
      <c r="H244" s="77"/>
    </row>
    <row r="245" spans="6:8" x14ac:dyDescent="0.6">
      <c r="F245" s="50"/>
      <c r="H245" s="77"/>
    </row>
    <row r="246" spans="6:8" x14ac:dyDescent="0.6">
      <c r="F246" s="50"/>
      <c r="H246" s="77"/>
    </row>
    <row r="247" spans="6:8" x14ac:dyDescent="0.6">
      <c r="F247" s="50"/>
      <c r="H247" s="77"/>
    </row>
    <row r="248" spans="6:8" x14ac:dyDescent="0.6">
      <c r="F248" s="50"/>
      <c r="H248" s="77"/>
    </row>
    <row r="249" spans="6:8" x14ac:dyDescent="0.6">
      <c r="F249" s="50"/>
      <c r="H249" s="77"/>
    </row>
    <row r="250" spans="6:8" x14ac:dyDescent="0.6">
      <c r="F250" s="50"/>
      <c r="H250" s="77"/>
    </row>
    <row r="251" spans="6:8" x14ac:dyDescent="0.6">
      <c r="F251" s="50"/>
      <c r="H251" s="77"/>
    </row>
    <row r="252" spans="6:8" x14ac:dyDescent="0.6">
      <c r="F252" s="50"/>
      <c r="H252" s="77"/>
    </row>
    <row r="253" spans="6:8" x14ac:dyDescent="0.6">
      <c r="F253" s="50"/>
      <c r="H253" s="77"/>
    </row>
    <row r="254" spans="6:8" x14ac:dyDescent="0.6">
      <c r="F254" s="50"/>
      <c r="H254" s="77"/>
    </row>
    <row r="255" spans="6:8" x14ac:dyDescent="0.6">
      <c r="F255" s="50"/>
      <c r="H255" s="77"/>
    </row>
    <row r="256" spans="6:8" x14ac:dyDescent="0.6">
      <c r="F256" s="50"/>
      <c r="H256" s="77"/>
    </row>
    <row r="257" spans="6:8" x14ac:dyDescent="0.6">
      <c r="F257" s="50"/>
      <c r="H257" s="77"/>
    </row>
    <row r="258" spans="6:8" x14ac:dyDescent="0.6">
      <c r="F258" s="50"/>
      <c r="H258" s="77"/>
    </row>
    <row r="259" spans="6:8" x14ac:dyDescent="0.6">
      <c r="F259" s="50"/>
      <c r="H259" s="77"/>
    </row>
    <row r="260" spans="6:8" x14ac:dyDescent="0.6">
      <c r="F260" s="50"/>
      <c r="H260" s="77"/>
    </row>
    <row r="261" spans="6:8" x14ac:dyDescent="0.6">
      <c r="F261" s="50"/>
      <c r="H261" s="77"/>
    </row>
    <row r="262" spans="6:8" x14ac:dyDescent="0.6">
      <c r="F262" s="50"/>
      <c r="H262" s="77"/>
    </row>
    <row r="263" spans="6:8" x14ac:dyDescent="0.6">
      <c r="F263" s="50"/>
      <c r="H263" s="77"/>
    </row>
    <row r="264" spans="6:8" x14ac:dyDescent="0.6">
      <c r="F264" s="50"/>
      <c r="H264" s="77"/>
    </row>
    <row r="265" spans="6:8" x14ac:dyDescent="0.6">
      <c r="F265" s="50"/>
      <c r="H265" s="77"/>
    </row>
    <row r="266" spans="6:8" x14ac:dyDescent="0.6">
      <c r="F266" s="50"/>
      <c r="H266" s="77"/>
    </row>
    <row r="267" spans="6:8" x14ac:dyDescent="0.6">
      <c r="F267" s="50"/>
      <c r="H267" s="77"/>
    </row>
    <row r="268" spans="6:8" x14ac:dyDescent="0.6">
      <c r="F268" s="50"/>
      <c r="H268" s="77"/>
    </row>
    <row r="269" spans="6:8" x14ac:dyDescent="0.6">
      <c r="F269" s="50"/>
      <c r="H269" s="77"/>
    </row>
    <row r="270" spans="6:8" x14ac:dyDescent="0.6">
      <c r="F270" s="50"/>
      <c r="H270" s="77"/>
    </row>
    <row r="271" spans="6:8" x14ac:dyDescent="0.6">
      <c r="F271" s="50"/>
      <c r="H271" s="77"/>
    </row>
    <row r="272" spans="6:8" x14ac:dyDescent="0.6">
      <c r="F272" s="50"/>
      <c r="H272" s="77"/>
    </row>
    <row r="273" spans="6:8" x14ac:dyDescent="0.6">
      <c r="F273" s="50"/>
      <c r="H273" s="77"/>
    </row>
    <row r="274" spans="6:8" x14ac:dyDescent="0.6">
      <c r="F274" s="50"/>
      <c r="H274" s="77"/>
    </row>
    <row r="275" spans="6:8" x14ac:dyDescent="0.6">
      <c r="F275" s="50"/>
      <c r="H275" s="77"/>
    </row>
    <row r="276" spans="6:8" x14ac:dyDescent="0.6">
      <c r="F276" s="50"/>
      <c r="H276" s="77"/>
    </row>
    <row r="277" spans="6:8" x14ac:dyDescent="0.6">
      <c r="F277" s="50"/>
      <c r="H277" s="77"/>
    </row>
    <row r="278" spans="6:8" x14ac:dyDescent="0.6">
      <c r="F278" s="50"/>
      <c r="H278" s="77"/>
    </row>
    <row r="279" spans="6:8" x14ac:dyDescent="0.6">
      <c r="F279" s="50"/>
      <c r="H279" s="77"/>
    </row>
    <row r="280" spans="6:8" x14ac:dyDescent="0.6">
      <c r="F280" s="50"/>
      <c r="H280" s="77"/>
    </row>
    <row r="281" spans="6:8" x14ac:dyDescent="0.6">
      <c r="F281" s="50"/>
      <c r="H281" s="77"/>
    </row>
    <row r="282" spans="6:8" x14ac:dyDescent="0.6">
      <c r="F282" s="50"/>
      <c r="H282" s="77"/>
    </row>
    <row r="283" spans="6:8" x14ac:dyDescent="0.6">
      <c r="F283" s="50"/>
      <c r="H283" s="77"/>
    </row>
    <row r="284" spans="6:8" x14ac:dyDescent="0.6">
      <c r="F284" s="50"/>
      <c r="H284" s="77"/>
    </row>
    <row r="285" spans="6:8" x14ac:dyDescent="0.6">
      <c r="F285" s="50"/>
      <c r="H285" s="77"/>
    </row>
    <row r="286" spans="6:8" x14ac:dyDescent="0.6">
      <c r="F286" s="50"/>
      <c r="H286" s="77"/>
    </row>
    <row r="287" spans="6:8" x14ac:dyDescent="0.6">
      <c r="F287" s="50"/>
      <c r="H287" s="77"/>
    </row>
    <row r="288" spans="6:8" x14ac:dyDescent="0.6">
      <c r="F288" s="50"/>
      <c r="H288" s="77"/>
    </row>
    <row r="289" spans="6:8" x14ac:dyDescent="0.6">
      <c r="F289" s="50"/>
      <c r="H289" s="77"/>
    </row>
    <row r="290" spans="6:8" x14ac:dyDescent="0.6">
      <c r="F290" s="50"/>
      <c r="H290" s="77"/>
    </row>
    <row r="291" spans="6:8" x14ac:dyDescent="0.6">
      <c r="F291" s="50"/>
      <c r="H291" s="77"/>
    </row>
    <row r="292" spans="6:8" x14ac:dyDescent="0.6">
      <c r="F292" s="50"/>
      <c r="H292" s="77"/>
    </row>
    <row r="293" spans="6:8" x14ac:dyDescent="0.6">
      <c r="F293" s="50"/>
      <c r="H293" s="77"/>
    </row>
    <row r="294" spans="6:8" x14ac:dyDescent="0.6">
      <c r="F294" s="50"/>
      <c r="H294" s="77"/>
    </row>
    <row r="295" spans="6:8" x14ac:dyDescent="0.6">
      <c r="F295" s="50"/>
      <c r="H295" s="77"/>
    </row>
    <row r="296" spans="6:8" x14ac:dyDescent="0.6">
      <c r="F296" s="50"/>
      <c r="H296" s="77"/>
    </row>
    <row r="297" spans="6:8" x14ac:dyDescent="0.6">
      <c r="F297" s="50"/>
      <c r="H297" s="77"/>
    </row>
    <row r="298" spans="6:8" x14ac:dyDescent="0.6">
      <c r="F298" s="50"/>
      <c r="H298" s="77"/>
    </row>
    <row r="299" spans="6:8" x14ac:dyDescent="0.6">
      <c r="F299" s="50"/>
      <c r="H299" s="77"/>
    </row>
    <row r="300" spans="6:8" x14ac:dyDescent="0.6">
      <c r="F300" s="50"/>
      <c r="H300" s="77"/>
    </row>
    <row r="301" spans="6:8" x14ac:dyDescent="0.6">
      <c r="F301" s="50"/>
      <c r="H301" s="77"/>
    </row>
    <row r="302" spans="6:8" x14ac:dyDescent="0.6">
      <c r="F302" s="50"/>
      <c r="H302" s="77"/>
    </row>
    <row r="303" spans="6:8" x14ac:dyDescent="0.6">
      <c r="F303" s="50"/>
      <c r="H303" s="77"/>
    </row>
    <row r="304" spans="6:8" x14ac:dyDescent="0.6">
      <c r="F304" s="50"/>
      <c r="H304" s="77"/>
    </row>
    <row r="305" spans="6:8" x14ac:dyDescent="0.6">
      <c r="F305" s="50"/>
      <c r="H305" s="77"/>
    </row>
    <row r="306" spans="6:8" x14ac:dyDescent="0.6">
      <c r="F306" s="50"/>
      <c r="H306" s="77"/>
    </row>
    <row r="307" spans="6:8" x14ac:dyDescent="0.6">
      <c r="F307" s="50"/>
      <c r="H307" s="77"/>
    </row>
    <row r="308" spans="6:8" x14ac:dyDescent="0.6">
      <c r="F308" s="50"/>
      <c r="H308" s="77"/>
    </row>
    <row r="309" spans="6:8" x14ac:dyDescent="0.6">
      <c r="F309" s="50"/>
      <c r="H309" s="77"/>
    </row>
    <row r="310" spans="6:8" x14ac:dyDescent="0.6">
      <c r="F310" s="50"/>
      <c r="H310" s="77"/>
    </row>
    <row r="311" spans="6:8" x14ac:dyDescent="0.6">
      <c r="F311" s="50"/>
      <c r="H311" s="77"/>
    </row>
    <row r="312" spans="6:8" x14ac:dyDescent="0.6">
      <c r="F312" s="50"/>
      <c r="H312" s="77"/>
    </row>
    <row r="313" spans="6:8" x14ac:dyDescent="0.6">
      <c r="F313" s="50"/>
      <c r="H313" s="77"/>
    </row>
    <row r="314" spans="6:8" x14ac:dyDescent="0.6">
      <c r="F314" s="50"/>
      <c r="H314" s="77"/>
    </row>
    <row r="315" spans="6:8" x14ac:dyDescent="0.6">
      <c r="F315" s="50"/>
      <c r="H315" s="77"/>
    </row>
    <row r="316" spans="6:8" x14ac:dyDescent="0.6">
      <c r="F316" s="50"/>
      <c r="H316" s="77"/>
    </row>
    <row r="317" spans="6:8" x14ac:dyDescent="0.6">
      <c r="F317" s="50"/>
      <c r="H317" s="77"/>
    </row>
    <row r="318" spans="6:8" x14ac:dyDescent="0.6">
      <c r="F318" s="50"/>
      <c r="H318" s="77"/>
    </row>
    <row r="319" spans="6:8" x14ac:dyDescent="0.6">
      <c r="F319" s="50"/>
      <c r="H319" s="77"/>
    </row>
    <row r="320" spans="6:8" x14ac:dyDescent="0.6">
      <c r="F320" s="50"/>
      <c r="H320" s="77"/>
    </row>
    <row r="321" spans="6:8" x14ac:dyDescent="0.6">
      <c r="F321" s="50"/>
      <c r="H321" s="77"/>
    </row>
    <row r="322" spans="6:8" x14ac:dyDescent="0.6">
      <c r="F322" s="50"/>
      <c r="H322" s="77"/>
    </row>
    <row r="323" spans="6:8" x14ac:dyDescent="0.6">
      <c r="F323" s="50"/>
      <c r="H323" s="77"/>
    </row>
    <row r="324" spans="6:8" x14ac:dyDescent="0.6">
      <c r="F324" s="50"/>
      <c r="H324" s="77"/>
    </row>
    <row r="325" spans="6:8" x14ac:dyDescent="0.6">
      <c r="F325" s="50"/>
      <c r="H325" s="77"/>
    </row>
    <row r="326" spans="6:8" x14ac:dyDescent="0.6">
      <c r="F326" s="50"/>
      <c r="H326" s="77"/>
    </row>
    <row r="327" spans="6:8" x14ac:dyDescent="0.6">
      <c r="F327" s="50"/>
      <c r="H327" s="77"/>
    </row>
    <row r="328" spans="6:8" x14ac:dyDescent="0.6">
      <c r="F328" s="50"/>
      <c r="H328" s="77"/>
    </row>
    <row r="329" spans="6:8" x14ac:dyDescent="0.6">
      <c r="F329" s="50"/>
      <c r="H329" s="77"/>
    </row>
    <row r="330" spans="6:8" x14ac:dyDescent="0.6">
      <c r="F330" s="50"/>
      <c r="H330" s="77"/>
    </row>
    <row r="331" spans="6:8" x14ac:dyDescent="0.6">
      <c r="F331" s="50"/>
      <c r="H331" s="77"/>
    </row>
    <row r="332" spans="6:8" x14ac:dyDescent="0.6">
      <c r="F332" s="50"/>
      <c r="H332" s="77"/>
    </row>
    <row r="333" spans="6:8" x14ac:dyDescent="0.6">
      <c r="F333" s="50"/>
      <c r="H333" s="77"/>
    </row>
    <row r="334" spans="6:8" x14ac:dyDescent="0.6">
      <c r="F334" s="50"/>
      <c r="H334" s="77"/>
    </row>
    <row r="335" spans="6:8" x14ac:dyDescent="0.6">
      <c r="F335" s="50"/>
      <c r="H335" s="77"/>
    </row>
    <row r="336" spans="6:8" x14ac:dyDescent="0.6">
      <c r="F336" s="50"/>
      <c r="H336" s="77"/>
    </row>
    <row r="337" spans="6:8" x14ac:dyDescent="0.6">
      <c r="F337" s="50"/>
      <c r="H337" s="77"/>
    </row>
    <row r="338" spans="6:8" x14ac:dyDescent="0.6">
      <c r="F338" s="50"/>
      <c r="H338" s="77"/>
    </row>
    <row r="339" spans="6:8" x14ac:dyDescent="0.6">
      <c r="F339" s="50"/>
      <c r="H339" s="77"/>
    </row>
    <row r="340" spans="6:8" x14ac:dyDescent="0.6">
      <c r="F340" s="50"/>
      <c r="H340" s="77"/>
    </row>
    <row r="341" spans="6:8" x14ac:dyDescent="0.6">
      <c r="F341" s="50"/>
      <c r="H341" s="77"/>
    </row>
    <row r="342" spans="6:8" x14ac:dyDescent="0.6">
      <c r="F342" s="50"/>
      <c r="H342" s="77"/>
    </row>
    <row r="343" spans="6:8" x14ac:dyDescent="0.6">
      <c r="F343" s="50"/>
      <c r="H343" s="77"/>
    </row>
    <row r="344" spans="6:8" x14ac:dyDescent="0.6">
      <c r="F344" s="50"/>
      <c r="H344" s="77"/>
    </row>
    <row r="345" spans="6:8" x14ac:dyDescent="0.6">
      <c r="F345" s="50"/>
      <c r="H345" s="77"/>
    </row>
    <row r="346" spans="6:8" x14ac:dyDescent="0.6">
      <c r="F346" s="50"/>
      <c r="H346" s="77"/>
    </row>
    <row r="347" spans="6:8" x14ac:dyDescent="0.6">
      <c r="F347" s="50"/>
      <c r="H347" s="77"/>
    </row>
    <row r="348" spans="6:8" x14ac:dyDescent="0.6">
      <c r="F348" s="50"/>
      <c r="H348" s="77"/>
    </row>
    <row r="349" spans="6:8" x14ac:dyDescent="0.6">
      <c r="F349" s="50"/>
      <c r="H349" s="77"/>
    </row>
    <row r="350" spans="6:8" x14ac:dyDescent="0.6">
      <c r="F350" s="50"/>
      <c r="H350" s="77"/>
    </row>
    <row r="351" spans="6:8" x14ac:dyDescent="0.6">
      <c r="F351" s="50"/>
      <c r="H351" s="77"/>
    </row>
    <row r="352" spans="6:8" x14ac:dyDescent="0.6">
      <c r="F352" s="50"/>
      <c r="H352" s="77"/>
    </row>
    <row r="353" spans="6:8" x14ac:dyDescent="0.6">
      <c r="F353" s="50"/>
      <c r="H353" s="77"/>
    </row>
    <row r="354" spans="6:8" x14ac:dyDescent="0.6">
      <c r="F354" s="50"/>
      <c r="H354" s="77"/>
    </row>
    <row r="355" spans="6:8" x14ac:dyDescent="0.6">
      <c r="F355" s="50"/>
      <c r="H355" s="77"/>
    </row>
    <row r="356" spans="6:8" x14ac:dyDescent="0.6">
      <c r="F356" s="50"/>
      <c r="H356" s="77"/>
    </row>
    <row r="357" spans="6:8" x14ac:dyDescent="0.6">
      <c r="F357" s="50"/>
      <c r="H357" s="77"/>
    </row>
    <row r="358" spans="6:8" x14ac:dyDescent="0.6">
      <c r="F358" s="50"/>
      <c r="H358" s="77"/>
    </row>
    <row r="359" spans="6:8" x14ac:dyDescent="0.6">
      <c r="F359" s="50"/>
      <c r="H359" s="77"/>
    </row>
    <row r="360" spans="6:8" x14ac:dyDescent="0.6">
      <c r="F360" s="50"/>
      <c r="H360" s="77"/>
    </row>
    <row r="361" spans="6:8" x14ac:dyDescent="0.6">
      <c r="F361" s="50"/>
      <c r="H361" s="77"/>
    </row>
    <row r="362" spans="6:8" x14ac:dyDescent="0.6">
      <c r="F362" s="50"/>
      <c r="H362" s="77"/>
    </row>
    <row r="363" spans="6:8" x14ac:dyDescent="0.6">
      <c r="F363" s="50"/>
      <c r="H363" s="77"/>
    </row>
    <row r="364" spans="6:8" x14ac:dyDescent="0.6">
      <c r="F364" s="50"/>
      <c r="H364" s="77"/>
    </row>
    <row r="365" spans="6:8" x14ac:dyDescent="0.6">
      <c r="F365" s="50"/>
      <c r="H365" s="77"/>
    </row>
    <row r="366" spans="6:8" x14ac:dyDescent="0.6">
      <c r="F366" s="50"/>
      <c r="H366" s="77"/>
    </row>
    <row r="367" spans="6:8" x14ac:dyDescent="0.6">
      <c r="F367" s="50"/>
      <c r="H367" s="77"/>
    </row>
    <row r="368" spans="6:8" x14ac:dyDescent="0.6">
      <c r="F368" s="50"/>
      <c r="H368" s="77"/>
    </row>
    <row r="369" spans="6:8" x14ac:dyDescent="0.6">
      <c r="F369" s="50"/>
      <c r="H369" s="77"/>
    </row>
    <row r="370" spans="6:8" x14ac:dyDescent="0.6">
      <c r="F370" s="50"/>
      <c r="H370" s="77"/>
    </row>
    <row r="371" spans="6:8" x14ac:dyDescent="0.6">
      <c r="F371" s="50"/>
      <c r="H371" s="77"/>
    </row>
    <row r="372" spans="6:8" x14ac:dyDescent="0.6">
      <c r="F372" s="50"/>
      <c r="H372" s="77"/>
    </row>
    <row r="373" spans="6:8" x14ac:dyDescent="0.6">
      <c r="F373" s="50"/>
      <c r="H373" s="77"/>
    </row>
    <row r="374" spans="6:8" x14ac:dyDescent="0.6">
      <c r="F374" s="50"/>
      <c r="H374" s="77"/>
    </row>
    <row r="375" spans="6:8" x14ac:dyDescent="0.6">
      <c r="F375" s="50"/>
      <c r="H375" s="77"/>
    </row>
    <row r="376" spans="6:8" x14ac:dyDescent="0.6">
      <c r="F376" s="50"/>
      <c r="H376" s="77"/>
    </row>
    <row r="377" spans="6:8" x14ac:dyDescent="0.6">
      <c r="F377" s="50"/>
      <c r="H377" s="77"/>
    </row>
    <row r="378" spans="6:8" x14ac:dyDescent="0.6">
      <c r="F378" s="50"/>
      <c r="H378" s="77"/>
    </row>
    <row r="379" spans="6:8" x14ac:dyDescent="0.6">
      <c r="F379" s="50"/>
      <c r="H379" s="77"/>
    </row>
    <row r="380" spans="6:8" x14ac:dyDescent="0.6">
      <c r="F380" s="50"/>
      <c r="H380" s="77"/>
    </row>
    <row r="381" spans="6:8" x14ac:dyDescent="0.6">
      <c r="F381" s="50"/>
      <c r="H381" s="77"/>
    </row>
    <row r="382" spans="6:8" x14ac:dyDescent="0.6">
      <c r="F382" s="50"/>
      <c r="H382" s="77"/>
    </row>
    <row r="383" spans="6:8" x14ac:dyDescent="0.6">
      <c r="F383" s="50"/>
      <c r="H383" s="77"/>
    </row>
    <row r="384" spans="6:8" x14ac:dyDescent="0.6">
      <c r="F384" s="50"/>
      <c r="H384" s="77"/>
    </row>
    <row r="385" spans="6:8" x14ac:dyDescent="0.6">
      <c r="F385" s="50"/>
      <c r="H385" s="77"/>
    </row>
    <row r="386" spans="6:8" x14ac:dyDescent="0.6">
      <c r="F386" s="50"/>
      <c r="H386" s="77"/>
    </row>
    <row r="387" spans="6:8" x14ac:dyDescent="0.6">
      <c r="F387" s="50"/>
      <c r="H387" s="77"/>
    </row>
    <row r="388" spans="6:8" x14ac:dyDescent="0.6">
      <c r="F388" s="50"/>
      <c r="H388" s="77"/>
    </row>
    <row r="389" spans="6:8" x14ac:dyDescent="0.6">
      <c r="F389" s="50"/>
      <c r="H389" s="77"/>
    </row>
    <row r="390" spans="6:8" x14ac:dyDescent="0.6">
      <c r="F390" s="50"/>
      <c r="H390" s="77"/>
    </row>
    <row r="391" spans="6:8" x14ac:dyDescent="0.6">
      <c r="F391" s="50"/>
      <c r="H391" s="77"/>
    </row>
    <row r="392" spans="6:8" x14ac:dyDescent="0.6">
      <c r="F392" s="50"/>
      <c r="H392" s="77"/>
    </row>
    <row r="393" spans="6:8" x14ac:dyDescent="0.6">
      <c r="F393" s="50"/>
      <c r="H393" s="77"/>
    </row>
    <row r="394" spans="6:8" x14ac:dyDescent="0.6">
      <c r="F394" s="50"/>
      <c r="H394" s="77"/>
    </row>
    <row r="395" spans="6:8" x14ac:dyDescent="0.6">
      <c r="F395" s="50"/>
      <c r="H395" s="77"/>
    </row>
    <row r="396" spans="6:8" x14ac:dyDescent="0.6">
      <c r="F396" s="50"/>
      <c r="H396" s="77"/>
    </row>
    <row r="397" spans="6:8" x14ac:dyDescent="0.6">
      <c r="F397" s="50"/>
      <c r="H397" s="77"/>
    </row>
    <row r="398" spans="6:8" x14ac:dyDescent="0.6">
      <c r="F398" s="50"/>
      <c r="H398" s="77"/>
    </row>
    <row r="399" spans="6:8" x14ac:dyDescent="0.6">
      <c r="F399" s="50"/>
      <c r="H399" s="77"/>
    </row>
    <row r="400" spans="6:8" x14ac:dyDescent="0.6">
      <c r="F400" s="50"/>
      <c r="H400" s="77"/>
    </row>
    <row r="401" spans="6:8" x14ac:dyDescent="0.6">
      <c r="F401" s="50"/>
      <c r="H401" s="77"/>
    </row>
    <row r="402" spans="6:8" x14ac:dyDescent="0.6">
      <c r="F402" s="50"/>
      <c r="H402" s="77"/>
    </row>
    <row r="403" spans="6:8" x14ac:dyDescent="0.6">
      <c r="F403" s="50"/>
      <c r="H403" s="77"/>
    </row>
    <row r="404" spans="6:8" x14ac:dyDescent="0.6">
      <c r="F404" s="50"/>
      <c r="H404" s="77"/>
    </row>
    <row r="405" spans="6:8" x14ac:dyDescent="0.6">
      <c r="F405" s="50"/>
      <c r="H405" s="77"/>
    </row>
    <row r="406" spans="6:8" x14ac:dyDescent="0.6">
      <c r="F406" s="50"/>
      <c r="H406" s="77"/>
    </row>
    <row r="407" spans="6:8" x14ac:dyDescent="0.6">
      <c r="F407" s="50"/>
      <c r="H407" s="77"/>
    </row>
    <row r="408" spans="6:8" x14ac:dyDescent="0.6">
      <c r="F408" s="50"/>
      <c r="H408" s="77"/>
    </row>
    <row r="409" spans="6:8" x14ac:dyDescent="0.6">
      <c r="F409" s="50"/>
      <c r="H409" s="77"/>
    </row>
    <row r="410" spans="6:8" x14ac:dyDescent="0.6">
      <c r="F410" s="50"/>
      <c r="H410" s="77"/>
    </row>
    <row r="411" spans="6:8" x14ac:dyDescent="0.6">
      <c r="F411" s="50"/>
      <c r="H411" s="77"/>
    </row>
    <row r="412" spans="6:8" x14ac:dyDescent="0.6">
      <c r="F412" s="50"/>
      <c r="H412" s="77"/>
    </row>
    <row r="413" spans="6:8" x14ac:dyDescent="0.6">
      <c r="F413" s="50"/>
      <c r="H413" s="77"/>
    </row>
    <row r="414" spans="6:8" x14ac:dyDescent="0.6">
      <c r="F414" s="50"/>
      <c r="H414" s="77"/>
    </row>
    <row r="415" spans="6:8" x14ac:dyDescent="0.6">
      <c r="F415" s="50"/>
      <c r="H415" s="77"/>
    </row>
    <row r="416" spans="6:8" x14ac:dyDescent="0.6">
      <c r="F416" s="50"/>
      <c r="H416" s="77"/>
    </row>
    <row r="417" spans="6:8" x14ac:dyDescent="0.6">
      <c r="F417" s="50"/>
      <c r="H417" s="77"/>
    </row>
    <row r="418" spans="6:8" x14ac:dyDescent="0.6">
      <c r="F418" s="50"/>
      <c r="H418" s="77"/>
    </row>
    <row r="419" spans="6:8" x14ac:dyDescent="0.6">
      <c r="F419" s="50"/>
      <c r="H419" s="77"/>
    </row>
    <row r="420" spans="6:8" x14ac:dyDescent="0.6">
      <c r="F420" s="50"/>
      <c r="H420" s="77"/>
    </row>
    <row r="421" spans="6:8" x14ac:dyDescent="0.6">
      <c r="F421" s="50"/>
      <c r="H421" s="77"/>
    </row>
    <row r="422" spans="6:8" x14ac:dyDescent="0.6">
      <c r="F422" s="50"/>
      <c r="H422" s="77"/>
    </row>
    <row r="423" spans="6:8" x14ac:dyDescent="0.6">
      <c r="F423" s="50"/>
      <c r="H423" s="77"/>
    </row>
    <row r="424" spans="6:8" x14ac:dyDescent="0.6">
      <c r="F424" s="50"/>
      <c r="H424" s="77"/>
    </row>
    <row r="425" spans="6:8" x14ac:dyDescent="0.6">
      <c r="F425" s="50"/>
      <c r="H425" s="77"/>
    </row>
    <row r="426" spans="6:8" x14ac:dyDescent="0.6">
      <c r="F426" s="50"/>
      <c r="H426" s="77"/>
    </row>
    <row r="427" spans="6:8" x14ac:dyDescent="0.6">
      <c r="F427" s="50"/>
      <c r="H427" s="77"/>
    </row>
    <row r="428" spans="6:8" x14ac:dyDescent="0.6">
      <c r="F428" s="50"/>
      <c r="H428" s="77"/>
    </row>
    <row r="429" spans="6:8" x14ac:dyDescent="0.6">
      <c r="F429" s="50"/>
      <c r="H429" s="77"/>
    </row>
    <row r="430" spans="6:8" x14ac:dyDescent="0.6">
      <c r="F430" s="50"/>
      <c r="H430" s="77"/>
    </row>
    <row r="431" spans="6:8" x14ac:dyDescent="0.6">
      <c r="F431" s="50"/>
      <c r="H431" s="77"/>
    </row>
    <row r="432" spans="6:8" x14ac:dyDescent="0.6">
      <c r="F432" s="50"/>
      <c r="H432" s="77"/>
    </row>
    <row r="433" spans="6:8" x14ac:dyDescent="0.6">
      <c r="F433" s="50"/>
      <c r="H433" s="77"/>
    </row>
    <row r="434" spans="6:8" x14ac:dyDescent="0.6">
      <c r="F434" s="50"/>
      <c r="H434" s="77"/>
    </row>
    <row r="435" spans="6:8" x14ac:dyDescent="0.6">
      <c r="F435" s="50"/>
      <c r="H435" s="77"/>
    </row>
    <row r="436" spans="6:8" x14ac:dyDescent="0.6">
      <c r="F436" s="50"/>
      <c r="H436" s="77"/>
    </row>
    <row r="437" spans="6:8" x14ac:dyDescent="0.6">
      <c r="F437" s="50"/>
      <c r="H437" s="77"/>
    </row>
    <row r="438" spans="6:8" x14ac:dyDescent="0.6">
      <c r="F438" s="50"/>
      <c r="H438" s="77"/>
    </row>
    <row r="439" spans="6:8" x14ac:dyDescent="0.6">
      <c r="F439" s="50"/>
      <c r="H439" s="77"/>
    </row>
    <row r="440" spans="6:8" x14ac:dyDescent="0.6">
      <c r="F440" s="50"/>
      <c r="H440" s="77"/>
    </row>
    <row r="441" spans="6:8" x14ac:dyDescent="0.6">
      <c r="F441" s="50"/>
      <c r="H441" s="77"/>
    </row>
    <row r="442" spans="6:8" x14ac:dyDescent="0.6">
      <c r="F442" s="50"/>
      <c r="H442" s="77"/>
    </row>
    <row r="443" spans="6:8" x14ac:dyDescent="0.6">
      <c r="F443" s="50"/>
      <c r="H443" s="77"/>
    </row>
    <row r="444" spans="6:8" x14ac:dyDescent="0.6">
      <c r="F444" s="50"/>
      <c r="H444" s="77"/>
    </row>
    <row r="445" spans="6:8" x14ac:dyDescent="0.6">
      <c r="F445" s="50"/>
      <c r="H445" s="77"/>
    </row>
    <row r="446" spans="6:8" x14ac:dyDescent="0.6">
      <c r="F446" s="50"/>
      <c r="H446" s="77"/>
    </row>
    <row r="447" spans="6:8" x14ac:dyDescent="0.6">
      <c r="F447" s="50"/>
      <c r="H447" s="77"/>
    </row>
    <row r="448" spans="6:8" x14ac:dyDescent="0.6">
      <c r="F448" s="50"/>
      <c r="H448" s="77"/>
    </row>
    <row r="449" spans="6:8" x14ac:dyDescent="0.6">
      <c r="F449" s="50"/>
      <c r="H449" s="77"/>
    </row>
    <row r="450" spans="6:8" x14ac:dyDescent="0.6">
      <c r="F450" s="50"/>
      <c r="H450" s="77"/>
    </row>
    <row r="451" spans="6:8" x14ac:dyDescent="0.6">
      <c r="F451" s="50"/>
      <c r="H451" s="77"/>
    </row>
    <row r="452" spans="6:8" x14ac:dyDescent="0.6">
      <c r="F452" s="50"/>
      <c r="H452" s="77"/>
    </row>
    <row r="453" spans="6:8" x14ac:dyDescent="0.6">
      <c r="F453" s="50"/>
      <c r="H453" s="77"/>
    </row>
    <row r="454" spans="6:8" x14ac:dyDescent="0.6">
      <c r="F454" s="50"/>
      <c r="H454" s="77"/>
    </row>
    <row r="455" spans="6:8" x14ac:dyDescent="0.6">
      <c r="F455" s="50"/>
      <c r="H455" s="77"/>
    </row>
    <row r="456" spans="6:8" x14ac:dyDescent="0.6">
      <c r="F456" s="50"/>
      <c r="H456" s="77"/>
    </row>
    <row r="457" spans="6:8" x14ac:dyDescent="0.6">
      <c r="F457" s="50"/>
      <c r="H457" s="77"/>
    </row>
    <row r="458" spans="6:8" x14ac:dyDescent="0.6">
      <c r="F458" s="50"/>
      <c r="H458" s="77"/>
    </row>
    <row r="459" spans="6:8" x14ac:dyDescent="0.6">
      <c r="F459" s="50"/>
      <c r="H459" s="77"/>
    </row>
    <row r="460" spans="6:8" x14ac:dyDescent="0.6">
      <c r="F460" s="50"/>
      <c r="H460" s="77"/>
    </row>
    <row r="461" spans="6:8" x14ac:dyDescent="0.6">
      <c r="F461" s="50"/>
      <c r="H461" s="77"/>
    </row>
    <row r="462" spans="6:8" x14ac:dyDescent="0.6">
      <c r="F462" s="50"/>
      <c r="H462" s="77"/>
    </row>
    <row r="463" spans="6:8" x14ac:dyDescent="0.6">
      <c r="F463" s="50"/>
      <c r="H463" s="77"/>
    </row>
    <row r="464" spans="6:8" x14ac:dyDescent="0.6">
      <c r="F464" s="50"/>
      <c r="H464" s="77"/>
    </row>
    <row r="465" spans="6:8" x14ac:dyDescent="0.6">
      <c r="F465" s="50"/>
      <c r="H465" s="77"/>
    </row>
    <row r="466" spans="6:8" x14ac:dyDescent="0.6">
      <c r="F466" s="50"/>
      <c r="H466" s="77"/>
    </row>
    <row r="467" spans="6:8" x14ac:dyDescent="0.6">
      <c r="F467" s="50"/>
      <c r="H467" s="77"/>
    </row>
    <row r="468" spans="6:8" x14ac:dyDescent="0.6">
      <c r="F468" s="50"/>
      <c r="H468" s="77"/>
    </row>
    <row r="469" spans="6:8" x14ac:dyDescent="0.6">
      <c r="F469" s="50"/>
      <c r="H469" s="77"/>
    </row>
    <row r="470" spans="6:8" x14ac:dyDescent="0.6">
      <c r="F470" s="50"/>
      <c r="H470" s="77"/>
    </row>
    <row r="471" spans="6:8" x14ac:dyDescent="0.6">
      <c r="F471" s="50"/>
      <c r="H471" s="77"/>
    </row>
    <row r="472" spans="6:8" x14ac:dyDescent="0.6">
      <c r="F472" s="50"/>
      <c r="H472" s="77"/>
    </row>
    <row r="473" spans="6:8" x14ac:dyDescent="0.6">
      <c r="F473" s="50"/>
      <c r="H473" s="77"/>
    </row>
    <row r="474" spans="6:8" x14ac:dyDescent="0.6">
      <c r="F474" s="50"/>
      <c r="H474" s="77"/>
    </row>
    <row r="475" spans="6:8" x14ac:dyDescent="0.6">
      <c r="F475" s="50"/>
      <c r="H475" s="77"/>
    </row>
    <row r="476" spans="6:8" x14ac:dyDescent="0.6">
      <c r="F476" s="50"/>
      <c r="H476" s="77"/>
    </row>
    <row r="477" spans="6:8" x14ac:dyDescent="0.6">
      <c r="F477" s="50"/>
      <c r="H477" s="77"/>
    </row>
    <row r="478" spans="6:8" x14ac:dyDescent="0.6">
      <c r="F478" s="50"/>
      <c r="H478" s="77"/>
    </row>
    <row r="479" spans="6:8" x14ac:dyDescent="0.6">
      <c r="F479" s="50"/>
      <c r="H479" s="77"/>
    </row>
    <row r="480" spans="6:8" x14ac:dyDescent="0.6">
      <c r="F480" s="50"/>
      <c r="H480" s="77"/>
    </row>
    <row r="481" spans="6:8" x14ac:dyDescent="0.6">
      <c r="F481" s="50"/>
      <c r="H481" s="77"/>
    </row>
    <row r="482" spans="6:8" x14ac:dyDescent="0.6">
      <c r="F482" s="50"/>
      <c r="H482" s="77"/>
    </row>
    <row r="483" spans="6:8" x14ac:dyDescent="0.6">
      <c r="F483" s="50"/>
      <c r="H483" s="77"/>
    </row>
    <row r="484" spans="6:8" x14ac:dyDescent="0.6">
      <c r="F484" s="50"/>
      <c r="H484" s="77"/>
    </row>
    <row r="485" spans="6:8" x14ac:dyDescent="0.6">
      <c r="F485" s="50"/>
      <c r="H485" s="77"/>
    </row>
    <row r="486" spans="6:8" x14ac:dyDescent="0.6">
      <c r="F486" s="50"/>
      <c r="H486" s="77"/>
    </row>
    <row r="487" spans="6:8" x14ac:dyDescent="0.6">
      <c r="F487" s="50"/>
    </row>
    <row r="488" spans="6:8" x14ac:dyDescent="0.6">
      <c r="F488" s="50"/>
    </row>
    <row r="489" spans="6:8" x14ac:dyDescent="0.6">
      <c r="F489" s="50"/>
    </row>
    <row r="490" spans="6:8" x14ac:dyDescent="0.6">
      <c r="F490" s="50"/>
    </row>
    <row r="491" spans="6:8" x14ac:dyDescent="0.6">
      <c r="F491" s="50"/>
    </row>
    <row r="492" spans="6:8" x14ac:dyDescent="0.6">
      <c r="F492" s="50"/>
    </row>
    <row r="493" spans="6:8" x14ac:dyDescent="0.6">
      <c r="F493" s="50"/>
    </row>
    <row r="494" spans="6:8" x14ac:dyDescent="0.6">
      <c r="F494" s="50"/>
    </row>
    <row r="495" spans="6:8" x14ac:dyDescent="0.6">
      <c r="F495" s="50"/>
    </row>
    <row r="496" spans="6:8" x14ac:dyDescent="0.6">
      <c r="F496" s="50"/>
    </row>
    <row r="497" spans="6:6" x14ac:dyDescent="0.6">
      <c r="F497" s="50"/>
    </row>
    <row r="498" spans="6:6" x14ac:dyDescent="0.6">
      <c r="F498" s="50"/>
    </row>
    <row r="499" spans="6:6" x14ac:dyDescent="0.6">
      <c r="F499" s="50"/>
    </row>
    <row r="500" spans="6:6" x14ac:dyDescent="0.6">
      <c r="F500" s="50"/>
    </row>
    <row r="501" spans="6:6" x14ac:dyDescent="0.6">
      <c r="F501" s="50"/>
    </row>
    <row r="502" spans="6:6" x14ac:dyDescent="0.6">
      <c r="F502" s="50"/>
    </row>
    <row r="503" spans="6:6" x14ac:dyDescent="0.6">
      <c r="F503" s="50"/>
    </row>
    <row r="504" spans="6:6" x14ac:dyDescent="0.6">
      <c r="F504" s="50"/>
    </row>
    <row r="505" spans="6:6" x14ac:dyDescent="0.6">
      <c r="F505" s="50"/>
    </row>
    <row r="506" spans="6:6" x14ac:dyDescent="0.6">
      <c r="F506" s="50"/>
    </row>
    <row r="507" spans="6:6" x14ac:dyDescent="0.6">
      <c r="F507" s="50"/>
    </row>
    <row r="508" spans="6:6" x14ac:dyDescent="0.6">
      <c r="F508" s="50"/>
    </row>
    <row r="509" spans="6:6" x14ac:dyDescent="0.6">
      <c r="F509" s="50"/>
    </row>
    <row r="510" spans="6:6" x14ac:dyDescent="0.6">
      <c r="F510" s="50"/>
    </row>
    <row r="511" spans="6:6" x14ac:dyDescent="0.6">
      <c r="F511" s="50"/>
    </row>
    <row r="512" spans="6:6" x14ac:dyDescent="0.6">
      <c r="F512" s="50"/>
    </row>
    <row r="513" spans="6:6" x14ac:dyDescent="0.6">
      <c r="F513" s="50"/>
    </row>
    <row r="514" spans="6:6" x14ac:dyDescent="0.6">
      <c r="F514" s="50"/>
    </row>
    <row r="515" spans="6:6" x14ac:dyDescent="0.6">
      <c r="F515" s="50"/>
    </row>
    <row r="516" spans="6:6" x14ac:dyDescent="0.6">
      <c r="F516" s="50"/>
    </row>
    <row r="517" spans="6:6" x14ac:dyDescent="0.6">
      <c r="F517" s="50"/>
    </row>
    <row r="518" spans="6:6" x14ac:dyDescent="0.6">
      <c r="F518" s="50"/>
    </row>
    <row r="519" spans="6:6" x14ac:dyDescent="0.6">
      <c r="F519" s="50"/>
    </row>
    <row r="520" spans="6:6" x14ac:dyDescent="0.6">
      <c r="F520" s="50"/>
    </row>
    <row r="521" spans="6:6" x14ac:dyDescent="0.6">
      <c r="F521" s="50"/>
    </row>
    <row r="522" spans="6:6" x14ac:dyDescent="0.6">
      <c r="F522" s="50"/>
    </row>
    <row r="523" spans="6:6" x14ac:dyDescent="0.6">
      <c r="F523" s="50"/>
    </row>
    <row r="524" spans="6:6" x14ac:dyDescent="0.6">
      <c r="F524" s="50"/>
    </row>
    <row r="525" spans="6:6" x14ac:dyDescent="0.6">
      <c r="F525" s="50"/>
    </row>
    <row r="526" spans="6:6" x14ac:dyDescent="0.6">
      <c r="F526" s="50"/>
    </row>
    <row r="527" spans="6:6" x14ac:dyDescent="0.6">
      <c r="F527" s="50"/>
    </row>
    <row r="528" spans="6:6" x14ac:dyDescent="0.6">
      <c r="F528" s="50"/>
    </row>
    <row r="529" spans="6:6" x14ac:dyDescent="0.6">
      <c r="F529" s="50"/>
    </row>
    <row r="530" spans="6:6" x14ac:dyDescent="0.6">
      <c r="F530" s="50"/>
    </row>
    <row r="531" spans="6:6" x14ac:dyDescent="0.6">
      <c r="F531" s="50"/>
    </row>
    <row r="532" spans="6:6" x14ac:dyDescent="0.6">
      <c r="F532" s="50"/>
    </row>
    <row r="533" spans="6:6" x14ac:dyDescent="0.6">
      <c r="F533" s="50"/>
    </row>
    <row r="534" spans="6:6" x14ac:dyDescent="0.6">
      <c r="F534" s="50"/>
    </row>
    <row r="535" spans="6:6" x14ac:dyDescent="0.6">
      <c r="F535" s="50"/>
    </row>
    <row r="536" spans="6:6" x14ac:dyDescent="0.6">
      <c r="F536" s="50"/>
    </row>
    <row r="537" spans="6:6" x14ac:dyDescent="0.6">
      <c r="F537" s="50"/>
    </row>
    <row r="538" spans="6:6" x14ac:dyDescent="0.6">
      <c r="F538" s="50"/>
    </row>
    <row r="539" spans="6:6" x14ac:dyDescent="0.6">
      <c r="F539" s="50"/>
    </row>
    <row r="540" spans="6:6" x14ac:dyDescent="0.6">
      <c r="F540" s="50"/>
    </row>
    <row r="541" spans="6:6" x14ac:dyDescent="0.6">
      <c r="F541" s="50"/>
    </row>
    <row r="542" spans="6:6" x14ac:dyDescent="0.6">
      <c r="F542" s="50"/>
    </row>
    <row r="543" spans="6:6" x14ac:dyDescent="0.6">
      <c r="F543" s="50"/>
    </row>
    <row r="544" spans="6:6" x14ac:dyDescent="0.6">
      <c r="F544" s="50"/>
    </row>
    <row r="545" spans="6:6" x14ac:dyDescent="0.6">
      <c r="F545" s="50"/>
    </row>
    <row r="546" spans="6:6" x14ac:dyDescent="0.6">
      <c r="F546" s="50"/>
    </row>
    <row r="547" spans="6:6" x14ac:dyDescent="0.6">
      <c r="F547" s="50"/>
    </row>
    <row r="548" spans="6:6" x14ac:dyDescent="0.6">
      <c r="F548" s="50"/>
    </row>
    <row r="549" spans="6:6" x14ac:dyDescent="0.6">
      <c r="F549" s="50"/>
    </row>
    <row r="550" spans="6:6" x14ac:dyDescent="0.6">
      <c r="F550" s="50"/>
    </row>
    <row r="551" spans="6:6" x14ac:dyDescent="0.6">
      <c r="F551" s="50"/>
    </row>
    <row r="552" spans="6:6" x14ac:dyDescent="0.6">
      <c r="F552" s="50"/>
    </row>
    <row r="553" spans="6:6" x14ac:dyDescent="0.6">
      <c r="F553" s="50"/>
    </row>
    <row r="554" spans="6:6" x14ac:dyDescent="0.6">
      <c r="F554" s="50"/>
    </row>
    <row r="555" spans="6:6" x14ac:dyDescent="0.6">
      <c r="F555" s="50"/>
    </row>
    <row r="556" spans="6:6" x14ac:dyDescent="0.6">
      <c r="F556" s="50"/>
    </row>
    <row r="557" spans="6:6" x14ac:dyDescent="0.6">
      <c r="F557" s="50"/>
    </row>
    <row r="558" spans="6:6" x14ac:dyDescent="0.6">
      <c r="F558" s="50"/>
    </row>
    <row r="559" spans="6:6" x14ac:dyDescent="0.6">
      <c r="F559" s="50"/>
    </row>
    <row r="560" spans="6:6" x14ac:dyDescent="0.6">
      <c r="F560" s="50"/>
    </row>
    <row r="561" spans="6:6" x14ac:dyDescent="0.6">
      <c r="F561" s="50"/>
    </row>
    <row r="562" spans="6:6" x14ac:dyDescent="0.6">
      <c r="F562" s="50"/>
    </row>
    <row r="563" spans="6:6" x14ac:dyDescent="0.6">
      <c r="F563" s="50"/>
    </row>
    <row r="564" spans="6:6" x14ac:dyDescent="0.6">
      <c r="F564" s="50"/>
    </row>
    <row r="565" spans="6:6" x14ac:dyDescent="0.6">
      <c r="F565" s="50"/>
    </row>
    <row r="566" spans="6:6" x14ac:dyDescent="0.6">
      <c r="F566" s="50"/>
    </row>
    <row r="567" spans="6:6" x14ac:dyDescent="0.6">
      <c r="F567" s="50"/>
    </row>
    <row r="568" spans="6:6" x14ac:dyDescent="0.6">
      <c r="F568" s="50"/>
    </row>
    <row r="569" spans="6:6" x14ac:dyDescent="0.6">
      <c r="F569" s="50"/>
    </row>
    <row r="570" spans="6:6" x14ac:dyDescent="0.6">
      <c r="F570" s="50"/>
    </row>
    <row r="571" spans="6:6" x14ac:dyDescent="0.6">
      <c r="F571" s="50"/>
    </row>
    <row r="572" spans="6:6" x14ac:dyDescent="0.6">
      <c r="F572" s="50"/>
    </row>
    <row r="573" spans="6:6" x14ac:dyDescent="0.6">
      <c r="F573" s="50"/>
    </row>
    <row r="574" spans="6:6" x14ac:dyDescent="0.6">
      <c r="F574" s="50"/>
    </row>
    <row r="575" spans="6:6" x14ac:dyDescent="0.6">
      <c r="F575" s="50"/>
    </row>
    <row r="576" spans="6:6" x14ac:dyDescent="0.6">
      <c r="F576" s="50"/>
    </row>
    <row r="577" spans="6:6" x14ac:dyDescent="0.6">
      <c r="F577" s="50"/>
    </row>
    <row r="578" spans="6:6" x14ac:dyDescent="0.6">
      <c r="F578" s="50"/>
    </row>
    <row r="579" spans="6:6" x14ac:dyDescent="0.6">
      <c r="F579" s="50"/>
    </row>
    <row r="580" spans="6:6" x14ac:dyDescent="0.6">
      <c r="F580" s="50"/>
    </row>
    <row r="581" spans="6:6" x14ac:dyDescent="0.6">
      <c r="F581" s="50"/>
    </row>
    <row r="582" spans="6:6" x14ac:dyDescent="0.6">
      <c r="F582" s="50"/>
    </row>
    <row r="583" spans="6:6" x14ac:dyDescent="0.6">
      <c r="F583" s="50"/>
    </row>
    <row r="584" spans="6:6" x14ac:dyDescent="0.6">
      <c r="F584" s="50"/>
    </row>
    <row r="585" spans="6:6" x14ac:dyDescent="0.6">
      <c r="F585" s="50"/>
    </row>
    <row r="586" spans="6:6" x14ac:dyDescent="0.6">
      <c r="F586" s="50"/>
    </row>
    <row r="587" spans="6:6" x14ac:dyDescent="0.6">
      <c r="F587" s="50"/>
    </row>
    <row r="588" spans="6:6" x14ac:dyDescent="0.6">
      <c r="F588" s="50"/>
    </row>
    <row r="589" spans="6:6" x14ac:dyDescent="0.6">
      <c r="F589" s="50"/>
    </row>
    <row r="590" spans="6:6" x14ac:dyDescent="0.6">
      <c r="F590" s="50"/>
    </row>
    <row r="591" spans="6:6" x14ac:dyDescent="0.6">
      <c r="F591" s="50"/>
    </row>
    <row r="592" spans="6:6" x14ac:dyDescent="0.6">
      <c r="F592" s="50"/>
    </row>
    <row r="593" spans="6:6" x14ac:dyDescent="0.6">
      <c r="F593" s="50"/>
    </row>
    <row r="594" spans="6:6" x14ac:dyDescent="0.6">
      <c r="F594" s="50"/>
    </row>
    <row r="595" spans="6:6" x14ac:dyDescent="0.6">
      <c r="F595" s="50"/>
    </row>
    <row r="596" spans="6:6" x14ac:dyDescent="0.6">
      <c r="F596" s="50"/>
    </row>
    <row r="597" spans="6:6" x14ac:dyDescent="0.6">
      <c r="F597" s="50"/>
    </row>
    <row r="598" spans="6:6" x14ac:dyDescent="0.6">
      <c r="F598" s="50"/>
    </row>
    <row r="599" spans="6:6" x14ac:dyDescent="0.6">
      <c r="F599" s="50"/>
    </row>
    <row r="600" spans="6:6" x14ac:dyDescent="0.6">
      <c r="F600" s="50"/>
    </row>
    <row r="601" spans="6:6" x14ac:dyDescent="0.6">
      <c r="F601" s="50"/>
    </row>
    <row r="602" spans="6:6" x14ac:dyDescent="0.6">
      <c r="F602" s="50"/>
    </row>
    <row r="603" spans="6:6" x14ac:dyDescent="0.6">
      <c r="F603" s="50"/>
    </row>
    <row r="604" spans="6:6" x14ac:dyDescent="0.6">
      <c r="F604" s="50"/>
    </row>
    <row r="605" spans="6:6" x14ac:dyDescent="0.6">
      <c r="F605" s="50"/>
    </row>
    <row r="606" spans="6:6" x14ac:dyDescent="0.6">
      <c r="F606" s="50"/>
    </row>
    <row r="607" spans="6:6" x14ac:dyDescent="0.6">
      <c r="F607" s="50"/>
    </row>
    <row r="608" spans="6:6" x14ac:dyDescent="0.6">
      <c r="F608" s="50"/>
    </row>
    <row r="609" spans="6:6" x14ac:dyDescent="0.6">
      <c r="F609" s="50"/>
    </row>
    <row r="610" spans="6:6" x14ac:dyDescent="0.6">
      <c r="F610" s="50"/>
    </row>
    <row r="611" spans="6:6" x14ac:dyDescent="0.6">
      <c r="F611" s="50"/>
    </row>
    <row r="612" spans="6:6" x14ac:dyDescent="0.6">
      <c r="F612" s="50"/>
    </row>
    <row r="613" spans="6:6" x14ac:dyDescent="0.6">
      <c r="F613" s="50"/>
    </row>
    <row r="614" spans="6:6" x14ac:dyDescent="0.6">
      <c r="F614" s="50"/>
    </row>
    <row r="615" spans="6:6" x14ac:dyDescent="0.6">
      <c r="F615" s="50"/>
    </row>
    <row r="616" spans="6:6" x14ac:dyDescent="0.6">
      <c r="F616" s="50"/>
    </row>
    <row r="617" spans="6:6" x14ac:dyDescent="0.6">
      <c r="F617" s="50"/>
    </row>
    <row r="618" spans="6:6" x14ac:dyDescent="0.6">
      <c r="F618" s="50"/>
    </row>
    <row r="619" spans="6:6" x14ac:dyDescent="0.6">
      <c r="F619" s="50"/>
    </row>
    <row r="620" spans="6:6" x14ac:dyDescent="0.6">
      <c r="F620" s="50"/>
    </row>
    <row r="621" spans="6:6" x14ac:dyDescent="0.6">
      <c r="F621" s="50"/>
    </row>
    <row r="622" spans="6:6" x14ac:dyDescent="0.6">
      <c r="F622" s="50"/>
    </row>
    <row r="623" spans="6:6" x14ac:dyDescent="0.6">
      <c r="F623" s="50"/>
    </row>
    <row r="624" spans="6:6" x14ac:dyDescent="0.6">
      <c r="F624" s="50"/>
    </row>
    <row r="625" spans="6:6" x14ac:dyDescent="0.6">
      <c r="F625" s="50"/>
    </row>
    <row r="626" spans="6:6" x14ac:dyDescent="0.6">
      <c r="F626" s="50"/>
    </row>
    <row r="627" spans="6:6" x14ac:dyDescent="0.6">
      <c r="F627" s="50"/>
    </row>
    <row r="628" spans="6:6" x14ac:dyDescent="0.6">
      <c r="F628" s="50"/>
    </row>
    <row r="629" spans="6:6" x14ac:dyDescent="0.6">
      <c r="F629" s="50"/>
    </row>
    <row r="630" spans="6:6" x14ac:dyDescent="0.6">
      <c r="F630" s="50"/>
    </row>
    <row r="631" spans="6:6" x14ac:dyDescent="0.6">
      <c r="F631" s="50"/>
    </row>
    <row r="632" spans="6:6" x14ac:dyDescent="0.6">
      <c r="F632" s="50"/>
    </row>
    <row r="633" spans="6:6" x14ac:dyDescent="0.6">
      <c r="F633" s="50"/>
    </row>
    <row r="634" spans="6:6" x14ac:dyDescent="0.6">
      <c r="F634" s="50"/>
    </row>
    <row r="635" spans="6:6" x14ac:dyDescent="0.6">
      <c r="F635" s="50"/>
    </row>
    <row r="636" spans="6:6" x14ac:dyDescent="0.6">
      <c r="F636" s="50"/>
    </row>
    <row r="637" spans="6:6" x14ac:dyDescent="0.6">
      <c r="F637" s="50"/>
    </row>
    <row r="638" spans="6:6" x14ac:dyDescent="0.6">
      <c r="F638" s="50"/>
    </row>
    <row r="639" spans="6:6" x14ac:dyDescent="0.6">
      <c r="F639" s="50"/>
    </row>
    <row r="640" spans="6:6" x14ac:dyDescent="0.6">
      <c r="F640" s="50"/>
    </row>
    <row r="641" spans="6:6" x14ac:dyDescent="0.6">
      <c r="F641" s="50"/>
    </row>
    <row r="642" spans="6:6" x14ac:dyDescent="0.6">
      <c r="F642" s="50"/>
    </row>
    <row r="643" spans="6:6" x14ac:dyDescent="0.6">
      <c r="F643" s="50"/>
    </row>
    <row r="644" spans="6:6" x14ac:dyDescent="0.6">
      <c r="F644" s="50"/>
    </row>
    <row r="645" spans="6:6" x14ac:dyDescent="0.6">
      <c r="F645" s="50"/>
    </row>
    <row r="646" spans="6:6" x14ac:dyDescent="0.6">
      <c r="F646" s="50"/>
    </row>
    <row r="647" spans="6:6" x14ac:dyDescent="0.6">
      <c r="F647" s="50"/>
    </row>
    <row r="648" spans="6:6" x14ac:dyDescent="0.6">
      <c r="F648" s="50"/>
    </row>
    <row r="649" spans="6:6" x14ac:dyDescent="0.6">
      <c r="F649" s="50"/>
    </row>
    <row r="650" spans="6:6" x14ac:dyDescent="0.6">
      <c r="F650" s="50"/>
    </row>
    <row r="651" spans="6:6" x14ac:dyDescent="0.6">
      <c r="F651" s="50"/>
    </row>
    <row r="652" spans="6:6" x14ac:dyDescent="0.6">
      <c r="F652" s="50"/>
    </row>
    <row r="653" spans="6:6" x14ac:dyDescent="0.6">
      <c r="F653" s="50"/>
    </row>
    <row r="654" spans="6:6" x14ac:dyDescent="0.6">
      <c r="F654" s="50"/>
    </row>
    <row r="655" spans="6:6" x14ac:dyDescent="0.6">
      <c r="F655" s="50"/>
    </row>
    <row r="656" spans="6:6" x14ac:dyDescent="0.6">
      <c r="F656" s="50"/>
    </row>
    <row r="657" spans="6:6" x14ac:dyDescent="0.6">
      <c r="F657" s="50"/>
    </row>
    <row r="658" spans="6:6" x14ac:dyDescent="0.6">
      <c r="F658" s="50"/>
    </row>
    <row r="659" spans="6:6" x14ac:dyDescent="0.6">
      <c r="F659" s="50"/>
    </row>
    <row r="660" spans="6:6" x14ac:dyDescent="0.6">
      <c r="F660" s="50"/>
    </row>
    <row r="661" spans="6:6" x14ac:dyDescent="0.6">
      <c r="F661" s="50"/>
    </row>
    <row r="662" spans="6:6" x14ac:dyDescent="0.6">
      <c r="F662" s="50"/>
    </row>
    <row r="663" spans="6:6" x14ac:dyDescent="0.6">
      <c r="F663" s="50"/>
    </row>
    <row r="664" spans="6:6" x14ac:dyDescent="0.6">
      <c r="F664" s="50"/>
    </row>
    <row r="665" spans="6:6" x14ac:dyDescent="0.6">
      <c r="F665" s="50"/>
    </row>
    <row r="666" spans="6:6" x14ac:dyDescent="0.6">
      <c r="F666" s="50"/>
    </row>
    <row r="667" spans="6:6" x14ac:dyDescent="0.6">
      <c r="F667" s="50"/>
    </row>
    <row r="668" spans="6:6" x14ac:dyDescent="0.6">
      <c r="F668" s="50"/>
    </row>
    <row r="669" spans="6:6" x14ac:dyDescent="0.6">
      <c r="F669" s="50"/>
    </row>
    <row r="670" spans="6:6" x14ac:dyDescent="0.6">
      <c r="F670" s="50"/>
    </row>
    <row r="671" spans="6:6" x14ac:dyDescent="0.6">
      <c r="F671" s="50"/>
    </row>
    <row r="672" spans="6:6" x14ac:dyDescent="0.6">
      <c r="F672" s="50"/>
    </row>
    <row r="673" spans="6:6" x14ac:dyDescent="0.6">
      <c r="F673" s="50"/>
    </row>
    <row r="674" spans="6:6" x14ac:dyDescent="0.6">
      <c r="F674" s="50"/>
    </row>
    <row r="675" spans="6:6" x14ac:dyDescent="0.6">
      <c r="F675" s="50"/>
    </row>
    <row r="676" spans="6:6" x14ac:dyDescent="0.6">
      <c r="F676" s="50"/>
    </row>
    <row r="677" spans="6:6" x14ac:dyDescent="0.6">
      <c r="F677" s="50"/>
    </row>
    <row r="678" spans="6:6" x14ac:dyDescent="0.6">
      <c r="F678" s="50"/>
    </row>
    <row r="679" spans="6:6" x14ac:dyDescent="0.6">
      <c r="F679" s="50"/>
    </row>
    <row r="680" spans="6:6" x14ac:dyDescent="0.6">
      <c r="F680" s="50"/>
    </row>
    <row r="681" spans="6:6" x14ac:dyDescent="0.6">
      <c r="F681" s="50"/>
    </row>
    <row r="682" spans="6:6" x14ac:dyDescent="0.6">
      <c r="F682" s="50"/>
    </row>
    <row r="683" spans="6:6" x14ac:dyDescent="0.6">
      <c r="F683" s="50"/>
    </row>
    <row r="684" spans="6:6" x14ac:dyDescent="0.6">
      <c r="F684" s="50"/>
    </row>
    <row r="685" spans="6:6" x14ac:dyDescent="0.6">
      <c r="F685" s="50"/>
    </row>
    <row r="686" spans="6:6" x14ac:dyDescent="0.6">
      <c r="F686" s="50"/>
    </row>
    <row r="687" spans="6:6" x14ac:dyDescent="0.6">
      <c r="F687" s="50"/>
    </row>
    <row r="688" spans="6:6" x14ac:dyDescent="0.6">
      <c r="F688" s="50"/>
    </row>
    <row r="689" spans="6:6" x14ac:dyDescent="0.6">
      <c r="F689" s="50"/>
    </row>
    <row r="690" spans="6:6" x14ac:dyDescent="0.6">
      <c r="F690" s="50"/>
    </row>
    <row r="691" spans="6:6" x14ac:dyDescent="0.6">
      <c r="F691" s="50"/>
    </row>
    <row r="692" spans="6:6" x14ac:dyDescent="0.6">
      <c r="F692" s="50"/>
    </row>
    <row r="693" spans="6:6" x14ac:dyDescent="0.6">
      <c r="F693" s="50"/>
    </row>
    <row r="694" spans="6:6" x14ac:dyDescent="0.6">
      <c r="F694" s="50"/>
    </row>
    <row r="695" spans="6:6" x14ac:dyDescent="0.6">
      <c r="F695" s="50"/>
    </row>
    <row r="696" spans="6:6" x14ac:dyDescent="0.6">
      <c r="F696" s="50"/>
    </row>
    <row r="697" spans="6:6" x14ac:dyDescent="0.6">
      <c r="F697" s="50"/>
    </row>
    <row r="698" spans="6:6" x14ac:dyDescent="0.6">
      <c r="F698" s="50"/>
    </row>
    <row r="699" spans="6:6" x14ac:dyDescent="0.6">
      <c r="F699" s="50"/>
    </row>
    <row r="700" spans="6:6" x14ac:dyDescent="0.6">
      <c r="F700" s="50"/>
    </row>
    <row r="701" spans="6:6" x14ac:dyDescent="0.6">
      <c r="F701" s="50"/>
    </row>
    <row r="702" spans="6:6" x14ac:dyDescent="0.6">
      <c r="F702" s="50"/>
    </row>
    <row r="703" spans="6:6" x14ac:dyDescent="0.6">
      <c r="F703" s="50"/>
    </row>
    <row r="704" spans="6:6" x14ac:dyDescent="0.6">
      <c r="F704" s="50"/>
    </row>
    <row r="705" spans="6:6" x14ac:dyDescent="0.6">
      <c r="F705" s="50"/>
    </row>
    <row r="706" spans="6:6" x14ac:dyDescent="0.6">
      <c r="F706" s="50"/>
    </row>
    <row r="707" spans="6:6" x14ac:dyDescent="0.6">
      <c r="F707" s="50"/>
    </row>
    <row r="708" spans="6:6" x14ac:dyDescent="0.6">
      <c r="F708" s="50"/>
    </row>
    <row r="709" spans="6:6" x14ac:dyDescent="0.6">
      <c r="F709" s="50"/>
    </row>
    <row r="710" spans="6:6" x14ac:dyDescent="0.6">
      <c r="F710" s="50"/>
    </row>
    <row r="711" spans="6:6" x14ac:dyDescent="0.6">
      <c r="F711" s="50"/>
    </row>
    <row r="712" spans="6:6" x14ac:dyDescent="0.6">
      <c r="F712" s="50"/>
    </row>
    <row r="713" spans="6:6" x14ac:dyDescent="0.6">
      <c r="F713" s="50"/>
    </row>
    <row r="714" spans="6:6" x14ac:dyDescent="0.6">
      <c r="F714" s="50"/>
    </row>
    <row r="715" spans="6:6" x14ac:dyDescent="0.6">
      <c r="F715" s="50"/>
    </row>
    <row r="716" spans="6:6" x14ac:dyDescent="0.6">
      <c r="F716" s="50"/>
    </row>
    <row r="717" spans="6:6" x14ac:dyDescent="0.6">
      <c r="F717" s="50"/>
    </row>
    <row r="718" spans="6:6" x14ac:dyDescent="0.6">
      <c r="F718" s="50"/>
    </row>
    <row r="719" spans="6:6" x14ac:dyDescent="0.6">
      <c r="F719" s="50"/>
    </row>
    <row r="720" spans="6:6" x14ac:dyDescent="0.6">
      <c r="F720" s="50"/>
    </row>
    <row r="721" spans="6:6" x14ac:dyDescent="0.6">
      <c r="F721" s="50"/>
    </row>
    <row r="722" spans="6:6" x14ac:dyDescent="0.6">
      <c r="F722" s="50"/>
    </row>
    <row r="723" spans="6:6" x14ac:dyDescent="0.6">
      <c r="F723" s="50"/>
    </row>
    <row r="724" spans="6:6" x14ac:dyDescent="0.6">
      <c r="F724" s="50"/>
    </row>
    <row r="725" spans="6:6" x14ac:dyDescent="0.6">
      <c r="F725" s="50"/>
    </row>
    <row r="726" spans="6:6" x14ac:dyDescent="0.6">
      <c r="F726" s="50"/>
    </row>
    <row r="727" spans="6:6" x14ac:dyDescent="0.6">
      <c r="F727" s="50"/>
    </row>
    <row r="728" spans="6:6" x14ac:dyDescent="0.6">
      <c r="F728" s="50"/>
    </row>
    <row r="729" spans="6:6" x14ac:dyDescent="0.6">
      <c r="F729" s="50"/>
    </row>
    <row r="730" spans="6:6" x14ac:dyDescent="0.6">
      <c r="F730" s="50"/>
    </row>
    <row r="731" spans="6:6" x14ac:dyDescent="0.6">
      <c r="F731" s="50"/>
    </row>
    <row r="732" spans="6:6" x14ac:dyDescent="0.6">
      <c r="F732" s="50"/>
    </row>
    <row r="733" spans="6:6" x14ac:dyDescent="0.6">
      <c r="F733" s="50"/>
    </row>
    <row r="734" spans="6:6" x14ac:dyDescent="0.6">
      <c r="F734" s="50"/>
    </row>
    <row r="735" spans="6:6" x14ac:dyDescent="0.6">
      <c r="F735" s="50"/>
    </row>
    <row r="736" spans="6:6" x14ac:dyDescent="0.6">
      <c r="F736" s="50"/>
    </row>
    <row r="737" spans="6:6" x14ac:dyDescent="0.6">
      <c r="F737" s="50"/>
    </row>
    <row r="738" spans="6:6" x14ac:dyDescent="0.6">
      <c r="F738" s="50"/>
    </row>
    <row r="739" spans="6:6" x14ac:dyDescent="0.6">
      <c r="F739" s="50"/>
    </row>
    <row r="740" spans="6:6" x14ac:dyDescent="0.6">
      <c r="F740" s="50"/>
    </row>
    <row r="741" spans="6:6" x14ac:dyDescent="0.6">
      <c r="F741" s="50"/>
    </row>
    <row r="742" spans="6:6" x14ac:dyDescent="0.6">
      <c r="F742" s="50" t="str">
        <f>IFERROR(INDEX('Sales Price'!D:D,MATCH('Daily Sale'!B742,'Sales Price'!B:B,0)),"-")</f>
        <v>-</v>
      </c>
    </row>
    <row r="743" spans="6:6" x14ac:dyDescent="0.6">
      <c r="F743" s="50" t="str">
        <f>IFERROR(INDEX('Sales Price'!D:D,MATCH('Daily Sale'!B743,'Sales Price'!B:B,0)),"-")</f>
        <v>-</v>
      </c>
    </row>
    <row r="744" spans="6:6" x14ac:dyDescent="0.6">
      <c r="F744" s="50" t="str">
        <f>IFERROR(INDEX('Sales Price'!D:D,MATCH('Daily Sale'!B744,'Sales Price'!B:B,0)),"-")</f>
        <v>-</v>
      </c>
    </row>
    <row r="745" spans="6:6" x14ac:dyDescent="0.6">
      <c r="F745" s="50" t="str">
        <f>IFERROR(INDEX('Sales Price'!D:D,MATCH('Daily Sale'!B745,'Sales Price'!B:B,0)),"-")</f>
        <v>-</v>
      </c>
    </row>
    <row r="746" spans="6:6" x14ac:dyDescent="0.6">
      <c r="F746" s="50" t="str">
        <f>IFERROR(INDEX('Sales Price'!D:D,MATCH('Daily Sale'!B746,'Sales Price'!B:B,0)),"-")</f>
        <v>-</v>
      </c>
    </row>
    <row r="747" spans="6:6" x14ac:dyDescent="0.6">
      <c r="F747" s="50" t="str">
        <f>IFERROR(INDEX('Sales Price'!D:D,MATCH('Daily Sale'!B747,'Sales Price'!B:B,0)),"-")</f>
        <v>-</v>
      </c>
    </row>
    <row r="748" spans="6:6" x14ac:dyDescent="0.6">
      <c r="F748" s="50" t="str">
        <f>IFERROR(INDEX('Sales Price'!D:D,MATCH('Daily Sale'!B748,'Sales Price'!B:B,0)),"-")</f>
        <v>-</v>
      </c>
    </row>
    <row r="749" spans="6:6" x14ac:dyDescent="0.6">
      <c r="F749" s="50" t="str">
        <f>IFERROR(INDEX('Sales Price'!D:D,MATCH('Daily Sale'!B749,'Sales Price'!B:B,0)),"-")</f>
        <v>-</v>
      </c>
    </row>
    <row r="750" spans="6:6" x14ac:dyDescent="0.6">
      <c r="F750" s="50" t="str">
        <f>IFERROR(INDEX('Sales Price'!D:D,MATCH('Daily Sale'!B750,'Sales Price'!B:B,0)),"-")</f>
        <v>-</v>
      </c>
    </row>
    <row r="751" spans="6:6" x14ac:dyDescent="0.6">
      <c r="F751" s="50" t="str">
        <f>IFERROR(INDEX('Sales Price'!D:D,MATCH('Daily Sale'!B751,'Sales Price'!B:B,0)),"-")</f>
        <v>-</v>
      </c>
    </row>
    <row r="752" spans="6:6" x14ac:dyDescent="0.6">
      <c r="F752" s="50" t="str">
        <f>IFERROR(INDEX('Sales Price'!D:D,MATCH('Daily Sale'!B752,'Sales Price'!B:B,0)),"-")</f>
        <v>-</v>
      </c>
    </row>
    <row r="753" spans="6:6" x14ac:dyDescent="0.6">
      <c r="F753" s="50" t="str">
        <f>IFERROR(INDEX('Sales Price'!D:D,MATCH('Daily Sale'!B753,'Sales Price'!B:B,0)),"-")</f>
        <v>-</v>
      </c>
    </row>
    <row r="754" spans="6:6" x14ac:dyDescent="0.6">
      <c r="F754" s="50" t="str">
        <f>IFERROR(INDEX('Sales Price'!D:D,MATCH('Daily Sale'!B754,'Sales Price'!B:B,0)),"-")</f>
        <v>-</v>
      </c>
    </row>
    <row r="755" spans="6:6" x14ac:dyDescent="0.6">
      <c r="F755" s="50" t="str">
        <f>IFERROR(INDEX('Sales Price'!D:D,MATCH('Daily Sale'!B755,'Sales Price'!B:B,0)),"-")</f>
        <v>-</v>
      </c>
    </row>
    <row r="756" spans="6:6" x14ac:dyDescent="0.6">
      <c r="F756" s="50" t="str">
        <f>IFERROR(INDEX('Sales Price'!D:D,MATCH('Daily Sale'!B756,'Sales Price'!B:B,0)),"-")</f>
        <v>-</v>
      </c>
    </row>
    <row r="757" spans="6:6" x14ac:dyDescent="0.6">
      <c r="F757" s="50" t="str">
        <f>IFERROR(INDEX('Sales Price'!D:D,MATCH('Daily Sale'!B757,'Sales Price'!B:B,0)),"-")</f>
        <v>-</v>
      </c>
    </row>
    <row r="758" spans="6:6" x14ac:dyDescent="0.6">
      <c r="F758" s="50" t="str">
        <f>IFERROR(INDEX('Sales Price'!D:D,MATCH('Daily Sale'!B758,'Sales Price'!B:B,0)),"-")</f>
        <v>-</v>
      </c>
    </row>
    <row r="759" spans="6:6" x14ac:dyDescent="0.6">
      <c r="F759" s="50" t="str">
        <f>IFERROR(INDEX('Sales Price'!D:D,MATCH('Daily Sale'!B759,'Sales Price'!B:B,0)),"-")</f>
        <v>-</v>
      </c>
    </row>
    <row r="760" spans="6:6" x14ac:dyDescent="0.6">
      <c r="F760" s="50" t="str">
        <f>IFERROR(INDEX('Sales Price'!D:D,MATCH('Daily Sale'!B760,'Sales Price'!B:B,0)),"-")</f>
        <v>-</v>
      </c>
    </row>
    <row r="761" spans="6:6" x14ac:dyDescent="0.6">
      <c r="F761" s="50" t="str">
        <f>IFERROR(INDEX('Sales Price'!D:D,MATCH('Daily Sale'!B761,'Sales Price'!B:B,0)),"-")</f>
        <v>-</v>
      </c>
    </row>
    <row r="762" spans="6:6" x14ac:dyDescent="0.6">
      <c r="F762" s="50" t="str">
        <f>IFERROR(INDEX('Sales Price'!D:D,MATCH('Daily Sale'!B762,'Sales Price'!B:B,0)),"-")</f>
        <v>-</v>
      </c>
    </row>
    <row r="763" spans="6:6" x14ac:dyDescent="0.6">
      <c r="F763" s="50" t="str">
        <f>IFERROR(INDEX('Sales Price'!D:D,MATCH('Daily Sale'!B763,'Sales Price'!B:B,0)),"-")</f>
        <v>-</v>
      </c>
    </row>
    <row r="764" spans="6:6" x14ac:dyDescent="0.6">
      <c r="F764" s="50" t="str">
        <f>IFERROR(INDEX('Sales Price'!D:D,MATCH('Daily Sale'!B764,'Sales Price'!B:B,0)),"-")</f>
        <v>-</v>
      </c>
    </row>
    <row r="765" spans="6:6" x14ac:dyDescent="0.6">
      <c r="F765" s="50" t="str">
        <f>IFERROR(INDEX('Sales Price'!D:D,MATCH('Daily Sale'!B765,'Sales Price'!B:B,0)),"-")</f>
        <v>-</v>
      </c>
    </row>
    <row r="766" spans="6:6" x14ac:dyDescent="0.6">
      <c r="F766" s="50" t="str">
        <f>IFERROR(INDEX('Sales Price'!D:D,MATCH('Daily Sale'!B766,'Sales Price'!B:B,0)),"-")</f>
        <v>-</v>
      </c>
    </row>
    <row r="767" spans="6:6" x14ac:dyDescent="0.6">
      <c r="F767" s="50" t="str">
        <f>IFERROR(INDEX('Sales Price'!D:D,MATCH('Daily Sale'!B767,'Sales Price'!B:B,0)),"-")</f>
        <v>-</v>
      </c>
    </row>
    <row r="768" spans="6:6" x14ac:dyDescent="0.6">
      <c r="F768" s="50" t="str">
        <f>IFERROR(INDEX('Sales Price'!D:D,MATCH('Daily Sale'!B768,'Sales Price'!B:B,0)),"-")</f>
        <v>-</v>
      </c>
    </row>
    <row r="769" spans="6:6" x14ac:dyDescent="0.6">
      <c r="F769" s="50" t="str">
        <f>IFERROR(INDEX('Sales Price'!D:D,MATCH('Daily Sale'!B769,'Sales Price'!B:B,0)),"-")</f>
        <v>-</v>
      </c>
    </row>
    <row r="770" spans="6:6" x14ac:dyDescent="0.6">
      <c r="F770" s="50" t="str">
        <f>IFERROR(INDEX('Sales Price'!D:D,MATCH('Daily Sale'!B770,'Sales Price'!B:B,0)),"-")</f>
        <v>-</v>
      </c>
    </row>
    <row r="771" spans="6:6" x14ac:dyDescent="0.6">
      <c r="F771" s="50" t="str">
        <f>IFERROR(INDEX('Sales Price'!D:D,MATCH('Daily Sale'!B771,'Sales Price'!B:B,0)),"-")</f>
        <v>-</v>
      </c>
    </row>
    <row r="772" spans="6:6" x14ac:dyDescent="0.6">
      <c r="F772" s="50" t="str">
        <f>IFERROR(INDEX('Sales Price'!D:D,MATCH('Daily Sale'!B772,'Sales Price'!B:B,0)),"-")</f>
        <v>-</v>
      </c>
    </row>
    <row r="773" spans="6:6" x14ac:dyDescent="0.6">
      <c r="F773" s="50" t="str">
        <f>IFERROR(INDEX('Sales Price'!D:D,MATCH('Daily Sale'!B773,'Sales Price'!B:B,0)),"-")</f>
        <v>-</v>
      </c>
    </row>
    <row r="774" spans="6:6" x14ac:dyDescent="0.6">
      <c r="F774" s="50" t="str">
        <f>IFERROR(INDEX('Sales Price'!D:D,MATCH('Daily Sale'!B774,'Sales Price'!B:B,0)),"-")</f>
        <v>-</v>
      </c>
    </row>
    <row r="775" spans="6:6" x14ac:dyDescent="0.6">
      <c r="F775" s="50" t="str">
        <f>IFERROR(INDEX('Sales Price'!D:D,MATCH('Daily Sale'!B775,'Sales Price'!B:B,0)),"-")</f>
        <v>-</v>
      </c>
    </row>
    <row r="776" spans="6:6" x14ac:dyDescent="0.6">
      <c r="F776" s="50" t="str">
        <f>IFERROR(INDEX('Sales Price'!D:D,MATCH('Daily Sale'!B776,'Sales Price'!B:B,0)),"-")</f>
        <v>-</v>
      </c>
    </row>
    <row r="777" spans="6:6" x14ac:dyDescent="0.6">
      <c r="F777" s="50" t="str">
        <f>IFERROR(INDEX('Sales Price'!D:D,MATCH('Daily Sale'!B777,'Sales Price'!B:B,0)),"-")</f>
        <v>-</v>
      </c>
    </row>
    <row r="778" spans="6:6" x14ac:dyDescent="0.6">
      <c r="F778" s="50" t="str">
        <f>IFERROR(INDEX('Sales Price'!D:D,MATCH('Daily Sale'!B778,'Sales Price'!B:B,0)),"-")</f>
        <v>-</v>
      </c>
    </row>
    <row r="779" spans="6:6" x14ac:dyDescent="0.6">
      <c r="F779" s="50" t="str">
        <f>IFERROR(INDEX('Sales Price'!D:D,MATCH('Daily Sale'!B779,'Sales Price'!B:B,0)),"-")</f>
        <v>-</v>
      </c>
    </row>
    <row r="780" spans="6:6" x14ac:dyDescent="0.6">
      <c r="F780" s="50" t="str">
        <f>IFERROR(INDEX('Sales Price'!D:D,MATCH('Daily Sale'!B780,'Sales Price'!B:B,0)),"-")</f>
        <v>-</v>
      </c>
    </row>
    <row r="781" spans="6:6" x14ac:dyDescent="0.6">
      <c r="F781" s="50" t="str">
        <f>IFERROR(INDEX('Sales Price'!D:D,MATCH('Daily Sale'!B781,'Sales Price'!B:B,0)),"-")</f>
        <v>-</v>
      </c>
    </row>
    <row r="782" spans="6:6" x14ac:dyDescent="0.6">
      <c r="F782" s="50" t="str">
        <f>IFERROR(INDEX('Sales Price'!D:D,MATCH('Daily Sale'!B782,'Sales Price'!B:B,0)),"-")</f>
        <v>-</v>
      </c>
    </row>
    <row r="783" spans="6:6" x14ac:dyDescent="0.6">
      <c r="F783" s="50" t="str">
        <f>IFERROR(INDEX('Sales Price'!D:D,MATCH('Daily Sale'!B783,'Sales Price'!B:B,0)),"-")</f>
        <v>-</v>
      </c>
    </row>
    <row r="784" spans="6:6" x14ac:dyDescent="0.6">
      <c r="F784" s="50" t="str">
        <f>IFERROR(INDEX('Sales Price'!D:D,MATCH('Daily Sale'!B784,'Sales Price'!B:B,0)),"-")</f>
        <v>-</v>
      </c>
    </row>
    <row r="785" spans="6:6" x14ac:dyDescent="0.6">
      <c r="F785" s="50" t="str">
        <f>IFERROR(INDEX('Sales Price'!D:D,MATCH('Daily Sale'!B785,'Sales Price'!B:B,0)),"-")</f>
        <v>-</v>
      </c>
    </row>
    <row r="786" spans="6:6" x14ac:dyDescent="0.6">
      <c r="F786" s="50" t="str">
        <f>IFERROR(INDEX('Sales Price'!D:D,MATCH('Daily Sale'!B786,'Sales Price'!B:B,0)),"-")</f>
        <v>-</v>
      </c>
    </row>
    <row r="787" spans="6:6" x14ac:dyDescent="0.6">
      <c r="F787" s="50" t="str">
        <f>IFERROR(INDEX('Sales Price'!D:D,MATCH('Daily Sale'!B787,'Sales Price'!B:B,0)),"-")</f>
        <v>-</v>
      </c>
    </row>
    <row r="788" spans="6:6" x14ac:dyDescent="0.6">
      <c r="F788" s="50" t="str">
        <f>IFERROR(INDEX('Sales Price'!D:D,MATCH('Daily Sale'!B788,'Sales Price'!B:B,0)),"-")</f>
        <v>-</v>
      </c>
    </row>
    <row r="789" spans="6:6" x14ac:dyDescent="0.6">
      <c r="F789" s="50" t="str">
        <f>IFERROR(INDEX('Sales Price'!D:D,MATCH('Daily Sale'!B789,'Sales Price'!B:B,0)),"-")</f>
        <v>-</v>
      </c>
    </row>
    <row r="790" spans="6:6" x14ac:dyDescent="0.6">
      <c r="F790" s="50" t="str">
        <f>IFERROR(INDEX('Sales Price'!D:D,MATCH('Daily Sale'!B790,'Sales Price'!B:B,0)),"-")</f>
        <v>-</v>
      </c>
    </row>
    <row r="791" spans="6:6" x14ac:dyDescent="0.6">
      <c r="F791" s="50" t="str">
        <f>IFERROR(INDEX('Sales Price'!D:D,MATCH('Daily Sale'!B791,'Sales Price'!B:B,0)),"-")</f>
        <v>-</v>
      </c>
    </row>
    <row r="792" spans="6:6" x14ac:dyDescent="0.6">
      <c r="F792" s="50" t="str">
        <f>IFERROR(INDEX('Sales Price'!D:D,MATCH('Daily Sale'!B792,'Sales Price'!B:B,0)),"-")</f>
        <v>-</v>
      </c>
    </row>
    <row r="793" spans="6:6" x14ac:dyDescent="0.6">
      <c r="F793" s="50" t="str">
        <f>IFERROR(INDEX('Sales Price'!D:D,MATCH('Daily Sale'!B793,'Sales Price'!B:B,0)),"-")</f>
        <v>-</v>
      </c>
    </row>
    <row r="794" spans="6:6" x14ac:dyDescent="0.6">
      <c r="F794" s="50" t="str">
        <f>IFERROR(INDEX('Sales Price'!D:D,MATCH('Daily Sale'!B794,'Sales Price'!B:B,0)),"-")</f>
        <v>-</v>
      </c>
    </row>
    <row r="795" spans="6:6" x14ac:dyDescent="0.6">
      <c r="F795" s="50" t="str">
        <f>IFERROR(INDEX('Sales Price'!D:D,MATCH('Daily Sale'!B795,'Sales Price'!B:B,0)),"-")</f>
        <v>-</v>
      </c>
    </row>
    <row r="796" spans="6:6" x14ac:dyDescent="0.6">
      <c r="F796" s="50" t="str">
        <f>IFERROR(INDEX('Sales Price'!D:D,MATCH('Daily Sale'!B796,'Sales Price'!B:B,0)),"-")</f>
        <v>-</v>
      </c>
    </row>
    <row r="797" spans="6:6" x14ac:dyDescent="0.6">
      <c r="F797" s="50" t="str">
        <f>IFERROR(INDEX('Sales Price'!D:D,MATCH('Daily Sale'!B797,'Sales Price'!B:B,0)),"-")</f>
        <v>-</v>
      </c>
    </row>
    <row r="798" spans="6:6" x14ac:dyDescent="0.6">
      <c r="F798" s="50" t="str">
        <f>IFERROR(INDEX('Sales Price'!D:D,MATCH('Daily Sale'!B798,'Sales Price'!B:B,0)),"-")</f>
        <v>-</v>
      </c>
    </row>
    <row r="799" spans="6:6" x14ac:dyDescent="0.6">
      <c r="F799" s="50" t="str">
        <f>IFERROR(INDEX('Sales Price'!D:D,MATCH('Daily Sale'!B799,'Sales Price'!B:B,0)),"-")</f>
        <v>-</v>
      </c>
    </row>
    <row r="800" spans="6:6" x14ac:dyDescent="0.6">
      <c r="F800" s="50" t="str">
        <f>IFERROR(INDEX('Sales Price'!D:D,MATCH('Daily Sale'!B800,'Sales Price'!B:B,0)),"-")</f>
        <v>-</v>
      </c>
    </row>
    <row r="801" spans="6:6" x14ac:dyDescent="0.6">
      <c r="F801" s="50" t="str">
        <f>IFERROR(INDEX('Sales Price'!D:D,MATCH('Daily Sale'!B801,'Sales Price'!B:B,0)),"-")</f>
        <v>-</v>
      </c>
    </row>
    <row r="802" spans="6:6" x14ac:dyDescent="0.6">
      <c r="F802" s="50" t="str">
        <f>IFERROR(INDEX('Sales Price'!D:D,MATCH('Daily Sale'!B802,'Sales Price'!B:B,0)),"-")</f>
        <v>-</v>
      </c>
    </row>
    <row r="803" spans="6:6" x14ac:dyDescent="0.6">
      <c r="F803" s="50" t="str">
        <f>IFERROR(INDEX('Sales Price'!D:D,MATCH('Daily Sale'!B803,'Sales Price'!B:B,0)),"-")</f>
        <v>-</v>
      </c>
    </row>
    <row r="804" spans="6:6" x14ac:dyDescent="0.6">
      <c r="F804" s="50" t="str">
        <f>IFERROR(INDEX('Sales Price'!D:D,MATCH('Daily Sale'!B804,'Sales Price'!B:B,0)),"-")</f>
        <v>-</v>
      </c>
    </row>
    <row r="805" spans="6:6" x14ac:dyDescent="0.6">
      <c r="F805" s="50" t="str">
        <f>IFERROR(INDEX('Sales Price'!D:D,MATCH('Daily Sale'!B805,'Sales Price'!B:B,0)),"-")</f>
        <v>-</v>
      </c>
    </row>
    <row r="806" spans="6:6" x14ac:dyDescent="0.6">
      <c r="F806" s="50" t="str">
        <f>IFERROR(INDEX('Sales Price'!D:D,MATCH('Daily Sale'!B806,'Sales Price'!B:B,0)),"-")</f>
        <v>-</v>
      </c>
    </row>
    <row r="807" spans="6:6" x14ac:dyDescent="0.6">
      <c r="F807" s="50" t="str">
        <f>IFERROR(INDEX('Sales Price'!D:D,MATCH('Daily Sale'!B807,'Sales Price'!B:B,0)),"-")</f>
        <v>-</v>
      </c>
    </row>
    <row r="808" spans="6:6" x14ac:dyDescent="0.6">
      <c r="F808" s="50" t="str">
        <f>IFERROR(INDEX('Sales Price'!D:D,MATCH('Daily Sale'!B808,'Sales Price'!B:B,0)),"-")</f>
        <v>-</v>
      </c>
    </row>
    <row r="809" spans="6:6" x14ac:dyDescent="0.6">
      <c r="F809" s="50" t="str">
        <f>IFERROR(INDEX('Sales Price'!D:D,MATCH('Daily Sale'!B809,'Sales Price'!B:B,0)),"-")</f>
        <v>-</v>
      </c>
    </row>
    <row r="810" spans="6:6" x14ac:dyDescent="0.6">
      <c r="F810" s="50" t="str">
        <f>IFERROR(INDEX('Sales Price'!D:D,MATCH('Daily Sale'!B810,'Sales Price'!B:B,0)),"-")</f>
        <v>-</v>
      </c>
    </row>
    <row r="811" spans="6:6" x14ac:dyDescent="0.6">
      <c r="F811" s="50" t="str">
        <f>IFERROR(INDEX('Sales Price'!D:D,MATCH('Daily Sale'!B811,'Sales Price'!B:B,0)),"-")</f>
        <v>-</v>
      </c>
    </row>
    <row r="812" spans="6:6" x14ac:dyDescent="0.6">
      <c r="F812" s="50" t="str">
        <f>IFERROR(INDEX('Sales Price'!D:D,MATCH('Daily Sale'!B812,'Sales Price'!B:B,0)),"-")</f>
        <v>-</v>
      </c>
    </row>
    <row r="813" spans="6:6" x14ac:dyDescent="0.6">
      <c r="F813" s="50" t="str">
        <f>IFERROR(INDEX('Sales Price'!D:D,MATCH('Daily Sale'!B813,'Sales Price'!B:B,0)),"-")</f>
        <v>-</v>
      </c>
    </row>
    <row r="814" spans="6:6" x14ac:dyDescent="0.6">
      <c r="F814" s="50" t="str">
        <f>IFERROR(INDEX('Sales Price'!D:D,MATCH('Daily Sale'!B814,'Sales Price'!B:B,0)),"-")</f>
        <v>-</v>
      </c>
    </row>
    <row r="815" spans="6:6" x14ac:dyDescent="0.6">
      <c r="F815" s="50" t="str">
        <f>IFERROR(INDEX('Sales Price'!D:D,MATCH('Daily Sale'!B815,'Sales Price'!B:B,0)),"-")</f>
        <v>-</v>
      </c>
    </row>
    <row r="816" spans="6:6" x14ac:dyDescent="0.6">
      <c r="F816" s="50" t="str">
        <f>IFERROR(INDEX('Sales Price'!D:D,MATCH('Daily Sale'!B816,'Sales Price'!B:B,0)),"-")</f>
        <v>-</v>
      </c>
    </row>
    <row r="817" spans="6:6" x14ac:dyDescent="0.6">
      <c r="F817" s="50" t="str">
        <f>IFERROR(INDEX('Sales Price'!D:D,MATCH('Daily Sale'!B817,'Sales Price'!B:B,0)),"-")</f>
        <v>-</v>
      </c>
    </row>
    <row r="818" spans="6:6" x14ac:dyDescent="0.6">
      <c r="F818" s="50" t="str">
        <f>IFERROR(INDEX('Sales Price'!D:D,MATCH('Daily Sale'!B818,'Sales Price'!B:B,0)),"-")</f>
        <v>-</v>
      </c>
    </row>
    <row r="819" spans="6:6" x14ac:dyDescent="0.6">
      <c r="F819" s="50" t="str">
        <f>IFERROR(INDEX('Sales Price'!D:D,MATCH('Daily Sale'!B819,'Sales Price'!B:B,0)),"-")</f>
        <v>-</v>
      </c>
    </row>
    <row r="820" spans="6:6" x14ac:dyDescent="0.6">
      <c r="F820" s="50" t="str">
        <f>IFERROR(INDEX('Sales Price'!D:D,MATCH('Daily Sale'!B820,'Sales Price'!B:B,0)),"-")</f>
        <v>-</v>
      </c>
    </row>
    <row r="821" spans="6:6" x14ac:dyDescent="0.6">
      <c r="F821" s="50" t="str">
        <f>IFERROR(INDEX('Sales Price'!D:D,MATCH('Daily Sale'!B821,'Sales Price'!B:B,0)),"-")</f>
        <v>-</v>
      </c>
    </row>
    <row r="822" spans="6:6" x14ac:dyDescent="0.6">
      <c r="F822" s="50" t="str">
        <f>IFERROR(INDEX('Sales Price'!D:D,MATCH('Daily Sale'!B822,'Sales Price'!B:B,0)),"-")</f>
        <v>-</v>
      </c>
    </row>
    <row r="823" spans="6:6" x14ac:dyDescent="0.6">
      <c r="F823" s="50" t="str">
        <f>IFERROR(INDEX('Sales Price'!D:D,MATCH('Daily Sale'!B823,'Sales Price'!B:B,0)),"-")</f>
        <v>-</v>
      </c>
    </row>
    <row r="824" spans="6:6" x14ac:dyDescent="0.6">
      <c r="F824" s="50" t="str">
        <f>IFERROR(INDEX('Sales Price'!D:D,MATCH('Daily Sale'!B824,'Sales Price'!B:B,0)),"-")</f>
        <v>-</v>
      </c>
    </row>
    <row r="825" spans="6:6" x14ac:dyDescent="0.6">
      <c r="F825" s="50" t="str">
        <f>IFERROR(INDEX('Sales Price'!D:D,MATCH('Daily Sale'!B825,'Sales Price'!B:B,0)),"-")</f>
        <v>-</v>
      </c>
    </row>
    <row r="826" spans="6:6" x14ac:dyDescent="0.6">
      <c r="F826" s="50" t="str">
        <f>IFERROR(INDEX('Sales Price'!D:D,MATCH('Daily Sale'!B826,'Sales Price'!B:B,0)),"-")</f>
        <v>-</v>
      </c>
    </row>
    <row r="827" spans="6:6" x14ac:dyDescent="0.6">
      <c r="F827" s="50" t="str">
        <f>IFERROR(INDEX('Sales Price'!D:D,MATCH('Daily Sale'!B827,'Sales Price'!B:B,0)),"-")</f>
        <v>-</v>
      </c>
    </row>
    <row r="828" spans="6:6" x14ac:dyDescent="0.6">
      <c r="F828" s="50" t="str">
        <f>IFERROR(INDEX('Sales Price'!D:D,MATCH('Daily Sale'!B828,'Sales Price'!B:B,0)),"-")</f>
        <v>-</v>
      </c>
    </row>
    <row r="829" spans="6:6" x14ac:dyDescent="0.6">
      <c r="F829" s="50" t="str">
        <f>IFERROR(INDEX('Sales Price'!D:D,MATCH('Daily Sale'!B829,'Sales Price'!B:B,0)),"-")</f>
        <v>-</v>
      </c>
    </row>
    <row r="830" spans="6:6" x14ac:dyDescent="0.6">
      <c r="F830" s="50" t="str">
        <f>IFERROR(INDEX('Sales Price'!D:D,MATCH('Daily Sale'!B830,'Sales Price'!B:B,0)),"-")</f>
        <v>-</v>
      </c>
    </row>
    <row r="831" spans="6:6" x14ac:dyDescent="0.6">
      <c r="F831" s="50" t="str">
        <f>IFERROR(INDEX('Sales Price'!D:D,MATCH('Daily Sale'!B831,'Sales Price'!B:B,0)),"-")</f>
        <v>-</v>
      </c>
    </row>
    <row r="832" spans="6:6" x14ac:dyDescent="0.6">
      <c r="F832" s="50" t="str">
        <f>IFERROR(INDEX('Sales Price'!D:D,MATCH('Daily Sale'!B832,'Sales Price'!B:B,0)),"-")</f>
        <v>-</v>
      </c>
    </row>
    <row r="833" spans="6:6" x14ac:dyDescent="0.6">
      <c r="F833" s="50" t="str">
        <f>IFERROR(INDEX('Sales Price'!D:D,MATCH('Daily Sale'!B833,'Sales Price'!B:B,0)),"-")</f>
        <v>-</v>
      </c>
    </row>
    <row r="834" spans="6:6" x14ac:dyDescent="0.6">
      <c r="F834" s="50" t="str">
        <f>IFERROR(INDEX('Sales Price'!D:D,MATCH('Daily Sale'!B834,'Sales Price'!B:B,0)),"-")</f>
        <v>-</v>
      </c>
    </row>
    <row r="835" spans="6:6" x14ac:dyDescent="0.6">
      <c r="F835" s="50" t="str">
        <f>IFERROR(INDEX('Sales Price'!D:D,MATCH('Daily Sale'!B835,'Sales Price'!B:B,0)),"-")</f>
        <v>-</v>
      </c>
    </row>
    <row r="836" spans="6:6" x14ac:dyDescent="0.6">
      <c r="F836" s="50" t="str">
        <f>IFERROR(INDEX('Sales Price'!D:D,MATCH('Daily Sale'!B836,'Sales Price'!B:B,0)),"-")</f>
        <v>-</v>
      </c>
    </row>
    <row r="837" spans="6:6" x14ac:dyDescent="0.6">
      <c r="F837" s="50" t="str">
        <f>IFERROR(INDEX('Sales Price'!D:D,MATCH('Daily Sale'!B837,'Sales Price'!B:B,0)),"-")</f>
        <v>-</v>
      </c>
    </row>
    <row r="838" spans="6:6" x14ac:dyDescent="0.6">
      <c r="F838" s="50" t="str">
        <f>IFERROR(INDEX('Sales Price'!D:D,MATCH('Daily Sale'!B838,'Sales Price'!B:B,0)),"-")</f>
        <v>-</v>
      </c>
    </row>
    <row r="839" spans="6:6" x14ac:dyDescent="0.6">
      <c r="F839" s="50" t="str">
        <f>IFERROR(INDEX('Sales Price'!D:D,MATCH('Daily Sale'!B839,'Sales Price'!B:B,0)),"-")</f>
        <v>-</v>
      </c>
    </row>
    <row r="840" spans="6:6" x14ac:dyDescent="0.6">
      <c r="F840" s="50" t="str">
        <f>IFERROR(INDEX('Sales Price'!D:D,MATCH('Daily Sale'!B840,'Sales Price'!B:B,0)),"-")</f>
        <v>-</v>
      </c>
    </row>
    <row r="841" spans="6:6" x14ac:dyDescent="0.6">
      <c r="F841" s="50" t="str">
        <f>IFERROR(INDEX('Sales Price'!D:D,MATCH('Daily Sale'!B841,'Sales Price'!B:B,0)),"-")</f>
        <v>-</v>
      </c>
    </row>
    <row r="842" spans="6:6" x14ac:dyDescent="0.6">
      <c r="F842" s="50" t="str">
        <f>IFERROR(INDEX('Sales Price'!D:D,MATCH('Daily Sale'!B842,'Sales Price'!B:B,0)),"-")</f>
        <v>-</v>
      </c>
    </row>
    <row r="843" spans="6:6" x14ac:dyDescent="0.6">
      <c r="F843" s="50" t="str">
        <f>IFERROR(INDEX('Sales Price'!D:D,MATCH('Daily Sale'!B843,'Sales Price'!B:B,0)),"-")</f>
        <v>-</v>
      </c>
    </row>
    <row r="844" spans="6:6" x14ac:dyDescent="0.6">
      <c r="F844" s="50" t="str">
        <f>IFERROR(INDEX('Sales Price'!D:D,MATCH('Daily Sale'!B844,'Sales Price'!B:B,0)),"-")</f>
        <v>-</v>
      </c>
    </row>
    <row r="845" spans="6:6" x14ac:dyDescent="0.6">
      <c r="F845" s="50" t="str">
        <f>IFERROR(INDEX('Sales Price'!D:D,MATCH('Daily Sale'!B845,'Sales Price'!B:B,0)),"-")</f>
        <v>-</v>
      </c>
    </row>
    <row r="846" spans="6:6" x14ac:dyDescent="0.6">
      <c r="F846" s="50" t="str">
        <f>IFERROR(INDEX('Sales Price'!D:D,MATCH('Daily Sale'!B846,'Sales Price'!B:B,0)),"-")</f>
        <v>-</v>
      </c>
    </row>
    <row r="847" spans="6:6" x14ac:dyDescent="0.6">
      <c r="F847" s="50" t="str">
        <f>IFERROR(INDEX('Sales Price'!D:D,MATCH('Daily Sale'!B847,'Sales Price'!B:B,0)),"-")</f>
        <v>-</v>
      </c>
    </row>
    <row r="848" spans="6:6" x14ac:dyDescent="0.6">
      <c r="F848" s="50" t="str">
        <f>IFERROR(INDEX('Sales Price'!D:D,MATCH('Daily Sale'!B848,'Sales Price'!B:B,0)),"-")</f>
        <v>-</v>
      </c>
    </row>
    <row r="849" spans="6:6" x14ac:dyDescent="0.6">
      <c r="F849" s="50" t="str">
        <f>IFERROR(INDEX('Sales Price'!D:D,MATCH('Daily Sale'!B849,'Sales Price'!B:B,0)),"-")</f>
        <v>-</v>
      </c>
    </row>
    <row r="850" spans="6:6" x14ac:dyDescent="0.6">
      <c r="F850" s="50" t="str">
        <f>IFERROR(INDEX('Sales Price'!D:D,MATCH('Daily Sale'!B850,'Sales Price'!B:B,0)),"-")</f>
        <v>-</v>
      </c>
    </row>
    <row r="851" spans="6:6" x14ac:dyDescent="0.6">
      <c r="F851" s="50" t="str">
        <f>IFERROR(INDEX('Sales Price'!D:D,MATCH('Daily Sale'!B851,'Sales Price'!B:B,0)),"-")</f>
        <v>-</v>
      </c>
    </row>
    <row r="852" spans="6:6" x14ac:dyDescent="0.6">
      <c r="F852" s="50" t="str">
        <f>IFERROR(INDEX('Sales Price'!D:D,MATCH('Daily Sale'!B852,'Sales Price'!B:B,0)),"-")</f>
        <v>-</v>
      </c>
    </row>
    <row r="853" spans="6:6" x14ac:dyDescent="0.6">
      <c r="F853" s="50" t="str">
        <f>IFERROR(INDEX('Sales Price'!D:D,MATCH('Daily Sale'!B853,'Sales Price'!B:B,0)),"-")</f>
        <v>-</v>
      </c>
    </row>
    <row r="854" spans="6:6" x14ac:dyDescent="0.6">
      <c r="F854" s="50" t="str">
        <f>IFERROR(INDEX('Sales Price'!D:D,MATCH('Daily Sale'!B854,'Sales Price'!B:B,0)),"-")</f>
        <v>-</v>
      </c>
    </row>
    <row r="855" spans="6:6" x14ac:dyDescent="0.6">
      <c r="F855" s="50" t="str">
        <f>IFERROR(INDEX('Sales Price'!D:D,MATCH('Daily Sale'!B855,'Sales Price'!B:B,0)),"-")</f>
        <v>-</v>
      </c>
    </row>
    <row r="856" spans="6:6" x14ac:dyDescent="0.6">
      <c r="F856" s="50" t="str">
        <f>IFERROR(INDEX('Sales Price'!D:D,MATCH('Daily Sale'!B856,'Sales Price'!B:B,0)),"-")</f>
        <v>-</v>
      </c>
    </row>
    <row r="857" spans="6:6" x14ac:dyDescent="0.6">
      <c r="F857" s="50" t="str">
        <f>IFERROR(INDEX('Sales Price'!D:D,MATCH('Daily Sale'!B857,'Sales Price'!B:B,0)),"-")</f>
        <v>-</v>
      </c>
    </row>
    <row r="858" spans="6:6" x14ac:dyDescent="0.6">
      <c r="F858" s="50" t="str">
        <f>IFERROR(INDEX('Sales Price'!D:D,MATCH('Daily Sale'!B858,'Sales Price'!B:B,0)),"-")</f>
        <v>-</v>
      </c>
    </row>
    <row r="859" spans="6:6" x14ac:dyDescent="0.6">
      <c r="F859" s="50" t="str">
        <f>IFERROR(INDEX('Sales Price'!D:D,MATCH('Daily Sale'!B859,'Sales Price'!B:B,0)),"-")</f>
        <v>-</v>
      </c>
    </row>
    <row r="860" spans="6:6" x14ac:dyDescent="0.6">
      <c r="F860" s="50" t="str">
        <f>IFERROR(INDEX('Sales Price'!D:D,MATCH('Daily Sale'!B860,'Sales Price'!B:B,0)),"-")</f>
        <v>-</v>
      </c>
    </row>
    <row r="861" spans="6:6" x14ac:dyDescent="0.6">
      <c r="F861" s="50" t="str">
        <f>IFERROR(INDEX('Sales Price'!D:D,MATCH('Daily Sale'!B861,'Sales Price'!B:B,0)),"-")</f>
        <v>-</v>
      </c>
    </row>
    <row r="862" spans="6:6" x14ac:dyDescent="0.6">
      <c r="F862" s="50" t="str">
        <f>IFERROR(INDEX('Sales Price'!D:D,MATCH('Daily Sale'!B862,'Sales Price'!B:B,0)),"-")</f>
        <v>-</v>
      </c>
    </row>
    <row r="863" spans="6:6" x14ac:dyDescent="0.6">
      <c r="F863" s="50" t="str">
        <f>IFERROR(INDEX('Sales Price'!D:D,MATCH('Daily Sale'!B863,'Sales Price'!B:B,0)),"-")</f>
        <v>-</v>
      </c>
    </row>
    <row r="864" spans="6:6" x14ac:dyDescent="0.6">
      <c r="F864" s="50" t="str">
        <f>IFERROR(INDEX('Sales Price'!D:D,MATCH('Daily Sale'!B864,'Sales Price'!B:B,0)),"-")</f>
        <v>-</v>
      </c>
    </row>
    <row r="865" spans="6:6" x14ac:dyDescent="0.6">
      <c r="F865" s="50" t="str">
        <f>IFERROR(INDEX('Sales Price'!D:D,MATCH('Daily Sale'!B865,'Sales Price'!B:B,0)),"-")</f>
        <v>-</v>
      </c>
    </row>
    <row r="866" spans="6:6" x14ac:dyDescent="0.6">
      <c r="F866" s="50" t="str">
        <f>IFERROR(INDEX('Sales Price'!D:D,MATCH('Daily Sale'!B866,'Sales Price'!B:B,0)),"-")</f>
        <v>-</v>
      </c>
    </row>
    <row r="867" spans="6:6" x14ac:dyDescent="0.6">
      <c r="F867" s="50" t="str">
        <f>IFERROR(INDEX('Sales Price'!D:D,MATCH('Daily Sale'!B867,'Sales Price'!B:B,0)),"-")</f>
        <v>-</v>
      </c>
    </row>
    <row r="868" spans="6:6" x14ac:dyDescent="0.6">
      <c r="F868" s="50" t="str">
        <f>IFERROR(INDEX('Sales Price'!D:D,MATCH('Daily Sale'!B868,'Sales Price'!B:B,0)),"-")</f>
        <v>-</v>
      </c>
    </row>
    <row r="869" spans="6:6" x14ac:dyDescent="0.6">
      <c r="F869" s="50" t="str">
        <f>IFERROR(INDEX('Sales Price'!D:D,MATCH('Daily Sale'!B869,'Sales Price'!B:B,0)),"-")</f>
        <v>-</v>
      </c>
    </row>
    <row r="870" spans="6:6" x14ac:dyDescent="0.6">
      <c r="F870" s="50" t="str">
        <f>IFERROR(INDEX('Sales Price'!D:D,MATCH('Daily Sale'!B870,'Sales Price'!B:B,0)),"-")</f>
        <v>-</v>
      </c>
    </row>
    <row r="871" spans="6:6" x14ac:dyDescent="0.6">
      <c r="F871" s="50" t="str">
        <f>IFERROR(INDEX('Sales Price'!D:D,MATCH('Daily Sale'!B871,'Sales Price'!B:B,0)),"-")</f>
        <v>-</v>
      </c>
    </row>
    <row r="872" spans="6:6" x14ac:dyDescent="0.6">
      <c r="F872" s="50" t="str">
        <f>IFERROR(INDEX('Sales Price'!D:D,MATCH('Daily Sale'!B872,'Sales Price'!B:B,0)),"-")</f>
        <v>-</v>
      </c>
    </row>
    <row r="873" spans="6:6" x14ac:dyDescent="0.6">
      <c r="F873" s="50" t="str">
        <f>IFERROR(INDEX('Sales Price'!D:D,MATCH('Daily Sale'!B873,'Sales Price'!B:B,0)),"-")</f>
        <v>-</v>
      </c>
    </row>
    <row r="874" spans="6:6" x14ac:dyDescent="0.6">
      <c r="F874" s="50" t="str">
        <f>IFERROR(INDEX('Sales Price'!D:D,MATCH('Daily Sale'!B874,'Sales Price'!B:B,0)),"-")</f>
        <v>-</v>
      </c>
    </row>
    <row r="875" spans="6:6" x14ac:dyDescent="0.6">
      <c r="F875" s="50" t="str">
        <f>IFERROR(INDEX('Sales Price'!D:D,MATCH('Daily Sale'!B875,'Sales Price'!B:B,0)),"-")</f>
        <v>-</v>
      </c>
    </row>
    <row r="876" spans="6:6" x14ac:dyDescent="0.6">
      <c r="F876" s="50" t="str">
        <f>IFERROR(INDEX('Sales Price'!D:D,MATCH('Daily Sale'!B876,'Sales Price'!B:B,0)),"-")</f>
        <v>-</v>
      </c>
    </row>
    <row r="877" spans="6:6" x14ac:dyDescent="0.6">
      <c r="F877" s="50" t="str">
        <f>IFERROR(INDEX('Sales Price'!D:D,MATCH('Daily Sale'!B877,'Sales Price'!B:B,0)),"-")</f>
        <v>-</v>
      </c>
    </row>
    <row r="878" spans="6:6" x14ac:dyDescent="0.6">
      <c r="F878" s="50" t="str">
        <f>IFERROR(INDEX('Sales Price'!D:D,MATCH('Daily Sale'!B878,'Sales Price'!B:B,0)),"-")</f>
        <v>-</v>
      </c>
    </row>
    <row r="879" spans="6:6" x14ac:dyDescent="0.6">
      <c r="F879" s="50" t="str">
        <f>IFERROR(INDEX('Sales Price'!D:D,MATCH('Daily Sale'!B879,'Sales Price'!B:B,0)),"-")</f>
        <v>-</v>
      </c>
    </row>
  </sheetData>
  <autoFilter ref="A2:H78" xr:uid="{00000000-0009-0000-0000-000003000000}"/>
  <phoneticPr fontId="1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1000000}">
          <x14:formula1>
            <xm:f>'Sales Price'!$E$2:$E$10</xm:f>
          </x14:formula1>
          <xm:sqref>E3:E504</xm:sqref>
        </x14:dataValidation>
        <x14:dataValidation type="list" allowBlank="1" showInputMessage="1" showErrorMessage="1" xr:uid="{00000000-0002-0000-0300-000002000000}">
          <x14:formula1>
            <xm:f>'Sales Price'!$C$2:$C$11</xm:f>
          </x14:formula1>
          <xm:sqref>C94:C212</xm:sqref>
        </x14:dataValidation>
        <x14:dataValidation type="list" allowBlank="1" showInputMessage="1" showErrorMessage="1" xr:uid="{00000000-0002-0000-0300-000003000000}">
          <x14:formula1>
            <xm:f>'Sales Price'!$B:$B</xm:f>
          </x14:formula1>
          <xm:sqref>B3:B631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Price</vt:lpstr>
      <vt:lpstr>MLM Sales Summary</vt:lpstr>
      <vt:lpstr>MLM OP Debtors</vt:lpstr>
      <vt:lpstr>Daily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2025-12-15T11:19:33Z</cp:lastPrinted>
  <dcterms:created xsi:type="dcterms:W3CDTF">2024-11-01T06:50:47Z</dcterms:created>
  <dcterms:modified xsi:type="dcterms:W3CDTF">2026-03-21T07:22:24Z</dcterms:modified>
</cp:coreProperties>
</file>